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Enforcements!$A$6:$AC$21</definedName>
    <definedName name="_xlnm._FilterDatabase" localSheetId="2" hidden="1">'Missing Trips'!$A$2:$J$26</definedName>
    <definedName name="_xlnm._FilterDatabase" localSheetId="0" hidden="1">'Train Runs'!$A$12:$AG$478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8" i="1" l="1"/>
  <c r="K197" i="1"/>
  <c r="L197" i="1"/>
  <c r="M197" i="1"/>
  <c r="N197" i="1" s="1"/>
  <c r="V197" i="1"/>
  <c r="AA197" i="1"/>
  <c r="AB197" i="1"/>
  <c r="AC197" i="1"/>
  <c r="AD197" i="1"/>
  <c r="T197" i="1" s="1"/>
  <c r="AE197" i="1"/>
  <c r="AF197" i="1"/>
  <c r="AH197" i="1"/>
  <c r="AM197" i="1"/>
  <c r="AN197" i="1"/>
  <c r="AO197" i="1"/>
  <c r="X194" i="1"/>
  <c r="K193" i="1"/>
  <c r="L193" i="1"/>
  <c r="M193" i="1"/>
  <c r="N193" i="1"/>
  <c r="V193" i="1"/>
  <c r="AA193" i="1"/>
  <c r="AB193" i="1"/>
  <c r="AC193" i="1"/>
  <c r="AD193" i="1"/>
  <c r="T193" i="1" s="1"/>
  <c r="AE193" i="1"/>
  <c r="AF193" i="1"/>
  <c r="AH193" i="1"/>
  <c r="AM193" i="1"/>
  <c r="AN193" i="1"/>
  <c r="AO193" i="1"/>
  <c r="X180" i="1"/>
  <c r="K179" i="1"/>
  <c r="L179" i="1"/>
  <c r="M179" i="1"/>
  <c r="N179" i="1"/>
  <c r="T179" i="1"/>
  <c r="V179" i="1"/>
  <c r="X179" i="1"/>
  <c r="AA179" i="1"/>
  <c r="AB179" i="1"/>
  <c r="AC179" i="1"/>
  <c r="AD179" i="1"/>
  <c r="AE179" i="1"/>
  <c r="AF179" i="1"/>
  <c r="AH179" i="1"/>
  <c r="AM179" i="1"/>
  <c r="AN179" i="1"/>
  <c r="AO179" i="1"/>
  <c r="N175" i="1"/>
  <c r="P152" i="1"/>
  <c r="P67" i="1"/>
  <c r="P53" i="1"/>
  <c r="P50" i="1"/>
  <c r="X49" i="1"/>
  <c r="X50" i="1"/>
  <c r="X51" i="1"/>
  <c r="X52" i="1"/>
  <c r="X53" i="1"/>
  <c r="K23" i="1"/>
  <c r="L23" i="1"/>
  <c r="M23" i="1"/>
  <c r="N23" i="1"/>
  <c r="V23" i="1"/>
  <c r="AA23" i="1"/>
  <c r="AB23" i="1"/>
  <c r="AC23" i="1"/>
  <c r="AD23" i="1"/>
  <c r="T23" i="1" s="1"/>
  <c r="AE23" i="1"/>
  <c r="AF23" i="1"/>
  <c r="AH23" i="1"/>
  <c r="AM23" i="1"/>
  <c r="AN23" i="1"/>
  <c r="AO23" i="1"/>
  <c r="K14" i="1"/>
  <c r="L14" i="1"/>
  <c r="M14" i="1"/>
  <c r="N14" i="1" s="1"/>
  <c r="V14" i="1"/>
  <c r="S10" i="3" s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/>
  <c r="V32" i="1"/>
  <c r="Y32" i="1"/>
  <c r="AA32" i="1" s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T39" i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P42" i="1" s="1"/>
  <c r="V42" i="1"/>
  <c r="Y42" i="1"/>
  <c r="AA42" i="1" s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V43" i="1"/>
  <c r="X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R18" i="3" s="1"/>
  <c r="AF46" i="1"/>
  <c r="AH46" i="1"/>
  <c r="AM46" i="1"/>
  <c r="AN46" i="1"/>
  <c r="AO46" i="1"/>
  <c r="K47" i="1"/>
  <c r="L47" i="1"/>
  <c r="M47" i="1"/>
  <c r="N47" i="1" s="1"/>
  <c r="V47" i="1"/>
  <c r="Y47" i="1"/>
  <c r="AA47" i="1" s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T52" i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V53" i="1"/>
  <c r="S13" i="3" s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T59" i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X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V67" i="1"/>
  <c r="Y67" i="1"/>
  <c r="Z67" i="1"/>
  <c r="AB67" i="1"/>
  <c r="AC67" i="1"/>
  <c r="AD67" i="1"/>
  <c r="AE67" i="1"/>
  <c r="R19" i="3" s="1"/>
  <c r="AF67" i="1"/>
  <c r="AH67" i="1"/>
  <c r="AM67" i="1"/>
  <c r="AN67" i="1"/>
  <c r="AO67" i="1"/>
  <c r="K68" i="1"/>
  <c r="L68" i="1"/>
  <c r="M68" i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S17" i="3" s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A84" i="1" s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/>
  <c r="V91" i="1"/>
  <c r="Y91" i="1"/>
  <c r="AA91" i="1" s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X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AA95" i="1" s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X96" i="1"/>
  <c r="Y96" i="1"/>
  <c r="Z96" i="1"/>
  <c r="AB96" i="1"/>
  <c r="AC96" i="1"/>
  <c r="AD96" i="1"/>
  <c r="T96" i="1" s="1"/>
  <c r="AE96" i="1"/>
  <c r="AF96" i="1"/>
  <c r="AH96" i="1"/>
  <c r="AM96" i="1"/>
  <c r="AN96" i="1"/>
  <c r="AO96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AF161" i="1"/>
  <c r="AH97" i="1"/>
  <c r="AM97" i="1"/>
  <c r="AN97" i="1"/>
  <c r="AO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AM98" i="1"/>
  <c r="AN98" i="1"/>
  <c r="AO98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R22" i="3" s="1"/>
  <c r="AF163" i="1"/>
  <c r="AH99" i="1"/>
  <c r="AM99" i="1"/>
  <c r="AN99" i="1"/>
  <c r="AO99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00" i="1"/>
  <c r="AM100" i="1"/>
  <c r="AN100" i="1"/>
  <c r="AO100" i="1"/>
  <c r="K165" i="1"/>
  <c r="L165" i="1"/>
  <c r="M165" i="1"/>
  <c r="N165" i="1" s="1"/>
  <c r="V165" i="1"/>
  <c r="Y165" i="1"/>
  <c r="AA165" i="1" s="1"/>
  <c r="Z165" i="1"/>
  <c r="AB165" i="1"/>
  <c r="AC165" i="1"/>
  <c r="AD165" i="1"/>
  <c r="X165" i="1" s="1"/>
  <c r="AE165" i="1"/>
  <c r="AF165" i="1"/>
  <c r="AH101" i="1"/>
  <c r="AM101" i="1"/>
  <c r="AN101" i="1"/>
  <c r="AO1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2" i="1"/>
  <c r="AM102" i="1"/>
  <c r="AN102" i="1"/>
  <c r="AO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AN103" i="1"/>
  <c r="AO10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4" i="1"/>
  <c r="AM104" i="1"/>
  <c r="AN104" i="1"/>
  <c r="AO10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5" i="1"/>
  <c r="AM105" i="1"/>
  <c r="AN105" i="1"/>
  <c r="AO10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6" i="1"/>
  <c r="AM106" i="1"/>
  <c r="AN106" i="1"/>
  <c r="AO10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07" i="1"/>
  <c r="AM107" i="1"/>
  <c r="AN107" i="1"/>
  <c r="AO107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R23" i="3" s="1"/>
  <c r="AF171" i="1"/>
  <c r="AH108" i="1"/>
  <c r="AM108" i="1"/>
  <c r="AN108" i="1"/>
  <c r="AO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AO109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0" i="1"/>
  <c r="AM110" i="1"/>
  <c r="AN110" i="1"/>
  <c r="AO1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1" i="1"/>
  <c r="AM111" i="1"/>
  <c r="AN111" i="1"/>
  <c r="AO111" i="1"/>
  <c r="K175" i="1"/>
  <c r="L175" i="1"/>
  <c r="M175" i="1"/>
  <c r="V175" i="1"/>
  <c r="Y175" i="1"/>
  <c r="Z175" i="1"/>
  <c r="AB175" i="1"/>
  <c r="AC175" i="1"/>
  <c r="AD175" i="1"/>
  <c r="AE175" i="1"/>
  <c r="AF175" i="1"/>
  <c r="AH112" i="1"/>
  <c r="AM112" i="1"/>
  <c r="AN112" i="1"/>
  <c r="AO112" i="1"/>
  <c r="K176" i="1"/>
  <c r="L176" i="1"/>
  <c r="M176" i="1"/>
  <c r="V176" i="1"/>
  <c r="Y176" i="1"/>
  <c r="Z176" i="1"/>
  <c r="AB176" i="1"/>
  <c r="AC176" i="1"/>
  <c r="AD176" i="1"/>
  <c r="AE176" i="1"/>
  <c r="AF176" i="1"/>
  <c r="AH113" i="1"/>
  <c r="AM113" i="1"/>
  <c r="AN113" i="1"/>
  <c r="AO113" i="1"/>
  <c r="K177" i="1"/>
  <c r="L177" i="1"/>
  <c r="M177" i="1"/>
  <c r="N177" i="1"/>
  <c r="V177" i="1"/>
  <c r="Y177" i="1"/>
  <c r="AA177" i="1" s="1"/>
  <c r="Z177" i="1"/>
  <c r="AB177" i="1"/>
  <c r="AC177" i="1"/>
  <c r="AD177" i="1"/>
  <c r="AE177" i="1"/>
  <c r="AF177" i="1"/>
  <c r="AH114" i="1"/>
  <c r="AM114" i="1"/>
  <c r="AN114" i="1"/>
  <c r="AO114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5" i="1"/>
  <c r="AM115" i="1"/>
  <c r="AN115" i="1"/>
  <c r="AO115" i="1"/>
  <c r="K180" i="1"/>
  <c r="L180" i="1"/>
  <c r="M180" i="1"/>
  <c r="N180" i="1"/>
  <c r="V180" i="1"/>
  <c r="Y180" i="1"/>
  <c r="AA180" i="1" s="1"/>
  <c r="Z180" i="1"/>
  <c r="AB180" i="1"/>
  <c r="AC180" i="1"/>
  <c r="AD180" i="1"/>
  <c r="AE180" i="1"/>
  <c r="AF180" i="1"/>
  <c r="AH116" i="1"/>
  <c r="AM116" i="1"/>
  <c r="AN116" i="1"/>
  <c r="AO116" i="1"/>
  <c r="K181" i="1"/>
  <c r="L181" i="1"/>
  <c r="M181" i="1"/>
  <c r="N181" i="1" s="1"/>
  <c r="V181" i="1"/>
  <c r="Y181" i="1"/>
  <c r="Z181" i="1"/>
  <c r="AB181" i="1"/>
  <c r="AC181" i="1"/>
  <c r="AD181" i="1"/>
  <c r="AE181" i="1"/>
  <c r="R24" i="3" s="1"/>
  <c r="AF181" i="1"/>
  <c r="AH117" i="1"/>
  <c r="AM117" i="1"/>
  <c r="AN117" i="1"/>
  <c r="AO117" i="1"/>
  <c r="K98" i="1"/>
  <c r="L98" i="1"/>
  <c r="M98" i="1"/>
  <c r="N98" i="1"/>
  <c r="V98" i="1"/>
  <c r="Y98" i="1"/>
  <c r="AA98" i="1" s="1"/>
  <c r="Z98" i="1"/>
  <c r="AB98" i="1"/>
  <c r="AC98" i="1"/>
  <c r="AD98" i="1"/>
  <c r="AE98" i="1"/>
  <c r="AF98" i="1"/>
  <c r="AH118" i="1"/>
  <c r="AM118" i="1"/>
  <c r="AN118" i="1"/>
  <c r="AO11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9" i="1"/>
  <c r="AM119" i="1"/>
  <c r="AN119" i="1"/>
  <c r="AO119" i="1"/>
  <c r="K183" i="1"/>
  <c r="L183" i="1"/>
  <c r="M183" i="1"/>
  <c r="N183" i="1"/>
  <c r="V183" i="1"/>
  <c r="Y183" i="1"/>
  <c r="AA183" i="1" s="1"/>
  <c r="Z183" i="1"/>
  <c r="AB183" i="1"/>
  <c r="AC183" i="1"/>
  <c r="AD183" i="1"/>
  <c r="AE183" i="1"/>
  <c r="AF183" i="1"/>
  <c r="AH120" i="1"/>
  <c r="AM120" i="1"/>
  <c r="AN120" i="1"/>
  <c r="AO12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1" i="1"/>
  <c r="AM121" i="1"/>
  <c r="AN121" i="1"/>
  <c r="AO121" i="1"/>
  <c r="K185" i="1"/>
  <c r="L185" i="1"/>
  <c r="M185" i="1"/>
  <c r="N185" i="1"/>
  <c r="V185" i="1"/>
  <c r="Y185" i="1"/>
  <c r="AA185" i="1" s="1"/>
  <c r="Z185" i="1"/>
  <c r="AB185" i="1"/>
  <c r="AC185" i="1"/>
  <c r="AD185" i="1"/>
  <c r="AE185" i="1"/>
  <c r="AF185" i="1"/>
  <c r="AH122" i="1"/>
  <c r="AM122" i="1"/>
  <c r="AN122" i="1"/>
  <c r="AO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3" i="1"/>
  <c r="AM123" i="1"/>
  <c r="AN123" i="1"/>
  <c r="AO123" i="1"/>
  <c r="K187" i="1"/>
  <c r="L187" i="1"/>
  <c r="M187" i="1"/>
  <c r="N187" i="1"/>
  <c r="V187" i="1"/>
  <c r="Y187" i="1"/>
  <c r="AA187" i="1" s="1"/>
  <c r="Z187" i="1"/>
  <c r="AB187" i="1"/>
  <c r="AC187" i="1"/>
  <c r="AD187" i="1"/>
  <c r="AE187" i="1"/>
  <c r="AF187" i="1"/>
  <c r="AH124" i="1"/>
  <c r="AM124" i="1"/>
  <c r="AN124" i="1"/>
  <c r="AO12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5" i="1"/>
  <c r="AM125" i="1"/>
  <c r="AN125" i="1"/>
  <c r="AO125" i="1"/>
  <c r="K189" i="1"/>
  <c r="L189" i="1"/>
  <c r="M189" i="1"/>
  <c r="N189" i="1"/>
  <c r="V189" i="1"/>
  <c r="Y189" i="1"/>
  <c r="AA189" i="1" s="1"/>
  <c r="Z189" i="1"/>
  <c r="AB189" i="1"/>
  <c r="AC189" i="1"/>
  <c r="AD189" i="1"/>
  <c r="AE189" i="1"/>
  <c r="AF189" i="1"/>
  <c r="AH126" i="1"/>
  <c r="AM126" i="1"/>
  <c r="AN126" i="1"/>
  <c r="AO126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7" i="1"/>
  <c r="AM127" i="1"/>
  <c r="AN127" i="1"/>
  <c r="AO127" i="1"/>
  <c r="K191" i="1"/>
  <c r="L191" i="1"/>
  <c r="M191" i="1"/>
  <c r="N191" i="1"/>
  <c r="V191" i="1"/>
  <c r="Y191" i="1"/>
  <c r="AA191" i="1" s="1"/>
  <c r="Z191" i="1"/>
  <c r="AB191" i="1"/>
  <c r="AC191" i="1"/>
  <c r="AD191" i="1"/>
  <c r="AE191" i="1"/>
  <c r="AF191" i="1"/>
  <c r="AH128" i="1"/>
  <c r="AM128" i="1"/>
  <c r="AN128" i="1"/>
  <c r="AO12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29" i="1"/>
  <c r="AM129" i="1"/>
  <c r="AN129" i="1"/>
  <c r="AO129" i="1"/>
  <c r="K192" i="1"/>
  <c r="L192" i="1"/>
  <c r="M192" i="1"/>
  <c r="N192" i="1" s="1"/>
  <c r="V192" i="1"/>
  <c r="Y192" i="1"/>
  <c r="AA192" i="1" s="1"/>
  <c r="Z192" i="1"/>
  <c r="AB192" i="1"/>
  <c r="AC192" i="1"/>
  <c r="AD192" i="1"/>
  <c r="AE192" i="1"/>
  <c r="AF192" i="1"/>
  <c r="AH130" i="1"/>
  <c r="AM130" i="1"/>
  <c r="AN130" i="1"/>
  <c r="AO1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1" i="1"/>
  <c r="AM131" i="1"/>
  <c r="AN131" i="1"/>
  <c r="AO131" i="1"/>
  <c r="K195" i="1"/>
  <c r="L195" i="1"/>
  <c r="M195" i="1"/>
  <c r="N195" i="1"/>
  <c r="V195" i="1"/>
  <c r="Y195" i="1"/>
  <c r="AA195" i="1" s="1"/>
  <c r="Z195" i="1"/>
  <c r="AB195" i="1"/>
  <c r="AC195" i="1"/>
  <c r="AD195" i="1"/>
  <c r="AE195" i="1"/>
  <c r="AF195" i="1"/>
  <c r="AH132" i="1"/>
  <c r="AM132" i="1"/>
  <c r="AN132" i="1"/>
  <c r="AO13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3" i="1"/>
  <c r="AM133" i="1"/>
  <c r="AN133" i="1"/>
  <c r="AO133" i="1"/>
  <c r="K100" i="1"/>
  <c r="L100" i="1"/>
  <c r="M100" i="1"/>
  <c r="N100" i="1"/>
  <c r="V100" i="1"/>
  <c r="Y100" i="1"/>
  <c r="AA100" i="1" s="1"/>
  <c r="Z100" i="1"/>
  <c r="AB100" i="1"/>
  <c r="AC100" i="1"/>
  <c r="AD100" i="1"/>
  <c r="AE100" i="1"/>
  <c r="R11" i="3" s="1"/>
  <c r="AF100" i="1"/>
  <c r="AH134" i="1"/>
  <c r="AM134" i="1"/>
  <c r="AN134" i="1"/>
  <c r="AO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AO135" i="1"/>
  <c r="K102" i="1"/>
  <c r="L102" i="1"/>
  <c r="M102" i="1"/>
  <c r="N102" i="1"/>
  <c r="V102" i="1"/>
  <c r="S21" i="3" s="1"/>
  <c r="Y102" i="1"/>
  <c r="AA102" i="1" s="1"/>
  <c r="Z102" i="1"/>
  <c r="AB102" i="1"/>
  <c r="AC102" i="1"/>
  <c r="AD102" i="1"/>
  <c r="AE102" i="1"/>
  <c r="AF102" i="1"/>
  <c r="AH136" i="1"/>
  <c r="AM136" i="1"/>
  <c r="AN136" i="1"/>
  <c r="AO136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7" i="1"/>
  <c r="AM137" i="1"/>
  <c r="AN137" i="1"/>
  <c r="AO137" i="1"/>
  <c r="K104" i="1"/>
  <c r="L104" i="1"/>
  <c r="M104" i="1"/>
  <c r="N104" i="1"/>
  <c r="V104" i="1"/>
  <c r="Y104" i="1"/>
  <c r="AA104" i="1" s="1"/>
  <c r="Z104" i="1"/>
  <c r="AB104" i="1"/>
  <c r="AC104" i="1"/>
  <c r="AD104" i="1"/>
  <c r="AE104" i="1"/>
  <c r="AF104" i="1"/>
  <c r="AH138" i="1"/>
  <c r="AM138" i="1"/>
  <c r="AN138" i="1"/>
  <c r="AO138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39" i="1"/>
  <c r="AM139" i="1"/>
  <c r="AN139" i="1"/>
  <c r="AO139" i="1"/>
  <c r="K106" i="1"/>
  <c r="L106" i="1"/>
  <c r="M106" i="1"/>
  <c r="N106" i="1"/>
  <c r="V106" i="1"/>
  <c r="Y106" i="1"/>
  <c r="AA106" i="1" s="1"/>
  <c r="Z106" i="1"/>
  <c r="AB106" i="1"/>
  <c r="AC106" i="1"/>
  <c r="AD106" i="1"/>
  <c r="AE106" i="1"/>
  <c r="AF106" i="1"/>
  <c r="AH140" i="1"/>
  <c r="AM140" i="1"/>
  <c r="AN140" i="1"/>
  <c r="AO14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41" i="1"/>
  <c r="AM141" i="1"/>
  <c r="AN141" i="1"/>
  <c r="AO141" i="1"/>
  <c r="K211" i="1"/>
  <c r="L211" i="1"/>
  <c r="M211" i="1"/>
  <c r="N211" i="1"/>
  <c r="V211" i="1"/>
  <c r="Y211" i="1"/>
  <c r="AA211" i="1" s="1"/>
  <c r="Z211" i="1"/>
  <c r="AB211" i="1"/>
  <c r="AC211" i="1"/>
  <c r="AD211" i="1"/>
  <c r="AE211" i="1"/>
  <c r="AF211" i="1"/>
  <c r="AH142" i="1"/>
  <c r="AM142" i="1"/>
  <c r="AN142" i="1"/>
  <c r="AO142" i="1"/>
  <c r="K107" i="1"/>
  <c r="L107" i="1"/>
  <c r="M107" i="1"/>
  <c r="N107" i="1" s="1"/>
  <c r="V107" i="1"/>
  <c r="Y107" i="1"/>
  <c r="AA107" i="1" s="1"/>
  <c r="Z107" i="1"/>
  <c r="AB107" i="1"/>
  <c r="AC107" i="1"/>
  <c r="AD107" i="1"/>
  <c r="AE107" i="1"/>
  <c r="AF107" i="1"/>
  <c r="AH143" i="1"/>
  <c r="AM143" i="1"/>
  <c r="AN143" i="1"/>
  <c r="AO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AN144" i="1"/>
  <c r="AO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AM145" i="1"/>
  <c r="AN145" i="1"/>
  <c r="AO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AM146" i="1"/>
  <c r="AN146" i="1"/>
  <c r="AO146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7" i="1"/>
  <c r="AM147" i="1"/>
  <c r="AN147" i="1"/>
  <c r="AO147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48" i="1"/>
  <c r="AM148" i="1"/>
  <c r="AN148" i="1"/>
  <c r="AO148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9" i="1"/>
  <c r="AM149" i="1"/>
  <c r="AN149" i="1"/>
  <c r="AO149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0" i="1"/>
  <c r="AM150" i="1"/>
  <c r="AN150" i="1"/>
  <c r="AO150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1" i="1"/>
  <c r="AM151" i="1"/>
  <c r="AN151" i="1"/>
  <c r="AO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AO15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3" i="1"/>
  <c r="AM153" i="1"/>
  <c r="AN153" i="1"/>
  <c r="AO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AM154" i="1"/>
  <c r="AN154" i="1"/>
  <c r="AO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AO155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56" i="1"/>
  <c r="AM156" i="1"/>
  <c r="AN156" i="1"/>
  <c r="AO156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7" i="1"/>
  <c r="AM157" i="1"/>
  <c r="AN157" i="1"/>
  <c r="AO157" i="1"/>
  <c r="K122" i="1"/>
  <c r="L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58" i="1"/>
  <c r="AM158" i="1"/>
  <c r="AN158" i="1"/>
  <c r="AO158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9" i="1"/>
  <c r="AM159" i="1"/>
  <c r="AN159" i="1"/>
  <c r="AO159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0" i="1"/>
  <c r="AM160" i="1"/>
  <c r="AN160" i="1"/>
  <c r="AO160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1" i="1"/>
  <c r="AM161" i="1"/>
  <c r="AN161" i="1"/>
  <c r="AO161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2" i="1"/>
  <c r="AM162" i="1"/>
  <c r="AN162" i="1"/>
  <c r="AO162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3" i="1"/>
  <c r="AM163" i="1"/>
  <c r="AN163" i="1"/>
  <c r="AO163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64" i="1"/>
  <c r="AM164" i="1"/>
  <c r="AN164" i="1"/>
  <c r="AO164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65" i="1"/>
  <c r="AM165" i="1"/>
  <c r="AN165" i="1"/>
  <c r="AO165" i="1"/>
  <c r="K130" i="1"/>
  <c r="L130" i="1"/>
  <c r="M130" i="1"/>
  <c r="N130" i="1"/>
  <c r="V130" i="1"/>
  <c r="Y130" i="1"/>
  <c r="Z130" i="1"/>
  <c r="AA130" i="1"/>
  <c r="AB130" i="1"/>
  <c r="AC130" i="1"/>
  <c r="AD130" i="1"/>
  <c r="AE130" i="1"/>
  <c r="AF130" i="1"/>
  <c r="AH166" i="1"/>
  <c r="AM166" i="1"/>
  <c r="AN166" i="1"/>
  <c r="AO166" i="1"/>
  <c r="K131" i="1"/>
  <c r="L131" i="1"/>
  <c r="M131" i="1"/>
  <c r="N131" i="1" s="1"/>
  <c r="V131" i="1"/>
  <c r="Y131" i="1"/>
  <c r="Z131" i="1"/>
  <c r="AA131" i="1"/>
  <c r="AB131" i="1"/>
  <c r="AC131" i="1"/>
  <c r="AD131" i="1"/>
  <c r="AE131" i="1"/>
  <c r="AF131" i="1"/>
  <c r="AH167" i="1"/>
  <c r="AM167" i="1"/>
  <c r="AN167" i="1"/>
  <c r="AO167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8" i="1"/>
  <c r="AM168" i="1"/>
  <c r="AN168" i="1"/>
  <c r="AO168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69" i="1"/>
  <c r="AM169" i="1"/>
  <c r="AN169" i="1"/>
  <c r="AO169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0" i="1"/>
  <c r="AM170" i="1"/>
  <c r="AN170" i="1"/>
  <c r="AO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AM171" i="1"/>
  <c r="AN171" i="1"/>
  <c r="AO171" i="1"/>
  <c r="K136" i="1"/>
  <c r="L136" i="1"/>
  <c r="M136" i="1"/>
  <c r="N136" i="1"/>
  <c r="V136" i="1"/>
  <c r="Y136" i="1"/>
  <c r="Z136" i="1"/>
  <c r="AB136" i="1"/>
  <c r="AC136" i="1"/>
  <c r="AD136" i="1"/>
  <c r="AE136" i="1"/>
  <c r="AF136" i="1"/>
  <c r="AH172" i="1"/>
  <c r="AM172" i="1"/>
  <c r="AN172" i="1"/>
  <c r="AO172" i="1"/>
  <c r="K137" i="1"/>
  <c r="L137" i="1"/>
  <c r="M137" i="1"/>
  <c r="N137" i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AO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AO174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75" i="1"/>
  <c r="AM175" i="1"/>
  <c r="AN175" i="1"/>
  <c r="AO175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76" i="1"/>
  <c r="AM176" i="1"/>
  <c r="AN176" i="1"/>
  <c r="AO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M177" i="1"/>
  <c r="AN177" i="1"/>
  <c r="AO177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8" i="1"/>
  <c r="AM178" i="1"/>
  <c r="AN178" i="1"/>
  <c r="AO178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80" i="1"/>
  <c r="AM180" i="1"/>
  <c r="AN180" i="1"/>
  <c r="AO180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1" i="1"/>
  <c r="AM181" i="1"/>
  <c r="AN181" i="1"/>
  <c r="AO181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2" i="1"/>
  <c r="AM182" i="1"/>
  <c r="AN182" i="1"/>
  <c r="AO182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3" i="1"/>
  <c r="AM183" i="1"/>
  <c r="AN183" i="1"/>
  <c r="AO183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4" i="1"/>
  <c r="AM184" i="1"/>
  <c r="AN184" i="1"/>
  <c r="AO184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5" i="1"/>
  <c r="AM185" i="1"/>
  <c r="AN185" i="1"/>
  <c r="AO185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6" i="1"/>
  <c r="AM186" i="1"/>
  <c r="AN186" i="1"/>
  <c r="AO186" i="1"/>
  <c r="K150" i="1"/>
  <c r="L150" i="1"/>
  <c r="M150" i="1"/>
  <c r="N150" i="1" s="1"/>
  <c r="V150" i="1"/>
  <c r="S9" i="3" s="1"/>
  <c r="Y150" i="1"/>
  <c r="Z150" i="1"/>
  <c r="AB150" i="1"/>
  <c r="AC150" i="1"/>
  <c r="AD150" i="1"/>
  <c r="T150" i="1" s="1"/>
  <c r="AE150" i="1"/>
  <c r="R9" i="3" s="1"/>
  <c r="AF150" i="1"/>
  <c r="AH187" i="1"/>
  <c r="AM187" i="1"/>
  <c r="AN187" i="1"/>
  <c r="AO187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8" i="1"/>
  <c r="AM188" i="1"/>
  <c r="AN188" i="1"/>
  <c r="AO188" i="1"/>
  <c r="K152" i="1"/>
  <c r="L152" i="1"/>
  <c r="M152" i="1"/>
  <c r="V152" i="1"/>
  <c r="S14" i="3" s="1"/>
  <c r="Y152" i="1"/>
  <c r="Z152" i="1"/>
  <c r="AB152" i="1"/>
  <c r="AC152" i="1"/>
  <c r="AD152" i="1"/>
  <c r="AE152" i="1"/>
  <c r="R14" i="3" s="1"/>
  <c r="AF152" i="1"/>
  <c r="AH189" i="1"/>
  <c r="AM189" i="1"/>
  <c r="AN189" i="1"/>
  <c r="AO189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90" i="1"/>
  <c r="AM190" i="1"/>
  <c r="AN190" i="1"/>
  <c r="AO190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1" i="1"/>
  <c r="AM191" i="1"/>
  <c r="AN191" i="1"/>
  <c r="AO191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2" i="1"/>
  <c r="AM192" i="1"/>
  <c r="AN192" i="1"/>
  <c r="AO192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4" i="1"/>
  <c r="AM194" i="1"/>
  <c r="AN194" i="1"/>
  <c r="AO194" i="1"/>
  <c r="K157" i="1"/>
  <c r="L157" i="1"/>
  <c r="M157" i="1"/>
  <c r="N157" i="1" s="1"/>
  <c r="V157" i="1"/>
  <c r="S8" i="3" s="1"/>
  <c r="Y157" i="1"/>
  <c r="Z157" i="1"/>
  <c r="AB157" i="1"/>
  <c r="AC157" i="1"/>
  <c r="AD157" i="1"/>
  <c r="X157" i="1" s="1"/>
  <c r="AE157" i="1"/>
  <c r="AF157" i="1"/>
  <c r="AH195" i="1"/>
  <c r="AM195" i="1"/>
  <c r="AN195" i="1"/>
  <c r="AO195" i="1"/>
  <c r="K158" i="1"/>
  <c r="L158" i="1"/>
  <c r="M158" i="1"/>
  <c r="N158" i="1" s="1"/>
  <c r="V158" i="1"/>
  <c r="S7" i="3" s="1"/>
  <c r="Y158" i="1"/>
  <c r="Z158" i="1"/>
  <c r="AB158" i="1"/>
  <c r="AC158" i="1"/>
  <c r="AD158" i="1"/>
  <c r="AE158" i="1"/>
  <c r="R7" i="3" s="1"/>
  <c r="AF158" i="1"/>
  <c r="AH196" i="1"/>
  <c r="AM196" i="1"/>
  <c r="AN196" i="1"/>
  <c r="AO19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8" i="1"/>
  <c r="AM198" i="1"/>
  <c r="AN198" i="1"/>
  <c r="AO19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AE204" i="1"/>
  <c r="R26" i="3" s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 s="1"/>
  <c r="V206" i="1"/>
  <c r="S28" i="3" s="1"/>
  <c r="Y206" i="1"/>
  <c r="Z206" i="1"/>
  <c r="AB206" i="1"/>
  <c r="AC206" i="1"/>
  <c r="AD206" i="1"/>
  <c r="X206" i="1" s="1"/>
  <c r="AE206" i="1"/>
  <c r="R28" i="3" s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 s="1"/>
  <c r="V214" i="1"/>
  <c r="S29" i="3" s="1"/>
  <c r="Y214" i="1"/>
  <c r="Z214" i="1"/>
  <c r="AB214" i="1"/>
  <c r="AC214" i="1"/>
  <c r="AD214" i="1"/>
  <c r="AE214" i="1"/>
  <c r="R29" i="3" s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AA222" i="1" s="1"/>
  <c r="Z222" i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T223" i="1"/>
  <c r="V223" i="1"/>
  <c r="X223" i="1"/>
  <c r="Y223" i="1"/>
  <c r="Z223" i="1"/>
  <c r="AB223" i="1"/>
  <c r="AC223" i="1"/>
  <c r="AD223" i="1"/>
  <c r="AE223" i="1"/>
  <c r="AF223" i="1"/>
  <c r="AH223" i="1"/>
  <c r="AM223" i="1"/>
  <c r="AN223" i="1"/>
  <c r="AO223" i="1"/>
  <c r="M26" i="3"/>
  <c r="S26" i="3"/>
  <c r="U26" i="3"/>
  <c r="T26" i="3" s="1"/>
  <c r="V26" i="3"/>
  <c r="X26" i="3"/>
  <c r="M27" i="3"/>
  <c r="S27" i="3"/>
  <c r="U27" i="3"/>
  <c r="V27" i="3"/>
  <c r="X27" i="3"/>
  <c r="M10" i="3"/>
  <c r="R10" i="3"/>
  <c r="U10" i="3"/>
  <c r="AC10" i="3" s="1"/>
  <c r="V10" i="3"/>
  <c r="X10" i="3"/>
  <c r="M29" i="3"/>
  <c r="U29" i="3"/>
  <c r="AC29" i="3" s="1"/>
  <c r="V29" i="3"/>
  <c r="X29" i="3"/>
  <c r="M28" i="3"/>
  <c r="U28" i="3"/>
  <c r="T28" i="3" s="1"/>
  <c r="V28" i="3"/>
  <c r="X28" i="3"/>
  <c r="M22" i="3"/>
  <c r="S22" i="3"/>
  <c r="U22" i="3"/>
  <c r="T22" i="3" s="1"/>
  <c r="V22" i="3"/>
  <c r="X22" i="3"/>
  <c r="M15" i="3"/>
  <c r="R15" i="3"/>
  <c r="S15" i="3"/>
  <c r="U15" i="3"/>
  <c r="V15" i="3"/>
  <c r="X15" i="3"/>
  <c r="M18" i="3"/>
  <c r="S18" i="3"/>
  <c r="U18" i="3"/>
  <c r="AC18" i="3" s="1"/>
  <c r="V18" i="3"/>
  <c r="X18" i="3"/>
  <c r="M12" i="3"/>
  <c r="R12" i="3"/>
  <c r="S12" i="3"/>
  <c r="U12" i="3"/>
  <c r="AC12" i="3" s="1"/>
  <c r="V12" i="3"/>
  <c r="X12" i="3"/>
  <c r="M13" i="3"/>
  <c r="R13" i="3"/>
  <c r="U13" i="3"/>
  <c r="T13" i="3" s="1"/>
  <c r="V13" i="3"/>
  <c r="X13" i="3"/>
  <c r="M23" i="3"/>
  <c r="S23" i="3"/>
  <c r="U23" i="3"/>
  <c r="AC23" i="3" s="1"/>
  <c r="V23" i="3"/>
  <c r="X23" i="3"/>
  <c r="M19" i="3"/>
  <c r="S19" i="3"/>
  <c r="U19" i="3"/>
  <c r="AC19" i="3" s="1"/>
  <c r="V19" i="3"/>
  <c r="X19" i="3"/>
  <c r="M17" i="3"/>
  <c r="R17" i="3"/>
  <c r="U17" i="3"/>
  <c r="T17" i="3" s="1"/>
  <c r="V17" i="3"/>
  <c r="X17" i="3"/>
  <c r="M20" i="3"/>
  <c r="R20" i="3"/>
  <c r="S20" i="3"/>
  <c r="U20" i="3"/>
  <c r="V20" i="3"/>
  <c r="X20" i="3"/>
  <c r="M11" i="3"/>
  <c r="S11" i="3"/>
  <c r="U11" i="3"/>
  <c r="AC11" i="3" s="1"/>
  <c r="V11" i="3"/>
  <c r="X11" i="3"/>
  <c r="M24" i="3"/>
  <c r="S24" i="3"/>
  <c r="U24" i="3"/>
  <c r="AC24" i="3" s="1"/>
  <c r="V24" i="3"/>
  <c r="X24" i="3"/>
  <c r="M21" i="3"/>
  <c r="R21" i="3"/>
  <c r="U21" i="3"/>
  <c r="T21" i="3" s="1"/>
  <c r="V21" i="3"/>
  <c r="X21" i="3"/>
  <c r="M9" i="3"/>
  <c r="U9" i="3"/>
  <c r="AC9" i="3" s="1"/>
  <c r="V9" i="3"/>
  <c r="X9" i="3"/>
  <c r="M16" i="3"/>
  <c r="R16" i="3"/>
  <c r="S16" i="3"/>
  <c r="U16" i="3"/>
  <c r="AC16" i="3" s="1"/>
  <c r="V16" i="3"/>
  <c r="X16" i="3"/>
  <c r="M14" i="3"/>
  <c r="U14" i="3"/>
  <c r="T14" i="3" s="1"/>
  <c r="V14" i="3"/>
  <c r="X14" i="3"/>
  <c r="M8" i="3"/>
  <c r="R8" i="3"/>
  <c r="U8" i="3"/>
  <c r="T8" i="3" s="1"/>
  <c r="V8" i="3"/>
  <c r="X8" i="3"/>
  <c r="M7" i="3"/>
  <c r="U7" i="3"/>
  <c r="AC7" i="3" s="1"/>
  <c r="V7" i="3"/>
  <c r="X7" i="3"/>
  <c r="AG197" i="1"/>
  <c r="AG193" i="1"/>
  <c r="AG179" i="1"/>
  <c r="AG23" i="1"/>
  <c r="AG56" i="1"/>
  <c r="AG71" i="1"/>
  <c r="AG79" i="1"/>
  <c r="AG87" i="1"/>
  <c r="AG95" i="1"/>
  <c r="AG167" i="1"/>
  <c r="AG175" i="1"/>
  <c r="AG191" i="1"/>
  <c r="AG15" i="1"/>
  <c r="AG19" i="1"/>
  <c r="AG24" i="1"/>
  <c r="AG28" i="1"/>
  <c r="AG32" i="1"/>
  <c r="AG36" i="1"/>
  <c r="AG40" i="1"/>
  <c r="AG44" i="1"/>
  <c r="AG48" i="1"/>
  <c r="AG51" i="1"/>
  <c r="AG55" i="1"/>
  <c r="AG59" i="1"/>
  <c r="AG63" i="1"/>
  <c r="AG70" i="1"/>
  <c r="AG74" i="1"/>
  <c r="AG78" i="1"/>
  <c r="AG82" i="1"/>
  <c r="AG86" i="1"/>
  <c r="AG90" i="1"/>
  <c r="AG94" i="1"/>
  <c r="AG162" i="1"/>
  <c r="AG166" i="1"/>
  <c r="AG66" i="1"/>
  <c r="AG97" i="1"/>
  <c r="AG174" i="1"/>
  <c r="AG98" i="1"/>
  <c r="AG189" i="1"/>
  <c r="AG100" i="1"/>
  <c r="AG211" i="1"/>
  <c r="AG182" i="1"/>
  <c r="AG190" i="1"/>
  <c r="AG101" i="1"/>
  <c r="AG121" i="1"/>
  <c r="AG111" i="1"/>
  <c r="AG134" i="1"/>
  <c r="AG142" i="1"/>
  <c r="AG150" i="1"/>
  <c r="AG160" i="1"/>
  <c r="AG208" i="1"/>
  <c r="AG218" i="1"/>
  <c r="AG107" i="1"/>
  <c r="AG123" i="1"/>
  <c r="AG127" i="1"/>
  <c r="AG147" i="1"/>
  <c r="AG159" i="1"/>
  <c r="AG213" i="1"/>
  <c r="AG108" i="1"/>
  <c r="AG124" i="1"/>
  <c r="AG137" i="1"/>
  <c r="AG153" i="1"/>
  <c r="AG205" i="1"/>
  <c r="AG219" i="1"/>
  <c r="AG16" i="1"/>
  <c r="AG20" i="1"/>
  <c r="AG25" i="1"/>
  <c r="AG29" i="1"/>
  <c r="AG33" i="1"/>
  <c r="AG37" i="1"/>
  <c r="AG41" i="1"/>
  <c r="AG45" i="1"/>
  <c r="AG49" i="1"/>
  <c r="AG52" i="1"/>
  <c r="AG60" i="1"/>
  <c r="AG64" i="1"/>
  <c r="AG75" i="1"/>
  <c r="AG83" i="1"/>
  <c r="AG91" i="1"/>
  <c r="AG163" i="1"/>
  <c r="AG67" i="1"/>
  <c r="AG171" i="1"/>
  <c r="AG183" i="1"/>
  <c r="AG21" i="1"/>
  <c r="AG30" i="1"/>
  <c r="AG38" i="1"/>
  <c r="AG46" i="1"/>
  <c r="AG53" i="1"/>
  <c r="AG61" i="1"/>
  <c r="AG72" i="1"/>
  <c r="AG88" i="1"/>
  <c r="AG96" i="1"/>
  <c r="AG168" i="1"/>
  <c r="AG172" i="1"/>
  <c r="AG185" i="1"/>
  <c r="AG102" i="1"/>
  <c r="AG178" i="1"/>
  <c r="AG188" i="1"/>
  <c r="AG112" i="1"/>
  <c r="AG129" i="1"/>
  <c r="AG126" i="1"/>
  <c r="AG144" i="1"/>
  <c r="AG154" i="1"/>
  <c r="AG204" i="1"/>
  <c r="AG221" i="1"/>
  <c r="AG115" i="1"/>
  <c r="AG210" i="1"/>
  <c r="AG105" i="1"/>
  <c r="AG125" i="1"/>
  <c r="AG145" i="1"/>
  <c r="AG202" i="1"/>
  <c r="AG223" i="1"/>
  <c r="AG14" i="1"/>
  <c r="AG22" i="1"/>
  <c r="AG31" i="1"/>
  <c r="AG39" i="1"/>
  <c r="AG47" i="1"/>
  <c r="AG54" i="1"/>
  <c r="AG62" i="1"/>
  <c r="AG73" i="1"/>
  <c r="AG81" i="1"/>
  <c r="AG89" i="1"/>
  <c r="AG161" i="1"/>
  <c r="AG65" i="1"/>
  <c r="AG173" i="1"/>
  <c r="AG187" i="1"/>
  <c r="AG104" i="1"/>
  <c r="AG181" i="1"/>
  <c r="AG99" i="1"/>
  <c r="AG113" i="1"/>
  <c r="AG110" i="1"/>
  <c r="AG136" i="1"/>
  <c r="AG146" i="1"/>
  <c r="AG156" i="1"/>
  <c r="AG212" i="1"/>
  <c r="AG222" i="1"/>
  <c r="AG122" i="1"/>
  <c r="AG135" i="1"/>
  <c r="AG155" i="1"/>
  <c r="AG207" i="1"/>
  <c r="AG109" i="1"/>
  <c r="AG132" i="1"/>
  <c r="AG149" i="1"/>
  <c r="AG206" i="1"/>
  <c r="AG17" i="1"/>
  <c r="AG26" i="1"/>
  <c r="AG34" i="1"/>
  <c r="AG42" i="1"/>
  <c r="AG57" i="1"/>
  <c r="AG68" i="1"/>
  <c r="AG76" i="1"/>
  <c r="AG84" i="1"/>
  <c r="AG92" i="1"/>
  <c r="AG164" i="1"/>
  <c r="AG169" i="1"/>
  <c r="AG177" i="1"/>
  <c r="AG192" i="1"/>
  <c r="AG106" i="1"/>
  <c r="AG184" i="1"/>
  <c r="AG194" i="1"/>
  <c r="AG120" i="1"/>
  <c r="AG118" i="1"/>
  <c r="AG138" i="1"/>
  <c r="AG148" i="1"/>
  <c r="AG200" i="1"/>
  <c r="AG214" i="1"/>
  <c r="AG103" i="1"/>
  <c r="AG130" i="1"/>
  <c r="AG139" i="1"/>
  <c r="AG158" i="1"/>
  <c r="AG217" i="1"/>
  <c r="AG116" i="1"/>
  <c r="AG133" i="1"/>
  <c r="AG157" i="1"/>
  <c r="AG209" i="1"/>
  <c r="AG151" i="1"/>
  <c r="AG203" i="1"/>
  <c r="AG18" i="1"/>
  <c r="AG27" i="1"/>
  <c r="AG35" i="1"/>
  <c r="AG43" i="1"/>
  <c r="AG50" i="1"/>
  <c r="AG58" i="1"/>
  <c r="AG69" i="1"/>
  <c r="AG77" i="1"/>
  <c r="AG85" i="1"/>
  <c r="AG93" i="1"/>
  <c r="AG165" i="1"/>
  <c r="AG170" i="1"/>
  <c r="AG180" i="1"/>
  <c r="AG195" i="1"/>
  <c r="AG176" i="1"/>
  <c r="AG186" i="1"/>
  <c r="AG196" i="1"/>
  <c r="AG128" i="1"/>
  <c r="AG119" i="1"/>
  <c r="AG140" i="1"/>
  <c r="AG152" i="1"/>
  <c r="AG201" i="1"/>
  <c r="AG216" i="1"/>
  <c r="AG114" i="1"/>
  <c r="AG131" i="1"/>
  <c r="AG143" i="1"/>
  <c r="AG199" i="1"/>
  <c r="AG220" i="1"/>
  <c r="AG117" i="1"/>
  <c r="AG141" i="1"/>
  <c r="AG198" i="1"/>
  <c r="AG215" i="1"/>
  <c r="AG80" i="1"/>
  <c r="W15" i="3"/>
  <c r="W18" i="3"/>
  <c r="W9" i="3"/>
  <c r="W13" i="3"/>
  <c r="W12" i="3"/>
  <c r="W28" i="3"/>
  <c r="W14" i="3"/>
  <c r="W8" i="3"/>
  <c r="W23" i="3"/>
  <c r="W7" i="3"/>
  <c r="W17" i="3"/>
  <c r="W19" i="3"/>
  <c r="W22" i="3"/>
  <c r="W26" i="3"/>
  <c r="W27" i="3"/>
  <c r="W20" i="3"/>
  <c r="W10" i="3"/>
  <c r="W11" i="3"/>
  <c r="W16" i="3"/>
  <c r="W29" i="3"/>
  <c r="W24" i="3"/>
  <c r="W21" i="3"/>
  <c r="U197" i="1" l="1"/>
  <c r="S197" i="1" s="1"/>
  <c r="AI197" i="1"/>
  <c r="W197" i="1"/>
  <c r="X197" i="1"/>
  <c r="AI193" i="1"/>
  <c r="U193" i="1"/>
  <c r="S193" i="1" s="1"/>
  <c r="W193" i="1"/>
  <c r="X193" i="1"/>
  <c r="AI179" i="1"/>
  <c r="U179" i="1"/>
  <c r="S179" i="1" s="1"/>
  <c r="W179" i="1"/>
  <c r="AE27" i="3"/>
  <c r="X25" i="1"/>
  <c r="X219" i="1"/>
  <c r="X205" i="1"/>
  <c r="X156" i="1"/>
  <c r="X152" i="1"/>
  <c r="AA115" i="1"/>
  <c r="AA110" i="1"/>
  <c r="AA172" i="1"/>
  <c r="AA169" i="1"/>
  <c r="AA92" i="1"/>
  <c r="AA68" i="1"/>
  <c r="X67" i="1"/>
  <c r="AA59" i="1"/>
  <c r="AA39" i="1"/>
  <c r="X35" i="1"/>
  <c r="AA30" i="1"/>
  <c r="AA26" i="1"/>
  <c r="AA173" i="1"/>
  <c r="AA170" i="1"/>
  <c r="AA166" i="1"/>
  <c r="AA162" i="1"/>
  <c r="AA96" i="1"/>
  <c r="X91" i="1"/>
  <c r="X88" i="1"/>
  <c r="X86" i="1"/>
  <c r="X84" i="1"/>
  <c r="X82" i="1"/>
  <c r="X80" i="1"/>
  <c r="X78" i="1"/>
  <c r="X76" i="1"/>
  <c r="X74" i="1"/>
  <c r="X72" i="1"/>
  <c r="AA43" i="1"/>
  <c r="AA22" i="1"/>
  <c r="AC27" i="3"/>
  <c r="AC26" i="3"/>
  <c r="X221" i="1"/>
  <c r="X217" i="1"/>
  <c r="X213" i="1"/>
  <c r="X207" i="1"/>
  <c r="X203" i="1"/>
  <c r="X199" i="1"/>
  <c r="X158" i="1"/>
  <c r="X154" i="1"/>
  <c r="AA137" i="1"/>
  <c r="AA136" i="1"/>
  <c r="AA135" i="1"/>
  <c r="AA121" i="1"/>
  <c r="AA175" i="1"/>
  <c r="AA97" i="1"/>
  <c r="AA167" i="1"/>
  <c r="AA163" i="1"/>
  <c r="X95" i="1"/>
  <c r="AA70" i="1"/>
  <c r="AA34" i="1"/>
  <c r="AI23" i="1"/>
  <c r="U23" i="1"/>
  <c r="S23" i="1" s="1"/>
  <c r="W23" i="1"/>
  <c r="X23" i="1"/>
  <c r="R27" i="3"/>
  <c r="X215" i="1"/>
  <c r="AA214" i="1"/>
  <c r="X208" i="1"/>
  <c r="AA208" i="1"/>
  <c r="X160" i="1"/>
  <c r="X159" i="1"/>
  <c r="AA159" i="1"/>
  <c r="T220" i="1"/>
  <c r="T217" i="1"/>
  <c r="T216" i="1"/>
  <c r="T213" i="1"/>
  <c r="T212" i="1"/>
  <c r="T207" i="1"/>
  <c r="T206" i="1"/>
  <c r="T203" i="1"/>
  <c r="T202" i="1"/>
  <c r="T199" i="1"/>
  <c r="T198" i="1"/>
  <c r="T158" i="1"/>
  <c r="T157" i="1"/>
  <c r="T154" i="1"/>
  <c r="T153" i="1"/>
  <c r="AA174" i="1"/>
  <c r="AA168" i="1"/>
  <c r="X166" i="1"/>
  <c r="X68" i="1"/>
  <c r="AA57" i="1"/>
  <c r="AA35" i="1"/>
  <c r="AA31" i="1"/>
  <c r="AA29" i="1"/>
  <c r="AA28" i="1"/>
  <c r="AA21" i="1"/>
  <c r="AA17" i="1"/>
  <c r="X222" i="1"/>
  <c r="X209" i="1"/>
  <c r="X201" i="1"/>
  <c r="X200" i="1"/>
  <c r="AA200" i="1"/>
  <c r="T221" i="1"/>
  <c r="T219" i="1"/>
  <c r="U219" i="1" s="1"/>
  <c r="S219" i="1" s="1"/>
  <c r="T205" i="1"/>
  <c r="T156" i="1"/>
  <c r="T152" i="1"/>
  <c r="AA150" i="1"/>
  <c r="AA149" i="1"/>
  <c r="AA148" i="1"/>
  <c r="AA146" i="1"/>
  <c r="AA145" i="1"/>
  <c r="AA144" i="1"/>
  <c r="AA143" i="1"/>
  <c r="X139" i="1"/>
  <c r="X135" i="1"/>
  <c r="AA125" i="1"/>
  <c r="AA124" i="1"/>
  <c r="AA118" i="1"/>
  <c r="AA114" i="1"/>
  <c r="T165" i="1"/>
  <c r="X162" i="1"/>
  <c r="AA94" i="1"/>
  <c r="AA93" i="1"/>
  <c r="AA90" i="1"/>
  <c r="AA89" i="1"/>
  <c r="AA87" i="1"/>
  <c r="AA85" i="1"/>
  <c r="AA83" i="1"/>
  <c r="AA81" i="1"/>
  <c r="X70" i="1"/>
  <c r="AA66" i="1"/>
  <c r="X65" i="1"/>
  <c r="X63" i="1"/>
  <c r="AA53" i="1"/>
  <c r="AA52" i="1"/>
  <c r="AA49" i="1"/>
  <c r="AA48" i="1"/>
  <c r="AA46" i="1"/>
  <c r="AA45" i="1"/>
  <c r="X45" i="1"/>
  <c r="AA41" i="1"/>
  <c r="AA40" i="1"/>
  <c r="AA38" i="1"/>
  <c r="AA37" i="1"/>
  <c r="X37" i="1"/>
  <c r="AA33" i="1"/>
  <c r="AA18" i="1"/>
  <c r="AA54" i="1"/>
  <c r="AA24" i="1"/>
  <c r="AA19" i="1"/>
  <c r="AA15" i="1"/>
  <c r="AA218" i="1"/>
  <c r="X204" i="1"/>
  <c r="AA204" i="1"/>
  <c r="X155" i="1"/>
  <c r="AA155" i="1"/>
  <c r="X148" i="1"/>
  <c r="X143" i="1"/>
  <c r="AA116" i="1"/>
  <c r="AA111" i="1"/>
  <c r="AA27" i="1"/>
  <c r="AA25" i="1"/>
  <c r="AA20" i="1"/>
  <c r="AA16" i="1"/>
  <c r="AA221" i="1"/>
  <c r="X218" i="1"/>
  <c r="T218" i="1"/>
  <c r="X214" i="1"/>
  <c r="T214" i="1"/>
  <c r="AA223" i="1"/>
  <c r="AA219" i="1"/>
  <c r="AA215" i="1"/>
  <c r="AA209" i="1"/>
  <c r="T208" i="1"/>
  <c r="AA205" i="1"/>
  <c r="T204" i="1"/>
  <c r="AA201" i="1"/>
  <c r="T200" i="1"/>
  <c r="AA160" i="1"/>
  <c r="T159" i="1"/>
  <c r="AA156" i="1"/>
  <c r="T155" i="1"/>
  <c r="AA152" i="1"/>
  <c r="AA151" i="1"/>
  <c r="X149" i="1"/>
  <c r="AA147" i="1"/>
  <c r="X145" i="1"/>
  <c r="T144" i="1"/>
  <c r="X144" i="1"/>
  <c r="AA141" i="1"/>
  <c r="X138" i="1"/>
  <c r="X137" i="1"/>
  <c r="T136" i="1"/>
  <c r="X136" i="1"/>
  <c r="AA113" i="1"/>
  <c r="AA217" i="1"/>
  <c r="AA213" i="1"/>
  <c r="AA207" i="1"/>
  <c r="AA203" i="1"/>
  <c r="AA199" i="1"/>
  <c r="AA158" i="1"/>
  <c r="AA154" i="1"/>
  <c r="X151" i="1"/>
  <c r="X147" i="1"/>
  <c r="X142" i="1"/>
  <c r="X141" i="1"/>
  <c r="T140" i="1"/>
  <c r="X140" i="1"/>
  <c r="AA119" i="1"/>
  <c r="AA220" i="1"/>
  <c r="AA216" i="1"/>
  <c r="AA212" i="1"/>
  <c r="AA206" i="1"/>
  <c r="AA202" i="1"/>
  <c r="AA198" i="1"/>
  <c r="AA157" i="1"/>
  <c r="AA153" i="1"/>
  <c r="X150" i="1"/>
  <c r="X146" i="1"/>
  <c r="AA132" i="1"/>
  <c r="AA126" i="1"/>
  <c r="AA123" i="1"/>
  <c r="T166" i="1"/>
  <c r="T94" i="1"/>
  <c r="T90" i="1"/>
  <c r="AA65" i="1"/>
  <c r="T64" i="1"/>
  <c r="T62" i="1"/>
  <c r="AA44" i="1"/>
  <c r="AA36" i="1"/>
  <c r="AA142" i="1"/>
  <c r="AA138" i="1"/>
  <c r="AA134" i="1"/>
  <c r="AA127" i="1"/>
  <c r="AA109" i="1"/>
  <c r="AA108" i="1"/>
  <c r="AA210" i="1"/>
  <c r="AA103" i="1"/>
  <c r="AA101" i="1"/>
  <c r="AA196" i="1"/>
  <c r="AA194" i="1"/>
  <c r="AA99" i="1"/>
  <c r="AA190" i="1"/>
  <c r="AA188" i="1"/>
  <c r="AA186" i="1"/>
  <c r="AA184" i="1"/>
  <c r="AA182" i="1"/>
  <c r="AA181" i="1"/>
  <c r="AA178" i="1"/>
  <c r="AA176" i="1"/>
  <c r="X169" i="1"/>
  <c r="X168" i="1"/>
  <c r="X161" i="1"/>
  <c r="X93" i="1"/>
  <c r="X89" i="1"/>
  <c r="X87" i="1"/>
  <c r="X85" i="1"/>
  <c r="X83" i="1"/>
  <c r="X81" i="1"/>
  <c r="X79" i="1"/>
  <c r="X77" i="1"/>
  <c r="X75" i="1"/>
  <c r="X73" i="1"/>
  <c r="X71" i="1"/>
  <c r="X69" i="1"/>
  <c r="X60" i="1"/>
  <c r="X58" i="1"/>
  <c r="X56" i="1"/>
  <c r="X54" i="1"/>
  <c r="AA14" i="1"/>
  <c r="AA117" i="1"/>
  <c r="X167" i="1"/>
  <c r="X94" i="1"/>
  <c r="X90" i="1"/>
  <c r="AA67" i="1"/>
  <c r="X66" i="1"/>
  <c r="AA61" i="1"/>
  <c r="X59" i="1"/>
  <c r="X57" i="1"/>
  <c r="X55" i="1"/>
  <c r="T51" i="1"/>
  <c r="X164" i="1"/>
  <c r="T163" i="1"/>
  <c r="AI223" i="1"/>
  <c r="U223" i="1"/>
  <c r="S223" i="1" s="1"/>
  <c r="AI219" i="1"/>
  <c r="AI215" i="1"/>
  <c r="U215" i="1"/>
  <c r="S215" i="1" s="1"/>
  <c r="AI211" i="1"/>
  <c r="U209" i="1"/>
  <c r="S209" i="1" s="1"/>
  <c r="AI208" i="1"/>
  <c r="U206" i="1"/>
  <c r="S206" i="1" s="1"/>
  <c r="AI207" i="1"/>
  <c r="U205" i="1"/>
  <c r="S205" i="1" s="1"/>
  <c r="AI204" i="1"/>
  <c r="U202" i="1"/>
  <c r="S202" i="1" s="1"/>
  <c r="AI200" i="1"/>
  <c r="U198" i="1"/>
  <c r="S198" i="1" s="1"/>
  <c r="AI195" i="1"/>
  <c r="U157" i="1"/>
  <c r="S157" i="1" s="1"/>
  <c r="AI190" i="1"/>
  <c r="U153" i="1"/>
  <c r="S153" i="1" s="1"/>
  <c r="AI186" i="1"/>
  <c r="U149" i="1"/>
  <c r="S149" i="1" s="1"/>
  <c r="AI182" i="1"/>
  <c r="U145" i="1"/>
  <c r="S145" i="1" s="1"/>
  <c r="AI177" i="1"/>
  <c r="U141" i="1"/>
  <c r="S141" i="1" s="1"/>
  <c r="AI173" i="1"/>
  <c r="U137" i="1"/>
  <c r="S137" i="1" s="1"/>
  <c r="AI169" i="1"/>
  <c r="AI168" i="1"/>
  <c r="AI161" i="1"/>
  <c r="AI160" i="1"/>
  <c r="AI153" i="1"/>
  <c r="AI152" i="1"/>
  <c r="AI145" i="1"/>
  <c r="AI144" i="1"/>
  <c r="AI139" i="1"/>
  <c r="AI220" i="1"/>
  <c r="U220" i="1"/>
  <c r="S220" i="1" s="1"/>
  <c r="AI217" i="1"/>
  <c r="U217" i="1"/>
  <c r="S217" i="1" s="1"/>
  <c r="AI213" i="1"/>
  <c r="U213" i="1"/>
  <c r="S213" i="1" s="1"/>
  <c r="AI209" i="1"/>
  <c r="U207" i="1"/>
  <c r="S207" i="1" s="1"/>
  <c r="AI205" i="1"/>
  <c r="U203" i="1"/>
  <c r="S203" i="1" s="1"/>
  <c r="AI201" i="1"/>
  <c r="U199" i="1"/>
  <c r="S199" i="1" s="1"/>
  <c r="AI198" i="1"/>
  <c r="U159" i="1"/>
  <c r="S159" i="1" s="1"/>
  <c r="AI196" i="1"/>
  <c r="U158" i="1"/>
  <c r="S158" i="1" s="1"/>
  <c r="AI192" i="1"/>
  <c r="U155" i="1"/>
  <c r="S155" i="1" s="1"/>
  <c r="U151" i="1"/>
  <c r="S151" i="1" s="1"/>
  <c r="AI188" i="1"/>
  <c r="AI184" i="1"/>
  <c r="U147" i="1"/>
  <c r="S147" i="1" s="1"/>
  <c r="AI180" i="1"/>
  <c r="U143" i="1"/>
  <c r="S143" i="1" s="1"/>
  <c r="AI175" i="1"/>
  <c r="U139" i="1"/>
  <c r="S139" i="1" s="1"/>
  <c r="AI171" i="1"/>
  <c r="U135" i="1"/>
  <c r="S135" i="1" s="1"/>
  <c r="AI163" i="1"/>
  <c r="AI141" i="1"/>
  <c r="AI167" i="1"/>
  <c r="AI166" i="1"/>
  <c r="AI159" i="1"/>
  <c r="AI158" i="1"/>
  <c r="AI151" i="1"/>
  <c r="AI150" i="1"/>
  <c r="AI143" i="1"/>
  <c r="AI137" i="1"/>
  <c r="AI222" i="1"/>
  <c r="U222" i="1"/>
  <c r="S222" i="1" s="1"/>
  <c r="U221" i="1"/>
  <c r="S221" i="1" s="1"/>
  <c r="AI221" i="1"/>
  <c r="U218" i="1"/>
  <c r="S218" i="1" s="1"/>
  <c r="AI218" i="1"/>
  <c r="AI216" i="1"/>
  <c r="U216" i="1"/>
  <c r="S216" i="1" s="1"/>
  <c r="U214" i="1"/>
  <c r="S214" i="1" s="1"/>
  <c r="AI214" i="1"/>
  <c r="U212" i="1"/>
  <c r="S212" i="1" s="1"/>
  <c r="AI212" i="1"/>
  <c r="U208" i="1"/>
  <c r="S208" i="1" s="1"/>
  <c r="AI210" i="1"/>
  <c r="U204" i="1"/>
  <c r="S204" i="1" s="1"/>
  <c r="AI206" i="1"/>
  <c r="AI203" i="1"/>
  <c r="U201" i="1"/>
  <c r="S201" i="1" s="1"/>
  <c r="U200" i="1"/>
  <c r="S200" i="1" s="1"/>
  <c r="AI202" i="1"/>
  <c r="U160" i="1"/>
  <c r="S160" i="1" s="1"/>
  <c r="AI199" i="1"/>
  <c r="U156" i="1"/>
  <c r="S156" i="1" s="1"/>
  <c r="AI194" i="1"/>
  <c r="U154" i="1"/>
  <c r="S154" i="1" s="1"/>
  <c r="AI191" i="1"/>
  <c r="U152" i="1"/>
  <c r="S152" i="1" s="1"/>
  <c r="AI189" i="1"/>
  <c r="AI187" i="1"/>
  <c r="U150" i="1"/>
  <c r="S150" i="1" s="1"/>
  <c r="AI185" i="1"/>
  <c r="U148" i="1"/>
  <c r="S148" i="1" s="1"/>
  <c r="AI183" i="1"/>
  <c r="U146" i="1"/>
  <c r="S146" i="1" s="1"/>
  <c r="AI181" i="1"/>
  <c r="U144" i="1"/>
  <c r="S144" i="1" s="1"/>
  <c r="AI178" i="1"/>
  <c r="U142" i="1"/>
  <c r="S142" i="1" s="1"/>
  <c r="AI176" i="1"/>
  <c r="U140" i="1"/>
  <c r="S140" i="1" s="1"/>
  <c r="AI174" i="1"/>
  <c r="U138" i="1"/>
  <c r="S138" i="1" s="1"/>
  <c r="AI172" i="1"/>
  <c r="U136" i="1"/>
  <c r="S136" i="1" s="1"/>
  <c r="AI170" i="1"/>
  <c r="AI162" i="1"/>
  <c r="AI155" i="1"/>
  <c r="AI154" i="1"/>
  <c r="AI147" i="1"/>
  <c r="AI146" i="1"/>
  <c r="AI165" i="1"/>
  <c r="AI164" i="1"/>
  <c r="W128" i="1"/>
  <c r="AI157" i="1"/>
  <c r="W120" i="1"/>
  <c r="AI156" i="1"/>
  <c r="AI149" i="1"/>
  <c r="W112" i="1"/>
  <c r="AI148" i="1"/>
  <c r="AI135" i="1"/>
  <c r="AI133" i="1"/>
  <c r="AI131" i="1"/>
  <c r="AI129" i="1"/>
  <c r="AI127" i="1"/>
  <c r="AI125" i="1"/>
  <c r="AI123" i="1"/>
  <c r="AI121" i="1"/>
  <c r="AI119" i="1"/>
  <c r="AI117" i="1"/>
  <c r="AI115" i="1"/>
  <c r="AI113" i="1"/>
  <c r="AI142" i="1"/>
  <c r="W211" i="1"/>
  <c r="AI140" i="1"/>
  <c r="AI138" i="1"/>
  <c r="W104" i="1"/>
  <c r="AI136" i="1"/>
  <c r="W102" i="1"/>
  <c r="AI134" i="1"/>
  <c r="W100" i="1"/>
  <c r="AI132" i="1"/>
  <c r="W195" i="1"/>
  <c r="AI130" i="1"/>
  <c r="W192" i="1"/>
  <c r="AI128" i="1"/>
  <c r="W191" i="1"/>
  <c r="AI126" i="1"/>
  <c r="W189" i="1"/>
  <c r="AI124" i="1"/>
  <c r="W187" i="1"/>
  <c r="AI122" i="1"/>
  <c r="W185" i="1"/>
  <c r="AI120" i="1"/>
  <c r="W183" i="1"/>
  <c r="AI118" i="1"/>
  <c r="W98" i="1"/>
  <c r="AI116" i="1"/>
  <c r="W180" i="1"/>
  <c r="AI114" i="1"/>
  <c r="W177" i="1"/>
  <c r="AI112" i="1"/>
  <c r="AI111" i="1"/>
  <c r="AI110" i="1"/>
  <c r="U172" i="1"/>
  <c r="S172" i="1" s="1"/>
  <c r="AI109" i="1"/>
  <c r="U171" i="1"/>
  <c r="S171" i="1" s="1"/>
  <c r="AI108" i="1"/>
  <c r="U97" i="1"/>
  <c r="S97" i="1" s="1"/>
  <c r="AI107" i="1"/>
  <c r="W97" i="1"/>
  <c r="U170" i="1"/>
  <c r="S170" i="1" s="1"/>
  <c r="AI106" i="1"/>
  <c r="W170" i="1"/>
  <c r="U169" i="1"/>
  <c r="S169" i="1" s="1"/>
  <c r="AI105" i="1"/>
  <c r="AI67" i="1"/>
  <c r="AI66" i="1"/>
  <c r="AI65" i="1"/>
  <c r="U168" i="1"/>
  <c r="S168" i="1" s="1"/>
  <c r="AI104" i="1"/>
  <c r="U167" i="1"/>
  <c r="S167" i="1" s="1"/>
  <c r="AI103" i="1"/>
  <c r="W167" i="1"/>
  <c r="U166" i="1"/>
  <c r="S166" i="1" s="1"/>
  <c r="AI102" i="1"/>
  <c r="U165" i="1"/>
  <c r="S165" i="1" s="1"/>
  <c r="AI101" i="1"/>
  <c r="U164" i="1"/>
  <c r="S164" i="1" s="1"/>
  <c r="AI100" i="1"/>
  <c r="U163" i="1"/>
  <c r="S163" i="1" s="1"/>
  <c r="AI99" i="1"/>
  <c r="W163" i="1"/>
  <c r="U162" i="1"/>
  <c r="S162" i="1" s="1"/>
  <c r="AI98" i="1"/>
  <c r="AI97" i="1"/>
  <c r="U96" i="1"/>
  <c r="S96" i="1" s="1"/>
  <c r="AI96" i="1"/>
  <c r="U95" i="1"/>
  <c r="S95" i="1" s="1"/>
  <c r="AI95" i="1"/>
  <c r="U94" i="1"/>
  <c r="S94" i="1" s="1"/>
  <c r="AI94" i="1"/>
  <c r="U93" i="1"/>
  <c r="S93" i="1" s="1"/>
  <c r="AI93" i="1"/>
  <c r="U92" i="1"/>
  <c r="S92" i="1" s="1"/>
  <c r="AI92" i="1"/>
  <c r="U91" i="1"/>
  <c r="S91" i="1" s="1"/>
  <c r="AI91" i="1"/>
  <c r="U90" i="1"/>
  <c r="S90" i="1" s="1"/>
  <c r="AI90" i="1"/>
  <c r="U89" i="1"/>
  <c r="S89" i="1" s="1"/>
  <c r="AI89" i="1"/>
  <c r="U88" i="1"/>
  <c r="S88" i="1" s="1"/>
  <c r="AI88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U80" i="1"/>
  <c r="S80" i="1" s="1"/>
  <c r="AI80" i="1"/>
  <c r="U79" i="1"/>
  <c r="S79" i="1" s="1"/>
  <c r="AI79" i="1"/>
  <c r="U78" i="1"/>
  <c r="S78" i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U71" i="1"/>
  <c r="S71" i="1" s="1"/>
  <c r="AI71" i="1"/>
  <c r="U70" i="1"/>
  <c r="S70" i="1" s="1"/>
  <c r="AI70" i="1"/>
  <c r="U69" i="1"/>
  <c r="S69" i="1" s="1"/>
  <c r="AI69" i="1"/>
  <c r="U68" i="1"/>
  <c r="AI68" i="1"/>
  <c r="U64" i="1"/>
  <c r="S64" i="1" s="1"/>
  <c r="AI64" i="1"/>
  <c r="AI63" i="1"/>
  <c r="W63" i="1"/>
  <c r="U62" i="1"/>
  <c r="S62" i="1" s="1"/>
  <c r="AI62" i="1"/>
  <c r="AI61" i="1"/>
  <c r="U60" i="1"/>
  <c r="S60" i="1" s="1"/>
  <c r="AI60" i="1"/>
  <c r="U59" i="1"/>
  <c r="S59" i="1" s="1"/>
  <c r="AI59" i="1"/>
  <c r="U58" i="1"/>
  <c r="S58" i="1" s="1"/>
  <c r="AI58" i="1"/>
  <c r="AI57" i="1"/>
  <c r="U56" i="1"/>
  <c r="S56" i="1" s="1"/>
  <c r="AI56" i="1"/>
  <c r="AI55" i="1"/>
  <c r="W55" i="1"/>
  <c r="U54" i="1"/>
  <c r="AI54" i="1"/>
  <c r="AI53" i="1"/>
  <c r="U52" i="1"/>
  <c r="S52" i="1" s="1"/>
  <c r="AI52" i="1"/>
  <c r="U51" i="1"/>
  <c r="AI51" i="1"/>
  <c r="U50" i="1"/>
  <c r="AI50" i="1"/>
  <c r="U49" i="1"/>
  <c r="S49" i="1" s="1"/>
  <c r="AI49" i="1"/>
  <c r="AI48" i="1"/>
  <c r="U47" i="1"/>
  <c r="S47" i="1" s="1"/>
  <c r="AI47" i="1"/>
  <c r="AI46" i="1"/>
  <c r="U45" i="1"/>
  <c r="S45" i="1" s="1"/>
  <c r="AI45" i="1"/>
  <c r="AI44" i="1"/>
  <c r="U43" i="1"/>
  <c r="AI43" i="1"/>
  <c r="AI42" i="1"/>
  <c r="W42" i="1"/>
  <c r="U41" i="1"/>
  <c r="S41" i="1" s="1"/>
  <c r="AI41" i="1"/>
  <c r="AI40" i="1"/>
  <c r="U39" i="1"/>
  <c r="S39" i="1" s="1"/>
  <c r="AI39" i="1"/>
  <c r="AI38" i="1"/>
  <c r="U37" i="1"/>
  <c r="S37" i="1" s="1"/>
  <c r="AI37" i="1"/>
  <c r="AI36" i="1"/>
  <c r="U35" i="1"/>
  <c r="S35" i="1" s="1"/>
  <c r="AI35" i="1"/>
  <c r="AI34" i="1"/>
  <c r="W34" i="1"/>
  <c r="AI33" i="1"/>
  <c r="W33" i="1"/>
  <c r="AI32" i="1"/>
  <c r="W32" i="1"/>
  <c r="AI31" i="1"/>
  <c r="W31" i="1"/>
  <c r="AI30" i="1"/>
  <c r="W30" i="1"/>
  <c r="AI29" i="1"/>
  <c r="W29" i="1"/>
  <c r="AI28" i="1"/>
  <c r="W28" i="1"/>
  <c r="AI27" i="1"/>
  <c r="W27" i="1"/>
  <c r="AI26" i="1"/>
  <c r="W26" i="1"/>
  <c r="AI25" i="1"/>
  <c r="W25" i="1"/>
  <c r="AI24" i="1"/>
  <c r="AI22" i="1"/>
  <c r="AI21" i="1"/>
  <c r="AI20" i="1"/>
  <c r="AI19" i="1"/>
  <c r="AI18" i="1"/>
  <c r="AI17" i="1"/>
  <c r="AI16" i="1"/>
  <c r="AI15" i="1"/>
  <c r="AI14" i="1"/>
  <c r="W219" i="1"/>
  <c r="W215" i="1"/>
  <c r="W201" i="1"/>
  <c r="W152" i="1"/>
  <c r="W133" i="1"/>
  <c r="W126" i="1"/>
  <c r="W222" i="1"/>
  <c r="W218" i="1"/>
  <c r="W214" i="1"/>
  <c r="W208" i="1"/>
  <c r="W204" i="1"/>
  <c r="W200" i="1"/>
  <c r="W159" i="1"/>
  <c r="W155" i="1"/>
  <c r="W134" i="1"/>
  <c r="W127" i="1"/>
  <c r="W114" i="1"/>
  <c r="W109" i="1"/>
  <c r="W108" i="1"/>
  <c r="W209" i="1"/>
  <c r="W205" i="1"/>
  <c r="W160" i="1"/>
  <c r="W156" i="1"/>
  <c r="W132" i="1"/>
  <c r="W119" i="1"/>
  <c r="W106" i="1"/>
  <c r="W221" i="1"/>
  <c r="W203" i="1"/>
  <c r="W199" i="1"/>
  <c r="W158" i="1"/>
  <c r="W154" i="1"/>
  <c r="W122" i="1"/>
  <c r="W117" i="1"/>
  <c r="W116" i="1"/>
  <c r="W110" i="1"/>
  <c r="W93" i="1"/>
  <c r="W54" i="1"/>
  <c r="W223" i="1"/>
  <c r="W217" i="1"/>
  <c r="W213" i="1"/>
  <c r="W207" i="1"/>
  <c r="W220" i="1"/>
  <c r="W216" i="1"/>
  <c r="W212" i="1"/>
  <c r="W206" i="1"/>
  <c r="W202" i="1"/>
  <c r="W198" i="1"/>
  <c r="W157" i="1"/>
  <c r="W153" i="1"/>
  <c r="W130" i="1"/>
  <c r="W125" i="1"/>
  <c r="W124" i="1"/>
  <c r="W118" i="1"/>
  <c r="W111" i="1"/>
  <c r="T133" i="1"/>
  <c r="U133" i="1" s="1"/>
  <c r="S133" i="1" s="1"/>
  <c r="X133" i="1"/>
  <c r="W123" i="1"/>
  <c r="T109" i="1"/>
  <c r="U109" i="1" s="1"/>
  <c r="S109" i="1" s="1"/>
  <c r="X109" i="1"/>
  <c r="T105" i="1"/>
  <c r="U105" i="1" s="1"/>
  <c r="S105" i="1" s="1"/>
  <c r="X105" i="1"/>
  <c r="W103" i="1"/>
  <c r="W101" i="1"/>
  <c r="W182" i="1"/>
  <c r="T131" i="1"/>
  <c r="U131" i="1" s="1"/>
  <c r="S131" i="1" s="1"/>
  <c r="X131" i="1"/>
  <c r="W129" i="1"/>
  <c r="T123" i="1"/>
  <c r="U123" i="1" s="1"/>
  <c r="S123" i="1" s="1"/>
  <c r="X123" i="1"/>
  <c r="W121" i="1"/>
  <c r="T115" i="1"/>
  <c r="U115" i="1" s="1"/>
  <c r="S115" i="1" s="1"/>
  <c r="X115" i="1"/>
  <c r="W113" i="1"/>
  <c r="T107" i="1"/>
  <c r="U107" i="1" s="1"/>
  <c r="S107" i="1" s="1"/>
  <c r="X107" i="1"/>
  <c r="T103" i="1"/>
  <c r="U103" i="1" s="1"/>
  <c r="S103" i="1" s="1"/>
  <c r="X103" i="1"/>
  <c r="T101" i="1"/>
  <c r="U101" i="1" s="1"/>
  <c r="S101" i="1" s="1"/>
  <c r="X101" i="1"/>
  <c r="T194" i="1"/>
  <c r="U194" i="1" s="1"/>
  <c r="S194" i="1" s="1"/>
  <c r="T190" i="1"/>
  <c r="U190" i="1" s="1"/>
  <c r="S190" i="1" s="1"/>
  <c r="X190" i="1"/>
  <c r="T186" i="1"/>
  <c r="U186" i="1" s="1"/>
  <c r="S186" i="1" s="1"/>
  <c r="X186" i="1"/>
  <c r="T182" i="1"/>
  <c r="U182" i="1" s="1"/>
  <c r="S182" i="1" s="1"/>
  <c r="X182" i="1"/>
  <c r="T178" i="1"/>
  <c r="U178" i="1" s="1"/>
  <c r="S178" i="1" s="1"/>
  <c r="X178" i="1"/>
  <c r="W173" i="1"/>
  <c r="W169" i="1"/>
  <c r="W161" i="1"/>
  <c r="W95" i="1"/>
  <c r="W85" i="1"/>
  <c r="W81" i="1"/>
  <c r="W79" i="1"/>
  <c r="W77" i="1"/>
  <c r="W75" i="1"/>
  <c r="W73" i="1"/>
  <c r="W71" i="1"/>
  <c r="W69" i="1"/>
  <c r="W67" i="1"/>
  <c r="W53" i="1"/>
  <c r="W52" i="1"/>
  <c r="W38" i="1"/>
  <c r="T117" i="1"/>
  <c r="U117" i="1" s="1"/>
  <c r="S117" i="1" s="1"/>
  <c r="X117" i="1"/>
  <c r="W186" i="1"/>
  <c r="W174" i="1"/>
  <c r="W89" i="1"/>
  <c r="W87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T129" i="1"/>
  <c r="U129" i="1" s="1"/>
  <c r="S129" i="1" s="1"/>
  <c r="X129" i="1"/>
  <c r="T121" i="1"/>
  <c r="U121" i="1" s="1"/>
  <c r="S121" i="1" s="1"/>
  <c r="X121" i="1"/>
  <c r="T113" i="1"/>
  <c r="U113" i="1" s="1"/>
  <c r="S113" i="1" s="1"/>
  <c r="X113" i="1"/>
  <c r="W210" i="1"/>
  <c r="W196" i="1"/>
  <c r="W99" i="1"/>
  <c r="W188" i="1"/>
  <c r="W184" i="1"/>
  <c r="W181" i="1"/>
  <c r="W176" i="1"/>
  <c r="W172" i="1"/>
  <c r="W91" i="1"/>
  <c r="W131" i="1"/>
  <c r="T125" i="1"/>
  <c r="U125" i="1" s="1"/>
  <c r="S125" i="1" s="1"/>
  <c r="X125" i="1"/>
  <c r="W115" i="1"/>
  <c r="W107" i="1"/>
  <c r="W194" i="1"/>
  <c r="W190" i="1"/>
  <c r="W178" i="1"/>
  <c r="T127" i="1"/>
  <c r="U127" i="1" s="1"/>
  <c r="S127" i="1" s="1"/>
  <c r="X127" i="1"/>
  <c r="T119" i="1"/>
  <c r="U119" i="1" s="1"/>
  <c r="S119" i="1" s="1"/>
  <c r="X119" i="1"/>
  <c r="T111" i="1"/>
  <c r="U111" i="1" s="1"/>
  <c r="S111" i="1" s="1"/>
  <c r="X111" i="1"/>
  <c r="T210" i="1"/>
  <c r="U210" i="1" s="1"/>
  <c r="S210" i="1" s="1"/>
  <c r="X210" i="1"/>
  <c r="AA105" i="1"/>
  <c r="W105" i="1" s="1"/>
  <c r="T196" i="1"/>
  <c r="U196" i="1" s="1"/>
  <c r="S196" i="1" s="1"/>
  <c r="X196" i="1"/>
  <c r="T99" i="1"/>
  <c r="U99" i="1" s="1"/>
  <c r="S99" i="1" s="1"/>
  <c r="X99" i="1"/>
  <c r="T188" i="1"/>
  <c r="U188" i="1" s="1"/>
  <c r="S188" i="1" s="1"/>
  <c r="X188" i="1"/>
  <c r="T184" i="1"/>
  <c r="U184" i="1" s="1"/>
  <c r="S184" i="1" s="1"/>
  <c r="X184" i="1"/>
  <c r="T181" i="1"/>
  <c r="U181" i="1" s="1"/>
  <c r="S181" i="1" s="1"/>
  <c r="X181" i="1"/>
  <c r="T176" i="1"/>
  <c r="U176" i="1" s="1"/>
  <c r="X176" i="1"/>
  <c r="W175" i="1"/>
  <c r="W171" i="1"/>
  <c r="W165" i="1"/>
  <c r="W92" i="1"/>
  <c r="W84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W166" i="1"/>
  <c r="W162" i="1"/>
  <c r="W94" i="1"/>
  <c r="W88" i="1"/>
  <c r="W64" i="1"/>
  <c r="W62" i="1"/>
  <c r="W48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T211" i="1"/>
  <c r="U211" i="1" s="1"/>
  <c r="S211" i="1" s="1"/>
  <c r="X211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195" i="1"/>
  <c r="U195" i="1" s="1"/>
  <c r="S195" i="1" s="1"/>
  <c r="X195" i="1"/>
  <c r="T192" i="1"/>
  <c r="U192" i="1" s="1"/>
  <c r="S192" i="1" s="1"/>
  <c r="X192" i="1"/>
  <c r="T191" i="1"/>
  <c r="U191" i="1" s="1"/>
  <c r="S191" i="1" s="1"/>
  <c r="X191" i="1"/>
  <c r="T189" i="1"/>
  <c r="U189" i="1" s="1"/>
  <c r="S189" i="1" s="1"/>
  <c r="X189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98" i="1"/>
  <c r="U98" i="1" s="1"/>
  <c r="S98" i="1" s="1"/>
  <c r="X98" i="1"/>
  <c r="T180" i="1"/>
  <c r="U180" i="1" s="1"/>
  <c r="S180" i="1" s="1"/>
  <c r="T177" i="1"/>
  <c r="U177" i="1" s="1"/>
  <c r="S177" i="1" s="1"/>
  <c r="X177" i="1"/>
  <c r="W96" i="1"/>
  <c r="W82" i="1"/>
  <c r="W65" i="1"/>
  <c r="W168" i="1"/>
  <c r="W164" i="1"/>
  <c r="W90" i="1"/>
  <c r="W86" i="1"/>
  <c r="W83" i="1"/>
  <c r="W66" i="1"/>
  <c r="W44" i="1"/>
  <c r="W43" i="1"/>
  <c r="W61" i="1"/>
  <c r="W60" i="1"/>
  <c r="W51" i="1"/>
  <c r="W46" i="1"/>
  <c r="X38" i="1"/>
  <c r="T38" i="1"/>
  <c r="U38" i="1" s="1"/>
  <c r="S38" i="1" s="1"/>
  <c r="X39" i="1"/>
  <c r="T161" i="1"/>
  <c r="U161" i="1" s="1"/>
  <c r="S161" i="1" s="1"/>
  <c r="W80" i="1"/>
  <c r="W78" i="1"/>
  <c r="W76" i="1"/>
  <c r="W74" i="1"/>
  <c r="W72" i="1"/>
  <c r="W70" i="1"/>
  <c r="W68" i="1"/>
  <c r="W59" i="1"/>
  <c r="W57" i="1"/>
  <c r="W50" i="1"/>
  <c r="X46" i="1"/>
  <c r="T46" i="1"/>
  <c r="U46" i="1" s="1"/>
  <c r="S46" i="1" s="1"/>
  <c r="X47" i="1"/>
  <c r="X172" i="1"/>
  <c r="X171" i="1"/>
  <c r="X97" i="1"/>
  <c r="X170" i="1"/>
  <c r="W58" i="1"/>
  <c r="W56" i="1"/>
  <c r="W40" i="1"/>
  <c r="W36" i="1"/>
  <c r="W35" i="1"/>
  <c r="T67" i="1"/>
  <c r="U67" i="1" s="1"/>
  <c r="T66" i="1"/>
  <c r="U66" i="1" s="1"/>
  <c r="S66" i="1" s="1"/>
  <c r="T65" i="1"/>
  <c r="U65" i="1" s="1"/>
  <c r="S65" i="1" s="1"/>
  <c r="T57" i="1"/>
  <c r="U57" i="1" s="1"/>
  <c r="S57" i="1" s="1"/>
  <c r="X48" i="1"/>
  <c r="T48" i="1"/>
  <c r="U48" i="1" s="1"/>
  <c r="S48" i="1" s="1"/>
  <c r="W45" i="1"/>
  <c r="X40" i="1"/>
  <c r="T40" i="1"/>
  <c r="U40" i="1" s="1"/>
  <c r="S40" i="1" s="1"/>
  <c r="W37" i="1"/>
  <c r="T63" i="1"/>
  <c r="U63" i="1" s="1"/>
  <c r="S63" i="1" s="1"/>
  <c r="T55" i="1"/>
  <c r="U55" i="1" s="1"/>
  <c r="S55" i="1" s="1"/>
  <c r="W47" i="1"/>
  <c r="X42" i="1"/>
  <c r="T42" i="1"/>
  <c r="U42" i="1" s="1"/>
  <c r="S42" i="1" s="1"/>
  <c r="X41" i="1"/>
  <c r="W39" i="1"/>
  <c r="X34" i="1"/>
  <c r="T34" i="1"/>
  <c r="U34" i="1" s="1"/>
  <c r="S34" i="1" s="1"/>
  <c r="T61" i="1"/>
  <c r="U61" i="1" s="1"/>
  <c r="S61" i="1" s="1"/>
  <c r="T53" i="1"/>
  <c r="U53" i="1" s="1"/>
  <c r="S53" i="1" s="1"/>
  <c r="W49" i="1"/>
  <c r="X44" i="1"/>
  <c r="T44" i="1"/>
  <c r="U44" i="1" s="1"/>
  <c r="S44" i="1" s="1"/>
  <c r="W41" i="1"/>
  <c r="X36" i="1"/>
  <c r="T36" i="1"/>
  <c r="U36" i="1" s="1"/>
  <c r="S36" i="1" s="1"/>
  <c r="W24" i="1"/>
  <c r="W22" i="1"/>
  <c r="W21" i="1"/>
  <c r="W20" i="1"/>
  <c r="W19" i="1"/>
  <c r="W18" i="1"/>
  <c r="W17" i="1"/>
  <c r="W16" i="1"/>
  <c r="W15" i="1"/>
  <c r="W1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T24" i="1"/>
  <c r="U24" i="1" s="1"/>
  <c r="S24" i="1" s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D28" i="3"/>
  <c r="AC28" i="3"/>
  <c r="T16" i="3"/>
  <c r="AC13" i="3"/>
  <c r="AD17" i="3"/>
  <c r="AE11" i="3"/>
  <c r="AD24" i="3"/>
  <c r="AD23" i="3"/>
  <c r="AE22" i="3"/>
  <c r="T24" i="3"/>
  <c r="AC20" i="3"/>
  <c r="AE21" i="3"/>
  <c r="AD19" i="3"/>
  <c r="T12" i="3"/>
  <c r="AC15" i="3"/>
  <c r="AD16" i="3"/>
  <c r="AE15" i="3"/>
  <c r="AD13" i="3"/>
  <c r="AD9" i="3"/>
  <c r="AE19" i="3"/>
  <c r="AD12" i="3"/>
  <c r="AD8" i="3"/>
  <c r="AC8" i="3"/>
  <c r="AE28" i="3"/>
  <c r="AE23" i="3"/>
  <c r="AC17" i="3"/>
  <c r="AE16" i="3"/>
  <c r="AD15" i="3"/>
  <c r="AC14" i="3"/>
  <c r="AC21" i="3"/>
  <c r="AD21" i="3"/>
  <c r="T19" i="3"/>
  <c r="AC22" i="3"/>
  <c r="AD11" i="3"/>
  <c r="T29" i="3"/>
  <c r="Y14" i="3"/>
  <c r="Y21" i="3"/>
  <c r="Y22" i="3"/>
  <c r="Y28" i="3"/>
  <c r="Y24" i="3"/>
  <c r="Y19" i="3"/>
  <c r="Y12" i="3"/>
  <c r="Y29" i="3"/>
  <c r="Y17" i="3"/>
  <c r="Y13" i="3"/>
  <c r="Y26" i="3"/>
  <c r="Y16" i="3"/>
  <c r="Y7" i="3"/>
  <c r="Y9" i="3"/>
  <c r="Y11" i="3"/>
  <c r="Y23" i="3"/>
  <c r="Y18" i="3"/>
  <c r="Y10" i="3"/>
  <c r="Y8" i="3"/>
  <c r="Y20" i="3"/>
  <c r="Y15" i="3"/>
  <c r="Y27" i="3"/>
  <c r="AE29" i="3"/>
  <c r="T7" i="3"/>
  <c r="AE26" i="3"/>
  <c r="T9" i="3"/>
  <c r="AD22" i="3"/>
  <c r="T11" i="3"/>
  <c r="AE20" i="3"/>
  <c r="T23" i="3"/>
  <c r="AE18" i="3"/>
  <c r="T18" i="3"/>
  <c r="AE14" i="3"/>
  <c r="AE10" i="3"/>
  <c r="T10" i="3"/>
  <c r="AD27" i="3"/>
  <c r="AD29" i="3"/>
  <c r="AD26" i="3"/>
  <c r="AE24" i="3"/>
  <c r="T20" i="3"/>
  <c r="AD20" i="3"/>
  <c r="AD18" i="3"/>
  <c r="AE17" i="3"/>
  <c r="T15" i="3"/>
  <c r="AD14" i="3"/>
  <c r="AE13" i="3"/>
  <c r="AD10" i="3"/>
  <c r="AE9" i="3"/>
  <c r="T27" i="3"/>
  <c r="AE12" i="3"/>
  <c r="AE8" i="3"/>
  <c r="V13" i="1"/>
  <c r="R25" i="3"/>
  <c r="M25" i="3"/>
  <c r="U25" i="3"/>
  <c r="AD25" i="3" s="1"/>
  <c r="V25" i="3"/>
  <c r="X25" i="3"/>
  <c r="W25" i="3"/>
  <c r="S67" i="1" l="1"/>
  <c r="S50" i="1"/>
  <c r="AE25" i="3"/>
  <c r="S25" i="3"/>
  <c r="Y25" i="3"/>
  <c r="T25" i="3"/>
  <c r="AC25" i="3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10" i="3" s="1"/>
  <c r="G17" i="4"/>
  <c r="G18" i="4"/>
  <c r="G19" i="4"/>
  <c r="N29" i="3" s="1"/>
  <c r="G20" i="4"/>
  <c r="N28" i="3" s="1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22" i="3" s="1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N12" i="3" s="1"/>
  <c r="G66" i="4"/>
  <c r="G67" i="4"/>
  <c r="G68" i="4"/>
  <c r="G69" i="4"/>
  <c r="G70" i="4"/>
  <c r="N13" i="3" s="1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23" i="3" s="1"/>
  <c r="G94" i="4"/>
  <c r="N19" i="3" s="1"/>
  <c r="G95" i="4"/>
  <c r="N17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N20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N11" i="3" s="1"/>
  <c r="G137" i="4"/>
  <c r="G138" i="4"/>
  <c r="G139" i="4"/>
  <c r="N24" i="3" s="1"/>
  <c r="G140" i="4"/>
  <c r="G141" i="4"/>
  <c r="N21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9" i="3" s="1"/>
  <c r="G210" i="4"/>
  <c r="G211" i="4"/>
  <c r="G212" i="4"/>
  <c r="G213" i="4"/>
  <c r="G214" i="4"/>
  <c r="G215" i="4"/>
  <c r="N8" i="3" s="1"/>
  <c r="G216" i="4"/>
  <c r="G217" i="4"/>
  <c r="G218" i="4"/>
  <c r="G219" i="4"/>
  <c r="G220" i="4"/>
  <c r="G221" i="4"/>
  <c r="G222" i="4"/>
  <c r="N7" i="3" s="1"/>
  <c r="G223" i="4"/>
  <c r="G2" i="4"/>
  <c r="N16" i="3" l="1"/>
  <c r="N14" i="3"/>
  <c r="N26" i="3"/>
  <c r="N27" i="3"/>
  <c r="N18" i="3"/>
  <c r="N15" i="3"/>
  <c r="N2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<sst xmlns="http://schemas.openxmlformats.org/spreadsheetml/2006/main" count="2720" uniqueCount="1104">
  <si>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</si>
  <si>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</si>
  <si>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</si>
  <si>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</si>
  <si>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</si>
  <si>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</si>
  <si>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</si>
  <si>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</si>
  <si>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</si>
  <si>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</si>
  <si>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</si>
  <si>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</si>
  <si>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</si>
  <si>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</si>
  <si>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</si>
  <si>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</si>
  <si>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</si>
  <si>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</si>
  <si>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</si>
  <si>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</si>
  <si>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</si>
  <si>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</si>
  <si>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</si>
  <si>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</si>
  <si>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</si>
  <si>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</si>
  <si>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</si>
  <si>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</si>
  <si>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</si>
  <si>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</si>
  <si>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</si>
  <si>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</si>
  <si>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</si>
  <si>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</si>
  <si>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</si>
  <si>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</si>
  <si>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</si>
  <si>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</si>
  <si>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</si>
  <si>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</si>
  <si>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</si>
  <si>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</si>
  <si>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</si>
  <si>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</si>
  <si>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</si>
  <si>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</si>
  <si>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</si>
  <si>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</si>
  <si>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</si>
  <si>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</si>
  <si>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</si>
  <si>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</si>
  <si>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</si>
  <si>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</si>
  <si>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</si>
  <si>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</si>
  <si>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</si>
  <si>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</si>
  <si>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</si>
  <si>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</si>
  <si>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</si>
  <si>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</si>
  <si>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</si>
  <si>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</si>
  <si>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</si>
  <si>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</si>
  <si>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</si>
  <si>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</si>
  <si>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</si>
  <si>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</si>
  <si>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</si>
  <si>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</si>
  <si>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</si>
  <si>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</si>
  <si>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</si>
  <si>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</si>
  <si>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</si>
  <si>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</si>
  <si>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</si>
  <si>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</si>
  <si>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</si>
  <si>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</si>
  <si>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</si>
  <si>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</si>
  <si>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</si>
  <si>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</si>
  <si>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</si>
  <si>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</si>
  <si>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</si>
  <si>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</si>
  <si>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</si>
  <si>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</si>
  <si>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</si>
  <si>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</si>
  <si>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</si>
  <si>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</si>
  <si>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</si>
  <si>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</si>
  <si>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</si>
  <si>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</si>
  <si>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</si>
  <si>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</si>
  <si>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</si>
  <si>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</si>
  <si>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</si>
  <si>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</si>
  <si>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</si>
  <si>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</si>
  <si>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</si>
  <si>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</si>
  <si>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</si>
  <si>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</si>
  <si>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</si>
  <si>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</si>
  <si>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</si>
  <si>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</si>
  <si>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</si>
  <si>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</si>
  <si>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</si>
  <si>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</si>
  <si>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</si>
  <si>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</si>
  <si>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</si>
  <si>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</si>
  <si>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</si>
  <si>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</si>
  <si>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</si>
  <si>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</si>
  <si>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</si>
  <si>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</si>
  <si>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</si>
  <si>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</si>
  <si>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</si>
  <si>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</si>
  <si>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</si>
  <si>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</si>
  <si>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</si>
  <si>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</si>
  <si>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</si>
  <si>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</si>
  <si>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</si>
  <si>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</si>
  <si>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</si>
  <si>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</si>
  <si>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</si>
  <si>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</si>
  <si>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</si>
  <si>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</si>
  <si>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</si>
  <si>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</si>
  <si>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</si>
  <si>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</si>
  <si>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</si>
  <si>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</si>
  <si>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</si>
  <si>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</si>
  <si>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</si>
  <si>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</si>
  <si>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</si>
  <si>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</si>
  <si>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</si>
  <si>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</si>
  <si>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</si>
  <si>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</si>
  <si>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</si>
  <si>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</si>
  <si>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</si>
  <si>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</si>
  <si>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</si>
  <si>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</si>
  <si>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</si>
  <si>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</si>
  <si>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</si>
  <si>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</si>
  <si>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</si>
  <si>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</si>
  <si>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</si>
  <si>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</si>
  <si>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</si>
  <si>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</si>
  <si>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</si>
  <si>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</si>
  <si>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</si>
  <si>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</si>
  <si>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</si>
  <si>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</si>
  <si>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</si>
  <si>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</si>
  <si>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</si>
  <si>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</si>
  <si>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</si>
  <si>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</si>
  <si>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</si>
  <si>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</si>
  <si>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</si>
  <si>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</si>
  <si>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</si>
  <si>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</si>
  <si>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</si>
  <si>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</si>
  <si>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</si>
  <si>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</si>
  <si>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</si>
  <si>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</si>
  <si>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</si>
  <si>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</si>
  <si>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</si>
  <si>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</si>
  <si>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</si>
  <si>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</si>
  <si>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</si>
  <si>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</si>
  <si>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</si>
  <si>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</si>
  <si>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</si>
  <si>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</si>
  <si>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</si>
  <si>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</si>
  <si>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</si>
  <si>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</si>
  <si>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</si>
  <si>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</si>
  <si>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</si>
  <si>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</si>
  <si>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</si>
  <si>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</si>
  <si>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</si>
  <si>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</si>
  <si>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</si>
  <si>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</si>
  <si>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</si>
  <si>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</si>
  <si>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</si>
  <si>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</si>
  <si>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</si>
  <si>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</si>
  <si>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</si>
  <si>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</si>
  <si>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</si>
  <si>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</si>
  <si>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</si>
  <si>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</si>
  <si>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</si>
  <si>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</si>
  <si>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</si>
  <si>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</si>
  <si>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</si>
  <si>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</si>
  <si>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</si>
  <si>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</si>
  <si>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</si>
  <si>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</si>
  <si>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</si>
  <si>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</si>
  <si>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</si>
  <si>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</si>
  <si>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</si>
  <si>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</si>
  <si>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</si>
  <si>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</si>
  <si>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</si>
  <si>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</si>
  <si>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</si>
  <si>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</si>
  <si>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</si>
  <si>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</si>
  <si>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</si>
  <si>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</si>
  <si>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</si>
  <si>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</si>
  <si>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</si>
  <si>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</si>
  <si>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</si>
  <si>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</si>
  <si>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</si>
  <si>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</si>
  <si>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</si>
  <si>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</si>
  <si>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</si>
  <si>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</si>
  <si>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</si>
  <si>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</si>
  <si>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</si>
  <si>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</si>
  <si>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</si>
  <si>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</si>
  <si>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</si>
  <si>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</si>
  <si>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</si>
  <si>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</si>
  <si>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</si>
  <si>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</si>
  <si>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</si>
  <si>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</si>
  <si>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</si>
  <si>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</si>
  <si>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</si>
  <si>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</si>
  <si>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</si>
  <si>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</si>
  <si>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</si>
  <si>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</si>
  <si>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</si>
  <si>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</si>
  <si>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</si>
  <si>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</si>
  <si>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</si>
  <si>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</si>
  <si>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</si>
  <si>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</si>
  <si>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</si>
  <si>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</si>
  <si>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</si>
  <si>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</si>
  <si>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</si>
  <si>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</si>
  <si>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</si>
  <si>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</si>
  <si>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</si>
  <si>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</si>
  <si>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</si>
  <si>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</si>
  <si>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</si>
  <si>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</si>
  <si>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</si>
  <si>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</si>
  <si>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</si>
  <si>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</si>
  <si>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</si>
  <si>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</si>
  <si>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</si>
  <si>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</si>
  <si>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</si>
  <si>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</si>
  <si>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</si>
  <si>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</si>
  <si>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</si>
  <si>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</si>
  <si>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</si>
  <si>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</si>
  <si>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</si>
  <si>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</si>
  <si>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</si>
  <si>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</si>
  <si>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</si>
  <si>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</si>
  <si>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</si>
  <si>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</si>
  <si>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</si>
  <si>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</si>
  <si>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</si>
  <si>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</si>
  <si>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</si>
  <si>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</si>
  <si>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</si>
  <si>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</si>
  <si>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</si>
  <si>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</si>
  <si>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</si>
  <si>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</si>
  <si>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</si>
  <si>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</si>
  <si>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</si>
  <si>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</si>
  <si>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</si>
  <si>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</si>
  <si>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</si>
  <si>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</si>
  <si>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</si>
  <si>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</si>
  <si>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</si>
  <si>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partly-cloudy-night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</si>
  <si>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</si>
  <si>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</si>
  <si>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</si>
  <si>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</si>
  <si>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</si>
  <si>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</si>
  <si>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</si>
  <si>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</si>
  <si>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</si>
  <si>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</si>
  <si>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</si>
  <si>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STEWART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</si>
  <si>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</si>
  <si>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</si>
  <si>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</si>
  <si>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</si>
  <si>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</si>
  <si>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</si>
  <si>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</si>
  <si>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</si>
  <si>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</si>
  <si>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</si>
  <si>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</si>
  <si>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</si>
  <si>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</si>
  <si>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</si>
  <si>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</si>
  <si>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</si>
  <si>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</si>
  <si>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</si>
  <si>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</si>
  <si>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</si>
  <si>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</si>
  <si>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</si>
  <si>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</si>
  <si>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</si>
  <si>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</si>
  <si>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</si>
  <si>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</si>
  <si>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</si>
  <si>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</si>
  <si>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</si>
  <si>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</si>
  <si>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</si>
  <si>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</si>
  <si>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</si>
  <si>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</si>
  <si>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</si>
  <si>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</si>
  <si>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</si>
  <si>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</si>
  <si>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</si>
  <si>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</si>
  <si>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</si>
  <si>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</si>
  <si>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</si>
  <si>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</si>
  <si>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</si>
  <si>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</si>
  <si>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</si>
  <si>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</si>
  <si>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</si>
  <si>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</si>
  <si>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</si>
  <si>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</si>
  <si>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</si>
  <si>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</si>
  <si>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</si>
  <si>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</si>
  <si>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</si>
  <si>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</si>
  <si>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</si>
  <si>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</si>
  <si>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</si>
  <si>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</si>
  <si>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204:236</t>
  </si>
  <si>
    <t>rtdc.l.rtdc.4041:itc</t>
  </si>
  <si>
    <t>rtdc.l.rtdc.4064:itc</t>
  </si>
  <si>
    <t>204:233289</t>
  </si>
  <si>
    <t>204:214</t>
  </si>
  <si>
    <t>204:517</t>
  </si>
  <si>
    <t>204:508</t>
  </si>
  <si>
    <t>204:232971</t>
  </si>
  <si>
    <t>204:207</t>
  </si>
  <si>
    <t>204:233257</t>
  </si>
  <si>
    <t>204:515</t>
  </si>
  <si>
    <t>204:232938</t>
  </si>
  <si>
    <t>204:506</t>
  </si>
  <si>
    <t>rtdc.l.rtdc.4009:itc</t>
  </si>
  <si>
    <t>rtdc.l.rtdc.4010:itc</t>
  </si>
  <si>
    <t>DAVIS</t>
  </si>
  <si>
    <t>precipType</t>
  </si>
  <si>
    <t>rain</t>
  </si>
  <si>
    <t>204:185</t>
  </si>
  <si>
    <t>204:243</t>
  </si>
  <si>
    <t>204:233286</t>
  </si>
  <si>
    <t>204:194</t>
  </si>
  <si>
    <t>204:233247</t>
  </si>
  <si>
    <t>204:519</t>
  </si>
  <si>
    <t>204:537</t>
  </si>
  <si>
    <t>Wi-MAX data drop</t>
  </si>
  <si>
    <t>rtdc.l.rtdc.4049:itc</t>
  </si>
  <si>
    <t>rtdc.l.rtdc.4050:itc</t>
  </si>
  <si>
    <t>AUSTIN</t>
  </si>
  <si>
    <t>204:232957</t>
  </si>
  <si>
    <t>204:233278</t>
  </si>
  <si>
    <t>204:509</t>
  </si>
  <si>
    <t>204:528</t>
  </si>
  <si>
    <t>204:233261</t>
  </si>
  <si>
    <t>204:229</t>
  </si>
  <si>
    <t>TRACK WARRANT AUTHORITY</t>
  </si>
  <si>
    <t>Form based authority (4)</t>
  </si>
  <si>
    <t>rtdc.l.rtdc.4001:itc</t>
  </si>
  <si>
    <t>rtdc.l.rtdc.4042:itc</t>
  </si>
  <si>
    <t>rtdc.l.rtdc.4002:itc</t>
  </si>
  <si>
    <t>BROWN</t>
  </si>
  <si>
    <t>JACOB</t>
  </si>
  <si>
    <t>FORTUNATO</t>
  </si>
  <si>
    <t>FRANK</t>
  </si>
  <si>
    <t>204:209</t>
  </si>
  <si>
    <t>204:233276</t>
  </si>
  <si>
    <t>204:167</t>
  </si>
  <si>
    <t>204:233259</t>
  </si>
  <si>
    <t>204:233305</t>
  </si>
  <si>
    <t>204:232987</t>
  </si>
  <si>
    <t>204:233304</t>
  </si>
  <si>
    <t>204:233198</t>
  </si>
  <si>
    <t>204:232881</t>
  </si>
  <si>
    <t>204:233234</t>
  </si>
  <si>
    <t>204:227</t>
  </si>
  <si>
    <t>204:533</t>
  </si>
  <si>
    <t>204:232963</t>
  </si>
  <si>
    <t>204:233310</t>
  </si>
  <si>
    <t>204:535</t>
  </si>
  <si>
    <t>204:232940</t>
  </si>
  <si>
    <t>204:1490</t>
  </si>
  <si>
    <t>300:23316</t>
  </si>
  <si>
    <t>300:58939</t>
  </si>
  <si>
    <t>300:58666</t>
  </si>
  <si>
    <t>SWITCH UNKNOWN</t>
  </si>
  <si>
    <t>Track device (7)</t>
  </si>
  <si>
    <t>rtdc.l.rtdc.4052:itc</t>
  </si>
  <si>
    <t>rtdc.l.rtdc.4024:itc</t>
  </si>
  <si>
    <t>rtdc.l.rtdc.4004:itc</t>
  </si>
  <si>
    <t>rtdc.l.rtdc.4023:itc</t>
  </si>
  <si>
    <t>235-08</t>
  </si>
  <si>
    <t>243-08</t>
  </si>
  <si>
    <t>LESTER</t>
  </si>
  <si>
    <t>rtdc.l.rtdc.4051:itc</t>
  </si>
  <si>
    <t>ROMERO</t>
  </si>
  <si>
    <t>CHAD</t>
  </si>
  <si>
    <t>rtdc.l.rtdc.4003:itc</t>
  </si>
  <si>
    <t>GEBRETEKLE</t>
  </si>
  <si>
    <t>DAGNEW</t>
  </si>
  <si>
    <t>HUFFSMITH</t>
  </si>
  <si>
    <t>MONTY</t>
  </si>
  <si>
    <t>rtdc.l.rtdc.4043:itc</t>
  </si>
  <si>
    <t>DELGADO</t>
  </si>
  <si>
    <t>DIANAH</t>
  </si>
  <si>
    <t>rtdc.l.rtdc.4044:itc</t>
  </si>
  <si>
    <t>BERLING</t>
  </si>
  <si>
    <t>GARY</t>
  </si>
  <si>
    <t>HOLCOMB</t>
  </si>
  <si>
    <t>KAMDEN</t>
  </si>
  <si>
    <t>rtdc.l.rtdc.4016:itc</t>
  </si>
  <si>
    <t>LOPES</t>
  </si>
  <si>
    <t>KIMBERLY</t>
  </si>
  <si>
    <t>216-08</t>
  </si>
  <si>
    <t>303-08</t>
  </si>
  <si>
    <t>220-08</t>
  </si>
  <si>
    <t>223-08</t>
  </si>
  <si>
    <t>840-08</t>
  </si>
  <si>
    <t>222-08</t>
  </si>
  <si>
    <t>305-08</t>
  </si>
  <si>
    <t>225-08</t>
  </si>
  <si>
    <t>843-08</t>
  </si>
  <si>
    <t>227-08</t>
  </si>
  <si>
    <t>224-08</t>
  </si>
  <si>
    <t>842-08</t>
  </si>
  <si>
    <t>229-08</t>
  </si>
  <si>
    <t>226-08</t>
  </si>
  <si>
    <t>231-08</t>
  </si>
  <si>
    <t>845-08</t>
  </si>
  <si>
    <t>228-08</t>
  </si>
  <si>
    <t>844-08</t>
  </si>
  <si>
    <t>230-08</t>
  </si>
  <si>
    <t>233-08</t>
  </si>
  <si>
    <t>847-08</t>
  </si>
  <si>
    <t>232-08</t>
  </si>
  <si>
    <t>846-08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</si>
  <si>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</si>
  <si>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</si>
  <si>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</si>
  <si>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</si>
  <si>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</si>
  <si>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</si>
  <si>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</si>
  <si>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</si>
  <si>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</si>
  <si>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</si>
  <si>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</si>
  <si>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</si>
  <si>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</si>
  <si>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</si>
  <si>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</si>
  <si>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</si>
  <si>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</si>
  <si>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</si>
  <si>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clear-day</t>
  </si>
  <si>
    <t>Clear</t>
  </si>
  <si>
    <t>clear-night</t>
  </si>
  <si>
    <t>204:790</t>
  </si>
  <si>
    <t>204:201</t>
  </si>
  <si>
    <t>204:466</t>
  </si>
  <si>
    <t>204:511</t>
  </si>
  <si>
    <t>204:198</t>
  </si>
  <si>
    <t>204:232861</t>
  </si>
  <si>
    <t>204:460</t>
  </si>
  <si>
    <t>204:163</t>
  </si>
  <si>
    <t>204:232975</t>
  </si>
  <si>
    <t>204:178</t>
  </si>
  <si>
    <t>204:458</t>
  </si>
  <si>
    <t>204:478</t>
  </si>
  <si>
    <t>204:150</t>
  </si>
  <si>
    <t>204:233283</t>
  </si>
  <si>
    <t>204:232972</t>
  </si>
  <si>
    <t>204:233270</t>
  </si>
  <si>
    <t>204:232</t>
  </si>
  <si>
    <t>204:139</t>
  </si>
  <si>
    <t>204:453</t>
  </si>
  <si>
    <t>204:232981</t>
  </si>
  <si>
    <t>204:174</t>
  </si>
  <si>
    <t>204:225</t>
  </si>
  <si>
    <t>204:469</t>
  </si>
  <si>
    <t>204:232915</t>
  </si>
  <si>
    <t>204:548</t>
  </si>
  <si>
    <t>204:232879</t>
  </si>
  <si>
    <t>204:524</t>
  </si>
  <si>
    <t>204:242</t>
  </si>
  <si>
    <t>204:233251</t>
  </si>
  <si>
    <t>204:232909</t>
  </si>
  <si>
    <t>204:232892</t>
  </si>
  <si>
    <t>204:233266</t>
  </si>
  <si>
    <t>204:232953</t>
  </si>
  <si>
    <t>204:232898</t>
  </si>
  <si>
    <t>204:233190</t>
  </si>
  <si>
    <t>204:232856</t>
  </si>
  <si>
    <t>204:231</t>
  </si>
  <si>
    <t>204:232917</t>
  </si>
  <si>
    <t>204:529</t>
  </si>
  <si>
    <t>204:233229</t>
  </si>
  <si>
    <t>204:232955</t>
  </si>
  <si>
    <t>300:23299</t>
  </si>
  <si>
    <t>300:23308</t>
  </si>
  <si>
    <t>204:1160</t>
  </si>
  <si>
    <t>300:23304</t>
  </si>
  <si>
    <t>300:58672</t>
  </si>
  <si>
    <t>300:58971</t>
  </si>
  <si>
    <t>300:58645</t>
  </si>
  <si>
    <t>300:58922</t>
  </si>
  <si>
    <t>300:58912</t>
  </si>
  <si>
    <t>Poor GPS at DUS</t>
  </si>
  <si>
    <t>rtdc.l.rtdc.4005:itc</t>
  </si>
  <si>
    <t>306-12</t>
  </si>
  <si>
    <t>102-12</t>
  </si>
  <si>
    <t>53-12</t>
  </si>
  <si>
    <t>rtdc.l.rtdc.4031:itc</t>
  </si>
  <si>
    <t>308-12</t>
  </si>
  <si>
    <t>1901-12</t>
  </si>
  <si>
    <t>rtdc.l.rtdc.4015:itc</t>
  </si>
  <si>
    <t>106-12</t>
  </si>
  <si>
    <t>1802-12</t>
  </si>
  <si>
    <t>133-12</t>
  </si>
  <si>
    <t>137-12</t>
  </si>
  <si>
    <t>139-12</t>
  </si>
  <si>
    <t>rtdc.l.rtdc.4063:itc</t>
  </si>
  <si>
    <t>140-12</t>
  </si>
  <si>
    <t>1810-12</t>
  </si>
  <si>
    <t>152-12</t>
  </si>
  <si>
    <t>157-12</t>
  </si>
  <si>
    <t>172-12</t>
  </si>
  <si>
    <t>184-12</t>
  </si>
  <si>
    <t>1819-12</t>
  </si>
  <si>
    <t>186-12</t>
  </si>
  <si>
    <t>1825-12</t>
  </si>
  <si>
    <t>212-12</t>
  </si>
  <si>
    <t>1831-12</t>
  </si>
  <si>
    <t>234-12</t>
  </si>
  <si>
    <t>236-12</t>
  </si>
  <si>
    <t>241-12</t>
  </si>
  <si>
    <t>NON SYNCHRONIZED SUBDIV</t>
  </si>
  <si>
    <t>PTC function (8)</t>
  </si>
  <si>
    <t>242-12</t>
  </si>
  <si>
    <t>rtdc.l.rtdc.4058:itc</t>
  </si>
  <si>
    <t>307-11</t>
  </si>
  <si>
    <t>rtdc.l.rtdc.4021:itc</t>
  </si>
  <si>
    <t>244-11</t>
  </si>
  <si>
    <t>309-11</t>
  </si>
  <si>
    <t>ELBAUM</t>
  </si>
  <si>
    <t>MIKE</t>
  </si>
  <si>
    <t>246-11</t>
  </si>
  <si>
    <t>ANDERS</t>
  </si>
  <si>
    <t>STEVEN</t>
  </si>
  <si>
    <t>311-11</t>
  </si>
  <si>
    <t>313-11</t>
  </si>
  <si>
    <t>300-12</t>
  </si>
  <si>
    <t>51-12</t>
  </si>
  <si>
    <t>101-12</t>
  </si>
  <si>
    <t>302-12</t>
  </si>
  <si>
    <t>MAELZER</t>
  </si>
  <si>
    <t>KURT</t>
  </si>
  <si>
    <t>52-12</t>
  </si>
  <si>
    <t>103-12</t>
  </si>
  <si>
    <t>304-12</t>
  </si>
  <si>
    <t>PAGE</t>
  </si>
  <si>
    <t>MARCUS</t>
  </si>
  <si>
    <t>105-12</t>
  </si>
  <si>
    <t>54-12</t>
  </si>
  <si>
    <t>rtdc.l.rtdc.4006:itc</t>
  </si>
  <si>
    <t>107-12</t>
  </si>
  <si>
    <t>104-12</t>
  </si>
  <si>
    <t>55-12</t>
  </si>
  <si>
    <t>LANGERAK</t>
  </si>
  <si>
    <t>WILLIAM</t>
  </si>
  <si>
    <t>109-12</t>
  </si>
  <si>
    <t>56-12</t>
  </si>
  <si>
    <t>310-12</t>
  </si>
  <si>
    <t>DONTE</t>
  </si>
  <si>
    <t>111-12</t>
  </si>
  <si>
    <t>108-12</t>
  </si>
  <si>
    <t>113-12</t>
  </si>
  <si>
    <t>88-12</t>
  </si>
  <si>
    <t>312-12</t>
  </si>
  <si>
    <t>MACDONALD</t>
  </si>
  <si>
    <t>THOMAS</t>
  </si>
  <si>
    <t>115-12</t>
  </si>
  <si>
    <t>110-12</t>
  </si>
  <si>
    <t>117-12</t>
  </si>
  <si>
    <t>1800-12</t>
  </si>
  <si>
    <t>119-12</t>
  </si>
  <si>
    <t>112-12</t>
  </si>
  <si>
    <t>1801-12</t>
  </si>
  <si>
    <t>121-12</t>
  </si>
  <si>
    <t>114-12</t>
  </si>
  <si>
    <t>116-12</t>
  </si>
  <si>
    <t>118-12</t>
  </si>
  <si>
    <t>123-12</t>
  </si>
  <si>
    <t>125-12</t>
  </si>
  <si>
    <t>120-12</t>
  </si>
  <si>
    <t>122-12</t>
  </si>
  <si>
    <t>127-12</t>
  </si>
  <si>
    <t>124-12</t>
  </si>
  <si>
    <t>1803-12</t>
  </si>
  <si>
    <t>129-12</t>
  </si>
  <si>
    <t>131-12</t>
  </si>
  <si>
    <t>1804-12</t>
  </si>
  <si>
    <t>126-12</t>
  </si>
  <si>
    <t>135-12</t>
  </si>
  <si>
    <t>128-12</t>
  </si>
  <si>
    <t>130-12</t>
  </si>
  <si>
    <t>1805-12</t>
  </si>
  <si>
    <t>132-12</t>
  </si>
  <si>
    <t>1806-12</t>
  </si>
  <si>
    <t>134-12</t>
  </si>
  <si>
    <t>141-12</t>
  </si>
  <si>
    <t>136-12</t>
  </si>
  <si>
    <t>143-12</t>
  </si>
  <si>
    <t>138-12</t>
  </si>
  <si>
    <t>1807-12</t>
  </si>
  <si>
    <t>145-12</t>
  </si>
  <si>
    <t>147-12</t>
  </si>
  <si>
    <t>1808-12</t>
  </si>
  <si>
    <t>142-12</t>
  </si>
  <si>
    <t>149-12</t>
  </si>
  <si>
    <t>144-12</t>
  </si>
  <si>
    <t>151-12</t>
  </si>
  <si>
    <t>146-12</t>
  </si>
  <si>
    <t>1809-12</t>
  </si>
  <si>
    <t>153-12</t>
  </si>
  <si>
    <t>BIRENBAUM</t>
  </si>
  <si>
    <t>148-12</t>
  </si>
  <si>
    <t>150-12</t>
  </si>
  <si>
    <t>155-12</t>
  </si>
  <si>
    <t>159-12</t>
  </si>
  <si>
    <t>154-12</t>
  </si>
  <si>
    <t>1811-12</t>
  </si>
  <si>
    <t>161-12</t>
  </si>
  <si>
    <t>156-12</t>
  </si>
  <si>
    <t>1812-12</t>
  </si>
  <si>
    <t>163-12</t>
  </si>
  <si>
    <t>158-12</t>
  </si>
  <si>
    <t>165-12</t>
  </si>
  <si>
    <t>GONZALEZ</t>
  </si>
  <si>
    <t>ARMANDO</t>
  </si>
  <si>
    <t>160-12</t>
  </si>
  <si>
    <t>167-12</t>
  </si>
  <si>
    <t>BADERTSCHER</t>
  </si>
  <si>
    <t>DIANE</t>
  </si>
  <si>
    <t>1813-12</t>
  </si>
  <si>
    <t>169-12</t>
  </si>
  <si>
    <t>162-12</t>
  </si>
  <si>
    <t>164-12</t>
  </si>
  <si>
    <t>1814-12</t>
  </si>
  <si>
    <t>171-12</t>
  </si>
  <si>
    <t>166-12</t>
  </si>
  <si>
    <t>173-12</t>
  </si>
  <si>
    <t>168-12</t>
  </si>
  <si>
    <t>175-12</t>
  </si>
  <si>
    <t>170-12</t>
  </si>
  <si>
    <t>177-12</t>
  </si>
  <si>
    <t>1815-12</t>
  </si>
  <si>
    <t>179-12</t>
  </si>
  <si>
    <t>174-12</t>
  </si>
  <si>
    <t>1816-12</t>
  </si>
  <si>
    <t>181-12</t>
  </si>
  <si>
    <t>176-12</t>
  </si>
  <si>
    <t>178-12</t>
  </si>
  <si>
    <t>183-12</t>
  </si>
  <si>
    <t>1817-12</t>
  </si>
  <si>
    <t>185-12</t>
  </si>
  <si>
    <t>180-12</t>
  </si>
  <si>
    <t>187-12</t>
  </si>
  <si>
    <t>1818-12</t>
  </si>
  <si>
    <t>182-12</t>
  </si>
  <si>
    <t>189-12</t>
  </si>
  <si>
    <t>191-12</t>
  </si>
  <si>
    <t>193-12</t>
  </si>
  <si>
    <t>188-12</t>
  </si>
  <si>
    <t>195-12</t>
  </si>
  <si>
    <t>1820-12</t>
  </si>
  <si>
    <t>190-12</t>
  </si>
  <si>
    <t>197-12</t>
  </si>
  <si>
    <t>192-12</t>
  </si>
  <si>
    <t>199-12</t>
  </si>
  <si>
    <t>1821-12</t>
  </si>
  <si>
    <t>194-12</t>
  </si>
  <si>
    <t>201-12</t>
  </si>
  <si>
    <t>75-12</t>
  </si>
  <si>
    <t>196-12</t>
  </si>
  <si>
    <t>1822-12</t>
  </si>
  <si>
    <t>203-12</t>
  </si>
  <si>
    <t>198-12</t>
  </si>
  <si>
    <t>205-12</t>
  </si>
  <si>
    <t>207-12</t>
  </si>
  <si>
    <t>200-12</t>
  </si>
  <si>
    <t>202-12</t>
  </si>
  <si>
    <t>1823-12</t>
  </si>
  <si>
    <t>209-12</t>
  </si>
  <si>
    <t>204-12</t>
  </si>
  <si>
    <t>211-12</t>
  </si>
  <si>
    <t>KILLION</t>
  </si>
  <si>
    <t>DAVID</t>
  </si>
  <si>
    <t>1824-12</t>
  </si>
  <si>
    <t>206-12</t>
  </si>
  <si>
    <t>77-12</t>
  </si>
  <si>
    <t>rtdc.l.rtdc.4025:itc</t>
  </si>
  <si>
    <t>74-12</t>
  </si>
  <si>
    <t>213-12</t>
  </si>
  <si>
    <t>208-12</t>
  </si>
  <si>
    <t>215-12</t>
  </si>
  <si>
    <t>210-12</t>
  </si>
  <si>
    <t>217-12</t>
  </si>
  <si>
    <t>219-12</t>
  </si>
  <si>
    <t>1826-12</t>
  </si>
  <si>
    <t>214-12</t>
  </si>
  <si>
    <t>301-12</t>
  </si>
  <si>
    <t>216-12</t>
  </si>
  <si>
    <t>221-12</t>
  </si>
  <si>
    <t>218-12</t>
  </si>
  <si>
    <t>1827-12</t>
  </si>
  <si>
    <t>220-12</t>
  </si>
  <si>
    <t>223-12</t>
  </si>
  <si>
    <t>1828-12</t>
  </si>
  <si>
    <t>225-12</t>
  </si>
  <si>
    <t>222-12</t>
  </si>
  <si>
    <t>305-12</t>
  </si>
  <si>
    <t>1829-12</t>
  </si>
  <si>
    <t>227-12</t>
  </si>
  <si>
    <t>1830-12</t>
  </si>
  <si>
    <t>rtdc.l.rtdc.4026:itc</t>
  </si>
  <si>
    <t>76-12</t>
  </si>
  <si>
    <t>224-12</t>
  </si>
  <si>
    <t>226-12</t>
  </si>
  <si>
    <t>229-12</t>
  </si>
  <si>
    <t>231-12</t>
  </si>
  <si>
    <t>228-12</t>
  </si>
  <si>
    <t>1832-12</t>
  </si>
  <si>
    <t>233-12</t>
  </si>
  <si>
    <t>230-12</t>
  </si>
  <si>
    <t>1833-12</t>
  </si>
  <si>
    <t>235-12</t>
  </si>
  <si>
    <t>232-12</t>
  </si>
  <si>
    <t>1834-12</t>
  </si>
  <si>
    <t>237-12</t>
  </si>
  <si>
    <t>1835-12</t>
  </si>
  <si>
    <t>239-12</t>
  </si>
  <si>
    <t>1902-12</t>
  </si>
  <si>
    <t>238-12</t>
  </si>
  <si>
    <t>243-12</t>
  </si>
  <si>
    <t>240-12</t>
  </si>
  <si>
    <t>313-12</t>
  </si>
  <si>
    <t>307-12</t>
  </si>
  <si>
    <t>244-12</t>
  </si>
  <si>
    <t>204:766</t>
  </si>
  <si>
    <t>204:233280</t>
  </si>
  <si>
    <t>204:875</t>
  </si>
  <si>
    <t>204:233332</t>
  </si>
  <si>
    <t>204:233015</t>
  </si>
  <si>
    <t>204:477</t>
  </si>
  <si>
    <t>204:169</t>
  </si>
  <si>
    <t>204:232960</t>
  </si>
  <si>
    <t>204:498</t>
  </si>
  <si>
    <t>204:233274</t>
  </si>
  <si>
    <t>204:145</t>
  </si>
  <si>
    <t>204:233230</t>
  </si>
  <si>
    <t>204:504</t>
  </si>
  <si>
    <t>204:233306</t>
  </si>
  <si>
    <t>204:232996</t>
  </si>
  <si>
    <t>204:233180</t>
  </si>
  <si>
    <t>204:232871</t>
  </si>
  <si>
    <t>204:233281</t>
  </si>
  <si>
    <t>204:232968</t>
  </si>
  <si>
    <t>204:540</t>
  </si>
  <si>
    <t>204:233288</t>
  </si>
  <si>
    <t>204:446</t>
  </si>
  <si>
    <t>204:233285</t>
  </si>
  <si>
    <t>204:480</t>
  </si>
  <si>
    <t>204:233287</t>
  </si>
  <si>
    <t>204:233309</t>
  </si>
  <si>
    <t>204:232990</t>
  </si>
  <si>
    <t>204:127851</t>
  </si>
  <si>
    <t>204:233200</t>
  </si>
  <si>
    <t>204:232864</t>
  </si>
  <si>
    <t>204:232950</t>
  </si>
  <si>
    <t>204:232974</t>
  </si>
  <si>
    <t>204:2733</t>
  </si>
  <si>
    <t>204:19147</t>
  </si>
  <si>
    <t>204:233301</t>
  </si>
  <si>
    <t>204:19110</t>
  </si>
  <si>
    <t>204:149</t>
  </si>
  <si>
    <t>204:491</t>
  </si>
  <si>
    <t>204:233172</t>
  </si>
  <si>
    <t>204:232863</t>
  </si>
  <si>
    <t>204:200</t>
  </si>
  <si>
    <t>204:192</t>
  </si>
  <si>
    <t>204:233211</t>
  </si>
  <si>
    <t>204:233196</t>
  </si>
  <si>
    <t>204:232961</t>
  </si>
  <si>
    <t>204:232664</t>
  </si>
  <si>
    <t>204:127864</t>
  </si>
  <si>
    <t>204:29430</t>
  </si>
  <si>
    <t>204:233264</t>
  </si>
  <si>
    <t>204:232936</t>
  </si>
  <si>
    <t>204:132</t>
  </si>
  <si>
    <t>204:486</t>
  </si>
  <si>
    <t>204:233249</t>
  </si>
  <si>
    <t>204:232926</t>
  </si>
  <si>
    <t>204:502</t>
  </si>
  <si>
    <t>204:233163</t>
  </si>
  <si>
    <t>204:522</t>
  </si>
  <si>
    <t>204:233226</t>
  </si>
  <si>
    <t>204:223</t>
  </si>
  <si>
    <t>204:473</t>
  </si>
  <si>
    <t>204:233223</t>
  </si>
  <si>
    <t>204:232919</t>
  </si>
  <si>
    <t>204:431</t>
  </si>
  <si>
    <t>204:233263</t>
  </si>
  <si>
    <t>204:232949</t>
  </si>
  <si>
    <t>204:233368</t>
  </si>
  <si>
    <t>204:232980</t>
  </si>
  <si>
    <t>204:692</t>
  </si>
  <si>
    <t>204:240</t>
  </si>
  <si>
    <t>204:232930</t>
  </si>
  <si>
    <t>204:233224</t>
  </si>
  <si>
    <t>204:232927</t>
  </si>
  <si>
    <t>204:488</t>
  </si>
  <si>
    <t>204:233272</t>
  </si>
  <si>
    <t>204:232959</t>
  </si>
  <si>
    <t>204:191</t>
  </si>
  <si>
    <t>300:58619</t>
  </si>
  <si>
    <t>204:859</t>
  </si>
  <si>
    <t>300:58606</t>
  </si>
  <si>
    <t>204:778</t>
  </si>
  <si>
    <t>204:1070</t>
  </si>
  <si>
    <t>300:58918</t>
  </si>
  <si>
    <t>300:58583</t>
  </si>
  <si>
    <t>204:808</t>
  </si>
  <si>
    <t>204:1109</t>
  </si>
  <si>
    <t>300:58935</t>
  </si>
  <si>
    <t>300:58602</t>
  </si>
  <si>
    <t>204:792</t>
  </si>
  <si>
    <t>204:1083</t>
  </si>
  <si>
    <t>204:845</t>
  </si>
  <si>
    <t>204:1130</t>
  </si>
  <si>
    <t>300:58914</t>
  </si>
  <si>
    <t>204:497</t>
  </si>
  <si>
    <t>300:58594</t>
  </si>
  <si>
    <t>204:848</t>
  </si>
  <si>
    <t>204:1153</t>
  </si>
  <si>
    <t>300:58911</t>
  </si>
  <si>
    <t>300:58598</t>
  </si>
  <si>
    <t>204:892</t>
  </si>
  <si>
    <t>204:1186</t>
  </si>
  <si>
    <t>300:57246</t>
  </si>
  <si>
    <t>204:780</t>
  </si>
  <si>
    <t>300:58600</t>
  </si>
  <si>
    <t>204:1093</t>
  </si>
  <si>
    <t>300:58683</t>
  </si>
  <si>
    <t>204:883</t>
  </si>
  <si>
    <t>204:1181</t>
  </si>
  <si>
    <t>300:58988</t>
  </si>
  <si>
    <t>204:218</t>
  </si>
  <si>
    <t>300:58664</t>
  </si>
  <si>
    <t>204:866</t>
  </si>
  <si>
    <t>204:1154</t>
  </si>
  <si>
    <t>300:58990</t>
  </si>
  <si>
    <t>204:908</t>
  </si>
  <si>
    <t>204:1214</t>
  </si>
  <si>
    <t>204:873</t>
  </si>
  <si>
    <t>204:1158</t>
  </si>
  <si>
    <t>300:58976</t>
  </si>
  <si>
    <t>300:58656</t>
  </si>
  <si>
    <t>204:901</t>
  </si>
  <si>
    <t>204:1196</t>
  </si>
  <si>
    <t>204:233327</t>
  </si>
  <si>
    <t>300:58643</t>
  </si>
  <si>
    <t>204:895</t>
  </si>
  <si>
    <t>204:1191</t>
  </si>
  <si>
    <t>300:58975</t>
  </si>
  <si>
    <t>204:936</t>
  </si>
  <si>
    <t>204:232983</t>
  </si>
  <si>
    <t>204:455</t>
  </si>
  <si>
    <t>204:551</t>
  </si>
  <si>
    <t>300:29729</t>
  </si>
  <si>
    <t>300:58931</t>
  </si>
  <si>
    <t>300:28793</t>
  </si>
  <si>
    <t>204:232921</t>
  </si>
  <si>
    <t>204:232952</t>
  </si>
  <si>
    <t>204:249</t>
  </si>
  <si>
    <t>204:233360</t>
  </si>
  <si>
    <t>204:233036</t>
  </si>
  <si>
    <t>204:232932</t>
  </si>
  <si>
    <t>204:553</t>
  </si>
  <si>
    <t>204:233228</t>
  </si>
  <si>
    <t>204:899</t>
  </si>
  <si>
    <t>204:233255</t>
  </si>
  <si>
    <t>204:1188</t>
  </si>
  <si>
    <t>204:262</t>
  </si>
  <si>
    <t>204:263</t>
  </si>
  <si>
    <t>204:568</t>
  </si>
  <si>
    <t>204:314</t>
  </si>
  <si>
    <t>204:232966</t>
  </si>
  <si>
    <t>204:595</t>
  </si>
  <si>
    <t>204:232945</t>
  </si>
  <si>
    <t>204:267</t>
  </si>
  <si>
    <t>204:783</t>
  </si>
  <si>
    <t>204:233240</t>
  </si>
  <si>
    <t>204:232600</t>
  </si>
  <si>
    <t>204:252</t>
  </si>
  <si>
    <t>204:621</t>
  </si>
  <si>
    <t>204:233398</t>
  </si>
  <si>
    <t>204:232743</t>
  </si>
  <si>
    <t>204:143</t>
  </si>
  <si>
    <t>204:573</t>
  </si>
  <si>
    <t>204:274</t>
  </si>
  <si>
    <t>204:870</t>
  </si>
  <si>
    <t>204:86349</t>
  </si>
  <si>
    <t>204:69737</t>
  </si>
  <si>
    <t>204:777</t>
  </si>
  <si>
    <t>204:233385</t>
  </si>
  <si>
    <t>204:232752</t>
  </si>
  <si>
    <t>204:232934</t>
  </si>
  <si>
    <t>204:155</t>
  </si>
  <si>
    <t>204:584</t>
  </si>
  <si>
    <t>204:156</t>
  </si>
  <si>
    <t>204:872</t>
  </si>
  <si>
    <t>204:232594</t>
  </si>
  <si>
    <t>204:378</t>
  </si>
  <si>
    <t>300:23546</t>
  </si>
  <si>
    <t>300:21740</t>
  </si>
  <si>
    <t>300:23326</t>
  </si>
  <si>
    <t>204:3396</t>
  </si>
  <si>
    <t>204:2933</t>
  </si>
  <si>
    <t>204:4013</t>
  </si>
  <si>
    <t>300:22459</t>
  </si>
  <si>
    <t>300:21308</t>
  </si>
  <si>
    <t>204:444</t>
  </si>
  <si>
    <t>300:22947</t>
  </si>
  <si>
    <t>300:21956</t>
  </si>
  <si>
    <t>300:23650</t>
  </si>
  <si>
    <t>204:176</t>
  </si>
  <si>
    <t>300:23088</t>
  </si>
  <si>
    <t>204:763</t>
  </si>
  <si>
    <t>204:3318</t>
  </si>
  <si>
    <t>204:2981</t>
  </si>
  <si>
    <t>204:1165</t>
  </si>
  <si>
    <t>204:1481</t>
  </si>
  <si>
    <t>204:1825</t>
  </si>
  <si>
    <t>204:2931</t>
  </si>
  <si>
    <t>204:1143</t>
  </si>
  <si>
    <t>204:3415</t>
  </si>
  <si>
    <t>204:3086</t>
  </si>
  <si>
    <t>300:23347</t>
  </si>
  <si>
    <t>204:954</t>
  </si>
  <si>
    <t>204:1496</t>
  </si>
  <si>
    <t>204:1277</t>
  </si>
  <si>
    <t>300:5318</t>
  </si>
  <si>
    <t>300:5106</t>
  </si>
  <si>
    <t>204:1124</t>
  </si>
  <si>
    <t>204:1169</t>
  </si>
  <si>
    <t>300:23295</t>
  </si>
  <si>
    <t>300:23620</t>
  </si>
  <si>
    <t>204:1179</t>
  </si>
  <si>
    <t>start /low /b %USERPROFILE%\Documents\GitHub\eaglep3\Utilities\DownloadLogsFromS3.py --loco 4041 --day 2017-11-12</t>
  </si>
  <si>
    <t>start /low /b %USERPROFILE%\Documents\GitHub\eaglep3\Utilities\DownloadLogsFromS3.py --loco 4002 --day 2017-11-12</t>
  </si>
  <si>
    <t>start /low /b %USERPROFILE%\Documents\GitHub\eaglep3\Utilities\DownloadLogsFromS3.py --loco 4064 --day 2017-11-12</t>
  </si>
  <si>
    <t>start /low /b %USERPROFILE%\Documents\GitHub\eaglep3\Utilities\DownloadLogsFromS3.py --loco 4001 --day 2017-11-12</t>
  </si>
  <si>
    <t>start /low /b %USERPROFILE%\Documents\GitHub\eaglep3\Utilities\DownloadLogsFromS3.py --loco 4051 --day 2017-11-13</t>
  </si>
  <si>
    <t>start /low /b %USERPROFILE%\Documents\GitHub\eaglep3\Utilities\DownloadLogsFromS3.py --loco 4011 --day 2017-11-12</t>
  </si>
  <si>
    <t>start /low /b %USERPROFILE%\Documents\GitHub\eaglep3\Utilities\DownloadLogsFromS3.py --loco 4015 --day 2017-11-13</t>
  </si>
  <si>
    <t>start /low /b %USERPROFILE%\Documents\GitHub\eaglep3\Utilities\DownloadLogsFromS3.py --loco 4016 --day 2017-11-13</t>
  </si>
  <si>
    <t>start /low /b %USERPROFILE%\Documents\GitHub\eaglep3\Utilities\DownloadLogsFromS3.py --loco 4007 --day 2017-11-12</t>
  </si>
  <si>
    <t>start /low /b %USERPROFILE%\Documents\GitHub\eaglep3\Utilities\DownloadLogsFromS3.py --loco 4051 --day 2017-11-12</t>
  </si>
  <si>
    <t>start /low /b %USERPROFILE%\Documents\GitHub\eaglep3\Utilities\DownloadLogsFromS3.py --loco 4016 --day 2017-11-12</t>
  </si>
  <si>
    <t>start /low /b %USERPROFILE%\Documents\GitHub\eaglep3\Utilities\DownloadLogsFromS3.py --loco 4042 --day 2017-11-12</t>
  </si>
  <si>
    <t>start /low /b %USERPROFILE%\Documents\GitHub\eaglep3\Utilities\DownloadLogsFromS3.py --loco 4012 --day 2017-11-12</t>
  </si>
  <si>
    <t>Onboard in-route failure</t>
  </si>
  <si>
    <t>Selected wrong track</t>
  </si>
  <si>
    <t>Multiple Wi-MAX data drops</t>
  </si>
  <si>
    <t>Minor Onboard in-route failure observed, no delay</t>
  </si>
  <si>
    <t>Mid-block init overspeed</t>
  </si>
  <si>
    <t>STOP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</si>
</sst>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83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43051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43051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COUNTIFS($N$13:$N$9526,"&gt;0",$AG$13:$AG$9526,I1)</f>
        <v>139</v>
      </c>
      <c r="K5" s="39"/>
      <c r="L5" s="172"/>
      <c r="M5" s="40">
        <f>AVERAGEIFS($N$13:$N$9526,$AG$13:$AG$9526,I1)</f>
        <v>36.880455635288705</v>
      </c>
      <c r="N5" s="38">
        <f t="array" ref="N5">MIN(IF($AG$13:$AG$9526=I1,IF(ISNUMBER($N$13:$N$9526),IF($N$13:$N$9526&gt;0,$N$13:$N$9526))))</f>
        <v>33.599999996367842</v>
      </c>
      <c r="O5" s="3">
        <f t="array" ref="O5">MAX(IF($AG$13:$AG$9526=I1,IF(ISNUMBER($N$13:$N$9526),IF($N$13:$N$9526&gt;0,$N$13:$N$9526))))</f>
        <v>44.933333328226581</v>
      </c>
      <c r="P5" s="2"/>
      <c r="R5" s="163" t="s">
        <v>17</v>
      </c>
      <c r="S5" s="207">
        <f>COUNTIFS($N$13:$N$9526,"&gt;0",$AG$13:$AG$9526,R1)</f>
        <v>36</v>
      </c>
      <c r="T5" s="172"/>
      <c r="U5" s="195"/>
      <c r="V5" s="211">
        <f>AVERAGEIFS($N$13:$N$9526,$AG$13:$AG$9526,R1)</f>
        <v>13.99259259342216</v>
      </c>
      <c r="W5" s="212">
        <f t="array" ref="W5">MIN(IF($AG$13:$AG$9526=R1,IF(ISNUMBER($N$13:$N$9526),IF($N$13:$N$9526&gt;0,$N$13:$N$9526))))</f>
        <v>12.516666658921167</v>
      </c>
      <c r="X5" s="200">
        <f t="array" ref="X5">MAX(IF($AG$13:$AG$9526=R1,IF(ISNUMBER($N$13:$N$9526),IF($N$13:$N$9526&gt;0,$N$13:$N$9526))))</f>
        <v>15.983333339681849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COUNT($O$13:$O$284)</f>
        <v>0</v>
      </c>
      <c r="K6" s="39"/>
      <c r="L6" s="172"/>
      <c r="M6" s="40">
        <f>IFERROR(AVERAGE($O$13:$O$284),0)</f>
        <v>0</v>
      </c>
      <c r="N6" s="38">
        <f>MIN($O$13:$O$284)</f>
        <v>0</v>
      </c>
      <c r="O6" s="3">
        <f>MAX($O$13:$O$284)</f>
        <v>0</v>
      </c>
      <c r="P6" s="2"/>
      <c r="R6" s="164" t="s">
        <v>43</v>
      </c>
      <c r="S6" s="207">
        <f>COUNT($O$13:$O$284)</f>
        <v>0</v>
      </c>
      <c r="T6" s="172"/>
      <c r="U6" s="195"/>
      <c r="V6" s="211">
        <f>IFERROR(AVERAGE($O$13:$O$284),0)</f>
        <v>0</v>
      </c>
      <c r="W6" s="212">
        <f>MIN($O$13:$O$284)</f>
        <v>0</v>
      </c>
      <c r="X6" s="200">
        <f>MAX($O$13:$O$284)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COUNTIFS($P$13:$P$9526,"&gt;0",$AG$13:$AG$9526,I1)</f>
        <v>5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COUNTIFS($P$13:$P$9526,"&gt;0",$AG$13:$AG$9526,R1)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2"/>
      <c r="M8" s="40">
        <f>M5</f>
        <v>36.880455635288705</v>
      </c>
      <c r="N8" s="38">
        <f>N5</f>
        <v>33.599999996367842</v>
      </c>
      <c r="O8" s="3">
        <f>O5</f>
        <v>44.933333328226581</v>
      </c>
      <c r="P8" s="2"/>
      <c r="R8" s="163" t="s">
        <v>16</v>
      </c>
      <c r="S8" s="207">
        <f>S5</f>
        <v>36</v>
      </c>
      <c r="T8" s="172"/>
      <c r="U8" s="195"/>
      <c r="V8" s="211">
        <f>V5</f>
        <v>13.99259259342216</v>
      </c>
      <c r="W8" s="212">
        <f>W5</f>
        <v>12.516666658921167</v>
      </c>
      <c r="X8" s="200">
        <f>X5</f>
        <v>15.983333339681849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- 2017-11-12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AVERAGE(S13:S122)</f>
        <v>0.99921383647798734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679</v>
      </c>
      <c r="B13" s="7">
        <v>4008</v>
      </c>
      <c r="C13" s="21" t="s">
        <v>192</v>
      </c>
      <c r="D13" s="21" t="s">
        <v>875</v>
      </c>
      <c r="E13" s="13">
        <v>43051.131990740738</v>
      </c>
      <c r="F13" s="13">
        <v>43051.135671296295</v>
      </c>
      <c r="G13" s="7">
        <v>78</v>
      </c>
      <c r="H13" s="21" t="s">
        <v>876</v>
      </c>
      <c r="I13" s="13">
        <v>43051.161180555559</v>
      </c>
      <c r="J13" s="7">
        <v>0</v>
      </c>
      <c r="K13" s="89" t="str">
        <f t="shared" ref="K13:K76" si="0">IF(ISEVEN(B13),(B13-1)&amp;"/"&amp;B13,B13&amp;"/"&amp;(B13+1))</f>
        <v>4007/4008</v>
      </c>
      <c r="L13" s="185" t="str">
        <f>VLOOKUP(A13,'Trips&amp;Operators'!$C$1:$G$99911,5,FALSE)</f>
        <v>THOMPSON LESTER</v>
      </c>
      <c r="M13" s="6">
        <f t="shared" ref="M13:M76" si="1">I13-F13</f>
        <v>2.5509259263344575E-2</v>
      </c>
      <c r="N13" s="7">
        <f t="shared" ref="N13:N41" si="2">24*60*SUM($M13:$M13)</f>
        <v>36.733333339216188</v>
      </c>
      <c r="O13" s="7"/>
      <c r="P13" s="7"/>
      <c r="Q13" s="22"/>
      <c r="R13" s="167"/>
      <c r="S13" s="221">
        <f t="shared" ref="S13:S41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-12T02:10:04-0700',mode:absolute,to:'2017-11-12T04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204" t="str">
        <f>IF(AA13&lt;VLOOKUP(AG13,Variables!$AC$3:$AD$8,2,FALSE),"Y","N")</f>
        <v>N</v>
      </c>
      <c r="X13" s="204" t="e">
        <f t="shared" ref="X13:X23" si="6">VALUE(LEFT(AD13,4))-VALUE(LEFT(AD12,4))</f>
        <v>#VALUE!</v>
      </c>
      <c r="Y13" s="204">
        <f t="shared" ref="Y13:Y22" si="7">RIGHT(D13,LEN(D13)-4)/10000</f>
        <v>7.6600000000000001E-2</v>
      </c>
      <c r="Z13" s="204">
        <f t="shared" ref="Z13:Z22" si="8">RIGHT(H13,LEN(H13)-4)/10000</f>
        <v>23.327999999999999</v>
      </c>
      <c r="AA13" s="204">
        <f t="shared" ref="AA13:AA76" si="9">ABS(Z13-Y13)</f>
        <v>23.2514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"%USERPROFILE%\AppData\Local\Temp\OnboardLogs"\RTDC4008\2017-11-12 --exclude "*" --recursive --include "*20171112*" &amp; "%USERPROFILE%\Documents\GitHub\mrs-test-scripts\Headless Mode &amp; Sideloading\WalkAndUnGZ.bat" "%USERPROFILE%\AppData\Local\Temp\OnboardLogs"\RTDC4008\2017-11-12 &amp; aws s3 cp s3://rtdc.mdm.uploadarchive.raw/RTDC4008/ "%USERPROFILE%\AppData\Local\Temp\OnboardLogs"\RTDC4008\2017-11-13 --exclude "*" --recursive --include "*20171113*" &amp; "%USERPROFILE%\Documents\GitHub\mrs-test-scripts\Headless Mode &amp; Sideloading\WalkAndUnGZ.bat" "%USERPROFILE%\AppData\Local\Temp\OnboardLogs"\RTDC4008\2017-11-13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/stypes="app*4008*20171112*"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4008 --swversion DE.1.0.9.0 --startMP 204:766 --initTime 2017-11-12T03:10:04 --startdatetime 2017-11-12T03:15:22 --delay 78 --endMP 204:233280 --enddatetime 2017-11-12T03:52:06 --enforcementcount 0 &gt;&gt;%USERPROFILE%\Documents\GitHub\eaglep3-reporting\EC\2017-11-12-refined-times.txt</v>
      </c>
      <c r="AI13" s="96" t="str">
        <f t="shared" ref="AI13:AI76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{"issue":{"subject":"","project_id":79,"tracker_id":40,"status_id":1,"priority_id":2,"assigned_to_id":338,"start_date":"2017-11-12","description":"","custom_fields":[{"id":1,"name":"Subdivision","value":"EC"},{"id":4,"name":"Milepost","value":"23.328"},{"id":17,"name":"Train ID","value":"101-12"},{"id":16,"name":"Locomotive ID","value":"4008"},{"id":130,"name":"Impact","value":""},{"id":150,"name":"Time of Event (Mountain Time)","value":"03:52:06"},{"id":151,"name":"Denver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4008 --day 2017-11-12</v>
      </c>
      <c r="AN13" s="151" t="str">
        <f t="shared" ref="AN13:AN76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-12T02:10:04-0700',mode:absolute,to:'2017-11-12T04:52:06-0700'))&amp;_a=(columns:!('Message%20ID',Summary),filters:!(),index:'emp_*',interval:auto,query:(query_string:(analyze_wildcard:!t,query:'%22rtdc.l.rtdc.4008%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636</v>
      </c>
      <c r="B14" s="7">
        <v>4007</v>
      </c>
      <c r="C14" s="21" t="s">
        <v>192</v>
      </c>
      <c r="D14" s="21" t="s">
        <v>506</v>
      </c>
      <c r="E14" s="13">
        <v>43051.172418981485</v>
      </c>
      <c r="F14" s="13">
        <v>43051.17527777778</v>
      </c>
      <c r="G14" s="7">
        <v>65</v>
      </c>
      <c r="H14" s="21" t="s">
        <v>877</v>
      </c>
      <c r="I14" s="13">
        <v>43051.203576388885</v>
      </c>
      <c r="J14" s="7">
        <v>0</v>
      </c>
      <c r="K14" s="89" t="str">
        <f t="shared" si="0"/>
        <v>4007/4008</v>
      </c>
      <c r="L14" s="185" t="str">
        <f>VLOOKUP(A14,'Trips&amp;Operators'!$C$1:$G$99911,5,FALSE)</f>
        <v>THOMPSON LESTER</v>
      </c>
      <c r="M14" s="6">
        <f t="shared" si="1"/>
        <v>2.8298611105128657E-2</v>
      </c>
      <c r="N14" s="7">
        <f t="shared" si="2"/>
        <v>40.749999991385266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-11-12T03:08:17-0700',mode:absolute,to:'2017-11-12T05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23.294</v>
      </c>
      <c r="Z14" s="204">
        <f t="shared" si="8"/>
        <v>8.7499999999999994E-2</v>
      </c>
      <c r="AA14" s="204">
        <f t="shared" si="9"/>
        <v>23.206500000000002</v>
      </c>
      <c r="AB14" s="54" t="e">
        <f>VLOOKUP(A14,Enforcements!$C$7:$K$9,8,0)</f>
        <v>#N/A</v>
      </c>
      <c r="AC14" s="51" t="e">
        <f>VLOOKUP(A14,Enforcements!$C$7:$E$9,3,0)</f>
        <v>#N/A</v>
      </c>
      <c r="AD14" s="179">
        <f t="shared" si="10"/>
        <v>102</v>
      </c>
      <c r="AE14" s="77" t="str">
        <f t="shared" si="11"/>
        <v>aws s3 cp s3://rtdc.mdm.uploadarchive.raw/RTDC4007/ "%USERPROFILE%\AppData\Local\Temp\OnboardLogs"\RTDC4007\2017-11-12 --exclude "*" --recursive --include "*20171112*" &amp; "%USERPROFILE%\Documents\GitHub\mrs-test-scripts\Headless Mode &amp; Sideloading\WalkAndUnGZ.bat" "%USERPROFILE%\AppData\Local\Temp\OnboardLogs"\RTDC4007\2017-11-12 &amp; aws s3 cp s3://rtdc.mdm.uploadarchive.raw/RTDC4007/ "%USERPROFILE%\AppData\Local\Temp\OnboardLogs"\RTDC4007\2017-11-13 --exclude "*" --recursive --include "*20171113*" &amp; "%USERPROFILE%\Documents\GitHub\mrs-test-scripts\Headless Mode &amp; Sideloading\WalkAndUnGZ.bat" "%USERPROFILE%\AppData\Local\Temp\OnboardLogs"\RTDC4007\2017-11-13</v>
      </c>
      <c r="AF14" s="74" t="str">
        <f t="shared" si="12"/>
        <v>"C:\Program Files (x86)\AstroGrep\AstroGrep.exe" /e /r /s /spath="%USERPROFILE%\AppData\Local\Temp\OnboardLogs" /stypes="app*4007*20171112*" /stext=" 11:.+((SYSTEM_STATE.+slice.+state.+changed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4007 --swversion DE.1.0.9.0 --startMP 204:232940 --initTime 2017-11-12T04:08:17 --startdatetime 2017-11-12T04:12:24 --delay 65 --endMP 204:875 --enddatetime 2017-11-12T04:53:09 --enforcementcount 0 &gt;&gt;%USERPROFILE%\Documents\GitHub\eaglep3-reporting\EC\2017-11-12-refined-times.txt</v>
      </c>
      <c r="AI14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{"issue":{"subject":"","project_id":79,"tracker_id":40,"status_id":1,"priority_id":2,"assigned_to_id":338,"start_date":"2017-11-12","description":"","custom_fields":[{"id":1,"name":"Subdivision","value":"EC"},{"id":4,"name":"Milepost","value":"0.0875"},{"id":17,"name":"Train ID","value":"102-12"},{"id":16,"name":"Locomotive ID","value":"4007"},{"id":130,"name":"Impact","value":""},{"id":150,"name":"Time of Event (Mountain Time)","value":"04:53:09"},{"id":151,"name":"Denver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4007 --day 2017-11-12</v>
      </c>
      <c r="AN14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11:53:09"},{"id":29,"name":"Sharepoint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-12T03:08:17-0700',mode:absolute,to:'2017-11-12T05:53:09-0700'))&amp;_a=(columns:!('Message%20ID',Summary),filters:!(),index:'emp_*',interval:auto,query:(query_string:(analyze_wildcard:!t,query:'%22rtdc.l.rtdc.4007%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684</v>
      </c>
      <c r="B15" s="7">
        <v>4042</v>
      </c>
      <c r="C15" s="21" t="s">
        <v>192</v>
      </c>
      <c r="D15" s="21" t="s">
        <v>586</v>
      </c>
      <c r="E15" s="13">
        <v>43051.149039351854</v>
      </c>
      <c r="F15" s="13">
        <v>43051.156469907408</v>
      </c>
      <c r="G15" s="7">
        <v>56</v>
      </c>
      <c r="H15" s="21" t="s">
        <v>878</v>
      </c>
      <c r="I15" s="13">
        <v>43051.181215277778</v>
      </c>
      <c r="J15" s="7">
        <v>0</v>
      </c>
      <c r="K15" s="89" t="str">
        <f t="shared" si="0"/>
        <v>4041/4042</v>
      </c>
      <c r="L15" s="185" t="str">
        <f>VLOOKUP(A15,'Trips&amp;Operators'!$C$1:$G$99911,5,FALSE)</f>
        <v>MAELZER KURT</v>
      </c>
      <c r="M15" s="6">
        <f t="shared" si="1"/>
        <v>2.47453703705105E-2</v>
      </c>
      <c r="N15" s="7">
        <f t="shared" si="2"/>
        <v>35.63333333353512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-11-12T02:34:37-0700',mode:absolute,to:'2017-11-12T05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5.11E-2</v>
      </c>
      <c r="Z15" s="204">
        <f t="shared" si="8"/>
        <v>23.333200000000001</v>
      </c>
      <c r="AA15" s="204">
        <f t="shared" si="9"/>
        <v>23.2821</v>
      </c>
      <c r="AB15" s="54" t="e">
        <f>VLOOKUP(A15,Enforcements!$C$7:$K$9,8,0)</f>
        <v>#N/A</v>
      </c>
      <c r="AC15" s="51" t="e">
        <f>VLOOKUP(A15,Enforcements!$C$7:$E$9,3,0)</f>
        <v>#N/A</v>
      </c>
      <c r="AD15" s="179">
        <f t="shared" si="10"/>
        <v>103</v>
      </c>
      <c r="AE15" s="77" t="str">
        <f t="shared" si="11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15" s="74" t="str">
        <f t="shared" si="12"/>
        <v>"C:\Program Files (x86)\AstroGrep\AstroGrep.exe" /e /r /s /spath="%USERPROFILE%\AppData\Local\Temp\OnboardLogs" /stypes="app*4042*20171112*" /stext=" 11:.+((SYSTEM_STATE.+slice.+state.+changed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103-12 --locoid 4042 --swversion DE.1.0.9.0 --startMP 204:511 --initTime 2017-11-12T03:34:37 --startdatetime 2017-11-12T03:45:19 --delay 56 --endMP 204:233332 --enddatetime 2017-11-12T04:20:57 --enforcementcount 0 &gt;&gt;%USERPROFILE%\Documents\GitHub\eaglep3-reporting\EC\2017-11-12-refined-times.txt</v>
      </c>
      <c r="AI15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{"issue":{"subject":"","project_id":79,"tracker_id":40,"status_id":1,"priority_id":2,"assigned_to_id":338,"start_date":"2017-11-12","description":"","custom_fields":[{"id":1,"name":"Subdivision","value":"EC"},{"id":4,"name":"Milepost","value":"23.3332"},{"id":17,"name":"Train ID","value":"103-12"},{"id":16,"name":"Locomotive ID","value":"4042"},{"id":130,"name":"Impact","value":""},{"id":150,"name":"Time of Event (Mountain Time)","value":"04:20:57"},{"id":151,"name":"Denver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4042 --day 2017-11-12</v>
      </c>
      <c r="AN15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11:20:57"},{"id":29,"name":"Sharepoint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1"/>
        <v>https://d0f6bd738d7f1b3e5a7ca70fe4ff75f0.us-east-1.aws.found.io/app/kibana#/discover/Steve-Slow-Train-Analysis-(2080s-and-2083s)?_g=(refreshInterval:(display:Off,pause:!f,section:0,value:0),time:(from:'2017-11-12T02:34:37-0700',mode:absolute,to:'2017-11-12T05:20:57-0700'))&amp;_a=(columns:!('Message%20ID',Summary),filters:!(),index:'emp_*',interval:auto,query:(query_string:(analyze_wildcard:!t,query:'%22rtdc.l.rtdc.4042%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692</v>
      </c>
      <c r="B16" s="7">
        <v>4041</v>
      </c>
      <c r="C16" s="21" t="s">
        <v>192</v>
      </c>
      <c r="D16" s="21" t="s">
        <v>879</v>
      </c>
      <c r="E16" s="13">
        <v>43051.187962962962</v>
      </c>
      <c r="F16" s="13">
        <v>43051.196030092593</v>
      </c>
      <c r="G16" s="7">
        <v>57</v>
      </c>
      <c r="H16" s="21" t="s">
        <v>584</v>
      </c>
      <c r="I16" s="13">
        <v>43051.222280092596</v>
      </c>
      <c r="J16" s="7">
        <v>0</v>
      </c>
      <c r="K16" s="89" t="str">
        <f t="shared" si="0"/>
        <v>4041/4042</v>
      </c>
      <c r="L16" s="185" t="str">
        <f>VLOOKUP(A16,'Trips&amp;Operators'!$C$1:$G$99911,5,FALSE)</f>
        <v>MAELZER KURT</v>
      </c>
      <c r="M16" s="6">
        <f t="shared" si="1"/>
        <v>2.6250000002619345E-2</v>
      </c>
      <c r="N16" s="7">
        <f t="shared" si="2"/>
        <v>37.800000003771856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-11-12T03:30:40-0700',mode:absolute,to:'2017-11-12T06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23.301500000000001</v>
      </c>
      <c r="Z16" s="204">
        <f t="shared" si="8"/>
        <v>2.01E-2</v>
      </c>
      <c r="AA16" s="204">
        <f t="shared" si="9"/>
        <v>23.281400000000001</v>
      </c>
      <c r="AB16" s="54" t="e">
        <f>VLOOKUP(A16,Enforcements!$C$7:$K$9,8,0)</f>
        <v>#N/A</v>
      </c>
      <c r="AC16" s="51" t="e">
        <f>VLOOKUP(A16,Enforcements!$C$7:$E$9,3,0)</f>
        <v>#N/A</v>
      </c>
      <c r="AD16" s="179">
        <f t="shared" si="10"/>
        <v>104</v>
      </c>
      <c r="AE16" s="77" t="str">
        <f t="shared" si="11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16" s="74" t="str">
        <f t="shared" si="12"/>
        <v>"C:\Program Files (x86)\AstroGrep\AstroGrep.exe" /e /r /s /spath="%USERPROFILE%\AppData\Local\Temp\OnboardLogs" /stypes="app*4041*20171112*" /stext=" 12:.+((SYSTEM_STATE.+slice.+state.+changed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104-12 --locoid 4041 --swversion DE.1.0.9.0 --startMP 204:233015 --initTime 2017-11-12T04:30:40 --startdatetime 2017-11-12T04:42:17 --delay 57 --endMP 204:201 --enddatetime 2017-11-12T05:20:05 --enforcementcount 0 &gt;&gt;%USERPROFILE%\Documents\GitHub\eaglep3-reporting\EC\2017-11-12-refined-times.txt</v>
      </c>
      <c r="AI16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{"issue":{"subject":"","project_id":79,"tracker_id":40,"status_id":1,"priority_id":2,"assigned_to_id":338,"start_date":"2017-11-12","description":"","custom_fields":[{"id":1,"name":"Subdivision","value":"EC"},{"id":4,"name":"Milepost","value":"0.0201"},{"id":17,"name":"Train ID","value":"104-12"},{"id":16,"name":"Locomotive ID","value":"4041"},{"id":130,"name":"Impact","value":""},{"id":150,"name":"Time of Event (Mountain Time)","value":"05:20:05"},{"id":151,"name":"Denver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4041 --day 2017-11-12</v>
      </c>
      <c r="AN16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1"/>
        <v>https://d0f6bd738d7f1b3e5a7ca70fe4ff75f0.us-east-1.aws.found.io/app/kibana#/discover/Steve-Slow-Train-Analysis-(2080s-and-2083s)?_g=(refreshInterval:(display:Off,pause:!f,section:0,value:0),time:(from:'2017-11-12T03:30:40-0700',mode:absolute,to:'2017-11-12T06:20:05-0700'))&amp;_a=(columns:!('Message%20ID',Summary),filters:!(),index:'emp_*',interval:auto,query:(query_string:(analyze_wildcard:!t,query:'%22rtdc.l.rtdc.4041%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688</v>
      </c>
      <c r="B17" s="7">
        <v>4016</v>
      </c>
      <c r="C17" s="21" t="s">
        <v>192</v>
      </c>
      <c r="D17" s="21" t="s">
        <v>880</v>
      </c>
      <c r="E17" s="13">
        <v>43051.175219907411</v>
      </c>
      <c r="F17" s="13">
        <v>43051.178587962961</v>
      </c>
      <c r="G17" s="7">
        <v>185</v>
      </c>
      <c r="H17" s="21" t="s">
        <v>495</v>
      </c>
      <c r="I17" s="13">
        <v>43051.203379629631</v>
      </c>
      <c r="J17" s="7">
        <v>0</v>
      </c>
      <c r="K17" s="89" t="str">
        <f t="shared" si="0"/>
        <v>4015/4016</v>
      </c>
      <c r="L17" s="185" t="str">
        <f>VLOOKUP(A17,'Trips&amp;Operators'!$C$1:$G$99911,5,FALSE)</f>
        <v>HUFFSMITH MONTY</v>
      </c>
      <c r="M17" s="6">
        <f t="shared" si="1"/>
        <v>2.4791666670353152E-2</v>
      </c>
      <c r="N17" s="7">
        <f t="shared" si="2"/>
        <v>35.700000005308539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-11-12T03:12:19-0700',mode:absolute,to:'2017-11-12T05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4.7699999999999999E-2</v>
      </c>
      <c r="Z17" s="204">
        <f t="shared" si="8"/>
        <v>23.330500000000001</v>
      </c>
      <c r="AA17" s="204">
        <f t="shared" si="9"/>
        <v>23.282800000000002</v>
      </c>
      <c r="AB17" s="54" t="e">
        <f>VLOOKUP(A17,Enforcements!$C$7:$K$9,8,0)</f>
        <v>#N/A</v>
      </c>
      <c r="AC17" s="51" t="e">
        <f>VLOOKUP(A17,Enforcements!$C$7:$E$9,3,0)</f>
        <v>#N/A</v>
      </c>
      <c r="AD17" s="179">
        <f t="shared" si="10"/>
        <v>105</v>
      </c>
      <c r="AE17" s="77" t="str">
        <f t="shared" si="11"/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17" s="74" t="str">
        <f t="shared" si="12"/>
        <v>"C:\Program Files (x86)\AstroGrep\AstroGrep.exe" /e /r /s /spath="%USERPROFILE%\AppData\Local\Temp\OnboardLogs" /stypes="app*4016*20171112*" /stext=" 11:.+((SYSTEM_STATE.+slice.+state.+changed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105-12 --locoid 4016 --swversion DE.1.0.9.0 --startMP 204:477 --initTime 2017-11-12T04:12:19 --startdatetime 2017-11-12T04:17:10 --delay 185 --endMP 204:233305 --enddatetime 2017-11-12T04:52:52 --enforcementcount 0 &gt;&gt;%USERPROFILE%\Documents\GitHub\eaglep3-reporting\EC\2017-11-12-refined-times.txt</v>
      </c>
      <c r="AI17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{"issue":{"subject":"","project_id":79,"tracker_id":40,"status_id":1,"priority_id":2,"assigned_to_id":338,"start_date":"2017-11-12","description":"","custom_fields":[{"id":1,"name":"Subdivision","value":"EC"},{"id":4,"name":"Milepost","value":"23.3305"},{"id":17,"name":"Train ID","value":"105-12"},{"id":16,"name":"Locomotive ID","value":"4016"},{"id":130,"name":"Impact","value":""},{"id":150,"name":"Time of Event (Mountain Time)","value":"04:52:52"},{"id":151,"name":"Denver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4016 --day 2017-11-12</v>
      </c>
      <c r="AN17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11:52:52"},{"id":29,"name":"Sharepoint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1"/>
        <v>https://d0f6bd738d7f1b3e5a7ca70fe4ff75f0.us-east-1.aws.found.io/app/kibana#/discover/Steve-Slow-Train-Analysis-(2080s-and-2083s)?_g=(refreshInterval:(display:Off,pause:!f,section:0,value:0),time:(from:'2017-11-12T03:12:19-0700',mode:absolute,to:'2017-11-12T05:52:52-0700'))&amp;_a=(columns:!('Message%20ID',Summary),filters:!(),index:'emp_*',interval:auto,query:(query_string:(analyze_wildcard:!t,query:'%22rtdc.l.rtdc.4016%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642</v>
      </c>
      <c r="B18" s="7">
        <v>4015</v>
      </c>
      <c r="C18" s="21" t="s">
        <v>192</v>
      </c>
      <c r="D18" s="21" t="s">
        <v>446</v>
      </c>
      <c r="E18" s="13">
        <v>43051.206238425926</v>
      </c>
      <c r="F18" s="13">
        <v>43051.216851851852</v>
      </c>
      <c r="G18" s="7">
        <v>61</v>
      </c>
      <c r="H18" s="21" t="s">
        <v>881</v>
      </c>
      <c r="I18" s="13">
        <v>43051.243969907409</v>
      </c>
      <c r="J18" s="7">
        <v>0</v>
      </c>
      <c r="K18" s="89" t="str">
        <f t="shared" si="0"/>
        <v>4015/4016</v>
      </c>
      <c r="L18" s="185" t="str">
        <f>VLOOKUP(A18,'Trips&amp;Operators'!$C$1:$G$99911,5,FALSE)</f>
        <v>HUFFSMITH MONTY</v>
      </c>
      <c r="M18" s="6">
        <f t="shared" si="1"/>
        <v>2.7118055557366461E-2</v>
      </c>
      <c r="N18" s="7">
        <f t="shared" si="2"/>
        <v>39.050000002607703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-11-12T03:56:59-0700',mode:absolute,to:'2017-11-12T06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23.297699999999999</v>
      </c>
      <c r="Z18" s="204">
        <f t="shared" si="8"/>
        <v>1.6899999999999998E-2</v>
      </c>
      <c r="AA18" s="204">
        <f t="shared" si="9"/>
        <v>23.280799999999999</v>
      </c>
      <c r="AB18" s="54" t="e">
        <f>VLOOKUP(A18,Enforcements!$C$7:$K$9,8,0)</f>
        <v>#N/A</v>
      </c>
      <c r="AC18" s="51" t="e">
        <f>VLOOKUP(A18,Enforcements!$C$7:$E$9,3,0)</f>
        <v>#N/A</v>
      </c>
      <c r="AD18" s="179">
        <f t="shared" si="10"/>
        <v>106</v>
      </c>
      <c r="AE18" s="77" t="str">
        <f t="shared" si="11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18" s="74" t="str">
        <f t="shared" si="12"/>
        <v>"C:\Program Files (x86)\AstroGrep\AstroGrep.exe" /e /r /s /spath="%USERPROFILE%\AppData\Local\Temp\OnboardLogs" /stypes="app*4015*20171112*" /stext=" 12:.+((SYSTEM_STATE.+slice.+state.+changed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106-12 --locoid 4015 --swversion DE.1.0.9.0 --startMP 204:232977 --initTime 2017-11-12T04:56:59 --startdatetime 2017-11-12T05:12:16 --delay 61 --endMP 204:169 --enddatetime 2017-11-12T05:51:19 --enforcementcount 0 &gt;&gt;%USERPROFILE%\Documents\GitHub\eaglep3-reporting\EC\2017-11-12-refined-times.txt</v>
      </c>
      <c r="AI18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{"issue":{"subject":"","project_id":79,"tracker_id":40,"status_id":1,"priority_id":2,"assigned_to_id":338,"start_date":"2017-11-12","description":"","custom_fields":[{"id":1,"name":"Subdivision","value":"EC"},{"id":4,"name":"Milepost","value":"0.0169"},{"id":17,"name":"Train ID","value":"106-12"},{"id":16,"name":"Locomotive ID","value":"4015"},{"id":130,"name":"Impact","value":""},{"id":150,"name":"Time of Event (Mountain Time)","value":"05:51:19"},{"id":151,"name":"Denver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4015 --day 2017-11-12</v>
      </c>
      <c r="AN18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1"/>
        <v>https://d0f6bd738d7f1b3e5a7ca70fe4ff75f0.us-east-1.aws.found.io/app/kibana#/discover/Steve-Slow-Train-Analysis-(2080s-and-2083s)?_g=(refreshInterval:(display:Off,pause:!f,section:0,value:0),time:(from:'2017-11-12T03:56:59-0700',mode:absolute,to:'2017-11-12T06:51:19-0700'))&amp;_a=(columns:!('Message%20ID',Summary),filters:!(),index:'emp_*',interval:auto,query:(query_string:(analyze_wildcard:!t,query:'%22rtdc.l.rtdc.4015%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691</v>
      </c>
      <c r="B19" s="7">
        <v>4006</v>
      </c>
      <c r="C19" s="21" t="s">
        <v>192</v>
      </c>
      <c r="D19" s="21" t="s">
        <v>459</v>
      </c>
      <c r="E19" s="13">
        <v>43051.18550925926</v>
      </c>
      <c r="F19" s="13">
        <v>43051.187685185185</v>
      </c>
      <c r="G19" s="7">
        <v>112</v>
      </c>
      <c r="H19" s="21" t="s">
        <v>876</v>
      </c>
      <c r="I19" s="13">
        <v>43051.21162037037</v>
      </c>
      <c r="J19" s="7">
        <v>0</v>
      </c>
      <c r="K19" s="89" t="str">
        <f t="shared" si="0"/>
        <v>4005/4006</v>
      </c>
      <c r="L19" s="185" t="str">
        <f>VLOOKUP(A19,'Trips&amp;Operators'!$C$1:$G$99911,5,FALSE)</f>
        <v>ROMERO CHAD</v>
      </c>
      <c r="M19" s="6">
        <f t="shared" si="1"/>
        <v>2.3935185185109731E-2</v>
      </c>
      <c r="N19" s="7">
        <f t="shared" si="2"/>
        <v>34.466666666558012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-11-12T03:27:08-0700',mode:absolute,to:'2017-11-12T06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5.0599999999999999E-2</v>
      </c>
      <c r="Z19" s="204">
        <f t="shared" si="8"/>
        <v>23.327999999999999</v>
      </c>
      <c r="AA19" s="204">
        <f t="shared" si="9"/>
        <v>23.2774</v>
      </c>
      <c r="AB19" s="54" t="e">
        <f>VLOOKUP(A19,Enforcements!$C$7:$K$9,8,0)</f>
        <v>#N/A</v>
      </c>
      <c r="AC19" s="51" t="e">
        <f>VLOOKUP(A19,Enforcements!$C$7:$E$9,3,0)</f>
        <v>#N/A</v>
      </c>
      <c r="AD19" s="179">
        <f t="shared" si="10"/>
        <v>107</v>
      </c>
      <c r="AE19" s="77" t="str">
        <f t="shared" si="11"/>
        <v>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 &amp; aws s3 cp s3://rtdc.mdm.uploadarchive.raw/RTDC4006/ "%USERPROFILE%\AppData\Local\Temp\OnboardLogs"\RTDC4006\2017-11-13 --exclude "*" --recursive --include "*20171113*" &amp; "%USERPROFILE%\Documents\GitHub\mrs-test-scripts\Headless Mode &amp; Sideloading\WalkAndUnGZ.bat" "%USERPROFILE%\AppData\Local\Temp\OnboardLogs"\RTDC4006\2017-11-13</v>
      </c>
      <c r="AF19" s="74" t="str">
        <f t="shared" si="12"/>
        <v>"C:\Program Files (x86)\AstroGrep\AstroGrep.exe" /e /r /s /spath="%USERPROFILE%\AppData\Local\Temp\OnboardLogs" /stypes="app*4006*20171112*" /stext=" 12:.+((SYSTEM_STATE.+slice.+state.+changed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107-12 --locoid 4006 --swversion DE.1.0.9.0 --startMP 204:506 --initTime 2017-11-12T04:27:08 --startdatetime 2017-11-12T04:30:16 --delay 112 --endMP 204:233280 --enddatetime 2017-11-12T05:04:44 --enforcementcount 0 &gt;&gt;%USERPROFILE%\Documents\GitHub\eaglep3-reporting\EC\2017-11-12-refined-times.txt</v>
      </c>
      <c r="AI19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{"issue":{"subject":"","project_id":79,"tracker_id":40,"status_id":1,"priority_id":2,"assigned_to_id":338,"start_date":"2017-11-12","description":"","custom_fields":[{"id":1,"name":"Subdivision","value":"EC"},{"id":4,"name":"Milepost","value":"23.328"},{"id":17,"name":"Train ID","value":"107-12"},{"id":16,"name":"Locomotive ID","value":"4006"},{"id":130,"name":"Impact","value":""},{"id":150,"name":"Time of Event (Mountain Time)","value":"05:04:44"},{"id":151,"name":"Denver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4006 --day 2017-11-12</v>
      </c>
      <c r="AN19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1"/>
        <v>https://d0f6bd738d7f1b3e5a7ca70fe4ff75f0.us-east-1.aws.found.io/app/kibana#/discover/Steve-Slow-Train-Analysis-(2080s-and-2083s)?_g=(refreshInterval:(display:Off,pause:!f,section:0,value:0),time:(from:'2017-11-12T03:27:08-0700',mode:absolute,to:'2017-11-12T06:04:44-0700'))&amp;_a=(columns:!('Message%20ID',Summary),filters:!(),index:'emp_*',interval:auto,query:(query_string:(analyze_wildcard:!t,query:'%22rtdc.l.rtdc.4006%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701</v>
      </c>
      <c r="B20" s="7">
        <v>4005</v>
      </c>
      <c r="C20" s="21" t="s">
        <v>192</v>
      </c>
      <c r="D20" s="21" t="s">
        <v>882</v>
      </c>
      <c r="E20" s="13">
        <v>43051.212789351855</v>
      </c>
      <c r="F20" s="13">
        <v>43051.227280092593</v>
      </c>
      <c r="G20" s="7">
        <v>935</v>
      </c>
      <c r="H20" s="21" t="s">
        <v>610</v>
      </c>
      <c r="I20" s="13">
        <v>43051.25273148148</v>
      </c>
      <c r="J20" s="7">
        <v>0</v>
      </c>
      <c r="K20" s="89" t="str">
        <f t="shared" si="0"/>
        <v>4005/4006</v>
      </c>
      <c r="L20" s="185" t="str">
        <f>VLOOKUP(A20,'Trips&amp;Operators'!$C$1:$G$99911,5,FALSE)</f>
        <v>ROMERO CHAD</v>
      </c>
      <c r="M20" s="6">
        <f t="shared" si="1"/>
        <v>2.545138888672227E-2</v>
      </c>
      <c r="N20" s="7">
        <f t="shared" si="2"/>
        <v>36.649999996880069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-11-12T04:06:25-0700',mode:absolute,to:'2017-11-12T07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23.295999999999999</v>
      </c>
      <c r="Z20" s="204">
        <f t="shared" si="8"/>
        <v>2.4199999999999999E-2</v>
      </c>
      <c r="AA20" s="204">
        <f t="shared" si="9"/>
        <v>23.271799999999999</v>
      </c>
      <c r="AB20" s="54" t="e">
        <f>VLOOKUP(A20,Enforcements!$C$7:$K$9,8,0)</f>
        <v>#N/A</v>
      </c>
      <c r="AC20" s="51" t="e">
        <f>VLOOKUP(A20,Enforcements!$C$7:$E$9,3,0)</f>
        <v>#N/A</v>
      </c>
      <c r="AD20" s="179">
        <f t="shared" si="10"/>
        <v>108</v>
      </c>
      <c r="AE20" s="77" t="str">
        <f t="shared" si="11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20" s="74" t="str">
        <f t="shared" si="12"/>
        <v>"C:\Program Files (x86)\AstroGrep\AstroGrep.exe" /e /r /s /spath="%USERPROFILE%\AppData\Local\Temp\OnboardLogs" /stypes="app*4005*20171112*" /stext=" 13:.+((SYSTEM_STATE.+slice.+state.+changed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108-12 --locoid 4005 --swversion DE.1.0.9.0 --startMP 204:232960 --initTime 2017-11-12T05:06:25 --startdatetime 2017-11-12T05:27:17 --delay 935 --endMP 204:242 --enddatetime 2017-11-12T06:03:56 --enforcementcount 0 &gt;&gt;%USERPROFILE%\Documents\GitHub\eaglep3-reporting\EC\2017-11-12-refined-times.txt</v>
      </c>
      <c r="AI20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{"issue":{"subject":"","project_id":79,"tracker_id":40,"status_id":1,"priority_id":2,"assigned_to_id":338,"start_date":"2017-11-12","description":"","custom_fields":[{"id":1,"name":"Subdivision","value":"EC"},{"id":4,"name":"Milepost","value":"0.0242"},{"id":17,"name":"Train ID","value":"108-12"},{"id":16,"name":"Locomotive ID","value":"4005"},{"id":130,"name":"Impact","value":""},{"id":150,"name":"Time of Event (Mountain Time)","value":"06:03:56"},{"id":151,"name":"Denver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4005 --day 2017-11-12</v>
      </c>
      <c r="AN20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13:03:56"},{"id":29,"name":"Sharepoint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1"/>
        <v>https://d0f6bd738d7f1b3e5a7ca70fe4ff75f0.us-east-1.aws.found.io/app/kibana#/discover/Steve-Slow-Train-Analysis-(2080s-and-2083s)?_g=(refreshInterval:(display:Off,pause:!f,section:0,value:0),time:(from:'2017-11-12T04:06:25-0700',mode:absolute,to:'2017-11-12T07:03:56-0700'))&amp;_a=(columns:!('Message%20ID',Summary),filters:!(),index:'emp_*',interval:auto,query:(query_string:(analyze_wildcard:!t,query:'%22rtdc.l.rtdc.4005%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696</v>
      </c>
      <c r="B21" s="7">
        <v>4002</v>
      </c>
      <c r="C21" s="21" t="s">
        <v>192</v>
      </c>
      <c r="D21" s="21" t="s">
        <v>883</v>
      </c>
      <c r="E21" s="13">
        <v>43051.191747685189</v>
      </c>
      <c r="F21" s="13">
        <v>43051.199386574073</v>
      </c>
      <c r="G21" s="7">
        <v>105</v>
      </c>
      <c r="H21" s="21" t="s">
        <v>884</v>
      </c>
      <c r="I21" s="13">
        <v>43051.222719907404</v>
      </c>
      <c r="J21" s="7">
        <v>0</v>
      </c>
      <c r="K21" s="89" t="str">
        <f t="shared" si="0"/>
        <v>4001/4002</v>
      </c>
      <c r="L21" s="185" t="str">
        <f>VLOOKUP(A21,'Trips&amp;Operators'!$C$1:$G$99911,5,FALSE)</f>
        <v>DELGADO DIANAH</v>
      </c>
      <c r="M21" s="6">
        <f t="shared" si="1"/>
        <v>2.3333333330811001E-2</v>
      </c>
      <c r="N21" s="7">
        <f t="shared" si="2"/>
        <v>33.599999996367842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-11-12T03:36:07-0700',mode:absolute,to:'2017-11-12T06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4.9799999999999997E-2</v>
      </c>
      <c r="Z21" s="204">
        <f t="shared" si="8"/>
        <v>23.327400000000001</v>
      </c>
      <c r="AA21" s="204">
        <f t="shared" si="9"/>
        <v>23.2776</v>
      </c>
      <c r="AB21" s="54" t="e">
        <f>VLOOKUP(A21,Enforcements!$C$7:$K$9,8,0)</f>
        <v>#N/A</v>
      </c>
      <c r="AC21" s="51" t="e">
        <f>VLOOKUP(A21,Enforcements!$C$7:$E$9,3,0)</f>
        <v>#N/A</v>
      </c>
      <c r="AD21" s="179">
        <f t="shared" si="10"/>
        <v>109</v>
      </c>
      <c r="AE21" s="77" t="str">
        <f t="shared" si="11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21" s="74" t="str">
        <f t="shared" si="12"/>
        <v>"C:\Program Files (x86)\AstroGrep\AstroGrep.exe" /e /r /s /spath="%USERPROFILE%\AppData\Local\Temp\OnboardLogs" /stypes="app*4002*20171112*" /stext=" 12:.+((SYSTEM_STATE.+slice.+state.+changed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109-12 --locoid 4002 --swversion DE.1.0.9.0 --startMP 204:498 --initTime 2017-11-12T04:36:07 --startdatetime 2017-11-12T04:47:07 --delay 105 --endMP 204:233274 --enddatetime 2017-11-12T05:20:43 --enforcementcount 0 &gt;&gt;%USERPROFILE%\Documents\GitHub\eaglep3-reporting\EC\2017-11-12-refined-times.txt</v>
      </c>
      <c r="AI21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{"issue":{"subject":"","project_id":79,"tracker_id":40,"status_id":1,"priority_id":2,"assigned_to_id":338,"start_date":"2017-11-12","description":"","custom_fields":[{"id":1,"name":"Subdivision","value":"EC"},{"id":4,"name":"Milepost","value":"23.3274"},{"id":17,"name":"Train ID","value":"109-12"},{"id":16,"name":"Locomotive ID","value":"4002"},{"id":130,"name":"Impact","value":""},{"id":150,"name":"Time of Event (Mountain Time)","value":"05:20:43"},{"id":151,"name":"Denver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4002 --day 2017-11-12</v>
      </c>
      <c r="AN21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1"/>
        <v>https://d0f6bd738d7f1b3e5a7ca70fe4ff75f0.us-east-1.aws.found.io/app/kibana#/discover/Steve-Slow-Train-Analysis-(2080s-and-2083s)?_g=(refreshInterval:(display:Off,pause:!f,section:0,value:0),time:(from:'2017-11-12T03:36:07-0700',mode:absolute,to:'2017-11-12T06:20:43-0700'))&amp;_a=(columns:!('Message%20ID',Summary),filters:!(),index:'emp_*',interval:auto,query:(query_string:(analyze_wildcard:!t,query:'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708</v>
      </c>
      <c r="B22" s="7">
        <v>4001</v>
      </c>
      <c r="C22" s="21" t="s">
        <v>192</v>
      </c>
      <c r="D22" s="21" t="s">
        <v>503</v>
      </c>
      <c r="E22" s="13">
        <v>43051.225162037037</v>
      </c>
      <c r="F22" s="13">
        <v>43051.237685185188</v>
      </c>
      <c r="G22" s="7">
        <v>750</v>
      </c>
      <c r="H22" s="21" t="s">
        <v>885</v>
      </c>
      <c r="I22" s="13">
        <v>43051.263703703706</v>
      </c>
      <c r="J22" s="7">
        <v>0</v>
      </c>
      <c r="K22" s="89" t="str">
        <f t="shared" si="0"/>
        <v>4001/4002</v>
      </c>
      <c r="L22" s="185" t="str">
        <f>VLOOKUP(A22,'Trips&amp;Operators'!$C$1:$G$99911,5,FALSE)</f>
        <v>DELGADO DIANAH</v>
      </c>
      <c r="M22" s="6">
        <f t="shared" si="1"/>
        <v>2.6018518517958E-2</v>
      </c>
      <c r="N22" s="7">
        <f t="shared" si="2"/>
        <v>37.46666666585952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-11-12T04:24:14-0700',mode:absolute,to:'2017-11-12T07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23.296299999999999</v>
      </c>
      <c r="Z22" s="204">
        <f t="shared" si="8"/>
        <v>1.4500000000000001E-2</v>
      </c>
      <c r="AA22" s="204">
        <f t="shared" si="9"/>
        <v>23.281799999999997</v>
      </c>
      <c r="AB22" s="54" t="e">
        <f>VLOOKUP(A22,Enforcements!$C$7:$K$9,8,0)</f>
        <v>#N/A</v>
      </c>
      <c r="AC22" s="51" t="e">
        <f>VLOOKUP(A22,Enforcements!$C$7:$E$9,3,0)</f>
        <v>#N/A</v>
      </c>
      <c r="AD22" s="179">
        <f t="shared" si="10"/>
        <v>110</v>
      </c>
      <c r="AE22" s="77" t="str">
        <f t="shared" si="11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22" s="74" t="str">
        <f t="shared" si="12"/>
        <v>"C:\Program Files (x86)\AstroGrep\AstroGrep.exe" /e /r /s /spath="%USERPROFILE%\AppData\Local\Temp\OnboardLogs" /stypes="app*4001*20171112*" /stext=" 13:.+((SYSTEM_STATE.+slice.+state.+changed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110-12 --locoid 4001 --swversion DE.1.0.9.0 --startMP 204:232963 --initTime 2017-11-12T05:24:14 --startdatetime 2017-11-12T05:42:16 --delay 750 --endMP 204:145 --enddatetime 2017-11-12T06:19:44 --enforcementcount 0 &gt;&gt;%USERPROFILE%\Documents\GitHub\eaglep3-reporting\EC\2017-11-12-refined-times.txt</v>
      </c>
      <c r="AI22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{"issue":{"subject":"","project_id":79,"tracker_id":40,"status_id":1,"priority_id":2,"assigned_to_id":338,"start_date":"2017-11-12","description":"","custom_fields":[{"id":1,"name":"Subdivision","value":"EC"},{"id":4,"name":"Milepost","value":"0.0145"},{"id":17,"name":"Train ID","value":"110-12"},{"id":16,"name":"Locomotive ID","value":"4001"},{"id":130,"name":"Impact","value":""},{"id":150,"name":"Time of Event (Mountain Time)","value":"06:19:44"},{"id":151,"name":"Denver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4001 --day 2017-11-12</v>
      </c>
      <c r="AN22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13:19:44"},{"id":29,"name":"Sharepoint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1"/>
        <v>https://d0f6bd738d7f1b3e5a7ca70fe4ff75f0.us-east-1.aws.found.io/app/kibana#/discover/Steve-Slow-Train-Analysis-(2080s-and-2083s)?_g=(refreshInterval:(display:Off,pause:!f,section:0,value:0),time:(from:'2017-11-12T04:24:14-0700',mode:absolute,to:'2017-11-12T07:19:44-0700'))&amp;_a=(columns:!('Message%20ID',Summary),filters:!(),index:'emp_*',interval:auto,query:(query_string:(analyze_wildcard:!t,query:'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700</v>
      </c>
      <c r="B23" s="7">
        <v>4064</v>
      </c>
      <c r="C23" s="21" t="s">
        <v>192</v>
      </c>
      <c r="D23" s="21" t="s">
        <v>503</v>
      </c>
      <c r="E23" s="13">
        <v>43051.225162037037</v>
      </c>
      <c r="F23" s="13">
        <v>43051.212442129632</v>
      </c>
      <c r="G23" s="7">
        <v>750</v>
      </c>
      <c r="H23" s="21" t="s">
        <v>885</v>
      </c>
      <c r="I23" s="13">
        <v>43051.243645833332</v>
      </c>
      <c r="J23" s="7">
        <v>0</v>
      </c>
      <c r="K23" s="89" t="str">
        <f t="shared" si="0"/>
        <v>4063/4064</v>
      </c>
      <c r="L23" s="185" t="str">
        <f>VLOOKUP(A23,'Trips&amp;Operators'!$C$1:$G$99911,5,FALSE)</f>
        <v>THOMPSON LESTER</v>
      </c>
      <c r="M23" s="6">
        <f t="shared" si="1"/>
        <v>3.1203703700157348E-2</v>
      </c>
      <c r="N23" s="7">
        <f t="shared" si="2"/>
        <v>44.933333328226581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-11-12T04:24:14-0700',mode:absolute,to:'2017-11-12T06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v>4.9799999999999997E-2</v>
      </c>
      <c r="Z23" s="204">
        <v>23.327400000000001</v>
      </c>
      <c r="AA23" s="204">
        <f t="shared" si="9"/>
        <v>23.2776</v>
      </c>
      <c r="AB23" s="54" t="e">
        <f>VLOOKUP(A23,Enforcements!$C$7:$K$9,8,0)</f>
        <v>#N/A</v>
      </c>
      <c r="AC23" s="51" t="e">
        <f>VLOOKUP(A23,Enforcements!$C$7:$E$9,3,0)</f>
        <v>#N/A</v>
      </c>
      <c r="AD23" s="179">
        <f t="shared" si="10"/>
        <v>111</v>
      </c>
      <c r="AE23" s="77" t="str">
        <f t="shared" si="11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23" s="74" t="str">
        <f t="shared" si="12"/>
        <v>"C:\Program Files (x86)\AstroGrep\AstroGrep.exe" /e /r /s /spath="%USERPROFILE%\AppData\Local\Temp\OnboardLogs" /stypes="app*4064*20171112*" /stext=" 12:.+((SYSTEM_STATE.+slice.+state.+changed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ref="AH23" si="22"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111-12 --locoid 4064 --swversion DE.1.0.9.0 --startMP 204:232963 --initTime 2017-11-12T05:24:14 --startdatetime 2017-11-12T05:05:55 --delay 750 --endMP 204:145 --enddatetime 2017-11-12T05:50:51 --enforcementcount 0 &gt;&gt;%USERPROFILE%\Documents\GitHub\eaglep3-reporting\EC\2017-11-12-refined-times.txt</v>
      </c>
      <c r="AI23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{"issue":{"subject":"","project_id":79,"tracker_id":40,"status_id":1,"priority_id":2,"assigned_to_id":338,"start_date":"2017-11-12","description":"","custom_fields":[{"id":1,"name":"Subdivision","value":"EC"},{"id":4,"name":"Milepost","value":"23.3274"},{"id":17,"name":"Train ID","value":"111-12"},{"id":16,"name":"Locomotive ID","value":"4064"},{"id":130,"name":"Impact","value":""},{"id":150,"name":"Time of Event (Mountain Time)","value":"05:50:51"},{"id":151,"name":"Denver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ref="AM23" si="23">"start /low /b "&amp;dls3logs&amp;" --loco "&amp;B23&amp;" --day "&amp;TEXT(F23,"YYYY-MM-DD")</f>
        <v>start /low /b %USERPROFILE%\Documents\GitHub\eaglep3\Utilities\DownloadLogsFromS3.py --loco 4064 --day 2017-11-12</v>
      </c>
      <c r="AN23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ref="AO23" si="24"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Message%20ID',Summary),filters:!(),index:'emp_*',interval:auto,query:"&amp;"(query_string:(analyze_wildcard:!t,query:'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-12T04:24:14-0700',mode:absolute,to:'2017-11-12T06:50:51-0700'))&amp;_a=(columns:!('Message%20ID',Summary),filters:!(),index:'emp_*',interval:auto,query:(query_string:(analyze_wildcard:!t,query:'%22rtdc.l.rtdc.4064%22')),sort:!(Time.ISO8601,asc))</v>
      </c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</row>
    <row r="24" spans="1:91" s="1" customFormat="1" x14ac:dyDescent="0.25">
      <c r="A24" s="32" t="s">
        <v>712</v>
      </c>
      <c r="B24" s="7">
        <v>4063</v>
      </c>
      <c r="C24" s="21" t="s">
        <v>192</v>
      </c>
      <c r="D24" s="21" t="s">
        <v>623</v>
      </c>
      <c r="E24" s="13">
        <v>43051.246342592596</v>
      </c>
      <c r="F24" s="13">
        <v>43051.248159722221</v>
      </c>
      <c r="G24" s="7">
        <v>83</v>
      </c>
      <c r="H24" s="21" t="s">
        <v>599</v>
      </c>
      <c r="I24" s="13">
        <v>43051.275023148148</v>
      </c>
      <c r="J24" s="7">
        <v>0</v>
      </c>
      <c r="K24" s="89" t="str">
        <f t="shared" si="0"/>
        <v>4063/4064</v>
      </c>
      <c r="L24" s="185" t="str">
        <f>VLOOKUP(A24,'Trips&amp;Operators'!$C$1:$G$99911,5,FALSE)</f>
        <v>THOMPSON LESTER</v>
      </c>
      <c r="M24" s="6">
        <f t="shared" si="1"/>
        <v>2.6863425926421769E-2</v>
      </c>
      <c r="N24" s="7">
        <f t="shared" si="2"/>
        <v>38.683333334047347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-11-12T04:54:44-0700',mode:absolute,to:'2017-11-12T07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" s="204" t="str">
        <f>IF(AA24&lt;VLOOKUP(AG24,Variables!$AC$3:$AD$8,2,FALSE),"Y","N")</f>
        <v>N</v>
      </c>
      <c r="X24" s="204">
        <f t="shared" ref="X24:X25" si="25">VALUE(LEFT(AD24,4))-VALUE(LEFT(AD23,4))</f>
        <v>1</v>
      </c>
      <c r="Y24" s="204">
        <f t="shared" ref="Y24:Y55" si="26">RIGHT(D24,LEN(D24)-4)/10000</f>
        <v>23.295500000000001</v>
      </c>
      <c r="Z24" s="204">
        <f t="shared" ref="Z24:Z55" si="27">RIGHT(H24,LEN(H24)-4)/10000</f>
        <v>2.3199999999999998E-2</v>
      </c>
      <c r="AA24" s="204">
        <f t="shared" si="9"/>
        <v>23.272300000000001</v>
      </c>
      <c r="AB24" s="54" t="e">
        <f>VLOOKUP(A24,Enforcements!$C$7:$K$9,8,0)</f>
        <v>#N/A</v>
      </c>
      <c r="AC24" s="51" t="e">
        <f>VLOOKUP(A24,Enforcements!$C$7:$E$9,3,0)</f>
        <v>#N/A</v>
      </c>
      <c r="AD24" s="179">
        <f t="shared" si="10"/>
        <v>112</v>
      </c>
      <c r="AE24" s="77" t="str">
        <f t="shared" si="11"/>
        <v>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 &amp; aws s3 cp s3://rtdc.mdm.uploadarchive.raw/RTDC4063/ "%USERPROFILE%\AppData\Local\Temp\OnboardLogs"\RTDC4063\2017-11-13 --exclude "*" --recursive --include "*20171113*" &amp; "%USERPROFILE%\Documents\GitHub\mrs-test-scripts\Headless Mode &amp; Sideloading\WalkAndUnGZ.bat" "%USERPROFILE%\AppData\Local\Temp\OnboardLogs"\RTDC4063\2017-11-13</v>
      </c>
      <c r="AF24" s="74" t="str">
        <f t="shared" si="12"/>
        <v>"C:\Program Files (x86)\AstroGrep\AstroGrep.exe" /e /r /s /spath="%USERPROFILE%\AppData\Local\Temp\OnboardLogs" /stypes="app*4063*20171112*" /stext=" 13:.+((SYSTEM_STATE.+slice.+state.+changed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112-12 --locoid 4063 --swversion DE.1.0.9.0 --startMP 204:232955 --initTime 2017-11-12T05:54:44 --startdatetime 2017-11-12T05:57:21 --delay 83 --endMP 204:232 --enddatetime 2017-11-12T06:36:02 --enforcementcount 0 &gt;&gt;%USERPROFILE%\Documents\GitHub\eaglep3-reporting\EC\2017-11-12-refined-times.txt</v>
      </c>
      <c r="AI24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{"issue":{"subject":"","project_id":79,"tracker_id":40,"status_id":1,"priority_id":2,"assigned_to_id":338,"start_date":"2017-11-12","description":"","custom_fields":[{"id":1,"name":"Subdivision","value":"EC"},{"id":4,"name":"Milepost","value":"0.0232"},{"id":17,"name":"Train ID","value":"112-12"},{"id":16,"name":"Locomotive ID","value":"4063"},{"id":130,"name":"Impact","value":""},{"id":150,"name":"Time of Event (Mountain Time)","value":"06:36:02"},{"id":151,"name":"Denver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4063 --day 2017-11-12</v>
      </c>
      <c r="AN24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13:36:02"},{"id":29,"name":"Sharepoint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1"/>
        <v>https://d0f6bd738d7f1b3e5a7ca70fe4ff75f0.us-east-1.aws.found.io/app/kibana#/discover/Steve-Slow-Train-Analysis-(2080s-and-2083s)?_g=(refreshInterval:(display:Off,pause:!f,section:0,value:0),time:(from:'2017-11-12T04:54:44-0700',mode:absolute,to:'2017-11-12T07:36:02-0700'))&amp;_a=(columns:!('Message%20ID',Summary),filters:!(),index:'emp_*',interval:auto,query:(query_string:(analyze_wildcard:!t,query:'%22rtdc.l.rtdc.4063%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702</v>
      </c>
      <c r="B25" s="7">
        <v>4052</v>
      </c>
      <c r="C25" s="21" t="s">
        <v>192</v>
      </c>
      <c r="D25" s="21" t="s">
        <v>594</v>
      </c>
      <c r="E25" s="13">
        <v>43051.21434027778</v>
      </c>
      <c r="F25" s="13">
        <v>43051.218923611108</v>
      </c>
      <c r="G25" s="7">
        <v>109</v>
      </c>
      <c r="H25" s="21" t="s">
        <v>886</v>
      </c>
      <c r="I25" s="13">
        <v>43051.246412037035</v>
      </c>
      <c r="J25" s="7">
        <v>0</v>
      </c>
      <c r="K25" s="89" t="str">
        <f t="shared" si="0"/>
        <v>4051/4052</v>
      </c>
      <c r="L25" s="185" t="str">
        <f>VLOOKUP(A25,'Trips&amp;Operators'!$C$1:$G$99911,5,FALSE)</f>
        <v>WILLIAMS DONTE</v>
      </c>
      <c r="M25" s="6">
        <f t="shared" si="1"/>
        <v>2.7488425927003846E-2</v>
      </c>
      <c r="N25" s="7">
        <f t="shared" si="2"/>
        <v>39.583333334885538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-11-12T04:08:39-0700',mode:absolute,to:'2017-11-12T06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5" s="204" t="str">
        <f>IF(AA25&lt;VLOOKUP(AG25,Variables!$AC$3:$AD$8,2,FALSE),"Y","N")</f>
        <v>N</v>
      </c>
      <c r="X25" s="204">
        <f t="shared" si="25"/>
        <v>1</v>
      </c>
      <c r="Y25" s="204">
        <f t="shared" si="26"/>
        <v>4.7800000000000002E-2</v>
      </c>
      <c r="Z25" s="204">
        <f t="shared" si="27"/>
        <v>23.323</v>
      </c>
      <c r="AA25" s="204">
        <f t="shared" si="9"/>
        <v>23.275200000000002</v>
      </c>
      <c r="AB25" s="54" t="e">
        <f>VLOOKUP(A25,Enforcements!$C$7:$K$9,8,0)</f>
        <v>#N/A</v>
      </c>
      <c r="AC25" s="51" t="e">
        <f>VLOOKUP(A25,Enforcements!$C$7:$E$9,3,0)</f>
        <v>#N/A</v>
      </c>
      <c r="AD25" s="179">
        <f t="shared" si="10"/>
        <v>113</v>
      </c>
      <c r="AE25" s="77" t="str">
        <f t="shared" si="11"/>
        <v>aws s3 cp s3://rtdc.mdm.uploadarchive.raw/RTDC4052/ "%USERPROFILE%\AppData\Local\Temp\OnboardLogs"\RTDC4052\2017-11-12 --exclude "*" --recursive --include "*20171112*" &amp; "%USERPROFILE%\Documents\GitHub\mrs-test-scripts\Headless Mode &amp; Sideloading\WalkAndUnGZ.bat" "%USERPROFILE%\AppData\Local\Temp\OnboardLogs"\RTDC4052\2017-11-12 &amp; aws s3 cp s3://rtdc.mdm.uploadarchive.raw/RTDC4052/ "%USERPROFILE%\AppData\Local\Temp\OnboardLogs"\RTDC4052\2017-11-13 --exclude "*" --recursive --include "*20171113*" &amp; "%USERPROFILE%\Documents\GitHub\mrs-test-scripts\Headless Mode &amp; Sideloading\WalkAndUnGZ.bat" "%USERPROFILE%\AppData\Local\Temp\OnboardLogs"\RTDC4052\2017-11-13</v>
      </c>
      <c r="AF25" s="74" t="str">
        <f t="shared" si="12"/>
        <v>"C:\Program Files (x86)\AstroGrep\AstroGrep.exe" /e /r /s /spath="%USERPROFILE%\AppData\Local\Temp\OnboardLogs" /stypes="app*4052*20171112*" /stext=" 12:.+((SYSTEM_STATE.+slice.+state.+changed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113-12 --locoid 4052 --swversion DE.1.0.9.0 --startMP 204:478 --initTime 2017-11-12T05:08:39 --startdatetime 2017-11-12T05:15:15 --delay 109 --endMP 204:233230 --enddatetime 2017-11-12T05:54:50 --enforcementcount 0 &gt;&gt;%USERPROFILE%\Documents\GitHub\eaglep3-reporting\EC\2017-11-12-refined-times.txt</v>
      </c>
      <c r="AI25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{"issue":{"subject":"","project_id":79,"tracker_id":40,"status_id":1,"priority_id":2,"assigned_to_id":338,"start_date":"2017-11-12","description":"","custom_fields":[{"id":1,"name":"Subdivision","value":"EC"},{"id":4,"name":"Milepost","value":"23.323"},{"id":17,"name":"Train ID","value":"113-12"},{"id":16,"name":"Locomotive ID","value":"4052"},{"id":130,"name":"Impact","value":""},{"id":150,"name":"Time of Event (Mountain Time)","value":"05:54:50"},{"id":151,"name":"Denver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4052 --day 2017-11-12</v>
      </c>
      <c r="AN25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1"/>
        <v>https://d0f6bd738d7f1b3e5a7ca70fe4ff75f0.us-east-1.aws.found.io/app/kibana#/discover/Steve-Slow-Train-Analysis-(2080s-and-2083s)?_g=(refreshInterval:(display:Off,pause:!f,section:0,value:0),time:(from:'2017-11-12T04:08:39-0700',mode:absolute,to:'2017-11-12T06:54:50-0700'))&amp;_a=(columns:!('Message%20ID',Summary),filters:!(),index:'emp_*',interval:auto,query:(query_string:(analyze_wildcard:!t,query:'%22rtdc.l.rtdc.4052%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715</v>
      </c>
      <c r="B26" s="7">
        <v>4051</v>
      </c>
      <c r="C26" s="21" t="s">
        <v>192</v>
      </c>
      <c r="D26" s="21" t="s">
        <v>606</v>
      </c>
      <c r="E26" s="13">
        <v>43051.254872685182</v>
      </c>
      <c r="F26" s="13">
        <v>43051.25849537037</v>
      </c>
      <c r="G26" s="7">
        <v>107</v>
      </c>
      <c r="H26" s="21" t="s">
        <v>347</v>
      </c>
      <c r="I26" s="13">
        <v>43051.286030092589</v>
      </c>
      <c r="J26" s="7">
        <v>0</v>
      </c>
      <c r="K26" s="89" t="str">
        <f t="shared" si="0"/>
        <v>4051/4052</v>
      </c>
      <c r="L26" s="185" t="str">
        <f>VLOOKUP(A26,'Trips&amp;Operators'!$C$1:$G$99911,5,FALSE)</f>
        <v>WILLIAMS DONTE</v>
      </c>
      <c r="M26" s="6">
        <f t="shared" si="1"/>
        <v>2.753472221957054E-2</v>
      </c>
      <c r="N26" s="7">
        <f t="shared" si="2"/>
        <v>39.649999996181577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-11-12T05:07:01-0700',mode:absolute,to:'2017-11-12T07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6" s="204" t="str">
        <f>IF(AA26&lt;VLOOKUP(AG26,Variables!$AC$3:$AD$8,2,FALSE),"Y","N")</f>
        <v>N</v>
      </c>
      <c r="X26" s="204">
        <f t="shared" ref="X26:X48" si="28">VALUE(LEFT(AD26,4))-VALUE(LEFT(AD25,4))</f>
        <v>1</v>
      </c>
      <c r="Y26" s="204">
        <f t="shared" si="26"/>
        <v>23.291499999999999</v>
      </c>
      <c r="Z26" s="204">
        <f t="shared" si="27"/>
        <v>1.54E-2</v>
      </c>
      <c r="AA26" s="204">
        <f t="shared" si="9"/>
        <v>23.2761</v>
      </c>
      <c r="AB26" s="54" t="e">
        <f>VLOOKUP(A26,Enforcements!$C$7:$K$9,8,0)</f>
        <v>#N/A</v>
      </c>
      <c r="AC26" s="51" t="e">
        <f>VLOOKUP(A26,Enforcements!$C$7:$E$9,3,0)</f>
        <v>#N/A</v>
      </c>
      <c r="AD26" s="179">
        <f t="shared" si="10"/>
        <v>114</v>
      </c>
      <c r="AE26" s="77" t="str">
        <f t="shared" si="11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26" s="74" t="str">
        <f t="shared" si="12"/>
        <v>"C:\Program Files (x86)\AstroGrep\AstroGrep.exe" /e /r /s /spath="%USERPROFILE%\AppData\Local\Temp\OnboardLogs" /stypes="app*4051*20171112*" /stext=" 13:.+((SYSTEM_STATE.+slice.+state.+changed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114-12 --locoid 4051 --swversion DE.1.0.9.0 --startMP 204:232915 --initTime 2017-11-12T06:07:01 --startdatetime 2017-11-12T06:12:14 --delay 107 --endMP 204:154 --enddatetime 2017-11-12T06:51:53 --enforcementcount 0 &gt;&gt;%USERPROFILE%\Documents\GitHub\eaglep3-reporting\EC\2017-11-12-refined-times.txt</v>
      </c>
      <c r="AI26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{"issue":{"subject":"","project_id":79,"tracker_id":40,"status_id":1,"priority_id":2,"assigned_to_id":338,"start_date":"2017-11-12","description":"","custom_fields":[{"id":1,"name":"Subdivision","value":"EC"},{"id":4,"name":"Milepost","value":"0.0154"},{"id":17,"name":"Train ID","value":"114-12"},{"id":16,"name":"Locomotive ID","value":"4051"},{"id":130,"name":"Impact","value":""},{"id":150,"name":"Time of Event (Mountain Time)","value":"06:51:53"},{"id":151,"name":"Denver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4051 --day 2017-11-12</v>
      </c>
      <c r="AN26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13:51:53"},{"id":29,"name":"Sharepoint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1"/>
        <v>https://d0f6bd738d7f1b3e5a7ca70fe4ff75f0.us-east-1.aws.found.io/app/kibana#/discover/Steve-Slow-Train-Analysis-(2080s-and-2083s)?_g=(refreshInterval:(display:Off,pause:!f,section:0,value:0),time:(from:'2017-11-12T05:07:01-0700',mode:absolute,to:'2017-11-12T07:51:53-0700'))&amp;_a=(columns:!('Message%20ID',Summary),filters:!(),index:'emp_*',interval:auto,query:(query_string:(analyze_wildcard:!t,query:'%22rtdc.l.rtdc.4051%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707</v>
      </c>
      <c r="B27" s="7">
        <v>4042</v>
      </c>
      <c r="C27" s="21" t="s">
        <v>192</v>
      </c>
      <c r="D27" s="21" t="s">
        <v>887</v>
      </c>
      <c r="E27" s="13">
        <v>43051.225208333337</v>
      </c>
      <c r="F27" s="13">
        <v>43051.22934027778</v>
      </c>
      <c r="G27" s="7">
        <v>59</v>
      </c>
      <c r="H27" s="21" t="s">
        <v>888</v>
      </c>
      <c r="I27" s="13">
        <v>43051.254189814812</v>
      </c>
      <c r="J27" s="7">
        <v>0</v>
      </c>
      <c r="K27" s="89" t="str">
        <f t="shared" si="0"/>
        <v>4041/4042</v>
      </c>
      <c r="L27" s="185" t="str">
        <f>VLOOKUP(A27,'Trips&amp;Operators'!$C$1:$G$99911,5,FALSE)</f>
        <v>MAELZER KURT</v>
      </c>
      <c r="M27" s="6">
        <f t="shared" si="1"/>
        <v>2.4849537032423541E-2</v>
      </c>
      <c r="N27" s="7">
        <f t="shared" si="2"/>
        <v>35.783333326689899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-11-12T04:24:18-0700',mode:absolute,to:'2017-11-12T07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204" t="str">
        <f>IF(AA27&lt;VLOOKUP(AG27,Variables!$AC$3:$AD$8,2,FALSE),"Y","N")</f>
        <v>N</v>
      </c>
      <c r="X27" s="204">
        <f t="shared" si="28"/>
        <v>1</v>
      </c>
      <c r="Y27" s="204">
        <f t="shared" si="26"/>
        <v>5.04E-2</v>
      </c>
      <c r="Z27" s="204">
        <f t="shared" si="27"/>
        <v>23.3306</v>
      </c>
      <c r="AA27" s="204">
        <f t="shared" si="9"/>
        <v>23.280200000000001</v>
      </c>
      <c r="AB27" s="54" t="e">
        <f>VLOOKUP(A27,Enforcements!$C$7:$K$9,8,0)</f>
        <v>#N/A</v>
      </c>
      <c r="AC27" s="51" t="e">
        <f>VLOOKUP(A27,Enforcements!$C$7:$E$9,3,0)</f>
        <v>#N/A</v>
      </c>
      <c r="AD27" s="179">
        <f t="shared" si="10"/>
        <v>115</v>
      </c>
      <c r="AE27" s="77" t="str">
        <f t="shared" si="11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27" s="74" t="str">
        <f t="shared" si="12"/>
        <v>"C:\Program Files (x86)\AstroGrep\AstroGrep.exe" /e /r /s /spath="%USERPROFILE%\AppData\Local\Temp\OnboardLogs" /stypes="app*4042*20171112*" /stext=" 13:.+((SYSTEM_STATE.+slice.+state.+changed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115-12 --locoid 4042 --swversion DE.1.0.9.0 --startMP 204:504 --initTime 2017-11-12T05:24:18 --startdatetime 2017-11-12T05:30:15 --delay 59 --endMP 204:233306 --enddatetime 2017-11-12T06:06:02 --enforcementcount 0 &gt;&gt;%USERPROFILE%\Documents\GitHub\eaglep3-reporting\EC\2017-11-12-refined-times.txt</v>
      </c>
      <c r="AI27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{"issue":{"subject":"","project_id":79,"tracker_id":40,"status_id":1,"priority_id":2,"assigned_to_id":338,"start_date":"2017-11-12","description":"","custom_fields":[{"id":1,"name":"Subdivision","value":"EC"},{"id":4,"name":"Milepost","value":"23.3306"},{"id":17,"name":"Train ID","value":"115-12"},{"id":16,"name":"Locomotive ID","value":"4042"},{"id":130,"name":"Impact","value":""},{"id":150,"name":"Time of Event (Mountain Time)","value":"06:06:02"},{"id":151,"name":"Denver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4042 --day 2017-11-12</v>
      </c>
      <c r="AN27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1"/>
        <v>https://d0f6bd738d7f1b3e5a7ca70fe4ff75f0.us-east-1.aws.found.io/app/kibana#/discover/Steve-Slow-Train-Analysis-(2080s-and-2083s)?_g=(refreshInterval:(display:Off,pause:!f,section:0,value:0),time:(from:'2017-11-12T04:24:18-0700',mode:absolute,to:'2017-11-12T07:06:02-0700'))&amp;_a=(columns:!('Message%20ID',Summary),filters:!(),index:'emp_*',interval:auto,query:(query_string:(analyze_wildcard:!t,query:'%22rtdc.l.rtdc.4042%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716</v>
      </c>
      <c r="B28" s="7">
        <v>4041</v>
      </c>
      <c r="C28" s="21" t="s">
        <v>192</v>
      </c>
      <c r="D28" s="21" t="s">
        <v>889</v>
      </c>
      <c r="E28" s="13">
        <v>43051.263645833336</v>
      </c>
      <c r="F28" s="13">
        <v>43051.269050925926</v>
      </c>
      <c r="G28" s="7">
        <v>72</v>
      </c>
      <c r="H28" s="21" t="s">
        <v>587</v>
      </c>
      <c r="I28" s="13">
        <v>43051.294756944444</v>
      </c>
      <c r="J28" s="7">
        <v>0</v>
      </c>
      <c r="K28" s="89" t="str">
        <f t="shared" si="0"/>
        <v>4041/4042</v>
      </c>
      <c r="L28" s="185" t="str">
        <f>VLOOKUP(A28,'Trips&amp;Operators'!$C$1:$G$99911,5,FALSE)</f>
        <v>MAELZER KURT</v>
      </c>
      <c r="M28" s="6">
        <f t="shared" si="1"/>
        <v>2.5706018517666962E-2</v>
      </c>
      <c r="N28" s="7">
        <f t="shared" si="2"/>
        <v>37.016666665440425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-11-12T05:19:39-0700',mode:absolute,to:'2017-11-12T08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204" t="str">
        <f>IF(AA28&lt;VLOOKUP(AG28,Variables!$AC$3:$AD$8,2,FALSE),"Y","N")</f>
        <v>N</v>
      </c>
      <c r="X28" s="204">
        <f t="shared" si="28"/>
        <v>1</v>
      </c>
      <c r="Y28" s="204">
        <f t="shared" si="26"/>
        <v>23.299600000000002</v>
      </c>
      <c r="Z28" s="204">
        <f t="shared" si="27"/>
        <v>1.9800000000000002E-2</v>
      </c>
      <c r="AA28" s="204">
        <f t="shared" si="9"/>
        <v>23.279800000000002</v>
      </c>
      <c r="AB28" s="54" t="e">
        <f>VLOOKUP(A28,Enforcements!$C$7:$K$9,8,0)</f>
        <v>#N/A</v>
      </c>
      <c r="AC28" s="51" t="e">
        <f>VLOOKUP(A28,Enforcements!$C$7:$E$9,3,0)</f>
        <v>#N/A</v>
      </c>
      <c r="AD28" s="179">
        <f t="shared" si="10"/>
        <v>116</v>
      </c>
      <c r="AE28" s="77" t="str">
        <f t="shared" si="11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28" s="74" t="str">
        <f t="shared" si="12"/>
        <v>"C:\Program Files (x86)\AstroGrep\AstroGrep.exe" /e /r /s /spath="%USERPROFILE%\AppData\Local\Temp\OnboardLogs" /stypes="app*4041*20171112*" /stext=" 14:.+((SYSTEM_STATE.+slice.+state.+changed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116-12 --locoid 4041 --swversion DE.1.0.9.0 --startMP 204:232996 --initTime 2017-11-12T06:19:39 --startdatetime 2017-11-12T06:27:26 --delay 72 --endMP 204:198 --enddatetime 2017-11-12T07:04:27 --enforcementcount 0 &gt;&gt;%USERPROFILE%\Documents\GitHub\eaglep3-reporting\EC\2017-11-12-refined-times.txt</v>
      </c>
      <c r="AI28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{"issue":{"subject":"","project_id":79,"tracker_id":40,"status_id":1,"priority_id":2,"assigned_to_id":338,"start_date":"2017-11-12","description":"","custom_fields":[{"id":1,"name":"Subdivision","value":"EC"},{"id":4,"name":"Milepost","value":"0.0198"},{"id":17,"name":"Train ID","value":"116-12"},{"id":16,"name":"Locomotive ID","value":"4041"},{"id":130,"name":"Impact","value":""},{"id":150,"name":"Time of Event (Mountain Time)","value":"07:04:27"},{"id":151,"name":"Denver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4041 --day 2017-11-12</v>
      </c>
      <c r="AN28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14:04:27"},{"id":29,"name":"Sharepoint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1"/>
        <v>https://d0f6bd738d7f1b3e5a7ca70fe4ff75f0.us-east-1.aws.found.io/app/kibana#/discover/Steve-Slow-Train-Analysis-(2080s-and-2083s)?_g=(refreshInterval:(display:Off,pause:!f,section:0,value:0),time:(from:'2017-11-12T05:19:39-0700',mode:absolute,to:'2017-11-12T08:04:27-0700'))&amp;_a=(columns:!('Message%20ID',Summary),filters:!(),index:'emp_*',interval:auto,query:(query_string:(analyze_wildcard:!t,query:'%22rtdc.l.rtdc.4041%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709</v>
      </c>
      <c r="B29" s="7">
        <v>4004</v>
      </c>
      <c r="C29" s="21" t="s">
        <v>192</v>
      </c>
      <c r="D29" s="21" t="s">
        <v>457</v>
      </c>
      <c r="E29" s="13">
        <v>43051.22929398148</v>
      </c>
      <c r="F29" s="13">
        <v>43051.239756944444</v>
      </c>
      <c r="G29" s="7">
        <v>75</v>
      </c>
      <c r="H29" s="21" t="s">
        <v>890</v>
      </c>
      <c r="I29" s="13">
        <v>43051.263495370367</v>
      </c>
      <c r="J29" s="7">
        <v>0</v>
      </c>
      <c r="K29" s="89" t="str">
        <f t="shared" si="0"/>
        <v>4003/4004</v>
      </c>
      <c r="L29" s="185" t="str">
        <f>VLOOKUP(A29,'Trips&amp;Operators'!$C$1:$G$99911,5,FALSE)</f>
        <v>LOPES KIMBERLY</v>
      </c>
      <c r="M29" s="6">
        <f t="shared" si="1"/>
        <v>2.3738425923511386E-2</v>
      </c>
      <c r="N29" s="7">
        <f t="shared" si="2"/>
        <v>34.183333329856396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-11-12T04:30:11-0700',mode:absolute,to:'2017-11-12T07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9" s="204" t="str">
        <f>IF(AA29&lt;VLOOKUP(AG29,Variables!$AC$3:$AD$8,2,FALSE),"Y","N")</f>
        <v>N</v>
      </c>
      <c r="X29" s="204">
        <f t="shared" si="28"/>
        <v>1</v>
      </c>
      <c r="Y29" s="204">
        <f t="shared" si="26"/>
        <v>5.1499999999999997E-2</v>
      </c>
      <c r="Z29" s="204">
        <f t="shared" si="27"/>
        <v>23.318000000000001</v>
      </c>
      <c r="AA29" s="204">
        <f t="shared" si="9"/>
        <v>23.266500000000001</v>
      </c>
      <c r="AB29" s="54" t="e">
        <f>VLOOKUP(A29,Enforcements!$C$7:$K$9,8,0)</f>
        <v>#N/A</v>
      </c>
      <c r="AC29" s="51" t="e">
        <f>VLOOKUP(A29,Enforcements!$C$7:$E$9,3,0)</f>
        <v>#N/A</v>
      </c>
      <c r="AD29" s="179">
        <f t="shared" si="10"/>
        <v>117</v>
      </c>
      <c r="AE29" s="77" t="str">
        <f t="shared" si="11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29" s="74" t="str">
        <f t="shared" si="12"/>
        <v>"C:\Program Files (x86)\AstroGrep\AstroGrep.exe" /e /r /s /spath="%USERPROFILE%\AppData\Local\Temp\OnboardLogs" /stypes="app*4004*20171112*" /stext=" 13:.+((SYSTEM_STATE.+slice.+state.+changed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117-12 --locoid 4004 --swversion DE.1.0.9.0 --startMP 204:515 --initTime 2017-11-12T05:30:11 --startdatetime 2017-11-12T05:45:15 --delay 75 --endMP 204:233180 --enddatetime 2017-11-12T06:19:26 --enforcementcount 0 &gt;&gt;%USERPROFILE%\Documents\GitHub\eaglep3-reporting\EC\2017-11-12-refined-times.txt</v>
      </c>
      <c r="AI29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{"issue":{"subject":"","project_id":79,"tracker_id":40,"status_id":1,"priority_id":2,"assigned_to_id":338,"start_date":"2017-11-12","description":"","custom_fields":[{"id":1,"name":"Subdivision","value":"EC"},{"id":4,"name":"Milepost","value":"23.318"},{"id":17,"name":"Train ID","value":"117-12"},{"id":16,"name":"Locomotive ID","value":"4004"},{"id":130,"name":"Impact","value":""},{"id":150,"name":"Time of Event (Mountain Time)","value":"06:19:26"},{"id":151,"name":"Denver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4004 --day 2017-11-12</v>
      </c>
      <c r="AN29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13:19:26"},{"id":29,"name":"Sharepoint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1"/>
        <v>https://d0f6bd738d7f1b3e5a7ca70fe4ff75f0.us-east-1.aws.found.io/app/kibana#/discover/Steve-Slow-Train-Analysis-(2080s-and-2083s)?_g=(refreshInterval:(display:Off,pause:!f,section:0,value:0),time:(from:'2017-11-12T04:30:11-0700',mode:absolute,to:'2017-11-12T07:19:26-0700'))&amp;_a=(columns:!('Message%20ID',Summary),filters:!(),index:'emp_*',interval:auto,query:(query_string:(analyze_wildcard:!t,query:'%22rtdc.l.rtdc.4004%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717</v>
      </c>
      <c r="B30" s="7">
        <v>4003</v>
      </c>
      <c r="C30" s="21" t="s">
        <v>192</v>
      </c>
      <c r="D30" s="21" t="s">
        <v>891</v>
      </c>
      <c r="E30" s="13">
        <v>43051.26494212963</v>
      </c>
      <c r="F30" s="13">
        <v>43051.279363425929</v>
      </c>
      <c r="G30" s="7">
        <v>50</v>
      </c>
      <c r="H30" s="21" t="s">
        <v>455</v>
      </c>
      <c r="I30" s="13">
        <v>43051.304664351854</v>
      </c>
      <c r="J30" s="7">
        <v>0</v>
      </c>
      <c r="K30" s="89" t="str">
        <f t="shared" si="0"/>
        <v>4003/4004</v>
      </c>
      <c r="L30" s="185" t="str">
        <f>VLOOKUP(A30,'Trips&amp;Operators'!$C$1:$G$99911,5,FALSE)</f>
        <v>LOPES KIMBERLY</v>
      </c>
      <c r="M30" s="6">
        <f t="shared" si="1"/>
        <v>2.5300925924966577E-2</v>
      </c>
      <c r="N30" s="7">
        <f t="shared" si="2"/>
        <v>36.433333331951872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-11-12T05:21:31-0700',mode:absolute,to:'2017-11-12T08:18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0" s="204" t="str">
        <f>IF(AA30&lt;VLOOKUP(AG30,Variables!$AC$3:$AD$8,2,FALSE),"Y","N")</f>
        <v>N</v>
      </c>
      <c r="X30" s="204">
        <f t="shared" si="28"/>
        <v>1</v>
      </c>
      <c r="Y30" s="204">
        <f t="shared" si="26"/>
        <v>23.287099999999999</v>
      </c>
      <c r="Z30" s="204">
        <f t="shared" si="27"/>
        <v>2.07E-2</v>
      </c>
      <c r="AA30" s="204">
        <f t="shared" si="9"/>
        <v>23.266399999999997</v>
      </c>
      <c r="AB30" s="54" t="e">
        <f>VLOOKUP(A30,Enforcements!$C$7:$K$9,8,0)</f>
        <v>#N/A</v>
      </c>
      <c r="AC30" s="51" t="e">
        <f>VLOOKUP(A30,Enforcements!$C$7:$E$9,3,0)</f>
        <v>#N/A</v>
      </c>
      <c r="AD30" s="179">
        <f t="shared" si="10"/>
        <v>118</v>
      </c>
      <c r="AE30" s="77" t="str">
        <f t="shared" si="11"/>
        <v>aws s3 cp s3://rtdc.mdm.uploadarchive.raw/RTDC4003/ "%USERPROFILE%\AppData\Local\Temp\OnboardLogs"\RTDC4003\2017-11-12 --exclude "*" --recursive --include "*20171112*" &amp; "%USERPROFILE%\Documents\GitHub\mrs-test-scripts\Headless Mode &amp; Sideloading\WalkAndUnGZ.bat" "%USERPROFILE%\AppData\Local\Temp\OnboardLogs"\RTDC4003\2017-11-12 &amp; aws s3 cp s3://rtdc.mdm.uploadarchive.raw/RTDC4003/ "%USERPROFILE%\AppData\Local\Temp\OnboardLogs"\RTDC4003\2017-11-13 --exclude "*" --recursive --include "*20171113*" &amp; "%USERPROFILE%\Documents\GitHub\mrs-test-scripts\Headless Mode &amp; Sideloading\WalkAndUnGZ.bat" "%USERPROFILE%\AppData\Local\Temp\OnboardLogs"\RTDC4003\2017-11-13</v>
      </c>
      <c r="AF30" s="74" t="str">
        <f t="shared" si="12"/>
        <v>"C:\Program Files (x86)\AstroGrep\AstroGrep.exe" /e /r /s /spath="%USERPROFILE%\AppData\Local\Temp\OnboardLogs" /stypes="app*4003*20171112*" /stext=" 14:.+((SYSTEM_STATE.+slice.+state.+changed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118-12 --locoid 4003 --swversion DE.1.0.9.0 --startMP 204:232871 --initTime 2017-11-12T06:21:31 --startdatetime 2017-11-12T06:42:17 --delay 50 --endMP 204:207 --enddatetime 2017-11-12T07:18:43 --enforcementcount 0 &gt;&gt;%USERPROFILE%\Documents\GitHub\eaglep3-reporting\EC\2017-11-12-refined-times.txt</v>
      </c>
      <c r="AI30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{"issue":{"subject":"","project_id":79,"tracker_id":40,"status_id":1,"priority_id":2,"assigned_to_id":338,"start_date":"2017-11-12","description":"","custom_fields":[{"id":1,"name":"Subdivision","value":"EC"},{"id":4,"name":"Milepost","value":"0.0207"},{"id":17,"name":"Train ID","value":"118-12"},{"id":16,"name":"Locomotive ID","value":"4003"},{"id":130,"name":"Impact","value":""},{"id":150,"name":"Time of Event (Mountain Time)","value":"07:18:43"},{"id":151,"name":"Denver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4003 --day 2017-11-12</v>
      </c>
      <c r="AN30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14:18:43"},{"id":29,"name":"Sharepoint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1"/>
        <v>https://d0f6bd738d7f1b3e5a7ca70fe4ff75f0.us-east-1.aws.found.io/app/kibana#/discover/Steve-Slow-Train-Analysis-(2080s-and-2083s)?_g=(refreshInterval:(display:Off,pause:!f,section:0,value:0),time:(from:'2017-11-12T05:21:31-0700',mode:absolute,to:'2017-11-12T08:18:43-0700'))&amp;_a=(columns:!('Message%20ID',Summary),filters:!(),index:'emp_*',interval:auto,query:(query_string:(analyze_wildcard:!t,query:'%22rtdc.l.rtdc.4003%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711</v>
      </c>
      <c r="B31" s="7">
        <v>4016</v>
      </c>
      <c r="C31" s="21" t="s">
        <v>192</v>
      </c>
      <c r="D31" s="21" t="s">
        <v>478</v>
      </c>
      <c r="E31" s="13">
        <v>43051.246400462966</v>
      </c>
      <c r="F31" s="13">
        <v>43051.250162037039</v>
      </c>
      <c r="G31" s="7">
        <v>79</v>
      </c>
      <c r="H31" s="21" t="s">
        <v>892</v>
      </c>
      <c r="I31" s="13">
        <v>43051.27480324074</v>
      </c>
      <c r="J31" s="7">
        <v>0</v>
      </c>
      <c r="K31" s="89" t="str">
        <f t="shared" si="0"/>
        <v>4015/4016</v>
      </c>
      <c r="L31" s="185" t="str">
        <f>VLOOKUP(A31,'Trips&amp;Operators'!$C$1:$G$99911,5,FALSE)</f>
        <v>PAGE MARCUS</v>
      </c>
      <c r="M31" s="6">
        <f t="shared" si="1"/>
        <v>2.4641203701321501E-2</v>
      </c>
      <c r="N31" s="7">
        <f t="shared" si="2"/>
        <v>35.483333329902962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-11-12T04:54:49-0700',mode:absolute,to:'2017-11-12T07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204" t="str">
        <f>IF(AA31&lt;VLOOKUP(AG31,Variables!$AC$3:$AD$8,2,FALSE),"Y","N")</f>
        <v>N</v>
      </c>
      <c r="X31" s="204">
        <f t="shared" si="28"/>
        <v>1</v>
      </c>
      <c r="Y31" s="204">
        <f t="shared" si="26"/>
        <v>5.0900000000000001E-2</v>
      </c>
      <c r="Z31" s="204">
        <f t="shared" si="27"/>
        <v>23.328099999999999</v>
      </c>
      <c r="AA31" s="204">
        <f t="shared" si="9"/>
        <v>23.277200000000001</v>
      </c>
      <c r="AB31" s="54" t="e">
        <f>VLOOKUP(A31,Enforcements!$C$7:$K$9,8,0)</f>
        <v>#N/A</v>
      </c>
      <c r="AC31" s="51" t="e">
        <f>VLOOKUP(A31,Enforcements!$C$7:$E$9,3,0)</f>
        <v>#N/A</v>
      </c>
      <c r="AD31" s="179">
        <f t="shared" si="10"/>
        <v>119</v>
      </c>
      <c r="AE31" s="77" t="str">
        <f t="shared" si="11"/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31" s="74" t="str">
        <f t="shared" si="12"/>
        <v>"C:\Program Files (x86)\AstroGrep\AstroGrep.exe" /e /r /s /spath="%USERPROFILE%\AppData\Local\Temp\OnboardLogs" /stypes="app*4016*20171112*" /stext=" 13:.+((SYSTEM_STATE.+slice.+state.+changed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119-12 --locoid 4016 --swversion DE.1.0.9.0 --startMP 204:509 --initTime 2017-11-12T05:54:49 --startdatetime 2017-11-12T06:00:14 --delay 79 --endMP 204:233281 --enddatetime 2017-11-12T06:35:43 --enforcementcount 0 &gt;&gt;%USERPROFILE%\Documents\GitHub\eaglep3-reporting\EC\2017-11-12-refined-times.txt</v>
      </c>
      <c r="AI31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{"issue":{"subject":"","project_id":79,"tracker_id":40,"status_id":1,"priority_id":2,"assigned_to_id":338,"start_date":"2017-11-12","description":"","custom_fields":[{"id":1,"name":"Subdivision","value":"EC"},{"id":4,"name":"Milepost","value":"23.3281"},{"id":17,"name":"Train ID","value":"119-12"},{"id":16,"name":"Locomotive ID","value":"4016"},{"id":130,"name":"Impact","value":""},{"id":150,"name":"Time of Event (Mountain Time)","value":"06:35:43"},{"id":151,"name":"Denver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4016 --day 2017-11-12</v>
      </c>
      <c r="AN31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1"/>
        <v>https://d0f6bd738d7f1b3e5a7ca70fe4ff75f0.us-east-1.aws.found.io/app/kibana#/discover/Steve-Slow-Train-Analysis-(2080s-and-2083s)?_g=(refreshInterval:(display:Off,pause:!f,section:0,value:0),time:(from:'2017-11-12T04:54:49-0700',mode:absolute,to:'2017-11-12T07:35:43-0700'))&amp;_a=(columns:!('Message%20ID',Summary),filters:!(),index:'emp_*',interval:auto,query:(query_string:(analyze_wildcard:!t,query:'%22rtdc.l.rtdc.4016%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720</v>
      </c>
      <c r="B32" s="7">
        <v>4015</v>
      </c>
      <c r="C32" s="21" t="s">
        <v>192</v>
      </c>
      <c r="D32" s="21" t="s">
        <v>893</v>
      </c>
      <c r="E32" s="13">
        <v>43051.282430555555</v>
      </c>
      <c r="F32" s="13">
        <v>43051.28974537037</v>
      </c>
      <c r="G32" s="7">
        <v>67</v>
      </c>
      <c r="H32" s="21" t="s">
        <v>595</v>
      </c>
      <c r="I32" s="13">
        <v>43051.314745370371</v>
      </c>
      <c r="J32" s="7">
        <v>0</v>
      </c>
      <c r="K32" s="89" t="str">
        <f t="shared" si="0"/>
        <v>4015/4016</v>
      </c>
      <c r="L32" s="185" t="str">
        <f>VLOOKUP(A32,'Trips&amp;Operators'!$C$1:$G$99911,5,FALSE)</f>
        <v>PAGE MARCUS</v>
      </c>
      <c r="M32" s="6">
        <f t="shared" si="1"/>
        <v>2.5000000001455192E-2</v>
      </c>
      <c r="N32" s="7">
        <f t="shared" si="2"/>
        <v>36.000000002095476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-11-12T05:46:42-0700',mode:absolute,to:'2017-11-12T08:33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204" t="str">
        <f>IF(AA32&lt;VLOOKUP(AG32,Variables!$AC$3:$AD$8,2,FALSE),"Y","N")</f>
        <v>N</v>
      </c>
      <c r="X32" s="204">
        <f t="shared" si="28"/>
        <v>1</v>
      </c>
      <c r="Y32" s="204">
        <f t="shared" si="26"/>
        <v>23.296800000000001</v>
      </c>
      <c r="Z32" s="204">
        <f t="shared" si="27"/>
        <v>1.4999999999999999E-2</v>
      </c>
      <c r="AA32" s="204">
        <f t="shared" si="9"/>
        <v>23.2818</v>
      </c>
      <c r="AB32" s="54" t="e">
        <f>VLOOKUP(A32,Enforcements!$C$7:$K$9,8,0)</f>
        <v>#N/A</v>
      </c>
      <c r="AC32" s="51" t="e">
        <f>VLOOKUP(A32,Enforcements!$C$7:$E$9,3,0)</f>
        <v>#N/A</v>
      </c>
      <c r="AD32" s="179">
        <f t="shared" si="10"/>
        <v>120</v>
      </c>
      <c r="AE32" s="77" t="str">
        <f t="shared" si="11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32" s="74" t="str">
        <f t="shared" si="12"/>
        <v>"C:\Program Files (x86)\AstroGrep\AstroGrep.exe" /e /r /s /spath="%USERPROFILE%\AppData\Local\Temp\OnboardLogs" /stypes="app*4015*20171112*" /stext=" 14:.+((SYSTEM_STATE.+slice.+state.+changed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120-12 --locoid 4015 --swversion DE.1.0.9.0 --startMP 204:232968 --initTime 2017-11-12T06:46:42 --startdatetime 2017-11-12T06:57:14 --delay 67 --endMP 204:150 --enddatetime 2017-11-12T07:33:14 --enforcementcount 0 &gt;&gt;%USERPROFILE%\Documents\GitHub\eaglep3-reporting\EC\2017-11-12-refined-times.txt</v>
      </c>
      <c r="AI32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{"issue":{"subject":"","project_id":79,"tracker_id":40,"status_id":1,"priority_id":2,"assigned_to_id":338,"start_date":"2017-11-12","description":"","custom_fields":[{"id":1,"name":"Subdivision","value":"EC"},{"id":4,"name":"Milepost","value":"0.015"},{"id":17,"name":"Train ID","value":"120-12"},{"id":16,"name":"Locomotive ID","value":"4015"},{"id":130,"name":"Impact","value":""},{"id":150,"name":"Time of Event (Mountain Time)","value":"07:33:14"},{"id":151,"name":"Denver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4015 --day 2017-11-12</v>
      </c>
      <c r="AN32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14:33:14"},{"id":29,"name":"Sharepoint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1"/>
        <v>https://d0f6bd738d7f1b3e5a7ca70fe4ff75f0.us-east-1.aws.found.io/app/kibana#/discover/Steve-Slow-Train-Analysis-(2080s-and-2083s)?_g=(refreshInterval:(display:Off,pause:!f,section:0,value:0),time:(from:'2017-11-12T05:46:42-0700',mode:absolute,to:'2017-11-12T08:33:14-0700'))&amp;_a=(columns:!('Message%20ID',Summary),filters:!(),index:'emp_*',interval:auto,query:(query_string:(analyze_wildcard:!t,query:'%22rtdc.l.rtdc.4015%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714</v>
      </c>
      <c r="B33" s="7">
        <v>4006</v>
      </c>
      <c r="C33" s="21" t="s">
        <v>192</v>
      </c>
      <c r="D33" s="21" t="s">
        <v>894</v>
      </c>
      <c r="E33" s="13">
        <v>43051.255162037036</v>
      </c>
      <c r="F33" s="13">
        <v>43051.26059027778</v>
      </c>
      <c r="G33" s="7">
        <v>65</v>
      </c>
      <c r="H33" s="21" t="s">
        <v>895</v>
      </c>
      <c r="I33" s="13">
        <v>43051.284247685187</v>
      </c>
      <c r="J33" s="7">
        <v>0</v>
      </c>
      <c r="K33" s="89" t="str">
        <f t="shared" si="0"/>
        <v>4005/4006</v>
      </c>
      <c r="L33" s="185" t="str">
        <f>VLOOKUP(A33,'Trips&amp;Operators'!$C$1:$G$99911,5,FALSE)</f>
        <v>ROMERO CHAD</v>
      </c>
      <c r="M33" s="6">
        <f t="shared" si="1"/>
        <v>2.3657407407881692E-2</v>
      </c>
      <c r="N33" s="7">
        <f t="shared" si="2"/>
        <v>34.066666667349637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-11-12T05:07:26-0700',mode:absolute,to:'2017-11-12T07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3" s="204" t="str">
        <f>IF(AA33&lt;VLOOKUP(AG33,Variables!$AC$3:$AD$8,2,FALSE),"Y","N")</f>
        <v>N</v>
      </c>
      <c r="X33" s="204">
        <f t="shared" si="28"/>
        <v>1</v>
      </c>
      <c r="Y33" s="204">
        <f t="shared" si="26"/>
        <v>5.3999999999999999E-2</v>
      </c>
      <c r="Z33" s="204">
        <f t="shared" si="27"/>
        <v>23.328800000000001</v>
      </c>
      <c r="AA33" s="204">
        <f t="shared" si="9"/>
        <v>23.274800000000003</v>
      </c>
      <c r="AB33" s="54" t="e">
        <f>VLOOKUP(A33,Enforcements!$C$7:$K$9,8,0)</f>
        <v>#N/A</v>
      </c>
      <c r="AC33" s="51" t="e">
        <f>VLOOKUP(A33,Enforcements!$C$7:$E$9,3,0)</f>
        <v>#N/A</v>
      </c>
      <c r="AD33" s="179">
        <f t="shared" si="10"/>
        <v>121</v>
      </c>
      <c r="AE33" s="77" t="str">
        <f t="shared" si="11"/>
        <v>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 &amp; aws s3 cp s3://rtdc.mdm.uploadarchive.raw/RTDC4006/ "%USERPROFILE%\AppData\Local\Temp\OnboardLogs"\RTDC4006\2017-11-13 --exclude "*" --recursive --include "*20171113*" &amp; "%USERPROFILE%\Documents\GitHub\mrs-test-scripts\Headless Mode &amp; Sideloading\WalkAndUnGZ.bat" "%USERPROFILE%\AppData\Local\Temp\OnboardLogs"\RTDC4006\2017-11-13</v>
      </c>
      <c r="AF33" s="74" t="str">
        <f t="shared" si="12"/>
        <v>"C:\Program Files (x86)\AstroGrep\AstroGrep.exe" /e /r /s /spath="%USERPROFILE%\AppData\Local\Temp\OnboardLogs" /stypes="app*4006*20171112*" /stext=" 13:.+((SYSTEM_STATE.+slice.+state.+changed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121-12 --locoid 4006 --swversion DE.1.0.9.0 --startMP 204:540 --initTime 2017-11-12T06:07:26 --startdatetime 2017-11-12T06:15:15 --delay 65 --endMP 204:233288 --enddatetime 2017-11-12T06:49:19 --enforcementcount 0 &gt;&gt;%USERPROFILE%\Documents\GitHub\eaglep3-reporting\EC\2017-11-12-refined-times.txt</v>
      </c>
      <c r="AI33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{"issue":{"subject":"","project_id":79,"tracker_id":40,"status_id":1,"priority_id":2,"assigned_to_id":338,"start_date":"2017-11-12","description":"","custom_fields":[{"id":1,"name":"Subdivision","value":"EC"},{"id":4,"name":"Milepost","value":"23.3288"},{"id":17,"name":"Train ID","value":"121-12"},{"id":16,"name":"Locomotive ID","value":"4006"},{"id":130,"name":"Impact","value":""},{"id":150,"name":"Time of Event (Mountain Time)","value":"06:49:19"},{"id":151,"name":"Denver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4006 --day 2017-11-12</v>
      </c>
      <c r="AN33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13:49:19"},{"id":29,"name":"Sharepoint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1"/>
        <v>https://d0f6bd738d7f1b3e5a7ca70fe4ff75f0.us-east-1.aws.found.io/app/kibana#/discover/Steve-Slow-Train-Analysis-(2080s-and-2083s)?_g=(refreshInterval:(display:Off,pause:!f,section:0,value:0),time:(from:'2017-11-12T05:07:26-0700',mode:absolute,to:'2017-11-12T07:49:19-0700'))&amp;_a=(columns:!('Message%20ID',Summary),filters:!(),index:'emp_*',interval:auto,query:(query_string:(analyze_wildcard:!t,query:'%22rtdc.l.rtdc.4006%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721</v>
      </c>
      <c r="B34" s="7">
        <v>4005</v>
      </c>
      <c r="C34" s="21" t="s">
        <v>192</v>
      </c>
      <c r="D34" s="21" t="s">
        <v>591</v>
      </c>
      <c r="E34" s="13">
        <v>43051.286516203705</v>
      </c>
      <c r="F34" s="13">
        <v>43051.300185185188</v>
      </c>
      <c r="G34" s="7">
        <v>64</v>
      </c>
      <c r="H34" s="21" t="s">
        <v>466</v>
      </c>
      <c r="I34" s="13">
        <v>43051.325069444443</v>
      </c>
      <c r="J34" s="7">
        <v>0</v>
      </c>
      <c r="K34" s="89" t="str">
        <f t="shared" si="0"/>
        <v>4005/4006</v>
      </c>
      <c r="L34" s="185" t="str">
        <f>VLOOKUP(A34,'Trips&amp;Operators'!$C$1:$G$99911,5,FALSE)</f>
        <v>ROMERO CHAD</v>
      </c>
      <c r="M34" s="6">
        <f t="shared" si="1"/>
        <v>2.488425925548654E-2</v>
      </c>
      <c r="N34" s="7">
        <f t="shared" si="2"/>
        <v>35.833333327900618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-11-12T05:52:35-0700',mode:absolute,to:'2017-11-12T08:48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4" s="204" t="str">
        <f>IF(AA34&lt;VLOOKUP(AG34,Variables!$AC$3:$AD$8,2,FALSE),"Y","N")</f>
        <v>N</v>
      </c>
      <c r="X34" s="204">
        <f t="shared" si="28"/>
        <v>1</v>
      </c>
      <c r="Y34" s="204">
        <f t="shared" si="26"/>
        <v>23.297499999999999</v>
      </c>
      <c r="Z34" s="204">
        <f t="shared" si="27"/>
        <v>2.4299999999999999E-2</v>
      </c>
      <c r="AA34" s="204">
        <f t="shared" si="9"/>
        <v>23.273199999999999</v>
      </c>
      <c r="AB34" s="54" t="e">
        <f>VLOOKUP(A34,Enforcements!$C$7:$K$9,8,0)</f>
        <v>#N/A</v>
      </c>
      <c r="AC34" s="51" t="e">
        <f>VLOOKUP(A34,Enforcements!$C$7:$E$9,3,0)</f>
        <v>#N/A</v>
      </c>
      <c r="AD34" s="179">
        <f t="shared" si="10"/>
        <v>122</v>
      </c>
      <c r="AE34" s="77" t="str">
        <f t="shared" si="11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34" s="74" t="str">
        <f t="shared" si="12"/>
        <v>"C:\Program Files (x86)\AstroGrep\AstroGrep.exe" /e /r /s /spath="%USERPROFILE%\AppData\Local\Temp\OnboardLogs" /stypes="app*4005*20171112*" /stext=" 14:.+((SYSTEM_STATE.+slice.+state.+changed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122-12 --locoid 4005 --swversion DE.1.0.9.0 --startMP 204:232975 --initTime 2017-11-12T06:52:35 --startdatetime 2017-11-12T07:12:16 --delay 64 --endMP 204:243 --enddatetime 2017-11-12T07:48:06 --enforcementcount 0 &gt;&gt;%USERPROFILE%\Documents\GitHub\eaglep3-reporting\EC\2017-11-12-refined-times.txt</v>
      </c>
      <c r="AI34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{"issue":{"subject":"","project_id":79,"tracker_id":40,"status_id":1,"priority_id":2,"assigned_to_id":338,"start_date":"2017-11-12","description":"","custom_fields":[{"id":1,"name":"Subdivision","value":"EC"},{"id":4,"name":"Milepost","value":"0.0243"},{"id":17,"name":"Train ID","value":"122-12"},{"id":16,"name":"Locomotive ID","value":"4005"},{"id":130,"name":"Impact","value":""},{"id":150,"name":"Time of Event (Mountain Time)","value":"07:48:06"},{"id":151,"name":"Denver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4005 --day 2017-11-12</v>
      </c>
      <c r="AN34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14:48:06"},{"id":29,"name":"Sharepoint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1"/>
        <v>https://d0f6bd738d7f1b3e5a7ca70fe4ff75f0.us-east-1.aws.found.io/app/kibana#/discover/Steve-Slow-Train-Analysis-(2080s-and-2083s)?_g=(refreshInterval:(display:Off,pause:!f,section:0,value:0),time:(from:'2017-11-12T05:52:35-0700',mode:absolute,to:'2017-11-12T08:48:06-0700'))&amp;_a=(columns:!('Message%20ID',Summary),filters:!(),index:'emp_*',interval:auto,query:(query_string:(analyze_wildcard:!t,query:'%22rtdc.l.rtdc.4005%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718</v>
      </c>
      <c r="B35" s="7">
        <v>4002</v>
      </c>
      <c r="C35" s="21" t="s">
        <v>192</v>
      </c>
      <c r="D35" s="21" t="s">
        <v>896</v>
      </c>
      <c r="E35" s="13">
        <v>43051.266840277778</v>
      </c>
      <c r="F35" s="13">
        <v>43051.27103009259</v>
      </c>
      <c r="G35" s="7">
        <v>104</v>
      </c>
      <c r="H35" s="21" t="s">
        <v>897</v>
      </c>
      <c r="I35" s="13">
        <v>43051.295416666668</v>
      </c>
      <c r="J35" s="7">
        <v>0</v>
      </c>
      <c r="K35" s="89" t="str">
        <f t="shared" si="0"/>
        <v>4001/4002</v>
      </c>
      <c r="L35" s="185" t="str">
        <f>VLOOKUP(A35,'Trips&amp;Operators'!$C$1:$G$99911,5,FALSE)</f>
        <v>GEBRETEKLE DAGNEW</v>
      </c>
      <c r="M35" s="6">
        <f t="shared" si="1"/>
        <v>2.4386574077652767E-2</v>
      </c>
      <c r="N35" s="7">
        <f t="shared" si="2"/>
        <v>35.116666671819985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-11-12T05:24:15-0700',mode:absolute,to:'2017-11-12T08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IF(AA35&lt;VLOOKUP(AG35,Variables!$AC$3:$AD$8,2,FALSE),"Y","N")</f>
        <v>N</v>
      </c>
      <c r="X35" s="204">
        <f t="shared" si="28"/>
        <v>1</v>
      </c>
      <c r="Y35" s="204">
        <f t="shared" si="26"/>
        <v>4.4600000000000001E-2</v>
      </c>
      <c r="Z35" s="204">
        <f t="shared" si="27"/>
        <v>23.328499999999998</v>
      </c>
      <c r="AA35" s="204">
        <f t="shared" si="9"/>
        <v>23.283899999999999</v>
      </c>
      <c r="AB35" s="54" t="e">
        <f>VLOOKUP(A35,Enforcements!$C$7:$K$9,8,0)</f>
        <v>#N/A</v>
      </c>
      <c r="AC35" s="51" t="e">
        <f>VLOOKUP(A35,Enforcements!$C$7:$E$9,3,0)</f>
        <v>#N/A</v>
      </c>
      <c r="AD35" s="179">
        <f t="shared" si="10"/>
        <v>123</v>
      </c>
      <c r="AE35" s="77" t="str">
        <f t="shared" si="11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35" s="74" t="str">
        <f t="shared" si="12"/>
        <v>"C:\Program Files (x86)\AstroGrep\AstroGrep.exe" /e /r /s /spath="%USERPROFILE%\AppData\Local\Temp\OnboardLogs" /stypes="app*4002*20171112*" /stext=" 14:.+((SYSTEM_STATE.+slice.+state.+changed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123-12 --locoid 4002 --swversion DE.1.0.9.0 --startMP 204:446 --initTime 2017-11-12T06:24:15 --startdatetime 2017-11-12T06:30:17 --delay 104 --endMP 204:233285 --enddatetime 2017-11-12T07:05:24 --enforcementcount 0 &gt;&gt;%USERPROFILE%\Documents\GitHub\eaglep3-reporting\EC\2017-11-12-refined-times.txt</v>
      </c>
      <c r="AI35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{"issue":{"subject":"","project_id":79,"tracker_id":40,"status_id":1,"priority_id":2,"assigned_to_id":338,"start_date":"2017-11-12","description":"","custom_fields":[{"id":1,"name":"Subdivision","value":"EC"},{"id":4,"name":"Milepost","value":"23.3285"},{"id":17,"name":"Train ID","value":"123-12"},{"id":16,"name":"Locomotive ID","value":"4002"},{"id":130,"name":"Impact","value":""},{"id":150,"name":"Time of Event (Mountain Time)","value":"07:05:24"},{"id":151,"name":"Denver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4002 --day 2017-11-12</v>
      </c>
      <c r="AN35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14:05:24"},{"id":29,"name":"Sharepoint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1"/>
        <v>https://d0f6bd738d7f1b3e5a7ca70fe4ff75f0.us-east-1.aws.found.io/app/kibana#/discover/Steve-Slow-Train-Analysis-(2080s-and-2083s)?_g=(refreshInterval:(display:Off,pause:!f,section:0,value:0),time:(from:'2017-11-12T05:24:15-0700',mode:absolute,to:'2017-11-12T08:05:24-0700'))&amp;_a=(columns:!('Message%20ID',Summary),filters:!(),index:'emp_*',interval:auto,query:(query_string:(analyze_wildcard:!t,query:'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723</v>
      </c>
      <c r="B36" s="7">
        <v>4001</v>
      </c>
      <c r="C36" s="21" t="s">
        <v>192</v>
      </c>
      <c r="D36" s="21" t="s">
        <v>882</v>
      </c>
      <c r="E36" s="13">
        <v>43051.296712962961</v>
      </c>
      <c r="F36" s="13">
        <v>43051.310636574075</v>
      </c>
      <c r="G36" s="7">
        <v>65</v>
      </c>
      <c r="H36" s="21" t="s">
        <v>584</v>
      </c>
      <c r="I36" s="13">
        <v>43051.335960648146</v>
      </c>
      <c r="J36" s="7">
        <v>0</v>
      </c>
      <c r="K36" s="89" t="str">
        <f t="shared" si="0"/>
        <v>4001/4002</v>
      </c>
      <c r="L36" s="185" t="str">
        <f>VLOOKUP(A36,'Trips&amp;Operators'!$C$1:$G$99911,5,FALSE)</f>
        <v>GEBRETEKLE DAGNEW</v>
      </c>
      <c r="M36" s="6">
        <f t="shared" si="1"/>
        <v>2.5324074071249925E-2</v>
      </c>
      <c r="N36" s="7">
        <f t="shared" si="2"/>
        <v>36.466666662599891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-11-12T06:07:16-0700',mode:absolute,to:'2017-11-12T09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IF(AA36&lt;VLOOKUP(AG36,Variables!$AC$3:$AD$8,2,FALSE),"Y","N")</f>
        <v>N</v>
      </c>
      <c r="X36" s="204">
        <f t="shared" si="28"/>
        <v>1</v>
      </c>
      <c r="Y36" s="204">
        <f t="shared" si="26"/>
        <v>23.295999999999999</v>
      </c>
      <c r="Z36" s="204">
        <f t="shared" si="27"/>
        <v>2.01E-2</v>
      </c>
      <c r="AA36" s="204">
        <f t="shared" si="9"/>
        <v>23.2759</v>
      </c>
      <c r="AB36" s="54" t="e">
        <f>VLOOKUP(A36,Enforcements!$C$7:$K$9,8,0)</f>
        <v>#N/A</v>
      </c>
      <c r="AC36" s="51" t="e">
        <f>VLOOKUP(A36,Enforcements!$C$7:$E$9,3,0)</f>
        <v>#N/A</v>
      </c>
      <c r="AD36" s="179">
        <f t="shared" si="10"/>
        <v>124</v>
      </c>
      <c r="AE36" s="77" t="str">
        <f t="shared" si="11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36" s="74" t="str">
        <f t="shared" si="12"/>
        <v>"C:\Program Files (x86)\AstroGrep\AstroGrep.exe" /e /r /s /spath="%USERPROFILE%\AppData\Local\Temp\OnboardLogs" /stypes="app*4001*20171112*" /stext=" 15:.+((SYSTEM_STATE.+slice.+state.+changed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124-12 --locoid 4001 --swversion DE.1.0.9.0 --startMP 204:232960 --initTime 2017-11-12T07:07:16 --startdatetime 2017-11-12T07:27:19 --delay 65 --endMP 204:201 --enddatetime 2017-11-12T08:03:47 --enforcementcount 0 &gt;&gt;%USERPROFILE%\Documents\GitHub\eaglep3-reporting\EC\2017-11-12-refined-times.txt</v>
      </c>
      <c r="AI36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{"issue":{"subject":"","project_id":79,"tracker_id":40,"status_id":1,"priority_id":2,"assigned_to_id":338,"start_date":"2017-11-12","description":"","custom_fields":[{"id":1,"name":"Subdivision","value":"EC"},{"id":4,"name":"Milepost","value":"0.0201"},{"id":17,"name":"Train ID","value":"124-12"},{"id":16,"name":"Locomotive ID","value":"4001"},{"id":130,"name":"Impact","value":""},{"id":150,"name":"Time of Event (Mountain Time)","value":"08:03:47"},{"id":151,"name":"Denver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4001 --day 2017-11-12</v>
      </c>
      <c r="AN36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1"/>
        <v>https://d0f6bd738d7f1b3e5a7ca70fe4ff75f0.us-east-1.aws.found.io/app/kibana#/discover/Steve-Slow-Train-Analysis-(2080s-and-2083s)?_g=(refreshInterval:(display:Off,pause:!f,section:0,value:0),time:(from:'2017-11-12T06:07:16-0700',mode:absolute,to:'2017-11-12T09:03:47-0700'))&amp;_a=(columns:!('Message%20ID',Summary),filters:!(),index:'emp_*',interval:auto,query:(query_string:(analyze_wildcard:!t,query:'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719</v>
      </c>
      <c r="B37" s="7">
        <v>4064</v>
      </c>
      <c r="C37" s="21" t="s">
        <v>192</v>
      </c>
      <c r="D37" s="21" t="s">
        <v>609</v>
      </c>
      <c r="E37" s="13">
        <v>43051.278009259258</v>
      </c>
      <c r="F37" s="13">
        <v>43051.281736111108</v>
      </c>
      <c r="G37" s="7">
        <v>54</v>
      </c>
      <c r="H37" s="21" t="s">
        <v>492</v>
      </c>
      <c r="I37" s="13">
        <v>43051.306226851855</v>
      </c>
      <c r="J37" s="7">
        <v>0</v>
      </c>
      <c r="K37" s="89" t="str">
        <f t="shared" si="0"/>
        <v>4063/4064</v>
      </c>
      <c r="L37" s="185" t="str">
        <f>VLOOKUP(A37,'Trips&amp;Operators'!$C$1:$G$99911,5,FALSE)</f>
        <v>THOMPSON LESTER</v>
      </c>
      <c r="M37" s="6">
        <f t="shared" si="1"/>
        <v>2.4490740746841766E-2</v>
      </c>
      <c r="N37" s="7">
        <f t="shared" si="2"/>
        <v>35.266666675452143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-11-12T05:40:20-0700',mode:absolute,to:'2017-11-12T08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7" s="204" t="str">
        <f>IF(AA37&lt;VLOOKUP(AG37,Variables!$AC$3:$AD$8,2,FALSE),"Y","N")</f>
        <v>N</v>
      </c>
      <c r="X37" s="204">
        <f t="shared" si="28"/>
        <v>1</v>
      </c>
      <c r="Y37" s="204">
        <f t="shared" si="26"/>
        <v>5.2400000000000002E-2</v>
      </c>
      <c r="Z37" s="204">
        <f t="shared" si="27"/>
        <v>23.3276</v>
      </c>
      <c r="AA37" s="204">
        <f t="shared" si="9"/>
        <v>23.275200000000002</v>
      </c>
      <c r="AB37" s="54" t="e">
        <f>VLOOKUP(A37,Enforcements!$C$7:$K$9,8,0)</f>
        <v>#N/A</v>
      </c>
      <c r="AC37" s="51" t="e">
        <f>VLOOKUP(A37,Enforcements!$C$7:$E$9,3,0)</f>
        <v>#N/A</v>
      </c>
      <c r="AD37" s="179">
        <f t="shared" si="10"/>
        <v>125</v>
      </c>
      <c r="AE37" s="77" t="str">
        <f t="shared" si="11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37" s="74" t="str">
        <f t="shared" si="12"/>
        <v>"C:\Program Files (x86)\AstroGrep\AstroGrep.exe" /e /r /s /spath="%USERPROFILE%\AppData\Local\Temp\OnboardLogs" /stypes="app*4064*20171112*" /stext=" 14:.+((SYSTEM_STATE.+slice.+state.+changed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125-12 --locoid 4064 --swversion DE.1.0.9.0 --startMP 204:524 --initTime 2017-11-12T06:40:20 --startdatetime 2017-11-12T06:45:42 --delay 54 --endMP 204:233276 --enddatetime 2017-11-12T07:20:58 --enforcementcount 0 &gt;&gt;%USERPROFILE%\Documents\GitHub\eaglep3-reporting\EC\2017-11-12-refined-times.txt</v>
      </c>
      <c r="AI37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{"issue":{"subject":"","project_id":79,"tracker_id":40,"status_id":1,"priority_id":2,"assigned_to_id":338,"start_date":"2017-11-12","description":"","custom_fields":[{"id":1,"name":"Subdivision","value":"EC"},{"id":4,"name":"Milepost","value":"23.3276"},{"id":17,"name":"Train ID","value":"125-12"},{"id":16,"name":"Locomotive ID","value":"4064"},{"id":130,"name":"Impact","value":""},{"id":150,"name":"Time of Event (Mountain Time)","value":"07:20:58"},{"id":151,"name":"Denver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4064 --day 2017-11-12</v>
      </c>
      <c r="AN37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14:20:58"},{"id":29,"name":"Sharepoint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1"/>
        <v>https://d0f6bd738d7f1b3e5a7ca70fe4ff75f0.us-east-1.aws.found.io/app/kibana#/discover/Steve-Slow-Train-Analysis-(2080s-and-2083s)?_g=(refreshInterval:(display:Off,pause:!f,section:0,value:0),time:(from:'2017-11-12T05:40:20-0700',mode:absolute,to:'2017-11-12T08:20:58-0700'))&amp;_a=(columns:!('Message%20ID',Summary),filters:!(),index:'emp_*',interval:auto,query:(query_string:(analyze_wildcard:!t,query:'%22rtdc.l.rtdc.4064%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728</v>
      </c>
      <c r="B38" s="7">
        <v>4063</v>
      </c>
      <c r="C38" s="21" t="s">
        <v>192</v>
      </c>
      <c r="D38" s="21" t="s">
        <v>446</v>
      </c>
      <c r="E38" s="13">
        <v>43051.318981481483</v>
      </c>
      <c r="F38" s="13">
        <v>43051.321157407408</v>
      </c>
      <c r="G38" s="7">
        <v>72</v>
      </c>
      <c r="H38" s="21" t="s">
        <v>590</v>
      </c>
      <c r="I38" s="13">
        <v>43051.348726851851</v>
      </c>
      <c r="J38" s="7">
        <v>0</v>
      </c>
      <c r="K38" s="89" t="str">
        <f t="shared" si="0"/>
        <v>4063/4064</v>
      </c>
      <c r="L38" s="185" t="str">
        <f>VLOOKUP(A38,'Trips&amp;Operators'!$C$1:$G$99911,5,FALSE)</f>
        <v>THOMPSON LESTER</v>
      </c>
      <c r="M38" s="6">
        <f t="shared" si="1"/>
        <v>2.7569444442633539E-2</v>
      </c>
      <c r="N38" s="7">
        <f t="shared" si="2"/>
        <v>39.699999997392297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-11-12T06:39:20-0700',mode:absolute,to:'2017-11-12T09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8" s="204" t="str">
        <f>IF(AA38&lt;VLOOKUP(AG38,Variables!$AC$3:$AD$8,2,FALSE),"Y","N")</f>
        <v>N</v>
      </c>
      <c r="X38" s="204">
        <f t="shared" si="28"/>
        <v>1</v>
      </c>
      <c r="Y38" s="204">
        <f t="shared" si="26"/>
        <v>23.297699999999999</v>
      </c>
      <c r="Z38" s="204">
        <f t="shared" si="27"/>
        <v>1.6299999999999999E-2</v>
      </c>
      <c r="AA38" s="204">
        <f t="shared" si="9"/>
        <v>23.281399999999998</v>
      </c>
      <c r="AB38" s="54" t="e">
        <f>VLOOKUP(A38,Enforcements!$C$7:$K$9,8,0)</f>
        <v>#N/A</v>
      </c>
      <c r="AC38" s="51" t="e">
        <f>VLOOKUP(A38,Enforcements!$C$7:$E$9,3,0)</f>
        <v>#N/A</v>
      </c>
      <c r="AD38" s="179">
        <f t="shared" si="10"/>
        <v>126</v>
      </c>
      <c r="AE38" s="77" t="str">
        <f t="shared" si="11"/>
        <v>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 &amp; aws s3 cp s3://rtdc.mdm.uploadarchive.raw/RTDC4063/ "%USERPROFILE%\AppData\Local\Temp\OnboardLogs"\RTDC4063\2017-11-13 --exclude "*" --recursive --include "*20171113*" &amp; "%USERPROFILE%\Documents\GitHub\mrs-test-scripts\Headless Mode &amp; Sideloading\WalkAndUnGZ.bat" "%USERPROFILE%\AppData\Local\Temp\OnboardLogs"\RTDC4063\2017-11-13</v>
      </c>
      <c r="AF38" s="74" t="str">
        <f t="shared" si="12"/>
        <v>"C:\Program Files (x86)\AstroGrep\AstroGrep.exe" /e /r /s /spath="%USERPROFILE%\AppData\Local\Temp\OnboardLogs" /stypes="app*4063*20171112*" /stext=" 15:.+((SYSTEM_STATE.+slice.+state.+changed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126-12 --locoid 4063 --swversion DE.1.0.9.0 --startMP 204:232977 --initTime 2017-11-12T07:39:20 --startdatetime 2017-11-12T07:42:28 --delay 72 --endMP 204:163 --enddatetime 2017-11-12T08:22:10 --enforcementcount 0 &gt;&gt;%USERPROFILE%\Documents\GitHub\eaglep3-reporting\EC\2017-11-12-refined-times.txt</v>
      </c>
      <c r="AI38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{"issue":{"subject":"","project_id":79,"tracker_id":40,"status_id":1,"priority_id":2,"assigned_to_id":338,"start_date":"2017-11-12","description":"","custom_fields":[{"id":1,"name":"Subdivision","value":"EC"},{"id":4,"name":"Milepost","value":"0.0163"},{"id":17,"name":"Train ID","value":"126-12"},{"id":16,"name":"Locomotive ID","value":"4063"},{"id":130,"name":"Impact","value":""},{"id":150,"name":"Time of Event (Mountain Time)","value":"08:22:10"},{"id":151,"name":"Denver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4063 --day 2017-11-12</v>
      </c>
      <c r="AN38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1"/>
        <v>https://d0f6bd738d7f1b3e5a7ca70fe4ff75f0.us-east-1.aws.found.io/app/kibana#/discover/Steve-Slow-Train-Analysis-(2080s-and-2083s)?_g=(refreshInterval:(display:Off,pause:!f,section:0,value:0),time:(from:'2017-11-12T06:39:20-0700',mode:absolute,to:'2017-11-12T09:22:10-0700'))&amp;_a=(columns:!('Message%20ID',Summary),filters:!(),index:'emp_*',interval:auto,query:(query_string:(analyze_wildcard:!t,query:'%22rtdc.l.rtdc.4063%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722</v>
      </c>
      <c r="B39" s="7">
        <v>4052</v>
      </c>
      <c r="C39" s="21" t="s">
        <v>192</v>
      </c>
      <c r="D39" s="21" t="s">
        <v>898</v>
      </c>
      <c r="E39" s="13">
        <v>43051.288055555553</v>
      </c>
      <c r="F39" s="13">
        <v>43051.291875000003</v>
      </c>
      <c r="G39" s="7">
        <v>62</v>
      </c>
      <c r="H39" s="21" t="s">
        <v>899</v>
      </c>
      <c r="I39" s="13">
        <v>43051.317511574074</v>
      </c>
      <c r="J39" s="7">
        <v>0</v>
      </c>
      <c r="K39" s="89" t="str">
        <f t="shared" si="0"/>
        <v>4051/4052</v>
      </c>
      <c r="L39" s="185" t="str">
        <f>VLOOKUP(A39,'Trips&amp;Operators'!$C$1:$G$99911,5,FALSE)</f>
        <v>WILLIAMS DONTE</v>
      </c>
      <c r="M39" s="6">
        <f t="shared" si="1"/>
        <v>2.5636574071540963E-2</v>
      </c>
      <c r="N39" s="7">
        <f t="shared" si="2"/>
        <v>36.916666663018987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-11-12T05:54:48-0700',mode:absolute,to:'2017-11-12T08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9" s="204" t="str">
        <f>IF(AA39&lt;VLOOKUP(AG39,Variables!$AC$3:$AD$8,2,FALSE),"Y","N")</f>
        <v>N</v>
      </c>
      <c r="X39" s="204">
        <f t="shared" si="28"/>
        <v>1</v>
      </c>
      <c r="Y39" s="204">
        <f t="shared" si="26"/>
        <v>4.8000000000000001E-2</v>
      </c>
      <c r="Z39" s="204">
        <f t="shared" si="27"/>
        <v>23.328700000000001</v>
      </c>
      <c r="AA39" s="204">
        <f t="shared" si="9"/>
        <v>23.280700000000003</v>
      </c>
      <c r="AB39" s="54" t="e">
        <f>VLOOKUP(A39,Enforcements!$C$7:$K$9,8,0)</f>
        <v>#N/A</v>
      </c>
      <c r="AC39" s="51" t="e">
        <f>VLOOKUP(A39,Enforcements!$C$7:$E$9,3,0)</f>
        <v>#N/A</v>
      </c>
      <c r="AD39" s="179">
        <f t="shared" si="10"/>
        <v>127</v>
      </c>
      <c r="AE39" s="77" t="str">
        <f t="shared" si="11"/>
        <v>aws s3 cp s3://rtdc.mdm.uploadarchive.raw/RTDC4052/ "%USERPROFILE%\AppData\Local\Temp\OnboardLogs"\RTDC4052\2017-11-12 --exclude "*" --recursive --include "*20171112*" &amp; "%USERPROFILE%\Documents\GitHub\mrs-test-scripts\Headless Mode &amp; Sideloading\WalkAndUnGZ.bat" "%USERPROFILE%\AppData\Local\Temp\OnboardLogs"\RTDC4052\2017-11-12 &amp; aws s3 cp s3://rtdc.mdm.uploadarchive.raw/RTDC4052/ "%USERPROFILE%\AppData\Local\Temp\OnboardLogs"\RTDC4052\2017-11-13 --exclude "*" --recursive --include "*20171113*" &amp; "%USERPROFILE%\Documents\GitHub\mrs-test-scripts\Headless Mode &amp; Sideloading\WalkAndUnGZ.bat" "%USERPROFILE%\AppData\Local\Temp\OnboardLogs"\RTDC4052\2017-11-13</v>
      </c>
      <c r="AF39" s="74" t="str">
        <f t="shared" si="12"/>
        <v>"C:\Program Files (x86)\AstroGrep\AstroGrep.exe" /e /r /s /spath="%USERPROFILE%\AppData\Local\Temp\OnboardLogs" /stypes="app*4052*20171112*"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127-12 --locoid 4052 --swversion DE.1.0.9.0 --startMP 204:480 --initTime 2017-11-12T06:54:48 --startdatetime 2017-11-12T07:00:18 --delay 62 --endMP 204:233287 --enddatetime 2017-11-12T07:37:13 --enforcementcount 0 &gt;&gt;%USERPROFILE%\Documents\GitHub\eaglep3-reporting\EC\2017-11-12-refined-times.txt</v>
      </c>
      <c r="AI39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{"issue":{"subject":"","project_id":79,"tracker_id":40,"status_id":1,"priority_id":2,"assigned_to_id":338,"start_date":"2017-11-12","description":"","custom_fields":[{"id":1,"name":"Subdivision","value":"EC"},{"id":4,"name":"Milepost","value":"23.3287"},{"id":17,"name":"Train ID","value":"127-12"},{"id":16,"name":"Locomotive ID","value":"4052"},{"id":130,"name":"Impact","value":""},{"id":150,"name":"Time of Event (Mountain Time)","value":"07:37:13"},{"id":151,"name":"Denver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4052 --day 2017-11-12</v>
      </c>
      <c r="AN39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14:37:13"},{"id":29,"name":"Sharepoint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1"/>
        <v>https://d0f6bd738d7f1b3e5a7ca70fe4ff75f0.us-east-1.aws.found.io/app/kibana#/discover/Steve-Slow-Train-Analysis-(2080s-and-2083s)?_g=(refreshInterval:(display:Off,pause:!f,section:0,value:0),time:(from:'2017-11-12T05:54:48-0700',mode:absolute,to:'2017-11-12T08:37:13-0700'))&amp;_a=(columns:!('Message%20ID',Summary),filters:!(),index:'emp_*',interval:auto,query:(query_string:(analyze_wildcard:!t,query:'%22rtdc.l.rtdc.4052%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730</v>
      </c>
      <c r="B40" s="7">
        <v>4051</v>
      </c>
      <c r="C40" s="21" t="s">
        <v>192</v>
      </c>
      <c r="D40" s="21" t="s">
        <v>882</v>
      </c>
      <c r="E40" s="13">
        <v>43051.327696759261</v>
      </c>
      <c r="F40" s="13">
        <v>43051.331400462965</v>
      </c>
      <c r="G40" s="7">
        <v>101</v>
      </c>
      <c r="H40" s="21" t="s">
        <v>587</v>
      </c>
      <c r="I40" s="13">
        <v>43051.358344907407</v>
      </c>
      <c r="J40" s="7">
        <v>0</v>
      </c>
      <c r="K40" s="89" t="str">
        <f t="shared" si="0"/>
        <v>4051/4052</v>
      </c>
      <c r="L40" s="185" t="str">
        <f>VLOOKUP(A40,'Trips&amp;Operators'!$C$1:$G$99911,5,FALSE)</f>
        <v>WILLIAMS DONTE</v>
      </c>
      <c r="M40" s="6">
        <f t="shared" si="1"/>
        <v>2.6944444442051463E-2</v>
      </c>
      <c r="N40" s="7">
        <f t="shared" si="2"/>
        <v>38.799999996554106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-11-12T06:51:53-0700',mode:absolute,to:'2017-11-12T09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0" s="204" t="str">
        <f>IF(AA40&lt;VLOOKUP(AG40,Variables!$AC$3:$AD$8,2,FALSE),"Y","N")</f>
        <v>N</v>
      </c>
      <c r="X40" s="204">
        <f t="shared" si="28"/>
        <v>1</v>
      </c>
      <c r="Y40" s="204">
        <f t="shared" si="26"/>
        <v>23.295999999999999</v>
      </c>
      <c r="Z40" s="204">
        <f t="shared" si="27"/>
        <v>1.9800000000000002E-2</v>
      </c>
      <c r="AA40" s="204">
        <f t="shared" si="9"/>
        <v>23.276199999999999</v>
      </c>
      <c r="AB40" s="54" t="e">
        <f>VLOOKUP(A40,Enforcements!$C$7:$K$9,8,0)</f>
        <v>#N/A</v>
      </c>
      <c r="AC40" s="51" t="e">
        <f>VLOOKUP(A40,Enforcements!$C$7:$E$9,3,0)</f>
        <v>#N/A</v>
      </c>
      <c r="AD40" s="179">
        <f t="shared" si="10"/>
        <v>128</v>
      </c>
      <c r="AE40" s="77" t="str">
        <f t="shared" si="11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40" s="74" t="str">
        <f t="shared" si="12"/>
        <v>"C:\Program Files (x86)\AstroGrep\AstroGrep.exe" /e /r /s /spath="%USERPROFILE%\AppData\Local\Temp\OnboardLogs" /stypes="app*4051*20171112*" /stext=" 15:.+((SYSTEM_STATE.+slice.+state.+changed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128-12 --locoid 4051 --swversion DE.1.0.9.0 --startMP 204:232960 --initTime 2017-11-12T07:51:53 --startdatetime 2017-11-12T07:57:13 --delay 101 --endMP 204:198 --enddatetime 2017-11-12T08:36:01 --enforcementcount 0 &gt;&gt;%USERPROFILE%\Documents\GitHub\eaglep3-reporting\EC\2017-11-12-refined-times.txt</v>
      </c>
      <c r="AI40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{"issue":{"subject":"","project_id":79,"tracker_id":40,"status_id":1,"priority_id":2,"assigned_to_id":338,"start_date":"2017-11-12","description":"","custom_fields":[{"id":1,"name":"Subdivision","value":"EC"},{"id":4,"name":"Milepost","value":"0.0198"},{"id":17,"name":"Train ID","value":"128-12"},{"id":16,"name":"Locomotive ID","value":"4051"},{"id":130,"name":"Impact","value":""},{"id":150,"name":"Time of Event (Mountain Time)","value":"08:36:01"},{"id":151,"name":"Denver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4051 --day 2017-11-12</v>
      </c>
      <c r="AN40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1"/>
        <v>https://d0f6bd738d7f1b3e5a7ca70fe4ff75f0.us-east-1.aws.found.io/app/kibana#/discover/Steve-Slow-Train-Analysis-(2080s-and-2083s)?_g=(refreshInterval:(display:Off,pause:!f,section:0,value:0),time:(from:'2017-11-12T06:51:53-0700',mode:absolute,to:'2017-11-12T09:36:01-0700'))&amp;_a=(columns:!('Message%20ID',Summary),filters:!(),index:'emp_*',interval:auto,query:(query_string:(analyze_wildcard:!t,query:'%22rtdc.l.rtdc.4051%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725</v>
      </c>
      <c r="B41" s="7">
        <v>4042</v>
      </c>
      <c r="C41" s="21" t="s">
        <v>192</v>
      </c>
      <c r="D41" s="21" t="s">
        <v>457</v>
      </c>
      <c r="E41" s="13">
        <v>43051.298900462964</v>
      </c>
      <c r="F41" s="13">
        <v>43051.302314814813</v>
      </c>
      <c r="G41" s="7">
        <v>49</v>
      </c>
      <c r="H41" s="21" t="s">
        <v>900</v>
      </c>
      <c r="I41" s="13">
        <v>43051.328240740739</v>
      </c>
      <c r="J41" s="7">
        <v>0</v>
      </c>
      <c r="K41" s="89" t="str">
        <f t="shared" si="0"/>
        <v>4041/4042</v>
      </c>
      <c r="L41" s="185" t="str">
        <f>VLOOKUP(A41,'Trips&amp;Operators'!$C$1:$G$99911,5,FALSE)</f>
        <v>MAELZER KURT</v>
      </c>
      <c r="M41" s="6">
        <f t="shared" si="1"/>
        <v>2.5925925925548654E-2</v>
      </c>
      <c r="N41" s="7">
        <f t="shared" si="2"/>
        <v>37.333333332790062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-11-12T06:10:25-0700',mode:absolute,to:'2017-11-12T08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204" t="str">
        <f>IF(AA41&lt;VLOOKUP(AG41,Variables!$AC$3:$AD$8,2,FALSE),"Y","N")</f>
        <v>N</v>
      </c>
      <c r="X41" s="204">
        <f t="shared" si="28"/>
        <v>1</v>
      </c>
      <c r="Y41" s="204">
        <f t="shared" si="26"/>
        <v>5.1499999999999997E-2</v>
      </c>
      <c r="Z41" s="204">
        <f t="shared" si="27"/>
        <v>23.3309</v>
      </c>
      <c r="AA41" s="204">
        <f t="shared" si="9"/>
        <v>23.279399999999999</v>
      </c>
      <c r="AB41" s="54" t="e">
        <f>VLOOKUP(A41,Enforcements!$C$7:$K$9,8,0)</f>
        <v>#N/A</v>
      </c>
      <c r="AC41" s="51" t="e">
        <f>VLOOKUP(A41,Enforcements!$C$7:$E$9,3,0)</f>
        <v>#N/A</v>
      </c>
      <c r="AD41" s="179">
        <f t="shared" si="10"/>
        <v>129</v>
      </c>
      <c r="AE41" s="77" t="str">
        <f t="shared" si="11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41" s="74" t="str">
        <f t="shared" si="12"/>
        <v>"C:\Program Files (x86)\AstroGrep\AstroGrep.exe" /e /r /s /spath="%USERPROFILE%\AppData\Local\Temp\OnboardLogs" /stypes="app*4042*20171112*"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129-12 --locoid 4042 --swversion DE.1.0.9.0 --startMP 204:515 --initTime 2017-11-12T07:10:25 --startdatetime 2017-11-12T07:15:20 --delay 49 --endMP 204:233309 --enddatetime 2017-11-12T07:52:40 --enforcementcount 0 &gt;&gt;%USERPROFILE%\Documents\GitHub\eaglep3-reporting\EC\2017-11-12-refined-times.txt</v>
      </c>
      <c r="AI41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{"issue":{"subject":"","project_id":79,"tracker_id":40,"status_id":1,"priority_id":2,"assigned_to_id":338,"start_date":"2017-11-12","description":"","custom_fields":[{"id":1,"name":"Subdivision","value":"EC"},{"id":4,"name":"Milepost","value":"23.3309"},{"id":17,"name":"Train ID","value":"129-12"},{"id":16,"name":"Locomotive ID","value":"4042"},{"id":130,"name":"Impact","value":""},{"id":150,"name":"Time of Event (Mountain Time)","value":"07:52:40"},{"id":151,"name":"Denver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4042 --day 2017-11-12</v>
      </c>
      <c r="AN41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14:52:40"},{"id":29,"name":"Sharepoint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1"/>
        <v>https://d0f6bd738d7f1b3e5a7ca70fe4ff75f0.us-east-1.aws.found.io/app/kibana#/discover/Steve-Slow-Train-Analysis-(2080s-and-2083s)?_g=(refreshInterval:(display:Off,pause:!f,section:0,value:0),time:(from:'2017-11-12T06:10:25-0700',mode:absolute,to:'2017-11-12T08:52:40-0700'))&amp;_a=(columns:!('Message%20ID',Summary),filters:!(),index:'emp_*',interval:auto,query:(query_string:(analyze_wildcard:!t,query:'%22rtdc.l.rtdc.4042%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731</v>
      </c>
      <c r="B42" s="7">
        <v>4041</v>
      </c>
      <c r="C42" s="21" t="s">
        <v>192</v>
      </c>
      <c r="D42" s="21" t="s">
        <v>901</v>
      </c>
      <c r="E42" s="13">
        <v>43051.332743055558</v>
      </c>
      <c r="F42" s="13">
        <v>43051.352986111109</v>
      </c>
      <c r="G42" s="7">
        <v>50</v>
      </c>
      <c r="H42" s="21" t="s">
        <v>901</v>
      </c>
      <c r="I42" s="13">
        <v>43051.369270833333</v>
      </c>
      <c r="J42" s="7">
        <v>0</v>
      </c>
      <c r="K42" s="89" t="str">
        <f t="shared" si="0"/>
        <v>4041/4042</v>
      </c>
      <c r="L42" s="185" t="str">
        <f>VLOOKUP(A42,'Trips&amp;Operators'!$C$1:$G$99911,5,FALSE)</f>
        <v>MAELZER KURT</v>
      </c>
      <c r="M42" s="6">
        <f t="shared" si="1"/>
        <v>1.6284722223645076E-2</v>
      </c>
      <c r="N42" s="7"/>
      <c r="O42" s="7"/>
      <c r="P42" s="7">
        <f>24*60*SUM($M42:$M42)</f>
        <v>23.45000000204891</v>
      </c>
      <c r="Q42" s="22"/>
      <c r="R42" s="174" t="s">
        <v>1098</v>
      </c>
      <c r="S42" s="221">
        <f>1/IF(AG42="EC",12,1)*SUM(U42:U43)</f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-11-12T06:59:09-0700',mode:absolute,to:'2017-11-12T09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204" t="str">
        <f>IF(AA42&lt;VLOOKUP(AG42,Variables!$AC$3:$AD$8,2,FALSE),"Y","N")</f>
        <v>Y</v>
      </c>
      <c r="X42" s="204">
        <f t="shared" si="28"/>
        <v>1</v>
      </c>
      <c r="Y42" s="204">
        <f t="shared" si="26"/>
        <v>23.298999999999999</v>
      </c>
      <c r="Z42" s="204">
        <f t="shared" si="27"/>
        <v>23.298999999999999</v>
      </c>
      <c r="AA42" s="204">
        <f t="shared" si="9"/>
        <v>0</v>
      </c>
      <c r="AB42" s="54" t="e">
        <f>VLOOKUP(A42,Enforcements!$C$7:$K$9,8,0)</f>
        <v>#N/A</v>
      </c>
      <c r="AC42" s="51" t="e">
        <f>VLOOKUP(A42,Enforcements!$C$7:$E$9,3,0)</f>
        <v>#N/A</v>
      </c>
      <c r="AD42" s="179">
        <f t="shared" si="10"/>
        <v>130</v>
      </c>
      <c r="AE42" s="77" t="str">
        <f t="shared" si="11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42" s="74" t="str">
        <f t="shared" si="12"/>
        <v>"C:\Program Files (x86)\AstroGrep\AstroGrep.exe" /e /r /s /spath="%USERPROFILE%\AppData\Local\Temp\OnboardLogs" /stypes="app*4041*20171112*" /stext=" 15:.+((SYSTEM_STATE.+slice.+state.+changed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130-12 --locoid 4041 --swversion DE.1.0.9.0 --startMP 204:232990 --initTime 2017-11-12T07:59:09 --startdatetime 2017-11-12T08:28:18 --delay 50 --endMP 204:232990 --enddatetime 2017-11-12T08:51:45 --enforcementcount 0 &gt;&gt;%USERPROFILE%\Documents\GitHub\eaglep3-reporting\EC\2017-11-12-refined-times.txt</v>
      </c>
      <c r="AI42" s="96" t="str">
        <f t="shared" si="15"/>
        <v>echo {"issue":{"subject":"Onboard in-route failure","project_id":79,"tracker_id":40,"status_id":1,"priority_id":2,"assigned_to_id":338,"start_date":"2017-11-12","description":"","custom_fields":[{"id":1,"name":"Subdivision","value":"EC"},{"id":4,"name":"Milepost","value":"23.299"},{"id":17,"name":"Train ID","value":"130-12"},{"id":16,"name":"Locomotive ID","value":"4041"},{"id":130,"name":"Impact","value":""},{"id":150,"name":"Time of Event (Mountain Time)","value":"08:51:45"},{"id":151,"name":"Denver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4041 --day 2017-11-12</v>
      </c>
      <c r="AN42" s="151" t="str">
        <f t="shared" si="17"/>
        <v>echo {"issue":{"subject":"Onboard in-route failure","project_id":30,"tracker_id":4,"status_id":1,"priority_id":1,"assigned_to_id":10,"start_date":"2017-11-12","description":"","custom_fields":[{"id":30,"name":"Category","value":"Issue"},{"id":3,"name":"Functional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1"/>
        <v>https://d0f6bd738d7f1b3e5a7ca70fe4ff75f0.us-east-1.aws.found.io/app/kibana#/discover/Steve-Slow-Train-Analysis-(2080s-and-2083s)?_g=(refreshInterval:(display:Off,pause:!f,section:0,value:0),time:(from:'2017-11-12T06:59:09-0700',mode:absolute,to:'2017-11-12T09:51:45-0700'))&amp;_a=(columns:!('Message%20ID',Summary),filters:!(),index:'emp_*',interval:auto,query:(query_string:(analyze_wildcard:!t,query:'%22rtdc.l.rtdc.4041%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731</v>
      </c>
      <c r="B43" s="7">
        <v>4041</v>
      </c>
      <c r="C43" s="21" t="s">
        <v>192</v>
      </c>
      <c r="D43" s="21" t="s">
        <v>902</v>
      </c>
      <c r="E43" s="13">
        <v>43051.351319444446</v>
      </c>
      <c r="F43" s="13">
        <v>43051.352986111109</v>
      </c>
      <c r="G43" s="7">
        <v>51</v>
      </c>
      <c r="H43" s="21" t="s">
        <v>455</v>
      </c>
      <c r="I43" s="13">
        <v>43051.369270833333</v>
      </c>
      <c r="J43" s="7">
        <v>0</v>
      </c>
      <c r="K43" s="89" t="str">
        <f t="shared" si="0"/>
        <v>4041/4042</v>
      </c>
      <c r="L43" s="185" t="str">
        <f>VLOOKUP(A43,'Trips&amp;Operators'!$C$1:$G$99911,5,FALSE)</f>
        <v>MAELZER KURT</v>
      </c>
      <c r="M43" s="6">
        <f t="shared" si="1"/>
        <v>1.6284722223645076E-2</v>
      </c>
      <c r="N43" s="7"/>
      <c r="O43" s="7"/>
      <c r="P43" s="7"/>
      <c r="Q43" s="22"/>
      <c r="R43" s="174"/>
      <c r="S43" s="221"/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-11-12T07:25:54-0700',mode:absolute,to:'2017-11-12T09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3" s="204" t="str">
        <f>IF(AA43&lt;VLOOKUP(AG43,Variables!$AC$3:$AD$8,2,FALSE),"Y","N")</f>
        <v>Y</v>
      </c>
      <c r="X43" s="204">
        <f t="shared" si="28"/>
        <v>0</v>
      </c>
      <c r="Y43" s="204">
        <f t="shared" si="26"/>
        <v>12.7851</v>
      </c>
      <c r="Z43" s="204">
        <f t="shared" si="27"/>
        <v>2.07E-2</v>
      </c>
      <c r="AA43" s="204">
        <f t="shared" si="9"/>
        <v>12.7644</v>
      </c>
      <c r="AB43" s="54" t="e">
        <f>VLOOKUP(A43,Enforcements!$C$7:$K$9,8,0)</f>
        <v>#N/A</v>
      </c>
      <c r="AC43" s="51" t="e">
        <f>VLOOKUP(A43,Enforcements!$C$7:$E$9,3,0)</f>
        <v>#N/A</v>
      </c>
      <c r="AD43" s="179">
        <f t="shared" si="10"/>
        <v>130</v>
      </c>
      <c r="AE43" s="77" t="str">
        <f t="shared" si="11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43" s="74" t="str">
        <f t="shared" si="12"/>
        <v>"C:\Program Files (x86)\AstroGrep\AstroGrep.exe" /e /r /s /spath="%USERPROFILE%\AppData\Local\Temp\OnboardLogs" /stypes="app*4041*20171112*" /stext=" 15:.+((SYSTEM_STATE.+slice.+state.+changed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130-12 --locoid 4041 --swversion DE.1.0.9.0 --startMP 204:127851 --initTime 2017-11-12T08:25:54 --startdatetime 2017-11-12T08:28:18 --delay 51 --endMP 204:207 --enddatetime 2017-11-12T08:51:45 --enforcementcount 0 &gt;&gt;%USERPROFILE%\Documents\GitHub\eaglep3-reporting\EC\2017-11-12-refined-times.txt</v>
      </c>
      <c r="AI43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{"issue":{"subject":"","project_id":79,"tracker_id":40,"status_id":1,"priority_id":2,"assigned_to_id":338,"start_date":"2017-11-12","description":"","custom_fields":[{"id":1,"name":"Subdivision","value":"EC"},{"id":4,"name":"Milepost","value":"0.0207"},{"id":17,"name":"Train ID","value":"130-12"},{"id":16,"name":"Locomotive ID","value":"4041"},{"id":130,"name":"Impact","value":""},{"id":150,"name":"Time of Event (Mountain Time)","value":"08:51:45"},{"id":151,"name":"Denver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4041 --day 2017-11-12</v>
      </c>
      <c r="AN43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1"/>
        <v>https://d0f6bd738d7f1b3e5a7ca70fe4ff75f0.us-east-1.aws.found.io/app/kibana#/discover/Steve-Slow-Train-Analysis-(2080s-and-2083s)?_g=(refreshInterval:(display:Off,pause:!f,section:0,value:0),time:(from:'2017-11-12T07:25:54-0700',mode:absolute,to:'2017-11-12T09:51:45-0700'))&amp;_a=(columns:!('Message%20ID',Summary),filters:!(),index:'emp_*',interval:auto,query:(query_string:(analyze_wildcard:!t,query:'%22rtdc.l.rtdc.4041%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726</v>
      </c>
      <c r="B44" s="7">
        <v>4004</v>
      </c>
      <c r="C44" s="21" t="s">
        <v>192</v>
      </c>
      <c r="D44" s="21" t="s">
        <v>505</v>
      </c>
      <c r="E44" s="13">
        <v>43051.305833333332</v>
      </c>
      <c r="F44" s="13">
        <v>43051.312858796293</v>
      </c>
      <c r="G44" s="7">
        <v>46</v>
      </c>
      <c r="H44" s="21" t="s">
        <v>903</v>
      </c>
      <c r="I44" s="13">
        <v>43051.337141203701</v>
      </c>
      <c r="J44" s="7">
        <v>0</v>
      </c>
      <c r="K44" s="89" t="str">
        <f t="shared" si="0"/>
        <v>4003/4004</v>
      </c>
      <c r="L44" s="185" t="str">
        <f>VLOOKUP(A44,'Trips&amp;Operators'!$C$1:$G$99911,5,FALSE)</f>
        <v>LOPES KIMBERLY</v>
      </c>
      <c r="M44" s="6">
        <f t="shared" si="1"/>
        <v>2.4282407408463769E-2</v>
      </c>
      <c r="N44" s="7">
        <f t="shared" ref="N44:N49" si="29">24*60*SUM($M44:$M44)</f>
        <v>34.966666668187827</v>
      </c>
      <c r="O44" s="7"/>
      <c r="P44" s="7"/>
      <c r="Q44" s="22"/>
      <c r="R44" s="174"/>
      <c r="S44" s="221">
        <f t="shared" ref="S44:S49" si="30">1/IF(AG44="EC",12,1)*SUM(U44:U44)</f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-11-12T06:20:24-0700',mode:absolute,to:'2017-11-12T09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4" s="204" t="str">
        <f>IF(AA44&lt;VLOOKUP(AG44,Variables!$AC$3:$AD$8,2,FALSE),"Y","N")</f>
        <v>N</v>
      </c>
      <c r="X44" s="204">
        <f t="shared" si="28"/>
        <v>1</v>
      </c>
      <c r="Y44" s="204">
        <f t="shared" si="26"/>
        <v>5.3499999999999999E-2</v>
      </c>
      <c r="Z44" s="204">
        <f t="shared" si="27"/>
        <v>23.32</v>
      </c>
      <c r="AA44" s="204">
        <f t="shared" si="9"/>
        <v>23.266500000000001</v>
      </c>
      <c r="AB44" s="54" t="e">
        <f>VLOOKUP(A44,Enforcements!$C$7:$K$9,8,0)</f>
        <v>#N/A</v>
      </c>
      <c r="AC44" s="51" t="e">
        <f>VLOOKUP(A44,Enforcements!$C$7:$E$9,3,0)</f>
        <v>#N/A</v>
      </c>
      <c r="AD44" s="179">
        <f t="shared" si="10"/>
        <v>131</v>
      </c>
      <c r="AE44" s="77" t="str">
        <f t="shared" si="11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44" s="74" t="str">
        <f t="shared" si="12"/>
        <v>"C:\Program Files (x86)\AstroGrep\AstroGrep.exe" /e /r /s /spath="%USERPROFILE%\AppData\Local\Temp\OnboardLogs" /stypes="app*4004*20171112*"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131-12 --locoid 4004 --swversion DE.1.0.9.0 --startMP 204:535 --initTime 2017-11-12T07:20:24 --startdatetime 2017-11-12T07:30:31 --delay 46 --endMP 204:233200 --enddatetime 2017-11-12T08:05:29 --enforcementcount 0 &gt;&gt;%USERPROFILE%\Documents\GitHub\eaglep3-reporting\EC\2017-11-12-refined-times.txt</v>
      </c>
      <c r="AI44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{"issue":{"subject":"","project_id":79,"tracker_id":40,"status_id":1,"priority_id":2,"assigned_to_id":338,"start_date":"2017-11-12","description":"","custom_fields":[{"id":1,"name":"Subdivision","value":"EC"},{"id":4,"name":"Milepost","value":"23.32"},{"id":17,"name":"Train ID","value":"131-12"},{"id":16,"name":"Locomotive ID","value":"4004"},{"id":130,"name":"Impact","value":""},{"id":150,"name":"Time of Event (Mountain Time)","value":"08:05:29"},{"id":151,"name":"Denver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4004 --day 2017-11-12</v>
      </c>
      <c r="AN44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1"/>
        <v>https://d0f6bd738d7f1b3e5a7ca70fe4ff75f0.us-east-1.aws.found.io/app/kibana#/discover/Steve-Slow-Train-Analysis-(2080s-and-2083s)?_g=(refreshInterval:(display:Off,pause:!f,section:0,value:0),time:(from:'2017-11-12T06:20:24-0700',mode:absolute,to:'2017-11-12T09:05:29-0700'))&amp;_a=(columns:!('Message%20ID',Summary),filters:!(),index:'emp_*',interval:auto,query:(query_string:(analyze_wildcard:!t,query:'%22rtdc.l.rtdc.4004%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733</v>
      </c>
      <c r="B45" s="7">
        <v>4003</v>
      </c>
      <c r="C45" s="21" t="s">
        <v>192</v>
      </c>
      <c r="D45" s="21" t="s">
        <v>904</v>
      </c>
      <c r="E45" s="13">
        <v>43051.342129629629</v>
      </c>
      <c r="F45" s="13">
        <v>43051.352256944447</v>
      </c>
      <c r="G45" s="7">
        <v>55</v>
      </c>
      <c r="H45" s="21" t="s">
        <v>455</v>
      </c>
      <c r="I45" s="13">
        <v>43051.377997685187</v>
      </c>
      <c r="J45" s="7">
        <v>0</v>
      </c>
      <c r="K45" s="89" t="str">
        <f t="shared" si="0"/>
        <v>4003/4004</v>
      </c>
      <c r="L45" s="185" t="str">
        <f>VLOOKUP(A45,'Trips&amp;Operators'!$C$1:$G$99911,5,FALSE)</f>
        <v>LOPES KIMBERLY</v>
      </c>
      <c r="M45" s="6">
        <f t="shared" si="1"/>
        <v>2.5740740740729962E-2</v>
      </c>
      <c r="N45" s="7">
        <f t="shared" si="29"/>
        <v>37.066666666651145</v>
      </c>
      <c r="O45" s="7"/>
      <c r="P45" s="7"/>
      <c r="Q45" s="22"/>
      <c r="R45" s="174"/>
      <c r="S45" s="221">
        <f t="shared" si="30"/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-11-12T07:12:40-0700',mode:absolute,to:'2017-11-12T10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5" s="204" t="str">
        <f>IF(AA45&lt;VLOOKUP(AG45,Variables!$AC$3:$AD$8,2,FALSE),"Y","N")</f>
        <v>N</v>
      </c>
      <c r="X45" s="204">
        <f t="shared" si="28"/>
        <v>1</v>
      </c>
      <c r="Y45" s="204">
        <f t="shared" si="26"/>
        <v>23.2864</v>
      </c>
      <c r="Z45" s="204">
        <f t="shared" si="27"/>
        <v>2.07E-2</v>
      </c>
      <c r="AA45" s="204">
        <f t="shared" si="9"/>
        <v>23.265699999999999</v>
      </c>
      <c r="AB45" s="54" t="e">
        <f>VLOOKUP(A45,Enforcements!$C$7:$K$9,8,0)</f>
        <v>#N/A</v>
      </c>
      <c r="AC45" s="51" t="e">
        <f>VLOOKUP(A45,Enforcements!$C$7:$E$9,3,0)</f>
        <v>#N/A</v>
      </c>
      <c r="AD45" s="179">
        <f t="shared" si="10"/>
        <v>132</v>
      </c>
      <c r="AE45" s="77" t="str">
        <f t="shared" si="11"/>
        <v>aws s3 cp s3://rtdc.mdm.uploadarchive.raw/RTDC4003/ "%USERPROFILE%\AppData\Local\Temp\OnboardLogs"\RTDC4003\2017-11-12 --exclude "*" --recursive --include "*20171112*" &amp; "%USERPROFILE%\Documents\GitHub\mrs-test-scripts\Headless Mode &amp; Sideloading\WalkAndUnGZ.bat" "%USERPROFILE%\AppData\Local\Temp\OnboardLogs"\RTDC4003\2017-11-12 &amp; aws s3 cp s3://rtdc.mdm.uploadarchive.raw/RTDC4003/ "%USERPROFILE%\AppData\Local\Temp\OnboardLogs"\RTDC4003\2017-11-13 --exclude "*" --recursive --include "*20171113*" &amp; "%USERPROFILE%\Documents\GitHub\mrs-test-scripts\Headless Mode &amp; Sideloading\WalkAndUnGZ.bat" "%USERPROFILE%\AppData\Local\Temp\OnboardLogs"\RTDC4003\2017-11-13</v>
      </c>
      <c r="AF45" s="74" t="str">
        <f t="shared" si="12"/>
        <v>"C:\Program Files (x86)\AstroGrep\AstroGrep.exe" /e /r /s /spath="%USERPROFILE%\AppData\Local\Temp\OnboardLogs" /stypes="app*4003*20171112*" /stext=" 16:.+((SYSTEM_STATE.+slice.+state.+changed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132-12 --locoid 4003 --swversion DE.1.0.9.0 --startMP 204:232864 --initTime 2017-11-12T08:12:40 --startdatetime 2017-11-12T08:27:15 --delay 55 --endMP 204:207 --enddatetime 2017-11-12T09:04:19 --enforcementcount 0 &gt;&gt;%USERPROFILE%\Documents\GitHub\eaglep3-reporting\EC\2017-11-12-refined-times.txt</v>
      </c>
      <c r="AI45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{"issue":{"subject":"","project_id":79,"tracker_id":40,"status_id":1,"priority_id":2,"assigned_to_id":338,"start_date":"2017-11-12","description":"","custom_fields":[{"id":1,"name":"Subdivision","value":"EC"},{"id":4,"name":"Milepost","value":"0.0207"},{"id":17,"name":"Train ID","value":"132-12"},{"id":16,"name":"Locomotive ID","value":"4003"},{"id":130,"name":"Impact","value":""},{"id":150,"name":"Time of Event (Mountain Time)","value":"09:04:19"},{"id":151,"name":"Denver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4003 --day 2017-11-12</v>
      </c>
      <c r="AN45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1"/>
        <v>https://d0f6bd738d7f1b3e5a7ca70fe4ff75f0.us-east-1.aws.found.io/app/kibana#/discover/Steve-Slow-Train-Analysis-(2080s-and-2083s)?_g=(refreshInterval:(display:Off,pause:!f,section:0,value:0),time:(from:'2017-11-12T07:12:40-0700',mode:absolute,to:'2017-11-12T10:04:19-0700'))&amp;_a=(columns:!('Message%20ID',Summary),filters:!(),index:'emp_*',interval:auto,query:(query_string:(analyze_wildcard:!t,query:'%22rtdc.l.rtdc.4003%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644</v>
      </c>
      <c r="B46" s="7">
        <v>4016</v>
      </c>
      <c r="C46" s="21" t="s">
        <v>192</v>
      </c>
      <c r="D46" s="21" t="s">
        <v>593</v>
      </c>
      <c r="E46" s="13">
        <v>43051.316643518519</v>
      </c>
      <c r="F46" s="13">
        <v>43051.32309027778</v>
      </c>
      <c r="G46" s="7">
        <v>82</v>
      </c>
      <c r="H46" s="21" t="s">
        <v>598</v>
      </c>
      <c r="I46" s="13">
        <v>43051.348194444443</v>
      </c>
      <c r="J46" s="7">
        <v>0</v>
      </c>
      <c r="K46" s="89" t="str">
        <f t="shared" si="0"/>
        <v>4015/4016</v>
      </c>
      <c r="L46" s="185" t="str">
        <f>VLOOKUP(A46,'Trips&amp;Operators'!$C$1:$G$99911,5,FALSE)</f>
        <v>PAGE MARCUS</v>
      </c>
      <c r="M46" s="6">
        <f t="shared" si="1"/>
        <v>2.5104166663368233E-2</v>
      </c>
      <c r="N46" s="7">
        <f t="shared" si="29"/>
        <v>36.149999995250255</v>
      </c>
      <c r="O46" s="7"/>
      <c r="P46" s="7"/>
      <c r="Q46" s="22"/>
      <c r="R46" s="174"/>
      <c r="S46" s="221">
        <f t="shared" si="30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-11-12T06:35:58-0700',mode:absolute,to:'2017-11-12T09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6" s="204" t="str">
        <f>IF(AA46&lt;VLOOKUP(AG46,Variables!$AC$3:$AD$8,2,FALSE),"Y","N")</f>
        <v>N</v>
      </c>
      <c r="X46" s="204">
        <f t="shared" si="28"/>
        <v>1</v>
      </c>
      <c r="Y46" s="204">
        <f t="shared" si="26"/>
        <v>4.58E-2</v>
      </c>
      <c r="Z46" s="204">
        <f t="shared" si="27"/>
        <v>23.327000000000002</v>
      </c>
      <c r="AA46" s="204">
        <f t="shared" si="9"/>
        <v>23.281200000000002</v>
      </c>
      <c r="AB46" s="54" t="e">
        <f>VLOOKUP(A46,Enforcements!$C$7:$K$9,8,0)</f>
        <v>#N/A</v>
      </c>
      <c r="AC46" s="51" t="e">
        <f>VLOOKUP(A46,Enforcements!$C$7:$E$9,3,0)</f>
        <v>#N/A</v>
      </c>
      <c r="AD46" s="179">
        <f t="shared" si="10"/>
        <v>133</v>
      </c>
      <c r="AE46" s="77" t="str">
        <f t="shared" si="11"/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46" s="74" t="str">
        <f t="shared" si="12"/>
        <v>"C:\Program Files (x86)\AstroGrep\AstroGrep.exe" /e /r /s /spath="%USERPROFILE%\AppData\Local\Temp\OnboardLogs" /stypes="app*4016*20171112*"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133-12 --locoid 4016 --swversion DE.1.0.9.0 --startMP 204:458 --initTime 2017-11-12T07:35:58 --startdatetime 2017-11-12T07:45:15 --delay 82 --endMP 204:233270 --enddatetime 2017-11-12T08:21:24 --enforcementcount 0 &gt;&gt;%USERPROFILE%\Documents\GitHub\eaglep3-reporting\EC\2017-11-12-refined-times.txt</v>
      </c>
      <c r="AI46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{"issue":{"subject":"","project_id":79,"tracker_id":40,"status_id":1,"priority_id":2,"assigned_to_id":338,"start_date":"2017-11-12","description":"","custom_fields":[{"id":1,"name":"Subdivision","value":"EC"},{"id":4,"name":"Milepost","value":"23.327"},{"id":17,"name":"Train ID","value":"133-12"},{"id":16,"name":"Locomotive ID","value":"4016"},{"id":130,"name":"Impact","value":""},{"id":150,"name":"Time of Event (Mountain Time)","value":"08:21:24"},{"id":151,"name":"Denver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4016 --day 2017-11-12</v>
      </c>
      <c r="AN46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1"/>
        <v>https://d0f6bd738d7f1b3e5a7ca70fe4ff75f0.us-east-1.aws.found.io/app/kibana#/discover/Steve-Slow-Train-Analysis-(2080s-and-2083s)?_g=(refreshInterval:(display:Off,pause:!f,section:0,value:0),time:(from:'2017-11-12T06:35:58-0700',mode:absolute,to:'2017-11-12T09:21:24-0700'))&amp;_a=(columns:!('Message%20ID',Summary),filters:!(),index:'emp_*',interval:auto,query:(query_string:(analyze_wildcard:!t,query:'%22rtdc.l.rtdc.4016%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735</v>
      </c>
      <c r="B47" s="7">
        <v>4015</v>
      </c>
      <c r="C47" s="21" t="s">
        <v>192</v>
      </c>
      <c r="D47" s="21" t="s">
        <v>905</v>
      </c>
      <c r="E47" s="13">
        <v>43051.356504629628</v>
      </c>
      <c r="F47" s="13">
        <v>43051.362650462965</v>
      </c>
      <c r="G47" s="7">
        <v>63</v>
      </c>
      <c r="H47" s="21" t="s">
        <v>881</v>
      </c>
      <c r="I47" s="13">
        <v>43051.389675925922</v>
      </c>
      <c r="J47" s="7">
        <v>0</v>
      </c>
      <c r="K47" s="89" t="str">
        <f t="shared" si="0"/>
        <v>4015/4016</v>
      </c>
      <c r="L47" s="185" t="str">
        <f>VLOOKUP(A47,'Trips&amp;Operators'!$C$1:$G$99911,5,FALSE)</f>
        <v>PAGE MARCUS</v>
      </c>
      <c r="M47" s="6">
        <f t="shared" si="1"/>
        <v>2.7025462957681157E-2</v>
      </c>
      <c r="N47" s="7">
        <f t="shared" si="29"/>
        <v>38.916666659060866</v>
      </c>
      <c r="O47" s="7"/>
      <c r="P47" s="7"/>
      <c r="Q47" s="22"/>
      <c r="R47" s="174"/>
      <c r="S47" s="221">
        <f t="shared" si="30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-11-12T07:33:22-0700',mode:absolute,to:'2017-11-12T10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7" s="204" t="str">
        <f>IF(AA47&lt;VLOOKUP(AG47,Variables!$AC$3:$AD$8,2,FALSE),"Y","N")</f>
        <v>N</v>
      </c>
      <c r="X47" s="204">
        <f t="shared" si="28"/>
        <v>1</v>
      </c>
      <c r="Y47" s="204">
        <f t="shared" si="26"/>
        <v>23.295000000000002</v>
      </c>
      <c r="Z47" s="204">
        <f t="shared" si="27"/>
        <v>1.6899999999999998E-2</v>
      </c>
      <c r="AA47" s="204">
        <f t="shared" si="9"/>
        <v>23.278100000000002</v>
      </c>
      <c r="AB47" s="54" t="e">
        <f>VLOOKUP(A47,Enforcements!$C$7:$K$9,8,0)</f>
        <v>#N/A</v>
      </c>
      <c r="AC47" s="51" t="e">
        <f>VLOOKUP(A47,Enforcements!$C$7:$E$9,3,0)</f>
        <v>#N/A</v>
      </c>
      <c r="AD47" s="179">
        <f t="shared" si="10"/>
        <v>134</v>
      </c>
      <c r="AE47" s="77" t="str">
        <f t="shared" si="11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47" s="74" t="str">
        <f t="shared" si="12"/>
        <v>"C:\Program Files (x86)\AstroGrep\AstroGrep.exe" /e /r /s /spath="%USERPROFILE%\AppData\Local\Temp\OnboardLogs" /stypes="app*4015*20171112*" /stext=" 16:.+((SYSTEM_STATE.+slice.+state.+changed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134-12 --locoid 4015 --swversion DE.1.0.9.0 --startMP 204:232950 --initTime 2017-11-12T08:33:22 --startdatetime 2017-11-12T08:42:13 --delay 63 --endMP 204:169 --enddatetime 2017-11-12T09:21:08 --enforcementcount 0 &gt;&gt;%USERPROFILE%\Documents\GitHub\eaglep3-reporting\EC\2017-11-12-refined-times.txt</v>
      </c>
      <c r="AI47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{"issue":{"subject":"","project_id":79,"tracker_id":40,"status_id":1,"priority_id":2,"assigned_to_id":338,"start_date":"2017-11-12","description":"","custom_fields":[{"id":1,"name":"Subdivision","value":"EC"},{"id":4,"name":"Milepost","value":"0.0169"},{"id":17,"name":"Train ID","value":"134-12"},{"id":16,"name":"Locomotive ID","value":"4015"},{"id":130,"name":"Impact","value":""},{"id":150,"name":"Time of Event (Mountain Time)","value":"09:21:08"},{"id":151,"name":"Denver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4015 --day 2017-11-12</v>
      </c>
      <c r="AN47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1"/>
        <v>https://d0f6bd738d7f1b3e5a7ca70fe4ff75f0.us-east-1.aws.found.io/app/kibana#/discover/Steve-Slow-Train-Analysis-(2080s-and-2083s)?_g=(refreshInterval:(display:Off,pause:!f,section:0,value:0),time:(from:'2017-11-12T07:33:22-0700',mode:absolute,to:'2017-11-12T10:21:08-0700'))&amp;_a=(columns:!('Message%20ID',Summary),filters:!(),index:'emp_*',interval:auto,query:(query_string:(analyze_wildcard:!t,query:'%22rtdc.l.rtdc.4015%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729</v>
      </c>
      <c r="B48" s="7">
        <v>4006</v>
      </c>
      <c r="C48" s="21" t="s">
        <v>192</v>
      </c>
      <c r="D48" s="21" t="s">
        <v>502</v>
      </c>
      <c r="E48" s="13">
        <v>43051.326678240737</v>
      </c>
      <c r="F48" s="13">
        <v>43051.33388888889</v>
      </c>
      <c r="G48" s="7">
        <v>61</v>
      </c>
      <c r="H48" s="21" t="s">
        <v>450</v>
      </c>
      <c r="I48" s="13">
        <v>43051.357870370368</v>
      </c>
      <c r="J48" s="7">
        <v>0</v>
      </c>
      <c r="K48" s="89" t="str">
        <f t="shared" si="0"/>
        <v>4005/4006</v>
      </c>
      <c r="L48" s="185" t="str">
        <f>VLOOKUP(A48,'Trips&amp;Operators'!$C$1:$G$99911,5,FALSE)</f>
        <v>ROMERO CHAD</v>
      </c>
      <c r="M48" s="6">
        <f t="shared" si="1"/>
        <v>2.3981481477676425E-2</v>
      </c>
      <c r="N48" s="7">
        <f t="shared" si="29"/>
        <v>34.533333327854052</v>
      </c>
      <c r="O48" s="7"/>
      <c r="P48" s="7"/>
      <c r="Q48" s="22"/>
      <c r="R48" s="174"/>
      <c r="S48" s="221">
        <f t="shared" si="30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-11-12T06:50:25-0700',mode:absolute,to:'2017-11-12T09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8" s="204" t="str">
        <f>IF(AA48&lt;VLOOKUP(AG48,Variables!$AC$3:$AD$8,2,FALSE),"Y","N")</f>
        <v>N</v>
      </c>
      <c r="X48" s="204">
        <f t="shared" si="28"/>
        <v>1</v>
      </c>
      <c r="Y48" s="204">
        <f t="shared" si="26"/>
        <v>5.33E-2</v>
      </c>
      <c r="Z48" s="204">
        <f t="shared" si="27"/>
        <v>23.328900000000001</v>
      </c>
      <c r="AA48" s="204">
        <f t="shared" si="9"/>
        <v>23.275600000000001</v>
      </c>
      <c r="AB48" s="54" t="e">
        <f>VLOOKUP(A48,Enforcements!$C$7:$K$9,8,0)</f>
        <v>#N/A</v>
      </c>
      <c r="AC48" s="51" t="e">
        <f>VLOOKUP(A48,Enforcements!$C$7:$E$9,3,0)</f>
        <v>#N/A</v>
      </c>
      <c r="AD48" s="179">
        <f t="shared" si="10"/>
        <v>135</v>
      </c>
      <c r="AE48" s="77" t="str">
        <f t="shared" si="11"/>
        <v>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 &amp; aws s3 cp s3://rtdc.mdm.uploadarchive.raw/RTDC4006/ "%USERPROFILE%\AppData\Local\Temp\OnboardLogs"\RTDC4006\2017-11-13 --exclude "*" --recursive --include "*20171113*" &amp; "%USERPROFILE%\Documents\GitHub\mrs-test-scripts\Headless Mode &amp; Sideloading\WalkAndUnGZ.bat" "%USERPROFILE%\AppData\Local\Temp\OnboardLogs"\RTDC4006\2017-11-13</v>
      </c>
      <c r="AF48" s="74" t="str">
        <f t="shared" si="12"/>
        <v>"C:\Program Files (x86)\AstroGrep\AstroGrep.exe" /e /r /s /spath="%USERPROFILE%\AppData\Local\Temp\OnboardLogs" /stypes="app*4006*20171112*"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135-12 --locoid 4006 --swversion DE.1.0.9.0 --startMP 204:533 --initTime 2017-11-12T07:50:25 --startdatetime 2017-11-12T08:00:48 --delay 61 --endMP 204:233289 --enddatetime 2017-11-12T08:35:20 --enforcementcount 0 &gt;&gt;%USERPROFILE%\Documents\GitHub\eaglep3-reporting\EC\2017-11-12-refined-times.txt</v>
      </c>
      <c r="AI48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{"issue":{"subject":"","project_id":79,"tracker_id":40,"status_id":1,"priority_id":2,"assigned_to_id":338,"start_date":"2017-11-12","description":"","custom_fields":[{"id":1,"name":"Subdivision","value":"EC"},{"id":4,"name":"Milepost","value":"23.3289"},{"id":17,"name":"Train ID","value":"135-12"},{"id":16,"name":"Locomotive ID","value":"4006"},{"id":130,"name":"Impact","value":""},{"id":150,"name":"Time of Event (Mountain Time)","value":"08:35:20"},{"id":151,"name":"Denver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4006 --day 2017-11-12</v>
      </c>
      <c r="AN48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1"/>
        <v>https://d0f6bd738d7f1b3e5a7ca70fe4ff75f0.us-east-1.aws.found.io/app/kibana#/discover/Steve-Slow-Train-Analysis-(2080s-and-2083s)?_g=(refreshInterval:(display:Off,pause:!f,section:0,value:0),time:(from:'2017-11-12T06:50:25-0700',mode:absolute,to:'2017-11-12T09:35:20-0700'))&amp;_a=(columns:!('Message%20ID',Summary),filters:!(),index:'emp_*',interval:auto,query:(query_string:(analyze_wildcard:!t,query:'%22rtdc.l.rtdc.4006%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737</v>
      </c>
      <c r="B49" s="7">
        <v>4005</v>
      </c>
      <c r="C49" s="21" t="s">
        <v>192</v>
      </c>
      <c r="D49" s="21" t="s">
        <v>906</v>
      </c>
      <c r="E49" s="13">
        <v>43051.365555555552</v>
      </c>
      <c r="F49" s="13">
        <v>43051.373101851852</v>
      </c>
      <c r="G49" s="7">
        <v>59</v>
      </c>
      <c r="H49" s="21" t="s">
        <v>595</v>
      </c>
      <c r="I49" s="13">
        <v>43051.400069444448</v>
      </c>
      <c r="J49" s="7">
        <v>0</v>
      </c>
      <c r="K49" s="89" t="str">
        <f t="shared" si="0"/>
        <v>4005/4006</v>
      </c>
      <c r="L49" s="185" t="str">
        <f>VLOOKUP(A49,'Trips&amp;Operators'!$C$1:$G$99911,5,FALSE)</f>
        <v>ROMERO CHAD</v>
      </c>
      <c r="M49" s="6">
        <f t="shared" si="1"/>
        <v>2.6967592595610768E-2</v>
      </c>
      <c r="N49" s="7">
        <f t="shared" si="29"/>
        <v>38.833333337679505</v>
      </c>
      <c r="O49" s="7"/>
      <c r="P49" s="7"/>
      <c r="Q49" s="22"/>
      <c r="R49" s="174"/>
      <c r="S49" s="221">
        <f t="shared" si="30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-11-12T07:46:24-0700',mode:absolute,to:'2017-11-12T10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9" s="204" t="str">
        <f>IF(AA49&lt;VLOOKUP(AG49,Variables!$AC$3:$AD$8,2,FALSE),"Y","N")</f>
        <v>N</v>
      </c>
      <c r="X49" s="204">
        <f t="shared" ref="X49:X53" si="31">VALUE(LEFT(AD49,4))-VALUE(LEFT(AD48,4))</f>
        <v>1</v>
      </c>
      <c r="Y49" s="204">
        <f t="shared" si="26"/>
        <v>23.2974</v>
      </c>
      <c r="Z49" s="204">
        <f t="shared" si="27"/>
        <v>1.4999999999999999E-2</v>
      </c>
      <c r="AA49" s="204">
        <f t="shared" si="9"/>
        <v>23.282399999999999</v>
      </c>
      <c r="AB49" s="54" t="e">
        <f>VLOOKUP(A49,Enforcements!$C$7:$K$9,8,0)</f>
        <v>#N/A</v>
      </c>
      <c r="AC49" s="51" t="e">
        <f>VLOOKUP(A49,Enforcements!$C$7:$E$9,3,0)</f>
        <v>#N/A</v>
      </c>
      <c r="AD49" s="179">
        <f t="shared" si="10"/>
        <v>136</v>
      </c>
      <c r="AE49" s="77" t="str">
        <f t="shared" si="11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49" s="74" t="str">
        <f t="shared" si="12"/>
        <v>"C:\Program Files (x86)\AstroGrep\AstroGrep.exe" /e /r /s /spath="%USERPROFILE%\AppData\Local\Temp\OnboardLogs" /stypes="app*4005*20171112*" /stext=" 16:.+((SYSTEM_STATE.+slice.+state.+changed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136-12 --locoid 4005 --swversion DE.1.0.9.0 --startMP 204:232974 --initTime 2017-11-12T08:46:24 --startdatetime 2017-11-12T08:57:16 --delay 59 --endMP 204:150 --enddatetime 2017-11-12T09:36:06 --enforcementcount 0 &gt;&gt;%USERPROFILE%\Documents\GitHub\eaglep3-reporting\EC\2017-11-12-refined-times.txt</v>
      </c>
      <c r="AI49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{"issue":{"subject":"","project_id":79,"tracker_id":40,"status_id":1,"priority_id":2,"assigned_to_id":338,"start_date":"2017-11-12","description":"","custom_fields":[{"id":1,"name":"Subdivision","value":"EC"},{"id":4,"name":"Milepost","value":"0.015"},{"id":17,"name":"Train ID","value":"136-12"},{"id":16,"name":"Locomotive ID","value":"4005"},{"id":130,"name":"Impact","value":""},{"id":150,"name":"Time of Event (Mountain Time)","value":"09:36:06"},{"id":151,"name":"Denver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4005 --day 2017-11-12</v>
      </c>
      <c r="AN49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1"/>
        <v>https://d0f6bd738d7f1b3e5a7ca70fe4ff75f0.us-east-1.aws.found.io/app/kibana#/discover/Steve-Slow-Train-Analysis-(2080s-and-2083s)?_g=(refreshInterval:(display:Off,pause:!f,section:0,value:0),time:(from:'2017-11-12T07:46:24-0700',mode:absolute,to:'2017-11-12T10:36:06-0700'))&amp;_a=(columns:!('Message%20ID',Summary),filters:!(),index:'emp_*',interval:auto,query:(query_string:(analyze_wildcard:!t,query:'%22rtdc.l.rtdc.4005%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645</v>
      </c>
      <c r="B50" s="7">
        <v>4002</v>
      </c>
      <c r="C50" s="21" t="s">
        <v>192</v>
      </c>
      <c r="D50" s="21" t="s">
        <v>471</v>
      </c>
      <c r="E50" s="13">
        <v>43051.338379629633</v>
      </c>
      <c r="F50" s="13">
        <v>43051.348657407405</v>
      </c>
      <c r="G50" s="7">
        <v>58</v>
      </c>
      <c r="H50" s="21" t="s">
        <v>907</v>
      </c>
      <c r="I50" s="13">
        <v>43051.369328703702</v>
      </c>
      <c r="J50" s="7">
        <v>0</v>
      </c>
      <c r="K50" s="89" t="str">
        <f t="shared" si="0"/>
        <v>4001/4002</v>
      </c>
      <c r="L50" s="185" t="str">
        <f>VLOOKUP(A50,'Trips&amp;Operators'!$C$1:$G$99911,5,FALSE)</f>
        <v>GEBRETEKLE DAGNEW</v>
      </c>
      <c r="M50" s="6">
        <f t="shared" si="1"/>
        <v>2.0671296297223307E-2</v>
      </c>
      <c r="N50" s="7"/>
      <c r="O50" s="7"/>
      <c r="P50" s="7">
        <f>24*60*SUM($M50:$M50)</f>
        <v>29.766666668001562</v>
      </c>
      <c r="Q50" s="22"/>
      <c r="R50" s="174" t="s">
        <v>1099</v>
      </c>
      <c r="S50" s="221">
        <f>1/IF(AG50="EC",12,1)*SUM(U50:U51)</f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-11-12T07:07:16-0700',mode:absolute,to:'2017-11-12T09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0" s="204" t="str">
        <f>IF(AA50&lt;VLOOKUP(AG50,Variables!$AC$3:$AD$8,2,FALSE),"Y","N")</f>
        <v>Y</v>
      </c>
      <c r="X50" s="204">
        <f t="shared" si="31"/>
        <v>1</v>
      </c>
      <c r="Y50" s="204">
        <f t="shared" si="26"/>
        <v>5.3699999999999998E-2</v>
      </c>
      <c r="Z50" s="204">
        <f t="shared" si="27"/>
        <v>0.27329999999999999</v>
      </c>
      <c r="AA50" s="204">
        <f t="shared" si="9"/>
        <v>0.21959999999999999</v>
      </c>
      <c r="AB50" s="54" t="e">
        <f>VLOOKUP(A50,Enforcements!$C$7:$K$9,8,0)</f>
        <v>#N/A</v>
      </c>
      <c r="AC50" s="51" t="e">
        <f>VLOOKUP(A50,Enforcements!$C$7:$E$9,3,0)</f>
        <v>#N/A</v>
      </c>
      <c r="AD50" s="179">
        <f t="shared" si="10"/>
        <v>137</v>
      </c>
      <c r="AE50" s="77" t="str">
        <f t="shared" si="11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50" s="74" t="str">
        <f t="shared" si="12"/>
        <v>"C:\Program Files (x86)\AstroGrep\AstroGrep.exe" /e /r /s /spath="%USERPROFILE%\AppData\Local\Temp\OnboardLogs" /stypes="app*4002*20171112*"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137-12 --locoid 4002 --swversion DE.1.0.9.0 --startMP 204:537 --initTime 2017-11-12T08:07:16 --startdatetime 2017-11-12T08:22:04 --delay 58 --endMP 204:2733 --enddatetime 2017-11-12T08:51:50 --enforcementcount 0 &gt;&gt;%USERPROFILE%\Documents\GitHub\eaglep3-reporting\EC\2017-11-12-refined-times.txt</v>
      </c>
      <c r="AI50" s="96" t="str">
        <f t="shared" si="15"/>
        <v>echo {"issue":{"subject":"Selected wrong track","project_id":79,"tracker_id":40,"status_id":1,"priority_id":2,"assigned_to_id":338,"start_date":"2017-11-12","description":"","custom_fields":[{"id":1,"name":"Subdivision","value":"EC"},{"id":4,"name":"Milepost","value":"0.2733"},{"id":17,"name":"Train ID","value":"137-12"},{"id":16,"name":"Locomotive ID","value":"4002"},{"id":130,"name":"Impact","value":""},{"id":150,"name":"Time of Event (Mountain Time)","value":"08:51:50"},{"id":151,"name":"Denver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4002 --day 2017-11-12</v>
      </c>
      <c r="AN50" s="151" t="str">
        <f t="shared" si="17"/>
        <v>echo {"issue":{"subject":"Selected wrong track","project_id":30,"tracker_id":4,"status_id":1,"priority_id":1,"assigned_to_id":10,"start_date":"2017-11-12","description":"","custom_fields":[{"id":30,"name":"Category","value":"Issue"},{"id":3,"name":"Functional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1"/>
        <v>https://d0f6bd738d7f1b3e5a7ca70fe4ff75f0.us-east-1.aws.found.io/app/kibana#/discover/Steve-Slow-Train-Analysis-(2080s-and-2083s)?_g=(refreshInterval:(display:Off,pause:!f,section:0,value:0),time:(from:'2017-11-12T07:07:16-0700',mode:absolute,to:'2017-11-12T09:51:50-0700'))&amp;_a=(columns:!('Message%20ID',Summary),filters:!(),index:'emp_*',interval:auto,query:(query_string:(analyze_wildcard:!t,query:'%22rtdc.l.rtdc.4002%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645</v>
      </c>
      <c r="B51" s="7">
        <v>4002</v>
      </c>
      <c r="C51" s="21" t="s">
        <v>192</v>
      </c>
      <c r="D51" s="21" t="s">
        <v>908</v>
      </c>
      <c r="E51" s="13">
        <v>43051.347650462965</v>
      </c>
      <c r="F51" s="13">
        <v>43051.348657407405</v>
      </c>
      <c r="G51" s="7">
        <v>41</v>
      </c>
      <c r="H51" s="21" t="s">
        <v>909</v>
      </c>
      <c r="I51" s="13">
        <v>43051.369328703702</v>
      </c>
      <c r="J51" s="7">
        <v>0</v>
      </c>
      <c r="K51" s="89" t="str">
        <f t="shared" si="0"/>
        <v>4001/4002</v>
      </c>
      <c r="L51" s="185" t="str">
        <f>VLOOKUP(A51,'Trips&amp;Operators'!$C$1:$G$99911,5,FALSE)</f>
        <v>GEBRETEKLE DAGNEW</v>
      </c>
      <c r="M51" s="6">
        <f t="shared" si="1"/>
        <v>2.0671296297223307E-2</v>
      </c>
      <c r="N51" s="7"/>
      <c r="O51" s="7"/>
      <c r="P51" s="7"/>
      <c r="Q51" s="22"/>
      <c r="R51" s="174"/>
      <c r="S51" s="221"/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-11-12T07:20:37-0700',mode:absolute,to:'2017-11-12T09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204" t="str">
        <f>IF(AA51&lt;VLOOKUP(AG51,Variables!$AC$3:$AD$8,2,FALSE),"Y","N")</f>
        <v>Y</v>
      </c>
      <c r="X51" s="204">
        <f t="shared" si="31"/>
        <v>0</v>
      </c>
      <c r="Y51" s="204">
        <f t="shared" si="26"/>
        <v>1.9147000000000001</v>
      </c>
      <c r="Z51" s="204">
        <f t="shared" si="27"/>
        <v>23.330100000000002</v>
      </c>
      <c r="AA51" s="204">
        <f t="shared" si="9"/>
        <v>21.415400000000002</v>
      </c>
      <c r="AB51" s="54" t="e">
        <f>VLOOKUP(A51,Enforcements!$C$7:$K$9,8,0)</f>
        <v>#N/A</v>
      </c>
      <c r="AC51" s="51" t="e">
        <f>VLOOKUP(A51,Enforcements!$C$7:$E$9,3,0)</f>
        <v>#N/A</v>
      </c>
      <c r="AD51" s="179">
        <f t="shared" si="10"/>
        <v>137</v>
      </c>
      <c r="AE51" s="77" t="str">
        <f t="shared" si="11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51" s="74" t="str">
        <f t="shared" si="12"/>
        <v>"C:\Program Files (x86)\AstroGrep\AstroGrep.exe" /e /r /s /spath="%USERPROFILE%\AppData\Local\Temp\OnboardLogs" /stypes="app*4002*20171112*"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137-12 --locoid 4002 --swversion DE.1.0.9.0 --startMP 204:19147 --initTime 2017-11-12T08:20:37 --startdatetime 2017-11-12T08:22:04 --delay 41 --endMP 204:233301 --enddatetime 2017-11-12T08:51:50 --enforcementcount 0 &gt;&gt;%USERPROFILE%\Documents\GitHub\eaglep3-reporting\EC\2017-11-12-refined-times.txt</v>
      </c>
      <c r="AI51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{"issue":{"subject":"","project_id":79,"tracker_id":40,"status_id":1,"priority_id":2,"assigned_to_id":338,"start_date":"2017-11-12","description":"","custom_fields":[{"id":1,"name":"Subdivision","value":"EC"},{"id":4,"name":"Milepost","value":"23.3301"},{"id":17,"name":"Train ID","value":"137-12"},{"id":16,"name":"Locomotive ID","value":"4002"},{"id":130,"name":"Impact","value":""},{"id":150,"name":"Time of Event (Mountain Time)","value":"08:51:50"},{"id":151,"name":"Denver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4002 --day 2017-11-12</v>
      </c>
      <c r="AN51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1"/>
        <v>https://d0f6bd738d7f1b3e5a7ca70fe4ff75f0.us-east-1.aws.found.io/app/kibana#/discover/Steve-Slow-Train-Analysis-(2080s-and-2083s)?_g=(refreshInterval:(display:Off,pause:!f,section:0,value:0),time:(from:'2017-11-12T07:20:37-0700',mode:absolute,to:'2017-11-12T09:51:50-0700'))&amp;_a=(columns:!('Message%20ID',Summary),filters:!(),index:'emp_*',interval:auto,query:(query_string:(analyze_wildcard:!t,query:'%22rtdc.l.rtdc.4002%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739</v>
      </c>
      <c r="B52" s="7">
        <v>4001</v>
      </c>
      <c r="C52" s="21" t="s">
        <v>192</v>
      </c>
      <c r="D52" s="21" t="s">
        <v>454</v>
      </c>
      <c r="E52" s="13">
        <v>43051.372534722221</v>
      </c>
      <c r="F52" s="13">
        <v>43051.38354166667</v>
      </c>
      <c r="G52" s="7">
        <v>52</v>
      </c>
      <c r="H52" s="21" t="s">
        <v>592</v>
      </c>
      <c r="I52" s="13">
        <v>43051.409201388888</v>
      </c>
      <c r="J52" s="7">
        <v>0</v>
      </c>
      <c r="K52" s="89" t="str">
        <f t="shared" si="0"/>
        <v>4001/4002</v>
      </c>
      <c r="L52" s="185" t="str">
        <f>VLOOKUP(A52,'Trips&amp;Operators'!$C$1:$G$99911,5,FALSE)</f>
        <v>GEBRETEKLE DAGNEW</v>
      </c>
      <c r="M52" s="6">
        <f t="shared" si="1"/>
        <v>2.565972221782431E-2</v>
      </c>
      <c r="N52" s="7">
        <f>24*60*SUM($M52:$M52)</f>
        <v>36.949999993667006</v>
      </c>
      <c r="O52" s="7"/>
      <c r="P52" s="7"/>
      <c r="Q52" s="22"/>
      <c r="R52" s="174"/>
      <c r="S52" s="221">
        <f>1/IF(AG52="EC",12,1)*SUM(U52:U52)</f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-11-12T07:56:27-0700',mode:absolute,to:'2017-11-12T10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204" t="str">
        <f>IF(AA52&lt;VLOOKUP(AG52,Variables!$AC$3:$AD$8,2,FALSE),"Y","N")</f>
        <v>N</v>
      </c>
      <c r="X52" s="204">
        <f t="shared" si="31"/>
        <v>1</v>
      </c>
      <c r="Y52" s="204">
        <f t="shared" si="26"/>
        <v>23.2971</v>
      </c>
      <c r="Z52" s="204">
        <f t="shared" si="27"/>
        <v>1.78E-2</v>
      </c>
      <c r="AA52" s="204">
        <f t="shared" si="9"/>
        <v>23.279299999999999</v>
      </c>
      <c r="AB52" s="54" t="e">
        <f>VLOOKUP(A52,Enforcements!$C$7:$K$9,8,0)</f>
        <v>#N/A</v>
      </c>
      <c r="AC52" s="51" t="e">
        <f>VLOOKUP(A52,Enforcements!$C$7:$E$9,3,0)</f>
        <v>#N/A</v>
      </c>
      <c r="AD52" s="179">
        <f t="shared" si="10"/>
        <v>138</v>
      </c>
      <c r="AE52" s="77" t="str">
        <f t="shared" si="11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52" s="74" t="str">
        <f t="shared" si="12"/>
        <v>"C:\Program Files (x86)\AstroGrep\AstroGrep.exe" /e /r /s /spath="%USERPROFILE%\AppData\Local\Temp\OnboardLogs" /stypes="app*4001*20171112*"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138-12 --locoid 4001 --swversion DE.1.0.9.0 --startMP 204:232971 --initTime 2017-11-12T08:56:27 --startdatetime 2017-11-12T09:12:18 --delay 52 --endMP 204:178 --enddatetime 2017-11-12T09:49:15 --enforcementcount 0 &gt;&gt;%USERPROFILE%\Documents\GitHub\eaglep3-reporting\EC\2017-11-12-refined-times.txt</v>
      </c>
      <c r="AI52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{"issue":{"subject":"","project_id":79,"tracker_id":40,"status_id":1,"priority_id":2,"assigned_to_id":338,"start_date":"2017-11-12","description":"","custom_fields":[{"id":1,"name":"Subdivision","value":"EC"},{"id":4,"name":"Milepost","value":"0.0178"},{"id":17,"name":"Train ID","value":"138-12"},{"id":16,"name":"Locomotive ID","value":"4001"},{"id":130,"name":"Impact","value":""},{"id":150,"name":"Time of Event (Mountain Time)","value":"09:49:15"},{"id":151,"name":"Denver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4001 --day 2017-11-12</v>
      </c>
      <c r="AN52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1"/>
        <v>https://d0f6bd738d7f1b3e5a7ca70fe4ff75f0.us-east-1.aws.found.io/app/kibana#/discover/Steve-Slow-Train-Analysis-(2080s-and-2083s)?_g=(refreshInterval:(display:Off,pause:!f,section:0,value:0),time:(from:'2017-11-12T07:56:27-0700',mode:absolute,to:'2017-11-12T10:49:15-0700'))&amp;_a=(columns:!('Message%20ID',Summary),filters:!(),index:'emp_*',interval:auto,query:(query_string:(analyze_wildcard:!t,query:'%22rtdc.l.rtdc.4001%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646</v>
      </c>
      <c r="B53" s="7">
        <v>4064</v>
      </c>
      <c r="C53" s="21" t="s">
        <v>192</v>
      </c>
      <c r="D53" s="21" t="s">
        <v>910</v>
      </c>
      <c r="E53" s="13">
        <v>43051.357627314814</v>
      </c>
      <c r="F53" s="13">
        <v>43051.360011574077</v>
      </c>
      <c r="G53" s="7">
        <v>40</v>
      </c>
      <c r="H53" s="21" t="s">
        <v>497</v>
      </c>
      <c r="I53" s="13">
        <v>43051.382037037038</v>
      </c>
      <c r="J53" s="7">
        <v>0</v>
      </c>
      <c r="K53" s="89" t="str">
        <f t="shared" si="0"/>
        <v>4063/4064</v>
      </c>
      <c r="L53" s="185" t="str">
        <f>VLOOKUP(A53,'Trips&amp;Operators'!$C$1:$G$99911,5,FALSE)</f>
        <v>THOMPSON LESTER</v>
      </c>
      <c r="M53" s="6">
        <f t="shared" si="1"/>
        <v>2.2025462960300501E-2</v>
      </c>
      <c r="N53" s="7"/>
      <c r="O53" s="7"/>
      <c r="P53" s="7">
        <f>24*60*SUM($M53:$M53)</f>
        <v>31.716666662832722</v>
      </c>
      <c r="Q53" s="22"/>
      <c r="R53" s="174" t="s">
        <v>633</v>
      </c>
      <c r="S53" s="221">
        <f>1/IF(AG53="EC",12,1)*SUM(U53:U53)</f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-11-12T07:34:59-0700',mode:absolute,to:'2017-11-12T10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3" s="204" t="str">
        <f>IF(AA53&lt;VLOOKUP(AG53,Variables!$AC$3:$AD$8,2,FALSE),"Y","N")</f>
        <v>Y</v>
      </c>
      <c r="X53" s="204">
        <f t="shared" si="31"/>
        <v>1</v>
      </c>
      <c r="Y53" s="204">
        <f t="shared" si="26"/>
        <v>1.911</v>
      </c>
      <c r="Z53" s="204">
        <f t="shared" si="27"/>
        <v>23.330400000000001</v>
      </c>
      <c r="AA53" s="204">
        <f t="shared" si="9"/>
        <v>21.4194</v>
      </c>
      <c r="AB53" s="54" t="e">
        <f>VLOOKUP(A53,Enforcements!$C$7:$K$9,8,0)</f>
        <v>#N/A</v>
      </c>
      <c r="AC53" s="51" t="e">
        <f>VLOOKUP(A53,Enforcements!$C$7:$E$9,3,0)</f>
        <v>#N/A</v>
      </c>
      <c r="AD53" s="179">
        <f t="shared" si="10"/>
        <v>139</v>
      </c>
      <c r="AE53" s="77" t="str">
        <f t="shared" si="11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53" s="74" t="str">
        <f t="shared" si="12"/>
        <v>"C:\Program Files (x86)\AstroGrep\AstroGrep.exe" /e /r /s /spath="%USERPROFILE%\AppData\Local\Temp\OnboardLogs" /stypes="app*4064*20171112*"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139-12 --locoid 4064 --swversion DE.1.0.9.0 --startMP 204:19110 --initTime 2017-11-12T08:34:59 --startdatetime 2017-11-12T08:38:25 --delay 40 --endMP 204:233304 --enddatetime 2017-11-12T09:10:08 --enforcementcount 0 &gt;&gt;%USERPROFILE%\Documents\GitHub\eaglep3-reporting\EC\2017-11-12-refined-times.txt</v>
      </c>
      <c r="AI53" s="96" t="str">
        <f t="shared" si="15"/>
        <v>echo {"issue":{"subject":"Poor GPS at DUS","project_id":79,"tracker_id":40,"status_id":1,"priority_id":2,"assigned_to_id":338,"start_date":"2017-11-12","description":"","custom_fields":[{"id":1,"name":"Subdivision","value":"EC"},{"id":4,"name":"Milepost","value":"23.3304"},{"id":17,"name":"Train ID","value":"139-12"},{"id":16,"name":"Locomotive ID","value":"4064"},{"id":130,"name":"Impact","value":""},{"id":150,"name":"Time of Event (Mountain Time)","value":"09:10:08"},{"id":151,"name":"Denver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4064 --day 2017-11-12</v>
      </c>
      <c r="AN53" s="151" t="str">
        <f t="shared" si="17"/>
        <v>echo {"issue":{"subject":"Poor GPS at DUS","project_id":30,"tracker_id":4,"status_id":1,"priority_id":1,"assigned_to_id":10,"start_date":"2017-11-12","description":"","custom_fields":[{"id":30,"name":"Category","value":"Issue"},{"id":3,"name":"Functional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16:10:08"},{"id":29,"name":"Sharepoint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1"/>
        <v>https://d0f6bd738d7f1b3e5a7ca70fe4ff75f0.us-east-1.aws.found.io/app/kibana#/discover/Steve-Slow-Train-Analysis-(2080s-and-2083s)?_g=(refreshInterval:(display:Off,pause:!f,section:0,value:0),time:(from:'2017-11-12T07:34:59-0700',mode:absolute,to:'2017-11-12T10:10:08-0700'))&amp;_a=(columns:!('Message%20ID',Summary),filters:!(),index:'emp_*',interval:auto,query:(query_string:(analyze_wildcard:!t,query:'%22rtdc.l.rtdc.4064%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646</v>
      </c>
      <c r="B54" s="7">
        <v>4064</v>
      </c>
      <c r="C54" s="21" t="s">
        <v>192</v>
      </c>
      <c r="D54" s="21" t="s">
        <v>910</v>
      </c>
      <c r="E54" s="13">
        <v>43051.352106481485</v>
      </c>
      <c r="F54" s="13">
        <v>43051.360011574077</v>
      </c>
      <c r="G54" s="7">
        <v>54</v>
      </c>
      <c r="H54" s="21" t="s">
        <v>497</v>
      </c>
      <c r="I54" s="13">
        <v>43051.382037037038</v>
      </c>
      <c r="J54" s="7">
        <v>0</v>
      </c>
      <c r="K54" s="89" t="str">
        <f t="shared" si="0"/>
        <v>4063/4064</v>
      </c>
      <c r="L54" s="185" t="str">
        <f>VLOOKUP(A54,'Trips&amp;Operators'!$C$1:$G$99911,5,FALSE)</f>
        <v>THOMPSON LESTER</v>
      </c>
      <c r="M54" s="6">
        <f t="shared" si="1"/>
        <v>2.2025462960300501E-2</v>
      </c>
      <c r="N54" s="7"/>
      <c r="O54" s="7"/>
      <c r="P54" s="7"/>
      <c r="Q54" s="22"/>
      <c r="R54" s="174"/>
      <c r="S54" s="221"/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-11-12T07:27:02-0700',mode:absolute,to:'2017-11-12T10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4" s="204" t="str">
        <f>IF(AA54&lt;VLOOKUP(AG54,Variables!$AC$3:$AD$8,2,FALSE),"Y","N")</f>
        <v>Y</v>
      </c>
      <c r="X54" s="204">
        <f t="shared" ref="X54:X85" si="32">VALUE(LEFT(AD54,4))-VALUE(LEFT(AD53,4))</f>
        <v>0</v>
      </c>
      <c r="Y54" s="204">
        <f t="shared" si="26"/>
        <v>1.911</v>
      </c>
      <c r="Z54" s="204">
        <f t="shared" si="27"/>
        <v>23.330400000000001</v>
      </c>
      <c r="AA54" s="204">
        <f t="shared" si="9"/>
        <v>21.4194</v>
      </c>
      <c r="AB54" s="54" t="e">
        <f>VLOOKUP(A54,Enforcements!$C$7:$K$9,8,0)</f>
        <v>#N/A</v>
      </c>
      <c r="AC54" s="51" t="e">
        <f>VLOOKUP(A54,Enforcements!$C$7:$E$9,3,0)</f>
        <v>#N/A</v>
      </c>
      <c r="AD54" s="179">
        <f t="shared" si="10"/>
        <v>139</v>
      </c>
      <c r="AE54" s="77" t="str">
        <f t="shared" si="11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54" s="74" t="str">
        <f t="shared" si="12"/>
        <v>"C:\Program Files (x86)\AstroGrep\AstroGrep.exe" /e /r /s /spath="%USERPROFILE%\AppData\Local\Temp\OnboardLogs" /stypes="app*4064*20171112*"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139-12 --locoid 4064 --swversion DE.1.0.9.0 --startMP 204:19110 --initTime 2017-11-12T08:27:02 --startdatetime 2017-11-12T08:38:25 --delay 54 --endMP 204:233304 --enddatetime 2017-11-12T09:10:08 --enforcementcount 0 &gt;&gt;%USERPROFILE%\Documents\GitHub\eaglep3-reporting\EC\2017-11-12-refined-times.txt</v>
      </c>
      <c r="AI54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{"issue":{"subject":"","project_id":79,"tracker_id":40,"status_id":1,"priority_id":2,"assigned_to_id":338,"start_date":"2017-11-12","description":"","custom_fields":[{"id":1,"name":"Subdivision","value":"EC"},{"id":4,"name":"Milepost","value":"23.3304"},{"id":17,"name":"Train ID","value":"139-12"},{"id":16,"name":"Locomotive ID","value":"4064"},{"id":130,"name":"Impact","value":""},{"id":150,"name":"Time of Event (Mountain Time)","value":"09:10:08"},{"id":151,"name":"Denver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4064 --day 2017-11-12</v>
      </c>
      <c r="AN54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16:10:08"},{"id":29,"name":"Sharepoint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1"/>
        <v>https://d0f6bd738d7f1b3e5a7ca70fe4ff75f0.us-east-1.aws.found.io/app/kibana#/discover/Steve-Slow-Train-Analysis-(2080s-and-2083s)?_g=(refreshInterval:(display:Off,pause:!f,section:0,value:0),time:(from:'2017-11-12T07:27:02-0700',mode:absolute,to:'2017-11-12T10:10:08-0700'))&amp;_a=(columns:!('Message%20ID',Summary),filters:!(),index:'emp_*',interval:auto,query:(query_string:(analyze_wildcard:!t,query:'%22rtdc.l.rtdc.4064%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648</v>
      </c>
      <c r="B55" s="7">
        <v>4063</v>
      </c>
      <c r="C55" s="21" t="s">
        <v>192</v>
      </c>
      <c r="D55" s="21" t="s">
        <v>496</v>
      </c>
      <c r="E55" s="13">
        <v>43051.392256944448</v>
      </c>
      <c r="F55" s="13">
        <v>43051.39402777778</v>
      </c>
      <c r="G55" s="7">
        <v>57</v>
      </c>
      <c r="H55" s="21" t="s">
        <v>911</v>
      </c>
      <c r="I55" s="13">
        <v>43051.420983796299</v>
      </c>
      <c r="J55" s="7">
        <v>0</v>
      </c>
      <c r="K55" s="89" t="str">
        <f t="shared" si="0"/>
        <v>4063/4064</v>
      </c>
      <c r="L55" s="185" t="str">
        <f>VLOOKUP(A55,'Trips&amp;Operators'!$C$1:$G$99911,5,FALSE)</f>
        <v>THOMPSON LESTER</v>
      </c>
      <c r="M55" s="6">
        <f t="shared" si="1"/>
        <v>2.6956018518831115E-2</v>
      </c>
      <c r="N55" s="7">
        <f t="shared" ref="N55:N66" si="33">24*60*SUM($M55:$M55)</f>
        <v>38.816666667116806</v>
      </c>
      <c r="O55" s="7"/>
      <c r="P55" s="7"/>
      <c r="Q55" s="22"/>
      <c r="R55" s="174"/>
      <c r="S55" s="221">
        <f t="shared" ref="S55:S66" si="34">1/IF(AG55="EC",12,1)*SUM(U55:U55)</f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-11-12T08:24:51-0700',mode:absolute,to:'2017-11-12T11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5" s="204" t="str">
        <f>IF(AA55&lt;VLOOKUP(AG55,Variables!$AC$3:$AD$8,2,FALSE),"Y","N")</f>
        <v>N</v>
      </c>
      <c r="X55" s="204">
        <f t="shared" si="32"/>
        <v>1</v>
      </c>
      <c r="Y55" s="204">
        <f t="shared" si="26"/>
        <v>23.2987</v>
      </c>
      <c r="Z55" s="204">
        <f t="shared" si="27"/>
        <v>1.49E-2</v>
      </c>
      <c r="AA55" s="204">
        <f t="shared" si="9"/>
        <v>23.283799999999999</v>
      </c>
      <c r="AB55" s="54" t="e">
        <f>VLOOKUP(A55,Enforcements!$C$7:$K$9,8,0)</f>
        <v>#N/A</v>
      </c>
      <c r="AC55" s="51" t="e">
        <f>VLOOKUP(A55,Enforcements!$C$7:$E$9,3,0)</f>
        <v>#N/A</v>
      </c>
      <c r="AD55" s="179">
        <f t="shared" si="10"/>
        <v>140</v>
      </c>
      <c r="AE55" s="77" t="str">
        <f t="shared" si="11"/>
        <v>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 &amp; aws s3 cp s3://rtdc.mdm.uploadarchive.raw/RTDC4063/ "%USERPROFILE%\AppData\Local\Temp\OnboardLogs"\RTDC4063\2017-11-13 --exclude "*" --recursive --include "*20171113*" &amp; "%USERPROFILE%\Documents\GitHub\mrs-test-scripts\Headless Mode &amp; Sideloading\WalkAndUnGZ.bat" "%USERPROFILE%\AppData\Local\Temp\OnboardLogs"\RTDC4063\2017-11-13</v>
      </c>
      <c r="AF55" s="74" t="str">
        <f t="shared" si="12"/>
        <v>"C:\Program Files (x86)\AstroGrep\AstroGrep.exe" /e /r /s /spath="%USERPROFILE%\AppData\Local\Temp\OnboardLogs" /stypes="app*4063*20171112*" /stext=" 17:.+((SYSTEM_STATE.+slice.+state.+changed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140-12 --locoid 4063 --swversion DE.1.0.9.0 --startMP 204:232987 --initTime 2017-11-12T09:24:51 --startdatetime 2017-11-12T09:27:24 --delay 57 --endMP 204:149 --enddatetime 2017-11-12T10:06:13 --enforcementcount 0 &gt;&gt;%USERPROFILE%\Documents\GitHub\eaglep3-reporting\EC\2017-11-12-refined-times.txt</v>
      </c>
      <c r="AI55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{"issue":{"subject":"","project_id":79,"tracker_id":40,"status_id":1,"priority_id":2,"assigned_to_id":338,"start_date":"2017-11-12","description":"","custom_fields":[{"id":1,"name":"Subdivision","value":"EC"},{"id":4,"name":"Milepost","value":"0.0149"},{"id":17,"name":"Train ID","value":"140-12"},{"id":16,"name":"Locomotive ID","value":"4063"},{"id":130,"name":"Impact","value":""},{"id":150,"name":"Time of Event (Mountain Time)","value":"10:06:13"},{"id":151,"name":"Denver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4063 --day 2017-11-12</v>
      </c>
      <c r="AN55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17:06:13"},{"id":29,"name":"Sharepoint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1"/>
        <v>https://d0f6bd738d7f1b3e5a7ca70fe4ff75f0.us-east-1.aws.found.io/app/kibana#/discover/Steve-Slow-Train-Analysis-(2080s-and-2083s)?_g=(refreshInterval:(display:Off,pause:!f,section:0,value:0),time:(from:'2017-11-12T08:24:51-0700',mode:absolute,to:'2017-11-12T11:06:13-0700'))&amp;_a=(columns:!('Message%20ID',Summary),filters:!(),index:'emp_*',interval:auto,query:(query_string:(analyze_wildcard:!t,query:'%22rtdc.l.rtdc.4063%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736</v>
      </c>
      <c r="B56" s="7">
        <v>4052</v>
      </c>
      <c r="C56" s="21" t="s">
        <v>192</v>
      </c>
      <c r="D56" s="21" t="s">
        <v>912</v>
      </c>
      <c r="E56" s="13">
        <v>43051.360069444447</v>
      </c>
      <c r="F56" s="13">
        <v>43051.364884259259</v>
      </c>
      <c r="G56" s="7">
        <v>105</v>
      </c>
      <c r="H56" s="21" t="s">
        <v>913</v>
      </c>
      <c r="I56" s="13">
        <v>43051.389918981484</v>
      </c>
      <c r="J56" s="7">
        <v>0</v>
      </c>
      <c r="K56" s="89" t="str">
        <f t="shared" si="0"/>
        <v>4051/4052</v>
      </c>
      <c r="L56" s="185" t="str">
        <f>VLOOKUP(A56,'Trips&amp;Operators'!$C$1:$G$99911,5,FALSE)</f>
        <v>WILLIAMS DONTE</v>
      </c>
      <c r="M56" s="6">
        <f t="shared" si="1"/>
        <v>2.5034722224518191E-2</v>
      </c>
      <c r="N56" s="7">
        <f t="shared" si="33"/>
        <v>36.050000003306195</v>
      </c>
      <c r="O56" s="7"/>
      <c r="P56" s="7"/>
      <c r="Q56" s="22"/>
      <c r="R56" s="174"/>
      <c r="S56" s="221">
        <f t="shared" si="34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-11-12T07:38:30-0700',mode:absolute,to:'2017-11-12T10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6" s="204" t="str">
        <f>IF(AA56&lt;VLOOKUP(AG56,Variables!$AC$3:$AD$8,2,FALSE),"Y","N")</f>
        <v>N</v>
      </c>
      <c r="X56" s="204">
        <f t="shared" si="32"/>
        <v>1</v>
      </c>
      <c r="Y56" s="204">
        <f t="shared" ref="Y56:Y87" si="35">RIGHT(D56,LEN(D56)-4)/10000</f>
        <v>4.9099999999999998E-2</v>
      </c>
      <c r="Z56" s="204">
        <f t="shared" ref="Z56:Z87" si="36">RIGHT(H56,LEN(H56)-4)/10000</f>
        <v>23.3172</v>
      </c>
      <c r="AA56" s="204">
        <f t="shared" si="9"/>
        <v>23.2681</v>
      </c>
      <c r="AB56" s="54" t="e">
        <f>VLOOKUP(A56,Enforcements!$C$7:$K$9,8,0)</f>
        <v>#N/A</v>
      </c>
      <c r="AC56" s="51" t="e">
        <f>VLOOKUP(A56,Enforcements!$C$7:$E$9,3,0)</f>
        <v>#N/A</v>
      </c>
      <c r="AD56" s="179">
        <f t="shared" si="10"/>
        <v>141</v>
      </c>
      <c r="AE56" s="77" t="str">
        <f t="shared" si="11"/>
        <v>aws s3 cp s3://rtdc.mdm.uploadarchive.raw/RTDC4052/ "%USERPROFILE%\AppData\Local\Temp\OnboardLogs"\RTDC4052\2017-11-12 --exclude "*" --recursive --include "*20171112*" &amp; "%USERPROFILE%\Documents\GitHub\mrs-test-scripts\Headless Mode &amp; Sideloading\WalkAndUnGZ.bat" "%USERPROFILE%\AppData\Local\Temp\OnboardLogs"\RTDC4052\2017-11-12 &amp; aws s3 cp s3://rtdc.mdm.uploadarchive.raw/RTDC4052/ "%USERPROFILE%\AppData\Local\Temp\OnboardLogs"\RTDC4052\2017-11-13 --exclude "*" --recursive --include "*20171113*" &amp; "%USERPROFILE%\Documents\GitHub\mrs-test-scripts\Headless Mode &amp; Sideloading\WalkAndUnGZ.bat" "%USERPROFILE%\AppData\Local\Temp\OnboardLogs"\RTDC4052\2017-11-13</v>
      </c>
      <c r="AF56" s="74" t="str">
        <f t="shared" si="12"/>
        <v>"C:\Program Files (x86)\AstroGrep\AstroGrep.exe" /e /r /s /spath="%USERPROFILE%\AppData\Local\Temp\OnboardLogs" /stypes="app*4052*20171112*"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141-12 --locoid 4052 --swversion DE.1.0.9.0 --startMP 204:491 --initTime 2017-11-12T08:38:30 --startdatetime 2017-11-12T08:45:26 --delay 105 --endMP 204:233172 --enddatetime 2017-11-12T09:21:29 --enforcementcount 0 &gt;&gt;%USERPROFILE%\Documents\GitHub\eaglep3-reporting\EC\2017-11-12-refined-times.txt</v>
      </c>
      <c r="AI56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{"issue":{"subject":"","project_id":79,"tracker_id":40,"status_id":1,"priority_id":2,"assigned_to_id":338,"start_date":"2017-11-12","description":"","custom_fields":[{"id":1,"name":"Subdivision","value":"EC"},{"id":4,"name":"Milepost","value":"23.3172"},{"id":17,"name":"Train ID","value":"141-12"},{"id":16,"name":"Locomotive ID","value":"4052"},{"id":130,"name":"Impact","value":""},{"id":150,"name":"Time of Event (Mountain Time)","value":"09:21:29"},{"id":151,"name":"Denver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4052 --day 2017-11-12</v>
      </c>
      <c r="AN56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1"/>
        <v>https://d0f6bd738d7f1b3e5a7ca70fe4ff75f0.us-east-1.aws.found.io/app/kibana#/discover/Steve-Slow-Train-Analysis-(2080s-and-2083s)?_g=(refreshInterval:(display:Off,pause:!f,section:0,value:0),time:(from:'2017-11-12T07:38:30-0700',mode:absolute,to:'2017-11-12T10:21:29-0700'))&amp;_a=(columns:!('Message%20ID',Summary),filters:!(),index:'emp_*',interval:auto,query:(query_string:(analyze_wildcard:!t,query:'%22rtdc.l.rtdc.4052%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744</v>
      </c>
      <c r="B57" s="7">
        <v>4051</v>
      </c>
      <c r="C57" s="21" t="s">
        <v>192</v>
      </c>
      <c r="D57" s="21" t="s">
        <v>914</v>
      </c>
      <c r="E57" s="13">
        <v>43051.399641203701</v>
      </c>
      <c r="F57" s="13">
        <v>43051.404340277775</v>
      </c>
      <c r="G57" s="7">
        <v>111</v>
      </c>
      <c r="H57" s="21" t="s">
        <v>915</v>
      </c>
      <c r="I57" s="13">
        <v>43051.431238425925</v>
      </c>
      <c r="J57" s="7">
        <v>0</v>
      </c>
      <c r="K57" s="89" t="str">
        <f t="shared" si="0"/>
        <v>4051/4052</v>
      </c>
      <c r="L57" s="185" t="str">
        <f>VLOOKUP(A57,'Trips&amp;Operators'!$C$1:$G$99911,5,FALSE)</f>
        <v>WILLIAMS DONTE</v>
      </c>
      <c r="M57" s="6">
        <f t="shared" si="1"/>
        <v>2.6898148149484769E-2</v>
      </c>
      <c r="N57" s="7">
        <f t="shared" si="33"/>
        <v>38.733333335258067</v>
      </c>
      <c r="O57" s="7"/>
      <c r="P57" s="7"/>
      <c r="Q57" s="22"/>
      <c r="R57" s="174"/>
      <c r="S57" s="221">
        <f t="shared" si="34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-11-12T08:35:29-0700',mode:absolute,to:'2017-11-12T11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7" s="204" t="str">
        <f>IF(AA57&lt;VLOOKUP(AG57,Variables!$AC$3:$AD$8,2,FALSE),"Y","N")</f>
        <v>N</v>
      </c>
      <c r="X57" s="204">
        <f t="shared" si="32"/>
        <v>1</v>
      </c>
      <c r="Y57" s="204">
        <f t="shared" si="35"/>
        <v>23.286300000000001</v>
      </c>
      <c r="Z57" s="204">
        <f t="shared" si="36"/>
        <v>0.02</v>
      </c>
      <c r="AA57" s="204">
        <f t="shared" si="9"/>
        <v>23.266300000000001</v>
      </c>
      <c r="AB57" s="54" t="e">
        <f>VLOOKUP(A57,Enforcements!$C$7:$K$9,8,0)</f>
        <v>#N/A</v>
      </c>
      <c r="AC57" s="51" t="e">
        <f>VLOOKUP(A57,Enforcements!$C$7:$E$9,3,0)</f>
        <v>#N/A</v>
      </c>
      <c r="AD57" s="179">
        <f t="shared" si="10"/>
        <v>142</v>
      </c>
      <c r="AE57" s="77" t="str">
        <f t="shared" si="11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57" s="74" t="str">
        <f t="shared" si="12"/>
        <v>"C:\Program Files (x86)\AstroGrep\AstroGrep.exe" /e /r /s /spath="%USERPROFILE%\AppData\Local\Temp\OnboardLogs" /stypes="app*4051*20171112*" /stext=" 17:.+((SYSTEM_STATE.+slice.+state.+changed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142-12 --locoid 4051 --swversion DE.1.0.9.0 --startMP 204:232863 --initTime 2017-11-12T09:35:29 --startdatetime 2017-11-12T09:42:15 --delay 111 --endMP 204:200 --enddatetime 2017-11-12T10:20:59 --enforcementcount 0 &gt;&gt;%USERPROFILE%\Documents\GitHub\eaglep3-reporting\EC\2017-11-12-refined-times.txt</v>
      </c>
      <c r="AI57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{"issue":{"subject":"","project_id":79,"tracker_id":40,"status_id":1,"priority_id":2,"assigned_to_id":338,"start_date":"2017-11-12","description":"","custom_fields":[{"id":1,"name":"Subdivision","value":"EC"},{"id":4,"name":"Milepost","value":"0.02"},{"id":17,"name":"Train ID","value":"142-12"},{"id":16,"name":"Locomotive ID","value":"4051"},{"id":130,"name":"Impact","value":""},{"id":150,"name":"Time of Event (Mountain Time)","value":"10:20:59"},{"id":151,"name":"Denver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4051 --day 2017-11-12</v>
      </c>
      <c r="AN57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17:20:59"},{"id":29,"name":"Sharepoint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1"/>
        <v>https://d0f6bd738d7f1b3e5a7ca70fe4ff75f0.us-east-1.aws.found.io/app/kibana#/discover/Steve-Slow-Train-Analysis-(2080s-and-2083s)?_g=(refreshInterval:(display:Off,pause:!f,section:0,value:0),time:(from:'2017-11-12T08:35:29-0700',mode:absolute,to:'2017-11-12T11:20:59-0700'))&amp;_a=(columns:!('Message%20ID',Summary),filters:!(),index:'emp_*',interval:auto,query:(query_string:(analyze_wildcard:!t,query:'%22rtdc.l.rtdc.4051%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738</v>
      </c>
      <c r="B58" s="7">
        <v>4042</v>
      </c>
      <c r="C58" s="21" t="s">
        <v>192</v>
      </c>
      <c r="D58" s="21" t="s">
        <v>586</v>
      </c>
      <c r="E58" s="13">
        <v>43051.37090277778</v>
      </c>
      <c r="F58" s="13">
        <v>43051.375231481485</v>
      </c>
      <c r="G58" s="7">
        <v>48</v>
      </c>
      <c r="H58" s="21" t="s">
        <v>504</v>
      </c>
      <c r="I58" s="13">
        <v>43051.399907407409</v>
      </c>
      <c r="J58" s="7">
        <v>0</v>
      </c>
      <c r="K58" s="89" t="str">
        <f t="shared" si="0"/>
        <v>4041/4042</v>
      </c>
      <c r="L58" s="185" t="str">
        <f>VLOOKUP(A58,'Trips&amp;Operators'!$C$1:$G$99911,5,FALSE)</f>
        <v>MAELZER KURT</v>
      </c>
      <c r="M58" s="6">
        <f t="shared" si="1"/>
        <v>2.4675925924384501E-2</v>
      </c>
      <c r="N58" s="7">
        <f t="shared" si="33"/>
        <v>35.533333331113681</v>
      </c>
      <c r="O58" s="7"/>
      <c r="P58" s="7"/>
      <c r="Q58" s="22"/>
      <c r="R58" s="174"/>
      <c r="S58" s="221">
        <f t="shared" si="34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-11-12T07:54:06-0700',mode:absolute,to:'2017-11-12T10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8" s="204" t="str">
        <f>IF(AA58&lt;VLOOKUP(AG58,Variables!$AC$3:$AD$8,2,FALSE),"Y","N")</f>
        <v>N</v>
      </c>
      <c r="X58" s="204">
        <f t="shared" si="32"/>
        <v>1</v>
      </c>
      <c r="Y58" s="204">
        <f t="shared" si="35"/>
        <v>5.11E-2</v>
      </c>
      <c r="Z58" s="204">
        <f t="shared" si="36"/>
        <v>23.331</v>
      </c>
      <c r="AA58" s="204">
        <f t="shared" si="9"/>
        <v>23.279899999999998</v>
      </c>
      <c r="AB58" s="54" t="e">
        <f>VLOOKUP(A58,Enforcements!$C$7:$K$9,8,0)</f>
        <v>#N/A</v>
      </c>
      <c r="AC58" s="51" t="e">
        <f>VLOOKUP(A58,Enforcements!$C$7:$E$9,3,0)</f>
        <v>#N/A</v>
      </c>
      <c r="AD58" s="179">
        <f t="shared" si="10"/>
        <v>143</v>
      </c>
      <c r="AE58" s="77" t="str">
        <f t="shared" si="11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58" s="74" t="str">
        <f t="shared" si="12"/>
        <v>"C:\Program Files (x86)\AstroGrep\AstroGrep.exe" /e /r /s /spath="%USERPROFILE%\AppData\Local\Temp\OnboardLogs" /stypes="app*4042*20171112*"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143-12 --locoid 4042 --swversion DE.1.0.9.0 --startMP 204:511 --initTime 2017-11-12T08:54:06 --startdatetime 2017-11-12T09:00:20 --delay 48 --endMP 204:233310 --enddatetime 2017-11-12T09:35:52 --enforcementcount 0 &gt;&gt;%USERPROFILE%\Documents\GitHub\eaglep3-reporting\EC\2017-11-12-refined-times.txt</v>
      </c>
      <c r="AI58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{"issue":{"subject":"","project_id":79,"tracker_id":40,"status_id":1,"priority_id":2,"assigned_to_id":338,"start_date":"2017-11-12","description":"","custom_fields":[{"id":1,"name":"Subdivision","value":"EC"},{"id":4,"name":"Milepost","value":"23.331"},{"id":17,"name":"Train ID","value":"143-12"},{"id":16,"name":"Locomotive ID","value":"4042"},{"id":130,"name":"Impact","value":""},{"id":150,"name":"Time of Event (Mountain Time)","value":"09:35:52"},{"id":151,"name":"Denver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4042 --day 2017-11-12</v>
      </c>
      <c r="AN58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1"/>
        <v>https://d0f6bd738d7f1b3e5a7ca70fe4ff75f0.us-east-1.aws.found.io/app/kibana#/discover/Steve-Slow-Train-Analysis-(2080s-and-2083s)?_g=(refreshInterval:(display:Off,pause:!f,section:0,value:0),time:(from:'2017-11-12T07:54:06-0700',mode:absolute,to:'2017-11-12T10:35:52-0700'))&amp;_a=(columns:!('Message%20ID',Summary),filters:!(),index:'emp_*',interval:auto,query:(query_string:(analyze_wildcard:!t,query:'%22rtdc.l.rtdc.4042%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746</v>
      </c>
      <c r="B59" s="7">
        <v>4041</v>
      </c>
      <c r="C59" s="21" t="s">
        <v>192</v>
      </c>
      <c r="D59" s="21" t="s">
        <v>602</v>
      </c>
      <c r="E59" s="13">
        <v>43051.408043981479</v>
      </c>
      <c r="F59" s="13">
        <v>43051.414942129632</v>
      </c>
      <c r="G59" s="7">
        <v>57</v>
      </c>
      <c r="H59" s="21" t="s">
        <v>916</v>
      </c>
      <c r="I59" s="13">
        <v>43051.440520833334</v>
      </c>
      <c r="J59" s="7">
        <v>0</v>
      </c>
      <c r="K59" s="89" t="str">
        <f t="shared" si="0"/>
        <v>4041/4042</v>
      </c>
      <c r="L59" s="185" t="str">
        <f>VLOOKUP(A59,'Trips&amp;Operators'!$C$1:$G$99911,5,FALSE)</f>
        <v>MAELZER KURT</v>
      </c>
      <c r="M59" s="6">
        <f t="shared" si="1"/>
        <v>2.5578703702194616E-2</v>
      </c>
      <c r="N59" s="7">
        <f t="shared" si="33"/>
        <v>36.833333331160247</v>
      </c>
      <c r="O59" s="7"/>
      <c r="P59" s="7"/>
      <c r="Q59" s="22"/>
      <c r="R59" s="174"/>
      <c r="S59" s="221">
        <f t="shared" si="34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-11-12T08:47:35-0700',mode:absolute,to:'2017-11-12T11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9" s="204" t="str">
        <f>IF(AA59&lt;VLOOKUP(AG59,Variables!$AC$3:$AD$8,2,FALSE),"Y","N")</f>
        <v>N</v>
      </c>
      <c r="X59" s="204">
        <f t="shared" si="32"/>
        <v>1</v>
      </c>
      <c r="Y59" s="204">
        <f t="shared" si="35"/>
        <v>23.298100000000002</v>
      </c>
      <c r="Z59" s="204">
        <f t="shared" si="36"/>
        <v>1.9199999999999998E-2</v>
      </c>
      <c r="AA59" s="204">
        <f t="shared" si="9"/>
        <v>23.2789</v>
      </c>
      <c r="AB59" s="54" t="e">
        <f>VLOOKUP(A59,Enforcements!$C$7:$K$9,8,0)</f>
        <v>#N/A</v>
      </c>
      <c r="AC59" s="51" t="e">
        <f>VLOOKUP(A59,Enforcements!$C$7:$E$9,3,0)</f>
        <v>#N/A</v>
      </c>
      <c r="AD59" s="179">
        <f t="shared" si="10"/>
        <v>144</v>
      </c>
      <c r="AE59" s="77" t="str">
        <f t="shared" si="11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59" s="74" t="str">
        <f t="shared" si="12"/>
        <v>"C:\Program Files (x86)\AstroGrep\AstroGrep.exe" /e /r /s /spath="%USERPROFILE%\AppData\Local\Temp\OnboardLogs" /stypes="app*4041*20171112*" /stext=" 17:.+((SYSTEM_STATE.+slice.+state.+changed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144-12 --locoid 4041 --swversion DE.1.0.9.0 --startMP 204:232981 --initTime 2017-11-12T09:47:35 --startdatetime 2017-11-12T09:57:31 --delay 57 --endMP 204:192 --enddatetime 2017-11-12T10:34:21 --enforcementcount 0 &gt;&gt;%USERPROFILE%\Documents\GitHub\eaglep3-reporting\EC\2017-11-12-refined-times.txt</v>
      </c>
      <c r="AI59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{"issue":{"subject":"","project_id":79,"tracker_id":40,"status_id":1,"priority_id":2,"assigned_to_id":338,"start_date":"2017-11-12","description":"","custom_fields":[{"id":1,"name":"Subdivision","value":"EC"},{"id":4,"name":"Milepost","value":"0.0192"},{"id":17,"name":"Train ID","value":"144-12"},{"id":16,"name":"Locomotive ID","value":"4041"},{"id":130,"name":"Impact","value":""},{"id":150,"name":"Time of Event (Mountain Time)","value":"10:34:21"},{"id":151,"name":"Denver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4041 --day 2017-11-12</v>
      </c>
      <c r="AN59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17:34:21"},{"id":29,"name":"Sharepoint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1"/>
        <v>https://d0f6bd738d7f1b3e5a7ca70fe4ff75f0.us-east-1.aws.found.io/app/kibana#/discover/Steve-Slow-Train-Analysis-(2080s-and-2083s)?_g=(refreshInterval:(display:Off,pause:!f,section:0,value:0),time:(from:'2017-11-12T08:47:35-0700',mode:absolute,to:'2017-11-12T11:34:21-0700'))&amp;_a=(columns:!('Message%20ID',Summary),filters:!(),index:'emp_*',interval:auto,query:(query_string:(analyze_wildcard:!t,query:'%22rtdc.l.rtdc.4041%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741</v>
      </c>
      <c r="B60" s="7">
        <v>4004</v>
      </c>
      <c r="C60" s="21" t="s">
        <v>192</v>
      </c>
      <c r="D60" s="21" t="s">
        <v>453</v>
      </c>
      <c r="E60" s="13">
        <v>43051.379293981481</v>
      </c>
      <c r="F60" s="13">
        <v>43051.385636574072</v>
      </c>
      <c r="G60" s="7">
        <v>56</v>
      </c>
      <c r="H60" s="21" t="s">
        <v>917</v>
      </c>
      <c r="I60" s="13">
        <v>43051.409270833334</v>
      </c>
      <c r="J60" s="7">
        <v>0</v>
      </c>
      <c r="K60" s="89" t="str">
        <f t="shared" si="0"/>
        <v>4003/4004</v>
      </c>
      <c r="L60" s="185" t="str">
        <f>VLOOKUP(A60,'Trips&amp;Operators'!$C$1:$G$99911,5,FALSE)</f>
        <v>LOPES KIMBERLY</v>
      </c>
      <c r="M60" s="6">
        <f t="shared" si="1"/>
        <v>2.3634259261598345E-2</v>
      </c>
      <c r="N60" s="7">
        <f t="shared" si="33"/>
        <v>34.033333336701617</v>
      </c>
      <c r="O60" s="7"/>
      <c r="P60" s="7"/>
      <c r="Q60" s="22"/>
      <c r="R60" s="174"/>
      <c r="S60" s="221">
        <f t="shared" si="34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-11-12T08:06:11-0700',mode:absolute,to:'2017-11-12T10:49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204" t="str">
        <f>IF(AA60&lt;VLOOKUP(AG60,Variables!$AC$3:$AD$8,2,FALSE),"Y","N")</f>
        <v>N</v>
      </c>
      <c r="X60" s="204">
        <f t="shared" si="32"/>
        <v>1</v>
      </c>
      <c r="Y60" s="204">
        <f t="shared" si="35"/>
        <v>5.0799999999999998E-2</v>
      </c>
      <c r="Z60" s="204">
        <f t="shared" si="36"/>
        <v>23.321100000000001</v>
      </c>
      <c r="AA60" s="204">
        <f t="shared" si="9"/>
        <v>23.270300000000002</v>
      </c>
      <c r="AB60" s="54" t="e">
        <f>VLOOKUP(A60,Enforcements!$C$7:$K$9,8,0)</f>
        <v>#N/A</v>
      </c>
      <c r="AC60" s="51" t="e">
        <f>VLOOKUP(A60,Enforcements!$C$7:$E$9,3,0)</f>
        <v>#N/A</v>
      </c>
      <c r="AD60" s="179">
        <f t="shared" si="10"/>
        <v>145</v>
      </c>
      <c r="AE60" s="77" t="str">
        <f t="shared" si="11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60" s="74" t="str">
        <f t="shared" si="12"/>
        <v>"C:\Program Files (x86)\AstroGrep\AstroGrep.exe" /e /r /s /spath="%USERPROFILE%\AppData\Local\Temp\OnboardLogs" /stypes="app*4004*20171112*"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145-12 --locoid 4004 --swversion DE.1.0.9.0 --startMP 204:508 --initTime 2017-11-12T09:06:11 --startdatetime 2017-11-12T09:15:19 --delay 56 --endMP 204:233211 --enddatetime 2017-11-12T09:49:21 --enforcementcount 0 &gt;&gt;%USERPROFILE%\Documents\GitHub\eaglep3-reporting\EC\2017-11-12-refined-times.txt</v>
      </c>
      <c r="AI60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{"issue":{"subject":"","project_id":79,"tracker_id":40,"status_id":1,"priority_id":2,"assigned_to_id":338,"start_date":"2017-11-12","description":"","custom_fields":[{"id":1,"name":"Subdivision","value":"EC"},{"id":4,"name":"Milepost","value":"23.3211"},{"id":17,"name":"Train ID","value":"145-12"},{"id":16,"name":"Locomotive ID","value":"4004"},{"id":130,"name":"Impact","value":""},{"id":150,"name":"Time of Event (Mountain Time)","value":"09:49:21"},{"id":151,"name":"Denver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4004 --day 2017-11-12</v>
      </c>
      <c r="AN60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1"/>
        <v>https://d0f6bd738d7f1b3e5a7ca70fe4ff75f0.us-east-1.aws.found.io/app/kibana#/discover/Steve-Slow-Train-Analysis-(2080s-and-2083s)?_g=(refreshInterval:(display:Off,pause:!f,section:0,value:0),time:(from:'2017-11-12T08:06:11-0700',mode:absolute,to:'2017-11-12T10:49:21-0700'))&amp;_a=(columns:!('Message%20ID',Summary),filters:!(),index:'emp_*',interval:auto,query:(query_string:(analyze_wildcard:!t,query:'%22rtdc.l.rtdc.4004%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748</v>
      </c>
      <c r="B61" s="7">
        <v>4003</v>
      </c>
      <c r="C61" s="21" t="s">
        <v>192</v>
      </c>
      <c r="D61" s="21" t="s">
        <v>613</v>
      </c>
      <c r="E61" s="13">
        <v>43051.415578703702</v>
      </c>
      <c r="F61" s="13">
        <v>43051.425173611111</v>
      </c>
      <c r="G61" s="7">
        <v>50</v>
      </c>
      <c r="H61" s="21" t="s">
        <v>491</v>
      </c>
      <c r="I61" s="13">
        <v>43051.450613425928</v>
      </c>
      <c r="J61" s="7">
        <v>0</v>
      </c>
      <c r="K61" s="89" t="str">
        <f t="shared" si="0"/>
        <v>4003/4004</v>
      </c>
      <c r="L61" s="185" t="str">
        <f>VLOOKUP(A61,'Trips&amp;Operators'!$C$1:$G$99911,5,FALSE)</f>
        <v>LOPES KIMBERLY</v>
      </c>
      <c r="M61" s="6">
        <f t="shared" si="1"/>
        <v>2.5439814817218576E-2</v>
      </c>
      <c r="N61" s="7">
        <f t="shared" si="33"/>
        <v>36.633333336794749</v>
      </c>
      <c r="O61" s="7"/>
      <c r="P61" s="7"/>
      <c r="Q61" s="22"/>
      <c r="R61" s="174"/>
      <c r="S61" s="221">
        <f t="shared" si="34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-11-12T08:58:26-0700',mode:absolute,to:'2017-11-12T11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1" s="204" t="str">
        <f>IF(AA61&lt;VLOOKUP(AG61,Variables!$AC$3:$AD$8,2,FALSE),"Y","N")</f>
        <v>N</v>
      </c>
      <c r="X61" s="204">
        <f t="shared" si="32"/>
        <v>1</v>
      </c>
      <c r="Y61" s="204">
        <f t="shared" si="35"/>
        <v>23.289200000000001</v>
      </c>
      <c r="Z61" s="204">
        <f t="shared" si="36"/>
        <v>2.0899999999999998E-2</v>
      </c>
      <c r="AA61" s="204">
        <f t="shared" si="9"/>
        <v>23.2683</v>
      </c>
      <c r="AB61" s="54" t="e">
        <f>VLOOKUP(A61,Enforcements!$C$7:$K$9,8,0)</f>
        <v>#N/A</v>
      </c>
      <c r="AC61" s="51" t="e">
        <f>VLOOKUP(A61,Enforcements!$C$7:$E$9,3,0)</f>
        <v>#N/A</v>
      </c>
      <c r="AD61" s="179">
        <f t="shared" si="10"/>
        <v>146</v>
      </c>
      <c r="AE61" s="77" t="str">
        <f t="shared" si="11"/>
        <v>aws s3 cp s3://rtdc.mdm.uploadarchive.raw/RTDC4003/ "%USERPROFILE%\AppData\Local\Temp\OnboardLogs"\RTDC4003\2017-11-12 --exclude "*" --recursive --include "*20171112*" &amp; "%USERPROFILE%\Documents\GitHub\mrs-test-scripts\Headless Mode &amp; Sideloading\WalkAndUnGZ.bat" "%USERPROFILE%\AppData\Local\Temp\OnboardLogs"\RTDC4003\2017-11-12 &amp; aws s3 cp s3://rtdc.mdm.uploadarchive.raw/RTDC4003/ "%USERPROFILE%\AppData\Local\Temp\OnboardLogs"\RTDC4003\2017-11-13 --exclude "*" --recursive --include "*20171113*" &amp; "%USERPROFILE%\Documents\GitHub\mrs-test-scripts\Headless Mode &amp; Sideloading\WalkAndUnGZ.bat" "%USERPROFILE%\AppData\Local\Temp\OnboardLogs"\RTDC4003\2017-11-13</v>
      </c>
      <c r="AF61" s="74" t="str">
        <f t="shared" si="12"/>
        <v>"C:\Program Files (x86)\AstroGrep\AstroGrep.exe" /e /r /s /spath="%USERPROFILE%\AppData\Local\Temp\OnboardLogs" /stypes="app*4003*20171112*"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146-12 --locoid 4003 --swversion DE.1.0.9.0 --startMP 204:232892 --initTime 2017-11-12T09:58:26 --startdatetime 2017-11-12T10:12:15 --delay 50 --endMP 204:209 --enddatetime 2017-11-12T10:48:53 --enforcementcount 0 &gt;&gt;%USERPROFILE%\Documents\GitHub\eaglep3-reporting\EC\2017-11-12-refined-times.txt</v>
      </c>
      <c r="AI61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{"issue":{"subject":"","project_id":79,"tracker_id":40,"status_id":1,"priority_id":2,"assigned_to_id":338,"start_date":"2017-11-12","description":"","custom_fields":[{"id":1,"name":"Subdivision","value":"EC"},{"id":4,"name":"Milepost","value":"0.0209"},{"id":17,"name":"Train ID","value":"146-12"},{"id":16,"name":"Locomotive ID","value":"4003"},{"id":130,"name":"Impact","value":""},{"id":150,"name":"Time of Event (Mountain Time)","value":"10:48:53"},{"id":151,"name":"Denver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4003 --day 2017-11-12</v>
      </c>
      <c r="AN61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17:48:53"},{"id":29,"name":"Sharepoint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1"/>
        <v>https://d0f6bd738d7f1b3e5a7ca70fe4ff75f0.us-east-1.aws.found.io/app/kibana#/discover/Steve-Slow-Train-Analysis-(2080s-and-2083s)?_g=(refreshInterval:(display:Off,pause:!f,section:0,value:0),time:(from:'2017-11-12T08:58:26-0700',mode:absolute,to:'2017-11-12T11:48:53-0700'))&amp;_a=(columns:!('Message%20ID',Summary),filters:!(),index:'emp_*',interval:auto,query:(query_string:(analyze_wildcard:!t,query:'%22rtdc.l.rtdc.4003%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742</v>
      </c>
      <c r="B62" s="7">
        <v>4016</v>
      </c>
      <c r="C62" s="21" t="s">
        <v>192</v>
      </c>
      <c r="D62" s="21" t="s">
        <v>585</v>
      </c>
      <c r="E62" s="13">
        <v>43051.391574074078</v>
      </c>
      <c r="F62" s="13">
        <v>43051.39607638889</v>
      </c>
      <c r="G62" s="7">
        <v>59</v>
      </c>
      <c r="H62" s="21" t="s">
        <v>918</v>
      </c>
      <c r="I62" s="13">
        <v>43051.420543981483</v>
      </c>
      <c r="J62" s="7">
        <v>0</v>
      </c>
      <c r="K62" s="89" t="str">
        <f t="shared" si="0"/>
        <v>4015/4016</v>
      </c>
      <c r="L62" s="185" t="str">
        <f>VLOOKUP(A62,'Trips&amp;Operators'!$C$1:$G$99911,5,FALSE)</f>
        <v>PAGE MARCUS</v>
      </c>
      <c r="M62" s="6">
        <f t="shared" si="1"/>
        <v>2.4467592593282461E-2</v>
      </c>
      <c r="N62" s="7">
        <f t="shared" si="33"/>
        <v>35.233333334326744</v>
      </c>
      <c r="O62" s="7"/>
      <c r="P62" s="7"/>
      <c r="Q62" s="22"/>
      <c r="R62" s="174"/>
      <c r="S62" s="221">
        <f t="shared" si="34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-11-12T08:23:52-0700',mode:absolute,to:'2017-11-12T11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2" s="204" t="str">
        <f>IF(AA62&lt;VLOOKUP(AG62,Variables!$AC$3:$AD$8,2,FALSE),"Y","N")</f>
        <v>N</v>
      </c>
      <c r="X62" s="204">
        <f t="shared" si="32"/>
        <v>1</v>
      </c>
      <c r="Y62" s="204">
        <f t="shared" si="35"/>
        <v>4.6600000000000003E-2</v>
      </c>
      <c r="Z62" s="204">
        <f t="shared" si="36"/>
        <v>23.319600000000001</v>
      </c>
      <c r="AA62" s="204">
        <f t="shared" si="9"/>
        <v>23.273</v>
      </c>
      <c r="AB62" s="54" t="e">
        <f>VLOOKUP(A62,Enforcements!$C$7:$K$9,8,0)</f>
        <v>#N/A</v>
      </c>
      <c r="AC62" s="51" t="e">
        <f>VLOOKUP(A62,Enforcements!$C$7:$E$9,3,0)</f>
        <v>#N/A</v>
      </c>
      <c r="AD62" s="179">
        <f t="shared" si="10"/>
        <v>147</v>
      </c>
      <c r="AE62" s="77" t="str">
        <f t="shared" si="11"/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62" s="74" t="str">
        <f t="shared" si="12"/>
        <v>"C:\Program Files (x86)\AstroGrep\AstroGrep.exe" /e /r /s /spath="%USERPROFILE%\AppData\Local\Temp\OnboardLogs" /stypes="app*4016*20171112*"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147-12 --locoid 4016 --swversion DE.1.0.9.0 --startMP 204:466 --initTime 2017-11-12T09:23:52 --startdatetime 2017-11-12T09:30:21 --delay 59 --endMP 204:233196 --enddatetime 2017-11-12T10:05:35 --enforcementcount 0 &gt;&gt;%USERPROFILE%\Documents\GitHub\eaglep3-reporting\EC\2017-11-12-refined-times.txt</v>
      </c>
      <c r="AI62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{"issue":{"subject":"","project_id":79,"tracker_id":40,"status_id":1,"priority_id":2,"assigned_to_id":338,"start_date":"2017-11-12","description":"","custom_fields":[{"id":1,"name":"Subdivision","value":"EC"},{"id":4,"name":"Milepost","value":"23.3196"},{"id":17,"name":"Train ID","value":"147-12"},{"id":16,"name":"Locomotive ID","value":"4016"},{"id":130,"name":"Impact","value":""},{"id":150,"name":"Time of Event (Mountain Time)","value":"10:05:35"},{"id":151,"name":"Denver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4016 --day 2017-11-12</v>
      </c>
      <c r="AN62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17:05:35"},{"id":29,"name":"Sharepoint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1"/>
        <v>https://d0f6bd738d7f1b3e5a7ca70fe4ff75f0.us-east-1.aws.found.io/app/kibana#/discover/Steve-Slow-Train-Analysis-(2080s-and-2083s)?_g=(refreshInterval:(display:Off,pause:!f,section:0,value:0),time:(from:'2017-11-12T08:23:52-0700',mode:absolute,to:'2017-11-12T11:05:35-0700'))&amp;_a=(columns:!('Message%20ID',Summary),filters:!(),index:'emp_*',interval:auto,query:(query_string:(analyze_wildcard:!t,query:'%22rtdc.l.rtdc.4016%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752</v>
      </c>
      <c r="B63" s="7">
        <v>4015</v>
      </c>
      <c r="C63" s="21" t="s">
        <v>192</v>
      </c>
      <c r="D63" s="21" t="s">
        <v>608</v>
      </c>
      <c r="E63" s="13">
        <v>43051.430891203701</v>
      </c>
      <c r="F63" s="13">
        <v>43051.43577546296</v>
      </c>
      <c r="G63" s="7">
        <v>50</v>
      </c>
      <c r="H63" s="21" t="s">
        <v>465</v>
      </c>
      <c r="I63" s="13">
        <v>43051.460868055554</v>
      </c>
      <c r="J63" s="7">
        <v>0</v>
      </c>
      <c r="K63" s="89" t="str">
        <f t="shared" si="0"/>
        <v>4015/4016</v>
      </c>
      <c r="L63" s="185" t="str">
        <f>VLOOKUP(A63,'Trips&amp;Operators'!$C$1:$G$99911,5,FALSE)</f>
        <v>PAGE MARCUS</v>
      </c>
      <c r="M63" s="6">
        <f t="shared" si="1"/>
        <v>2.5092592593864538E-2</v>
      </c>
      <c r="N63" s="7">
        <f t="shared" si="33"/>
        <v>36.133333335164934</v>
      </c>
      <c r="O63" s="7"/>
      <c r="P63" s="7"/>
      <c r="Q63" s="22"/>
      <c r="R63" s="174"/>
      <c r="S63" s="221">
        <f t="shared" si="34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-11-12T09:20:29-0700',mode:absolute,to:'2017-11-12T12:03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3" s="204" t="str">
        <f>IF(AA63&lt;VLOOKUP(AG63,Variables!$AC$3:$AD$8,2,FALSE),"Y","N")</f>
        <v>N</v>
      </c>
      <c r="X63" s="204">
        <f t="shared" si="32"/>
        <v>1</v>
      </c>
      <c r="Y63" s="204">
        <f t="shared" si="35"/>
        <v>23.2879</v>
      </c>
      <c r="Z63" s="204">
        <f t="shared" si="36"/>
        <v>1.8499999999999999E-2</v>
      </c>
      <c r="AA63" s="204">
        <f t="shared" si="9"/>
        <v>23.269400000000001</v>
      </c>
      <c r="AB63" s="54" t="e">
        <f>VLOOKUP(A63,Enforcements!$C$7:$K$9,8,0)</f>
        <v>#N/A</v>
      </c>
      <c r="AC63" s="51" t="e">
        <f>VLOOKUP(A63,Enforcements!$C$7:$E$9,3,0)</f>
        <v>#N/A</v>
      </c>
      <c r="AD63" s="179">
        <f t="shared" si="10"/>
        <v>148</v>
      </c>
      <c r="AE63" s="77" t="str">
        <f t="shared" si="11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63" s="74" t="str">
        <f t="shared" si="12"/>
        <v>"C:\Program Files (x86)\AstroGrep\AstroGrep.exe" /e /r /s /spath="%USERPROFILE%\AppData\Local\Temp\OnboardLogs" /stypes="app*4015*20171112*" /stext=" 18:.+((SYSTEM_STATE.+slice.+state.+changed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148-12 --locoid 4015 --swversion DE.1.0.9.0 --startMP 204:232879 --initTime 2017-11-12T10:20:29 --startdatetime 2017-11-12T10:27:31 --delay 50 --endMP 204:185 --enddatetime 2017-11-12T11:03:39 --enforcementcount 0 &gt;&gt;%USERPROFILE%\Documents\GitHub\eaglep3-reporting\EC\2017-11-12-refined-times.txt</v>
      </c>
      <c r="AI63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{"issue":{"subject":"","project_id":79,"tracker_id":40,"status_id":1,"priority_id":2,"assigned_to_id":338,"start_date":"2017-11-12","description":"","custom_fields":[{"id":1,"name":"Subdivision","value":"EC"},{"id":4,"name":"Milepost","value":"0.0185"},{"id":17,"name":"Train ID","value":"148-12"},{"id":16,"name":"Locomotive ID","value":"4015"},{"id":130,"name":"Impact","value":""},{"id":150,"name":"Time of Event (Mountain Time)","value":"11:03:39"},{"id":151,"name":"Denver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4015 --day 2017-11-12</v>
      </c>
      <c r="AN63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18:03:39"},{"id":29,"name":"Sharepoint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1"/>
        <v>https://d0f6bd738d7f1b3e5a7ca70fe4ff75f0.us-east-1.aws.found.io/app/kibana#/discover/Steve-Slow-Train-Analysis-(2080s-and-2083s)?_g=(refreshInterval:(display:Off,pause:!f,section:0,value:0),time:(from:'2017-11-12T09:20:29-0700',mode:absolute,to:'2017-11-12T12:03:39-0700'))&amp;_a=(columns:!('Message%20ID',Summary),filters:!(),index:'emp_*',interval:auto,query:(query_string:(analyze_wildcard:!t,query:'%22rtdc.l.rtdc.4015%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745</v>
      </c>
      <c r="B64" s="7">
        <v>4006</v>
      </c>
      <c r="C64" s="21" t="s">
        <v>192</v>
      </c>
      <c r="D64" s="21" t="s">
        <v>896</v>
      </c>
      <c r="E64" s="13">
        <v>43051.401956018519</v>
      </c>
      <c r="F64" s="13">
        <v>43051.4065162037</v>
      </c>
      <c r="G64" s="7">
        <v>58</v>
      </c>
      <c r="H64" s="21" t="s">
        <v>492</v>
      </c>
      <c r="I64" s="13">
        <v>43051.430127314816</v>
      </c>
      <c r="J64" s="7">
        <v>0</v>
      </c>
      <c r="K64" s="89" t="str">
        <f t="shared" si="0"/>
        <v>4005/4006</v>
      </c>
      <c r="L64" s="185" t="str">
        <f>VLOOKUP(A64,'Trips&amp;Operators'!$C$1:$G$99911,5,FALSE)</f>
        <v>ROMERO CHAD</v>
      </c>
      <c r="M64" s="6">
        <f t="shared" si="1"/>
        <v>2.3611111115314998E-2</v>
      </c>
      <c r="N64" s="7">
        <f t="shared" si="33"/>
        <v>34.000000006053597</v>
      </c>
      <c r="O64" s="7"/>
      <c r="P64" s="7"/>
      <c r="Q64" s="22"/>
      <c r="R64" s="174"/>
      <c r="S64" s="221">
        <f t="shared" si="34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-11-12T08:38:49-0700',mode:absolute,to:'2017-11-12T11:19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4" s="204" t="str">
        <f>IF(AA64&lt;VLOOKUP(AG64,Variables!$AC$3:$AD$8,2,FALSE),"Y","N")</f>
        <v>N</v>
      </c>
      <c r="X64" s="204">
        <f t="shared" si="32"/>
        <v>1</v>
      </c>
      <c r="Y64" s="204">
        <f t="shared" si="35"/>
        <v>4.4600000000000001E-2</v>
      </c>
      <c r="Z64" s="204">
        <f t="shared" si="36"/>
        <v>23.3276</v>
      </c>
      <c r="AA64" s="204">
        <f t="shared" si="9"/>
        <v>23.283000000000001</v>
      </c>
      <c r="AB64" s="54" t="e">
        <f>VLOOKUP(A64,Enforcements!$C$7:$K$9,8,0)</f>
        <v>#N/A</v>
      </c>
      <c r="AC64" s="51" t="e">
        <f>VLOOKUP(A64,Enforcements!$C$7:$E$9,3,0)</f>
        <v>#N/A</v>
      </c>
      <c r="AD64" s="179">
        <f t="shared" si="10"/>
        <v>149</v>
      </c>
      <c r="AE64" s="77" t="str">
        <f t="shared" si="11"/>
        <v>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 &amp; aws s3 cp s3://rtdc.mdm.uploadarchive.raw/RTDC4006/ "%USERPROFILE%\AppData\Local\Temp\OnboardLogs"\RTDC4006\2017-11-13 --exclude "*" --recursive --include "*20171113*" &amp; "%USERPROFILE%\Documents\GitHub\mrs-test-scripts\Headless Mode &amp; Sideloading\WalkAndUnGZ.bat" "%USERPROFILE%\AppData\Local\Temp\OnboardLogs"\RTDC4006\2017-11-13</v>
      </c>
      <c r="AF64" s="74" t="str">
        <f t="shared" si="12"/>
        <v>"C:\Program Files (x86)\AstroGrep\AstroGrep.exe" /e /r /s /spath="%USERPROFILE%\AppData\Local\Temp\OnboardLogs" /stypes="app*4006*20171112*"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149-12 --locoid 4006 --swversion DE.1.0.9.0 --startMP 204:446 --initTime 2017-11-12T09:38:49 --startdatetime 2017-11-12T09:45:23 --delay 58 --endMP 204:233276 --enddatetime 2017-11-12T10:19:23 --enforcementcount 0 &gt;&gt;%USERPROFILE%\Documents\GitHub\eaglep3-reporting\EC\2017-11-12-refined-times.txt</v>
      </c>
      <c r="AI64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{"issue":{"subject":"","project_id":79,"tracker_id":40,"status_id":1,"priority_id":2,"assigned_to_id":338,"start_date":"2017-11-12","description":"","custom_fields":[{"id":1,"name":"Subdivision","value":"EC"},{"id":4,"name":"Milepost","value":"23.3276"},{"id":17,"name":"Train ID","value":"149-12"},{"id":16,"name":"Locomotive ID","value":"4006"},{"id":130,"name":"Impact","value":""},{"id":150,"name":"Time of Event (Mountain Time)","value":"10:19:23"},{"id":151,"name":"Denver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4006 --day 2017-11-12</v>
      </c>
      <c r="AN64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17:19:23"},{"id":29,"name":"Sharepoint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1"/>
        <v>https://d0f6bd738d7f1b3e5a7ca70fe4ff75f0.us-east-1.aws.found.io/app/kibana#/discover/Steve-Slow-Train-Analysis-(2080s-and-2083s)?_g=(refreshInterval:(display:Off,pause:!f,section:0,value:0),time:(from:'2017-11-12T08:38:49-0700',mode:absolute,to:'2017-11-12T11:19:23-0700'))&amp;_a=(columns:!('Message%20ID',Summary),filters:!(),index:'emp_*',interval:auto,query:(query_string:(analyze_wildcard:!t,query:'%22rtdc.l.rtdc.4006%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753</v>
      </c>
      <c r="B65" s="7">
        <v>4005</v>
      </c>
      <c r="C65" s="21" t="s">
        <v>192</v>
      </c>
      <c r="D65" s="21" t="s">
        <v>919</v>
      </c>
      <c r="E65" s="13">
        <v>43051.431377314817</v>
      </c>
      <c r="F65" s="13">
        <v>43051.446064814816</v>
      </c>
      <c r="G65" s="7">
        <v>63</v>
      </c>
      <c r="H65" s="21" t="s">
        <v>587</v>
      </c>
      <c r="I65" s="13">
        <v>43051.471851851849</v>
      </c>
      <c r="J65" s="7">
        <v>0</v>
      </c>
      <c r="K65" s="89" t="str">
        <f t="shared" si="0"/>
        <v>4005/4006</v>
      </c>
      <c r="L65" s="185" t="str">
        <f>VLOOKUP(A65,'Trips&amp;Operators'!$C$1:$G$99911,5,FALSE)</f>
        <v>ROMERO CHAD</v>
      </c>
      <c r="M65" s="6">
        <f t="shared" si="1"/>
        <v>2.5787037033296656E-2</v>
      </c>
      <c r="N65" s="7">
        <f t="shared" si="33"/>
        <v>37.133333327947184</v>
      </c>
      <c r="O65" s="7"/>
      <c r="P65" s="7"/>
      <c r="Q65" s="22"/>
      <c r="R65" s="174"/>
      <c r="S65" s="221">
        <f t="shared" si="34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-11-12T09:21:11-0700',mode:absolute,to:'2017-11-12T12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5" s="204" t="str">
        <f>IF(AA65&lt;VLOOKUP(AG65,Variables!$AC$3:$AD$8,2,FALSE),"Y","N")</f>
        <v>N</v>
      </c>
      <c r="X65" s="204">
        <f t="shared" si="32"/>
        <v>1</v>
      </c>
      <c r="Y65" s="204">
        <f t="shared" si="35"/>
        <v>23.296099999999999</v>
      </c>
      <c r="Z65" s="204">
        <f t="shared" si="36"/>
        <v>1.9800000000000002E-2</v>
      </c>
      <c r="AA65" s="204">
        <f t="shared" si="9"/>
        <v>23.276299999999999</v>
      </c>
      <c r="AB65" s="54" t="e">
        <f>VLOOKUP(A65,Enforcements!$C$7:$K$9,8,0)</f>
        <v>#N/A</v>
      </c>
      <c r="AC65" s="51" t="e">
        <f>VLOOKUP(A65,Enforcements!$C$7:$E$9,3,0)</f>
        <v>#N/A</v>
      </c>
      <c r="AD65" s="179">
        <f t="shared" si="10"/>
        <v>150</v>
      </c>
      <c r="AE65" s="77" t="str">
        <f t="shared" si="11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65" s="74" t="str">
        <f t="shared" si="12"/>
        <v>"C:\Program Files (x86)\AstroGrep\AstroGrep.exe" /e /r /s /spath="%USERPROFILE%\AppData\Local\Temp\OnboardLogs" /stypes="app*4005*20171112*" /stext=" 18:.+((SYSTEM_STATE.+slice.+state.+changed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150-12 --locoid 4005 --swversion DE.1.0.9.0 --startMP 204:232961 --initTime 2017-11-12T10:21:11 --startdatetime 2017-11-12T10:42:20 --delay 63 --endMP 204:198 --enddatetime 2017-11-12T11:19:28 --enforcementcount 0 &gt;&gt;%USERPROFILE%\Documents\GitHub\eaglep3-reporting\EC\2017-11-12-refined-times.txt</v>
      </c>
      <c r="AI65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{"issue":{"subject":"","project_id":79,"tracker_id":40,"status_id":1,"priority_id":2,"assigned_to_id":338,"start_date":"2017-11-12","description":"","custom_fields":[{"id":1,"name":"Subdivision","value":"EC"},{"id":4,"name":"Milepost","value":"0.0198"},{"id":17,"name":"Train ID","value":"150-12"},{"id":16,"name":"Locomotive ID","value":"4005"},{"id":130,"name":"Impact","value":""},{"id":150,"name":"Time of Event (Mountain Time)","value":"11:19:28"},{"id":151,"name":"Denver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4005 --day 2017-11-12</v>
      </c>
      <c r="AN65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1"/>
        <v>https://d0f6bd738d7f1b3e5a7ca70fe4ff75f0.us-east-1.aws.found.io/app/kibana#/discover/Steve-Slow-Train-Analysis-(2080s-and-2083s)?_g=(refreshInterval:(display:Off,pause:!f,section:0,value:0),time:(from:'2017-11-12T09:21:11-0700',mode:absolute,to:'2017-11-12T12:19:28-0700'))&amp;_a=(columns:!('Message%20ID',Summary),filters:!(),index:'emp_*',interval:auto,query:(query_string:(analyze_wildcard:!t,query:'%22rtdc.l.rtdc.4005%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747</v>
      </c>
      <c r="B66" s="7">
        <v>4002</v>
      </c>
      <c r="C66" s="21" t="s">
        <v>192</v>
      </c>
      <c r="D66" s="21" t="s">
        <v>912</v>
      </c>
      <c r="E66" s="13">
        <v>43051.411747685182</v>
      </c>
      <c r="F66" s="13">
        <v>43051.416863425926</v>
      </c>
      <c r="G66" s="7">
        <v>59</v>
      </c>
      <c r="H66" s="21" t="s">
        <v>477</v>
      </c>
      <c r="I66" s="13">
        <v>43051.441365740742</v>
      </c>
      <c r="J66" s="7">
        <v>0</v>
      </c>
      <c r="K66" s="89" t="str">
        <f t="shared" si="0"/>
        <v>4001/4002</v>
      </c>
      <c r="L66" s="185" t="str">
        <f>VLOOKUP(A66,'Trips&amp;Operators'!$C$1:$G$99911,5,FALSE)</f>
        <v>GEBRETEKLE DAGNEW</v>
      </c>
      <c r="M66" s="6">
        <f t="shared" si="1"/>
        <v>2.4502314816345461E-2</v>
      </c>
      <c r="N66" s="7">
        <f t="shared" si="33"/>
        <v>35.283333335537463</v>
      </c>
      <c r="O66" s="7"/>
      <c r="P66" s="7"/>
      <c r="Q66" s="22"/>
      <c r="R66" s="174"/>
      <c r="S66" s="221">
        <f t="shared" si="34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-11-12T08:52:55-0700',mode:absolute,to:'2017-11-12T11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6" s="204" t="str">
        <f>IF(AA66&lt;VLOOKUP(AG66,Variables!$AC$3:$AD$8,2,FALSE),"Y","N")</f>
        <v>N</v>
      </c>
      <c r="X66" s="204">
        <f t="shared" si="32"/>
        <v>1</v>
      </c>
      <c r="Y66" s="204">
        <f t="shared" si="35"/>
        <v>4.9099999999999998E-2</v>
      </c>
      <c r="Z66" s="204">
        <f t="shared" si="36"/>
        <v>23.3278</v>
      </c>
      <c r="AA66" s="204">
        <f t="shared" si="9"/>
        <v>23.278700000000001</v>
      </c>
      <c r="AB66" s="54" t="e">
        <f>VLOOKUP(A66,Enforcements!$C$7:$K$9,8,0)</f>
        <v>#N/A</v>
      </c>
      <c r="AC66" s="51" t="e">
        <f>VLOOKUP(A66,Enforcements!$C$7:$E$9,3,0)</f>
        <v>#N/A</v>
      </c>
      <c r="AD66" s="179">
        <f t="shared" si="10"/>
        <v>151</v>
      </c>
      <c r="AE66" s="77" t="str">
        <f t="shared" si="11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66" s="74" t="str">
        <f t="shared" si="12"/>
        <v>"C:\Program Files (x86)\AstroGrep\AstroGrep.exe" /e /r /s /spath="%USERPROFILE%\AppData\Local\Temp\OnboardLogs" /stypes="app*4002*20171112*"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151-12 --locoid 4002 --swversion DE.1.0.9.0 --startMP 204:491 --initTime 2017-11-12T09:52:55 --startdatetime 2017-11-12T10:00:17 --delay 59 --endMP 204:233278 --enddatetime 2017-11-12T10:35:34 --enforcementcount 0 &gt;&gt;%USERPROFILE%\Documents\GitHub\eaglep3-reporting\EC\2017-11-12-refined-times.txt</v>
      </c>
      <c r="AI66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{"issue":{"subject":"","project_id":79,"tracker_id":40,"status_id":1,"priority_id":2,"assigned_to_id":338,"start_date":"2017-11-12","description":"","custom_fields":[{"id":1,"name":"Subdivision","value":"EC"},{"id":4,"name":"Milepost","value":"23.3278"},{"id":17,"name":"Train ID","value":"151-12"},{"id":16,"name":"Locomotive ID","value":"4002"},{"id":130,"name":"Impact","value":""},{"id":150,"name":"Time of Event (Mountain Time)","value":"10:35:34"},{"id":151,"name":"Denver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4002 --day 2017-11-12</v>
      </c>
      <c r="AN66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17:35:34"},{"id":29,"name":"Sharepoint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1"/>
        <v>https://d0f6bd738d7f1b3e5a7ca70fe4ff75f0.us-east-1.aws.found.io/app/kibana#/discover/Steve-Slow-Train-Analysis-(2080s-and-2083s)?_g=(refreshInterval:(display:Off,pause:!f,section:0,value:0),time:(from:'2017-11-12T08:52:55-0700',mode:absolute,to:'2017-11-12T11:35:34-0700'))&amp;_a=(columns:!('Message%20ID',Summary),filters:!(),index:'emp_*',interval:auto,query:(query_string:(analyze_wildcard:!t,query:'%22rtdc.l.rtdc.4002%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650</v>
      </c>
      <c r="B67" s="7">
        <v>4001</v>
      </c>
      <c r="C67" s="21" t="s">
        <v>192</v>
      </c>
      <c r="D67" s="21" t="s">
        <v>882</v>
      </c>
      <c r="E67" s="13">
        <v>43051.442650462966</v>
      </c>
      <c r="F67" s="13">
        <v>43051.466874999998</v>
      </c>
      <c r="G67" s="7">
        <v>51</v>
      </c>
      <c r="H67" s="21" t="s">
        <v>920</v>
      </c>
      <c r="I67" s="13">
        <v>43051.480023148149</v>
      </c>
      <c r="J67" s="7">
        <v>0</v>
      </c>
      <c r="K67" s="89" t="str">
        <f t="shared" si="0"/>
        <v>4001/4002</v>
      </c>
      <c r="L67" s="185" t="str">
        <f>VLOOKUP(A67,'Trips&amp;Operators'!$C$1:$G$99911,5,FALSE)</f>
        <v>GEBRETEKLE DAGNEW</v>
      </c>
      <c r="M67" s="6">
        <f t="shared" si="1"/>
        <v>1.3148148151230998E-2</v>
      </c>
      <c r="N67" s="7"/>
      <c r="O67" s="7"/>
      <c r="P67" s="7">
        <f>24*60*SUM($M67:$M67)</f>
        <v>18.933333337772638</v>
      </c>
      <c r="Q67" s="22"/>
      <c r="R67" s="174" t="s">
        <v>1100</v>
      </c>
      <c r="S67" s="221">
        <f>1/IF(AG67="EC",12,1)*SUM(U67:U68)</f>
        <v>0.91666666666666663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-11-12T09:37:25-0700',mode:absolute,to:'2017-11-12T12:31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7" s="204" t="str">
        <f>IF(AA67&lt;VLOOKUP(AG67,Variables!$AC$3:$AD$8,2,FALSE),"Y","N")</f>
        <v>Y</v>
      </c>
      <c r="X67" s="204">
        <f t="shared" si="32"/>
        <v>1</v>
      </c>
      <c r="Y67" s="204">
        <f t="shared" si="35"/>
        <v>23.295999999999999</v>
      </c>
      <c r="Z67" s="204">
        <f t="shared" si="36"/>
        <v>23.266400000000001</v>
      </c>
      <c r="AA67" s="204">
        <f t="shared" si="9"/>
        <v>2.9599999999998516E-2</v>
      </c>
      <c r="AB67" s="54" t="e">
        <f>VLOOKUP(A67,Enforcements!$C$7:$K$9,8,0)</f>
        <v>#N/A</v>
      </c>
      <c r="AC67" s="51" t="e">
        <f>VLOOKUP(A67,Enforcements!$C$7:$E$9,3,0)</f>
        <v>#N/A</v>
      </c>
      <c r="AD67" s="179">
        <f t="shared" si="10"/>
        <v>152</v>
      </c>
      <c r="AE67" s="77" t="str">
        <f t="shared" si="11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67" s="74" t="str">
        <f t="shared" si="12"/>
        <v>"C:\Program Files (x86)\AstroGrep\AstroGrep.exe" /e /r /s /spath="%USERPROFILE%\AppData\Local\Temp\OnboardLogs" /stypes="app*4001*20171112*" /stext=" 18:.+((SYSTEM_STATE.+slice.+state.+changed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152-12 --locoid 4001 --swversion DE.1.0.9.0 --startMP 204:232960 --initTime 2017-11-12T10:37:25 --startdatetime 2017-11-12T11:12:18 --delay 51 --endMP 204:232664 --enddatetime 2017-11-12T11:31:14 --enforcementcount 0 &gt;&gt;%USERPROFILE%\Documents\GitHub\eaglep3-reporting\EC\2017-11-12-refined-times.txt</v>
      </c>
      <c r="AI67" s="96" t="str">
        <f t="shared" si="15"/>
        <v>echo {"issue":{"subject":"Multiple Wi-MAX data drops","project_id":79,"tracker_id":40,"status_id":1,"priority_id":2,"assigned_to_id":338,"start_date":"2017-11-12","description":"","custom_fields":[{"id":1,"name":"Subdivision","value":"EC"},{"id":4,"name":"Milepost","value":"23.2664"},{"id":17,"name":"Train ID","value":"152-12"},{"id":16,"name":"Locomotive ID","value":"4001"},{"id":130,"name":"Impact","value":""},{"id":150,"name":"Time of Event (Mountain Time)","value":"11:31:14"},{"id":151,"name":"Denver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4001 --day 2017-11-12</v>
      </c>
      <c r="AN67" s="151" t="str">
        <f t="shared" si="17"/>
        <v>echo {"issue":{"subject":"Multiple Wi-MAX data drops","project_id":30,"tracker_id":4,"status_id":1,"priority_id":1,"assigned_to_id":10,"start_date":"2017-11-12","description":"","custom_fields":[{"id":30,"name":"Category","value":"Issue"},{"id":3,"name":"Functional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18:31:14"},{"id":29,"name":"Sharepoint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1"/>
        <v>https://d0f6bd738d7f1b3e5a7ca70fe4ff75f0.us-east-1.aws.found.io/app/kibana#/discover/Steve-Slow-Train-Analysis-(2080s-and-2083s)?_g=(refreshInterval:(display:Off,pause:!f,section:0,value:0),time:(from:'2017-11-12T09:37:25-0700',mode:absolute,to:'2017-11-12T12:31:14-0700'))&amp;_a=(columns:!('Message%20ID',Summary),filters:!(),index:'emp_*',interval:auto,query:(query_string:(analyze_wildcard:!t,query:'%22rtdc.l.rtdc.4001%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650</v>
      </c>
      <c r="B68" s="7">
        <v>4001</v>
      </c>
      <c r="C68" s="21" t="s">
        <v>192</v>
      </c>
      <c r="D68" s="21" t="s">
        <v>921</v>
      </c>
      <c r="E68" s="13">
        <v>43051.465914351851</v>
      </c>
      <c r="F68" s="13">
        <v>43051.466874999998</v>
      </c>
      <c r="G68" s="7">
        <v>37</v>
      </c>
      <c r="H68" s="21" t="s">
        <v>922</v>
      </c>
      <c r="I68" s="13">
        <v>43051.480023148149</v>
      </c>
      <c r="J68" s="7">
        <v>0</v>
      </c>
      <c r="K68" s="89" t="str">
        <f t="shared" si="0"/>
        <v>4001/4002</v>
      </c>
      <c r="L68" s="185" t="str">
        <f>VLOOKUP(A68,'Trips&amp;Operators'!$C$1:$G$99911,5,FALSE)</f>
        <v>GEBRETEKLE DAGNEW</v>
      </c>
      <c r="M68" s="6">
        <f t="shared" si="1"/>
        <v>1.3148148151230998E-2</v>
      </c>
      <c r="N68" s="7"/>
      <c r="O68" s="7"/>
      <c r="P68" s="7"/>
      <c r="Q68" s="22"/>
      <c r="R68" s="174"/>
      <c r="S68" s="221"/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11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-11-12T10:10:55-0700',mode:absolute,to:'2017-11-12T12:31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204" t="str">
        <f>IF(AA68&lt;VLOOKUP(AG68,Variables!$AC$3:$AD$8,2,FALSE),"Y","N")</f>
        <v>Y</v>
      </c>
      <c r="X68" s="204">
        <f t="shared" si="32"/>
        <v>0</v>
      </c>
      <c r="Y68" s="204">
        <f t="shared" si="35"/>
        <v>12.7864</v>
      </c>
      <c r="Z68" s="204">
        <f t="shared" si="36"/>
        <v>2.9430000000000001</v>
      </c>
      <c r="AA68" s="204">
        <f t="shared" si="9"/>
        <v>9.8434000000000008</v>
      </c>
      <c r="AB68" s="54" t="e">
        <f>VLOOKUP(A68,Enforcements!$C$7:$K$9,8,0)</f>
        <v>#N/A</v>
      </c>
      <c r="AC68" s="51" t="e">
        <f>VLOOKUP(A68,Enforcements!$C$7:$E$9,3,0)</f>
        <v>#N/A</v>
      </c>
      <c r="AD68" s="179">
        <f t="shared" si="10"/>
        <v>152</v>
      </c>
      <c r="AE68" s="77" t="str">
        <f t="shared" si="11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68" s="74" t="str">
        <f t="shared" si="12"/>
        <v>"C:\Program Files (x86)\AstroGrep\AstroGrep.exe" /e /r /s /spath="%USERPROFILE%\AppData\Local\Temp\OnboardLogs" /stypes="app*4001*20171112*"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152-12 --locoid 4001 --swversion DE.1.0.9.0 --startMP 204:127864 --initTime 2017-11-12T11:10:55 --startdatetime 2017-11-12T11:12:18 --delay 37 --endMP 204:29430 --enddatetime 2017-11-12T11:31:14 --enforcementcount 0 &gt;&gt;%USERPROFILE%\Documents\GitHub\eaglep3-reporting\EC\2017-11-12-refined-times.txt</v>
      </c>
      <c r="AI68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{"issue":{"subject":"","project_id":79,"tracker_id":40,"status_id":1,"priority_id":2,"assigned_to_id":338,"start_date":"2017-11-12","description":"","custom_fields":[{"id":1,"name":"Subdivision","value":"EC"},{"id":4,"name":"Milepost","value":"2.943"},{"id":17,"name":"Train ID","value":"152-12"},{"id":16,"name":"Locomotive ID","value":"4001"},{"id":130,"name":"Impact","value":""},{"id":150,"name":"Time of Event (Mountain Time)","value":"11:31:14"},{"id":151,"name":"Denver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4001 --day 2017-11-12</v>
      </c>
      <c r="AN68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18:31:14"},{"id":29,"name":"Sharepoint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1"/>
        <v>https://d0f6bd738d7f1b3e5a7ca70fe4ff75f0.us-east-1.aws.found.io/app/kibana#/discover/Steve-Slow-Train-Analysis-(2080s-and-2083s)?_g=(refreshInterval:(display:Off,pause:!f,section:0,value:0),time:(from:'2017-11-12T10:10:55-0700',mode:absolute,to:'2017-11-12T12:31:14-0700'))&amp;_a=(columns:!('Message%20ID',Summary),filters:!(),index:'emp_*',interval:auto,query:(query_string:(analyze_wildcard:!t,query:'%22rtdc.l.rtdc.4001%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750</v>
      </c>
      <c r="B69" s="7">
        <v>4064</v>
      </c>
      <c r="C69" s="21" t="s">
        <v>192</v>
      </c>
      <c r="D69" s="21" t="s">
        <v>589</v>
      </c>
      <c r="E69" s="13">
        <v>43051.423043981478</v>
      </c>
      <c r="F69" s="13">
        <v>43051.427256944444</v>
      </c>
      <c r="G69" s="7">
        <v>63</v>
      </c>
      <c r="H69" s="21" t="s">
        <v>923</v>
      </c>
      <c r="I69" s="13">
        <v>43051.45071759259</v>
      </c>
      <c r="J69" s="7">
        <v>0</v>
      </c>
      <c r="K69" s="89" t="str">
        <f t="shared" si="0"/>
        <v>4063/4064</v>
      </c>
      <c r="L69" s="185" t="str">
        <f>VLOOKUP(A69,'Trips&amp;Operators'!$C$1:$G$99911,5,FALSE)</f>
        <v>BIRENBAUM THOMAS</v>
      </c>
      <c r="M69" s="6">
        <f t="shared" si="1"/>
        <v>2.3460648146283347E-2</v>
      </c>
      <c r="N69" s="7">
        <f t="shared" ref="N69:N100" si="37">24*60*SUM($M69:$M69)</f>
        <v>33.78333333064802</v>
      </c>
      <c r="O69" s="7"/>
      <c r="P69" s="7"/>
      <c r="Q69" s="22"/>
      <c r="R69" s="174"/>
      <c r="S69" s="221">
        <f t="shared" ref="S69:S100" si="38">1/IF(AG69="EC",12,1)*SUM(U69:U69)</f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-11-12T09:09:11-0700',mode:absolute,to:'2017-11-12T11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9" s="204" t="str">
        <f>IF(AA69&lt;VLOOKUP(AG69,Variables!$AC$3:$AD$8,2,FALSE),"Y","N")</f>
        <v>N</v>
      </c>
      <c r="X69" s="204">
        <f t="shared" si="32"/>
        <v>1</v>
      </c>
      <c r="Y69" s="204">
        <f t="shared" si="35"/>
        <v>4.5999999999999999E-2</v>
      </c>
      <c r="Z69" s="204">
        <f t="shared" si="36"/>
        <v>23.3264</v>
      </c>
      <c r="AA69" s="204">
        <f t="shared" si="9"/>
        <v>23.2804</v>
      </c>
      <c r="AB69" s="54" t="e">
        <f>VLOOKUP(A69,Enforcements!$C$7:$K$9,8,0)</f>
        <v>#N/A</v>
      </c>
      <c r="AC69" s="51" t="e">
        <f>VLOOKUP(A69,Enforcements!$C$7:$E$9,3,0)</f>
        <v>#N/A</v>
      </c>
      <c r="AD69" s="179">
        <f t="shared" si="10"/>
        <v>153</v>
      </c>
      <c r="AE69" s="77" t="str">
        <f t="shared" si="11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69" s="74" t="str">
        <f t="shared" si="12"/>
        <v>"C:\Program Files (x86)\AstroGrep\AstroGrep.exe" /e /r /s /spath="%USERPROFILE%\AppData\Local\Temp\OnboardLogs" /stypes="app*4064*20171112*"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153-12 --locoid 4064 --swversion DE.1.0.9.0 --startMP 204:460 --initTime 2017-11-12T10:09:11 --startdatetime 2017-11-12T10:15:15 --delay 63 --endMP 204:233264 --enddatetime 2017-11-12T10:49:02 --enforcementcount 0 &gt;&gt;%USERPROFILE%\Documents\GitHub\eaglep3-reporting\EC\2017-11-12-refined-times.txt</v>
      </c>
      <c r="AI69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{"issue":{"subject":"","project_id":79,"tracker_id":40,"status_id":1,"priority_id":2,"assigned_to_id":338,"start_date":"2017-11-12","description":"","custom_fields":[{"id":1,"name":"Subdivision","value":"EC"},{"id":4,"name":"Milepost","value":"23.3264"},{"id":17,"name":"Train ID","value":"153-12"},{"id":16,"name":"Locomotive ID","value":"4064"},{"id":130,"name":"Impact","value":""},{"id":150,"name":"Time of Event (Mountain Time)","value":"10:49:02"},{"id":151,"name":"Denver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4064 --day 2017-11-12</v>
      </c>
      <c r="AN69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17:49:02"},{"id":29,"name":"Sharepoint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1"/>
        <v>https://d0f6bd738d7f1b3e5a7ca70fe4ff75f0.us-east-1.aws.found.io/app/kibana#/discover/Steve-Slow-Train-Analysis-(2080s-and-2083s)?_g=(refreshInterval:(display:Off,pause:!f,section:0,value:0),time:(from:'2017-11-12T09:09:11-0700',mode:absolute,to:'2017-11-12T11:49:02-0700'))&amp;_a=(columns:!('Message%20ID',Summary),filters:!(),index:'emp_*',interval:auto,query:(query_string:(analyze_wildcard:!t,query:'%22rtdc.l.rtdc.4064%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756</v>
      </c>
      <c r="B70" s="7">
        <v>4063</v>
      </c>
      <c r="C70" s="21" t="s">
        <v>192</v>
      </c>
      <c r="D70" s="21" t="s">
        <v>924</v>
      </c>
      <c r="E70" s="13">
        <v>43051.45208333333</v>
      </c>
      <c r="F70" s="13">
        <v>43051.466863425929</v>
      </c>
      <c r="G70" s="7">
        <v>62</v>
      </c>
      <c r="H70" s="21" t="s">
        <v>925</v>
      </c>
      <c r="I70" s="13">
        <v>43051.492349537039</v>
      </c>
      <c r="J70" s="7">
        <v>0</v>
      </c>
      <c r="K70" s="89" t="str">
        <f t="shared" si="0"/>
        <v>4063/4064</v>
      </c>
      <c r="L70" s="185" t="str">
        <f>VLOOKUP(A70,'Trips&amp;Operators'!$C$1:$G$99911,5,FALSE)</f>
        <v>BIRENBAUM THOMAS</v>
      </c>
      <c r="M70" s="6">
        <f t="shared" si="1"/>
        <v>2.548611110978527E-2</v>
      </c>
      <c r="N70" s="7">
        <f t="shared" si="37"/>
        <v>36.699999998090789</v>
      </c>
      <c r="O70" s="7"/>
      <c r="P70" s="7"/>
      <c r="Q70" s="22"/>
      <c r="R70" s="174"/>
      <c r="S70" s="221">
        <f t="shared" si="38"/>
        <v>1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-11-12T09:51:00-0700',mode:absolute,to:'2017-11-12T12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0" s="204" t="str">
        <f>IF(AA70&lt;VLOOKUP(AG70,Variables!$AC$3:$AD$8,2,FALSE),"Y","N")</f>
        <v>N</v>
      </c>
      <c r="X70" s="204">
        <f t="shared" si="32"/>
        <v>1</v>
      </c>
      <c r="Y70" s="204">
        <f t="shared" si="35"/>
        <v>23.293600000000001</v>
      </c>
      <c r="Z70" s="204">
        <f t="shared" si="36"/>
        <v>1.32E-2</v>
      </c>
      <c r="AA70" s="204">
        <f t="shared" si="9"/>
        <v>23.2804</v>
      </c>
      <c r="AB70" s="54" t="e">
        <f>VLOOKUP(A70,Enforcements!$C$7:$K$9,8,0)</f>
        <v>#N/A</v>
      </c>
      <c r="AC70" s="51" t="e">
        <f>VLOOKUP(A70,Enforcements!$C$7:$E$9,3,0)</f>
        <v>#N/A</v>
      </c>
      <c r="AD70" s="179">
        <f t="shared" si="10"/>
        <v>154</v>
      </c>
      <c r="AE70" s="77" t="str">
        <f t="shared" si="11"/>
        <v>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 &amp; aws s3 cp s3://rtdc.mdm.uploadarchive.raw/RTDC4063/ "%USERPROFILE%\AppData\Local\Temp\OnboardLogs"\RTDC4063\2017-11-13 --exclude "*" --recursive --include "*20171113*" &amp; "%USERPROFILE%\Documents\GitHub\mrs-test-scripts\Headless Mode &amp; Sideloading\WalkAndUnGZ.bat" "%USERPROFILE%\AppData\Local\Temp\OnboardLogs"\RTDC4063\2017-11-13</v>
      </c>
      <c r="AF70" s="74" t="str">
        <f t="shared" si="12"/>
        <v>"C:\Program Files (x86)\AstroGrep\AstroGrep.exe" /e /r /s /spath="%USERPROFILE%\AppData\Local\Temp\OnboardLogs" /stypes="app*4063*20171112*"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154-12 --locoid 4063 --swversion DE.1.0.9.0 --startMP 204:232936 --initTime 2017-11-12T10:51:00 --startdatetime 2017-11-12T11:12:17 --delay 62 --endMP 204:132 --enddatetime 2017-11-12T11:48:59 --enforcementcount 0 &gt;&gt;%USERPROFILE%\Documents\GitHub\eaglep3-reporting\EC\2017-11-12-refined-times.txt</v>
      </c>
      <c r="AI70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{"issue":{"subject":"","project_id":79,"tracker_id":40,"status_id":1,"priority_id":2,"assigned_to_id":338,"start_date":"2017-11-12","description":"","custom_fields":[{"id":1,"name":"Subdivision","value":"EC"},{"id":4,"name":"Milepost","value":"0.0132"},{"id":17,"name":"Train ID","value":"154-12"},{"id":16,"name":"Locomotive ID","value":"4063"},{"id":130,"name":"Impact","value":""},{"id":150,"name":"Time of Event (Mountain Time)","value":"11:48:59"},{"id":151,"name":"Denver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4063 --day 2017-11-12</v>
      </c>
      <c r="AN70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1"/>
        <v>https://d0f6bd738d7f1b3e5a7ca70fe4ff75f0.us-east-1.aws.found.io/app/kibana#/discover/Steve-Slow-Train-Analysis-(2080s-and-2083s)?_g=(refreshInterval:(display:Off,pause:!f,section:0,value:0),time:(from:'2017-11-12T09:51:00-0700',mode:absolute,to:'2017-11-12T12:48:59-0700'))&amp;_a=(columns:!('Message%20ID',Summary),filters:!(),index:'emp_*',interval:auto,query:(query_string:(analyze_wildcard:!t,query:'%22rtdc.l.rtdc.4063%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754</v>
      </c>
      <c r="B71" s="7">
        <v>4052</v>
      </c>
      <c r="C71" s="21" t="s">
        <v>192</v>
      </c>
      <c r="D71" s="21" t="s">
        <v>926</v>
      </c>
      <c r="E71" s="13">
        <v>43051.432627314818</v>
      </c>
      <c r="F71" s="13">
        <v>43051.437743055554</v>
      </c>
      <c r="G71" s="7">
        <v>85</v>
      </c>
      <c r="H71" s="21" t="s">
        <v>927</v>
      </c>
      <c r="I71" s="13">
        <v>43051.463171296295</v>
      </c>
      <c r="J71" s="7">
        <v>0</v>
      </c>
      <c r="K71" s="89" t="str">
        <f t="shared" si="0"/>
        <v>4051/4052</v>
      </c>
      <c r="L71" s="185" t="str">
        <f>VLOOKUP(A71,'Trips&amp;Operators'!$C$1:$G$99911,5,FALSE)</f>
        <v>WILLIAMS DONTE</v>
      </c>
      <c r="M71" s="6">
        <f t="shared" si="1"/>
        <v>2.5428240740438923E-2</v>
      </c>
      <c r="N71" s="7">
        <f t="shared" si="37"/>
        <v>36.616666666232049</v>
      </c>
      <c r="O71" s="7"/>
      <c r="P71" s="7"/>
      <c r="Q71" s="22"/>
      <c r="R71" s="174"/>
      <c r="S71" s="221">
        <f t="shared" si="38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-11-12T09:22:59-0700',mode:absolute,to:'2017-11-12T12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1" s="204" t="str">
        <f>IF(AA71&lt;VLOOKUP(AG71,Variables!$AC$3:$AD$8,2,FALSE),"Y","N")</f>
        <v>N</v>
      </c>
      <c r="X71" s="204">
        <f t="shared" si="32"/>
        <v>1</v>
      </c>
      <c r="Y71" s="204">
        <f t="shared" si="35"/>
        <v>4.8599999999999997E-2</v>
      </c>
      <c r="Z71" s="204">
        <f t="shared" si="36"/>
        <v>23.3249</v>
      </c>
      <c r="AA71" s="204">
        <f t="shared" si="9"/>
        <v>23.276299999999999</v>
      </c>
      <c r="AB71" s="54" t="e">
        <f>VLOOKUP(A71,Enforcements!$C$7:$K$9,8,0)</f>
        <v>#N/A</v>
      </c>
      <c r="AC71" s="51" t="e">
        <f>VLOOKUP(A71,Enforcements!$C$7:$E$9,3,0)</f>
        <v>#N/A</v>
      </c>
      <c r="AD71" s="179">
        <f t="shared" si="10"/>
        <v>155</v>
      </c>
      <c r="AE71" s="77" t="str">
        <f t="shared" si="11"/>
        <v>aws s3 cp s3://rtdc.mdm.uploadarchive.raw/RTDC4052/ "%USERPROFILE%\AppData\Local\Temp\OnboardLogs"\RTDC4052\2017-11-12 --exclude "*" --recursive --include "*20171112*" &amp; "%USERPROFILE%\Documents\GitHub\mrs-test-scripts\Headless Mode &amp; Sideloading\WalkAndUnGZ.bat" "%USERPROFILE%\AppData\Local\Temp\OnboardLogs"\RTDC4052\2017-11-12 &amp; aws s3 cp s3://rtdc.mdm.uploadarchive.raw/RTDC4052/ "%USERPROFILE%\AppData\Local\Temp\OnboardLogs"\RTDC4052\2017-11-13 --exclude "*" --recursive --include "*20171113*" &amp; "%USERPROFILE%\Documents\GitHub\mrs-test-scripts\Headless Mode &amp; Sideloading\WalkAndUnGZ.bat" "%USERPROFILE%\AppData\Local\Temp\OnboardLogs"\RTDC4052\2017-11-13</v>
      </c>
      <c r="AF71" s="74" t="str">
        <f t="shared" si="12"/>
        <v>"C:\Program Files (x86)\AstroGrep\AstroGrep.exe" /e /r /s /spath="%USERPROFILE%\AppData\Local\Temp\OnboardLogs" /stypes="app*4052*20171112*"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155-12 --locoid 4052 --swversion DE.1.0.9.0 --startMP 204:486 --initTime 2017-11-12T10:22:59 --startdatetime 2017-11-12T10:30:21 --delay 85 --endMP 204:233249 --enddatetime 2017-11-12T11:06:58 --enforcementcount 0 &gt;&gt;%USERPROFILE%\Documents\GitHub\eaglep3-reporting\EC\2017-11-12-refined-times.txt</v>
      </c>
      <c r="AI71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{"issue":{"subject":"","project_id":79,"tracker_id":40,"status_id":1,"priority_id":2,"assigned_to_id":338,"start_date":"2017-11-12","description":"","custom_fields":[{"id":1,"name":"Subdivision","value":"EC"},{"id":4,"name":"Milepost","value":"23.3249"},{"id":17,"name":"Train ID","value":"155-12"},{"id":16,"name":"Locomotive ID","value":"4052"},{"id":130,"name":"Impact","value":""},{"id":150,"name":"Time of Event (Mountain Time)","value":"11:06:58"},{"id":151,"name":"Denver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4052 --day 2017-11-12</v>
      </c>
      <c r="AN71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1"/>
        <v>https://d0f6bd738d7f1b3e5a7ca70fe4ff75f0.us-east-1.aws.found.io/app/kibana#/discover/Steve-Slow-Train-Analysis-(2080s-and-2083s)?_g=(refreshInterval:(display:Off,pause:!f,section:0,value:0),time:(from:'2017-11-12T09:22:59-0700',mode:absolute,to:'2017-11-12T12:06:58-0700'))&amp;_a=(columns:!('Message%20ID',Summary),filters:!(),index:'emp_*',interval:auto,query:(query_string:(analyze_wildcard:!t,query:'%22rtdc.l.rtdc.4052%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759</v>
      </c>
      <c r="B72" s="7">
        <v>4051</v>
      </c>
      <c r="C72" s="21" t="s">
        <v>192</v>
      </c>
      <c r="D72" s="21" t="s">
        <v>928</v>
      </c>
      <c r="E72" s="13">
        <v>43051.472719907404</v>
      </c>
      <c r="F72" s="13">
        <v>43051.477349537039</v>
      </c>
      <c r="G72" s="7">
        <v>69</v>
      </c>
      <c r="H72" s="21" t="s">
        <v>603</v>
      </c>
      <c r="I72" s="13">
        <v>43051.50372685185</v>
      </c>
      <c r="J72" s="7">
        <v>0</v>
      </c>
      <c r="K72" s="89" t="str">
        <f t="shared" si="0"/>
        <v>4051/4052</v>
      </c>
      <c r="L72" s="185" t="str">
        <f>VLOOKUP(A72,'Trips&amp;Operators'!$C$1:$G$99911,5,FALSE)</f>
        <v>WILLIAMS DONTE</v>
      </c>
      <c r="M72" s="6">
        <f t="shared" si="1"/>
        <v>2.6377314810815733E-2</v>
      </c>
      <c r="N72" s="7">
        <f t="shared" si="37"/>
        <v>37.983333327574655</v>
      </c>
      <c r="O72" s="7"/>
      <c r="P72" s="7"/>
      <c r="Q72" s="22"/>
      <c r="R72" s="174"/>
      <c r="S72" s="221">
        <f t="shared" si="38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-11-12T10:20:43-0700',mode:absolute,to:'2017-11-12T13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2" s="204" t="str">
        <f>IF(AA72&lt;VLOOKUP(AG72,Variables!$AC$3:$AD$8,2,FALSE),"Y","N")</f>
        <v>N</v>
      </c>
      <c r="X72" s="204">
        <f t="shared" si="32"/>
        <v>1</v>
      </c>
      <c r="Y72" s="204">
        <f t="shared" si="35"/>
        <v>23.2926</v>
      </c>
      <c r="Z72" s="204">
        <f t="shared" si="36"/>
        <v>1.7399999999999999E-2</v>
      </c>
      <c r="AA72" s="204">
        <f t="shared" si="9"/>
        <v>23.275200000000002</v>
      </c>
      <c r="AB72" s="54" t="e">
        <f>VLOOKUP(A72,Enforcements!$C$7:$K$9,8,0)</f>
        <v>#N/A</v>
      </c>
      <c r="AC72" s="51" t="e">
        <f>VLOOKUP(A72,Enforcements!$C$7:$E$9,3,0)</f>
        <v>#N/A</v>
      </c>
      <c r="AD72" s="179">
        <f t="shared" si="10"/>
        <v>156</v>
      </c>
      <c r="AE72" s="77" t="str">
        <f t="shared" si="11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72" s="74" t="str">
        <f t="shared" si="12"/>
        <v>"C:\Program Files (x86)\AstroGrep\AstroGrep.exe" /e /r /s /spath="%USERPROFILE%\AppData\Local\Temp\OnboardLogs" /stypes="app*4051*20171112*" /stext=" 19:.+((SYSTEM_STATE.+slice.+state.+changed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156-12 --locoid 4051 --swversion DE.1.0.9.0 --startMP 204:232926 --initTime 2017-11-12T11:20:43 --startdatetime 2017-11-12T11:27:23 --delay 69 --endMP 204:174 --enddatetime 2017-11-12T12:05:22 --enforcementcount 0 &gt;&gt;%USERPROFILE%\Documents\GitHub\eaglep3-reporting\EC\2017-11-12-refined-times.txt</v>
      </c>
      <c r="AI72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{"issue":{"subject":"","project_id":79,"tracker_id":40,"status_id":1,"priority_id":2,"assigned_to_id":338,"start_date":"2017-11-12","description":"","custom_fields":[{"id":1,"name":"Subdivision","value":"EC"},{"id":4,"name":"Milepost","value":"0.0174"},{"id":17,"name":"Train ID","value":"156-12"},{"id":16,"name":"Locomotive ID","value":"4051"},{"id":130,"name":"Impact","value":""},{"id":150,"name":"Time of Event (Mountain Time)","value":"12:05:22"},{"id":151,"name":"Denver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4051 --day 2017-11-12</v>
      </c>
      <c r="AN72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1"/>
        <v>https://d0f6bd738d7f1b3e5a7ca70fe4ff75f0.us-east-1.aws.found.io/app/kibana#/discover/Steve-Slow-Train-Analysis-(2080s-and-2083s)?_g=(refreshInterval:(display:Off,pause:!f,section:0,value:0),time:(from:'2017-11-12T10:20:43-0700',mode:absolute,to:'2017-11-12T13:05:22-0700'))&amp;_a=(columns:!('Message%20ID',Summary),filters:!(),index:'emp_*',interval:auto,query:(query_string:(analyze_wildcard:!t,query:'%22rtdc.l.rtdc.4051%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651</v>
      </c>
      <c r="B73" s="7">
        <v>4042</v>
      </c>
      <c r="C73" s="21" t="s">
        <v>192</v>
      </c>
      <c r="D73" s="21" t="s">
        <v>929</v>
      </c>
      <c r="E73" s="13">
        <v>43051.443298611113</v>
      </c>
      <c r="F73" s="13">
        <v>43051.448182870372</v>
      </c>
      <c r="G73" s="7">
        <v>70</v>
      </c>
      <c r="H73" s="21" t="s">
        <v>930</v>
      </c>
      <c r="I73" s="13">
        <v>43051.4762962963</v>
      </c>
      <c r="J73" s="7">
        <v>0</v>
      </c>
      <c r="K73" s="89" t="str">
        <f t="shared" si="0"/>
        <v>4041/4042</v>
      </c>
      <c r="L73" s="185" t="str">
        <f>VLOOKUP(A73,'Trips&amp;Operators'!$C$1:$G$99911,5,FALSE)</f>
        <v>STEWART MICHAEL</v>
      </c>
      <c r="M73" s="6">
        <f t="shared" si="1"/>
        <v>2.8113425927585922E-2</v>
      </c>
      <c r="N73" s="7">
        <f t="shared" si="37"/>
        <v>40.483333335723728</v>
      </c>
      <c r="O73" s="7"/>
      <c r="P73" s="7"/>
      <c r="Q73" s="22"/>
      <c r="R73" s="174"/>
      <c r="S73" s="221">
        <f t="shared" si="38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-11-12T09:38:21-0700',mode:absolute,to:'2017-11-12T12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3" s="204" t="str">
        <f>IF(AA73&lt;VLOOKUP(AG73,Variables!$AC$3:$AD$8,2,FALSE),"Y","N")</f>
        <v>N</v>
      </c>
      <c r="X73" s="204">
        <f t="shared" si="32"/>
        <v>1</v>
      </c>
      <c r="Y73" s="204">
        <f t="shared" si="35"/>
        <v>5.0200000000000002E-2</v>
      </c>
      <c r="Z73" s="204">
        <f t="shared" si="36"/>
        <v>23.316299999999998</v>
      </c>
      <c r="AA73" s="204">
        <f t="shared" si="9"/>
        <v>23.266099999999998</v>
      </c>
      <c r="AB73" s="54" t="e">
        <f>VLOOKUP(A73,Enforcements!$C$7:$K$9,8,0)</f>
        <v>#N/A</v>
      </c>
      <c r="AC73" s="51" t="e">
        <f>VLOOKUP(A73,Enforcements!$C$7:$E$9,3,0)</f>
        <v>#N/A</v>
      </c>
      <c r="AD73" s="179">
        <f t="shared" si="10"/>
        <v>157</v>
      </c>
      <c r="AE73" s="77" t="str">
        <f t="shared" si="11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73" s="74" t="str">
        <f t="shared" si="12"/>
        <v>"C:\Program Files (x86)\AstroGrep\AstroGrep.exe" /e /r /s /spath="%USERPROFILE%\AppData\Local\Temp\OnboardLogs" /stypes="app*4042*20171112*"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157-12 --locoid 4042 --swversion DE.1.0.9.0 --startMP 204:502 --initTime 2017-11-12T10:38:21 --startdatetime 2017-11-12T10:45:23 --delay 70 --endMP 204:233163 --enddatetime 2017-11-12T11:25:52 --enforcementcount 0 &gt;&gt;%USERPROFILE%\Documents\GitHub\eaglep3-reporting\EC\2017-11-12-refined-times.txt</v>
      </c>
      <c r="AI73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{"issue":{"subject":"","project_id":79,"tracker_id":40,"status_id":1,"priority_id":2,"assigned_to_id":338,"start_date":"2017-11-12","description":"","custom_fields":[{"id":1,"name":"Subdivision","value":"EC"},{"id":4,"name":"Milepost","value":"23.3163"},{"id":17,"name":"Train ID","value":"157-12"},{"id":16,"name":"Locomotive ID","value":"4042"},{"id":130,"name":"Impact","value":""},{"id":150,"name":"Time of Event (Mountain Time)","value":"11:25:52"},{"id":151,"name":"Denver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4042 --day 2017-11-12</v>
      </c>
      <c r="AN73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1"/>
        <v>https://d0f6bd738d7f1b3e5a7ca70fe4ff75f0.us-east-1.aws.found.io/app/kibana#/discover/Steve-Slow-Train-Analysis-(2080s-and-2083s)?_g=(refreshInterval:(display:Off,pause:!f,section:0,value:0),time:(from:'2017-11-12T09:38:21-0700',mode:absolute,to:'2017-11-12T12:25:52-0700'))&amp;_a=(columns:!('Message%20ID',Summary),filters:!(),index:'emp_*',interval:auto,query:(query_string:(analyze_wildcard:!t,query:'%22rtdc.l.rtdc.4042%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762</v>
      </c>
      <c r="B74" s="7">
        <v>4041</v>
      </c>
      <c r="C74" s="21" t="s">
        <v>192</v>
      </c>
      <c r="D74" s="21" t="s">
        <v>612</v>
      </c>
      <c r="E74" s="13">
        <v>43051.485497685186</v>
      </c>
      <c r="F74" s="13">
        <v>43051.487743055557</v>
      </c>
      <c r="G74" s="7">
        <v>70</v>
      </c>
      <c r="H74" s="21" t="s">
        <v>619</v>
      </c>
      <c r="I74" s="13">
        <v>43051.514780092592</v>
      </c>
      <c r="J74" s="7">
        <v>0</v>
      </c>
      <c r="K74" s="89" t="str">
        <f t="shared" si="0"/>
        <v>4041/4042</v>
      </c>
      <c r="L74" s="185" t="str">
        <f>VLOOKUP(A74,'Trips&amp;Operators'!$C$1:$G$99911,5,FALSE)</f>
        <v>STEWART MICHAEL</v>
      </c>
      <c r="M74" s="6">
        <f t="shared" si="1"/>
        <v>2.7037037034460809E-2</v>
      </c>
      <c r="N74" s="7">
        <f t="shared" si="37"/>
        <v>38.933333329623565</v>
      </c>
      <c r="O74" s="7"/>
      <c r="P74" s="7"/>
      <c r="Q74" s="22"/>
      <c r="R74" s="174"/>
      <c r="S74" s="221">
        <f t="shared" si="38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-11-12T10:39:07-0700',mode:absolute,to:'2017-11-12T13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4" s="204" t="str">
        <f>IF(AA74&lt;VLOOKUP(AG74,Variables!$AC$3:$AD$8,2,FALSE),"Y","N")</f>
        <v>N</v>
      </c>
      <c r="X74" s="204">
        <f t="shared" si="32"/>
        <v>1</v>
      </c>
      <c r="Y74" s="204">
        <f t="shared" si="35"/>
        <v>23.290900000000001</v>
      </c>
      <c r="Z74" s="204">
        <f t="shared" si="36"/>
        <v>2.3099999999999999E-2</v>
      </c>
      <c r="AA74" s="204">
        <f t="shared" si="9"/>
        <v>23.267800000000001</v>
      </c>
      <c r="AB74" s="54" t="e">
        <f>VLOOKUP(A74,Enforcements!$C$7:$K$9,8,0)</f>
        <v>#N/A</v>
      </c>
      <c r="AC74" s="51" t="e">
        <f>VLOOKUP(A74,Enforcements!$C$7:$E$9,3,0)</f>
        <v>#N/A</v>
      </c>
      <c r="AD74" s="179">
        <f t="shared" si="10"/>
        <v>158</v>
      </c>
      <c r="AE74" s="77" t="str">
        <f t="shared" si="11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74" s="74" t="str">
        <f t="shared" si="12"/>
        <v>"C:\Program Files (x86)\AstroGrep\AstroGrep.exe" /e /r /s /spath="%USERPROFILE%\AppData\Local\Temp\OnboardLogs" /stypes="app*4041*20171112*" /stext=" 19:.+((SYSTEM_STATE.+slice.+state.+changed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158-12 --locoid 4041 --swversion DE.1.0.9.0 --startMP 204:232909 --initTime 2017-11-12T11:39:07 --startdatetime 2017-11-12T11:42:21 --delay 70 --endMP 204:231 --enddatetime 2017-11-12T12:21:17 --enforcementcount 0 &gt;&gt;%USERPROFILE%\Documents\GitHub\eaglep3-reporting\EC\2017-11-12-refined-times.txt</v>
      </c>
      <c r="AI74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{"issue":{"subject":"","project_id":79,"tracker_id":40,"status_id":1,"priority_id":2,"assigned_to_id":338,"start_date":"2017-11-12","description":"","custom_fields":[{"id":1,"name":"Subdivision","value":"EC"},{"id":4,"name":"Milepost","value":"0.0231"},{"id":17,"name":"Train ID","value":"158-12"},{"id":16,"name":"Locomotive ID","value":"4041"},{"id":130,"name":"Impact","value":""},{"id":150,"name":"Time of Event (Mountain Time)","value":"12:21:17"},{"id":151,"name":"Denver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4041 --day 2017-11-12</v>
      </c>
      <c r="AN74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1"/>
        <v>https://d0f6bd738d7f1b3e5a7ca70fe4ff75f0.us-east-1.aws.found.io/app/kibana#/discover/Steve-Slow-Train-Analysis-(2080s-and-2083s)?_g=(refreshInterval:(display:Off,pause:!f,section:0,value:0),time:(from:'2017-11-12T10:39:07-0700',mode:absolute,to:'2017-11-12T13:21:17-0700'))&amp;_a=(columns:!('Message%20ID',Summary),filters:!(),index:'emp_*',interval:auto,query:(query_string:(analyze_wildcard:!t,query:'%22rtdc.l.rtdc.4041%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755</v>
      </c>
      <c r="B75" s="7">
        <v>4004</v>
      </c>
      <c r="C75" s="21" t="s">
        <v>192</v>
      </c>
      <c r="D75" s="21" t="s">
        <v>452</v>
      </c>
      <c r="E75" s="13">
        <v>43051.451990740738</v>
      </c>
      <c r="F75" s="13">
        <v>43051.458506944444</v>
      </c>
      <c r="G75" s="7">
        <v>50</v>
      </c>
      <c r="H75" s="21" t="s">
        <v>498</v>
      </c>
      <c r="I75" s="13">
        <v>43051.483171296299</v>
      </c>
      <c r="J75" s="7">
        <v>0</v>
      </c>
      <c r="K75" s="89" t="str">
        <f t="shared" si="0"/>
        <v>4003/4004</v>
      </c>
      <c r="L75" s="185" t="str">
        <f>VLOOKUP(A75,'Trips&amp;Operators'!$C$1:$G$99911,5,FALSE)</f>
        <v>LOPES KIMBERLY</v>
      </c>
      <c r="M75" s="6">
        <f t="shared" si="1"/>
        <v>2.4664351854880806E-2</v>
      </c>
      <c r="N75" s="7">
        <f t="shared" si="37"/>
        <v>35.516666671028361</v>
      </c>
      <c r="O75" s="7"/>
      <c r="P75" s="7"/>
      <c r="Q75" s="22"/>
      <c r="R75" s="174"/>
      <c r="S75" s="221">
        <f t="shared" si="38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-11-12T09:50:52-0700',mode:absolute,to:'2017-11-12T12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5" s="204" t="str">
        <f>IF(AA75&lt;VLOOKUP(AG75,Variables!$AC$3:$AD$8,2,FALSE),"Y","N")</f>
        <v>N</v>
      </c>
      <c r="X75" s="204">
        <f t="shared" si="32"/>
        <v>1</v>
      </c>
      <c r="Y75" s="204">
        <f t="shared" si="35"/>
        <v>5.1700000000000003E-2</v>
      </c>
      <c r="Z75" s="204">
        <f t="shared" si="36"/>
        <v>23.319800000000001</v>
      </c>
      <c r="AA75" s="204">
        <f t="shared" si="9"/>
        <v>23.2681</v>
      </c>
      <c r="AB75" s="54" t="e">
        <f>VLOOKUP(A75,Enforcements!$C$7:$K$9,8,0)</f>
        <v>#N/A</v>
      </c>
      <c r="AC75" s="51" t="e">
        <f>VLOOKUP(A75,Enforcements!$C$7:$E$9,3,0)</f>
        <v>#N/A</v>
      </c>
      <c r="AD75" s="179">
        <f t="shared" si="10"/>
        <v>159</v>
      </c>
      <c r="AE75" s="77" t="str">
        <f t="shared" si="11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75" s="74" t="str">
        <f t="shared" si="12"/>
        <v>"C:\Program Files (x86)\AstroGrep\AstroGrep.exe" /e /r /s /spath="%USERPROFILE%\AppData\Local\Temp\OnboardLogs" /stypes="app*4004*20171112*"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159-12 --locoid 4004 --swversion DE.1.0.9.0 --startMP 204:517 --initTime 2017-11-12T10:50:52 --startdatetime 2017-11-12T11:00:15 --delay 50 --endMP 204:233198 --enddatetime 2017-11-12T11:35:46 --enforcementcount 0 &gt;&gt;%USERPROFILE%\Documents\GitHub\eaglep3-reporting\EC\2017-11-12-refined-times.txt</v>
      </c>
      <c r="AI75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{"issue":{"subject":"","project_id":79,"tracker_id":40,"status_id":1,"priority_id":2,"assigned_to_id":338,"start_date":"2017-11-12","description":"","custom_fields":[{"id":1,"name":"Subdivision","value":"EC"},{"id":4,"name":"Milepost","value":"23.3198"},{"id":17,"name":"Train ID","value":"159-12"},{"id":16,"name":"Locomotive ID","value":"4004"},{"id":130,"name":"Impact","value":""},{"id":150,"name":"Time of Event (Mountain Time)","value":"11:35:46"},{"id":151,"name":"Denver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4004 --day 2017-11-12</v>
      </c>
      <c r="AN75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1"/>
        <v>https://d0f6bd738d7f1b3e5a7ca70fe4ff75f0.us-east-1.aws.found.io/app/kibana#/discover/Steve-Slow-Train-Analysis-(2080s-and-2083s)?_g=(refreshInterval:(display:Off,pause:!f,section:0,value:0),time:(from:'2017-11-12T09:50:52-0700',mode:absolute,to:'2017-11-12T12:35:46-0700'))&amp;_a=(columns:!('Message%20ID',Summary),filters:!(),index:'emp_*',interval:auto,query:(query_string:(analyze_wildcard:!t,query:'%22rtdc.l.rtdc.4004%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766</v>
      </c>
      <c r="B76" s="7">
        <v>4003</v>
      </c>
      <c r="C76" s="21" t="s">
        <v>192</v>
      </c>
      <c r="D76" s="21" t="s">
        <v>499</v>
      </c>
      <c r="E76" s="13">
        <v>43051.492256944446</v>
      </c>
      <c r="F76" s="13">
        <v>43051.498090277775</v>
      </c>
      <c r="G76" s="7">
        <v>83</v>
      </c>
      <c r="H76" s="21" t="s">
        <v>455</v>
      </c>
      <c r="I76" s="13">
        <v>43051.523634259262</v>
      </c>
      <c r="J76" s="7">
        <v>0</v>
      </c>
      <c r="K76" s="89" t="str">
        <f t="shared" si="0"/>
        <v>4003/4004</v>
      </c>
      <c r="L76" s="185" t="str">
        <f>VLOOKUP(A76,'Trips&amp;Operators'!$C$1:$G$99911,5,FALSE)</f>
        <v>LOPES KIMBERLY</v>
      </c>
      <c r="M76" s="6">
        <f t="shared" si="1"/>
        <v>2.5543981486407574E-2</v>
      </c>
      <c r="N76" s="7">
        <f t="shared" si="37"/>
        <v>36.783333340426907</v>
      </c>
      <c r="O76" s="7"/>
      <c r="P76" s="7"/>
      <c r="Q76" s="22"/>
      <c r="R76" s="174"/>
      <c r="S76" s="221">
        <f t="shared" si="38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-11-12T10:48:51-0700',mode:absolute,to:'2017-11-12T13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6" s="204" t="str">
        <f>IF(AA76&lt;VLOOKUP(AG76,Variables!$AC$3:$AD$8,2,FALSE),"Y","N")</f>
        <v>N</v>
      </c>
      <c r="X76" s="204">
        <f t="shared" si="32"/>
        <v>1</v>
      </c>
      <c r="Y76" s="204">
        <f t="shared" si="35"/>
        <v>23.2881</v>
      </c>
      <c r="Z76" s="204">
        <f t="shared" si="36"/>
        <v>2.07E-2</v>
      </c>
      <c r="AA76" s="204">
        <f t="shared" si="9"/>
        <v>23.267399999999999</v>
      </c>
      <c r="AB76" s="54" t="e">
        <f>VLOOKUP(A76,Enforcements!$C$7:$K$9,8,0)</f>
        <v>#N/A</v>
      </c>
      <c r="AC76" s="51" t="e">
        <f>VLOOKUP(A76,Enforcements!$C$7:$E$9,3,0)</f>
        <v>#N/A</v>
      </c>
      <c r="AD76" s="179">
        <f t="shared" si="10"/>
        <v>160</v>
      </c>
      <c r="AE76" s="77" t="str">
        <f t="shared" si="11"/>
        <v>aws s3 cp s3://rtdc.mdm.uploadarchive.raw/RTDC4003/ "%USERPROFILE%\AppData\Local\Temp\OnboardLogs"\RTDC4003\2017-11-12 --exclude "*" --recursive --include "*20171112*" &amp; "%USERPROFILE%\Documents\GitHub\mrs-test-scripts\Headless Mode &amp; Sideloading\WalkAndUnGZ.bat" "%USERPROFILE%\AppData\Local\Temp\OnboardLogs"\RTDC4003\2017-11-12 &amp; aws s3 cp s3://rtdc.mdm.uploadarchive.raw/RTDC4003/ "%USERPROFILE%\AppData\Local\Temp\OnboardLogs"\RTDC4003\2017-11-13 --exclude "*" --recursive --include "*20171113*" &amp; "%USERPROFILE%\Documents\GitHub\mrs-test-scripts\Headless Mode &amp; Sideloading\WalkAndUnGZ.bat" "%USERPROFILE%\AppData\Local\Temp\OnboardLogs"\RTDC4003\2017-11-13</v>
      </c>
      <c r="AF76" s="74" t="str">
        <f t="shared" si="12"/>
        <v>"C:\Program Files (x86)\AstroGrep\AstroGrep.exe" /e /r /s /spath="%USERPROFILE%\AppData\Local\Temp\OnboardLogs" /stypes="app*4003*20171112*"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160-12 --locoid 4003 --swversion DE.1.0.9.0 --startMP 204:232881 --initTime 2017-11-12T11:48:51 --startdatetime 2017-11-12T11:57:15 --delay 83 --endMP 204:207 --enddatetime 2017-11-12T12:34:02 --enforcementcount 0 &gt;&gt;%USERPROFILE%\Documents\GitHub\eaglep3-reporting\EC\2017-11-12-refined-times.txt</v>
      </c>
      <c r="AI76" s="96" t="str">
        <f t="shared" si="15"/>
        <v>echo {"issue":{"subject":"","project_id":79,"tracker_id":40,"status_id":1,"priority_id":2,"assigned_to_id":338,"start_date":"2017-11-12","description":"","custom_fields":[{"id":1,"name":"Subdivision","value":"EC"},{"id":4,"name":"Milepost","value":"0.0207"},{"id":17,"name":"Train ID","value":"160-12"},{"id":16,"name":"Locomotive ID","value":"4003"},{"id":130,"name":"Impact","value":""},{"id":150,"name":"Time of Event (Mountain Time)","value":"12:34:02"},{"id":151,"name":"Denver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4003 --day 2017-11-12</v>
      </c>
      <c r="AN76" s="151" t="str">
        <f t="shared" si="17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1"/>
        <v>https://d0f6bd738d7f1b3e5a7ca70fe4ff75f0.us-east-1.aws.found.io/app/kibana#/discover/Steve-Slow-Train-Analysis-(2080s-and-2083s)?_g=(refreshInterval:(display:Off,pause:!f,section:0,value:0),time:(from:'2017-11-12T10:48:51-0700',mode:absolute,to:'2017-11-12T13:34:02-0700'))&amp;_a=(columns:!('Message%20ID',Summary),filters:!(),index:'emp_*',interval:auto,query:(query_string:(analyze_wildcard:!t,query:'%22rtdc.l.rtdc.4003%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758</v>
      </c>
      <c r="B77" s="7">
        <v>4016</v>
      </c>
      <c r="C77" s="21" t="s">
        <v>192</v>
      </c>
      <c r="D77" s="21" t="s">
        <v>931</v>
      </c>
      <c r="E77" s="13">
        <v>43051.463831018518</v>
      </c>
      <c r="F77" s="13">
        <v>43051.46912037037</v>
      </c>
      <c r="G77" s="7">
        <v>132</v>
      </c>
      <c r="H77" s="21" t="s">
        <v>932</v>
      </c>
      <c r="I77" s="13">
        <v>43051.494421296295</v>
      </c>
      <c r="J77" s="7">
        <v>0</v>
      </c>
      <c r="K77" s="89" t="str">
        <f t="shared" ref="K77:K140" si="39">IF(ISEVEN(B77),(B77-1)&amp;"/"&amp;B77,B77&amp;"/"&amp;(B77+1))</f>
        <v>4015/4016</v>
      </c>
      <c r="L77" s="185" t="str">
        <f>VLOOKUP(A77,'Trips&amp;Operators'!$C$1:$G$99911,5,FALSE)</f>
        <v>DAVIS MICHAEL</v>
      </c>
      <c r="M77" s="6">
        <f t="shared" ref="M77:M140" si="40">I77-F77</f>
        <v>2.5300925924966577E-2</v>
      </c>
      <c r="N77" s="7">
        <f t="shared" si="37"/>
        <v>36.433333331951872</v>
      </c>
      <c r="O77" s="7"/>
      <c r="P77" s="7"/>
      <c r="Q77" s="22"/>
      <c r="R77" s="174"/>
      <c r="S77" s="221">
        <f t="shared" si="38"/>
        <v>1</v>
      </c>
      <c r="T77" s="174" t="str">
        <f t="shared" ref="T77:T140" si="41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-12T10:07:55-0700',mode:absolute,to:'2017-11-12T12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204" t="str">
        <f>IF(AA77&lt;VLOOKUP(AG77,Variables!$AC$3:$AD$8,2,FALSE),"Y","N")</f>
        <v>N</v>
      </c>
      <c r="X77" s="204">
        <f t="shared" si="32"/>
        <v>1</v>
      </c>
      <c r="Y77" s="204">
        <f t="shared" si="35"/>
        <v>5.2200000000000003E-2</v>
      </c>
      <c r="Z77" s="204">
        <f t="shared" si="36"/>
        <v>23.322600000000001</v>
      </c>
      <c r="AA77" s="204">
        <f t="shared" ref="AA77:AA140" si="43">ABS(Z77-Y77)</f>
        <v>23.270400000000002</v>
      </c>
      <c r="AB77" s="54" t="e">
        <f>VLOOKUP(A77,Enforcements!$C$7:$K$9,8,0)</f>
        <v>#N/A</v>
      </c>
      <c r="AC77" s="51" t="e">
        <f>VLOOKUP(A77,Enforcements!$C$7:$E$9,3,0)</f>
        <v>#N/A</v>
      </c>
      <c r="AD77" s="179">
        <f t="shared" ref="AD77:AD140" si="44">VALUE(LEFT(A77,LEN(A77)-3))</f>
        <v>161</v>
      </c>
      <c r="AE77" s="77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77" s="74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/stypes="app*4016*20171112*"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47">DetSubdiv(A77)</f>
        <v>EC</v>
      </c>
      <c r="AH77" s="78" t="str">
        <f t="shared" si="19"/>
        <v>"%USERPROFILE%\Documents\GitHub\eaglep3\Utilities\RefineRTDCRunTimes.py" --tripid 161-12 --locoid 4016 --swversion DE.1.0.9.0 --startMP 204:522 --initTime 2017-11-12T11:07:55 --startdatetime 2017-11-12T11:15:32 --delay 132 --endMP 204:233226 --enddatetime 2017-11-12T11:51:58 --enforcementcount 0 &gt;&gt;%USERPROFILE%\Documents\GitHub\eaglep3-reporting\EC\2017-11-12-refined-times.txt</v>
      </c>
      <c r="AI77" s="96" t="str">
        <f t="shared" ref="AI77:AI140" si="4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{"issue":{"subject":"","project_id":79,"tracker_id":40,"status_id":1,"priority_id":2,"assigned_to_id":338,"start_date":"2017-11-12","description":"","custom_fields":[{"id":1,"name":"Subdivision","value":"EC"},{"id":4,"name":"Milepost","value":"23.3226"},{"id":17,"name":"Train ID","value":"161-12"},{"id":16,"name":"Locomotive ID","value":"4016"},{"id":130,"name":"Impact","value":""},{"id":150,"name":"Time of Event (Mountain Time)","value":"11:51:58"},{"id":151,"name":"Denver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4016 --day 2017-11-12</v>
      </c>
      <c r="AN77" s="151" t="str">
        <f t="shared" ref="AN77:AN140" si="49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1"/>
        <v>https://d0f6bd738d7f1b3e5a7ca70fe4ff75f0.us-east-1.aws.found.io/app/kibana#/discover/Steve-Slow-Train-Analysis-(2080s-and-2083s)?_g=(refreshInterval:(display:Off,pause:!f,section:0,value:0),time:(from:'2017-11-12T10:07:55-0700',mode:absolute,to:'2017-11-12T12:51:58-0700'))&amp;_a=(columns:!('Message%20ID',Summary),filters:!(),index:'emp_*',interval:auto,query:(query_string:(analyze_wildcard:!t,query:'%22rtdc.l.rtdc.4016%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772</v>
      </c>
      <c r="B78" s="7">
        <v>4015</v>
      </c>
      <c r="C78" s="21" t="s">
        <v>192</v>
      </c>
      <c r="D78" s="21" t="s">
        <v>612</v>
      </c>
      <c r="E78" s="13">
        <v>43051.506527777776</v>
      </c>
      <c r="F78" s="13">
        <v>43051.50880787037</v>
      </c>
      <c r="G78" s="7">
        <v>73</v>
      </c>
      <c r="H78" s="21" t="s">
        <v>933</v>
      </c>
      <c r="I78" s="13">
        <v>43051.536203703705</v>
      </c>
      <c r="J78" s="7">
        <v>0</v>
      </c>
      <c r="K78" s="89" t="str">
        <f t="shared" si="39"/>
        <v>4015/4016</v>
      </c>
      <c r="L78" s="185" t="str">
        <f>VLOOKUP(A78,'Trips&amp;Operators'!$C$1:$G$99911,5,FALSE)</f>
        <v>DAVIS MICHAEL</v>
      </c>
      <c r="M78" s="6">
        <f t="shared" si="40"/>
        <v>2.7395833334594499E-2</v>
      </c>
      <c r="N78" s="7">
        <f t="shared" si="37"/>
        <v>39.450000001816079</v>
      </c>
      <c r="O78" s="7"/>
      <c r="P78" s="7"/>
      <c r="Q78" s="22"/>
      <c r="R78" s="174"/>
      <c r="S78" s="221">
        <f t="shared" si="38"/>
        <v>1</v>
      </c>
      <c r="T78" s="174" t="str">
        <f t="shared" si="41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2"/>
        <v>https://d0f6bd738d7f1b3e5a7ca70fe4ff75f0.us-east-1.aws.found.io/app/kibana#/discover/Steve-Slow-Train-Analysis-(2080s-and-2083s)?_g=(refreshInterval:(display:Off,pause:!f,section:0,value:0),time:(from:'2017-11-12T11:09:24-0700',mode:absolute,to:'2017-11-12T13:52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204" t="str">
        <f>IF(AA78&lt;VLOOKUP(AG78,Variables!$AC$3:$AD$8,2,FALSE),"Y","N")</f>
        <v>N</v>
      </c>
      <c r="X78" s="204">
        <f t="shared" si="32"/>
        <v>1</v>
      </c>
      <c r="Y78" s="204">
        <f t="shared" si="35"/>
        <v>23.290900000000001</v>
      </c>
      <c r="Z78" s="204">
        <f t="shared" si="36"/>
        <v>2.23E-2</v>
      </c>
      <c r="AA78" s="204">
        <f t="shared" si="43"/>
        <v>23.268599999999999</v>
      </c>
      <c r="AB78" s="54" t="e">
        <f>VLOOKUP(A78,Enforcements!$C$7:$K$9,8,0)</f>
        <v>#N/A</v>
      </c>
      <c r="AC78" s="51" t="e">
        <f>VLOOKUP(A78,Enforcements!$C$7:$E$9,3,0)</f>
        <v>#N/A</v>
      </c>
      <c r="AD78" s="179">
        <f t="shared" si="44"/>
        <v>162</v>
      </c>
      <c r="AE78" s="77" t="str">
        <f t="shared" si="45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78" s="74" t="str">
        <f t="shared" si="46"/>
        <v>"C:\Program Files (x86)\AstroGrep\AstroGrep.exe" /e /r /s /spath="%USERPROFILE%\AppData\Local\Temp\OnboardLogs" /stypes="app*4015*20171112*" /stext=" 19:.+((SYSTEM_STATE.+slice.+state.+changed )|(ment ac)|(multiple cpu faults)|(system.+state.+changed )|(\[timeout)|(PRM\|1\|D)|(kpr)|(kdp)|(train st.+moving)|(\|lc)|(penalty))"</v>
      </c>
      <c r="AG78" s="182" t="str">
        <f t="shared" si="47"/>
        <v>EC</v>
      </c>
      <c r="AH78" s="78" t="str">
        <f t="shared" ref="AH78:AH141" si="5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162-12 --locoid 4015 --swversion DE.1.0.9.0 --startMP 204:232909 --initTime 2017-11-12T12:09:24 --startdatetime 2017-11-12T12:12:41 --delay 73 --endMP 204:223 --enddatetime 2017-11-12T12:52:08 --enforcementcount 0 &gt;&gt;%USERPROFILE%\Documents\GitHub\eaglep3-reporting\EC\2017-11-12-refined-times.txt</v>
      </c>
      <c r="AI78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{"issue":{"subject":"","project_id":79,"tracker_id":40,"status_id":1,"priority_id":2,"assigned_to_id":338,"start_date":"2017-11-12","description":"","custom_fields":[{"id":1,"name":"Subdivision","value":"EC"},{"id":4,"name":"Milepost","value":"0.0223"},{"id":17,"name":"Train ID","value":"162-12"},{"id":16,"name":"Locomotive ID","value":"4015"},{"id":130,"name":"Impact","value":""},{"id":150,"name":"Time of Event (Mountain Time)","value":"12:52:08"},{"id":151,"name":"Denver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1" si="51">"start /low /b "&amp;dls3logs&amp;" --loco "&amp;B78&amp;" --day "&amp;TEXT(F78,"YYYY-MM-DD")</f>
        <v>start /low /b %USERPROFILE%\Documents\GitHub\eaglep3\Utilities\DownloadLogsFromS3.py --loco 4015 --day 2017-11-12</v>
      </c>
      <c r="AN78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1" si="52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-12T11:09:24-0700',mode:absolute,to:'2017-11-12T13:52:08-0700'))&amp;_a=(columns:!('Message%20ID',Summary),filters:!(),index:'emp_*',interval:auto,query:(query_string:(analyze_wildcard:!t,query:'%22rtdc.l.rtdc.4015%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761</v>
      </c>
      <c r="B79" s="7">
        <v>4006</v>
      </c>
      <c r="C79" s="21" t="s">
        <v>192</v>
      </c>
      <c r="D79" s="21" t="s">
        <v>934</v>
      </c>
      <c r="E79" s="13">
        <v>43051.475706018522</v>
      </c>
      <c r="F79" s="13">
        <v>43051.479363425926</v>
      </c>
      <c r="G79" s="7">
        <v>126</v>
      </c>
      <c r="H79" s="21" t="s">
        <v>935</v>
      </c>
      <c r="I79" s="13">
        <v>43051.503692129627</v>
      </c>
      <c r="J79" s="7">
        <v>0</v>
      </c>
      <c r="K79" s="89" t="str">
        <f t="shared" si="39"/>
        <v>4005/4006</v>
      </c>
      <c r="L79" s="185" t="str">
        <f>VLOOKUP(A79,'Trips&amp;Operators'!$C$1:$G$99911,5,FALSE)</f>
        <v>SAFIEF AEIMEN</v>
      </c>
      <c r="M79" s="6">
        <f t="shared" si="40"/>
        <v>2.4328703701030463E-2</v>
      </c>
      <c r="N79" s="7">
        <f t="shared" si="37"/>
        <v>35.033333329483867</v>
      </c>
      <c r="O79" s="7"/>
      <c r="P79" s="7"/>
      <c r="Q79" s="22"/>
      <c r="R79" s="174"/>
      <c r="S79" s="221">
        <f t="shared" si="38"/>
        <v>1</v>
      </c>
      <c r="T79" s="174" t="str">
        <f t="shared" si="41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2"/>
        <v>https://d0f6bd738d7f1b3e5a7ca70fe4ff75f0.us-east-1.aws.found.io/app/kibana#/discover/Steve-Slow-Train-Analysis-(2080s-and-2083s)?_g=(refreshInterval:(display:Off,pause:!f,section:0,value:0),time:(from:'2017-11-12T10:25:01-0700',mode:absolute,to:'2017-11-12T13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204" t="str">
        <f>IF(AA79&lt;VLOOKUP(AG79,Variables!$AC$3:$AD$8,2,FALSE),"Y","N")</f>
        <v>N</v>
      </c>
      <c r="X79" s="204">
        <f t="shared" si="32"/>
        <v>1</v>
      </c>
      <c r="Y79" s="204">
        <f t="shared" si="35"/>
        <v>4.7300000000000002E-2</v>
      </c>
      <c r="Z79" s="204">
        <f t="shared" si="36"/>
        <v>23.322299999999998</v>
      </c>
      <c r="AA79" s="204">
        <f t="shared" si="43"/>
        <v>23.274999999999999</v>
      </c>
      <c r="AB79" s="54" t="e">
        <f>VLOOKUP(A79,Enforcements!$C$7:$K$9,8,0)</f>
        <v>#N/A</v>
      </c>
      <c r="AC79" s="51" t="e">
        <f>VLOOKUP(A79,Enforcements!$C$7:$E$9,3,0)</f>
        <v>#N/A</v>
      </c>
      <c r="AD79" s="179">
        <f t="shared" si="44"/>
        <v>163</v>
      </c>
      <c r="AE79" s="77" t="str">
        <f t="shared" si="45"/>
        <v>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 &amp; aws s3 cp s3://rtdc.mdm.uploadarchive.raw/RTDC4006/ "%USERPROFILE%\AppData\Local\Temp\OnboardLogs"\RTDC4006\2017-11-13 --exclude "*" --recursive --include "*20171113*" &amp; "%USERPROFILE%\Documents\GitHub\mrs-test-scripts\Headless Mode &amp; Sideloading\WalkAndUnGZ.bat" "%USERPROFILE%\AppData\Local\Temp\OnboardLogs"\RTDC4006\2017-11-13</v>
      </c>
      <c r="AF79" s="74" t="str">
        <f t="shared" si="46"/>
        <v>"C:\Program Files (x86)\AstroGrep\AstroGrep.exe" /e /r /s /spath="%USERPROFILE%\AppData\Local\Temp\OnboardLogs" /stypes="app*4006*20171112*" /stext=" 19:.+((SYSTEM_STATE.+slice.+state.+changed )|(ment ac)|(multiple cpu faults)|(system.+state.+changed )|(\[timeout)|(PRM\|1\|D)|(kpr)|(kdp)|(train st.+moving)|(\|lc)|(penalty))"</v>
      </c>
      <c r="AG79" s="182" t="str">
        <f t="shared" si="47"/>
        <v>EC</v>
      </c>
      <c r="AH79" s="78" t="str">
        <f t="shared" si="50"/>
        <v>"%USERPROFILE%\Documents\GitHub\eaglep3\Utilities\RefineRTDCRunTimes.py" --tripid 163-12 --locoid 4006 --swversion DE.1.0.9.0 --startMP 204:473 --initTime 2017-11-12T11:25:01 --startdatetime 2017-11-12T11:30:17 --delay 126 --endMP 204:233223 --enddatetime 2017-11-12T12:05:19 --enforcementcount 0 &gt;&gt;%USERPROFILE%\Documents\GitHub\eaglep3-reporting\EC\2017-11-12-refined-times.txt</v>
      </c>
      <c r="AI79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{"issue":{"subject":"","project_id":79,"tracker_id":40,"status_id":1,"priority_id":2,"assigned_to_id":338,"start_date":"2017-11-12","description":"","custom_fields":[{"id":1,"name":"Subdivision","value":"EC"},{"id":4,"name":"Milepost","value":"23.3223"},{"id":17,"name":"Train ID","value":"163-12"},{"id":16,"name":"Locomotive ID","value":"4006"},{"id":130,"name":"Impact","value":""},{"id":150,"name":"Time of Event (Mountain Time)","value":"12:05:19"},{"id":151,"name":"Denver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51"/>
        <v>start /low /b %USERPROFILE%\Documents\GitHub\eaglep3\Utilities\DownloadLogsFromS3.py --loco 4006 --day 2017-11-12</v>
      </c>
      <c r="AN79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52"/>
        <v>https://d0f6bd738d7f1b3e5a7ca70fe4ff75f0.us-east-1.aws.found.io/app/kibana#/discover/Steve-Slow-Train-Analysis-(2080s-and-2083s)?_g=(refreshInterval:(display:Off,pause:!f,section:0,value:0),time:(from:'2017-11-12T10:25:01-0700',mode:absolute,to:'2017-11-12T13:05:19-0700'))&amp;_a=(columns:!('Message%20ID',Summary),filters:!(),index:'emp_*',interval:auto,query:(query_string:(analyze_wildcard:!t,query:'%22rtdc.l.rtdc.4006%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773</v>
      </c>
      <c r="B80" s="7">
        <v>4005</v>
      </c>
      <c r="C80" s="21" t="s">
        <v>192</v>
      </c>
      <c r="D80" s="21" t="s">
        <v>620</v>
      </c>
      <c r="E80" s="13">
        <v>43051.506111111114</v>
      </c>
      <c r="F80" s="13">
        <v>43051.518946759257</v>
      </c>
      <c r="G80" s="7">
        <v>113</v>
      </c>
      <c r="H80" s="21" t="s">
        <v>455</v>
      </c>
      <c r="I80" s="13">
        <v>43051.544432870367</v>
      </c>
      <c r="J80" s="7">
        <v>0</v>
      </c>
      <c r="K80" s="89" t="str">
        <f t="shared" si="39"/>
        <v>4005/4006</v>
      </c>
      <c r="L80" s="185" t="str">
        <f>VLOOKUP(A80,'Trips&amp;Operators'!$C$1:$G$99911,5,FALSE)</f>
        <v>SAFIEF AEIMEN</v>
      </c>
      <c r="M80" s="6">
        <f t="shared" si="40"/>
        <v>2.548611110978527E-2</v>
      </c>
      <c r="N80" s="7">
        <f t="shared" si="37"/>
        <v>36.699999998090789</v>
      </c>
      <c r="O80" s="7"/>
      <c r="P80" s="7"/>
      <c r="Q80" s="22"/>
      <c r="R80" s="174"/>
      <c r="S80" s="221">
        <f t="shared" si="38"/>
        <v>1</v>
      </c>
      <c r="T80" s="174" t="str">
        <f t="shared" si="41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2"/>
        <v>https://d0f6bd738d7f1b3e5a7ca70fe4ff75f0.us-east-1.aws.found.io/app/kibana#/discover/Steve-Slow-Train-Analysis-(2080s-and-2083s)?_g=(refreshInterval:(display:Off,pause:!f,section:0,value:0),time:(from:'2017-11-12T11:08:48-0700',mode:absolute,to:'2017-11-12T14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204" t="str">
        <f>IF(AA80&lt;VLOOKUP(AG80,Variables!$AC$3:$AD$8,2,FALSE),"Y","N")</f>
        <v>N</v>
      </c>
      <c r="X80" s="204">
        <f t="shared" si="32"/>
        <v>1</v>
      </c>
      <c r="Y80" s="204">
        <f t="shared" si="35"/>
        <v>23.291699999999999</v>
      </c>
      <c r="Z80" s="204">
        <f t="shared" si="36"/>
        <v>2.07E-2</v>
      </c>
      <c r="AA80" s="204">
        <f t="shared" si="43"/>
        <v>23.270999999999997</v>
      </c>
      <c r="AB80" s="54" t="e">
        <f>VLOOKUP(A80,Enforcements!$C$7:$K$9,8,0)</f>
        <v>#N/A</v>
      </c>
      <c r="AC80" s="51" t="e">
        <f>VLOOKUP(A80,Enforcements!$C$7:$E$9,3,0)</f>
        <v>#N/A</v>
      </c>
      <c r="AD80" s="179">
        <f t="shared" si="44"/>
        <v>164</v>
      </c>
      <c r="AE80" s="77" t="str">
        <f t="shared" si="45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80" s="74" t="str">
        <f t="shared" si="46"/>
        <v>"C:\Program Files (x86)\AstroGrep\AstroGrep.exe" /e /r /s /spath="%USERPROFILE%\AppData\Local\Temp\OnboardLogs" /stypes="app*4005*20171112*" /stext=" 20:.+((SYSTEM_STATE.+slice.+state.+changed )|(ment ac)|(multiple cpu faults)|(system.+state.+changed )|(\[timeout)|(PRM\|1\|D)|(kpr)|(kdp)|(train st.+moving)|(\|lc)|(penalty))"</v>
      </c>
      <c r="AG80" s="182" t="str">
        <f t="shared" si="47"/>
        <v>EC</v>
      </c>
      <c r="AH80" s="78" t="str">
        <f t="shared" si="50"/>
        <v>"%USERPROFILE%\Documents\GitHub\eaglep3\Utilities\RefineRTDCRunTimes.py" --tripid 164-12 --locoid 4005 --swversion DE.1.0.9.0 --startMP 204:232917 --initTime 2017-11-12T12:08:48 --startdatetime 2017-11-12T12:27:17 --delay 113 --endMP 204:207 --enddatetime 2017-11-12T13:03:59 --enforcementcount 0 &gt;&gt;%USERPROFILE%\Documents\GitHub\eaglep3-reporting\EC\2017-11-12-refined-times.txt</v>
      </c>
      <c r="AI80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{"issue":{"subject":"","project_id":79,"tracker_id":40,"status_id":1,"priority_id":2,"assigned_to_id":338,"start_date":"2017-11-12","description":"","custom_fields":[{"id":1,"name":"Subdivision","value":"EC"},{"id":4,"name":"Milepost","value":"0.0207"},{"id":17,"name":"Train ID","value":"164-12"},{"id":16,"name":"Locomotive ID","value":"4005"},{"id":130,"name":"Impact","value":""},{"id":150,"name":"Time of Event (Mountain Time)","value":"13:03:59"},{"id":151,"name":"Denver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51"/>
        <v>start /low /b %USERPROFILE%\Documents\GitHub\eaglep3\Utilities\DownloadLogsFromS3.py --loco 4005 --day 2017-11-12</v>
      </c>
      <c r="AN80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20:03:59"},{"id":29,"name":"Sharepoint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2"/>
        <v>https://d0f6bd738d7f1b3e5a7ca70fe4ff75f0.us-east-1.aws.found.io/app/kibana#/discover/Steve-Slow-Train-Analysis-(2080s-and-2083s)?_g=(refreshInterval:(display:Off,pause:!f,section:0,value:0),time:(from:'2017-11-12T11:08:48-0700',mode:absolute,to:'2017-11-12T14:03:59-0700'))&amp;_a=(columns:!('Message%20ID',Summary),filters:!(),index:'emp_*',interval:auto,query:(query_string:(analyze_wildcard:!t,query:'%22rtdc.l.rtdc.4005%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763</v>
      </c>
      <c r="B81" s="7">
        <v>4002</v>
      </c>
      <c r="C81" s="21" t="s">
        <v>192</v>
      </c>
      <c r="D81" s="21" t="s">
        <v>594</v>
      </c>
      <c r="E81" s="13">
        <v>43051.487488425926</v>
      </c>
      <c r="F81" s="13">
        <v>43051.489918981482</v>
      </c>
      <c r="G81" s="7">
        <v>73</v>
      </c>
      <c r="H81" s="21" t="s">
        <v>469</v>
      </c>
      <c r="I81" s="13">
        <v>43051.513715277775</v>
      </c>
      <c r="J81" s="7">
        <v>0</v>
      </c>
      <c r="K81" s="89" t="str">
        <f t="shared" si="39"/>
        <v>4001/4002</v>
      </c>
      <c r="L81" s="185" t="str">
        <f>VLOOKUP(A81,'Trips&amp;Operators'!$C$1:$G$99911,5,FALSE)</f>
        <v>GONZALEZ ARMANDO</v>
      </c>
      <c r="M81" s="6">
        <f t="shared" si="40"/>
        <v>2.3796296292857733E-2</v>
      </c>
      <c r="N81" s="7">
        <f t="shared" si="37"/>
        <v>34.266666661715135</v>
      </c>
      <c r="O81" s="7"/>
      <c r="P81" s="7"/>
      <c r="Q81" s="22"/>
      <c r="R81" s="174"/>
      <c r="S81" s="221">
        <f t="shared" si="38"/>
        <v>1</v>
      </c>
      <c r="T81" s="174" t="str">
        <f t="shared" si="41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2"/>
        <v>https://d0f6bd738d7f1b3e5a7ca70fe4ff75f0.us-east-1.aws.found.io/app/kibana#/discover/Steve-Slow-Train-Analysis-(2080s-and-2083s)?_g=(refreshInterval:(display:Off,pause:!f,section:0,value:0),time:(from:'2017-11-12T10:41:59-0700',mode:absolute,to:'2017-11-12T13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204" t="str">
        <f>IF(AA81&lt;VLOOKUP(AG81,Variables!$AC$3:$AD$8,2,FALSE),"Y","N")</f>
        <v>N</v>
      </c>
      <c r="X81" s="204">
        <f t="shared" si="32"/>
        <v>1</v>
      </c>
      <c r="Y81" s="204">
        <f t="shared" si="35"/>
        <v>4.7800000000000002E-2</v>
      </c>
      <c r="Z81" s="204">
        <f t="shared" si="36"/>
        <v>23.3247</v>
      </c>
      <c r="AA81" s="204">
        <f t="shared" si="43"/>
        <v>23.276900000000001</v>
      </c>
      <c r="AB81" s="54" t="e">
        <f>VLOOKUP(A81,Enforcements!$C$7:$K$9,8,0)</f>
        <v>#N/A</v>
      </c>
      <c r="AC81" s="51" t="e">
        <f>VLOOKUP(A81,Enforcements!$C$7:$E$9,3,0)</f>
        <v>#N/A</v>
      </c>
      <c r="AD81" s="179">
        <f t="shared" si="44"/>
        <v>165</v>
      </c>
      <c r="AE81" s="77" t="str">
        <f t="shared" si="45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81" s="74" t="str">
        <f t="shared" si="46"/>
        <v>"C:\Program Files (x86)\AstroGrep\AstroGrep.exe" /e /r /s /spath="%USERPROFILE%\AppData\Local\Temp\OnboardLogs" /stypes="app*4002*20171112*" /stext=" 19:.+((SYSTEM_STATE.+slice.+state.+changed )|(ment ac)|(multiple cpu faults)|(system.+state.+changed )|(\[timeout)|(PRM\|1\|D)|(kpr)|(kdp)|(train st.+moving)|(\|lc)|(penalty))"</v>
      </c>
      <c r="AG81" s="182" t="str">
        <f t="shared" si="47"/>
        <v>EC</v>
      </c>
      <c r="AH81" s="78" t="str">
        <f t="shared" si="50"/>
        <v>"%USERPROFILE%\Documents\GitHub\eaglep3\Utilities\RefineRTDCRunTimes.py" --tripid 165-12 --locoid 4002 --swversion DE.1.0.9.0 --startMP 204:478 --initTime 2017-11-12T11:41:59 --startdatetime 2017-11-12T11:45:29 --delay 73 --endMP 204:233247 --enddatetime 2017-11-12T12:19:45 --enforcementcount 0 &gt;&gt;%USERPROFILE%\Documents\GitHub\eaglep3-reporting\EC\2017-11-12-refined-times.txt</v>
      </c>
      <c r="AI81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{"issue":{"subject":"","project_id":79,"tracker_id":40,"status_id":1,"priority_id":2,"assigned_to_id":338,"start_date":"2017-11-12","description":"","custom_fields":[{"id":1,"name":"Subdivision","value":"EC"},{"id":4,"name":"Milepost","value":"23.3247"},{"id":17,"name":"Train ID","value":"165-12"},{"id":16,"name":"Locomotive ID","value":"4002"},{"id":130,"name":"Impact","value":""},{"id":150,"name":"Time of Event (Mountain Time)","value":"12:19:45"},{"id":151,"name":"Denver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51"/>
        <v>start /low /b %USERPROFILE%\Documents\GitHub\eaglep3\Utilities\DownloadLogsFromS3.py --loco 4002 --day 2017-11-12</v>
      </c>
      <c r="AN81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2"/>
        <v>https://d0f6bd738d7f1b3e5a7ca70fe4ff75f0.us-east-1.aws.found.io/app/kibana#/discover/Steve-Slow-Train-Analysis-(2080s-and-2083s)?_g=(refreshInterval:(display:Off,pause:!f,section:0,value:0),time:(from:'2017-11-12T10:41:59-0700',mode:absolute,to:'2017-11-12T13:19:45-0700'))&amp;_a=(columns:!('Message%20ID',Summary),filters:!(),index:'emp_*',interval:auto,query:(query_string:(analyze_wildcard:!t,query:'%22rtdc.l.rtdc.4002%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776</v>
      </c>
      <c r="B82" s="7">
        <v>4001</v>
      </c>
      <c r="C82" s="21" t="s">
        <v>192</v>
      </c>
      <c r="D82" s="21" t="s">
        <v>936</v>
      </c>
      <c r="E82" s="13">
        <v>43051.525081018517</v>
      </c>
      <c r="F82" s="13">
        <v>43051.529409722221</v>
      </c>
      <c r="G82" s="7">
        <v>88</v>
      </c>
      <c r="H82" s="21" t="s">
        <v>916</v>
      </c>
      <c r="I82" s="13">
        <v>43051.555092592593</v>
      </c>
      <c r="J82" s="7">
        <v>0</v>
      </c>
      <c r="K82" s="89" t="str">
        <f t="shared" si="39"/>
        <v>4001/4002</v>
      </c>
      <c r="L82" s="185" t="str">
        <f>VLOOKUP(A82,'Trips&amp;Operators'!$C$1:$G$99911,5,FALSE)</f>
        <v>GONZALEZ ARMANDO</v>
      </c>
      <c r="M82" s="6">
        <f t="shared" si="40"/>
        <v>2.5682870371383615E-2</v>
      </c>
      <c r="N82" s="7">
        <f t="shared" si="37"/>
        <v>36.983333334792405</v>
      </c>
      <c r="O82" s="7"/>
      <c r="P82" s="7"/>
      <c r="Q82" s="22"/>
      <c r="R82" s="174"/>
      <c r="S82" s="221">
        <f t="shared" si="38"/>
        <v>1</v>
      </c>
      <c r="T82" s="174" t="str">
        <f t="shared" si="41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2"/>
        <v>https://d0f6bd738d7f1b3e5a7ca70fe4ff75f0.us-east-1.aws.found.io/app/kibana#/discover/Steve-Slow-Train-Analysis-(2080s-and-2083s)?_g=(refreshInterval:(display:Off,pause:!f,section:0,value:0),time:(from:'2017-11-12T11:36:07-0700',mode:absolute,to:'2017-11-12T14:19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204" t="str">
        <f>IF(AA82&lt;VLOOKUP(AG82,Variables!$AC$3:$AD$8,2,FALSE),"Y","N")</f>
        <v>N</v>
      </c>
      <c r="X82" s="204">
        <f t="shared" si="32"/>
        <v>1</v>
      </c>
      <c r="Y82" s="204">
        <f t="shared" si="35"/>
        <v>23.291899999999998</v>
      </c>
      <c r="Z82" s="204">
        <f t="shared" si="36"/>
        <v>1.9199999999999998E-2</v>
      </c>
      <c r="AA82" s="204">
        <f t="shared" si="43"/>
        <v>23.272699999999997</v>
      </c>
      <c r="AB82" s="54" t="e">
        <f>VLOOKUP(A82,Enforcements!$C$7:$K$9,8,0)</f>
        <v>#N/A</v>
      </c>
      <c r="AC82" s="51" t="e">
        <f>VLOOKUP(A82,Enforcements!$C$7:$E$9,3,0)</f>
        <v>#N/A</v>
      </c>
      <c r="AD82" s="179">
        <f t="shared" si="44"/>
        <v>166</v>
      </c>
      <c r="AE82" s="77" t="str">
        <f t="shared" si="45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82" s="74" t="str">
        <f t="shared" si="46"/>
        <v>"C:\Program Files (x86)\AstroGrep\AstroGrep.exe" /e /r /s /spath="%USERPROFILE%\AppData\Local\Temp\OnboardLogs" /stypes="app*4001*20171112*" /stext=" 20:.+((SYSTEM_STATE.+slice.+state.+changed )|(ment ac)|(multiple cpu faults)|(system.+state.+changed )|(\[timeout)|(PRM\|1\|D)|(kpr)|(kdp)|(train st.+moving)|(\|lc)|(penalty))"</v>
      </c>
      <c r="AG82" s="182" t="str">
        <f t="shared" si="47"/>
        <v>EC</v>
      </c>
      <c r="AH82" s="78" t="str">
        <f t="shared" si="50"/>
        <v>"%USERPROFILE%\Documents\GitHub\eaglep3\Utilities\RefineRTDCRunTimes.py" --tripid 166-12 --locoid 4001 --swversion DE.1.0.9.0 --startMP 204:232919 --initTime 2017-11-12T12:36:07 --startdatetime 2017-11-12T12:42:21 --delay 88 --endMP 204:192 --enddatetime 2017-11-12T13:19:20 --enforcementcount 0 &gt;&gt;%USERPROFILE%\Documents\GitHub\eaglep3-reporting\EC\2017-11-12-refined-times.txt</v>
      </c>
      <c r="AI82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{"issue":{"subject":"","project_id":79,"tracker_id":40,"status_id":1,"priority_id":2,"assigned_to_id":338,"start_date":"2017-11-12","description":"","custom_fields":[{"id":1,"name":"Subdivision","value":"EC"},{"id":4,"name":"Milepost","value":"0.0192"},{"id":17,"name":"Train ID","value":"166-12"},{"id":16,"name":"Locomotive ID","value":"4001"},{"id":130,"name":"Impact","value":""},{"id":150,"name":"Time of Event (Mountain Time)","value":"13:19:20"},{"id":151,"name":"Denver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51"/>
        <v>start /low /b %USERPROFILE%\Documents\GitHub\eaglep3\Utilities\DownloadLogsFromS3.py --loco 4001 --day 2017-11-12</v>
      </c>
      <c r="AN82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20:19:20"},{"id":29,"name":"Sharepoint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2"/>
        <v>https://d0f6bd738d7f1b3e5a7ca70fe4ff75f0.us-east-1.aws.found.io/app/kibana#/discover/Steve-Slow-Train-Analysis-(2080s-and-2083s)?_g=(refreshInterval:(display:Off,pause:!f,section:0,value:0),time:(from:'2017-11-12T11:36:07-0700',mode:absolute,to:'2017-11-12T14:19:20-0700'))&amp;_a=(columns:!('Message%20ID',Summary),filters:!(),index:'emp_*',interval:auto,query:(query_string:(analyze_wildcard:!t,query:'%22rtdc.l.rtdc.4001%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767</v>
      </c>
      <c r="B83" s="7">
        <v>4064</v>
      </c>
      <c r="C83" s="21" t="s">
        <v>192</v>
      </c>
      <c r="D83" s="21" t="s">
        <v>937</v>
      </c>
      <c r="E83" s="13">
        <v>43051.495208333334</v>
      </c>
      <c r="F83" s="13">
        <v>43051.500185185185</v>
      </c>
      <c r="G83" s="7">
        <v>121</v>
      </c>
      <c r="H83" s="21" t="s">
        <v>938</v>
      </c>
      <c r="I83" s="13">
        <v>43051.525451388887</v>
      </c>
      <c r="J83" s="7">
        <v>0</v>
      </c>
      <c r="K83" s="89" t="str">
        <f t="shared" si="39"/>
        <v>4063/4064</v>
      </c>
      <c r="L83" s="185" t="str">
        <f>VLOOKUP(A83,'Trips&amp;Operators'!$C$1:$G$99911,5,FALSE)</f>
        <v>BADERTSCHER DIANE</v>
      </c>
      <c r="M83" s="6">
        <f t="shared" si="40"/>
        <v>2.5266203701903578E-2</v>
      </c>
      <c r="N83" s="7">
        <f t="shared" si="37"/>
        <v>36.383333330741152</v>
      </c>
      <c r="O83" s="7"/>
      <c r="P83" s="7"/>
      <c r="Q83" s="22"/>
      <c r="R83" s="174"/>
      <c r="S83" s="221">
        <f t="shared" si="38"/>
        <v>1</v>
      </c>
      <c r="T83" s="174" t="str">
        <f t="shared" si="41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2"/>
        <v>https://d0f6bd738d7f1b3e5a7ca70fe4ff75f0.us-east-1.aws.found.io/app/kibana#/discover/Steve-Slow-Train-Analysis-(2080s-and-2083s)?_g=(refreshInterval:(display:Off,pause:!f,section:0,value:0),time:(from:'2017-11-12T10:53:06-0700',mode:absolute,to:'2017-11-12T13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3" s="204" t="str">
        <f>IF(AA83&lt;VLOOKUP(AG83,Variables!$AC$3:$AD$8,2,FALSE),"Y","N")</f>
        <v>N</v>
      </c>
      <c r="X83" s="204">
        <f t="shared" si="32"/>
        <v>1</v>
      </c>
      <c r="Y83" s="204">
        <f t="shared" si="35"/>
        <v>4.3099999999999999E-2</v>
      </c>
      <c r="Z83" s="204">
        <f t="shared" si="36"/>
        <v>23.3263</v>
      </c>
      <c r="AA83" s="204">
        <f t="shared" si="43"/>
        <v>23.283200000000001</v>
      </c>
      <c r="AB83" s="54" t="e">
        <f>VLOOKUP(A83,Enforcements!$C$7:$K$9,8,0)</f>
        <v>#N/A</v>
      </c>
      <c r="AC83" s="51" t="e">
        <f>VLOOKUP(A83,Enforcements!$C$7:$E$9,3,0)</f>
        <v>#N/A</v>
      </c>
      <c r="AD83" s="179">
        <f t="shared" si="44"/>
        <v>167</v>
      </c>
      <c r="AE83" s="77" t="str">
        <f t="shared" si="45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83" s="74" t="str">
        <f t="shared" si="46"/>
        <v>"C:\Program Files (x86)\AstroGrep\AstroGrep.exe" /e /r /s /spath="%USERPROFILE%\AppData\Local\Temp\OnboardLogs" /stypes="app*4064*20171112*" /stext=" 19:.+((SYSTEM_STATE.+slice.+state.+changed )|(ment ac)|(multiple cpu faults)|(system.+state.+changed )|(\[timeout)|(PRM\|1\|D)|(kpr)|(kdp)|(train st.+moving)|(\|lc)|(penalty))"</v>
      </c>
      <c r="AG83" s="182" t="str">
        <f t="shared" si="47"/>
        <v>EC</v>
      </c>
      <c r="AH83" s="78" t="str">
        <f t="shared" si="50"/>
        <v>"%USERPROFILE%\Documents\GitHub\eaglep3\Utilities\RefineRTDCRunTimes.py" --tripid 167-12 --locoid 4064 --swversion DE.1.0.9.0 --startMP 204:431 --initTime 2017-11-12T11:53:06 --startdatetime 2017-11-12T12:00:16 --delay 121 --endMP 204:233263 --enddatetime 2017-11-12T12:36:39 --enforcementcount 0 &gt;&gt;%USERPROFILE%\Documents\GitHub\eaglep3-reporting\EC\2017-11-12-refined-times.txt</v>
      </c>
      <c r="AI83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{"issue":{"subject":"","project_id":79,"tracker_id":40,"status_id":1,"priority_id":2,"assigned_to_id":338,"start_date":"2017-11-12","description":"","custom_fields":[{"id":1,"name":"Subdivision","value":"EC"},{"id":4,"name":"Milepost","value":"23.3263"},{"id":17,"name":"Train ID","value":"167-12"},{"id":16,"name":"Locomotive ID","value":"4064"},{"id":130,"name":"Impact","value":""},{"id":150,"name":"Time of Event (Mountain Time)","value":"12:36:39"},{"id":151,"name":"Denver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51"/>
        <v>start /low /b %USERPROFILE%\Documents\GitHub\eaglep3\Utilities\DownloadLogsFromS3.py --loco 4064 --day 2017-11-12</v>
      </c>
      <c r="AN83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2"/>
        <v>https://d0f6bd738d7f1b3e5a7ca70fe4ff75f0.us-east-1.aws.found.io/app/kibana#/discover/Steve-Slow-Train-Analysis-(2080s-and-2083s)?_g=(refreshInterval:(display:Off,pause:!f,section:0,value:0),time:(from:'2017-11-12T10:53:06-0700',mode:absolute,to:'2017-11-12T13:36:39-0700'))&amp;_a=(columns:!('Message%20ID',Summary),filters:!(),index:'emp_*',interval:auto,query:(query_string:(analyze_wildcard:!t,query:'%22rtdc.l.rtdc.4064%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778</v>
      </c>
      <c r="B84" s="7">
        <v>4063</v>
      </c>
      <c r="C84" s="21" t="s">
        <v>192</v>
      </c>
      <c r="D84" s="21" t="s">
        <v>939</v>
      </c>
      <c r="E84" s="13">
        <v>43051.533159722225</v>
      </c>
      <c r="F84" s="13">
        <v>43051.53974537037</v>
      </c>
      <c r="G84" s="7">
        <v>272</v>
      </c>
      <c r="H84" s="21" t="s">
        <v>916</v>
      </c>
      <c r="I84" s="13">
        <v>43051.567118055558</v>
      </c>
      <c r="J84" s="7">
        <v>0</v>
      </c>
      <c r="K84" s="89" t="str">
        <f t="shared" si="39"/>
        <v>4063/4064</v>
      </c>
      <c r="L84" s="185" t="str">
        <f>VLOOKUP(A84,'Trips&amp;Operators'!$C$1:$G$99911,5,FALSE)</f>
        <v>BADERTSCHER DIANE</v>
      </c>
      <c r="M84" s="6">
        <f t="shared" si="40"/>
        <v>2.7372685188311152E-2</v>
      </c>
      <c r="N84" s="7">
        <f t="shared" si="37"/>
        <v>39.416666671168059</v>
      </c>
      <c r="O84" s="7"/>
      <c r="P84" s="7"/>
      <c r="Q84" s="22"/>
      <c r="R84" s="174"/>
      <c r="S84" s="221">
        <f t="shared" si="38"/>
        <v>1</v>
      </c>
      <c r="T84" s="174" t="str">
        <f t="shared" si="41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2"/>
        <v>https://d0f6bd738d7f1b3e5a7ca70fe4ff75f0.us-east-1.aws.found.io/app/kibana#/discover/Steve-Slow-Train-Analysis-(2080s-and-2083s)?_g=(refreshInterval:(display:Off,pause:!f,section:0,value:0),time:(from:'2017-11-12T11:47:45-0700',mode:absolute,to:'2017-11-12T14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4" s="204" t="str">
        <f>IF(AA84&lt;VLOOKUP(AG84,Variables!$AC$3:$AD$8,2,FALSE),"Y","N")</f>
        <v>N</v>
      </c>
      <c r="X84" s="204">
        <f t="shared" si="32"/>
        <v>1</v>
      </c>
      <c r="Y84" s="204">
        <f t="shared" si="35"/>
        <v>23.294899999999998</v>
      </c>
      <c r="Z84" s="204">
        <f t="shared" si="36"/>
        <v>1.9199999999999998E-2</v>
      </c>
      <c r="AA84" s="204">
        <f t="shared" si="43"/>
        <v>23.275699999999997</v>
      </c>
      <c r="AB84" s="54" t="e">
        <f>VLOOKUP(A84,Enforcements!$C$7:$K$9,8,0)</f>
        <v>#N/A</v>
      </c>
      <c r="AC84" s="51" t="e">
        <f>VLOOKUP(A84,Enforcements!$C$7:$E$9,3,0)</f>
        <v>#N/A</v>
      </c>
      <c r="AD84" s="179">
        <f t="shared" si="44"/>
        <v>168</v>
      </c>
      <c r="AE84" s="77" t="str">
        <f t="shared" si="45"/>
        <v>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 &amp; aws s3 cp s3://rtdc.mdm.uploadarchive.raw/RTDC4063/ "%USERPROFILE%\AppData\Local\Temp\OnboardLogs"\RTDC4063\2017-11-13 --exclude "*" --recursive --include "*20171113*" &amp; "%USERPROFILE%\Documents\GitHub\mrs-test-scripts\Headless Mode &amp; Sideloading\WalkAndUnGZ.bat" "%USERPROFILE%\AppData\Local\Temp\OnboardLogs"\RTDC4063\2017-11-13</v>
      </c>
      <c r="AF84" s="74" t="str">
        <f t="shared" si="46"/>
        <v>"C:\Program Files (x86)\AstroGrep\AstroGrep.exe" /e /r /s /spath="%USERPROFILE%\AppData\Local\Temp\OnboardLogs" /stypes="app*4063*20171112*" /stext=" 20:.+((SYSTEM_STATE.+slice.+state.+changed )|(ment ac)|(multiple cpu faults)|(system.+state.+changed )|(\[timeout)|(PRM\|1\|D)|(kpr)|(kdp)|(train st.+moving)|(\|lc)|(penalty))"</v>
      </c>
      <c r="AG84" s="182" t="str">
        <f t="shared" si="47"/>
        <v>EC</v>
      </c>
      <c r="AH84" s="78" t="str">
        <f t="shared" si="50"/>
        <v>"%USERPROFILE%\Documents\GitHub\eaglep3\Utilities\RefineRTDCRunTimes.py" --tripid 168-12 --locoid 4063 --swversion DE.1.0.9.0 --startMP 204:232949 --initTime 2017-11-12T12:47:45 --startdatetime 2017-11-12T12:57:14 --delay 272 --endMP 204:192 --enddatetime 2017-11-12T13:36:39 --enforcementcount 0 &gt;&gt;%USERPROFILE%\Documents\GitHub\eaglep3-reporting\EC\2017-11-12-refined-times.txt</v>
      </c>
      <c r="AI84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{"issue":{"subject":"","project_id":79,"tracker_id":40,"status_id":1,"priority_id":2,"assigned_to_id":338,"start_date":"2017-11-12","description":"","custom_fields":[{"id":1,"name":"Subdivision","value":"EC"},{"id":4,"name":"Milepost","value":"0.0192"},{"id":17,"name":"Train ID","value":"168-12"},{"id":16,"name":"Locomotive ID","value":"4063"},{"id":130,"name":"Impact","value":""},{"id":150,"name":"Time of Event (Mountain Time)","value":"13:36:39"},{"id":151,"name":"Denver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51"/>
        <v>start /low /b %USERPROFILE%\Documents\GitHub\eaglep3\Utilities\DownloadLogsFromS3.py --loco 4063 --day 2017-11-12</v>
      </c>
      <c r="AN84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20:36:39"},{"id":29,"name":"Sharepoint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2"/>
        <v>https://d0f6bd738d7f1b3e5a7ca70fe4ff75f0.us-east-1.aws.found.io/app/kibana#/discover/Steve-Slow-Train-Analysis-(2080s-and-2083s)?_g=(refreshInterval:(display:Off,pause:!f,section:0,value:0),time:(from:'2017-11-12T11:47:45-0700',mode:absolute,to:'2017-11-12T14:36:39-0700'))&amp;_a=(columns:!('Message%20ID',Summary),filters:!(),index:'emp_*',interval:auto,query:(query_string:(analyze_wildcard:!t,query:'%22rtdc.l.rtdc.4063%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771</v>
      </c>
      <c r="B85" s="7">
        <v>4052</v>
      </c>
      <c r="C85" s="21" t="s">
        <v>192</v>
      </c>
      <c r="D85" s="21" t="s">
        <v>605</v>
      </c>
      <c r="E85" s="13">
        <v>43051.505648148152</v>
      </c>
      <c r="F85" s="13">
        <v>43051.510613425926</v>
      </c>
      <c r="G85" s="7">
        <v>75</v>
      </c>
      <c r="H85" s="21" t="s">
        <v>940</v>
      </c>
      <c r="I85" s="13">
        <v>43051.534537037034</v>
      </c>
      <c r="J85" s="7">
        <v>0</v>
      </c>
      <c r="K85" s="89" t="str">
        <f t="shared" si="39"/>
        <v>4051/4052</v>
      </c>
      <c r="L85" s="185" t="str">
        <f>VLOOKUP(A85,'Trips&amp;Operators'!$C$1:$G$99911,5,FALSE)</f>
        <v>MAGEE KENYA</v>
      </c>
      <c r="M85" s="6">
        <f t="shared" si="40"/>
        <v>2.3923611108330078E-2</v>
      </c>
      <c r="N85" s="7">
        <f t="shared" si="37"/>
        <v>34.449999995995313</v>
      </c>
      <c r="O85" s="7"/>
      <c r="P85" s="7"/>
      <c r="Q85" s="22"/>
      <c r="R85" s="174"/>
      <c r="S85" s="221">
        <f t="shared" si="38"/>
        <v>1</v>
      </c>
      <c r="T85" s="174" t="str">
        <f t="shared" si="41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2"/>
        <v>https://d0f6bd738d7f1b3e5a7ca70fe4ff75f0.us-east-1.aws.found.io/app/kibana#/discover/Steve-Slow-Train-Analysis-(2080s-and-2083s)?_g=(refreshInterval:(display:Off,pause:!f,section:0,value:0),time:(from:'2017-11-12T11:08:08-0700',mode:absolute,to:'2017-11-12T13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5" s="204" t="str">
        <f>IF(AA85&lt;VLOOKUP(AG85,Variables!$AC$3:$AD$8,2,FALSE),"Y","N")</f>
        <v>N</v>
      </c>
      <c r="X85" s="204">
        <f t="shared" si="32"/>
        <v>1</v>
      </c>
      <c r="Y85" s="204">
        <f t="shared" si="35"/>
        <v>4.6899999999999997E-2</v>
      </c>
      <c r="Z85" s="204">
        <f t="shared" si="36"/>
        <v>23.3368</v>
      </c>
      <c r="AA85" s="204">
        <f t="shared" si="43"/>
        <v>23.289899999999999</v>
      </c>
      <c r="AB85" s="54" t="e">
        <f>VLOOKUP(A85,Enforcements!$C$7:$K$9,8,0)</f>
        <v>#N/A</v>
      </c>
      <c r="AC85" s="51" t="e">
        <f>VLOOKUP(A85,Enforcements!$C$7:$E$9,3,0)</f>
        <v>#N/A</v>
      </c>
      <c r="AD85" s="179">
        <f t="shared" si="44"/>
        <v>169</v>
      </c>
      <c r="AE85" s="77" t="str">
        <f t="shared" si="45"/>
        <v>aws s3 cp s3://rtdc.mdm.uploadarchive.raw/RTDC4052/ "%USERPROFILE%\AppData\Local\Temp\OnboardLogs"\RTDC4052\2017-11-12 --exclude "*" --recursive --include "*20171112*" &amp; "%USERPROFILE%\Documents\GitHub\mrs-test-scripts\Headless Mode &amp; Sideloading\WalkAndUnGZ.bat" "%USERPROFILE%\AppData\Local\Temp\OnboardLogs"\RTDC4052\2017-11-12 &amp; aws s3 cp s3://rtdc.mdm.uploadarchive.raw/RTDC4052/ "%USERPROFILE%\AppData\Local\Temp\OnboardLogs"\RTDC4052\2017-11-13 --exclude "*" --recursive --include "*20171113*" &amp; "%USERPROFILE%\Documents\GitHub\mrs-test-scripts\Headless Mode &amp; Sideloading\WalkAndUnGZ.bat" "%USERPROFILE%\AppData\Local\Temp\OnboardLogs"\RTDC4052\2017-11-13</v>
      </c>
      <c r="AF85" s="74" t="str">
        <f t="shared" si="46"/>
        <v>"C:\Program Files (x86)\AstroGrep\AstroGrep.exe" /e /r /s /spath="%USERPROFILE%\AppData\Local\Temp\OnboardLogs" /stypes="app*4052*20171112*" /stext=" 19:.+((SYSTEM_STATE.+slice.+state.+changed )|(ment ac)|(multiple cpu faults)|(system.+state.+changed )|(\[timeout)|(PRM\|1\|D)|(kpr)|(kdp)|(train st.+moving)|(\|lc)|(penalty))"</v>
      </c>
      <c r="AG85" s="182" t="str">
        <f t="shared" si="47"/>
        <v>EC</v>
      </c>
      <c r="AH85" s="78" t="str">
        <f t="shared" si="50"/>
        <v>"%USERPROFILE%\Documents\GitHub\eaglep3\Utilities\RefineRTDCRunTimes.py" --tripid 169-12 --locoid 4052 --swversion DE.1.0.9.0 --startMP 204:469 --initTime 2017-11-12T12:08:08 --startdatetime 2017-11-12T12:15:17 --delay 75 --endMP 204:233368 --enddatetime 2017-11-12T12:49:44 --enforcementcount 0 &gt;&gt;%USERPROFILE%\Documents\GitHub\eaglep3-reporting\EC\2017-11-12-refined-times.txt</v>
      </c>
      <c r="AI85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{"issue":{"subject":"","project_id":79,"tracker_id":40,"status_id":1,"priority_id":2,"assigned_to_id":338,"start_date":"2017-11-12","description":"","custom_fields":[{"id":1,"name":"Subdivision","value":"EC"},{"id":4,"name":"Milepost","value":"23.3368"},{"id":17,"name":"Train ID","value":"169-12"},{"id":16,"name":"Locomotive ID","value":"4052"},{"id":130,"name":"Impact","value":""},{"id":150,"name":"Time of Event (Mountain Time)","value":"12:49:44"},{"id":151,"name":"Denver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51"/>
        <v>start /low /b %USERPROFILE%\Documents\GitHub\eaglep3\Utilities\DownloadLogsFromS3.py --loco 4052 --day 2017-11-12</v>
      </c>
      <c r="AN85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2"/>
        <v>https://d0f6bd738d7f1b3e5a7ca70fe4ff75f0.us-east-1.aws.found.io/app/kibana#/discover/Steve-Slow-Train-Analysis-(2080s-and-2083s)?_g=(refreshInterval:(display:Off,pause:!f,section:0,value:0),time:(from:'2017-11-12T11:08:08-0700',mode:absolute,to:'2017-11-12T13:49:44-0700'))&amp;_a=(columns:!('Message%20ID',Summary),filters:!(),index:'emp_*',interval:auto,query:(query_string:(analyze_wildcard:!t,query:'%22rtdc.l.rtdc.4052%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780</v>
      </c>
      <c r="B86" s="7">
        <v>4051</v>
      </c>
      <c r="C86" s="21" t="s">
        <v>192</v>
      </c>
      <c r="D86" s="21" t="s">
        <v>941</v>
      </c>
      <c r="E86" s="13">
        <v>43051.543136574073</v>
      </c>
      <c r="F86" s="13">
        <v>43051.550243055557</v>
      </c>
      <c r="G86" s="7">
        <v>449</v>
      </c>
      <c r="H86" s="21" t="s">
        <v>468</v>
      </c>
      <c r="I86" s="13">
        <v>43051.576145833336</v>
      </c>
      <c r="J86" s="7">
        <v>0</v>
      </c>
      <c r="K86" s="89" t="str">
        <f t="shared" si="39"/>
        <v>4051/4052</v>
      </c>
      <c r="L86" s="185" t="str">
        <f>VLOOKUP(A86,'Trips&amp;Operators'!$C$1:$G$99911,5,FALSE)</f>
        <v>MAGEE KENYA</v>
      </c>
      <c r="M86" s="6">
        <f t="shared" si="40"/>
        <v>2.5902777779265307E-2</v>
      </c>
      <c r="N86" s="7">
        <f t="shared" si="37"/>
        <v>37.300000002142042</v>
      </c>
      <c r="O86" s="7"/>
      <c r="P86" s="7"/>
      <c r="Q86" s="22"/>
      <c r="R86" s="174"/>
      <c r="S86" s="221">
        <f t="shared" si="38"/>
        <v>1</v>
      </c>
      <c r="T86" s="174" t="str">
        <f t="shared" si="41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2"/>
        <v>https://d0f6bd738d7f1b3e5a7ca70fe4ff75f0.us-east-1.aws.found.io/app/kibana#/discover/Steve-Slow-Train-Analysis-(2080s-and-2083s)?_g=(refreshInterval:(display:Off,pause:!f,section:0,value:0),time:(from:'2017-11-12T12:02:07-0700',mode:absolute,to:'2017-11-12T14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6" s="204" t="str">
        <f>IF(AA86&lt;VLOOKUP(AG86,Variables!$AC$3:$AD$8,2,FALSE),"Y","N")</f>
        <v>N</v>
      </c>
      <c r="X86" s="204">
        <f t="shared" ref="X86:X117" si="53">VALUE(LEFT(AD86,4))-VALUE(LEFT(AD85,4))</f>
        <v>1</v>
      </c>
      <c r="Y86" s="204">
        <f t="shared" si="35"/>
        <v>23.297999999999998</v>
      </c>
      <c r="Z86" s="204">
        <f t="shared" si="36"/>
        <v>1.9400000000000001E-2</v>
      </c>
      <c r="AA86" s="204">
        <f t="shared" si="43"/>
        <v>23.278599999999997</v>
      </c>
      <c r="AB86" s="54" t="e">
        <f>VLOOKUP(A86,Enforcements!$C$7:$K$9,8,0)</f>
        <v>#N/A</v>
      </c>
      <c r="AC86" s="51" t="e">
        <f>VLOOKUP(A86,Enforcements!$C$7:$E$9,3,0)</f>
        <v>#N/A</v>
      </c>
      <c r="AD86" s="179">
        <f t="shared" si="44"/>
        <v>170</v>
      </c>
      <c r="AE86" s="77" t="str">
        <f t="shared" si="45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86" s="74" t="str">
        <f t="shared" si="46"/>
        <v>"C:\Program Files (x86)\AstroGrep\AstroGrep.exe" /e /r /s /spath="%USERPROFILE%\AppData\Local\Temp\OnboardLogs" /stypes="app*4051*20171112*" /stext=" 20:.+((SYSTEM_STATE.+slice.+state.+changed )|(ment ac)|(multiple cpu faults)|(system.+state.+changed )|(\[timeout)|(PRM\|1\|D)|(kpr)|(kdp)|(train st.+moving)|(\|lc)|(penalty))"</v>
      </c>
      <c r="AG86" s="182" t="str">
        <f t="shared" si="47"/>
        <v>EC</v>
      </c>
      <c r="AH86" s="78" t="str">
        <f t="shared" si="50"/>
        <v>"%USERPROFILE%\Documents\GitHub\eaglep3\Utilities\RefineRTDCRunTimes.py" --tripid 170-12 --locoid 4051 --swversion DE.1.0.9.0 --startMP 204:232980 --initTime 2017-11-12T13:02:07 --startdatetime 2017-11-12T13:12:21 --delay 449 --endMP 204:194 --enddatetime 2017-11-12T13:49:39 --enforcementcount 0 &gt;&gt;%USERPROFILE%\Documents\GitHub\eaglep3-reporting\EC\2017-11-12-refined-times.txt</v>
      </c>
      <c r="AI86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{"issue":{"subject":"","project_id":79,"tracker_id":40,"status_id":1,"priority_id":2,"assigned_to_id":338,"start_date":"2017-11-12","description":"","custom_fields":[{"id":1,"name":"Subdivision","value":"EC"},{"id":4,"name":"Milepost","value":"0.0194"},{"id":17,"name":"Train ID","value":"170-12"},{"id":16,"name":"Locomotive ID","value":"4051"},{"id":130,"name":"Impact","value":""},{"id":150,"name":"Time of Event (Mountain Time)","value":"13:49:39"},{"id":151,"name":"Denver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51"/>
        <v>start /low /b %USERPROFILE%\Documents\GitHub\eaglep3\Utilities\DownloadLogsFromS3.py --loco 4051 --day 2017-11-12</v>
      </c>
      <c r="AN86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20:49:39"},{"id":29,"name":"Sharepoint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2"/>
        <v>https://d0f6bd738d7f1b3e5a7ca70fe4ff75f0.us-east-1.aws.found.io/app/kibana#/discover/Steve-Slow-Train-Analysis-(2080s-and-2083s)?_g=(refreshInterval:(display:Off,pause:!f,section:0,value:0),time:(from:'2017-11-12T12:02:07-0700',mode:absolute,to:'2017-11-12T14:49:39-0700'))&amp;_a=(columns:!('Message%20ID',Summary),filters:!(),index:'emp_*',interval:auto,query:(query_string:(analyze_wildcard:!t,query:'%22rtdc.l.rtdc.4051%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775</v>
      </c>
      <c r="B87" s="7">
        <v>4042</v>
      </c>
      <c r="C87" s="21" t="s">
        <v>192</v>
      </c>
      <c r="D87" s="21" t="s">
        <v>894</v>
      </c>
      <c r="E87" s="13">
        <v>43051.516701388886</v>
      </c>
      <c r="F87" s="13">
        <v>43051.52103009259</v>
      </c>
      <c r="G87" s="7">
        <v>74</v>
      </c>
      <c r="H87" s="21" t="s">
        <v>876</v>
      </c>
      <c r="I87" s="13">
        <v>43051.545937499999</v>
      </c>
      <c r="J87" s="7">
        <v>0</v>
      </c>
      <c r="K87" s="89" t="str">
        <f t="shared" si="39"/>
        <v>4041/4042</v>
      </c>
      <c r="L87" s="185" t="str">
        <f>VLOOKUP(A87,'Trips&amp;Operators'!$C$1:$G$99911,5,FALSE)</f>
        <v>STEWART MICHAEL</v>
      </c>
      <c r="M87" s="6">
        <f t="shared" si="40"/>
        <v>2.4907407409045845E-2</v>
      </c>
      <c r="N87" s="7">
        <f t="shared" si="37"/>
        <v>35.866666669026017</v>
      </c>
      <c r="O87" s="7"/>
      <c r="P87" s="7"/>
      <c r="Q87" s="22"/>
      <c r="R87" s="174"/>
      <c r="S87" s="221">
        <f t="shared" si="38"/>
        <v>1</v>
      </c>
      <c r="T87" s="174" t="str">
        <f t="shared" si="41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2"/>
        <v>https://d0f6bd738d7f1b3e5a7ca70fe4ff75f0.us-east-1.aws.found.io/app/kibana#/discover/Steve-Slow-Train-Analysis-(2080s-and-2083s)?_g=(refreshInterval:(display:Off,pause:!f,section:0,value:0),time:(from:'2017-11-12T11:24:03-0700',mode:absolute,to:'2017-11-12T14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7" s="204" t="str">
        <f>IF(AA87&lt;VLOOKUP(AG87,Variables!$AC$3:$AD$8,2,FALSE),"Y","N")</f>
        <v>N</v>
      </c>
      <c r="X87" s="204">
        <f t="shared" si="53"/>
        <v>1</v>
      </c>
      <c r="Y87" s="204">
        <f t="shared" si="35"/>
        <v>5.3999999999999999E-2</v>
      </c>
      <c r="Z87" s="204">
        <f t="shared" si="36"/>
        <v>23.327999999999999</v>
      </c>
      <c r="AA87" s="204">
        <f t="shared" si="43"/>
        <v>23.274000000000001</v>
      </c>
      <c r="AB87" s="54" t="e">
        <f>VLOOKUP(A87,Enforcements!$C$7:$K$9,8,0)</f>
        <v>#N/A</v>
      </c>
      <c r="AC87" s="51" t="e">
        <f>VLOOKUP(A87,Enforcements!$C$7:$E$9,3,0)</f>
        <v>#N/A</v>
      </c>
      <c r="AD87" s="179">
        <f t="shared" si="44"/>
        <v>171</v>
      </c>
      <c r="AE87" s="77" t="str">
        <f t="shared" si="45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87" s="74" t="str">
        <f t="shared" si="46"/>
        <v>"C:\Program Files (x86)\AstroGrep\AstroGrep.exe" /e /r /s /spath="%USERPROFILE%\AppData\Local\Temp\OnboardLogs" /stypes="app*4042*20171112*" /stext=" 20:.+((SYSTEM_STATE.+slice.+state.+changed )|(ment ac)|(multiple cpu faults)|(system.+state.+changed )|(\[timeout)|(PRM\|1\|D)|(kpr)|(kdp)|(train st.+moving)|(\|lc)|(penalty))"</v>
      </c>
      <c r="AG87" s="182" t="str">
        <f t="shared" si="47"/>
        <v>EC</v>
      </c>
      <c r="AH87" s="78" t="str">
        <f t="shared" si="50"/>
        <v>"%USERPROFILE%\Documents\GitHub\eaglep3\Utilities\RefineRTDCRunTimes.py" --tripid 171-12 --locoid 4042 --swversion DE.1.0.9.0 --startMP 204:540 --initTime 2017-11-12T12:24:03 --startdatetime 2017-11-12T12:30:17 --delay 74 --endMP 204:233280 --enddatetime 2017-11-12T13:06:09 --enforcementcount 0 &gt;&gt;%USERPROFILE%\Documents\GitHub\eaglep3-reporting\EC\2017-11-12-refined-times.txt</v>
      </c>
      <c r="AI87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{"issue":{"subject":"","project_id":79,"tracker_id":40,"status_id":1,"priority_id":2,"assigned_to_id":338,"start_date":"2017-11-12","description":"","custom_fields":[{"id":1,"name":"Subdivision","value":"EC"},{"id":4,"name":"Milepost","value":"23.328"},{"id":17,"name":"Train ID","value":"171-12"},{"id":16,"name":"Locomotive ID","value":"4042"},{"id":130,"name":"Impact","value":""},{"id":150,"name":"Time of Event (Mountain Time)","value":"13:06:09"},{"id":151,"name":"Denver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51"/>
        <v>start /low /b %USERPROFILE%\Documents\GitHub\eaglep3\Utilities\DownloadLogsFromS3.py --loco 4042 --day 2017-11-12</v>
      </c>
      <c r="AN87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20:06:09"},{"id":29,"name":"Sharepoint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2"/>
        <v>https://d0f6bd738d7f1b3e5a7ca70fe4ff75f0.us-east-1.aws.found.io/app/kibana#/discover/Steve-Slow-Train-Analysis-(2080s-and-2083s)?_g=(refreshInterval:(display:Off,pause:!f,section:0,value:0),time:(from:'2017-11-12T11:24:03-0700',mode:absolute,to:'2017-11-12T14:06:09-0700'))&amp;_a=(columns:!('Message%20ID',Summary),filters:!(),index:'emp_*',interval:auto,query:(query_string:(analyze_wildcard:!t,query:'%22rtdc.l.rtdc.4042%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652</v>
      </c>
      <c r="B88" s="7">
        <v>4041</v>
      </c>
      <c r="C88" s="21" t="s">
        <v>192</v>
      </c>
      <c r="D88" s="21" t="s">
        <v>476</v>
      </c>
      <c r="E88" s="13">
        <v>43051.556712962964</v>
      </c>
      <c r="F88" s="13">
        <v>43051.560648148145</v>
      </c>
      <c r="G88" s="7">
        <v>60</v>
      </c>
      <c r="H88" s="21" t="s">
        <v>942</v>
      </c>
      <c r="I88" s="13">
        <v>43051.586701388886</v>
      </c>
      <c r="J88" s="7">
        <v>0</v>
      </c>
      <c r="K88" s="89" t="str">
        <f t="shared" si="39"/>
        <v>4041/4042</v>
      </c>
      <c r="L88" s="185" t="str">
        <f>VLOOKUP(A88,'Trips&amp;Operators'!$C$1:$G$99911,5,FALSE)</f>
        <v>STEWART MICHAEL</v>
      </c>
      <c r="M88" s="6">
        <f t="shared" si="40"/>
        <v>2.6053240741021E-2</v>
      </c>
      <c r="N88" s="7">
        <f t="shared" si="37"/>
        <v>37.51666666707024</v>
      </c>
      <c r="O88" s="7"/>
      <c r="P88" s="7"/>
      <c r="Q88" s="22"/>
      <c r="R88" s="174"/>
      <c r="S88" s="221">
        <f t="shared" si="38"/>
        <v>1</v>
      </c>
      <c r="T88" s="174" t="str">
        <f t="shared" si="41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2"/>
        <v>https://d0f6bd738d7f1b3e5a7ca70fe4ff75f0.us-east-1.aws.found.io/app/kibana#/discover/Steve-Slow-Train-Analysis-(2080s-and-2083s)?_g=(refreshInterval:(display:Off,pause:!f,section:0,value:0),time:(from:'2017-11-12T12:21:40-0700',mode:absolute,to:'2017-11-12T15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8" s="204" t="str">
        <f>IF(AA88&lt;VLOOKUP(AG88,Variables!$AC$3:$AD$8,2,FALSE),"Y","N")</f>
        <v>N</v>
      </c>
      <c r="X88" s="204">
        <f t="shared" si="53"/>
        <v>1</v>
      </c>
      <c r="Y88" s="204">
        <f t="shared" ref="Y88:Y119" si="54">RIGHT(D88,LEN(D88)-4)/10000</f>
        <v>23.2957</v>
      </c>
      <c r="Z88" s="204">
        <f t="shared" ref="Z88:Z119" si="55">RIGHT(H88,LEN(H88)-4)/10000</f>
        <v>6.9199999999999998E-2</v>
      </c>
      <c r="AA88" s="204">
        <f t="shared" si="43"/>
        <v>23.226500000000001</v>
      </c>
      <c r="AB88" s="54" t="e">
        <f>VLOOKUP(A88,Enforcements!$C$7:$K$9,8,0)</f>
        <v>#N/A</v>
      </c>
      <c r="AC88" s="51" t="e">
        <f>VLOOKUP(A88,Enforcements!$C$7:$E$9,3,0)</f>
        <v>#N/A</v>
      </c>
      <c r="AD88" s="179">
        <f t="shared" si="44"/>
        <v>172</v>
      </c>
      <c r="AE88" s="77" t="str">
        <f t="shared" si="45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88" s="74" t="str">
        <f t="shared" si="46"/>
        <v>"C:\Program Files (x86)\AstroGrep\AstroGrep.exe" /e /r /s /spath="%USERPROFILE%\AppData\Local\Temp\OnboardLogs" /stypes="app*4041*20171112*" /stext=" 21:.+((SYSTEM_STATE.+slice.+state.+changed )|(ment ac)|(multiple cpu faults)|(system.+state.+changed )|(\[timeout)|(PRM\|1\|D)|(kpr)|(kdp)|(train st.+moving)|(\|lc)|(penalty))"</v>
      </c>
      <c r="AG88" s="182" t="str">
        <f t="shared" si="47"/>
        <v>EC</v>
      </c>
      <c r="AH88" s="78" t="str">
        <f t="shared" si="50"/>
        <v>"%USERPROFILE%\Documents\GitHub\eaglep3\Utilities\RefineRTDCRunTimes.py" --tripid 172-12 --locoid 4041 --swversion DE.1.0.9.0 --startMP 204:232957 --initTime 2017-11-12T13:21:40 --startdatetime 2017-11-12T13:27:20 --delay 60 --endMP 204:692 --enddatetime 2017-11-12T14:04:51 --enforcementcount 0 &gt;&gt;%USERPROFILE%\Documents\GitHub\eaglep3-reporting\EC\2017-11-12-refined-times.txt</v>
      </c>
      <c r="AI88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{"issue":{"subject":"","project_id":79,"tracker_id":40,"status_id":1,"priority_id":2,"assigned_to_id":338,"start_date":"2017-11-12","description":"","custom_fields":[{"id":1,"name":"Subdivision","value":"EC"},{"id":4,"name":"Milepost","value":"0.0692"},{"id":17,"name":"Train ID","value":"172-12"},{"id":16,"name":"Locomotive ID","value":"4041"},{"id":130,"name":"Impact","value":""},{"id":150,"name":"Time of Event (Mountain Time)","value":"14:04:51"},{"id":151,"name":"Denver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51"/>
        <v>start /low /b %USERPROFILE%\Documents\GitHub\eaglep3\Utilities\DownloadLogsFromS3.py --loco 4041 --day 2017-11-12</v>
      </c>
      <c r="AN88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21:04:51"},{"id":29,"name":"Sharepoint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2"/>
        <v>https://d0f6bd738d7f1b3e5a7ca70fe4ff75f0.us-east-1.aws.found.io/app/kibana#/discover/Steve-Slow-Train-Analysis-(2080s-and-2083s)?_g=(refreshInterval:(display:Off,pause:!f,section:0,value:0),time:(from:'2017-11-12T12:21:40-0700',mode:absolute,to:'2017-11-12T15:04:51-0700'))&amp;_a=(columns:!('Message%20ID',Summary),filters:!(),index:'emp_*',interval:auto,query:(query_string:(analyze_wildcard:!t,query:'%22rtdc.l.rtdc.4041%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777</v>
      </c>
      <c r="B89" s="7">
        <v>4004</v>
      </c>
      <c r="C89" s="21" t="s">
        <v>192</v>
      </c>
      <c r="D89" s="21" t="s">
        <v>609</v>
      </c>
      <c r="E89" s="13">
        <v>43051.526643518519</v>
      </c>
      <c r="F89" s="13">
        <v>43051.531469907408</v>
      </c>
      <c r="G89" s="7">
        <v>69</v>
      </c>
      <c r="H89" s="21" t="s">
        <v>617</v>
      </c>
      <c r="I89" s="13">
        <v>43051.555810185186</v>
      </c>
      <c r="J89" s="7">
        <v>0</v>
      </c>
      <c r="K89" s="89" t="str">
        <f t="shared" si="39"/>
        <v>4003/4004</v>
      </c>
      <c r="L89" s="185" t="str">
        <f>VLOOKUP(A89,'Trips&amp;Operators'!$C$1:$G$99911,5,FALSE)</f>
        <v>SMITH MICHAEL</v>
      </c>
      <c r="M89" s="6">
        <f t="shared" si="40"/>
        <v>2.4340277777810115E-2</v>
      </c>
      <c r="N89" s="7">
        <f t="shared" si="37"/>
        <v>35.050000000046566</v>
      </c>
      <c r="O89" s="7"/>
      <c r="P89" s="7"/>
      <c r="Q89" s="22"/>
      <c r="R89" s="174"/>
      <c r="S89" s="221">
        <f t="shared" si="38"/>
        <v>1</v>
      </c>
      <c r="T89" s="174" t="str">
        <f t="shared" si="41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2"/>
        <v>https://d0f6bd738d7f1b3e5a7ca70fe4ff75f0.us-east-1.aws.found.io/app/kibana#/discover/Steve-Slow-Train-Analysis-(2080s-and-2083s)?_g=(refreshInterval:(display:Off,pause:!f,section:0,value:0),time:(from:'2017-11-12T11:38:22-0700',mode:absolute,to:'2017-11-12T14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9" s="204" t="str">
        <f>IF(AA89&lt;VLOOKUP(AG89,Variables!$AC$3:$AD$8,2,FALSE),"Y","N")</f>
        <v>N</v>
      </c>
      <c r="X89" s="204">
        <f t="shared" si="53"/>
        <v>1</v>
      </c>
      <c r="Y89" s="204">
        <f t="shared" si="54"/>
        <v>5.2400000000000002E-2</v>
      </c>
      <c r="Z89" s="204">
        <f t="shared" si="55"/>
        <v>23.318999999999999</v>
      </c>
      <c r="AA89" s="204">
        <f t="shared" si="43"/>
        <v>23.2666</v>
      </c>
      <c r="AB89" s="54" t="e">
        <f>VLOOKUP(A89,Enforcements!$C$7:$K$9,8,0)</f>
        <v>#N/A</v>
      </c>
      <c r="AC89" s="51" t="e">
        <f>VLOOKUP(A89,Enforcements!$C$7:$E$9,3,0)</f>
        <v>#N/A</v>
      </c>
      <c r="AD89" s="179">
        <f t="shared" si="44"/>
        <v>173</v>
      </c>
      <c r="AE89" s="77" t="str">
        <f t="shared" si="45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89" s="74" t="str">
        <f t="shared" si="46"/>
        <v>"C:\Program Files (x86)\AstroGrep\AstroGrep.exe" /e /r /s /spath="%USERPROFILE%\AppData\Local\Temp\OnboardLogs" /stypes="app*4004*20171112*" /stext=" 20:.+((SYSTEM_STATE.+slice.+state.+changed )|(ment ac)|(multiple cpu faults)|(system.+state.+changed )|(\[timeout)|(PRM\|1\|D)|(kpr)|(kdp)|(train st.+moving)|(\|lc)|(penalty))"</v>
      </c>
      <c r="AG89" s="182" t="str">
        <f t="shared" si="47"/>
        <v>EC</v>
      </c>
      <c r="AH89" s="78" t="str">
        <f t="shared" si="50"/>
        <v>"%USERPROFILE%\Documents\GitHub\eaglep3\Utilities\RefineRTDCRunTimes.py" --tripid 173-12 --locoid 4004 --swversion DE.1.0.9.0 --startMP 204:524 --initTime 2017-11-12T12:38:22 --startdatetime 2017-11-12T12:45:19 --delay 69 --endMP 204:233190 --enddatetime 2017-11-12T13:20:22 --enforcementcount 0 &gt;&gt;%USERPROFILE%\Documents\GitHub\eaglep3-reporting\EC\2017-11-12-refined-times.txt</v>
      </c>
      <c r="AI89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{"issue":{"subject":"","project_id":79,"tracker_id":40,"status_id":1,"priority_id":2,"assigned_to_id":338,"start_date":"2017-11-12","description":"","custom_fields":[{"id":1,"name":"Subdivision","value":"EC"},{"id":4,"name":"Milepost","value":"23.319"},{"id":17,"name":"Train ID","value":"173-12"},{"id":16,"name":"Locomotive ID","value":"4004"},{"id":130,"name":"Impact","value":""},{"id":150,"name":"Time of Event (Mountain Time)","value":"13:20:22"},{"id":151,"name":"Denver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51"/>
        <v>start /low /b %USERPROFILE%\Documents\GitHub\eaglep3\Utilities\DownloadLogsFromS3.py --loco 4004 --day 2017-11-12</v>
      </c>
      <c r="AN89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20:20:22"},{"id":29,"name":"Sharepoint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2"/>
        <v>https://d0f6bd738d7f1b3e5a7ca70fe4ff75f0.us-east-1.aws.found.io/app/kibana#/discover/Steve-Slow-Train-Analysis-(2080s-and-2083s)?_g=(refreshInterval:(display:Off,pause:!f,section:0,value:0),time:(from:'2017-11-12T11:38:22-0700',mode:absolute,to:'2017-11-12T14:20:22-0700'))&amp;_a=(columns:!('Message%20ID',Summary),filters:!(),index:'emp_*',interval:auto,query:(query_string:(analyze_wildcard:!t,query:'%22rtdc.l.rtdc.4004%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784</v>
      </c>
      <c r="B90" s="7">
        <v>4003</v>
      </c>
      <c r="C90" s="21" t="s">
        <v>192</v>
      </c>
      <c r="D90" s="21" t="s">
        <v>588</v>
      </c>
      <c r="E90" s="13">
        <v>43051.560347222221</v>
      </c>
      <c r="F90" s="13">
        <v>43051.57104166667</v>
      </c>
      <c r="G90" s="7">
        <v>87</v>
      </c>
      <c r="H90" s="21" t="s">
        <v>943</v>
      </c>
      <c r="I90" s="13">
        <v>43051.597002314818</v>
      </c>
      <c r="J90" s="7">
        <v>0</v>
      </c>
      <c r="K90" s="89" t="str">
        <f t="shared" si="39"/>
        <v>4003/4004</v>
      </c>
      <c r="L90" s="185" t="str">
        <f>VLOOKUP(A90,'Trips&amp;Operators'!$C$1:$G$99911,5,FALSE)</f>
        <v>SMITH MICHAEL</v>
      </c>
      <c r="M90" s="6">
        <f t="shared" si="40"/>
        <v>2.5960648148611654E-2</v>
      </c>
      <c r="N90" s="7">
        <f t="shared" si="37"/>
        <v>37.383333334000781</v>
      </c>
      <c r="O90" s="7"/>
      <c r="P90" s="7"/>
      <c r="Q90" s="22"/>
      <c r="R90" s="174"/>
      <c r="S90" s="221">
        <f t="shared" si="38"/>
        <v>1</v>
      </c>
      <c r="T90" s="174" t="str">
        <f t="shared" si="41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2"/>
        <v>https://d0f6bd738d7f1b3e5a7ca70fe4ff75f0.us-east-1.aws.found.io/app/kibana#/discover/Steve-Slow-Train-Analysis-(2080s-and-2083s)?_g=(refreshInterval:(display:Off,pause:!f,section:0,value:0),time:(from:'2017-11-12T12:26:54-0700',mode:absolute,to:'2017-11-12T15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0" s="204" t="str">
        <f>IF(AA90&lt;VLOOKUP(AG90,Variables!$AC$3:$AD$8,2,FALSE),"Y","N")</f>
        <v>N</v>
      </c>
      <c r="X90" s="204">
        <f t="shared" si="53"/>
        <v>1</v>
      </c>
      <c r="Y90" s="204">
        <f t="shared" si="54"/>
        <v>23.286100000000001</v>
      </c>
      <c r="Z90" s="204">
        <f t="shared" si="55"/>
        <v>2.4E-2</v>
      </c>
      <c r="AA90" s="204">
        <f t="shared" si="43"/>
        <v>23.2621</v>
      </c>
      <c r="AB90" s="54" t="e">
        <f>VLOOKUP(A90,Enforcements!$C$7:$K$9,8,0)</f>
        <v>#N/A</v>
      </c>
      <c r="AC90" s="51" t="e">
        <f>VLOOKUP(A90,Enforcements!$C$7:$E$9,3,0)</f>
        <v>#N/A</v>
      </c>
      <c r="AD90" s="179">
        <f t="shared" si="44"/>
        <v>174</v>
      </c>
      <c r="AE90" s="77" t="str">
        <f t="shared" si="45"/>
        <v>aws s3 cp s3://rtdc.mdm.uploadarchive.raw/RTDC4003/ "%USERPROFILE%\AppData\Local\Temp\OnboardLogs"\RTDC4003\2017-11-12 --exclude "*" --recursive --include "*20171112*" &amp; "%USERPROFILE%\Documents\GitHub\mrs-test-scripts\Headless Mode &amp; Sideloading\WalkAndUnGZ.bat" "%USERPROFILE%\AppData\Local\Temp\OnboardLogs"\RTDC4003\2017-11-12 &amp; aws s3 cp s3://rtdc.mdm.uploadarchive.raw/RTDC4003/ "%USERPROFILE%\AppData\Local\Temp\OnboardLogs"\RTDC4003\2017-11-13 --exclude "*" --recursive --include "*20171113*" &amp; "%USERPROFILE%\Documents\GitHub\mrs-test-scripts\Headless Mode &amp; Sideloading\WalkAndUnGZ.bat" "%USERPROFILE%\AppData\Local\Temp\OnboardLogs"\RTDC4003\2017-11-13</v>
      </c>
      <c r="AF90" s="74" t="str">
        <f t="shared" si="46"/>
        <v>"C:\Program Files (x86)\AstroGrep\AstroGrep.exe" /e /r /s /spath="%USERPROFILE%\AppData\Local\Temp\OnboardLogs" /stypes="app*4003*20171112*" /stext=" 21:.+((SYSTEM_STATE.+slice.+state.+changed )|(ment ac)|(multiple cpu faults)|(system.+state.+changed )|(\[timeout)|(PRM\|1\|D)|(kpr)|(kdp)|(train st.+moving)|(\|lc)|(penalty))"</v>
      </c>
      <c r="AG90" s="182" t="str">
        <f t="shared" si="47"/>
        <v>EC</v>
      </c>
      <c r="AH90" s="78" t="str">
        <f t="shared" si="50"/>
        <v>"%USERPROFILE%\Documents\GitHub\eaglep3\Utilities\RefineRTDCRunTimes.py" --tripid 174-12 --locoid 4003 --swversion DE.1.0.9.0 --startMP 204:232861 --initTime 2017-11-12T13:26:54 --startdatetime 2017-11-12T13:42:18 --delay 87 --endMP 204:240 --enddatetime 2017-11-12T14:19:41 --enforcementcount 0 &gt;&gt;%USERPROFILE%\Documents\GitHub\eaglep3-reporting\EC\2017-11-12-refined-times.txt</v>
      </c>
      <c r="AI90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{"issue":{"subject":"","project_id":79,"tracker_id":40,"status_id":1,"priority_id":2,"assigned_to_id":338,"start_date":"2017-11-12","description":"","custom_fields":[{"id":1,"name":"Subdivision","value":"EC"},{"id":4,"name":"Milepost","value":"0.024"},{"id":17,"name":"Train ID","value":"174-12"},{"id":16,"name":"Locomotive ID","value":"4003"},{"id":130,"name":"Impact","value":""},{"id":150,"name":"Time of Event (Mountain Time)","value":"14:19:41"},{"id":151,"name":"Denver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51"/>
        <v>start /low /b %USERPROFILE%\Documents\GitHub\eaglep3\Utilities\DownloadLogsFromS3.py --loco 4003 --day 2017-11-12</v>
      </c>
      <c r="AN90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21:19:41"},{"id":29,"name":"Sharepoint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2"/>
        <v>https://d0f6bd738d7f1b3e5a7ca70fe4ff75f0.us-east-1.aws.found.io/app/kibana#/discover/Steve-Slow-Train-Analysis-(2080s-and-2083s)?_g=(refreshInterval:(display:Off,pause:!f,section:0,value:0),time:(from:'2017-11-12T12:26:54-0700',mode:absolute,to:'2017-11-12T15:19:41-0700'))&amp;_a=(columns:!('Message%20ID',Summary),filters:!(),index:'emp_*',interval:auto,query:(query_string:(analyze_wildcard:!t,query:'%22rtdc.l.rtdc.4003%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779</v>
      </c>
      <c r="B91" s="7">
        <v>4016</v>
      </c>
      <c r="C91" s="21" t="s">
        <v>192</v>
      </c>
      <c r="D91" s="21" t="s">
        <v>470</v>
      </c>
      <c r="E91" s="13">
        <v>43051.539895833332</v>
      </c>
      <c r="F91" s="13">
        <v>43051.541990740741</v>
      </c>
      <c r="G91" s="7">
        <v>82</v>
      </c>
      <c r="H91" s="21" t="s">
        <v>611</v>
      </c>
      <c r="I91" s="13">
        <v>43051.567361111112</v>
      </c>
      <c r="J91" s="7">
        <v>0</v>
      </c>
      <c r="K91" s="89" t="str">
        <f t="shared" si="39"/>
        <v>4015/4016</v>
      </c>
      <c r="L91" s="185" t="str">
        <f>VLOOKUP(A91,'Trips&amp;Operators'!$C$1:$G$99911,5,FALSE)</f>
        <v>DAVIS MICHAEL</v>
      </c>
      <c r="M91" s="6">
        <f t="shared" si="40"/>
        <v>2.5370370371092577E-2</v>
      </c>
      <c r="N91" s="7">
        <f t="shared" si="37"/>
        <v>36.53333333437331</v>
      </c>
      <c r="O91" s="7"/>
      <c r="P91" s="7"/>
      <c r="Q91" s="22"/>
      <c r="R91" s="174"/>
      <c r="S91" s="221">
        <f t="shared" si="38"/>
        <v>1</v>
      </c>
      <c r="T91" s="174" t="str">
        <f t="shared" si="41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2"/>
        <v>https://d0f6bd738d7f1b3e5a7ca70fe4ff75f0.us-east-1.aws.found.io/app/kibana#/discover/Steve-Slow-Train-Analysis-(2080s-and-2083s)?_g=(refreshInterval:(display:Off,pause:!f,section:0,value:0),time:(from:'2017-11-12T11:57:27-0700',mode:absolute,to:'2017-11-12T14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204" t="str">
        <f>IF(AA91&lt;VLOOKUP(AG91,Variables!$AC$3:$AD$8,2,FALSE),"Y","N")</f>
        <v>N</v>
      </c>
      <c r="X91" s="204">
        <f t="shared" si="53"/>
        <v>1</v>
      </c>
      <c r="Y91" s="204">
        <f t="shared" si="54"/>
        <v>5.1900000000000002E-2</v>
      </c>
      <c r="Z91" s="204">
        <f t="shared" si="55"/>
        <v>23.325099999999999</v>
      </c>
      <c r="AA91" s="204">
        <f t="shared" si="43"/>
        <v>23.273199999999999</v>
      </c>
      <c r="AB91" s="54" t="e">
        <f>VLOOKUP(A91,Enforcements!$C$7:$K$9,8,0)</f>
        <v>#N/A</v>
      </c>
      <c r="AC91" s="51" t="e">
        <f>VLOOKUP(A91,Enforcements!$C$7:$E$9,3,0)</f>
        <v>#N/A</v>
      </c>
      <c r="AD91" s="179">
        <f t="shared" si="44"/>
        <v>175</v>
      </c>
      <c r="AE91" s="77" t="str">
        <f t="shared" si="45"/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91" s="74" t="str">
        <f t="shared" si="46"/>
        <v>"C:\Program Files (x86)\AstroGrep\AstroGrep.exe" /e /r /s /spath="%USERPROFILE%\AppData\Local\Temp\OnboardLogs" /stypes="app*4016*20171112*" /stext=" 20:.+((SYSTEM_STATE.+slice.+state.+changed )|(ment ac)|(multiple cpu faults)|(system.+state.+changed )|(\[timeout)|(PRM\|1\|D)|(kpr)|(kdp)|(train st.+moving)|(\|lc)|(penalty))"</v>
      </c>
      <c r="AG91" s="182" t="str">
        <f t="shared" si="47"/>
        <v>EC</v>
      </c>
      <c r="AH91" s="78" t="str">
        <f t="shared" si="50"/>
        <v>"%USERPROFILE%\Documents\GitHub\eaglep3\Utilities\RefineRTDCRunTimes.py" --tripid 175-12 --locoid 4016 --swversion DE.1.0.9.0 --startMP 204:519 --initTime 2017-11-12T12:57:27 --startdatetime 2017-11-12T13:00:28 --delay 82 --endMP 204:233251 --enddatetime 2017-11-12T13:37:00 --enforcementcount 0 &gt;&gt;%USERPROFILE%\Documents\GitHub\eaglep3-reporting\EC\2017-11-12-refined-times.txt</v>
      </c>
      <c r="AI91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{"issue":{"subject":"","project_id":79,"tracker_id":40,"status_id":1,"priority_id":2,"assigned_to_id":338,"start_date":"2017-11-12","description":"","custom_fields":[{"id":1,"name":"Subdivision","value":"EC"},{"id":4,"name":"Milepost","value":"23.3251"},{"id":17,"name":"Train ID","value":"175-12"},{"id":16,"name":"Locomotive ID","value":"4016"},{"id":130,"name":"Impact","value":""},{"id":150,"name":"Time of Event (Mountain Time)","value":"13:37:00"},{"id":151,"name":"Denver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51"/>
        <v>start /low /b %USERPROFILE%\Documents\GitHub\eaglep3\Utilities\DownloadLogsFromS3.py --loco 4016 --day 2017-11-12</v>
      </c>
      <c r="AN91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20:37:00"},{"id":29,"name":"Sharepoint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2"/>
        <v>https://d0f6bd738d7f1b3e5a7ca70fe4ff75f0.us-east-1.aws.found.io/app/kibana#/discover/Steve-Slow-Train-Analysis-(2080s-and-2083s)?_g=(refreshInterval:(display:Off,pause:!f,section:0,value:0),time:(from:'2017-11-12T11:57:27-0700',mode:absolute,to:'2017-11-12T14:37:00-0700'))&amp;_a=(columns:!('Message%20ID',Summary),filters:!(),index:'emp_*',interval:auto,query:(query_string:(analyze_wildcard:!t,query:'%22rtdc.l.rtdc.4016%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787</v>
      </c>
      <c r="B92" s="7">
        <v>4015</v>
      </c>
      <c r="C92" s="21" t="s">
        <v>192</v>
      </c>
      <c r="D92" s="21" t="s">
        <v>944</v>
      </c>
      <c r="E92" s="13">
        <v>43051.577997685185</v>
      </c>
      <c r="F92" s="13">
        <v>43051.581550925926</v>
      </c>
      <c r="G92" s="7">
        <v>77</v>
      </c>
      <c r="H92" s="21" t="s">
        <v>491</v>
      </c>
      <c r="I92" s="13">
        <v>43051.608368055553</v>
      </c>
      <c r="J92" s="7">
        <v>0</v>
      </c>
      <c r="K92" s="89" t="str">
        <f t="shared" si="39"/>
        <v>4015/4016</v>
      </c>
      <c r="L92" s="185" t="str">
        <f>VLOOKUP(A92,'Trips&amp;Operators'!$C$1:$G$99911,5,FALSE)</f>
        <v>DAVIS MICHAEL</v>
      </c>
      <c r="M92" s="6">
        <f t="shared" si="40"/>
        <v>2.6817129626579117E-2</v>
      </c>
      <c r="N92" s="7">
        <f t="shared" si="37"/>
        <v>38.616666662273929</v>
      </c>
      <c r="O92" s="7"/>
      <c r="P92" s="7"/>
      <c r="Q92" s="22"/>
      <c r="R92" s="174"/>
      <c r="S92" s="221">
        <f t="shared" si="38"/>
        <v>1</v>
      </c>
      <c r="T92" s="174" t="str">
        <f t="shared" si="41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2"/>
        <v>https://d0f6bd738d7f1b3e5a7ca70fe4ff75f0.us-east-1.aws.found.io/app/kibana#/discover/Steve-Slow-Train-Analysis-(2080s-and-2083s)?_g=(refreshInterval:(display:Off,pause:!f,section:0,value:0),time:(from:'2017-11-12T12:52:19-0700',mode:absolute,to:'2017-11-12T15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204" t="str">
        <f>IF(AA92&lt;VLOOKUP(AG92,Variables!$AC$3:$AD$8,2,FALSE),"Y","N")</f>
        <v>N</v>
      </c>
      <c r="X92" s="204">
        <f t="shared" si="53"/>
        <v>1</v>
      </c>
      <c r="Y92" s="204">
        <f t="shared" si="54"/>
        <v>23.292999999999999</v>
      </c>
      <c r="Z92" s="204">
        <f t="shared" si="55"/>
        <v>2.0899999999999998E-2</v>
      </c>
      <c r="AA92" s="204">
        <f t="shared" si="43"/>
        <v>23.272099999999998</v>
      </c>
      <c r="AB92" s="54" t="e">
        <f>VLOOKUP(A92,Enforcements!$C$7:$K$9,8,0)</f>
        <v>#N/A</v>
      </c>
      <c r="AC92" s="51" t="e">
        <f>VLOOKUP(A92,Enforcements!$C$7:$E$9,3,0)</f>
        <v>#N/A</v>
      </c>
      <c r="AD92" s="179">
        <f t="shared" si="44"/>
        <v>176</v>
      </c>
      <c r="AE92" s="77" t="str">
        <f t="shared" si="45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92" s="74" t="str">
        <f t="shared" si="46"/>
        <v>"C:\Program Files (x86)\AstroGrep\AstroGrep.exe" /e /r /s /spath="%USERPROFILE%\AppData\Local\Temp\OnboardLogs" /stypes="app*4015*20171112*" /stext=" 21:.+((SYSTEM_STATE.+slice.+state.+changed )|(ment ac)|(multiple cpu faults)|(system.+state.+changed )|(\[timeout)|(PRM\|1\|D)|(kpr)|(kdp)|(train st.+moving)|(\|lc)|(penalty))"</v>
      </c>
      <c r="AG92" s="182" t="str">
        <f t="shared" si="47"/>
        <v>EC</v>
      </c>
      <c r="AH92" s="78" t="str">
        <f t="shared" si="50"/>
        <v>"%USERPROFILE%\Documents\GitHub\eaglep3\Utilities\RefineRTDCRunTimes.py" --tripid 176-12 --locoid 4015 --swversion DE.1.0.9.0 --startMP 204:232930 --initTime 2017-11-12T13:52:19 --startdatetime 2017-11-12T13:57:26 --delay 77 --endMP 204:209 --enddatetime 2017-11-12T14:36:03 --enforcementcount 0 &gt;&gt;%USERPROFILE%\Documents\GitHub\eaglep3-reporting\EC\2017-11-12-refined-times.txt</v>
      </c>
      <c r="AI92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{"issue":{"subject":"","project_id":79,"tracker_id":40,"status_id":1,"priority_id":2,"assigned_to_id":338,"start_date":"2017-11-12","description":"","custom_fields":[{"id":1,"name":"Subdivision","value":"EC"},{"id":4,"name":"Milepost","value":"0.0209"},{"id":17,"name":"Train ID","value":"176-12"},{"id":16,"name":"Locomotive ID","value":"4015"},{"id":130,"name":"Impact","value":""},{"id":150,"name":"Time of Event (Mountain Time)","value":"14:36:03"},{"id":151,"name":"Denver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51"/>
        <v>start /low /b %USERPROFILE%\Documents\GitHub\eaglep3\Utilities\DownloadLogsFromS3.py --loco 4015 --day 2017-11-12</v>
      </c>
      <c r="AN92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21:36:03"},{"id":29,"name":"Sharepoint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2"/>
        <v>https://d0f6bd738d7f1b3e5a7ca70fe4ff75f0.us-east-1.aws.found.io/app/kibana#/discover/Steve-Slow-Train-Analysis-(2080s-and-2083s)?_g=(refreshInterval:(display:Off,pause:!f,section:0,value:0),time:(from:'2017-11-12T12:52:19-0700',mode:absolute,to:'2017-11-12T15:36:03-0700'))&amp;_a=(columns:!('Message%20ID',Summary),filters:!(),index:'emp_*',interval:auto,query:(query_string:(analyze_wildcard:!t,query:'%22rtdc.l.rtdc.4015%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781</v>
      </c>
      <c r="B93" s="7">
        <v>4006</v>
      </c>
      <c r="C93" s="21" t="s">
        <v>192</v>
      </c>
      <c r="D93" s="21" t="s">
        <v>452</v>
      </c>
      <c r="E93" s="13">
        <v>43051.547314814816</v>
      </c>
      <c r="F93" s="13">
        <v>43051.552569444444</v>
      </c>
      <c r="G93" s="7">
        <v>88</v>
      </c>
      <c r="H93" s="21" t="s">
        <v>945</v>
      </c>
      <c r="I93" s="13">
        <v>43051.576851851853</v>
      </c>
      <c r="J93" s="7">
        <v>0</v>
      </c>
      <c r="K93" s="89" t="str">
        <f t="shared" si="39"/>
        <v>4005/4006</v>
      </c>
      <c r="L93" s="185" t="str">
        <f>VLOOKUP(A93,'Trips&amp;Operators'!$C$1:$G$99911,5,FALSE)</f>
        <v>SAFIEF AEIMEN</v>
      </c>
      <c r="M93" s="6">
        <f t="shared" si="40"/>
        <v>2.4282407408463769E-2</v>
      </c>
      <c r="N93" s="7">
        <f t="shared" si="37"/>
        <v>34.966666668187827</v>
      </c>
      <c r="O93" s="7"/>
      <c r="P93" s="7"/>
      <c r="Q93" s="22"/>
      <c r="R93" s="174"/>
      <c r="S93" s="221">
        <f t="shared" si="38"/>
        <v>1</v>
      </c>
      <c r="T93" s="174" t="str">
        <f t="shared" si="41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2"/>
        <v>https://d0f6bd738d7f1b3e5a7ca70fe4ff75f0.us-east-1.aws.found.io/app/kibana#/discover/Steve-Slow-Train-Analysis-(2080s-and-2083s)?_g=(refreshInterval:(display:Off,pause:!f,section:0,value:0),time:(from:'2017-11-12T12:08:08-0700',mode:absolute,to:'2017-11-12T14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3" s="204" t="str">
        <f>IF(AA93&lt;VLOOKUP(AG93,Variables!$AC$3:$AD$8,2,FALSE),"Y","N")</f>
        <v>N</v>
      </c>
      <c r="X93" s="204">
        <f t="shared" si="53"/>
        <v>1</v>
      </c>
      <c r="Y93" s="204">
        <f t="shared" si="54"/>
        <v>5.1700000000000003E-2</v>
      </c>
      <c r="Z93" s="204">
        <f t="shared" si="55"/>
        <v>23.322399999999998</v>
      </c>
      <c r="AA93" s="204">
        <f t="shared" si="43"/>
        <v>23.270699999999998</v>
      </c>
      <c r="AB93" s="54" t="e">
        <f>VLOOKUP(A93,Enforcements!$C$7:$K$9,8,0)</f>
        <v>#N/A</v>
      </c>
      <c r="AC93" s="51" t="e">
        <f>VLOOKUP(A93,Enforcements!$C$7:$E$9,3,0)</f>
        <v>#N/A</v>
      </c>
      <c r="AD93" s="179">
        <f t="shared" si="44"/>
        <v>177</v>
      </c>
      <c r="AE93" s="77" t="str">
        <f t="shared" si="45"/>
        <v>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 &amp; aws s3 cp s3://rtdc.mdm.uploadarchive.raw/RTDC4006/ "%USERPROFILE%\AppData\Local\Temp\OnboardLogs"\RTDC4006\2017-11-13 --exclude "*" --recursive --include "*20171113*" &amp; "%USERPROFILE%\Documents\GitHub\mrs-test-scripts\Headless Mode &amp; Sideloading\WalkAndUnGZ.bat" "%USERPROFILE%\AppData\Local\Temp\OnboardLogs"\RTDC4006\2017-11-13</v>
      </c>
      <c r="AF93" s="74" t="str">
        <f t="shared" si="46"/>
        <v>"C:\Program Files (x86)\AstroGrep\AstroGrep.exe" /e /r /s /spath="%USERPROFILE%\AppData\Local\Temp\OnboardLogs" /stypes="app*4006*20171112*" /stext=" 20:.+((SYSTEM_STATE.+slice.+state.+changed )|(ment ac)|(multiple cpu faults)|(system.+state.+changed )|(\[timeout)|(PRM\|1\|D)|(kpr)|(kdp)|(train st.+moving)|(\|lc)|(penalty))"</v>
      </c>
      <c r="AG93" s="182" t="str">
        <f t="shared" si="47"/>
        <v>EC</v>
      </c>
      <c r="AH93" s="78" t="str">
        <f t="shared" si="50"/>
        <v>"%USERPROFILE%\Documents\GitHub\eaglep3\Utilities\RefineRTDCRunTimes.py" --tripid 177-12 --locoid 4006 --swversion DE.1.0.9.0 --startMP 204:517 --initTime 2017-11-12T13:08:08 --startdatetime 2017-11-12T13:15:42 --delay 88 --endMP 204:233224 --enddatetime 2017-11-12T13:50:40 --enforcementcount 0 &gt;&gt;%USERPROFILE%\Documents\GitHub\eaglep3-reporting\EC\2017-11-12-refined-times.txt</v>
      </c>
      <c r="AI93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{"issue":{"subject":"","project_id":79,"tracker_id":40,"status_id":1,"priority_id":2,"assigned_to_id":338,"start_date":"2017-11-12","description":"","custom_fields":[{"id":1,"name":"Subdivision","value":"EC"},{"id":4,"name":"Milepost","value":"23.3224"},{"id":17,"name":"Train ID","value":"177-12"},{"id":16,"name":"Locomotive ID","value":"4006"},{"id":130,"name":"Impact","value":""},{"id":150,"name":"Time of Event (Mountain Time)","value":"13:50:40"},{"id":151,"name":"Denver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51"/>
        <v>start /low /b %USERPROFILE%\Documents\GitHub\eaglep3\Utilities\DownloadLogsFromS3.py --loco 4006 --day 2017-11-12</v>
      </c>
      <c r="AN93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20:50:40"},{"id":29,"name":"Sharepoint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2"/>
        <v>https://d0f6bd738d7f1b3e5a7ca70fe4ff75f0.us-east-1.aws.found.io/app/kibana#/discover/Steve-Slow-Train-Analysis-(2080s-and-2083s)?_g=(refreshInterval:(display:Off,pause:!f,section:0,value:0),time:(from:'2017-11-12T12:08:08-0700',mode:absolute,to:'2017-11-12T14:50:40-0700'))&amp;_a=(columns:!('Message%20ID',Summary),filters:!(),index:'emp_*',interval:auto,query:(query_string:(analyze_wildcard:!t,query:'%22rtdc.l.rtdc.4006%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788</v>
      </c>
      <c r="B94" s="7">
        <v>4005</v>
      </c>
      <c r="C94" s="21" t="s">
        <v>192</v>
      </c>
      <c r="D94" s="21" t="s">
        <v>946</v>
      </c>
      <c r="E94" s="13">
        <v>43051.578425925924</v>
      </c>
      <c r="F94" s="13">
        <v>43051.59207175926</v>
      </c>
      <c r="G94" s="7">
        <v>70</v>
      </c>
      <c r="H94" s="21" t="s">
        <v>451</v>
      </c>
      <c r="I94" s="13">
        <v>43051.617997685185</v>
      </c>
      <c r="J94" s="7">
        <v>0</v>
      </c>
      <c r="K94" s="89" t="str">
        <f t="shared" si="39"/>
        <v>4005/4006</v>
      </c>
      <c r="L94" s="185" t="str">
        <f>VLOOKUP(A94,'Trips&amp;Operators'!$C$1:$G$99911,5,FALSE)</f>
        <v>SAFIEF AEIMEN</v>
      </c>
      <c r="M94" s="6">
        <f t="shared" si="40"/>
        <v>2.5925925925548654E-2</v>
      </c>
      <c r="N94" s="7">
        <f t="shared" si="37"/>
        <v>37.333333332790062</v>
      </c>
      <c r="O94" s="7"/>
      <c r="P94" s="7"/>
      <c r="Q94" s="22"/>
      <c r="R94" s="174"/>
      <c r="S94" s="221">
        <f t="shared" si="38"/>
        <v>1</v>
      </c>
      <c r="T94" s="174" t="str">
        <f t="shared" si="41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2"/>
        <v>https://d0f6bd738d7f1b3e5a7ca70fe4ff75f0.us-east-1.aws.found.io/app/kibana#/discover/Steve-Slow-Train-Analysis-(2080s-and-2083s)?_g=(refreshInterval:(display:Off,pause:!f,section:0,value:0),time:(from:'2017-11-12T12:52:56-0700',mode:absolute,to:'2017-11-12T15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4" s="204" t="str">
        <f>IF(AA94&lt;VLOOKUP(AG94,Variables!$AC$3:$AD$8,2,FALSE),"Y","N")</f>
        <v>N</v>
      </c>
      <c r="X94" s="204">
        <f t="shared" si="53"/>
        <v>1</v>
      </c>
      <c r="Y94" s="204">
        <f t="shared" si="54"/>
        <v>23.2927</v>
      </c>
      <c r="Z94" s="204">
        <f t="shared" si="55"/>
        <v>2.1399999999999999E-2</v>
      </c>
      <c r="AA94" s="204">
        <f t="shared" si="43"/>
        <v>23.2713</v>
      </c>
      <c r="AB94" s="54" t="e">
        <f>VLOOKUP(A94,Enforcements!$C$7:$K$9,8,0)</f>
        <v>#N/A</v>
      </c>
      <c r="AC94" s="51" t="e">
        <f>VLOOKUP(A94,Enforcements!$C$7:$E$9,3,0)</f>
        <v>#N/A</v>
      </c>
      <c r="AD94" s="179">
        <f t="shared" si="44"/>
        <v>178</v>
      </c>
      <c r="AE94" s="77" t="str">
        <f t="shared" si="45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94" s="74" t="str">
        <f t="shared" si="46"/>
        <v>"C:\Program Files (x86)\AstroGrep\AstroGrep.exe" /e /r /s /spath="%USERPROFILE%\AppData\Local\Temp\OnboardLogs" /stypes="app*4005*20171112*" /stext=" 21:.+((SYSTEM_STATE.+slice.+state.+changed )|(ment ac)|(multiple cpu faults)|(system.+state.+changed )|(\[timeout)|(PRM\|1\|D)|(kpr)|(kdp)|(train st.+moving)|(\|lc)|(penalty))"</v>
      </c>
      <c r="AG94" s="182" t="str">
        <f t="shared" si="47"/>
        <v>EC</v>
      </c>
      <c r="AH94" s="78" t="str">
        <f t="shared" si="50"/>
        <v>"%USERPROFILE%\Documents\GitHub\eaglep3\Utilities\RefineRTDCRunTimes.py" --tripid 178-12 --locoid 4005 --swversion DE.1.0.9.0 --startMP 204:232927 --initTime 2017-11-12T13:52:56 --startdatetime 2017-11-12T14:12:35 --delay 70 --endMP 204:214 --enddatetime 2017-11-12T14:49:55 --enforcementcount 0 &gt;&gt;%USERPROFILE%\Documents\GitHub\eaglep3-reporting\EC\2017-11-12-refined-times.txt</v>
      </c>
      <c r="AI94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{"issue":{"subject":"","project_id":79,"tracker_id":40,"status_id":1,"priority_id":2,"assigned_to_id":338,"start_date":"2017-11-12","description":"","custom_fields":[{"id":1,"name":"Subdivision","value":"EC"},{"id":4,"name":"Milepost","value":"0.0214"},{"id":17,"name":"Train ID","value":"178-12"},{"id":16,"name":"Locomotive ID","value":"4005"},{"id":130,"name":"Impact","value":""},{"id":150,"name":"Time of Event (Mountain Time)","value":"14:49:55"},{"id":151,"name":"Denver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51"/>
        <v>start /low /b %USERPROFILE%\Documents\GitHub\eaglep3\Utilities\DownloadLogsFromS3.py --loco 4005 --day 2017-11-12</v>
      </c>
      <c r="AN94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21:49:55"},{"id":29,"name":"Sharepoint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2"/>
        <v>https://d0f6bd738d7f1b3e5a7ca70fe4ff75f0.us-east-1.aws.found.io/app/kibana#/discover/Steve-Slow-Train-Analysis-(2080s-and-2083s)?_g=(refreshInterval:(display:Off,pause:!f,section:0,value:0),time:(from:'2017-11-12T12:52:56-0700',mode:absolute,to:'2017-11-12T15:49:55-0700'))&amp;_a=(columns:!('Message%20ID',Summary),filters:!(),index:'emp_*',interval:auto,query:(query_string:(analyze_wildcard:!t,query:'%22rtdc.l.rtdc.4005%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783</v>
      </c>
      <c r="B95" s="7">
        <v>4002</v>
      </c>
      <c r="C95" s="21" t="s">
        <v>192</v>
      </c>
      <c r="D95" s="21" t="s">
        <v>947</v>
      </c>
      <c r="E95" s="13">
        <v>43051.556898148148</v>
      </c>
      <c r="F95" s="13">
        <v>43051.562673611108</v>
      </c>
      <c r="G95" s="7">
        <v>62</v>
      </c>
      <c r="H95" s="21" t="s">
        <v>948</v>
      </c>
      <c r="I95" s="13">
        <v>43051.587291666663</v>
      </c>
      <c r="J95" s="7">
        <v>0</v>
      </c>
      <c r="K95" s="89" t="str">
        <f t="shared" si="39"/>
        <v>4001/4002</v>
      </c>
      <c r="L95" s="185" t="str">
        <f>VLOOKUP(A95,'Trips&amp;Operators'!$C$1:$G$99911,5,FALSE)</f>
        <v>GONZALEZ ARMANDO</v>
      </c>
      <c r="M95" s="6">
        <f t="shared" si="40"/>
        <v>2.4618055555038154E-2</v>
      </c>
      <c r="N95" s="7">
        <f t="shared" si="37"/>
        <v>35.449999999254942</v>
      </c>
      <c r="O95" s="7"/>
      <c r="P95" s="7"/>
      <c r="Q95" s="22"/>
      <c r="R95" s="174"/>
      <c r="S95" s="221">
        <f t="shared" si="38"/>
        <v>1</v>
      </c>
      <c r="T95" s="174" t="str">
        <f t="shared" si="41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2"/>
        <v>https://d0f6bd738d7f1b3e5a7ca70fe4ff75f0.us-east-1.aws.found.io/app/kibana#/discover/Steve-Slow-Train-Analysis-(2080s-and-2083s)?_g=(refreshInterval:(display:Off,pause:!f,section:0,value:0),time:(from:'2017-11-12T12:21:56-0700',mode:absolute,to:'2017-11-12T15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5" s="204" t="str">
        <f>IF(AA95&lt;VLOOKUP(AG95,Variables!$AC$3:$AD$8,2,FALSE),"Y","N")</f>
        <v>N</v>
      </c>
      <c r="X95" s="204">
        <f t="shared" si="53"/>
        <v>1</v>
      </c>
      <c r="Y95" s="204">
        <f t="shared" si="54"/>
        <v>4.8800000000000003E-2</v>
      </c>
      <c r="Z95" s="204">
        <f t="shared" si="55"/>
        <v>23.327200000000001</v>
      </c>
      <c r="AA95" s="204">
        <f t="shared" si="43"/>
        <v>23.278400000000001</v>
      </c>
      <c r="AB95" s="54" t="e">
        <f>VLOOKUP(A95,Enforcements!$C$7:$K$9,8,0)</f>
        <v>#N/A</v>
      </c>
      <c r="AC95" s="51" t="e">
        <f>VLOOKUP(A95,Enforcements!$C$7:$E$9,3,0)</f>
        <v>#N/A</v>
      </c>
      <c r="AD95" s="179">
        <f t="shared" si="44"/>
        <v>179</v>
      </c>
      <c r="AE95" s="77" t="str">
        <f t="shared" si="45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95" s="74" t="str">
        <f t="shared" si="46"/>
        <v>"C:\Program Files (x86)\AstroGrep\AstroGrep.exe" /e /r /s /spath="%USERPROFILE%\AppData\Local\Temp\OnboardLogs" /stypes="app*4002*20171112*" /stext=" 21:.+((SYSTEM_STATE.+slice.+state.+changed )|(ment ac)|(multiple cpu faults)|(system.+state.+changed )|(\[timeout)|(PRM\|1\|D)|(kpr)|(kdp)|(train st.+moving)|(\|lc)|(penalty))"</v>
      </c>
      <c r="AG95" s="182" t="str">
        <f t="shared" si="47"/>
        <v>EC</v>
      </c>
      <c r="AH95" s="78" t="str">
        <f t="shared" si="50"/>
        <v>"%USERPROFILE%\Documents\GitHub\eaglep3\Utilities\RefineRTDCRunTimes.py" --tripid 179-12 --locoid 4002 --swversion DE.1.0.9.0 --startMP 204:488 --initTime 2017-11-12T13:21:56 --startdatetime 2017-11-12T13:30:15 --delay 62 --endMP 204:233272 --enddatetime 2017-11-12T14:05:42 --enforcementcount 0 &gt;&gt;%USERPROFILE%\Documents\GitHub\eaglep3-reporting\EC\2017-11-12-refined-times.txt</v>
      </c>
      <c r="AI95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{"issue":{"subject":"","project_id":79,"tracker_id":40,"status_id":1,"priority_id":2,"assigned_to_id":338,"start_date":"2017-11-12","description":"","custom_fields":[{"id":1,"name":"Subdivision","value":"EC"},{"id":4,"name":"Milepost","value":"23.3272"},{"id":17,"name":"Train ID","value":"179-12"},{"id":16,"name":"Locomotive ID","value":"4002"},{"id":130,"name":"Impact","value":""},{"id":150,"name":"Time of Event (Mountain Time)","value":"14:05:42"},{"id":151,"name":"Denver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51"/>
        <v>start /low /b %USERPROFILE%\Documents\GitHub\eaglep3\Utilities\DownloadLogsFromS3.py --loco 4002 --day 2017-11-12</v>
      </c>
      <c r="AN95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21:05:42"},{"id":29,"name":"Sharepoint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2"/>
        <v>https://d0f6bd738d7f1b3e5a7ca70fe4ff75f0.us-east-1.aws.found.io/app/kibana#/discover/Steve-Slow-Train-Analysis-(2080s-and-2083s)?_g=(refreshInterval:(display:Off,pause:!f,section:0,value:0),time:(from:'2017-11-12T12:21:56-0700',mode:absolute,to:'2017-11-12T15:05:42-0700'))&amp;_a=(columns:!('Message%20ID',Summary),filters:!(),index:'emp_*',interval:auto,query:(query_string:(analyze_wildcard:!t,query:'%22rtdc.l.rtdc.4002%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792</v>
      </c>
      <c r="B96" s="7">
        <v>4001</v>
      </c>
      <c r="C96" s="21" t="s">
        <v>192</v>
      </c>
      <c r="D96" s="21" t="s">
        <v>949</v>
      </c>
      <c r="E96" s="13">
        <v>43051.596550925926</v>
      </c>
      <c r="F96" s="13">
        <v>43051.60229166667</v>
      </c>
      <c r="G96" s="7">
        <v>53</v>
      </c>
      <c r="H96" s="21" t="s">
        <v>950</v>
      </c>
      <c r="I96" s="13">
        <v>43051.627881944441</v>
      </c>
      <c r="J96" s="7">
        <v>0</v>
      </c>
      <c r="K96" s="89" t="str">
        <f t="shared" si="39"/>
        <v>4001/4002</v>
      </c>
      <c r="L96" s="185" t="str">
        <f>VLOOKUP(A96,'Trips&amp;Operators'!$C$1:$G$99911,5,FALSE)</f>
        <v>GONZALEZ ARMANDO</v>
      </c>
      <c r="M96" s="6">
        <f t="shared" si="40"/>
        <v>2.5590277771698311E-2</v>
      </c>
      <c r="N96" s="7">
        <f t="shared" si="37"/>
        <v>36.849999991245568</v>
      </c>
      <c r="O96" s="7"/>
      <c r="P96" s="7"/>
      <c r="Q96" s="22"/>
      <c r="R96" s="174"/>
      <c r="S96" s="221">
        <f t="shared" si="38"/>
        <v>1</v>
      </c>
      <c r="T96" s="174" t="str">
        <f t="shared" si="41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2"/>
        <v>https://d0f6bd738d7f1b3e5a7ca70fe4ff75f0.us-east-1.aws.found.io/app/kibana#/discover/Steve-Slow-Train-Analysis-(2080s-and-2083s)?_g=(refreshInterval:(display:Off,pause:!f,section:0,value:0),time:(from:'2017-11-12T13:19:02-0700',mode:absolute,to:'2017-11-12T16:04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6" s="204" t="str">
        <f>IF(AA96&lt;VLOOKUP(AG96,Variables!$AC$3:$AD$8,2,FALSE),"Y","N")</f>
        <v>N</v>
      </c>
      <c r="X96" s="204">
        <f t="shared" si="53"/>
        <v>1</v>
      </c>
      <c r="Y96" s="204">
        <f t="shared" si="54"/>
        <v>23.2959</v>
      </c>
      <c r="Z96" s="204">
        <f t="shared" si="55"/>
        <v>1.9099999999999999E-2</v>
      </c>
      <c r="AA96" s="204">
        <f t="shared" si="43"/>
        <v>23.276799999999998</v>
      </c>
      <c r="AB96" s="54" t="e">
        <f>VLOOKUP(A96,Enforcements!$C$7:$K$9,8,0)</f>
        <v>#N/A</v>
      </c>
      <c r="AC96" s="51" t="e">
        <f>VLOOKUP(A96,Enforcements!$C$7:$E$9,3,0)</f>
        <v>#N/A</v>
      </c>
      <c r="AD96" s="179">
        <f t="shared" si="44"/>
        <v>180</v>
      </c>
      <c r="AE96" s="77" t="str">
        <f t="shared" si="45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96" s="74" t="str">
        <f t="shared" si="46"/>
        <v>"C:\Program Files (x86)\AstroGrep\AstroGrep.exe" /e /r /s /spath="%USERPROFILE%\AppData\Local\Temp\OnboardLogs" /stypes="app*4001*20171112*" /stext=" 22:.+((SYSTEM_STATE.+slice.+state.+changed )|(ment ac)|(multiple cpu faults)|(system.+state.+changed )|(\[timeout)|(PRM\|1\|D)|(kpr)|(kdp)|(train st.+moving)|(\|lc)|(penalty))"</v>
      </c>
      <c r="AG96" s="182" t="str">
        <f t="shared" si="47"/>
        <v>EC</v>
      </c>
      <c r="AH96" s="78" t="str">
        <f t="shared" si="50"/>
        <v>"%USERPROFILE%\Documents\GitHub\eaglep3\Utilities\RefineRTDCRunTimes.py" --tripid 180-12 --locoid 4001 --swversion DE.1.0.9.0 --startMP 204:232959 --initTime 2017-11-12T14:19:02 --startdatetime 2017-11-12T14:27:18 --delay 53 --endMP 204:191 --enddatetime 2017-11-12T15:04:09 --enforcementcount 0 &gt;&gt;%USERPROFILE%\Documents\GitHub\eaglep3-reporting\EC\2017-11-12-refined-times.txt</v>
      </c>
      <c r="AI96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{"issue":{"subject":"","project_id":79,"tracker_id":40,"status_id":1,"priority_id":2,"assigned_to_id":338,"start_date":"2017-11-12","description":"","custom_fields":[{"id":1,"name":"Subdivision","value":"EC"},{"id":4,"name":"Milepost","value":"0.0191"},{"id":17,"name":"Train ID","value":"180-12"},{"id":16,"name":"Locomotive ID","value":"4001"},{"id":130,"name":"Impact","value":""},{"id":150,"name":"Time of Event (Mountain Time)","value":"15:04:09"},{"id":151,"name":"Denver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51"/>
        <v>start /low /b %USERPROFILE%\Documents\GitHub\eaglep3\Utilities\DownloadLogsFromS3.py --loco 4001 --day 2017-11-12</v>
      </c>
      <c r="AN96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22:04:09"},{"id":29,"name":"Sharepoint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2"/>
        <v>https://d0f6bd738d7f1b3e5a7ca70fe4ff75f0.us-east-1.aws.found.io/app/kibana#/discover/Steve-Slow-Train-Analysis-(2080s-and-2083s)?_g=(refreshInterval:(display:Off,pause:!f,section:0,value:0),time:(from:'2017-11-12T13:19:02-0700',mode:absolute,to:'2017-11-12T16:04:09-0700'))&amp;_a=(columns:!('Message%20ID',Summary),filters:!(),index:'emp_*',interval:auto,query:(query_string:(analyze_wildcard:!t,query:'%22rtdc.l.rtdc.4001%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786</v>
      </c>
      <c r="B97" s="7">
        <v>4064</v>
      </c>
      <c r="C97" s="21" t="s">
        <v>192</v>
      </c>
      <c r="D97" s="21" t="s">
        <v>967</v>
      </c>
      <c r="E97" s="13">
        <v>43051.568715277775</v>
      </c>
      <c r="F97" s="13">
        <v>43051.57309027778</v>
      </c>
      <c r="G97" s="7">
        <v>67</v>
      </c>
      <c r="H97" s="21" t="s">
        <v>467</v>
      </c>
      <c r="I97" s="13">
        <v>43051.597800925927</v>
      </c>
      <c r="J97" s="7">
        <v>0</v>
      </c>
      <c r="K97" s="89" t="str">
        <f t="shared" si="39"/>
        <v>4063/4064</v>
      </c>
      <c r="L97" s="185" t="str">
        <f>VLOOKUP(A97,'Trips&amp;Operators'!$C$1:$G$99911,5,FALSE)</f>
        <v>BADERTSCHER DIANE</v>
      </c>
      <c r="M97" s="6">
        <f t="shared" si="40"/>
        <v>2.47106481474475E-2</v>
      </c>
      <c r="N97" s="7">
        <f t="shared" si="37"/>
        <v>35.583333332324401</v>
      </c>
      <c r="O97" s="7"/>
      <c r="P97" s="7"/>
      <c r="Q97" s="22"/>
      <c r="R97" s="174"/>
      <c r="S97" s="221">
        <f t="shared" si="38"/>
        <v>1</v>
      </c>
      <c r="T97" s="174" t="str">
        <f t="shared" si="41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2"/>
        <v>https://d0f6bd738d7f1b3e5a7ca70fe4ff75f0.us-east-1.aws.found.io/app/kibana#/discover/Steve-Slow-Train-Analysis-(2080s-and-2083s)?_g=(refreshInterval:(display:Off,pause:!f,section:0,value:0),time:(from:'2017-11-12T12:38:57-0700',mode:absolute,to:'2017-11-12T15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7" s="204" t="str">
        <f>IF(AA97&lt;VLOOKUP(AG97,Variables!$AC$3:$AD$8,2,FALSE),"Y","N")</f>
        <v>N</v>
      </c>
      <c r="X97" s="204">
        <f t="shared" si="53"/>
        <v>1</v>
      </c>
      <c r="Y97" s="204">
        <f t="shared" si="54"/>
        <v>4.9700000000000001E-2</v>
      </c>
      <c r="Z97" s="204">
        <f t="shared" si="55"/>
        <v>23.328600000000002</v>
      </c>
      <c r="AA97" s="204">
        <f t="shared" si="43"/>
        <v>23.2789</v>
      </c>
      <c r="AB97" s="54" t="e">
        <f>VLOOKUP(A97,Enforcements!$C$7:$K$9,8,0)</f>
        <v>#N/A</v>
      </c>
      <c r="AC97" s="51" t="e">
        <f>VLOOKUP(A97,Enforcements!$C$7:$E$9,3,0)</f>
        <v>#N/A</v>
      </c>
      <c r="AD97" s="179">
        <f t="shared" si="44"/>
        <v>181</v>
      </c>
      <c r="AE97" s="77" t="str">
        <f t="shared" si="45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97" s="74" t="str">
        <f t="shared" si="46"/>
        <v>"C:\Program Files (x86)\AstroGrep\AstroGrep.exe" /e /r /s /spath="%USERPROFILE%\AppData\Local\Temp\OnboardLogs" /stypes="app*4064*20171112*" /stext=" 21:.+((SYSTEM_STATE.+slice.+state.+changed )|(ment ac)|(multiple cpu faults)|(system.+state.+changed )|(\[timeout)|(PRM\|1\|D)|(kpr)|(kdp)|(train st.+moving)|(\|lc)|(penalty))"</v>
      </c>
      <c r="AG97" s="182" t="str">
        <f t="shared" si="47"/>
        <v>EC</v>
      </c>
      <c r="AH97" s="78" t="str">
        <f t="shared" si="50"/>
        <v>"%USERPROFILE%\Documents\GitHub\eaglep3\Utilities\RefineRTDCRunTimes.py" --tripid 181-12 --locoid 4064 --swversion DE.1.0.9.0 --startMP 204:497 --initTime 2017-11-12T13:38:57 --startdatetime 2017-11-12T13:45:15 --delay 67 --endMP 204:233286 --enddatetime 2017-11-12T14:20:50 --enforcementcount 0 &gt;&gt;%USERPROFILE%\Documents\GitHub\eaglep3-reporting\EC\2017-11-12-refined-times.txt</v>
      </c>
      <c r="AI97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{"issue":{"subject":"","project_id":79,"tracker_id":40,"status_id":1,"priority_id":2,"assigned_to_id":338,"start_date":"2017-11-12","description":"","custom_fields":[{"id":1,"name":"Subdivision","value":"EC"},{"id":4,"name":"Milepost","value":"23.3286"},{"id":17,"name":"Train ID","value":"181-12"},{"id":16,"name":"Locomotive ID","value":"4064"},{"id":130,"name":"Impact","value":""},{"id":150,"name":"Time of Event (Mountain Time)","value":"14:20:50"},{"id":151,"name":"Denver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51"/>
        <v>start /low /b %USERPROFILE%\Documents\GitHub\eaglep3\Utilities\DownloadLogsFromS3.py --loco 4064 --day 2017-11-12</v>
      </c>
      <c r="AN97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2"/>
        <v>https://d0f6bd738d7f1b3e5a7ca70fe4ff75f0.us-east-1.aws.found.io/app/kibana#/discover/Steve-Slow-Train-Analysis-(2080s-and-2083s)?_g=(refreshInterval:(display:Off,pause:!f,section:0,value:0),time:(from:'2017-11-12T12:38:57-0700',mode:absolute,to:'2017-11-12T15:20:50-0700'))&amp;_a=(columns:!('Message%20ID',Summary),filters:!(),index:'emp_*',interval:auto,query:(query_string:(analyze_wildcard:!t,query:'%22rtdc.l.rtdc.4064%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795</v>
      </c>
      <c r="B98" s="7">
        <v>4063</v>
      </c>
      <c r="C98" s="21" t="s">
        <v>192</v>
      </c>
      <c r="D98" s="21" t="s">
        <v>503</v>
      </c>
      <c r="E98" s="13">
        <v>43051.604699074072</v>
      </c>
      <c r="F98" s="13">
        <v>43051.612662037034</v>
      </c>
      <c r="G98" s="7">
        <v>81</v>
      </c>
      <c r="H98" s="21" t="s">
        <v>983</v>
      </c>
      <c r="I98" s="13">
        <v>43051.640266203707</v>
      </c>
      <c r="J98" s="7">
        <v>0</v>
      </c>
      <c r="K98" s="89" t="str">
        <f t="shared" si="39"/>
        <v>4063/4064</v>
      </c>
      <c r="L98" s="185" t="str">
        <f>VLOOKUP(A98,'Trips&amp;Operators'!$C$1:$G$99911,5,FALSE)</f>
        <v>BADERTSCHER DIANE</v>
      </c>
      <c r="M98" s="6">
        <f t="shared" si="40"/>
        <v>2.7604166672972497E-2</v>
      </c>
      <c r="N98" s="7">
        <f t="shared" si="37"/>
        <v>39.750000009080395</v>
      </c>
      <c r="O98" s="7"/>
      <c r="P98" s="7"/>
      <c r="Q98" s="22"/>
      <c r="R98" s="174"/>
      <c r="S98" s="221">
        <f t="shared" si="38"/>
        <v>1</v>
      </c>
      <c r="T98" s="174" t="str">
        <f t="shared" si="41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2"/>
        <v>https://d0f6bd738d7f1b3e5a7ca70fe4ff75f0.us-east-1.aws.found.io/app/kibana#/discover/Steve-Slow-Train-Analysis-(2080s-and-2083s)?_g=(refreshInterval:(display:Off,pause:!f,section:0,value:0),time:(from:'2017-11-12T13:30:46-0700',mode:absolute,to:'2017-11-12T16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8" s="204" t="str">
        <f>IF(AA98&lt;VLOOKUP(AG98,Variables!$AC$3:$AD$8,2,FALSE),"Y","N")</f>
        <v>N</v>
      </c>
      <c r="X98" s="204">
        <f t="shared" si="53"/>
        <v>1</v>
      </c>
      <c r="Y98" s="204">
        <f t="shared" si="54"/>
        <v>23.296299999999999</v>
      </c>
      <c r="Z98" s="204">
        <f t="shared" si="55"/>
        <v>2.18E-2</v>
      </c>
      <c r="AA98" s="204">
        <f t="shared" si="43"/>
        <v>23.2745</v>
      </c>
      <c r="AB98" s="54" t="e">
        <f>VLOOKUP(A98,Enforcements!$C$7:$K$9,8,0)</f>
        <v>#N/A</v>
      </c>
      <c r="AC98" s="51" t="e">
        <f>VLOOKUP(A98,Enforcements!$C$7:$E$9,3,0)</f>
        <v>#N/A</v>
      </c>
      <c r="AD98" s="179">
        <f t="shared" si="44"/>
        <v>182</v>
      </c>
      <c r="AE98" s="77" t="str">
        <f t="shared" si="45"/>
        <v>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 &amp; aws s3 cp s3://rtdc.mdm.uploadarchive.raw/RTDC4063/ "%USERPROFILE%\AppData\Local\Temp\OnboardLogs"\RTDC4063\2017-11-13 --exclude "*" --recursive --include "*20171113*" &amp; "%USERPROFILE%\Documents\GitHub\mrs-test-scripts\Headless Mode &amp; Sideloading\WalkAndUnGZ.bat" "%USERPROFILE%\AppData\Local\Temp\OnboardLogs"\RTDC4063\2017-11-13</v>
      </c>
      <c r="AF98" s="74" t="str">
        <f t="shared" si="46"/>
        <v>"C:\Program Files (x86)\AstroGrep\AstroGrep.exe" /e /r /s /spath="%USERPROFILE%\AppData\Local\Temp\OnboardLogs" /stypes="app*4063*20171112*" /stext=" 22:.+((SYSTEM_STATE.+slice.+state.+changed )|(ment ac)|(multiple cpu faults)|(system.+state.+changed )|(\[timeout)|(PRM\|1\|D)|(kpr)|(kdp)|(train st.+moving)|(\|lc)|(penalty))"</v>
      </c>
      <c r="AG98" s="182" t="str">
        <f t="shared" si="47"/>
        <v>EC</v>
      </c>
      <c r="AH98" s="78" t="str">
        <f t="shared" si="50"/>
        <v>"%USERPROFILE%\Documents\GitHub\eaglep3\Utilities\RefineRTDCRunTimes.py" --tripid 182-12 --locoid 4063 --swversion DE.1.0.9.0 --startMP 204:232963 --initTime 2017-11-12T14:30:46 --startdatetime 2017-11-12T14:42:14 --delay 81 --endMP 204:218 --enddatetime 2017-11-12T15:21:59 --enforcementcount 0 &gt;&gt;%USERPROFILE%\Documents\GitHub\eaglep3-reporting\EC\2017-11-12-refined-times.txt</v>
      </c>
      <c r="AI98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{"issue":{"subject":"","project_id":79,"tracker_id":40,"status_id":1,"priority_id":2,"assigned_to_id":338,"start_date":"2017-11-12","description":"","custom_fields":[{"id":1,"name":"Subdivision","value":"EC"},{"id":4,"name":"Milepost","value":"0.0218"},{"id":17,"name":"Train ID","value":"182-12"},{"id":16,"name":"Locomotive ID","value":"4063"},{"id":130,"name":"Impact","value":""},{"id":150,"name":"Time of Event (Mountain Time)","value":"15:21:59"},{"id":151,"name":"Denver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51"/>
        <v>start /low /b %USERPROFILE%\Documents\GitHub\eaglep3\Utilities\DownloadLogsFromS3.py --loco 4063 --day 2017-11-12</v>
      </c>
      <c r="AN98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22:21:59"},{"id":29,"name":"Sharepoint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2"/>
        <v>https://d0f6bd738d7f1b3e5a7ca70fe4ff75f0.us-east-1.aws.found.io/app/kibana#/discover/Steve-Slow-Train-Analysis-(2080s-and-2083s)?_g=(refreshInterval:(display:Off,pause:!f,section:0,value:0),time:(from:'2017-11-12T13:30:46-0700',mode:absolute,to:'2017-11-12T16:21:59-0700'))&amp;_a=(columns:!('Message%20ID',Summary),filters:!(),index:'emp_*',interval:auto,query:(query_string:(analyze_wildcard:!t,query:'%22rtdc.l.rtdc.4063%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789</v>
      </c>
      <c r="B99" s="7">
        <v>4052</v>
      </c>
      <c r="C99" s="21" t="s">
        <v>192</v>
      </c>
      <c r="D99" s="21" t="s">
        <v>586</v>
      </c>
      <c r="E99" s="13">
        <v>43051.580243055556</v>
      </c>
      <c r="F99" s="13">
        <v>43051.58353009259</v>
      </c>
      <c r="G99" s="7">
        <v>63</v>
      </c>
      <c r="H99" s="21" t="s">
        <v>996</v>
      </c>
      <c r="I99" s="13">
        <v>43051.607754629629</v>
      </c>
      <c r="J99" s="7">
        <v>0</v>
      </c>
      <c r="K99" s="89" t="str">
        <f t="shared" si="39"/>
        <v>4051/4052</v>
      </c>
      <c r="L99" s="185" t="str">
        <f>VLOOKUP(A99,'Trips&amp;Operators'!$C$1:$G$99911,5,FALSE)</f>
        <v>MAGEE KENYA</v>
      </c>
      <c r="M99" s="6">
        <f t="shared" si="40"/>
        <v>2.4224537039117422E-2</v>
      </c>
      <c r="N99" s="7">
        <f t="shared" si="37"/>
        <v>34.883333336329088</v>
      </c>
      <c r="O99" s="7"/>
      <c r="P99" s="7"/>
      <c r="Q99" s="22"/>
      <c r="R99" s="174"/>
      <c r="S99" s="221">
        <f t="shared" si="38"/>
        <v>1</v>
      </c>
      <c r="T99" s="174" t="str">
        <f t="shared" si="41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2"/>
        <v>https://d0f6bd738d7f1b3e5a7ca70fe4ff75f0.us-east-1.aws.found.io/app/kibana#/discover/Steve-Slow-Train-Analysis-(2080s-and-2083s)?_g=(refreshInterval:(display:Off,pause:!f,section:0,value:0),time:(from:'2017-11-12T12:55:33-0700',mode:absolute,to:'2017-11-12T15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9" s="204" t="str">
        <f>IF(AA99&lt;VLOOKUP(AG99,Variables!$AC$3:$AD$8,2,FALSE),"Y","N")</f>
        <v>N</v>
      </c>
      <c r="X99" s="204">
        <f t="shared" si="53"/>
        <v>1</v>
      </c>
      <c r="Y99" s="204">
        <f t="shared" si="54"/>
        <v>5.11E-2</v>
      </c>
      <c r="Z99" s="204">
        <f t="shared" si="55"/>
        <v>23.332699999999999</v>
      </c>
      <c r="AA99" s="204">
        <f t="shared" si="43"/>
        <v>23.281599999999997</v>
      </c>
      <c r="AB99" s="54" t="e">
        <f>VLOOKUP(A99,Enforcements!$C$7:$K$9,8,0)</f>
        <v>#N/A</v>
      </c>
      <c r="AC99" s="51" t="e">
        <f>VLOOKUP(A99,Enforcements!$C$7:$E$9,3,0)</f>
        <v>#N/A</v>
      </c>
      <c r="AD99" s="179">
        <f t="shared" si="44"/>
        <v>183</v>
      </c>
      <c r="AE99" s="77" t="str">
        <f t="shared" si="45"/>
        <v>aws s3 cp s3://rtdc.mdm.uploadarchive.raw/RTDC4052/ "%USERPROFILE%\AppData\Local\Temp\OnboardLogs"\RTDC4052\2017-11-12 --exclude "*" --recursive --include "*20171112*" &amp; "%USERPROFILE%\Documents\GitHub\mrs-test-scripts\Headless Mode &amp; Sideloading\WalkAndUnGZ.bat" "%USERPROFILE%\AppData\Local\Temp\OnboardLogs"\RTDC4052\2017-11-12 &amp; aws s3 cp s3://rtdc.mdm.uploadarchive.raw/RTDC4052/ "%USERPROFILE%\AppData\Local\Temp\OnboardLogs"\RTDC4052\2017-11-13 --exclude "*" --recursive --include "*20171113*" &amp; "%USERPROFILE%\Documents\GitHub\mrs-test-scripts\Headless Mode &amp; Sideloading\WalkAndUnGZ.bat" "%USERPROFILE%\AppData\Local\Temp\OnboardLogs"\RTDC4052\2017-11-13</v>
      </c>
      <c r="AF99" s="74" t="str">
        <f t="shared" si="46"/>
        <v>"C:\Program Files (x86)\AstroGrep\AstroGrep.exe" /e /r /s /spath="%USERPROFILE%\AppData\Local\Temp\OnboardLogs" /stypes="app*4052*20171112*" /stext=" 21:.+((SYSTEM_STATE.+slice.+state.+changed )|(ment ac)|(multiple cpu faults)|(system.+state.+changed )|(\[timeout)|(PRM\|1\|D)|(kpr)|(kdp)|(train st.+moving)|(\|lc)|(penalty))"</v>
      </c>
      <c r="AG99" s="182" t="str">
        <f t="shared" si="47"/>
        <v>EC</v>
      </c>
      <c r="AH99" s="78" t="str">
        <f t="shared" si="50"/>
        <v>"%USERPROFILE%\Documents\GitHub\eaglep3\Utilities\RefineRTDCRunTimes.py" --tripid 183-12 --locoid 4052 --swversion DE.1.0.9.0 --startMP 204:511 --initTime 2017-11-12T13:55:33 --startdatetime 2017-11-12T14:00:17 --delay 63 --endMP 204:233327 --enddatetime 2017-11-12T14:35:10 --enforcementcount 0 &gt;&gt;%USERPROFILE%\Documents\GitHub\eaglep3-reporting\EC\2017-11-12-refined-times.txt</v>
      </c>
      <c r="AI99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{"issue":{"subject":"","project_id":79,"tracker_id":40,"status_id":1,"priority_id":2,"assigned_to_id":338,"start_date":"2017-11-12","description":"","custom_fields":[{"id":1,"name":"Subdivision","value":"EC"},{"id":4,"name":"Milepost","value":"23.3327"},{"id":17,"name":"Train ID","value":"183-12"},{"id":16,"name":"Locomotive ID","value":"4052"},{"id":130,"name":"Impact","value":""},{"id":150,"name":"Time of Event (Mountain Time)","value":"14:35:10"},{"id":151,"name":"Denver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51"/>
        <v>start /low /b %USERPROFILE%\Documents\GitHub\eaglep3\Utilities\DownloadLogsFromS3.py --loco 4052 --day 2017-11-12</v>
      </c>
      <c r="AN99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21:35:10"},{"id":29,"name":"Sharepoint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2"/>
        <v>https://d0f6bd738d7f1b3e5a7ca70fe4ff75f0.us-east-1.aws.found.io/app/kibana#/discover/Steve-Slow-Train-Analysis-(2080s-and-2083s)?_g=(refreshInterval:(display:Off,pause:!f,section:0,value:0),time:(from:'2017-11-12T12:55:33-0700',mode:absolute,to:'2017-11-12T15:35:10-0700'))&amp;_a=(columns:!('Message%20ID',Summary),filters:!(),index:'emp_*',interval:auto,query:(query_string:(analyze_wildcard:!t,query:'%22rtdc.l.rtdc.4052%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653</v>
      </c>
      <c r="B100" s="7">
        <v>4051</v>
      </c>
      <c r="C100" s="21" t="s">
        <v>192</v>
      </c>
      <c r="D100" s="21" t="s">
        <v>1002</v>
      </c>
      <c r="E100" s="13">
        <v>43051.610347222224</v>
      </c>
      <c r="F100" s="13">
        <v>43051.623437499999</v>
      </c>
      <c r="G100" s="7">
        <v>63</v>
      </c>
      <c r="H100" s="21" t="s">
        <v>491</v>
      </c>
      <c r="I100" s="13">
        <v>43051.649618055555</v>
      </c>
      <c r="J100" s="7">
        <v>0</v>
      </c>
      <c r="K100" s="89" t="str">
        <f t="shared" si="39"/>
        <v>4051/4052</v>
      </c>
      <c r="L100" s="185" t="str">
        <f>VLOOKUP(A100,'Trips&amp;Operators'!$C$1:$G$99911,5,FALSE)</f>
        <v>MAGEE KENYA</v>
      </c>
      <c r="M100" s="6">
        <f t="shared" si="40"/>
        <v>2.6180555556493346E-2</v>
      </c>
      <c r="N100" s="7">
        <f t="shared" si="37"/>
        <v>37.700000001350418</v>
      </c>
      <c r="O100" s="7"/>
      <c r="P100" s="7"/>
      <c r="Q100" s="22"/>
      <c r="R100" s="174"/>
      <c r="S100" s="221">
        <f t="shared" si="38"/>
        <v>1</v>
      </c>
      <c r="T100" s="174" t="str">
        <f t="shared" si="41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2"/>
        <v>https://d0f6bd738d7f1b3e5a7ca70fe4ff75f0.us-east-1.aws.found.io/app/kibana#/discover/Steve-Slow-Train-Analysis-(2080s-and-2083s)?_g=(refreshInterval:(display:Off,pause:!f,section:0,value:0),time:(from:'2017-11-12T13:38:54-0700',mode:absolute,to:'2017-11-12T16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0" s="204" t="str">
        <f>IF(AA100&lt;VLOOKUP(AG100,Variables!$AC$3:$AD$8,2,FALSE),"Y","N")</f>
        <v>N</v>
      </c>
      <c r="X100" s="204">
        <f t="shared" si="53"/>
        <v>1</v>
      </c>
      <c r="Y100" s="204">
        <f t="shared" si="54"/>
        <v>23.298300000000001</v>
      </c>
      <c r="Z100" s="204">
        <f t="shared" si="55"/>
        <v>2.0899999999999998E-2</v>
      </c>
      <c r="AA100" s="204">
        <f t="shared" si="43"/>
        <v>23.2774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9">
        <f t="shared" si="44"/>
        <v>184</v>
      </c>
      <c r="AE100" s="77" t="str">
        <f t="shared" si="45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100" s="74" t="str">
        <f t="shared" si="46"/>
        <v>"C:\Program Files (x86)\AstroGrep\AstroGrep.exe" /e /r /s /spath="%USERPROFILE%\AppData\Local\Temp\OnboardLogs" /stypes="app*4051*20171112*" /stext=" 22:.+((SYSTEM_STATE.+slice.+state.+changed )|(ment ac)|(multiple cpu faults)|(system.+state.+changed )|(\[timeout)|(PRM\|1\|D)|(kpr)|(kdp)|(train st.+moving)|(\|lc)|(penalty))"</v>
      </c>
      <c r="AG100" s="182" t="str">
        <f t="shared" si="47"/>
        <v>EC</v>
      </c>
      <c r="AH100" s="78" t="str">
        <f t="shared" si="50"/>
        <v>"%USERPROFILE%\Documents\GitHub\eaglep3\Utilities\RefineRTDCRunTimes.py" --tripid 184-12 --locoid 4051 --swversion DE.1.0.9.0 --startMP 204:232983 --initTime 2017-11-12T14:38:54 --startdatetime 2017-11-12T14:57:45 --delay 63 --endMP 204:209 --enddatetime 2017-11-12T15:35:27 --enforcementcount 0 &gt;&gt;%USERPROFILE%\Documents\GitHub\eaglep3-reporting\EC\2017-11-12-refined-times.txt</v>
      </c>
      <c r="AI100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{"issue":{"subject":"","project_id":79,"tracker_id":40,"status_id":1,"priority_id":2,"assigned_to_id":338,"start_date":"2017-11-12","description":"","custom_fields":[{"id":1,"name":"Subdivision","value":"EC"},{"id":4,"name":"Milepost","value":"0.0209"},{"id":17,"name":"Train ID","value":"184-12"},{"id":16,"name":"Locomotive ID","value":"4051"},{"id":130,"name":"Impact","value":""},{"id":150,"name":"Time of Event (Mountain Time)","value":"15:35:27"},{"id":151,"name":"Denver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51"/>
        <v>start /low /b %USERPROFILE%\Documents\GitHub\eaglep3\Utilities\DownloadLogsFromS3.py --loco 4051 --day 2017-11-12</v>
      </c>
      <c r="AN100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22:35:27"},{"id":29,"name":"Sharepoint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2"/>
        <v>https://d0f6bd738d7f1b3e5a7ca70fe4ff75f0.us-east-1.aws.found.io/app/kibana#/discover/Steve-Slow-Train-Analysis-(2080s-and-2083s)?_g=(refreshInterval:(display:Off,pause:!f,section:0,value:0),time:(from:'2017-11-12T13:38:54-0700',mode:absolute,to:'2017-11-12T16:35:27-0700'))&amp;_a=(columns:!('Message%20ID',Summary),filters:!(),index:'emp_*',interval:auto,query:(query_string:(analyze_wildcard:!t,query:'%22rtdc.l.rtdc.4051%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791</v>
      </c>
      <c r="B101" s="7">
        <v>4042</v>
      </c>
      <c r="C101" s="21" t="s">
        <v>192</v>
      </c>
      <c r="D101" s="21" t="s">
        <v>609</v>
      </c>
      <c r="E101" s="13">
        <v>43051.589733796296</v>
      </c>
      <c r="F101" s="13">
        <v>43051.594131944446</v>
      </c>
      <c r="G101" s="7">
        <v>69</v>
      </c>
      <c r="H101" s="21" t="s">
        <v>895</v>
      </c>
      <c r="I101" s="13">
        <v>43051.619259259256</v>
      </c>
      <c r="J101" s="7">
        <v>0</v>
      </c>
      <c r="K101" s="89" t="str">
        <f t="shared" si="39"/>
        <v>4041/4042</v>
      </c>
      <c r="L101" s="185" t="str">
        <f>VLOOKUP(A101,'Trips&amp;Operators'!$C$1:$G$99911,5,FALSE)</f>
        <v>STEWART MICHAEL</v>
      </c>
      <c r="M101" s="6">
        <f t="shared" si="40"/>
        <v>2.512731480965158E-2</v>
      </c>
      <c r="N101" s="7">
        <f t="shared" ref="N101:N132" si="56">24*60*SUM($M101:$M101)</f>
        <v>36.183333325898275</v>
      </c>
      <c r="O101" s="7"/>
      <c r="P101" s="7"/>
      <c r="Q101" s="22"/>
      <c r="R101" s="174"/>
      <c r="S101" s="221">
        <f t="shared" ref="S101:S132" si="57">1/IF(AG101="EC",12,1)*SUM(U101:U101)</f>
        <v>1</v>
      </c>
      <c r="T101" s="174" t="str">
        <f t="shared" si="41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2"/>
        <v>https://d0f6bd738d7f1b3e5a7ca70fe4ff75f0.us-east-1.aws.found.io/app/kibana#/discover/Steve-Slow-Train-Analysis-(2080s-and-2083s)?_g=(refreshInterval:(display:Off,pause:!f,section:0,value:0),time:(from:'2017-11-12T13:09:13-0700',mode:absolute,to:'2017-11-12T15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204" t="str">
        <f>IF(AA101&lt;VLOOKUP(AG101,Variables!$AC$3:$AD$8,2,FALSE),"Y","N")</f>
        <v>N</v>
      </c>
      <c r="X101" s="204">
        <f t="shared" si="53"/>
        <v>1</v>
      </c>
      <c r="Y101" s="204">
        <f t="shared" si="54"/>
        <v>5.2400000000000002E-2</v>
      </c>
      <c r="Z101" s="204">
        <f t="shared" si="55"/>
        <v>23.328800000000001</v>
      </c>
      <c r="AA101" s="204">
        <f t="shared" si="43"/>
        <v>23.276400000000002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9">
        <f t="shared" si="44"/>
        <v>185</v>
      </c>
      <c r="AE101" s="77" t="str">
        <f t="shared" si="45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101" s="74" t="str">
        <f t="shared" si="46"/>
        <v>"C:\Program Files (x86)\AstroGrep\AstroGrep.exe" /e /r /s /spath="%USERPROFILE%\AppData\Local\Temp\OnboardLogs" /stypes="app*4042*20171112*" /stext=" 21:.+((SYSTEM_STATE.+slice.+state.+changed )|(ment ac)|(multiple cpu faults)|(system.+state.+changed )|(\[timeout)|(PRM\|1\|D)|(kpr)|(kdp)|(train st.+moving)|(\|lc)|(penalty))"</v>
      </c>
      <c r="AG101" s="182" t="str">
        <f t="shared" si="47"/>
        <v>EC</v>
      </c>
      <c r="AH101" s="78" t="str">
        <f t="shared" si="50"/>
        <v>"%USERPROFILE%\Documents\GitHub\eaglep3\Utilities\RefineRTDCRunTimes.py" --tripid 185-12 --locoid 4042 --swversion DE.1.0.9.0 --startMP 204:524 --initTime 2017-11-12T14:09:13 --startdatetime 2017-11-12T14:15:33 --delay 69 --endMP 204:233288 --enddatetime 2017-11-12T14:51:44 --enforcementcount 0 &gt;&gt;%USERPROFILE%\Documents\GitHub\eaglep3-reporting\EC\2017-11-12-refined-times.txt</v>
      </c>
      <c r="AI101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{"issue":{"subject":"","project_id":79,"tracker_id":40,"status_id":1,"priority_id":2,"assigned_to_id":338,"start_date":"2017-11-12","description":"","custom_fields":[{"id":1,"name":"Subdivision","value":"EC"},{"id":4,"name":"Milepost","value":"23.3288"},{"id":17,"name":"Train ID","value":"185-12"},{"id":16,"name":"Locomotive ID","value":"4042"},{"id":130,"name":"Impact","value":""},{"id":150,"name":"Time of Event (Mountain Time)","value":"14:51:44"},{"id":151,"name":"Denver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51"/>
        <v>start /low /b %USERPROFILE%\Documents\GitHub\eaglep3\Utilities\DownloadLogsFromS3.py --loco 4042 --day 2017-11-12</v>
      </c>
      <c r="AN101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2"/>
        <v>https://d0f6bd738d7f1b3e5a7ca70fe4ff75f0.us-east-1.aws.found.io/app/kibana#/discover/Steve-Slow-Train-Analysis-(2080s-and-2083s)?_g=(refreshInterval:(display:Off,pause:!f,section:0,value:0),time:(from:'2017-11-12T13:09:13-0700',mode:absolute,to:'2017-11-12T15:51:44-0700'))&amp;_a=(columns:!('Message%20ID',Summary),filters:!(),index:'emp_*',interval:auto,query:(query_string:(analyze_wildcard:!t,query:'%22rtdc.l.rtdc.4042%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655</v>
      </c>
      <c r="B102" s="7">
        <v>4041</v>
      </c>
      <c r="C102" s="21" t="s">
        <v>192</v>
      </c>
      <c r="D102" s="21" t="s">
        <v>503</v>
      </c>
      <c r="E102" s="13">
        <v>43051.632673611108</v>
      </c>
      <c r="F102" s="13">
        <v>43051.634016203701</v>
      </c>
      <c r="G102" s="7">
        <v>52</v>
      </c>
      <c r="H102" s="21" t="s">
        <v>1003</v>
      </c>
      <c r="I102" s="13">
        <v>43051.660115740742</v>
      </c>
      <c r="J102" s="7">
        <v>0</v>
      </c>
      <c r="K102" s="89" t="str">
        <f t="shared" si="39"/>
        <v>4041/4042</v>
      </c>
      <c r="L102" s="185" t="str">
        <f>VLOOKUP(A102,'Trips&amp;Operators'!$C$1:$G$99911,5,FALSE)</f>
        <v>STEWART MICHAEL</v>
      </c>
      <c r="M102" s="6">
        <f t="shared" si="40"/>
        <v>2.6099537040863652E-2</v>
      </c>
      <c r="N102" s="7">
        <f t="shared" si="56"/>
        <v>37.583333338843659</v>
      </c>
      <c r="O102" s="7"/>
      <c r="P102" s="7"/>
      <c r="Q102" s="22"/>
      <c r="R102" s="174"/>
      <c r="S102" s="221">
        <f t="shared" si="57"/>
        <v>1</v>
      </c>
      <c r="T102" s="174" t="str">
        <f t="shared" si="41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2"/>
        <v>https://d0f6bd738d7f1b3e5a7ca70fe4ff75f0.us-east-1.aws.found.io/app/kibana#/discover/Steve-Slow-Train-Analysis-(2080s-and-2083s)?_g=(refreshInterval:(display:Off,pause:!f,section:0,value:0),time:(from:'2017-11-12T14:11:03-0700',mode:absolute,to:'2017-11-12T16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204" t="str">
        <f>IF(AA102&lt;VLOOKUP(AG102,Variables!$AC$3:$AD$8,2,FALSE),"Y","N")</f>
        <v>N</v>
      </c>
      <c r="X102" s="204">
        <f t="shared" si="53"/>
        <v>1</v>
      </c>
      <c r="Y102" s="204">
        <f t="shared" si="54"/>
        <v>23.296299999999999</v>
      </c>
      <c r="Z102" s="204">
        <f t="shared" si="55"/>
        <v>4.5499999999999999E-2</v>
      </c>
      <c r="AA102" s="204">
        <f t="shared" si="43"/>
        <v>23.250799999999998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9">
        <f t="shared" si="44"/>
        <v>186</v>
      </c>
      <c r="AE102" s="77" t="str">
        <f t="shared" si="45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102" s="74" t="str">
        <f t="shared" si="46"/>
        <v>"C:\Program Files (x86)\AstroGrep\AstroGrep.exe" /e /r /s /spath="%USERPROFILE%\AppData\Local\Temp\OnboardLogs" /stypes="app*4041*20171112*" /stext=" 22:.+((SYSTEM_STATE.+slice.+state.+changed )|(ment ac)|(multiple cpu faults)|(system.+state.+changed )|(\[timeout)|(PRM\|1\|D)|(kpr)|(kdp)|(train st.+moving)|(\|lc)|(penalty))"</v>
      </c>
      <c r="AG102" s="182" t="str">
        <f t="shared" si="47"/>
        <v>EC</v>
      </c>
      <c r="AH102" s="78" t="str">
        <f t="shared" si="50"/>
        <v>"%USERPROFILE%\Documents\GitHub\eaglep3\Utilities\RefineRTDCRunTimes.py" --tripid 186-12 --locoid 4041 --swversion DE.1.0.9.0 --startMP 204:232963 --initTime 2017-11-12T15:11:03 --startdatetime 2017-11-12T15:12:59 --delay 52 --endMP 204:455 --enddatetime 2017-11-12T15:50:34 --enforcementcount 0 &gt;&gt;%USERPROFILE%\Documents\GitHub\eaglep3-reporting\EC\2017-11-12-refined-times.txt</v>
      </c>
      <c r="AI102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{"issue":{"subject":"","project_id":79,"tracker_id":40,"status_id":1,"priority_id":2,"assigned_to_id":338,"start_date":"2017-11-12","description":"","custom_fields":[{"id":1,"name":"Subdivision","value":"EC"},{"id":4,"name":"Milepost","value":"0.0455"},{"id":17,"name":"Train ID","value":"186-12"},{"id":16,"name":"Locomotive ID","value":"4041"},{"id":130,"name":"Impact","value":""},{"id":150,"name":"Time of Event (Mountain Time)","value":"15:50:34"},{"id":151,"name":"Denver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51"/>
        <v>start /low /b %USERPROFILE%\Documents\GitHub\eaglep3\Utilities\DownloadLogsFromS3.py --loco 4041 --day 2017-11-12</v>
      </c>
      <c r="AN102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22:50:34"},{"id":29,"name":"Sharepoint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2"/>
        <v>https://d0f6bd738d7f1b3e5a7ca70fe4ff75f0.us-east-1.aws.found.io/app/kibana#/discover/Steve-Slow-Train-Analysis-(2080s-and-2083s)?_g=(refreshInterval:(display:Off,pause:!f,section:0,value:0),time:(from:'2017-11-12T14:11:03-0700',mode:absolute,to:'2017-11-12T16:50:34-0700'))&amp;_a=(columns:!('Message%20ID',Summary),filters:!(),index:'emp_*',interval:auto,query:(query_string:(analyze_wildcard:!t,query:'%22rtdc.l.rtdc.4041%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793</v>
      </c>
      <c r="B103" s="7">
        <v>4004</v>
      </c>
      <c r="C103" s="21" t="s">
        <v>192</v>
      </c>
      <c r="D103" s="21" t="s">
        <v>1004</v>
      </c>
      <c r="E103" s="13">
        <v>43051.600243055553</v>
      </c>
      <c r="F103" s="13">
        <v>43051.604398148149</v>
      </c>
      <c r="G103" s="7">
        <v>55</v>
      </c>
      <c r="H103" s="21" t="s">
        <v>500</v>
      </c>
      <c r="I103" s="13">
        <v>43051.629224537035</v>
      </c>
      <c r="J103" s="7">
        <v>0</v>
      </c>
      <c r="K103" s="89" t="str">
        <f t="shared" si="39"/>
        <v>4003/4004</v>
      </c>
      <c r="L103" s="185" t="str">
        <f>VLOOKUP(A103,'Trips&amp;Operators'!$C$1:$G$99911,5,FALSE)</f>
        <v>SMITH MICHAEL</v>
      </c>
      <c r="M103" s="6">
        <f t="shared" si="40"/>
        <v>2.4826388886140194E-2</v>
      </c>
      <c r="N103" s="7">
        <f t="shared" si="56"/>
        <v>35.749999996041879</v>
      </c>
      <c r="O103" s="7"/>
      <c r="P103" s="7"/>
      <c r="Q103" s="22"/>
      <c r="R103" s="174"/>
      <c r="S103" s="221">
        <f t="shared" si="57"/>
        <v>1</v>
      </c>
      <c r="T103" s="174" t="str">
        <f t="shared" si="41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42"/>
        <v>https://d0f6bd738d7f1b3e5a7ca70fe4ff75f0.us-east-1.aws.found.io/app/kibana#/discover/Steve-Slow-Train-Analysis-(2080s-and-2083s)?_g=(refreshInterval:(display:Off,pause:!f,section:0,value:0),time:(from:'2017-11-12T13:24:21-0700',mode:absolute,to:'2017-11-12T16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3" s="204" t="str">
        <f>IF(AA103&lt;VLOOKUP(AG103,Variables!$AC$3:$AD$8,2,FALSE),"Y","N")</f>
        <v>N</v>
      </c>
      <c r="X103" s="204">
        <f t="shared" si="53"/>
        <v>1</v>
      </c>
      <c r="Y103" s="204">
        <f t="shared" si="54"/>
        <v>5.5100000000000003E-2</v>
      </c>
      <c r="Z103" s="204">
        <f t="shared" si="55"/>
        <v>23.323399999999999</v>
      </c>
      <c r="AA103" s="204">
        <f t="shared" si="43"/>
        <v>23.2683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9">
        <f t="shared" si="44"/>
        <v>187</v>
      </c>
      <c r="AE103" s="77" t="str">
        <f t="shared" si="45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103" s="74" t="str">
        <f t="shared" si="46"/>
        <v>"C:\Program Files (x86)\AstroGrep\AstroGrep.exe" /e /r /s /spath="%USERPROFILE%\AppData\Local\Temp\OnboardLogs" /stypes="app*4004*20171112*" /stext=" 22:.+((SYSTEM_STATE.+slice.+state.+changed )|(ment ac)|(multiple cpu faults)|(system.+state.+changed )|(\[timeout)|(PRM\|1\|D)|(kpr)|(kdp)|(train st.+moving)|(\|lc)|(penalty))"</v>
      </c>
      <c r="AG103" s="182" t="str">
        <f t="shared" si="47"/>
        <v>EC</v>
      </c>
      <c r="AH103" s="78" t="str">
        <f t="shared" si="50"/>
        <v>"%USERPROFILE%\Documents\GitHub\eaglep3\Utilities\RefineRTDCRunTimes.py" --tripid 187-12 --locoid 4004 --swversion DE.1.0.9.0 --startMP 204:551 --initTime 2017-11-12T14:24:21 --startdatetime 2017-11-12T14:30:20 --delay 55 --endMP 204:233234 --enddatetime 2017-11-12T15:06:05 --enforcementcount 0 &gt;&gt;%USERPROFILE%\Documents\GitHub\eaglep3-reporting\EC\2017-11-12-refined-times.txt</v>
      </c>
      <c r="AI103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{"issue":{"subject":"","project_id":79,"tracker_id":40,"status_id":1,"priority_id":2,"assigned_to_id":338,"start_date":"2017-11-12","description":"","custom_fields":[{"id":1,"name":"Subdivision","value":"EC"},{"id":4,"name":"Milepost","value":"23.3234"},{"id":17,"name":"Train ID","value":"187-12"},{"id":16,"name":"Locomotive ID","value":"4004"},{"id":130,"name":"Impact","value":""},{"id":150,"name":"Time of Event (Mountain Time)","value":"15:06:05"},{"id":151,"name":"Denver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51"/>
        <v>start /low /b %USERPROFILE%\Documents\GitHub\eaglep3\Utilities\DownloadLogsFromS3.py --loco 4004 --day 2017-11-12</v>
      </c>
      <c r="AN103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2"/>
        <v>https://d0f6bd738d7f1b3e5a7ca70fe4ff75f0.us-east-1.aws.found.io/app/kibana#/discover/Steve-Slow-Train-Analysis-(2080s-and-2083s)?_g=(refreshInterval:(display:Off,pause:!f,section:0,value:0),time:(from:'2017-11-12T13:24:21-0700',mode:absolute,to:'2017-11-12T16:06:05-0700'))&amp;_a=(columns:!('Message%20ID',Summary),filters:!(),index:'emp_*',interval:auto,query:(query_string:(analyze_wildcard:!t,query:'%22rtdc.l.rtdc.4004%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799</v>
      </c>
      <c r="B104" s="7">
        <v>4003</v>
      </c>
      <c r="C104" s="21" t="s">
        <v>192</v>
      </c>
      <c r="D104" s="21" t="s">
        <v>608</v>
      </c>
      <c r="E104" s="13">
        <v>43051.637245370373</v>
      </c>
      <c r="F104" s="13">
        <v>43051.643993055557</v>
      </c>
      <c r="G104" s="7">
        <v>59</v>
      </c>
      <c r="H104" s="21" t="s">
        <v>447</v>
      </c>
      <c r="I104" s="13">
        <v>43051.669421296298</v>
      </c>
      <c r="J104" s="7">
        <v>0</v>
      </c>
      <c r="K104" s="89" t="str">
        <f t="shared" si="39"/>
        <v>4003/4004</v>
      </c>
      <c r="L104" s="185" t="str">
        <f>VLOOKUP(A104,'Trips&amp;Operators'!$C$1:$G$99911,5,FALSE)</f>
        <v>SMITH MICHAEL</v>
      </c>
      <c r="M104" s="6">
        <f t="shared" si="40"/>
        <v>2.5428240740438923E-2</v>
      </c>
      <c r="N104" s="7">
        <f t="shared" si="56"/>
        <v>36.616666666232049</v>
      </c>
      <c r="O104" s="7"/>
      <c r="P104" s="7"/>
      <c r="Q104" s="22"/>
      <c r="R104" s="174"/>
      <c r="S104" s="221">
        <f t="shared" si="57"/>
        <v>1</v>
      </c>
      <c r="T104" s="174" t="str">
        <f t="shared" si="41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42"/>
        <v>https://d0f6bd738d7f1b3e5a7ca70fe4ff75f0.us-east-1.aws.found.io/app/kibana#/discover/Steve-Slow-Train-Analysis-(2080s-and-2083s)?_g=(refreshInterval:(display:Off,pause:!f,section:0,value:0),time:(from:'2017-11-12T14:17:38-0700',mode:absolute,to:'2017-11-12T17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204" t="str">
        <f>IF(AA104&lt;VLOOKUP(AG104,Variables!$AC$3:$AD$8,2,FALSE),"Y","N")</f>
        <v>N</v>
      </c>
      <c r="X104" s="204">
        <f t="shared" si="53"/>
        <v>1</v>
      </c>
      <c r="Y104" s="204">
        <f t="shared" si="54"/>
        <v>23.2879</v>
      </c>
      <c r="Z104" s="204">
        <f t="shared" si="55"/>
        <v>2.3599999999999999E-2</v>
      </c>
      <c r="AA104" s="204">
        <f t="shared" si="43"/>
        <v>23.264300000000002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9">
        <f t="shared" si="44"/>
        <v>188</v>
      </c>
      <c r="AE104" s="77" t="str">
        <f t="shared" si="45"/>
        <v>aws s3 cp s3://rtdc.mdm.uploadarchive.raw/RTDC4003/ "%USERPROFILE%\AppData\Local\Temp\OnboardLogs"\RTDC4003\2017-11-12 --exclude "*" --recursive --include "*20171112*" &amp; "%USERPROFILE%\Documents\GitHub\mrs-test-scripts\Headless Mode &amp; Sideloading\WalkAndUnGZ.bat" "%USERPROFILE%\AppData\Local\Temp\OnboardLogs"\RTDC4003\2017-11-12 &amp; aws s3 cp s3://rtdc.mdm.uploadarchive.raw/RTDC4003/ "%USERPROFILE%\AppData\Local\Temp\OnboardLogs"\RTDC4003\2017-11-13 --exclude "*" --recursive --include "*20171113*" &amp; "%USERPROFILE%\Documents\GitHub\mrs-test-scripts\Headless Mode &amp; Sideloading\WalkAndUnGZ.bat" "%USERPROFILE%\AppData\Local\Temp\OnboardLogs"\RTDC4003\2017-11-13</v>
      </c>
      <c r="AF104" s="74" t="str">
        <f t="shared" si="46"/>
        <v>"C:\Program Files (x86)\AstroGrep\AstroGrep.exe" /e /r /s /spath="%USERPROFILE%\AppData\Local\Temp\OnboardLogs" /stypes="app*4003*20171112*" /stext=" 23:.+((SYSTEM_STATE.+slice.+state.+changed )|(ment ac)|(multiple cpu faults)|(system.+state.+changed )|(\[timeout)|(PRM\|1\|D)|(kpr)|(kdp)|(train st.+moving)|(\|lc)|(penalty))"</v>
      </c>
      <c r="AG104" s="182" t="str">
        <f t="shared" si="47"/>
        <v>EC</v>
      </c>
      <c r="AH104" s="78" t="str">
        <f t="shared" si="50"/>
        <v>"%USERPROFILE%\Documents\GitHub\eaglep3\Utilities\RefineRTDCRunTimes.py" --tripid 188-12 --locoid 4003 --swversion DE.1.0.9.0 --startMP 204:232879 --initTime 2017-11-12T15:17:38 --startdatetime 2017-11-12T15:27:21 --delay 59 --endMP 204:236 --enddatetime 2017-11-12T16:03:58 --enforcementcount 0 &gt;&gt;%USERPROFILE%\Documents\GitHub\eaglep3-reporting\EC\2017-11-12-refined-times.txt</v>
      </c>
      <c r="AI104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{"issue":{"subject":"","project_id":79,"tracker_id":40,"status_id":1,"priority_id":2,"assigned_to_id":338,"start_date":"2017-11-12","description":"","custom_fields":[{"id":1,"name":"Subdivision","value":"EC"},{"id":4,"name":"Milepost","value":"0.0236"},{"id":17,"name":"Train ID","value":"188-12"},{"id":16,"name":"Locomotive ID","value":"4003"},{"id":130,"name":"Impact","value":""},{"id":150,"name":"Time of Event (Mountain Time)","value":"16:03:58"},{"id":151,"name":"Denver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51"/>
        <v>start /low /b %USERPROFILE%\Documents\GitHub\eaglep3\Utilities\DownloadLogsFromS3.py --loco 4003 --day 2017-11-12</v>
      </c>
      <c r="AN104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2"/>
        <v>https://d0f6bd738d7f1b3e5a7ca70fe4ff75f0.us-east-1.aws.found.io/app/kibana#/discover/Steve-Slow-Train-Analysis-(2080s-and-2083s)?_g=(refreshInterval:(display:Off,pause:!f,section:0,value:0),time:(from:'2017-11-12T14:17:38-0700',mode:absolute,to:'2017-11-12T17:03:58-0700'))&amp;_a=(columns:!('Message%20ID',Summary),filters:!(),index:'emp_*',interval:auto,query:(query_string:(analyze_wildcard:!t,query:'%22rtdc.l.rtdc.4003%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796</v>
      </c>
      <c r="B105" s="7">
        <v>4016</v>
      </c>
      <c r="C105" s="21" t="s">
        <v>192</v>
      </c>
      <c r="D105" s="21" t="s">
        <v>479</v>
      </c>
      <c r="E105" s="13">
        <v>43051.61309027778</v>
      </c>
      <c r="F105" s="13">
        <v>43051.614895833336</v>
      </c>
      <c r="G105" s="7">
        <v>52</v>
      </c>
      <c r="H105" s="21" t="s">
        <v>492</v>
      </c>
      <c r="I105" s="13">
        <v>43051.640740740739</v>
      </c>
      <c r="J105" s="7">
        <v>0</v>
      </c>
      <c r="K105" s="89" t="str">
        <f t="shared" si="39"/>
        <v>4015/4016</v>
      </c>
      <c r="L105" s="185" t="str">
        <f>VLOOKUP(A105,'Trips&amp;Operators'!$C$1:$G$99911,5,FALSE)</f>
        <v>DAVIS MICHAEL</v>
      </c>
      <c r="M105" s="6">
        <f t="shared" si="40"/>
        <v>2.5844907402643003E-2</v>
      </c>
      <c r="N105" s="7">
        <f t="shared" si="56"/>
        <v>37.216666659805924</v>
      </c>
      <c r="O105" s="7"/>
      <c r="P105" s="7"/>
      <c r="Q105" s="22"/>
      <c r="R105" s="174"/>
      <c r="S105" s="221">
        <f t="shared" si="57"/>
        <v>1</v>
      </c>
      <c r="T105" s="174" t="str">
        <f t="shared" si="41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2"/>
        <v>https://d0f6bd738d7f1b3e5a7ca70fe4ff75f0.us-east-1.aws.found.io/app/kibana#/discover/Steve-Slow-Train-Analysis-(2080s-and-2083s)?_g=(refreshInterval:(display:Off,pause:!f,section:0,value:0),time:(from:'2017-11-12T13:42:51-0700',mode:absolute,to:'2017-11-12T16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204" t="str">
        <f>IF(AA105&lt;VLOOKUP(AG105,Variables!$AC$3:$AD$8,2,FALSE),"Y","N")</f>
        <v>N</v>
      </c>
      <c r="X105" s="204">
        <f t="shared" si="53"/>
        <v>1</v>
      </c>
      <c r="Y105" s="204">
        <f t="shared" si="54"/>
        <v>5.28E-2</v>
      </c>
      <c r="Z105" s="204">
        <f t="shared" si="55"/>
        <v>23.3276</v>
      </c>
      <c r="AA105" s="204">
        <f t="shared" si="43"/>
        <v>23.274799999999999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9">
        <f t="shared" si="44"/>
        <v>189</v>
      </c>
      <c r="AE105" s="77" t="str">
        <f t="shared" si="45"/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105" s="74" t="str">
        <f t="shared" si="46"/>
        <v>"C:\Program Files (x86)\AstroGrep\AstroGrep.exe" /e /r /s /spath="%USERPROFILE%\AppData\Local\Temp\OnboardLogs" /stypes="app*4016*20171112*" /stext=" 22:.+((SYSTEM_STATE.+slice.+state.+changed )|(ment ac)|(multiple cpu faults)|(system.+state.+changed )|(\[timeout)|(PRM\|1\|D)|(kpr)|(kdp)|(train st.+moving)|(\|lc)|(penalty))"</v>
      </c>
      <c r="AG105" s="182" t="str">
        <f t="shared" si="47"/>
        <v>EC</v>
      </c>
      <c r="AH105" s="78" t="str">
        <f t="shared" si="50"/>
        <v>"%USERPROFILE%\Documents\GitHub\eaglep3\Utilities\RefineRTDCRunTimes.py" --tripid 189-12 --locoid 4016 --swversion DE.1.0.9.0 --startMP 204:528 --initTime 2017-11-12T14:42:51 --startdatetime 2017-11-12T14:45:27 --delay 52 --endMP 204:233276 --enddatetime 2017-11-12T15:22:40 --enforcementcount 0 &gt;&gt;%USERPROFILE%\Documents\GitHub\eaglep3-reporting\EC\2017-11-12-refined-times.txt</v>
      </c>
      <c r="AI105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{"issue":{"subject":"","project_id":79,"tracker_id":40,"status_id":1,"priority_id":2,"assigned_to_id":338,"start_date":"2017-11-12","description":"","custom_fields":[{"id":1,"name":"Subdivision","value":"EC"},{"id":4,"name":"Milepost","value":"23.3276"},{"id":17,"name":"Train ID","value":"189-12"},{"id":16,"name":"Locomotive ID","value":"4016"},{"id":130,"name":"Impact","value":""},{"id":150,"name":"Time of Event (Mountain Time)","value":"15:22:40"},{"id":151,"name":"Denver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51"/>
        <v>start /low /b %USERPROFILE%\Documents\GitHub\eaglep3\Utilities\DownloadLogsFromS3.py --loco 4016 --day 2017-11-12</v>
      </c>
      <c r="AN105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22:22:40"},{"id":29,"name":"Sharepoint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2"/>
        <v>https://d0f6bd738d7f1b3e5a7ca70fe4ff75f0.us-east-1.aws.found.io/app/kibana#/discover/Steve-Slow-Train-Analysis-(2080s-and-2083s)?_g=(refreshInterval:(display:Off,pause:!f,section:0,value:0),time:(from:'2017-11-12T13:42:51-0700',mode:absolute,to:'2017-11-12T16:22:40-0700'))&amp;_a=(columns:!('Message%20ID',Summary),filters:!(),index:'emp_*',interval:auto,query:(query_string:(analyze_wildcard:!t,query:'%22rtdc.l.rtdc.4016%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802</v>
      </c>
      <c r="B106" s="7">
        <v>4015</v>
      </c>
      <c r="C106" s="21" t="s">
        <v>192</v>
      </c>
      <c r="D106" s="21" t="s">
        <v>476</v>
      </c>
      <c r="E106" s="13">
        <v>43051.650034722225</v>
      </c>
      <c r="F106" s="13">
        <v>43051.654606481483</v>
      </c>
      <c r="G106" s="7">
        <v>70</v>
      </c>
      <c r="H106" s="21" t="s">
        <v>604</v>
      </c>
      <c r="I106" s="13">
        <v>43051.681759259256</v>
      </c>
      <c r="J106" s="7">
        <v>0</v>
      </c>
      <c r="K106" s="89" t="str">
        <f t="shared" si="39"/>
        <v>4015/4016</v>
      </c>
      <c r="L106" s="185" t="str">
        <f>VLOOKUP(A106,'Trips&amp;Operators'!$C$1:$G$99911,5,FALSE)</f>
        <v>DAVIS MICHAEL</v>
      </c>
      <c r="M106" s="6">
        <f t="shared" si="40"/>
        <v>2.7152777773153502E-2</v>
      </c>
      <c r="N106" s="7">
        <f t="shared" si="56"/>
        <v>39.099999993341044</v>
      </c>
      <c r="O106" s="7"/>
      <c r="P106" s="7"/>
      <c r="Q106" s="22"/>
      <c r="R106" s="174"/>
      <c r="S106" s="221">
        <f t="shared" si="57"/>
        <v>1</v>
      </c>
      <c r="T106" s="174" t="str">
        <f t="shared" si="41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2"/>
        <v>https://d0f6bd738d7f1b3e5a7ca70fe4ff75f0.us-east-1.aws.found.io/app/kibana#/discover/Steve-Slow-Train-Analysis-(2080s-and-2083s)?_g=(refreshInterval:(display:Off,pause:!f,section:0,value:0),time:(from:'2017-11-12T14:36:03-0700',mode:absolute,to:'2017-11-12T17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204" t="str">
        <f>IF(AA106&lt;VLOOKUP(AG106,Variables!$AC$3:$AD$8,2,FALSE),"Y","N")</f>
        <v>N</v>
      </c>
      <c r="X106" s="204">
        <f t="shared" si="53"/>
        <v>1</v>
      </c>
      <c r="Y106" s="204">
        <f t="shared" si="54"/>
        <v>23.2957</v>
      </c>
      <c r="Z106" s="204">
        <f t="shared" si="55"/>
        <v>2.2499999999999999E-2</v>
      </c>
      <c r="AA106" s="204">
        <f t="shared" si="43"/>
        <v>23.273199999999999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9">
        <f t="shared" si="44"/>
        <v>190</v>
      </c>
      <c r="AE106" s="77" t="str">
        <f t="shared" si="45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106" s="74" t="str">
        <f t="shared" si="46"/>
        <v>"C:\Program Files (x86)\AstroGrep\AstroGrep.exe" /e /r /s /spath="%USERPROFILE%\AppData\Local\Temp\OnboardLogs" /stypes="app*4015*20171112*" /stext=" 23:.+((SYSTEM_STATE.+slice.+state.+changed )|(ment ac)|(multiple cpu faults)|(system.+state.+changed )|(\[timeout)|(PRM\|1\|D)|(kpr)|(kdp)|(train st.+moving)|(\|lc)|(penalty))"</v>
      </c>
      <c r="AG106" s="182" t="str">
        <f t="shared" si="47"/>
        <v>EC</v>
      </c>
      <c r="AH106" s="78" t="str">
        <f t="shared" si="50"/>
        <v>"%USERPROFILE%\Documents\GitHub\eaglep3\Utilities\RefineRTDCRunTimes.py" --tripid 190-12 --locoid 4015 --swversion DE.1.0.9.0 --startMP 204:232957 --initTime 2017-11-12T15:36:03 --startdatetime 2017-11-12T15:42:38 --delay 70 --endMP 204:225 --enddatetime 2017-11-12T16:21:44 --enforcementcount 0 &gt;&gt;%USERPROFILE%\Documents\GitHub\eaglep3-reporting\EC\2017-11-12-refined-times.txt</v>
      </c>
      <c r="AI106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{"issue":{"subject":"","project_id":79,"tracker_id":40,"status_id":1,"priority_id":2,"assigned_to_id":338,"start_date":"2017-11-12","description":"","custom_fields":[{"id":1,"name":"Subdivision","value":"EC"},{"id":4,"name":"Milepost","value":"0.0225"},{"id":17,"name":"Train ID","value":"190-12"},{"id":16,"name":"Locomotive ID","value":"4015"},{"id":130,"name":"Impact","value":""},{"id":150,"name":"Time of Event (Mountain Time)","value":"16:21:44"},{"id":151,"name":"Denver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51"/>
        <v>start /low /b %USERPROFILE%\Documents\GitHub\eaglep3\Utilities\DownloadLogsFromS3.py --loco 4015 --day 2017-11-12</v>
      </c>
      <c r="AN106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2"/>
        <v>https://d0f6bd738d7f1b3e5a7ca70fe4ff75f0.us-east-1.aws.found.io/app/kibana#/discover/Steve-Slow-Train-Analysis-(2080s-and-2083s)?_g=(refreshInterval:(display:Off,pause:!f,section:0,value:0),time:(from:'2017-11-12T14:36:03-0700',mode:absolute,to:'2017-11-12T17:21:44-0700'))&amp;_a=(columns:!('Message%20ID',Summary),filters:!(),index:'emp_*',interval:auto,query:(query_string:(analyze_wildcard:!t,query:'%22rtdc.l.rtdc.4015%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797</v>
      </c>
      <c r="B107" s="7">
        <v>4006</v>
      </c>
      <c r="C107" s="21" t="s">
        <v>192</v>
      </c>
      <c r="D107" s="21" t="s">
        <v>621</v>
      </c>
      <c r="E107" s="13">
        <v>43051.620416666665</v>
      </c>
      <c r="F107" s="13">
        <v>43051.625196759262</v>
      </c>
      <c r="G107" s="7">
        <v>108</v>
      </c>
      <c r="H107" s="21" t="s">
        <v>622</v>
      </c>
      <c r="I107" s="13">
        <v>43051.649583333332</v>
      </c>
      <c r="J107" s="7">
        <v>0</v>
      </c>
      <c r="K107" s="89" t="str">
        <f t="shared" si="39"/>
        <v>4005/4006</v>
      </c>
      <c r="L107" s="185" t="str">
        <f>VLOOKUP(A107,'Trips&amp;Operators'!$C$1:$G$99911,5,FALSE)</f>
        <v>SAFIEF AEIMEN</v>
      </c>
      <c r="M107" s="6">
        <f t="shared" si="40"/>
        <v>2.438657407037681E-2</v>
      </c>
      <c r="N107" s="7">
        <f t="shared" si="56"/>
        <v>35.116666661342606</v>
      </c>
      <c r="O107" s="7"/>
      <c r="P107" s="7"/>
      <c r="Q107" s="22"/>
      <c r="R107" s="174"/>
      <c r="S107" s="221">
        <f t="shared" si="57"/>
        <v>1</v>
      </c>
      <c r="T107" s="174" t="str">
        <f t="shared" si="41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2"/>
        <v>https://d0f6bd738d7f1b3e5a7ca70fe4ff75f0.us-east-1.aws.found.io/app/kibana#/discover/Steve-Slow-Train-Analysis-(2080s-and-2083s)?_g=(refreshInterval:(display:Off,pause:!f,section:0,value:0),time:(from:'2017-11-12T13:53:24-0700',mode:absolute,to:'2017-11-12T16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7" s="204" t="str">
        <f>IF(AA107&lt;VLOOKUP(AG107,Variables!$AC$3:$AD$8,2,FALSE),"Y","N")</f>
        <v>N</v>
      </c>
      <c r="X107" s="204">
        <f t="shared" si="53"/>
        <v>1</v>
      </c>
      <c r="Y107" s="204">
        <f t="shared" si="54"/>
        <v>5.2900000000000003E-2</v>
      </c>
      <c r="Z107" s="204">
        <f t="shared" si="55"/>
        <v>23.322900000000001</v>
      </c>
      <c r="AA107" s="204">
        <f t="shared" si="43"/>
        <v>23.27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9">
        <f t="shared" si="44"/>
        <v>191</v>
      </c>
      <c r="AE107" s="77" t="str">
        <f t="shared" si="45"/>
        <v>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 &amp; aws s3 cp s3://rtdc.mdm.uploadarchive.raw/RTDC4006/ "%USERPROFILE%\AppData\Local\Temp\OnboardLogs"\RTDC4006\2017-11-13 --exclude "*" --recursive --include "*20171113*" &amp; "%USERPROFILE%\Documents\GitHub\mrs-test-scripts\Headless Mode &amp; Sideloading\WalkAndUnGZ.bat" "%USERPROFILE%\AppData\Local\Temp\OnboardLogs"\RTDC4006\2017-11-13</v>
      </c>
      <c r="AF107" s="74" t="str">
        <f t="shared" si="46"/>
        <v>"C:\Program Files (x86)\AstroGrep\AstroGrep.exe" /e /r /s /spath="%USERPROFILE%\AppData\Local\Temp\OnboardLogs" /stypes="app*4006*20171112*" /stext=" 22:.+((SYSTEM_STATE.+slice.+state.+changed )|(ment ac)|(multiple cpu faults)|(system.+state.+changed )|(\[timeout)|(PRM\|1\|D)|(kpr)|(kdp)|(train st.+moving)|(\|lc)|(penalty))"</v>
      </c>
      <c r="AG107" s="182" t="str">
        <f t="shared" si="47"/>
        <v>EC</v>
      </c>
      <c r="AH107" s="78" t="str">
        <f t="shared" si="50"/>
        <v>"%USERPROFILE%\Documents\GitHub\eaglep3\Utilities\RefineRTDCRunTimes.py" --tripid 191-12 --locoid 4006 --swversion DE.1.0.9.0 --startMP 204:529 --initTime 2017-11-12T14:53:24 --startdatetime 2017-11-12T15:00:17 --delay 108 --endMP 204:233229 --enddatetime 2017-11-12T15:35:24 --enforcementcount 0 &gt;&gt;%USERPROFILE%\Documents\GitHub\eaglep3-reporting\EC\2017-11-12-refined-times.txt</v>
      </c>
      <c r="AI107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{"issue":{"subject":"","project_id":79,"tracker_id":40,"status_id":1,"priority_id":2,"assigned_to_id":338,"start_date":"2017-11-12","description":"","custom_fields":[{"id":1,"name":"Subdivision","value":"EC"},{"id":4,"name":"Milepost","value":"23.3229"},{"id":17,"name":"Train ID","value":"191-12"},{"id":16,"name":"Locomotive ID","value":"4006"},{"id":130,"name":"Impact","value":""},{"id":150,"name":"Time of Event (Mountain Time)","value":"15:35:24"},{"id":151,"name":"Denver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51"/>
        <v>start /low /b %USERPROFILE%\Documents\GitHub\eaglep3\Utilities\DownloadLogsFromS3.py --loco 4006 --day 2017-11-12</v>
      </c>
      <c r="AN107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2"/>
        <v>https://d0f6bd738d7f1b3e5a7ca70fe4ff75f0.us-east-1.aws.found.io/app/kibana#/discover/Steve-Slow-Train-Analysis-(2080s-and-2083s)?_g=(refreshInterval:(display:Off,pause:!f,section:0,value:0),time:(from:'2017-11-12T13:53:24-0700',mode:absolute,to:'2017-11-12T16:35:24-0700'))&amp;_a=(columns:!('Message%20ID',Summary),filters:!(),index:'emp_*',interval:auto,query:(query_string:(analyze_wildcard:!t,query:'%22rtdc.l.rtdc.4006%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804</v>
      </c>
      <c r="B108" s="7">
        <v>4005</v>
      </c>
      <c r="C108" s="21" t="s">
        <v>192</v>
      </c>
      <c r="D108" s="21" t="s">
        <v>1008</v>
      </c>
      <c r="E108" s="13">
        <v>43051.654918981483</v>
      </c>
      <c r="F108" s="13">
        <v>43051.664849537039</v>
      </c>
      <c r="G108" s="7">
        <v>97</v>
      </c>
      <c r="H108" s="21" t="s">
        <v>491</v>
      </c>
      <c r="I108" s="13">
        <v>43051.691331018519</v>
      </c>
      <c r="J108" s="7">
        <v>0</v>
      </c>
      <c r="K108" s="89" t="str">
        <f t="shared" si="39"/>
        <v>4005/4006</v>
      </c>
      <c r="L108" s="185" t="str">
        <f>VLOOKUP(A108,'Trips&amp;Operators'!$C$1:$G$99911,5,FALSE)</f>
        <v>SAFIEF AEIMEN</v>
      </c>
      <c r="M108" s="6">
        <f t="shared" si="40"/>
        <v>2.6481481480004732E-2</v>
      </c>
      <c r="N108" s="7">
        <f t="shared" si="56"/>
        <v>38.133333331206813</v>
      </c>
      <c r="O108" s="7"/>
      <c r="P108" s="7"/>
      <c r="Q108" s="22"/>
      <c r="R108" s="174"/>
      <c r="S108" s="221">
        <f t="shared" si="57"/>
        <v>1</v>
      </c>
      <c r="T108" s="174" t="str">
        <f t="shared" si="41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2"/>
        <v>https://d0f6bd738d7f1b3e5a7ca70fe4ff75f0.us-east-1.aws.found.io/app/kibana#/discover/Steve-Slow-Train-Analysis-(2080s-and-2083s)?_g=(refreshInterval:(display:Off,pause:!f,section:0,value:0),time:(from:'2017-11-12T14:43:05-0700',mode:absolute,to:'2017-11-12T17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8" s="204" t="str">
        <f>IF(AA108&lt;VLOOKUP(AG108,Variables!$AC$3:$AD$8,2,FALSE),"Y","N")</f>
        <v>N</v>
      </c>
      <c r="X108" s="204">
        <f t="shared" si="53"/>
        <v>1</v>
      </c>
      <c r="Y108" s="204">
        <f t="shared" si="54"/>
        <v>23.292100000000001</v>
      </c>
      <c r="Z108" s="204">
        <f t="shared" si="55"/>
        <v>2.0899999999999998E-2</v>
      </c>
      <c r="AA108" s="204">
        <f t="shared" si="43"/>
        <v>23.2712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9">
        <f t="shared" si="44"/>
        <v>192</v>
      </c>
      <c r="AE108" s="77" t="str">
        <f t="shared" si="45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108" s="74" t="str">
        <f t="shared" si="46"/>
        <v>"C:\Program Files (x86)\AstroGrep\AstroGrep.exe" /e /r /s /spath="%USERPROFILE%\AppData\Local\Temp\OnboardLogs" /stypes="app*4005*20171112*" /stext=" 23:.+((SYSTEM_STATE.+slice.+state.+changed )|(ment ac)|(multiple cpu faults)|(system.+state.+changed )|(\[timeout)|(PRM\|1\|D)|(kpr)|(kdp)|(train st.+moving)|(\|lc)|(penalty))"</v>
      </c>
      <c r="AG108" s="182" t="str">
        <f t="shared" si="47"/>
        <v>EC</v>
      </c>
      <c r="AH108" s="78" t="str">
        <f t="shared" si="50"/>
        <v>"%USERPROFILE%\Documents\GitHub\eaglep3\Utilities\RefineRTDCRunTimes.py" --tripid 192-12 --locoid 4005 --swversion DE.1.0.9.0 --startMP 204:232921 --initTime 2017-11-12T15:43:05 --startdatetime 2017-11-12T15:57:23 --delay 97 --endMP 204:209 --enddatetime 2017-11-12T16:35:31 --enforcementcount 0 &gt;&gt;%USERPROFILE%\Documents\GitHub\eaglep3-reporting\EC\2017-11-12-refined-times.txt</v>
      </c>
      <c r="AI108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{"issue":{"subject":"","project_id":79,"tracker_id":40,"status_id":1,"priority_id":2,"assigned_to_id":338,"start_date":"2017-11-12","description":"","custom_fields":[{"id":1,"name":"Subdivision","value":"EC"},{"id":4,"name":"Milepost","value":"0.0209"},{"id":17,"name":"Train ID","value":"192-12"},{"id":16,"name":"Locomotive ID","value":"4005"},{"id":130,"name":"Impact","value":""},{"id":150,"name":"Time of Event (Mountain Time)","value":"16:35:31"},{"id":151,"name":"Denver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51"/>
        <v>start /low /b %USERPROFILE%\Documents\GitHub\eaglep3\Utilities\DownloadLogsFromS3.py --loco 4005 --day 2017-11-12</v>
      </c>
      <c r="AN108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2"/>
        <v>https://d0f6bd738d7f1b3e5a7ca70fe4ff75f0.us-east-1.aws.found.io/app/kibana#/discover/Steve-Slow-Train-Analysis-(2080s-and-2083s)?_g=(refreshInterval:(display:Off,pause:!f,section:0,value:0),time:(from:'2017-11-12T14:43:05-0700',mode:absolute,to:'2017-11-12T17:35:31-0700'))&amp;_a=(columns:!('Message%20ID',Summary),filters:!(),index:'emp_*',interval:auto,query:(query_string:(analyze_wildcard:!t,query:'%22rtdc.l.rtdc.4005%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798</v>
      </c>
      <c r="B109" s="7">
        <v>4002</v>
      </c>
      <c r="C109" s="21" t="s">
        <v>192</v>
      </c>
      <c r="D109" s="21" t="s">
        <v>947</v>
      </c>
      <c r="E109" s="13">
        <v>43051.629432870373</v>
      </c>
      <c r="F109" s="13">
        <v>43051.635625000003</v>
      </c>
      <c r="G109" s="7">
        <v>56</v>
      </c>
      <c r="H109" s="21" t="s">
        <v>456</v>
      </c>
      <c r="I109" s="13">
        <v>43051.660324074073</v>
      </c>
      <c r="J109" s="7">
        <v>0</v>
      </c>
      <c r="K109" s="89" t="str">
        <f t="shared" si="39"/>
        <v>4001/4002</v>
      </c>
      <c r="L109" s="185" t="str">
        <f>VLOOKUP(A109,'Trips&amp;Operators'!$C$1:$G$99911,5,FALSE)</f>
        <v>GONZALEZ ARMANDO</v>
      </c>
      <c r="M109" s="6">
        <f t="shared" si="40"/>
        <v>2.4699074070667848E-2</v>
      </c>
      <c r="N109" s="7">
        <f t="shared" si="56"/>
        <v>35.566666661761701</v>
      </c>
      <c r="O109" s="7"/>
      <c r="P109" s="7"/>
      <c r="Q109" s="22"/>
      <c r="R109" s="174"/>
      <c r="S109" s="221">
        <f t="shared" si="57"/>
        <v>1</v>
      </c>
      <c r="T109" s="174" t="str">
        <f t="shared" si="41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42"/>
        <v>https://d0f6bd738d7f1b3e5a7ca70fe4ff75f0.us-east-1.aws.found.io/app/kibana#/discover/Steve-Slow-Train-Analysis-(2080s-and-2083s)?_g=(refreshInterval:(display:Off,pause:!f,section:0,value:0),time:(from:'2017-11-12T14:06:23-0700',mode:absolute,to:'2017-11-12T16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9" s="204" t="str">
        <f>IF(AA109&lt;VLOOKUP(AG109,Variables!$AC$3:$AD$8,2,FALSE),"Y","N")</f>
        <v>N</v>
      </c>
      <c r="X109" s="204">
        <f t="shared" si="53"/>
        <v>1</v>
      </c>
      <c r="Y109" s="204">
        <f t="shared" si="54"/>
        <v>4.8800000000000003E-2</v>
      </c>
      <c r="Z109" s="204">
        <f t="shared" si="55"/>
        <v>23.325700000000001</v>
      </c>
      <c r="AA109" s="204">
        <f t="shared" si="43"/>
        <v>23.276900000000001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9">
        <f t="shared" si="44"/>
        <v>193</v>
      </c>
      <c r="AE109" s="77" t="str">
        <f t="shared" si="45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109" s="74" t="str">
        <f t="shared" si="46"/>
        <v>"C:\Program Files (x86)\AstroGrep\AstroGrep.exe" /e /r /s /spath="%USERPROFILE%\AppData\Local\Temp\OnboardLogs" /stypes="app*4002*20171112*" /stext=" 22:.+((SYSTEM_STATE.+slice.+state.+changed )|(ment ac)|(multiple cpu faults)|(system.+state.+changed )|(\[timeout)|(PRM\|1\|D)|(kpr)|(kdp)|(train st.+moving)|(\|lc)|(penalty))"</v>
      </c>
      <c r="AG109" s="182" t="str">
        <f t="shared" si="47"/>
        <v>EC</v>
      </c>
      <c r="AH109" s="78" t="str">
        <f t="shared" si="50"/>
        <v>"%USERPROFILE%\Documents\GitHub\eaglep3\Utilities\RefineRTDCRunTimes.py" --tripid 193-12 --locoid 4002 --swversion DE.1.0.9.0 --startMP 204:488 --initTime 2017-11-12T15:06:23 --startdatetime 2017-11-12T15:15:18 --delay 56 --endMP 204:233257 --enddatetime 2017-11-12T15:50:52 --enforcementcount 0 &gt;&gt;%USERPROFILE%\Documents\GitHub\eaglep3-reporting\EC\2017-11-12-refined-times.txt</v>
      </c>
      <c r="AI109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{"issue":{"subject":"","project_id":79,"tracker_id":40,"status_id":1,"priority_id":2,"assigned_to_id":338,"start_date":"2017-11-12","description":"","custom_fields":[{"id":1,"name":"Subdivision","value":"EC"},{"id":4,"name":"Milepost","value":"23.3257"},{"id":17,"name":"Train ID","value":"193-12"},{"id":16,"name":"Locomotive ID","value":"4002"},{"id":130,"name":"Impact","value":""},{"id":150,"name":"Time of Event (Mountain Time)","value":"15:50:52"},{"id":151,"name":"Denver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51"/>
        <v>start /low /b %USERPROFILE%\Documents\GitHub\eaglep3\Utilities\DownloadLogsFromS3.py --loco 4002 --day 2017-11-12</v>
      </c>
      <c r="AN109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22:50:52"},{"id":29,"name":"Sharepoint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2"/>
        <v>https://d0f6bd738d7f1b3e5a7ca70fe4ff75f0.us-east-1.aws.found.io/app/kibana#/discover/Steve-Slow-Train-Analysis-(2080s-and-2083s)?_g=(refreshInterval:(display:Off,pause:!f,section:0,value:0),time:(from:'2017-11-12T14:06:23-0700',mode:absolute,to:'2017-11-12T16:50:52-0700'))&amp;_a=(columns:!('Message%20ID',Summary),filters:!(),index:'emp_*',interval:auto,query:(query_string:(analyze_wildcard:!t,query:'%22rtdc.l.rtdc.4002%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807</v>
      </c>
      <c r="B110" s="7">
        <v>4001</v>
      </c>
      <c r="C110" s="21" t="s">
        <v>192</v>
      </c>
      <c r="D110" s="21" t="s">
        <v>1009</v>
      </c>
      <c r="E110" s="13">
        <v>43051.66951388889</v>
      </c>
      <c r="F110" s="13">
        <v>43051.675173611111</v>
      </c>
      <c r="G110" s="7">
        <v>61</v>
      </c>
      <c r="H110" s="21" t="s">
        <v>493</v>
      </c>
      <c r="I110" s="13">
        <v>43051.700810185182</v>
      </c>
      <c r="J110" s="7">
        <v>0</v>
      </c>
      <c r="K110" s="89" t="str">
        <f t="shared" si="39"/>
        <v>4001/4002</v>
      </c>
      <c r="L110" s="185" t="str">
        <f>VLOOKUP(A110,'Trips&amp;Operators'!$C$1:$G$99911,5,FALSE)</f>
        <v>GONZALEZ ARMANDO</v>
      </c>
      <c r="M110" s="6">
        <f t="shared" si="40"/>
        <v>2.5636574071540963E-2</v>
      </c>
      <c r="N110" s="7">
        <f t="shared" si="56"/>
        <v>36.916666663018987</v>
      </c>
      <c r="O110" s="7"/>
      <c r="P110" s="7"/>
      <c r="Q110" s="22"/>
      <c r="R110" s="174"/>
      <c r="S110" s="221">
        <f t="shared" si="57"/>
        <v>1</v>
      </c>
      <c r="T110" s="174" t="str">
        <f t="shared" si="41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42"/>
        <v>https://d0f6bd738d7f1b3e5a7ca70fe4ff75f0.us-east-1.aws.found.io/app/kibana#/discover/Steve-Slow-Train-Analysis-(2080s-and-2083s)?_g=(refreshInterval:(display:Off,pause:!f,section:0,value:0),time:(from:'2017-11-12T15:04:06-0700',mode:absolute,to:'2017-11-12T17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0" s="204" t="str">
        <f>IF(AA110&lt;VLOOKUP(AG110,Variables!$AC$3:$AD$8,2,FALSE),"Y","N")</f>
        <v>N</v>
      </c>
      <c r="X110" s="204">
        <f t="shared" si="53"/>
        <v>1</v>
      </c>
      <c r="Y110" s="204">
        <f t="shared" si="54"/>
        <v>23.295200000000001</v>
      </c>
      <c r="Z110" s="204">
        <f t="shared" si="55"/>
        <v>1.67E-2</v>
      </c>
      <c r="AA110" s="204">
        <f t="shared" si="43"/>
        <v>23.278500000000001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9">
        <f t="shared" si="44"/>
        <v>194</v>
      </c>
      <c r="AE110" s="77" t="str">
        <f t="shared" si="45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110" s="74" t="str">
        <f t="shared" si="46"/>
        <v>"C:\Program Files (x86)\AstroGrep\AstroGrep.exe" /e /r /s /spath="%USERPROFILE%\AppData\Local\Temp\OnboardLogs" /stypes="app*4001*20171112*" /stext=" 23:.+((SYSTEM_STATE.+slice.+state.+changed )|(ment ac)|(multiple cpu faults)|(system.+state.+changed )|(\[timeout)|(PRM\|1\|D)|(kpr)|(kdp)|(train st.+moving)|(\|lc)|(penalty))"</v>
      </c>
      <c r="AG110" s="182" t="str">
        <f t="shared" si="47"/>
        <v>EC</v>
      </c>
      <c r="AH110" s="78" t="str">
        <f t="shared" si="50"/>
        <v>"%USERPROFILE%\Documents\GitHub\eaglep3\Utilities\RefineRTDCRunTimes.py" --tripid 194-12 --locoid 4001 --swversion DE.1.0.9.0 --startMP 204:232952 --initTime 2017-11-12T16:04:06 --startdatetime 2017-11-12T16:12:15 --delay 61 --endMP 204:167 --enddatetime 2017-11-12T16:49:10 --enforcementcount 0 &gt;&gt;%USERPROFILE%\Documents\GitHub\eaglep3-reporting\EC\2017-11-12-refined-times.txt</v>
      </c>
      <c r="AI110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{"issue":{"subject":"","project_id":79,"tracker_id":40,"status_id":1,"priority_id":2,"assigned_to_id":338,"start_date":"2017-11-12","description":"","custom_fields":[{"id":1,"name":"Subdivision","value":"EC"},{"id":4,"name":"Milepost","value":"0.0167"},{"id":17,"name":"Train ID","value":"194-12"},{"id":16,"name":"Locomotive ID","value":"4001"},{"id":130,"name":"Impact","value":""},{"id":150,"name":"Time of Event (Mountain Time)","value":"16:49:10"},{"id":151,"name":"Denver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51"/>
        <v>start /low /b %USERPROFILE%\Documents\GitHub\eaglep3\Utilities\DownloadLogsFromS3.py --loco 4001 --day 2017-11-12</v>
      </c>
      <c r="AN110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2"/>
        <v>https://d0f6bd738d7f1b3e5a7ca70fe4ff75f0.us-east-1.aws.found.io/app/kibana#/discover/Steve-Slow-Train-Analysis-(2080s-and-2083s)?_g=(refreshInterval:(display:Off,pause:!f,section:0,value:0),time:(from:'2017-11-12T15:04:06-0700',mode:absolute,to:'2017-11-12T17:49:10-0700'))&amp;_a=(columns:!('Message%20ID',Summary),filters:!(),index:'emp_*',interval:auto,query:(query_string:(analyze_wildcard:!t,query:'%22rtdc.l.rtdc.4001%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800</v>
      </c>
      <c r="B111" s="7">
        <v>4064</v>
      </c>
      <c r="C111" s="21" t="s">
        <v>192</v>
      </c>
      <c r="D111" s="21" t="s">
        <v>586</v>
      </c>
      <c r="E111" s="13">
        <v>43051.641863425924</v>
      </c>
      <c r="F111" s="13">
        <v>43051.646006944444</v>
      </c>
      <c r="G111" s="7">
        <v>111</v>
      </c>
      <c r="H111" s="21" t="s">
        <v>469</v>
      </c>
      <c r="I111" s="13">
        <v>43051.671180555553</v>
      </c>
      <c r="J111" s="7">
        <v>0</v>
      </c>
      <c r="K111" s="89" t="str">
        <f t="shared" si="39"/>
        <v>4063/4064</v>
      </c>
      <c r="L111" s="185" t="str">
        <f>VLOOKUP(A111,'Trips&amp;Operators'!$C$1:$G$99911,5,FALSE)</f>
        <v>BADERTSCHER DIANE</v>
      </c>
      <c r="M111" s="6">
        <f t="shared" si="40"/>
        <v>2.5173611109494232E-2</v>
      </c>
      <c r="N111" s="7">
        <f t="shared" si="56"/>
        <v>36.249999997671694</v>
      </c>
      <c r="O111" s="7"/>
      <c r="P111" s="7"/>
      <c r="Q111" s="22"/>
      <c r="R111" s="174"/>
      <c r="S111" s="221">
        <f t="shared" si="57"/>
        <v>1</v>
      </c>
      <c r="T111" s="174" t="str">
        <f t="shared" si="41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2"/>
        <v>https://d0f6bd738d7f1b3e5a7ca70fe4ff75f0.us-east-1.aws.found.io/app/kibana#/discover/Steve-Slow-Train-Analysis-(2080s-and-2083s)?_g=(refreshInterval:(display:Off,pause:!f,section:0,value:0),time:(from:'2017-11-12T14:24:17-0700',mode:absolute,to:'2017-11-12T17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1" s="204" t="str">
        <f>IF(AA111&lt;VLOOKUP(AG111,Variables!$AC$3:$AD$8,2,FALSE),"Y","N")</f>
        <v>N</v>
      </c>
      <c r="X111" s="204">
        <f t="shared" si="53"/>
        <v>1</v>
      </c>
      <c r="Y111" s="204">
        <f t="shared" si="54"/>
        <v>5.11E-2</v>
      </c>
      <c r="Z111" s="204">
        <f t="shared" si="55"/>
        <v>23.3247</v>
      </c>
      <c r="AA111" s="204">
        <f t="shared" si="43"/>
        <v>23.273599999999998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9">
        <f t="shared" si="44"/>
        <v>195</v>
      </c>
      <c r="AE111" s="77" t="str">
        <f t="shared" si="45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111" s="74" t="str">
        <f t="shared" si="46"/>
        <v>"C:\Program Files (x86)\AstroGrep\AstroGrep.exe" /e /r /s /spath="%USERPROFILE%\AppData\Local\Temp\OnboardLogs" /stypes="app*4064*20171112*" /stext=" 23:.+((SYSTEM_STATE.+slice.+state.+changed )|(ment ac)|(multiple cpu faults)|(system.+state.+changed )|(\[timeout)|(PRM\|1\|D)|(kpr)|(kdp)|(train st.+moving)|(\|lc)|(penalty))"</v>
      </c>
      <c r="AG111" s="182" t="str">
        <f t="shared" si="47"/>
        <v>EC</v>
      </c>
      <c r="AH111" s="78" t="str">
        <f t="shared" si="50"/>
        <v>"%USERPROFILE%\Documents\GitHub\eaglep3\Utilities\RefineRTDCRunTimes.py" --tripid 195-12 --locoid 4064 --swversion DE.1.0.9.0 --startMP 204:511 --initTime 2017-11-12T15:24:17 --startdatetime 2017-11-12T15:30:15 --delay 111 --endMP 204:233247 --enddatetime 2017-11-12T16:06:30 --enforcementcount 0 &gt;&gt;%USERPROFILE%\Documents\GitHub\eaglep3-reporting\EC\2017-11-12-refined-times.txt</v>
      </c>
      <c r="AI111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{"issue":{"subject":"","project_id":79,"tracker_id":40,"status_id":1,"priority_id":2,"assigned_to_id":338,"start_date":"2017-11-12","description":"","custom_fields":[{"id":1,"name":"Subdivision","value":"EC"},{"id":4,"name":"Milepost","value":"23.3247"},{"id":17,"name":"Train ID","value":"195-12"},{"id":16,"name":"Locomotive ID","value":"4064"},{"id":130,"name":"Impact","value":""},{"id":150,"name":"Time of Event (Mountain Time)","value":"16:06:30"},{"id":151,"name":"Denver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51"/>
        <v>start /low /b %USERPROFILE%\Documents\GitHub\eaglep3\Utilities\DownloadLogsFromS3.py --loco 4064 --day 2017-11-12</v>
      </c>
      <c r="AN111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2"/>
        <v>https://d0f6bd738d7f1b3e5a7ca70fe4ff75f0.us-east-1.aws.found.io/app/kibana#/discover/Steve-Slow-Train-Analysis-(2080s-and-2083s)?_g=(refreshInterval:(display:Off,pause:!f,section:0,value:0),time:(from:'2017-11-12T14:24:17-0700',mode:absolute,to:'2017-11-12T17:06:30-0700'))&amp;_a=(columns:!('Message%20ID',Summary),filters:!(),index:'emp_*',interval:auto,query:(query_string:(analyze_wildcard:!t,query:'%22rtdc.l.rtdc.4064%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810</v>
      </c>
      <c r="B112" s="7">
        <v>4063</v>
      </c>
      <c r="C112" s="21" t="s">
        <v>192</v>
      </c>
      <c r="D112" s="21" t="s">
        <v>615</v>
      </c>
      <c r="E112" s="13">
        <v>43051.67701388889</v>
      </c>
      <c r="F112" s="13">
        <v>43051.685578703706</v>
      </c>
      <c r="G112" s="7">
        <v>74</v>
      </c>
      <c r="H112" s="21" t="s">
        <v>1010</v>
      </c>
      <c r="I112" s="13">
        <v>43051.713912037034</v>
      </c>
      <c r="J112" s="7">
        <v>0</v>
      </c>
      <c r="K112" s="89" t="str">
        <f t="shared" si="39"/>
        <v>4063/4064</v>
      </c>
      <c r="L112" s="185" t="str">
        <f>VLOOKUP(A112,'Trips&amp;Operators'!$C$1:$G$99911,5,FALSE)</f>
        <v>BADERTSCHER DIANE</v>
      </c>
      <c r="M112" s="6">
        <f t="shared" si="40"/>
        <v>2.8333333328191657E-2</v>
      </c>
      <c r="N112" s="7">
        <f t="shared" si="56"/>
        <v>40.799999992595986</v>
      </c>
      <c r="O112" s="7"/>
      <c r="P112" s="7"/>
      <c r="Q112" s="22"/>
      <c r="R112" s="174"/>
      <c r="S112" s="221">
        <f t="shared" si="57"/>
        <v>1</v>
      </c>
      <c r="T112" s="174" t="str">
        <f t="shared" si="41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2"/>
        <v>https://d0f6bd738d7f1b3e5a7ca70fe4ff75f0.us-east-1.aws.found.io/app/kibana#/discover/Steve-Slow-Train-Analysis-(2080s-and-2083s)?_g=(refreshInterval:(display:Off,pause:!f,section:0,value:0),time:(from:'2017-11-12T15:14:54-0700',mode:absolute,to:'2017-11-12T18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2" s="204" t="str">
        <f>IF(AA112&lt;VLOOKUP(AG112,Variables!$AC$3:$AD$8,2,FALSE),"Y","N")</f>
        <v>N</v>
      </c>
      <c r="X112" s="204">
        <f t="shared" si="53"/>
        <v>1</v>
      </c>
      <c r="Y112" s="204">
        <f t="shared" si="54"/>
        <v>23.295300000000001</v>
      </c>
      <c r="Z112" s="204">
        <f t="shared" si="55"/>
        <v>2.4899999999999999E-2</v>
      </c>
      <c r="AA112" s="204">
        <f t="shared" si="43"/>
        <v>23.270400000000002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9">
        <f t="shared" si="44"/>
        <v>196</v>
      </c>
      <c r="AE112" s="77" t="str">
        <f t="shared" si="45"/>
        <v>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 &amp; aws s3 cp s3://rtdc.mdm.uploadarchive.raw/RTDC4063/ "%USERPROFILE%\AppData\Local\Temp\OnboardLogs"\RTDC4063\2017-11-13 --exclude "*" --recursive --include "*20171113*" &amp; "%USERPROFILE%\Documents\GitHub\mrs-test-scripts\Headless Mode &amp; Sideloading\WalkAndUnGZ.bat" "%USERPROFILE%\AppData\Local\Temp\OnboardLogs"\RTDC4063\2017-11-13</v>
      </c>
      <c r="AF112" s="74" t="str">
        <f t="shared" si="46"/>
        <v>"C:\Program Files (x86)\AstroGrep\AstroGrep.exe" /e /r /s /spath="%USERPROFILE%\AppData\Local\Temp\OnboardLogs" /stypes="app*4063*20171113*" /stext=" 00:.+((SYSTEM_STATE.+slice.+state.+changed )|(ment ac)|(multiple cpu faults)|(system.+state.+changed )|(\[timeout)|(PRM\|1\|D)|(kpr)|(kdp)|(train st.+moving)|(\|lc)|(penalty))"</v>
      </c>
      <c r="AG112" s="182" t="str">
        <f t="shared" si="47"/>
        <v>EC</v>
      </c>
      <c r="AH112" s="78" t="str">
        <f t="shared" si="50"/>
        <v>"%USERPROFILE%\Documents\GitHub\eaglep3\Utilities\RefineRTDCRunTimes.py" --tripid 196-12 --locoid 4063 --swversion DE.1.0.9.0 --startMP 204:232953 --initTime 2017-11-12T16:14:54 --startdatetime 2017-11-12T16:27:14 --delay 74 --endMP 204:249 --enddatetime 2017-11-12T17:08:02 --enforcementcount 0 &gt;&gt;%USERPROFILE%\Documents\GitHub\eaglep3-reporting\EC\2017-11-12-refined-times.txt</v>
      </c>
      <c r="AI112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{"issue":{"subject":"","project_id":79,"tracker_id":40,"status_id":1,"priority_id":2,"assigned_to_id":338,"start_date":"2017-11-12","description":"","custom_fields":[{"id":1,"name":"Subdivision","value":"EC"},{"id":4,"name":"Milepost","value":"0.0249"},{"id":17,"name":"Train ID","value":"196-12"},{"id":16,"name":"Locomotive ID","value":"4063"},{"id":130,"name":"Impact","value":""},{"id":150,"name":"Time of Event (Mountain Time)","value":"17:08:02"},{"id":151,"name":"Denver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51"/>
        <v>start /low /b %USERPROFILE%\Documents\GitHub\eaglep3\Utilities\DownloadLogsFromS3.py --loco 4063 --day 2017-11-12</v>
      </c>
      <c r="AN112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2"/>
        <v>https://d0f6bd738d7f1b3e5a7ca70fe4ff75f0.us-east-1.aws.found.io/app/kibana#/discover/Steve-Slow-Train-Analysis-(2080s-and-2083s)?_g=(refreshInterval:(display:Off,pause:!f,section:0,value:0),time:(from:'2017-11-12T15:14:54-0700',mode:absolute,to:'2017-11-12T18:08:02-0700'))&amp;_a=(columns:!('Message%20ID',Summary),filters:!(),index:'emp_*',interval:auto,query:(query_string:(analyze_wildcard:!t,query:'%22rtdc.l.rtdc.4063%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803</v>
      </c>
      <c r="B113" s="7">
        <v>4052</v>
      </c>
      <c r="C113" s="21" t="s">
        <v>192</v>
      </c>
      <c r="D113" s="21" t="s">
        <v>452</v>
      </c>
      <c r="E113" s="13">
        <v>43051.652499999997</v>
      </c>
      <c r="F113" s="13">
        <v>43051.656423611108</v>
      </c>
      <c r="G113" s="7">
        <v>56</v>
      </c>
      <c r="H113" s="21" t="s">
        <v>1011</v>
      </c>
      <c r="I113" s="13">
        <v>43051.681863425925</v>
      </c>
      <c r="J113" s="7">
        <v>0</v>
      </c>
      <c r="K113" s="89" t="str">
        <f t="shared" si="39"/>
        <v>4051/4052</v>
      </c>
      <c r="L113" s="185" t="str">
        <f>VLOOKUP(A113,'Trips&amp;Operators'!$C$1:$G$99911,5,FALSE)</f>
        <v>MAGEE KENYA</v>
      </c>
      <c r="M113" s="6">
        <f t="shared" si="40"/>
        <v>2.5439814817218576E-2</v>
      </c>
      <c r="N113" s="7">
        <f t="shared" si="56"/>
        <v>36.633333336794749</v>
      </c>
      <c r="O113" s="7"/>
      <c r="P113" s="7"/>
      <c r="Q113" s="22"/>
      <c r="R113" s="174"/>
      <c r="S113" s="221">
        <f t="shared" si="57"/>
        <v>1</v>
      </c>
      <c r="T113" s="174" t="str">
        <f t="shared" si="41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2"/>
        <v>https://d0f6bd738d7f1b3e5a7ca70fe4ff75f0.us-east-1.aws.found.io/app/kibana#/discover/Steve-Slow-Train-Analysis-(2080s-and-2083s)?_g=(refreshInterval:(display:Off,pause:!f,section:0,value:0),time:(from:'2017-11-12T14:39:36-0700',mode:absolute,to:'2017-11-12T17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3" s="204" t="str">
        <f>IF(AA113&lt;VLOOKUP(AG113,Variables!$AC$3:$AD$8,2,FALSE),"Y","N")</f>
        <v>N</v>
      </c>
      <c r="X113" s="204">
        <f t="shared" si="53"/>
        <v>1</v>
      </c>
      <c r="Y113" s="204">
        <f t="shared" si="54"/>
        <v>5.1700000000000003E-2</v>
      </c>
      <c r="Z113" s="204">
        <f t="shared" si="55"/>
        <v>23.335999999999999</v>
      </c>
      <c r="AA113" s="204">
        <f t="shared" si="43"/>
        <v>23.284299999999998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9">
        <f t="shared" si="44"/>
        <v>197</v>
      </c>
      <c r="AE113" s="77" t="str">
        <f t="shared" si="45"/>
        <v>aws s3 cp s3://rtdc.mdm.uploadarchive.raw/RTDC4052/ "%USERPROFILE%\AppData\Local\Temp\OnboardLogs"\RTDC4052\2017-11-12 --exclude "*" --recursive --include "*20171112*" &amp; "%USERPROFILE%\Documents\GitHub\mrs-test-scripts\Headless Mode &amp; Sideloading\WalkAndUnGZ.bat" "%USERPROFILE%\AppData\Local\Temp\OnboardLogs"\RTDC4052\2017-11-12 &amp; aws s3 cp s3://rtdc.mdm.uploadarchive.raw/RTDC4052/ "%USERPROFILE%\AppData\Local\Temp\OnboardLogs"\RTDC4052\2017-11-13 --exclude "*" --recursive --include "*20171113*" &amp; "%USERPROFILE%\Documents\GitHub\mrs-test-scripts\Headless Mode &amp; Sideloading\WalkAndUnGZ.bat" "%USERPROFILE%\AppData\Local\Temp\OnboardLogs"\RTDC4052\2017-11-13</v>
      </c>
      <c r="AF113" s="74" t="str">
        <f t="shared" si="46"/>
        <v>"C:\Program Files (x86)\AstroGrep\AstroGrep.exe" /e /r /s /spath="%USERPROFILE%\AppData\Local\Temp\OnboardLogs" /stypes="app*4052*20171112*" /stext=" 23:.+((SYSTEM_STATE.+slice.+state.+changed )|(ment ac)|(multiple cpu faults)|(system.+state.+changed )|(\[timeout)|(PRM\|1\|D)|(kpr)|(kdp)|(train st.+moving)|(\|lc)|(penalty))"</v>
      </c>
      <c r="AG113" s="182" t="str">
        <f t="shared" si="47"/>
        <v>EC</v>
      </c>
      <c r="AH113" s="78" t="str">
        <f t="shared" si="50"/>
        <v>"%USERPROFILE%\Documents\GitHub\eaglep3\Utilities\RefineRTDCRunTimes.py" --tripid 197-12 --locoid 4052 --swversion DE.1.0.9.0 --startMP 204:517 --initTime 2017-11-12T15:39:36 --startdatetime 2017-11-12T15:45:15 --delay 56 --endMP 204:233360 --enddatetime 2017-11-12T16:21:53 --enforcementcount 0 &gt;&gt;%USERPROFILE%\Documents\GitHub\eaglep3-reporting\EC\2017-11-12-refined-times.txt</v>
      </c>
      <c r="AI113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{"issue":{"subject":"","project_id":79,"tracker_id":40,"status_id":1,"priority_id":2,"assigned_to_id":338,"start_date":"2017-11-12","description":"","custom_fields":[{"id":1,"name":"Subdivision","value":"EC"},{"id":4,"name":"Milepost","value":"23.336"},{"id":17,"name":"Train ID","value":"197-12"},{"id":16,"name":"Locomotive ID","value":"4052"},{"id":130,"name":"Impact","value":""},{"id":150,"name":"Time of Event (Mountain Time)","value":"16:21:53"},{"id":151,"name":"Denver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51"/>
        <v>start /low /b %USERPROFILE%\Documents\GitHub\eaglep3\Utilities\DownloadLogsFromS3.py --loco 4052 --day 2017-11-12</v>
      </c>
      <c r="AN113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2"/>
        <v>https://d0f6bd738d7f1b3e5a7ca70fe4ff75f0.us-east-1.aws.found.io/app/kibana#/discover/Steve-Slow-Train-Analysis-(2080s-and-2083s)?_g=(refreshInterval:(display:Off,pause:!f,section:0,value:0),time:(from:'2017-11-12T14:39:36-0700',mode:absolute,to:'2017-11-12T17:21:53-0700'))&amp;_a=(columns:!('Message%20ID',Summary),filters:!(),index:'emp_*',interval:auto,query:(query_string:(analyze_wildcard:!t,query:'%22rtdc.l.rtdc.4052%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813</v>
      </c>
      <c r="B114" s="7">
        <v>4051</v>
      </c>
      <c r="C114" s="21" t="s">
        <v>192</v>
      </c>
      <c r="D114" s="21" t="s">
        <v>1012</v>
      </c>
      <c r="E114" s="13">
        <v>43051.693553240744</v>
      </c>
      <c r="F114" s="13">
        <v>43051.696018518516</v>
      </c>
      <c r="G114" s="7">
        <v>80</v>
      </c>
      <c r="H114" s="21" t="s">
        <v>451</v>
      </c>
      <c r="I114" s="13">
        <v>43051.722187500003</v>
      </c>
      <c r="J114" s="7">
        <v>0</v>
      </c>
      <c r="K114" s="89" t="str">
        <f t="shared" si="39"/>
        <v>4051/4052</v>
      </c>
      <c r="L114" s="185" t="str">
        <f>VLOOKUP(A114,'Trips&amp;Operators'!$C$1:$G$99911,5,FALSE)</f>
        <v>MAGEE KENYA</v>
      </c>
      <c r="M114" s="6">
        <f t="shared" si="40"/>
        <v>2.6168981486989651E-2</v>
      </c>
      <c r="N114" s="7">
        <f t="shared" si="56"/>
        <v>37.683333341265097</v>
      </c>
      <c r="O114" s="7"/>
      <c r="P114" s="7"/>
      <c r="Q114" s="22"/>
      <c r="R114" s="174"/>
      <c r="S114" s="221">
        <f t="shared" si="57"/>
        <v>1</v>
      </c>
      <c r="T114" s="174" t="str">
        <f t="shared" si="41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2"/>
        <v>https://d0f6bd738d7f1b3e5a7ca70fe4ff75f0.us-east-1.aws.found.io/app/kibana#/discover/Steve-Slow-Train-Analysis-(2080s-and-2083s)?_g=(refreshInterval:(display:Off,pause:!f,section:0,value:0),time:(from:'2017-11-12T15:38:43-0700',mode:absolute,to:'2017-11-12T18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4" s="204" t="str">
        <f>IF(AA114&lt;VLOOKUP(AG114,Variables!$AC$3:$AD$8,2,FALSE),"Y","N")</f>
        <v>N</v>
      </c>
      <c r="X114" s="204">
        <f t="shared" si="53"/>
        <v>1</v>
      </c>
      <c r="Y114" s="204">
        <f t="shared" si="54"/>
        <v>23.303599999999999</v>
      </c>
      <c r="Z114" s="204">
        <f t="shared" si="55"/>
        <v>2.1399999999999999E-2</v>
      </c>
      <c r="AA114" s="204">
        <f t="shared" si="43"/>
        <v>23.2822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9">
        <f t="shared" si="44"/>
        <v>198</v>
      </c>
      <c r="AE114" s="77" t="str">
        <f t="shared" si="45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114" s="74" t="str">
        <f t="shared" si="46"/>
        <v>"C:\Program Files (x86)\AstroGrep\AstroGrep.exe" /e /r /s /spath="%USERPROFILE%\AppData\Local\Temp\OnboardLogs" /stypes="app*4051*20171113*" /stext=" 00:.+((SYSTEM_STATE.+slice.+state.+changed )|(ment ac)|(multiple cpu faults)|(system.+state.+changed )|(\[timeout)|(PRM\|1\|D)|(kpr)|(kdp)|(train st.+moving)|(\|lc)|(penalty))"</v>
      </c>
      <c r="AG114" s="182" t="str">
        <f t="shared" si="47"/>
        <v>EC</v>
      </c>
      <c r="AH114" s="78" t="str">
        <f t="shared" si="50"/>
        <v>"%USERPROFILE%\Documents\GitHub\eaglep3\Utilities\RefineRTDCRunTimes.py" --tripid 198-12 --locoid 4051 --swversion DE.1.0.9.0 --startMP 204:233036 --initTime 2017-11-12T16:38:43 --startdatetime 2017-11-12T16:42:16 --delay 80 --endMP 204:214 --enddatetime 2017-11-12T17:19:57 --enforcementcount 0 &gt;&gt;%USERPROFILE%\Documents\GitHub\eaglep3-reporting\EC\2017-11-12-refined-times.txt</v>
      </c>
      <c r="AI114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{"issue":{"subject":"","project_id":79,"tracker_id":40,"status_id":1,"priority_id":2,"assigned_to_id":338,"start_date":"2017-11-12","description":"","custom_fields":[{"id":1,"name":"Subdivision","value":"EC"},{"id":4,"name":"Milepost","value":"0.0214"},{"id":17,"name":"Train ID","value":"198-12"},{"id":16,"name":"Locomotive ID","value":"4051"},{"id":130,"name":"Impact","value":""},{"id":150,"name":"Time of Event (Mountain Time)","value":"17:19:57"},{"id":151,"name":"Denver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51"/>
        <v>start /low /b %USERPROFILE%\Documents\GitHub\eaglep3\Utilities\DownloadLogsFromS3.py --loco 4051 --day 2017-11-12</v>
      </c>
      <c r="AN114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2"/>
        <v>https://d0f6bd738d7f1b3e5a7ca70fe4ff75f0.us-east-1.aws.found.io/app/kibana#/discover/Steve-Slow-Train-Analysis-(2080s-and-2083s)?_g=(refreshInterval:(display:Off,pause:!f,section:0,value:0),time:(from:'2017-11-12T15:38:43-0700',mode:absolute,to:'2017-11-12T18:19:57-0700'))&amp;_a=(columns:!('Message%20ID',Summary),filters:!(),index:'emp_*',interval:auto,query:(query_string:(analyze_wildcard:!t,query:'%22rtdc.l.rtdc.4051%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805</v>
      </c>
      <c r="B115" s="7">
        <v>4042</v>
      </c>
      <c r="C115" s="21" t="s">
        <v>192</v>
      </c>
      <c r="D115" s="21" t="s">
        <v>586</v>
      </c>
      <c r="E115" s="13">
        <v>43051.662569444445</v>
      </c>
      <c r="F115" s="13">
        <v>43051.666863425926</v>
      </c>
      <c r="G115" s="7">
        <v>60</v>
      </c>
      <c r="H115" s="21" t="s">
        <v>927</v>
      </c>
      <c r="I115" s="13">
        <v>43051.691724537035</v>
      </c>
      <c r="J115" s="7">
        <v>0</v>
      </c>
      <c r="K115" s="89" t="str">
        <f t="shared" si="39"/>
        <v>4041/4042</v>
      </c>
      <c r="L115" s="185" t="str">
        <f>VLOOKUP(A115,'Trips&amp;Operators'!$C$1:$G$99911,5,FALSE)</f>
        <v>STEWART MICHAEL</v>
      </c>
      <c r="M115" s="6">
        <f t="shared" si="40"/>
        <v>2.4861111109203193E-2</v>
      </c>
      <c r="N115" s="7">
        <f t="shared" si="56"/>
        <v>35.799999997252598</v>
      </c>
      <c r="O115" s="7"/>
      <c r="P115" s="7"/>
      <c r="Q115" s="22"/>
      <c r="R115" s="174"/>
      <c r="S115" s="221">
        <f t="shared" si="57"/>
        <v>1</v>
      </c>
      <c r="T115" s="174" t="str">
        <f t="shared" si="41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2"/>
        <v>https://d0f6bd738d7f1b3e5a7ca70fe4ff75f0.us-east-1.aws.found.io/app/kibana#/discover/Steve-Slow-Train-Analysis-(2080s-and-2083s)?_g=(refreshInterval:(display:Off,pause:!f,section:0,value:0),time:(from:'2017-11-12T14:54:06-0700',mode:absolute,to:'2017-11-12T17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204" t="str">
        <f>IF(AA115&lt;VLOOKUP(AG115,Variables!$AC$3:$AD$8,2,FALSE),"Y","N")</f>
        <v>N</v>
      </c>
      <c r="X115" s="204">
        <f t="shared" si="53"/>
        <v>1</v>
      </c>
      <c r="Y115" s="204">
        <f t="shared" si="54"/>
        <v>5.11E-2</v>
      </c>
      <c r="Z115" s="204">
        <f t="shared" si="55"/>
        <v>23.3249</v>
      </c>
      <c r="AA115" s="204">
        <f t="shared" si="43"/>
        <v>23.273799999999998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9">
        <f t="shared" si="44"/>
        <v>199</v>
      </c>
      <c r="AE115" s="77" t="str">
        <f t="shared" si="45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115" s="74" t="str">
        <f t="shared" si="46"/>
        <v>"C:\Program Files (x86)\AstroGrep\AstroGrep.exe" /e /r /s /spath="%USERPROFILE%\AppData\Local\Temp\OnboardLogs" /stypes="app*4042*20171112*" /stext=" 23:.+((SYSTEM_STATE.+slice.+state.+changed )|(ment ac)|(multiple cpu faults)|(system.+state.+changed )|(\[timeout)|(PRM\|1\|D)|(kpr)|(kdp)|(train st.+moving)|(\|lc)|(penalty))"</v>
      </c>
      <c r="AG115" s="182" t="str">
        <f t="shared" si="47"/>
        <v>EC</v>
      </c>
      <c r="AH115" s="78" t="str">
        <f t="shared" si="50"/>
        <v>"%USERPROFILE%\Documents\GitHub\eaglep3\Utilities\RefineRTDCRunTimes.py" --tripid 199-12 --locoid 4042 --swversion DE.1.0.9.0 --startMP 204:511 --initTime 2017-11-12T15:54:06 --startdatetime 2017-11-12T16:00:17 --delay 60 --endMP 204:233249 --enddatetime 2017-11-12T16:36:05 --enforcementcount 0 &gt;&gt;%USERPROFILE%\Documents\GitHub\eaglep3-reporting\EC\2017-11-12-refined-times.txt</v>
      </c>
      <c r="AI115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{"issue":{"subject":"","project_id":79,"tracker_id":40,"status_id":1,"priority_id":2,"assigned_to_id":338,"start_date":"2017-11-12","description":"","custom_fields":[{"id":1,"name":"Subdivision","value":"EC"},{"id":4,"name":"Milepost","value":"23.3249"},{"id":17,"name":"Train ID","value":"199-12"},{"id":16,"name":"Locomotive ID","value":"4042"},{"id":130,"name":"Impact","value":""},{"id":150,"name":"Time of Event (Mountain Time)","value":"16:36:05"},{"id":151,"name":"Denver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51"/>
        <v>start /low /b %USERPROFILE%\Documents\GitHub\eaglep3\Utilities\DownloadLogsFromS3.py --loco 4042 --day 2017-11-12</v>
      </c>
      <c r="AN115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2"/>
        <v>https://d0f6bd738d7f1b3e5a7ca70fe4ff75f0.us-east-1.aws.found.io/app/kibana#/discover/Steve-Slow-Train-Analysis-(2080s-and-2083s)?_g=(refreshInterval:(display:Off,pause:!f,section:0,value:0),time:(from:'2017-11-12T14:54:06-0700',mode:absolute,to:'2017-11-12T17:36:05-0700'))&amp;_a=(columns:!('Message%20ID',Summary),filters:!(),index:'emp_*',interval:auto,query:(query_string:(analyze_wildcard:!t,query:'%22rtdc.l.rtdc.4042%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816</v>
      </c>
      <c r="B116" s="7">
        <v>4041</v>
      </c>
      <c r="C116" s="21" t="s">
        <v>192</v>
      </c>
      <c r="D116" s="21" t="s">
        <v>1013</v>
      </c>
      <c r="E116" s="13">
        <v>43051.702569444446</v>
      </c>
      <c r="F116" s="13">
        <v>43051.70653935185</v>
      </c>
      <c r="G116" s="7">
        <v>55</v>
      </c>
      <c r="H116" s="21" t="s">
        <v>451</v>
      </c>
      <c r="I116" s="13">
        <v>43051.733703703707</v>
      </c>
      <c r="J116" s="7">
        <v>0</v>
      </c>
      <c r="K116" s="89" t="str">
        <f t="shared" si="39"/>
        <v>4041/4042</v>
      </c>
      <c r="L116" s="185" t="str">
        <f>VLOOKUP(A116,'Trips&amp;Operators'!$C$1:$G$99911,5,FALSE)</f>
        <v>STEWART MICHAEL</v>
      </c>
      <c r="M116" s="6">
        <f t="shared" si="40"/>
        <v>2.7164351857209112E-2</v>
      </c>
      <c r="N116" s="7">
        <f t="shared" si="56"/>
        <v>39.116666674381122</v>
      </c>
      <c r="O116" s="7"/>
      <c r="P116" s="7"/>
      <c r="Q116" s="22"/>
      <c r="R116" s="174"/>
      <c r="S116" s="221">
        <f t="shared" si="57"/>
        <v>1</v>
      </c>
      <c r="T116" s="174" t="str">
        <f t="shared" si="41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2"/>
        <v>https://d0f6bd738d7f1b3e5a7ca70fe4ff75f0.us-east-1.aws.found.io/app/kibana#/discover/Steve-Slow-Train-Analysis-(2080s-and-2083s)?_g=(refreshInterval:(display:Off,pause:!f,section:0,value:0),time:(from:'2017-11-12T15:51:42-0700',mode:absolute,to:'2017-11-12T18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204" t="str">
        <f>IF(AA116&lt;VLOOKUP(AG116,Variables!$AC$3:$AD$8,2,FALSE),"Y","N")</f>
        <v>N</v>
      </c>
      <c r="X116" s="204">
        <f t="shared" si="53"/>
        <v>1</v>
      </c>
      <c r="Y116" s="204">
        <f t="shared" si="54"/>
        <v>23.293199999999999</v>
      </c>
      <c r="Z116" s="204">
        <f t="shared" si="55"/>
        <v>2.1399999999999999E-2</v>
      </c>
      <c r="AA116" s="204">
        <f t="shared" si="43"/>
        <v>23.271799999999999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9">
        <f t="shared" si="44"/>
        <v>200</v>
      </c>
      <c r="AE116" s="77" t="str">
        <f t="shared" si="45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116" s="74" t="str">
        <f t="shared" si="46"/>
        <v>"C:\Program Files (x86)\AstroGrep\AstroGrep.exe" /e /r /s /spath="%USERPROFILE%\AppData\Local\Temp\OnboardLogs" /stypes="app*4041*20171113*" /stext=" 00:.+((SYSTEM_STATE.+slice.+state.+changed )|(ment ac)|(multiple cpu faults)|(system.+state.+changed )|(\[timeout)|(PRM\|1\|D)|(kpr)|(kdp)|(train st.+moving)|(\|lc)|(penalty))"</v>
      </c>
      <c r="AG116" s="182" t="str">
        <f t="shared" si="47"/>
        <v>EC</v>
      </c>
      <c r="AH116" s="78" t="str">
        <f t="shared" si="50"/>
        <v>"%USERPROFILE%\Documents\GitHub\eaglep3\Utilities\RefineRTDCRunTimes.py" --tripid 200-12 --locoid 4041 --swversion DE.1.0.9.0 --startMP 204:232932 --initTime 2017-11-12T16:51:42 --startdatetime 2017-11-12T16:57:25 --delay 55 --endMP 204:214 --enddatetime 2017-11-12T17:36:32 --enforcementcount 0 &gt;&gt;%USERPROFILE%\Documents\GitHub\eaglep3-reporting\EC\2017-11-12-refined-times.txt</v>
      </c>
      <c r="AI116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{"issue":{"subject":"","project_id":79,"tracker_id":40,"status_id":1,"priority_id":2,"assigned_to_id":338,"start_date":"2017-11-12","description":"","custom_fields":[{"id":1,"name":"Subdivision","value":"EC"},{"id":4,"name":"Milepost","value":"0.0214"},{"id":17,"name":"Train ID","value":"200-12"},{"id":16,"name":"Locomotive ID","value":"4041"},{"id":130,"name":"Impact","value":""},{"id":150,"name":"Time of Event (Mountain Time)","value":"17:36:32"},{"id":151,"name":"Denver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51"/>
        <v>start /low /b %USERPROFILE%\Documents\GitHub\eaglep3\Utilities\DownloadLogsFromS3.py --loco 4041 --day 2017-11-12</v>
      </c>
      <c r="AN116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2"/>
        <v>https://d0f6bd738d7f1b3e5a7ca70fe4ff75f0.us-east-1.aws.found.io/app/kibana#/discover/Steve-Slow-Train-Analysis-(2080s-and-2083s)?_g=(refreshInterval:(display:Off,pause:!f,section:0,value:0),time:(from:'2017-11-12T15:51:42-0700',mode:absolute,to:'2017-11-12T18:36:32-0700'))&amp;_a=(columns:!('Message%20ID',Summary),filters:!(),index:'emp_*',interval:auto,query:(query_string:(analyze_wildcard:!t,query:'%22rtdc.l.rtdc.4041%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808</v>
      </c>
      <c r="B117" s="7">
        <v>4004</v>
      </c>
      <c r="C117" s="21" t="s">
        <v>192</v>
      </c>
      <c r="D117" s="21" t="s">
        <v>586</v>
      </c>
      <c r="E117" s="13">
        <v>43051.672581018516</v>
      </c>
      <c r="F117" s="13">
        <v>43051.677291666667</v>
      </c>
      <c r="G117" s="7">
        <v>56</v>
      </c>
      <c r="H117" s="21" t="s">
        <v>617</v>
      </c>
      <c r="I117" s="13">
        <v>43051.701863425929</v>
      </c>
      <c r="J117" s="7">
        <v>0</v>
      </c>
      <c r="K117" s="89" t="str">
        <f t="shared" si="39"/>
        <v>4003/4004</v>
      </c>
      <c r="L117" s="185" t="str">
        <f>VLOOKUP(A117,'Trips&amp;Operators'!$C$1:$G$99911,5,FALSE)</f>
        <v>SMITH MICHAEL</v>
      </c>
      <c r="M117" s="6">
        <f t="shared" si="40"/>
        <v>2.457175926247146E-2</v>
      </c>
      <c r="N117" s="7">
        <f t="shared" si="56"/>
        <v>35.383333337958902</v>
      </c>
      <c r="O117" s="7"/>
      <c r="P117" s="7"/>
      <c r="Q117" s="22"/>
      <c r="R117" s="174"/>
      <c r="S117" s="221">
        <f t="shared" si="57"/>
        <v>1</v>
      </c>
      <c r="T117" s="174" t="str">
        <f t="shared" si="41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2"/>
        <v>https://d0f6bd738d7f1b3e5a7ca70fe4ff75f0.us-east-1.aws.found.io/app/kibana#/discover/Steve-Slow-Train-Analysis-(2080s-and-2083s)?_g=(refreshInterval:(display:Off,pause:!f,section:0,value:0),time:(from:'2017-11-12T15:08:31-0700',mode:absolute,to:'2017-11-12T17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204" t="str">
        <f>IF(AA117&lt;VLOOKUP(AG117,Variables!$AC$3:$AD$8,2,FALSE),"Y","N")</f>
        <v>N</v>
      </c>
      <c r="X117" s="204">
        <f t="shared" si="53"/>
        <v>1</v>
      </c>
      <c r="Y117" s="204">
        <f t="shared" si="54"/>
        <v>5.11E-2</v>
      </c>
      <c r="Z117" s="204">
        <f t="shared" si="55"/>
        <v>23.318999999999999</v>
      </c>
      <c r="AA117" s="204">
        <f t="shared" si="43"/>
        <v>23.267899999999997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9">
        <f t="shared" si="44"/>
        <v>201</v>
      </c>
      <c r="AE117" s="77" t="str">
        <f t="shared" si="45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117" s="74" t="str">
        <f t="shared" si="46"/>
        <v>"C:\Program Files (x86)\AstroGrep\AstroGrep.exe" /e /r /s /spath="%USERPROFILE%\AppData\Local\Temp\OnboardLogs" /stypes="app*4004*20171112*" /stext=" 23:.+((SYSTEM_STATE.+slice.+state.+changed )|(ment ac)|(multiple cpu faults)|(system.+state.+changed )|(\[timeout)|(PRM\|1\|D)|(kpr)|(kdp)|(train st.+moving)|(\|lc)|(penalty))"</v>
      </c>
      <c r="AG117" s="182" t="str">
        <f t="shared" si="47"/>
        <v>EC</v>
      </c>
      <c r="AH117" s="78" t="str">
        <f t="shared" si="50"/>
        <v>"%USERPROFILE%\Documents\GitHub\eaglep3\Utilities\RefineRTDCRunTimes.py" --tripid 201-12 --locoid 4004 --swversion DE.1.0.9.0 --startMP 204:511 --initTime 2017-11-12T16:08:31 --startdatetime 2017-11-12T16:15:18 --delay 56 --endMP 204:233190 --enddatetime 2017-11-12T16:50:41 --enforcementcount 0 &gt;&gt;%USERPROFILE%\Documents\GitHub\eaglep3-reporting\EC\2017-11-12-refined-times.txt</v>
      </c>
      <c r="AI117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{"issue":{"subject":"","project_id":79,"tracker_id":40,"status_id":1,"priority_id":2,"assigned_to_id":338,"start_date":"2017-11-12","description":"","custom_fields":[{"id":1,"name":"Subdivision","value":"EC"},{"id":4,"name":"Milepost","value":"23.319"},{"id":17,"name":"Train ID","value":"201-12"},{"id":16,"name":"Locomotive ID","value":"4004"},{"id":130,"name":"Impact","value":""},{"id":150,"name":"Time of Event (Mountain Time)","value":"16:50:41"},{"id":151,"name":"Denver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51"/>
        <v>start /low /b %USERPROFILE%\Documents\GitHub\eaglep3\Utilities\DownloadLogsFromS3.py --loco 4004 --day 2017-11-12</v>
      </c>
      <c r="AN117" s="151" t="str">
        <f t="shared" si="49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2"/>
        <v>https://d0f6bd738d7f1b3e5a7ca70fe4ff75f0.us-east-1.aws.found.io/app/kibana#/discover/Steve-Slow-Train-Analysis-(2080s-and-2083s)?_g=(refreshInterval:(display:Off,pause:!f,section:0,value:0),time:(from:'2017-11-12T15:08:31-0700',mode:absolute,to:'2017-11-12T17:50:41-0700'))&amp;_a=(columns:!('Message%20ID',Summary),filters:!(),index:'emp_*',interval:auto,query:(query_string:(analyze_wildcard:!t,query:'%22rtdc.l.rtdc.4004%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817</v>
      </c>
      <c r="B118" s="7">
        <v>4003</v>
      </c>
      <c r="C118" s="21" t="s">
        <v>192</v>
      </c>
      <c r="D118" s="21" t="s">
        <v>618</v>
      </c>
      <c r="E118" s="13">
        <v>43051.709629629629</v>
      </c>
      <c r="F118" s="13">
        <v>43051.71707175926</v>
      </c>
      <c r="G118" s="7">
        <v>71</v>
      </c>
      <c r="H118" s="21" t="s">
        <v>466</v>
      </c>
      <c r="I118" s="13">
        <v>43051.7425</v>
      </c>
      <c r="J118" s="7">
        <v>0</v>
      </c>
      <c r="K118" s="89" t="str">
        <f t="shared" si="39"/>
        <v>4003/4004</v>
      </c>
      <c r="L118" s="185" t="str">
        <f>VLOOKUP(A118,'Trips&amp;Operators'!$C$1:$G$99911,5,FALSE)</f>
        <v>SMITH MICHAEL</v>
      </c>
      <c r="M118" s="6">
        <f t="shared" si="40"/>
        <v>2.5428240740438923E-2</v>
      </c>
      <c r="N118" s="7">
        <f t="shared" si="56"/>
        <v>36.616666666232049</v>
      </c>
      <c r="O118" s="7"/>
      <c r="P118" s="7"/>
      <c r="Q118" s="22"/>
      <c r="R118" s="174"/>
      <c r="S118" s="221">
        <f t="shared" si="57"/>
        <v>1</v>
      </c>
      <c r="T118" s="174" t="str">
        <f t="shared" si="41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2"/>
        <v>https://d0f6bd738d7f1b3e5a7ca70fe4ff75f0.us-east-1.aws.found.io/app/kibana#/discover/Steve-Slow-Train-Analysis-(2080s-and-2083s)?_g=(refreshInterval:(display:Off,pause:!f,section:0,value:0),time:(from:'2017-11-12T16:01:52-0700',mode:absolute,to:'2017-11-12T18:49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204" t="str">
        <f>IF(AA118&lt;VLOOKUP(AG118,Variables!$AC$3:$AD$8,2,FALSE),"Y","N")</f>
        <v>N</v>
      </c>
      <c r="X118" s="204">
        <f t="shared" ref="X118:X149" si="58">VALUE(LEFT(AD118,4))-VALUE(LEFT(AD117,4))</f>
        <v>1</v>
      </c>
      <c r="Y118" s="204">
        <f t="shared" si="54"/>
        <v>23.285599999999999</v>
      </c>
      <c r="Z118" s="204">
        <f t="shared" si="55"/>
        <v>2.4299999999999999E-2</v>
      </c>
      <c r="AA118" s="204">
        <f t="shared" si="43"/>
        <v>23.261299999999999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9">
        <f t="shared" si="44"/>
        <v>202</v>
      </c>
      <c r="AE118" s="77" t="str">
        <f t="shared" si="45"/>
        <v>aws s3 cp s3://rtdc.mdm.uploadarchive.raw/RTDC4003/ "%USERPROFILE%\AppData\Local\Temp\OnboardLogs"\RTDC4003\2017-11-12 --exclude "*" --recursive --include "*20171112*" &amp; "%USERPROFILE%\Documents\GitHub\mrs-test-scripts\Headless Mode &amp; Sideloading\WalkAndUnGZ.bat" "%USERPROFILE%\AppData\Local\Temp\OnboardLogs"\RTDC4003\2017-11-12 &amp; aws s3 cp s3://rtdc.mdm.uploadarchive.raw/RTDC4003/ "%USERPROFILE%\AppData\Local\Temp\OnboardLogs"\RTDC4003\2017-11-13 --exclude "*" --recursive --include "*20171113*" &amp; "%USERPROFILE%\Documents\GitHub\mrs-test-scripts\Headless Mode &amp; Sideloading\WalkAndUnGZ.bat" "%USERPROFILE%\AppData\Local\Temp\OnboardLogs"\RTDC4003\2017-11-13</v>
      </c>
      <c r="AF118" s="74" t="str">
        <f t="shared" si="46"/>
        <v>"C:\Program Files (x86)\AstroGrep\AstroGrep.exe" /e /r /s /spath="%USERPROFILE%\AppData\Local\Temp\OnboardLogs" /stypes="app*4003*20171113*" /stext=" 00:.+((SYSTEM_STATE.+slice.+state.+changed )|(ment ac)|(multiple cpu faults)|(system.+state.+changed )|(\[timeout)|(PRM\|1\|D)|(kpr)|(kdp)|(train st.+moving)|(\|lc)|(penalty))"</v>
      </c>
      <c r="AG118" s="182" t="str">
        <f t="shared" si="47"/>
        <v>EC</v>
      </c>
      <c r="AH118" s="78" t="str">
        <f t="shared" si="50"/>
        <v>"%USERPROFILE%\Documents\GitHub\eaglep3\Utilities\RefineRTDCRunTimes.py" --tripid 202-12 --locoid 4003 --swversion DE.1.0.9.0 --startMP 204:232856 --initTime 2017-11-12T17:01:52 --startdatetime 2017-11-12T17:12:35 --delay 71 --endMP 204:243 --enddatetime 2017-11-12T17:49:12 --enforcementcount 0 &gt;&gt;%USERPROFILE%\Documents\GitHub\eaglep3-reporting\EC\2017-11-12-refined-times.txt</v>
      </c>
      <c r="AI118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{"issue":{"subject":"","project_id":79,"tracker_id":40,"status_id":1,"priority_id":2,"assigned_to_id":338,"start_date":"2017-11-12","description":"","custom_fields":[{"id":1,"name":"Subdivision","value":"EC"},{"id":4,"name":"Milepost","value":"0.0243"},{"id":17,"name":"Train ID","value":"202-12"},{"id":16,"name":"Locomotive ID","value":"4003"},{"id":130,"name":"Impact","value":""},{"id":150,"name":"Time of Event (Mountain Time)","value":"17:49:12"},{"id":151,"name":"Denver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51"/>
        <v>start /low /b %USERPROFILE%\Documents\GitHub\eaglep3\Utilities\DownloadLogsFromS3.py --loco 4003 --day 2017-11-12</v>
      </c>
      <c r="AN118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2"/>
        <v>https://d0f6bd738d7f1b3e5a7ca70fe4ff75f0.us-east-1.aws.found.io/app/kibana#/discover/Steve-Slow-Train-Analysis-(2080s-and-2083s)?_g=(refreshInterval:(display:Off,pause:!f,section:0,value:0),time:(from:'2017-11-12T16:01:52-0700',mode:absolute,to:'2017-11-12T18:49:12-0700'))&amp;_a=(columns:!('Message%20ID',Summary),filters:!(),index:'emp_*',interval:auto,query:(query_string:(analyze_wildcard:!t,query:'%22rtdc.l.rtdc.4003%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812</v>
      </c>
      <c r="B119" s="7">
        <v>4016</v>
      </c>
      <c r="C119" s="21" t="s">
        <v>192</v>
      </c>
      <c r="D119" s="21" t="s">
        <v>1004</v>
      </c>
      <c r="E119" s="13">
        <v>43051.685787037037</v>
      </c>
      <c r="F119" s="13">
        <v>43051.687847222223</v>
      </c>
      <c r="G119" s="7">
        <v>83</v>
      </c>
      <c r="H119" s="21" t="s">
        <v>492</v>
      </c>
      <c r="I119" s="13">
        <v>43051.713842592595</v>
      </c>
      <c r="J119" s="7">
        <v>0</v>
      </c>
      <c r="K119" s="89" t="str">
        <f t="shared" si="39"/>
        <v>4015/4016</v>
      </c>
      <c r="L119" s="185" t="str">
        <f>VLOOKUP(A119,'Trips&amp;Operators'!$C$1:$G$99911,5,FALSE)</f>
        <v>DAVIS MICHAEL</v>
      </c>
      <c r="M119" s="6">
        <f t="shared" si="40"/>
        <v>2.5995370371674653E-2</v>
      </c>
      <c r="N119" s="7">
        <f t="shared" si="56"/>
        <v>37.433333335211501</v>
      </c>
      <c r="O119" s="7"/>
      <c r="P119" s="7"/>
      <c r="Q119" s="22"/>
      <c r="R119" s="174"/>
      <c r="S119" s="221">
        <f t="shared" si="57"/>
        <v>1</v>
      </c>
      <c r="T119" s="174" t="str">
        <f t="shared" si="41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2"/>
        <v>https://d0f6bd738d7f1b3e5a7ca70fe4ff75f0.us-east-1.aws.found.io/app/kibana#/discover/Steve-Slow-Train-Analysis-(2080s-and-2083s)?_g=(refreshInterval:(display:Off,pause:!f,section:0,value:0),time:(from:'2017-11-12T15:27:32-0700',mode:absolute,to:'2017-11-12T18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204" t="str">
        <f>IF(AA119&lt;VLOOKUP(AG119,Variables!$AC$3:$AD$8,2,FALSE),"Y","N")</f>
        <v>N</v>
      </c>
      <c r="X119" s="204">
        <f t="shared" si="58"/>
        <v>1</v>
      </c>
      <c r="Y119" s="204">
        <f t="shared" si="54"/>
        <v>5.5100000000000003E-2</v>
      </c>
      <c r="Z119" s="204">
        <f t="shared" si="55"/>
        <v>23.3276</v>
      </c>
      <c r="AA119" s="204">
        <f t="shared" si="43"/>
        <v>23.272500000000001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9">
        <f t="shared" si="44"/>
        <v>203</v>
      </c>
      <c r="AE119" s="77" t="str">
        <f t="shared" si="45"/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119" s="74" t="str">
        <f t="shared" si="46"/>
        <v>"C:\Program Files (x86)\AstroGrep\AstroGrep.exe" /e /r /s /spath="%USERPROFILE%\AppData\Local\Temp\OnboardLogs" /stypes="app*4016*20171113*" /stext=" 00:.+((SYSTEM_STATE.+slice.+state.+changed )|(ment ac)|(multiple cpu faults)|(system.+state.+changed )|(\[timeout)|(PRM\|1\|D)|(kpr)|(kdp)|(train st.+moving)|(\|lc)|(penalty))"</v>
      </c>
      <c r="AG119" s="182" t="str">
        <f t="shared" si="47"/>
        <v>EC</v>
      </c>
      <c r="AH119" s="78" t="str">
        <f t="shared" si="50"/>
        <v>"%USERPROFILE%\Documents\GitHub\eaglep3\Utilities\RefineRTDCRunTimes.py" --tripid 203-12 --locoid 4016 --swversion DE.1.0.9.0 --startMP 204:551 --initTime 2017-11-12T16:27:32 --startdatetime 2017-11-12T16:30:30 --delay 83 --endMP 204:233276 --enddatetime 2017-11-12T17:07:56 --enforcementcount 0 &gt;&gt;%USERPROFILE%\Documents\GitHub\eaglep3-reporting\EC\2017-11-12-refined-times.txt</v>
      </c>
      <c r="AI119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{"issue":{"subject":"","project_id":79,"tracker_id":40,"status_id":1,"priority_id":2,"assigned_to_id":338,"start_date":"2017-11-12","description":"","custom_fields":[{"id":1,"name":"Subdivision","value":"EC"},{"id":4,"name":"Milepost","value":"23.3276"},{"id":17,"name":"Train ID","value":"203-12"},{"id":16,"name":"Locomotive ID","value":"4016"},{"id":130,"name":"Impact","value":""},{"id":150,"name":"Time of Event (Mountain Time)","value":"17:07:56"},{"id":151,"name":"Denver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51"/>
        <v>start /low /b %USERPROFILE%\Documents\GitHub\eaglep3\Utilities\DownloadLogsFromS3.py --loco 4016 --day 2017-11-12</v>
      </c>
      <c r="AN119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2"/>
        <v>https://d0f6bd738d7f1b3e5a7ca70fe4ff75f0.us-east-1.aws.found.io/app/kibana#/discover/Steve-Slow-Train-Analysis-(2080s-and-2083s)?_g=(refreshInterval:(display:Off,pause:!f,section:0,value:0),time:(from:'2017-11-12T15:27:32-0700',mode:absolute,to:'2017-11-12T18:07:56-0700'))&amp;_a=(columns:!('Message%20ID',Summary),filters:!(),index:'emp_*',interval:auto,query:(query_string:(analyze_wildcard:!t,query:'%22rtdc.l.rtdc.4016%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820</v>
      </c>
      <c r="B120" s="7">
        <v>4015</v>
      </c>
      <c r="C120" s="21" t="s">
        <v>192</v>
      </c>
      <c r="D120" s="21" t="s">
        <v>597</v>
      </c>
      <c r="E120" s="13">
        <v>43051.722812499997</v>
      </c>
      <c r="F120" s="13">
        <v>43051.727407407408</v>
      </c>
      <c r="G120" s="7">
        <v>98</v>
      </c>
      <c r="H120" s="21" t="s">
        <v>481</v>
      </c>
      <c r="I120" s="13">
        <v>43051.756296296298</v>
      </c>
      <c r="J120" s="7">
        <v>0</v>
      </c>
      <c r="K120" s="89" t="str">
        <f t="shared" si="39"/>
        <v>4015/4016</v>
      </c>
      <c r="L120" s="185" t="str">
        <f>VLOOKUP(A120,'Trips&amp;Operators'!$C$1:$G$99911,5,FALSE)</f>
        <v>DAVIS MICHAEL</v>
      </c>
      <c r="M120" s="6">
        <f t="shared" si="40"/>
        <v>2.8888888889923692E-2</v>
      </c>
      <c r="N120" s="7">
        <f t="shared" si="56"/>
        <v>41.600000001490116</v>
      </c>
      <c r="O120" s="7"/>
      <c r="P120" s="7"/>
      <c r="Q120" s="22"/>
      <c r="R120" s="174"/>
      <c r="S120" s="221">
        <f t="shared" si="57"/>
        <v>1</v>
      </c>
      <c r="T120" s="174" t="str">
        <f t="shared" si="41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2"/>
        <v>https://d0f6bd738d7f1b3e5a7ca70fe4ff75f0.us-east-1.aws.found.io/app/kibana#/discover/Steve-Slow-Train-Analysis-(2080s-and-2083s)?_g=(refreshInterval:(display:Off,pause:!f,section:0,value:0),time:(from:'2017-11-12T16:20:51-0700',mode:absolute,to:'2017-11-12T19:09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204" t="str">
        <f>IF(AA120&lt;VLOOKUP(AG120,Variables!$AC$3:$AD$8,2,FALSE),"Y","N")</f>
        <v>N</v>
      </c>
      <c r="X120" s="204">
        <f t="shared" si="58"/>
        <v>1</v>
      </c>
      <c r="Y120" s="204">
        <f t="shared" ref="Y120:Y151" si="59">RIGHT(D120,LEN(D120)-4)/10000</f>
        <v>23.2972</v>
      </c>
      <c r="Z120" s="204">
        <f t="shared" ref="Z120:Z151" si="60">RIGHT(H120,LEN(H120)-4)/10000</f>
        <v>2.29E-2</v>
      </c>
      <c r="AA120" s="204">
        <f t="shared" si="43"/>
        <v>23.2743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9">
        <f t="shared" si="44"/>
        <v>204</v>
      </c>
      <c r="AE120" s="77" t="str">
        <f t="shared" si="45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120" s="74" t="str">
        <f t="shared" si="46"/>
        <v>"C:\Program Files (x86)\AstroGrep\AstroGrep.exe" /e /r /s /spath="%USERPROFILE%\AppData\Local\Temp\OnboardLogs" /stypes="app*4015*20171113*" /stext=" 01:.+((SYSTEM_STATE.+slice.+state.+changed )|(ment ac)|(multiple cpu faults)|(system.+state.+changed )|(\[timeout)|(PRM\|1\|D)|(kpr)|(kdp)|(train st.+moving)|(\|lc)|(penalty))"</v>
      </c>
      <c r="AG120" s="182" t="str">
        <f t="shared" si="47"/>
        <v>EC</v>
      </c>
      <c r="AH120" s="78" t="str">
        <f t="shared" si="50"/>
        <v>"%USERPROFILE%\Documents\GitHub\eaglep3\Utilities\RefineRTDCRunTimes.py" --tripid 204-12 --locoid 4015 --swversion DE.1.0.9.0 --startMP 204:232972 --initTime 2017-11-12T17:20:51 --startdatetime 2017-11-12T17:27:28 --delay 98 --endMP 204:229 --enddatetime 2017-11-12T18:09:04 --enforcementcount 0 &gt;&gt;%USERPROFILE%\Documents\GitHub\eaglep3-reporting\EC\2017-11-12-refined-times.txt</v>
      </c>
      <c r="AI120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{"issue":{"subject":"","project_id":79,"tracker_id":40,"status_id":1,"priority_id":2,"assigned_to_id":338,"start_date":"2017-11-12","description":"","custom_fields":[{"id":1,"name":"Subdivision","value":"EC"},{"id":4,"name":"Milepost","value":"0.0229"},{"id":17,"name":"Train ID","value":"204-12"},{"id":16,"name":"Locomotive ID","value":"4015"},{"id":130,"name":"Impact","value":""},{"id":150,"name":"Time of Event (Mountain Time)","value":"18:09:04"},{"id":151,"name":"Denver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51"/>
        <v>start /low /b %USERPROFILE%\Documents\GitHub\eaglep3\Utilities\DownloadLogsFromS3.py --loco 4015 --day 2017-11-12</v>
      </c>
      <c r="AN120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01:09:04"},{"id":29,"name":"Sharepoint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2"/>
        <v>https://d0f6bd738d7f1b3e5a7ca70fe4ff75f0.us-east-1.aws.found.io/app/kibana#/discover/Steve-Slow-Train-Analysis-(2080s-and-2083s)?_g=(refreshInterval:(display:Off,pause:!f,section:0,value:0),time:(from:'2017-11-12T16:20:51-0700',mode:absolute,to:'2017-11-12T19:09:04-0700'))&amp;_a=(columns:!('Message%20ID',Summary),filters:!(),index:'emp_*',interval:auto,query:(query_string:(analyze_wildcard:!t,query:'%22rtdc.l.rtdc.4015%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814</v>
      </c>
      <c r="B121" s="7">
        <v>4006</v>
      </c>
      <c r="C121" s="21" t="s">
        <v>192</v>
      </c>
      <c r="D121" s="21" t="s">
        <v>1014</v>
      </c>
      <c r="E121" s="13">
        <v>43051.694421296299</v>
      </c>
      <c r="F121" s="13">
        <v>43051.698333333334</v>
      </c>
      <c r="G121" s="7">
        <v>97</v>
      </c>
      <c r="H121" s="21" t="s">
        <v>1015</v>
      </c>
      <c r="I121" s="13">
        <v>43051.723113425927</v>
      </c>
      <c r="J121" s="7">
        <v>0</v>
      </c>
      <c r="K121" s="89" t="str">
        <f t="shared" si="39"/>
        <v>4005/4006</v>
      </c>
      <c r="L121" s="185" t="str">
        <f>VLOOKUP(A121,'Trips&amp;Operators'!$C$1:$G$99911,5,FALSE)</f>
        <v>SAFIEF AEIMEN</v>
      </c>
      <c r="M121" s="6">
        <f t="shared" si="40"/>
        <v>2.4780092593573499E-2</v>
      </c>
      <c r="N121" s="7">
        <f t="shared" si="56"/>
        <v>35.683333334745839</v>
      </c>
      <c r="O121" s="7"/>
      <c r="P121" s="7"/>
      <c r="Q121" s="22"/>
      <c r="R121" s="174"/>
      <c r="S121" s="221">
        <f t="shared" si="57"/>
        <v>1</v>
      </c>
      <c r="T121" s="174" t="str">
        <f t="shared" si="41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2"/>
        <v>https://d0f6bd738d7f1b3e5a7ca70fe4ff75f0.us-east-1.aws.found.io/app/kibana#/discover/Steve-Slow-Train-Analysis-(2080s-and-2083s)?_g=(refreshInterval:(display:Off,pause:!f,section:0,value:0),time:(from:'2017-11-12T15:39:58-0700',mode:absolute,to:'2017-11-12T18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1" s="204" t="str">
        <f>IF(AA121&lt;VLOOKUP(AG121,Variables!$AC$3:$AD$8,2,FALSE),"Y","N")</f>
        <v>N</v>
      </c>
      <c r="X121" s="204">
        <f t="shared" si="58"/>
        <v>1</v>
      </c>
      <c r="Y121" s="204">
        <f t="shared" si="59"/>
        <v>5.5300000000000002E-2</v>
      </c>
      <c r="Z121" s="204">
        <f t="shared" si="60"/>
        <v>23.322800000000001</v>
      </c>
      <c r="AA121" s="204">
        <f t="shared" si="43"/>
        <v>23.267500000000002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9">
        <f t="shared" si="44"/>
        <v>205</v>
      </c>
      <c r="AE121" s="77" t="str">
        <f t="shared" si="45"/>
        <v>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 &amp; aws s3 cp s3://rtdc.mdm.uploadarchive.raw/RTDC4006/ "%USERPROFILE%\AppData\Local\Temp\OnboardLogs"\RTDC4006\2017-11-13 --exclude "*" --recursive --include "*20171113*" &amp; "%USERPROFILE%\Documents\GitHub\mrs-test-scripts\Headless Mode &amp; Sideloading\WalkAndUnGZ.bat" "%USERPROFILE%\AppData\Local\Temp\OnboardLogs"\RTDC4006\2017-11-13</v>
      </c>
      <c r="AF121" s="74" t="str">
        <f t="shared" si="46"/>
        <v>"C:\Program Files (x86)\AstroGrep\AstroGrep.exe" /e /r /s /spath="%USERPROFILE%\AppData\Local\Temp\OnboardLogs" /stypes="app*4006*20171113*" /stext=" 00:.+((SYSTEM_STATE.+slice.+state.+changed )|(ment ac)|(multiple cpu faults)|(system.+state.+changed )|(\[timeout)|(PRM\|1\|D)|(kpr)|(kdp)|(train st.+moving)|(\|lc)|(penalty))"</v>
      </c>
      <c r="AG121" s="182" t="str">
        <f t="shared" si="47"/>
        <v>EC</v>
      </c>
      <c r="AH121" s="78" t="str">
        <f t="shared" si="50"/>
        <v>"%USERPROFILE%\Documents\GitHub\eaglep3\Utilities\RefineRTDCRunTimes.py" --tripid 205-12 --locoid 4006 --swversion DE.1.0.9.0 --startMP 204:553 --initTime 2017-11-12T16:39:58 --startdatetime 2017-11-12T16:45:36 --delay 97 --endMP 204:233228 --enddatetime 2017-11-12T17:21:17 --enforcementcount 0 &gt;&gt;%USERPROFILE%\Documents\GitHub\eaglep3-reporting\EC\2017-11-12-refined-times.txt</v>
      </c>
      <c r="AI121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{"issue":{"subject":"","project_id":79,"tracker_id":40,"status_id":1,"priority_id":2,"assigned_to_id":338,"start_date":"2017-11-12","description":"","custom_fields":[{"id":1,"name":"Subdivision","value":"EC"},{"id":4,"name":"Milepost","value":"23.3228"},{"id":17,"name":"Train ID","value":"205-12"},{"id":16,"name":"Locomotive ID","value":"4006"},{"id":130,"name":"Impact","value":""},{"id":150,"name":"Time of Event (Mountain Time)","value":"17:21:17"},{"id":151,"name":"Denver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51"/>
        <v>start /low /b %USERPROFILE%\Documents\GitHub\eaglep3\Utilities\DownloadLogsFromS3.py --loco 4006 --day 2017-11-12</v>
      </c>
      <c r="AN121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2"/>
        <v>https://d0f6bd738d7f1b3e5a7ca70fe4ff75f0.us-east-1.aws.found.io/app/kibana#/discover/Steve-Slow-Train-Analysis-(2080s-and-2083s)?_g=(refreshInterval:(display:Off,pause:!f,section:0,value:0),time:(from:'2017-11-12T15:39:58-0700',mode:absolute,to:'2017-11-12T18:21:17-0700'))&amp;_a=(columns:!('Message%20ID',Summary),filters:!(),index:'emp_*',interval:auto,query:(query_string:(analyze_wildcard:!t,query:'%22rtdc.l.rtdc.4006%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825</v>
      </c>
      <c r="B122" s="7">
        <v>4005</v>
      </c>
      <c r="C122" s="21" t="s">
        <v>192</v>
      </c>
      <c r="D122" s="21" t="s">
        <v>620</v>
      </c>
      <c r="E122" s="13">
        <v>43051.727708333332</v>
      </c>
      <c r="F122" s="13">
        <v>43051.737893518519</v>
      </c>
      <c r="G122" s="7">
        <v>73</v>
      </c>
      <c r="H122" s="21" t="s">
        <v>933</v>
      </c>
      <c r="I122" s="13">
        <v>43051.763599537036</v>
      </c>
      <c r="J122" s="7">
        <v>0</v>
      </c>
      <c r="K122" s="89" t="str">
        <f t="shared" si="39"/>
        <v>4005/4006</v>
      </c>
      <c r="L122" s="185" t="str">
        <f>VLOOKUP(A122,'Trips&amp;Operators'!$C$1:$G$99911,5,FALSE)</f>
        <v>SAFIEF AEIMEN</v>
      </c>
      <c r="M122" s="6">
        <f t="shared" si="40"/>
        <v>2.5706018517666962E-2</v>
      </c>
      <c r="N122" s="7">
        <f t="shared" si="56"/>
        <v>37.016666665440425</v>
      </c>
      <c r="O122" s="7"/>
      <c r="P122" s="7"/>
      <c r="Q122" s="22"/>
      <c r="R122" s="174"/>
      <c r="S122" s="221">
        <f t="shared" si="57"/>
        <v>1</v>
      </c>
      <c r="T122" s="174" t="str">
        <f t="shared" si="41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2"/>
        <v>https://d0f6bd738d7f1b3e5a7ca70fe4ff75f0.us-east-1.aws.found.io/app/kibana#/discover/Steve-Slow-Train-Analysis-(2080s-and-2083s)?_g=(refreshInterval:(display:Off,pause:!f,section:0,value:0),time:(from:'2017-11-12T16:27:54-0700',mode:absolute,to:'2017-11-12T19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2" s="204" t="str">
        <f>IF(AA122&lt;VLOOKUP(AG122,Variables!$AC$3:$AD$8,2,FALSE),"Y","N")</f>
        <v>N</v>
      </c>
      <c r="X122" s="204">
        <f t="shared" si="58"/>
        <v>1</v>
      </c>
      <c r="Y122" s="204">
        <f t="shared" si="59"/>
        <v>23.291699999999999</v>
      </c>
      <c r="Z122" s="204">
        <f t="shared" si="60"/>
        <v>2.23E-2</v>
      </c>
      <c r="AA122" s="204">
        <f t="shared" si="43"/>
        <v>23.269399999999997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9">
        <f t="shared" si="44"/>
        <v>206</v>
      </c>
      <c r="AE122" s="77" t="str">
        <f t="shared" si="45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122" s="74" t="str">
        <f t="shared" si="46"/>
        <v>"C:\Program Files (x86)\AstroGrep\AstroGrep.exe" /e /r /s /spath="%USERPROFILE%\AppData\Local\Temp\OnboardLogs" /stypes="app*4005*20171113*" /stext=" 01:.+((SYSTEM_STATE.+slice.+state.+changed )|(ment ac)|(multiple cpu faults)|(system.+state.+changed )|(\[timeout)|(PRM\|1\|D)|(kpr)|(kdp)|(train st.+moving)|(\|lc)|(penalty))"</v>
      </c>
      <c r="AG122" s="182" t="str">
        <f t="shared" si="47"/>
        <v>EC</v>
      </c>
      <c r="AH122" s="78" t="str">
        <f t="shared" si="50"/>
        <v>"%USERPROFILE%\Documents\GitHub\eaglep3\Utilities\RefineRTDCRunTimes.py" --tripid 206-12 --locoid 4005 --swversion DE.1.0.9.0 --startMP 204:232917 --initTime 2017-11-12T17:27:54 --startdatetime 2017-11-12T17:42:34 --delay 73 --endMP 204:223 --enddatetime 2017-11-12T18:19:35 --enforcementcount 0 &gt;&gt;%USERPROFILE%\Documents\GitHub\eaglep3-reporting\EC\2017-11-12-refined-times.txt</v>
      </c>
      <c r="AI122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{"issue":{"subject":"","project_id":79,"tracker_id":40,"status_id":1,"priority_id":2,"assigned_to_id":338,"start_date":"2017-11-12","description":"","custom_fields":[{"id":1,"name":"Subdivision","value":"EC"},{"id":4,"name":"Milepost","value":"0.0223"},{"id":17,"name":"Train ID","value":"206-12"},{"id":16,"name":"Locomotive ID","value":"4005"},{"id":130,"name":"Impact","value":""},{"id":150,"name":"Time of Event (Mountain Time)","value":"18:19:35"},{"id":151,"name":"Denver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51"/>
        <v>start /low /b %USERPROFILE%\Documents\GitHub\eaglep3\Utilities\DownloadLogsFromS3.py --loco 4005 --day 2017-11-12</v>
      </c>
      <c r="AN122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01:19:35"},{"id":29,"name":"Sharepoint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2"/>
        <v>https://d0f6bd738d7f1b3e5a7ca70fe4ff75f0.us-east-1.aws.found.io/app/kibana#/discover/Steve-Slow-Train-Analysis-(2080s-and-2083s)?_g=(refreshInterval:(display:Off,pause:!f,section:0,value:0),time:(from:'2017-11-12T16:27:54-0700',mode:absolute,to:'2017-11-12T19:19:35-0700'))&amp;_a=(columns:!('Message%20ID',Summary),filters:!(),index:'emp_*',interval:auto,query:(query_string:(analyze_wildcard:!t,query:'%22rtdc.l.rtdc.4005%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815</v>
      </c>
      <c r="B123" s="7">
        <v>4002</v>
      </c>
      <c r="C123" s="21" t="s">
        <v>192</v>
      </c>
      <c r="D123" s="21" t="s">
        <v>934</v>
      </c>
      <c r="E123" s="13">
        <v>43051.702210648145</v>
      </c>
      <c r="F123" s="13">
        <v>43051.708518518521</v>
      </c>
      <c r="G123" s="7">
        <v>86</v>
      </c>
      <c r="H123" s="21" t="s">
        <v>456</v>
      </c>
      <c r="I123" s="13">
        <v>43051.733483796299</v>
      </c>
      <c r="J123" s="7">
        <v>0</v>
      </c>
      <c r="K123" s="89" t="str">
        <f t="shared" si="39"/>
        <v>4001/4002</v>
      </c>
      <c r="L123" s="185" t="str">
        <f>VLOOKUP(A123,'Trips&amp;Operators'!$C$1:$G$99911,5,FALSE)</f>
        <v>GONZALEZ ARMANDO</v>
      </c>
      <c r="M123" s="6">
        <f t="shared" si="40"/>
        <v>2.4965277778392192E-2</v>
      </c>
      <c r="N123" s="7">
        <f t="shared" si="56"/>
        <v>35.950000000884756</v>
      </c>
      <c r="O123" s="7"/>
      <c r="P123" s="7"/>
      <c r="Q123" s="22"/>
      <c r="R123" s="174"/>
      <c r="S123" s="221">
        <f t="shared" si="57"/>
        <v>1</v>
      </c>
      <c r="T123" s="174" t="str">
        <f t="shared" si="41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2"/>
        <v>https://d0f6bd738d7f1b3e5a7ca70fe4ff75f0.us-east-1.aws.found.io/app/kibana#/discover/Steve-Slow-Train-Analysis-(2080s-and-2083s)?_g=(refreshInterval:(display:Off,pause:!f,section:0,value:0),time:(from:'2017-11-12T15:51:11-0700',mode:absolute,to:'2017-11-12T18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204" t="str">
        <f>IF(AA123&lt;VLOOKUP(AG123,Variables!$AC$3:$AD$8,2,FALSE),"Y","N")</f>
        <v>N</v>
      </c>
      <c r="X123" s="204">
        <f t="shared" si="58"/>
        <v>1</v>
      </c>
      <c r="Y123" s="204">
        <f t="shared" si="59"/>
        <v>4.7300000000000002E-2</v>
      </c>
      <c r="Z123" s="204">
        <f t="shared" si="60"/>
        <v>23.325700000000001</v>
      </c>
      <c r="AA123" s="204">
        <f t="shared" si="43"/>
        <v>23.278400000000001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9">
        <f t="shared" si="44"/>
        <v>207</v>
      </c>
      <c r="AE123" s="77" t="str">
        <f t="shared" si="45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123" s="74" t="str">
        <f t="shared" si="46"/>
        <v>"C:\Program Files (x86)\AstroGrep\AstroGrep.exe" /e /r /s /spath="%USERPROFILE%\AppData\Local\Temp\OnboardLogs" /stypes="app*4002*20171113*" /stext=" 00:.+((SYSTEM_STATE.+slice.+state.+changed )|(ment ac)|(multiple cpu faults)|(system.+state.+changed )|(\[timeout)|(PRM\|1\|D)|(kpr)|(kdp)|(train st.+moving)|(\|lc)|(penalty))"</v>
      </c>
      <c r="AG123" s="182" t="str">
        <f t="shared" si="47"/>
        <v>EC</v>
      </c>
      <c r="AH123" s="78" t="str">
        <f t="shared" si="50"/>
        <v>"%USERPROFILE%\Documents\GitHub\eaglep3\Utilities\RefineRTDCRunTimes.py" --tripid 207-12 --locoid 4002 --swversion DE.1.0.9.0 --startMP 204:473 --initTime 2017-11-12T16:51:11 --startdatetime 2017-11-12T17:00:16 --delay 86 --endMP 204:233257 --enddatetime 2017-11-12T17:36:13 --enforcementcount 0 &gt;&gt;%USERPROFILE%\Documents\GitHub\eaglep3-reporting\EC\2017-11-12-refined-times.txt</v>
      </c>
      <c r="AI123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{"issue":{"subject":"","project_id":79,"tracker_id":40,"status_id":1,"priority_id":2,"assigned_to_id":338,"start_date":"2017-11-12","description":"","custom_fields":[{"id":1,"name":"Subdivision","value":"EC"},{"id":4,"name":"Milepost","value":"23.3257"},{"id":17,"name":"Train ID","value":"207-12"},{"id":16,"name":"Locomotive ID","value":"4002"},{"id":130,"name":"Impact","value":""},{"id":150,"name":"Time of Event (Mountain Time)","value":"17:36:13"},{"id":151,"name":"Denver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51"/>
        <v>start /low /b %USERPROFILE%\Documents\GitHub\eaglep3\Utilities\DownloadLogsFromS3.py --loco 4002 --day 2017-11-12</v>
      </c>
      <c r="AN123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2"/>
        <v>https://d0f6bd738d7f1b3e5a7ca70fe4ff75f0.us-east-1.aws.found.io/app/kibana#/discover/Steve-Slow-Train-Analysis-(2080s-and-2083s)?_g=(refreshInterval:(display:Off,pause:!f,section:0,value:0),time:(from:'2017-11-12T15:51:11-0700',mode:absolute,to:'2017-11-12T18:36:13-0700'))&amp;_a=(columns:!('Message%20ID',Summary),filters:!(),index:'emp_*',interval:auto,query:(query_string:(analyze_wildcard:!t,query:'%22rtdc.l.rtdc.4002%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830</v>
      </c>
      <c r="B124" s="7">
        <v>4001</v>
      </c>
      <c r="C124" s="21" t="s">
        <v>192</v>
      </c>
      <c r="D124" s="21" t="s">
        <v>458</v>
      </c>
      <c r="E124" s="13">
        <v>43051.743321759262</v>
      </c>
      <c r="F124" s="13">
        <v>43051.748182870368</v>
      </c>
      <c r="G124" s="7">
        <v>68</v>
      </c>
      <c r="H124" s="21" t="s">
        <v>595</v>
      </c>
      <c r="I124" s="13">
        <v>43051.773715277777</v>
      </c>
      <c r="J124" s="7">
        <v>0</v>
      </c>
      <c r="K124" s="89" t="str">
        <f t="shared" si="39"/>
        <v>4001/4002</v>
      </c>
      <c r="L124" s="185" t="str">
        <f>VLOOKUP(A124,'Trips&amp;Operators'!$C$1:$G$99911,5,FALSE)</f>
        <v>GONZALEZ ARMANDO</v>
      </c>
      <c r="M124" s="6">
        <f t="shared" si="40"/>
        <v>2.5532407409627922E-2</v>
      </c>
      <c r="N124" s="7">
        <f t="shared" si="56"/>
        <v>36.766666669864208</v>
      </c>
      <c r="O124" s="7"/>
      <c r="P124" s="7"/>
      <c r="Q124" s="22"/>
      <c r="R124" s="174"/>
      <c r="S124" s="221">
        <f t="shared" si="57"/>
        <v>1</v>
      </c>
      <c r="T124" s="174" t="str">
        <f t="shared" si="41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2"/>
        <v>https://d0f6bd738d7f1b3e5a7ca70fe4ff75f0.us-east-1.aws.found.io/app/kibana#/discover/Steve-Slow-Train-Analysis-(2080s-and-2083s)?_g=(refreshInterval:(display:Off,pause:!f,section:0,value:0),time:(from:'2017-11-12T16:50:23-0700',mode:absolute,to:'2017-11-12T19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204" t="str">
        <f>IF(AA124&lt;VLOOKUP(AG124,Variables!$AC$3:$AD$8,2,FALSE),"Y","N")</f>
        <v>N</v>
      </c>
      <c r="X124" s="204">
        <f t="shared" si="58"/>
        <v>1</v>
      </c>
      <c r="Y124" s="204">
        <f t="shared" si="59"/>
        <v>23.293800000000001</v>
      </c>
      <c r="Z124" s="204">
        <f t="shared" si="60"/>
        <v>1.4999999999999999E-2</v>
      </c>
      <c r="AA124" s="204">
        <f t="shared" si="43"/>
        <v>23.2788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9">
        <f t="shared" si="44"/>
        <v>208</v>
      </c>
      <c r="AE124" s="77" t="str">
        <f t="shared" si="45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124" s="74" t="str">
        <f t="shared" si="46"/>
        <v>"C:\Program Files (x86)\AstroGrep\AstroGrep.exe" /e /r /s /spath="%USERPROFILE%\AppData\Local\Temp\OnboardLogs" /stypes="app*4001*20171113*" /stext=" 01:.+((SYSTEM_STATE.+slice.+state.+changed )|(ment ac)|(multiple cpu faults)|(system.+state.+changed )|(\[timeout)|(PRM\|1\|D)|(kpr)|(kdp)|(train st.+moving)|(\|lc)|(penalty))"</v>
      </c>
      <c r="AG124" s="182" t="str">
        <f t="shared" si="47"/>
        <v>EC</v>
      </c>
      <c r="AH124" s="78" t="str">
        <f t="shared" si="50"/>
        <v>"%USERPROFILE%\Documents\GitHub\eaglep3\Utilities\RefineRTDCRunTimes.py" --tripid 208-12 --locoid 4001 --swversion DE.1.0.9.0 --startMP 204:232938 --initTime 2017-11-12T17:50:23 --startdatetime 2017-11-12T17:57:23 --delay 68 --endMP 204:150 --enddatetime 2017-11-12T18:34:09 --enforcementcount 0 &gt;&gt;%USERPROFILE%\Documents\GitHub\eaglep3-reporting\EC\2017-11-12-refined-times.txt</v>
      </c>
      <c r="AI124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{"issue":{"subject":"","project_id":79,"tracker_id":40,"status_id":1,"priority_id":2,"assigned_to_id":338,"start_date":"2017-11-12","description":"","custom_fields":[{"id":1,"name":"Subdivision","value":"EC"},{"id":4,"name":"Milepost","value":"0.015"},{"id":17,"name":"Train ID","value":"208-12"},{"id":16,"name":"Locomotive ID","value":"4001"},{"id":130,"name":"Impact","value":""},{"id":150,"name":"Time of Event (Mountain Time)","value":"18:34:09"},{"id":151,"name":"Denver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51"/>
        <v>start /low /b %USERPROFILE%\Documents\GitHub\eaglep3\Utilities\DownloadLogsFromS3.py --loco 4001 --day 2017-11-12</v>
      </c>
      <c r="AN124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01:34:09"},{"id":29,"name":"Sharepoint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2"/>
        <v>https://d0f6bd738d7f1b3e5a7ca70fe4ff75f0.us-east-1.aws.found.io/app/kibana#/discover/Steve-Slow-Train-Analysis-(2080s-and-2083s)?_g=(refreshInterval:(display:Off,pause:!f,section:0,value:0),time:(from:'2017-11-12T16:50:23-0700',mode:absolute,to:'2017-11-12T19:34:09-0700'))&amp;_a=(columns:!('Message%20ID',Summary),filters:!(),index:'emp_*',interval:auto,query:(query_string:(analyze_wildcard:!t,query:'%22rtdc.l.rtdc.4001%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819</v>
      </c>
      <c r="B125" s="7">
        <v>4064</v>
      </c>
      <c r="C125" s="21" t="s">
        <v>192</v>
      </c>
      <c r="D125" s="21" t="s">
        <v>894</v>
      </c>
      <c r="E125" s="13">
        <v>43051.716134259259</v>
      </c>
      <c r="F125" s="13">
        <v>43051.719178240739</v>
      </c>
      <c r="G125" s="7">
        <v>116</v>
      </c>
      <c r="H125" s="21" t="s">
        <v>467</v>
      </c>
      <c r="I125" s="13">
        <v>43051.743761574071</v>
      </c>
      <c r="J125" s="7">
        <v>0</v>
      </c>
      <c r="K125" s="89" t="str">
        <f t="shared" si="39"/>
        <v>4063/4064</v>
      </c>
      <c r="L125" s="185" t="str">
        <f>VLOOKUP(A125,'Trips&amp;Operators'!$C$1:$G$99911,5,FALSE)</f>
        <v>STAMBAUGH JAMES</v>
      </c>
      <c r="M125" s="6">
        <f t="shared" si="40"/>
        <v>2.4583333331975155E-2</v>
      </c>
      <c r="N125" s="7">
        <f t="shared" si="56"/>
        <v>35.399999998044223</v>
      </c>
      <c r="O125" s="7"/>
      <c r="P125" s="7"/>
      <c r="Q125" s="22"/>
      <c r="R125" s="174"/>
      <c r="S125" s="221">
        <f t="shared" si="57"/>
        <v>1</v>
      </c>
      <c r="T125" s="174" t="str">
        <f t="shared" si="41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2"/>
        <v>https://d0f6bd738d7f1b3e5a7ca70fe4ff75f0.us-east-1.aws.found.io/app/kibana#/discover/Steve-Slow-Train-Analysis-(2080s-and-2083s)?_g=(refreshInterval:(display:Off,pause:!f,section:0,value:0),time:(from:'2017-11-12T16:11:14-0700',mode:absolute,to:'2017-11-12T18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5" s="204" t="str">
        <f>IF(AA125&lt;VLOOKUP(AG125,Variables!$AC$3:$AD$8,2,FALSE),"Y","N")</f>
        <v>N</v>
      </c>
      <c r="X125" s="204">
        <f t="shared" si="58"/>
        <v>1</v>
      </c>
      <c r="Y125" s="204">
        <f t="shared" si="59"/>
        <v>5.3999999999999999E-2</v>
      </c>
      <c r="Z125" s="204">
        <f t="shared" si="60"/>
        <v>23.328600000000002</v>
      </c>
      <c r="AA125" s="204">
        <f t="shared" si="43"/>
        <v>23.274600000000003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9">
        <f t="shared" si="44"/>
        <v>209</v>
      </c>
      <c r="AE125" s="77" t="str">
        <f t="shared" si="45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125" s="74" t="str">
        <f t="shared" si="46"/>
        <v>"C:\Program Files (x86)\AstroGrep\AstroGrep.exe" /e /r /s /spath="%USERPROFILE%\AppData\Local\Temp\OnboardLogs" /stypes="app*4064*20171113*" /stext=" 00:.+((SYSTEM_STATE.+slice.+state.+changed )|(ment ac)|(multiple cpu faults)|(system.+state.+changed )|(\[timeout)|(PRM\|1\|D)|(kpr)|(kdp)|(train st.+moving)|(\|lc)|(penalty))"</v>
      </c>
      <c r="AG125" s="182" t="str">
        <f t="shared" si="47"/>
        <v>EC</v>
      </c>
      <c r="AH125" s="78" t="str">
        <f t="shared" si="50"/>
        <v>"%USERPROFILE%\Documents\GitHub\eaglep3\Utilities\RefineRTDCRunTimes.py" --tripid 209-12 --locoid 4064 --swversion DE.1.0.9.0 --startMP 204:540 --initTime 2017-11-12T17:11:14 --startdatetime 2017-11-12T17:15:37 --delay 116 --endMP 204:233286 --enddatetime 2017-11-12T17:51:01 --enforcementcount 0 &gt;&gt;%USERPROFILE%\Documents\GitHub\eaglep3-reporting\EC\2017-11-12-refined-times.txt</v>
      </c>
      <c r="AI125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{"issue":{"subject":"","project_id":79,"tracker_id":40,"status_id":1,"priority_id":2,"assigned_to_id":338,"start_date":"2017-11-12","description":"","custom_fields":[{"id":1,"name":"Subdivision","value":"EC"},{"id":4,"name":"Milepost","value":"23.3286"},{"id":17,"name":"Train ID","value":"209-12"},{"id":16,"name":"Locomotive ID","value":"4064"},{"id":130,"name":"Impact","value":""},{"id":150,"name":"Time of Event (Mountain Time)","value":"17:51:01"},{"id":151,"name":"Denver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51"/>
        <v>start /low /b %USERPROFILE%\Documents\GitHub\eaglep3\Utilities\DownloadLogsFromS3.py --loco 4064 --day 2017-11-12</v>
      </c>
      <c r="AN125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2"/>
        <v>https://d0f6bd738d7f1b3e5a7ca70fe4ff75f0.us-east-1.aws.found.io/app/kibana#/discover/Steve-Slow-Train-Analysis-(2080s-and-2083s)?_g=(refreshInterval:(display:Off,pause:!f,section:0,value:0),time:(from:'2017-11-12T16:11:14-0700',mode:absolute,to:'2017-11-12T18:51:01-0700'))&amp;_a=(columns:!('Message%20ID',Summary),filters:!(),index:'emp_*',interval:auto,query:(query_string:(analyze_wildcard:!t,query:'%22rtdc.l.rtdc.4064%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832</v>
      </c>
      <c r="B126" s="7">
        <v>4063</v>
      </c>
      <c r="C126" s="21" t="s">
        <v>192</v>
      </c>
      <c r="D126" s="21" t="s">
        <v>446</v>
      </c>
      <c r="E126" s="13">
        <v>43051.753680555557</v>
      </c>
      <c r="F126" s="13">
        <v>43051.758680555555</v>
      </c>
      <c r="G126" s="7">
        <v>89</v>
      </c>
      <c r="H126" s="21" t="s">
        <v>466</v>
      </c>
      <c r="I126" s="13">
        <v>43051.783888888887</v>
      </c>
      <c r="J126" s="7">
        <v>0</v>
      </c>
      <c r="K126" s="89" t="str">
        <f t="shared" si="39"/>
        <v>4063/4064</v>
      </c>
      <c r="L126" s="185" t="str">
        <f>VLOOKUP(A126,'Trips&amp;Operators'!$C$1:$G$99911,5,FALSE)</f>
        <v>STAMBAUGH JAMES</v>
      </c>
      <c r="M126" s="6">
        <f t="shared" si="40"/>
        <v>2.5208333332557231E-2</v>
      </c>
      <c r="N126" s="7">
        <f t="shared" si="56"/>
        <v>36.299999998882413</v>
      </c>
      <c r="O126" s="7"/>
      <c r="P126" s="7"/>
      <c r="Q126" s="22"/>
      <c r="R126" s="174"/>
      <c r="S126" s="221">
        <f t="shared" si="57"/>
        <v>1</v>
      </c>
      <c r="T126" s="174" t="str">
        <f t="shared" si="41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2"/>
        <v>https://d0f6bd738d7f1b3e5a7ca70fe4ff75f0.us-east-1.aws.found.io/app/kibana#/discover/Steve-Slow-Train-Analysis-(2080s-and-2083s)?_g=(refreshInterval:(display:Off,pause:!f,section:0,value:0),time:(from:'2017-11-12T17:05:18-0700',mode:absolute,to:'2017-11-12T19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6" s="204" t="str">
        <f>IF(AA126&lt;VLOOKUP(AG126,Variables!$AC$3:$AD$8,2,FALSE),"Y","N")</f>
        <v>N</v>
      </c>
      <c r="X126" s="204">
        <f t="shared" si="58"/>
        <v>1</v>
      </c>
      <c r="Y126" s="204">
        <f t="shared" si="59"/>
        <v>23.297699999999999</v>
      </c>
      <c r="Z126" s="204">
        <f t="shared" si="60"/>
        <v>2.4299999999999999E-2</v>
      </c>
      <c r="AA126" s="204">
        <f t="shared" si="43"/>
        <v>23.273399999999999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9">
        <f t="shared" si="44"/>
        <v>210</v>
      </c>
      <c r="AE126" s="77" t="str">
        <f t="shared" si="45"/>
        <v>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 &amp; aws s3 cp s3://rtdc.mdm.uploadarchive.raw/RTDC4063/ "%USERPROFILE%\AppData\Local\Temp\OnboardLogs"\RTDC4063\2017-11-13 --exclude "*" --recursive --include "*20171113*" &amp; "%USERPROFILE%\Documents\GitHub\mrs-test-scripts\Headless Mode &amp; Sideloading\WalkAndUnGZ.bat" "%USERPROFILE%\AppData\Local\Temp\OnboardLogs"\RTDC4063\2017-11-13</v>
      </c>
      <c r="AF126" s="74" t="str">
        <f t="shared" si="46"/>
        <v>"C:\Program Files (x86)\AstroGrep\AstroGrep.exe" /e /r /s /spath="%USERPROFILE%\AppData\Local\Temp\OnboardLogs" /stypes="app*4063*20171113*" /stext=" 01:.+((SYSTEM_STATE.+slice.+state.+changed )|(ment ac)|(multiple cpu faults)|(system.+state.+changed )|(\[timeout)|(PRM\|1\|D)|(kpr)|(kdp)|(train st.+moving)|(\|lc)|(penalty))"</v>
      </c>
      <c r="AG126" s="182" t="str">
        <f t="shared" si="47"/>
        <v>EC</v>
      </c>
      <c r="AH126" s="78" t="str">
        <f t="shared" si="50"/>
        <v>"%USERPROFILE%\Documents\GitHub\eaglep3\Utilities\RefineRTDCRunTimes.py" --tripid 210-12 --locoid 4063 --swversion DE.1.0.9.0 --startMP 204:232977 --initTime 2017-11-12T18:05:18 --startdatetime 2017-11-12T18:12:30 --delay 89 --endMP 204:243 --enddatetime 2017-11-12T18:48:48 --enforcementcount 0 &gt;&gt;%USERPROFILE%\Documents\GitHub\eaglep3-reporting\EC\2017-11-12-refined-times.txt</v>
      </c>
      <c r="AI126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{"issue":{"subject":"","project_id":79,"tracker_id":40,"status_id":1,"priority_id":2,"assigned_to_id":338,"start_date":"2017-11-12","description":"","custom_fields":[{"id":1,"name":"Subdivision","value":"EC"},{"id":4,"name":"Milepost","value":"0.0243"},{"id":17,"name":"Train ID","value":"210-12"},{"id":16,"name":"Locomotive ID","value":"4063"},{"id":130,"name":"Impact","value":""},{"id":150,"name":"Time of Event (Mountain Time)","value":"18:48:48"},{"id":151,"name":"Denver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51"/>
        <v>start /low /b %USERPROFILE%\Documents\GitHub\eaglep3\Utilities\DownloadLogsFromS3.py --loco 4063 --day 2017-11-12</v>
      </c>
      <c r="AN126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01:48:48"},{"id":29,"name":"Sharepoint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2"/>
        <v>https://d0f6bd738d7f1b3e5a7ca70fe4ff75f0.us-east-1.aws.found.io/app/kibana#/discover/Steve-Slow-Train-Analysis-(2080s-and-2083s)?_g=(refreshInterval:(display:Off,pause:!f,section:0,value:0),time:(from:'2017-11-12T17:05:18-0700',mode:absolute,to:'2017-11-12T19:48:48-0700'))&amp;_a=(columns:!('Message%20ID',Summary),filters:!(),index:'emp_*',interval:auto,query:(query_string:(analyze_wildcard:!t,query:'%22rtdc.l.rtdc.4063%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821</v>
      </c>
      <c r="B127" s="7">
        <v>4052</v>
      </c>
      <c r="C127" s="21" t="s">
        <v>192</v>
      </c>
      <c r="D127" s="21" t="s">
        <v>478</v>
      </c>
      <c r="E127" s="13">
        <v>43051.724293981482</v>
      </c>
      <c r="F127" s="13">
        <v>43051.729375000003</v>
      </c>
      <c r="G127" s="7">
        <v>130</v>
      </c>
      <c r="H127" s="21" t="s">
        <v>935</v>
      </c>
      <c r="I127" s="13">
        <v>43051.754351851851</v>
      </c>
      <c r="J127" s="7">
        <v>0</v>
      </c>
      <c r="K127" s="89" t="str">
        <f t="shared" si="39"/>
        <v>4051/4052</v>
      </c>
      <c r="L127" s="185" t="str">
        <f>VLOOKUP(A127,'Trips&amp;Operators'!$C$1:$G$99911,5,FALSE)</f>
        <v>KILLION DAVID</v>
      </c>
      <c r="M127" s="6">
        <f t="shared" si="40"/>
        <v>2.4976851847895887E-2</v>
      </c>
      <c r="N127" s="7">
        <f t="shared" si="56"/>
        <v>35.966666660970077</v>
      </c>
      <c r="O127" s="7"/>
      <c r="P127" s="7"/>
      <c r="Q127" s="22"/>
      <c r="R127" s="174"/>
      <c r="S127" s="221">
        <f t="shared" si="57"/>
        <v>1</v>
      </c>
      <c r="T127" s="174" t="str">
        <f t="shared" si="41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42"/>
        <v>https://d0f6bd738d7f1b3e5a7ca70fe4ff75f0.us-east-1.aws.found.io/app/kibana#/discover/Steve-Slow-Train-Analysis-(2080s-and-2083s)?_g=(refreshInterval:(display:Off,pause:!f,section:0,value:0),time:(from:'2017-11-12T16:22:59-0700',mode:absolute,to:'2017-11-12T19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7" s="204" t="str">
        <f>IF(AA127&lt;VLOOKUP(AG127,Variables!$AC$3:$AD$8,2,FALSE),"Y","N")</f>
        <v>N</v>
      </c>
      <c r="X127" s="204">
        <f t="shared" si="58"/>
        <v>1</v>
      </c>
      <c r="Y127" s="204">
        <f t="shared" si="59"/>
        <v>5.0900000000000001E-2</v>
      </c>
      <c r="Z127" s="204">
        <f t="shared" si="60"/>
        <v>23.322299999999998</v>
      </c>
      <c r="AA127" s="204">
        <f t="shared" si="43"/>
        <v>23.2714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9">
        <f t="shared" si="44"/>
        <v>211</v>
      </c>
      <c r="AE127" s="77" t="str">
        <f t="shared" si="45"/>
        <v>aws s3 cp s3://rtdc.mdm.uploadarchive.raw/RTDC4052/ "%USERPROFILE%\AppData\Local\Temp\OnboardLogs"\RTDC4052\2017-11-12 --exclude "*" --recursive --include "*20171112*" &amp; "%USERPROFILE%\Documents\GitHub\mrs-test-scripts\Headless Mode &amp; Sideloading\WalkAndUnGZ.bat" "%USERPROFILE%\AppData\Local\Temp\OnboardLogs"\RTDC4052\2017-11-12 &amp; aws s3 cp s3://rtdc.mdm.uploadarchive.raw/RTDC4052/ "%USERPROFILE%\AppData\Local\Temp\OnboardLogs"\RTDC4052\2017-11-13 --exclude "*" --recursive --include "*20171113*" &amp; "%USERPROFILE%\Documents\GitHub\mrs-test-scripts\Headless Mode &amp; Sideloading\WalkAndUnGZ.bat" "%USERPROFILE%\AppData\Local\Temp\OnboardLogs"\RTDC4052\2017-11-13</v>
      </c>
      <c r="AF127" s="74" t="str">
        <f t="shared" si="46"/>
        <v>"C:\Program Files (x86)\AstroGrep\AstroGrep.exe" /e /r /s /spath="%USERPROFILE%\AppData\Local\Temp\OnboardLogs" /stypes="app*4052*20171113*" /stext=" 01:.+((SYSTEM_STATE.+slice.+state.+changed )|(ment ac)|(multiple cpu faults)|(system.+state.+changed )|(\[timeout)|(PRM\|1\|D)|(kpr)|(kdp)|(train st.+moving)|(\|lc)|(penalty))"</v>
      </c>
      <c r="AG127" s="182" t="str">
        <f t="shared" si="47"/>
        <v>EC</v>
      </c>
      <c r="AH127" s="78" t="str">
        <f t="shared" si="50"/>
        <v>"%USERPROFILE%\Documents\GitHub\eaglep3\Utilities\RefineRTDCRunTimes.py" --tripid 211-12 --locoid 4052 --swversion DE.1.0.9.0 --startMP 204:509 --initTime 2017-11-12T17:22:59 --startdatetime 2017-11-12T17:30:18 --delay 130 --endMP 204:233223 --enddatetime 2017-11-12T18:06:16 --enforcementcount 0 &gt;&gt;%USERPROFILE%\Documents\GitHub\eaglep3-reporting\EC\2017-11-12-refined-times.txt</v>
      </c>
      <c r="AI127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{"issue":{"subject":"","project_id":79,"tracker_id":40,"status_id":1,"priority_id":2,"assigned_to_id":338,"start_date":"2017-11-12","description":"","custom_fields":[{"id":1,"name":"Subdivision","value":"EC"},{"id":4,"name":"Milepost","value":"23.3223"},{"id":17,"name":"Train ID","value":"211-12"},{"id":16,"name":"Locomotive ID","value":"4052"},{"id":130,"name":"Impact","value":""},{"id":150,"name":"Time of Event (Mountain Time)","value":"18:06:16"},{"id":151,"name":"Denver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51"/>
        <v>start /low /b %USERPROFILE%\Documents\GitHub\eaglep3\Utilities\DownloadLogsFromS3.py --loco 4052 --day 2017-11-12</v>
      </c>
      <c r="AN127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01:06:16"},{"id":29,"name":"Sharepoint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2"/>
        <v>https://d0f6bd738d7f1b3e5a7ca70fe4ff75f0.us-east-1.aws.found.io/app/kibana#/discover/Steve-Slow-Train-Analysis-(2080s-and-2083s)?_g=(refreshInterval:(display:Off,pause:!f,section:0,value:0),time:(from:'2017-11-12T16:22:59-0700',mode:absolute,to:'2017-11-12T19:06:16-0700'))&amp;_a=(columns:!('Message%20ID',Summary),filters:!(),index:'emp_*',interval:auto,query:(query_string:(analyze_wildcard:!t,query:'%22rtdc.l.rtdc.4052%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657</v>
      </c>
      <c r="B128" s="7">
        <v>4051</v>
      </c>
      <c r="C128" s="21" t="s">
        <v>192</v>
      </c>
      <c r="D128" s="21" t="s">
        <v>616</v>
      </c>
      <c r="E128" s="13">
        <v>43051.760636574072</v>
      </c>
      <c r="F128" s="13">
        <v>43051.770821759259</v>
      </c>
      <c r="G128" s="7">
        <v>78</v>
      </c>
      <c r="H128" s="21" t="s">
        <v>1016</v>
      </c>
      <c r="I128" s="13">
        <v>43051.796481481484</v>
      </c>
      <c r="J128" s="7">
        <v>0</v>
      </c>
      <c r="K128" s="89" t="str">
        <f t="shared" si="39"/>
        <v>4051/4052</v>
      </c>
      <c r="L128" s="185" t="str">
        <f>VLOOKUP(A128,'Trips&amp;Operators'!$C$1:$G$99911,5,FALSE)</f>
        <v>KILLION DAVID</v>
      </c>
      <c r="M128" s="6">
        <f t="shared" si="40"/>
        <v>2.5659722225100268E-2</v>
      </c>
      <c r="N128" s="7">
        <f t="shared" si="56"/>
        <v>36.950000004144385</v>
      </c>
      <c r="O128" s="7"/>
      <c r="P128" s="7"/>
      <c r="Q128" s="22"/>
      <c r="R128" s="174"/>
      <c r="S128" s="221">
        <f t="shared" si="57"/>
        <v>1</v>
      </c>
      <c r="T128" s="174" t="str">
        <f t="shared" si="41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2"/>
        <v>https://d0f6bd738d7f1b3e5a7ca70fe4ff75f0.us-east-1.aws.found.io/app/kibana#/discover/Steve-Slow-Train-Analysis-(2080s-and-2083s)?_g=(refreshInterval:(display:Off,pause:!f,section:0,value:0),time:(from:'2017-11-12T17:15:19-0700',mode:absolute,to:'2017-11-12T20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8" s="204" t="str">
        <f>IF(AA128&lt;VLOOKUP(AG128,Variables!$AC$3:$AD$8,2,FALSE),"Y","N")</f>
        <v>N</v>
      </c>
      <c r="X128" s="204">
        <f t="shared" si="58"/>
        <v>1</v>
      </c>
      <c r="Y128" s="204">
        <f t="shared" si="59"/>
        <v>23.2898</v>
      </c>
      <c r="Z128" s="204">
        <f t="shared" si="60"/>
        <v>8.9899999999999994E-2</v>
      </c>
      <c r="AA128" s="204">
        <f t="shared" si="43"/>
        <v>23.1999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9">
        <f t="shared" si="44"/>
        <v>212</v>
      </c>
      <c r="AE128" s="77" t="str">
        <f t="shared" si="45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128" s="74" t="str">
        <f t="shared" si="46"/>
        <v>"C:\Program Files (x86)\AstroGrep\AstroGrep.exe" /e /r /s /spath="%USERPROFILE%\AppData\Local\Temp\OnboardLogs" /stypes="app*4051*20171113*" /stext=" 02:.+((SYSTEM_STATE.+slice.+state.+changed )|(ment ac)|(multiple cpu faults)|(system.+state.+changed )|(\[timeout)|(PRM\|1\|D)|(kpr)|(kdp)|(train st.+moving)|(\|lc)|(penalty))"</v>
      </c>
      <c r="AG128" s="182" t="str">
        <f t="shared" si="47"/>
        <v>EC</v>
      </c>
      <c r="AH128" s="78" t="str">
        <f t="shared" si="50"/>
        <v>"%USERPROFILE%\Documents\GitHub\eaglep3\Utilities\RefineRTDCRunTimes.py" --tripid 212-12 --locoid 4051 --swversion DE.1.0.9.0 --startMP 204:232898 --initTime 2017-11-12T18:15:19 --startdatetime 2017-11-12T18:29:59 --delay 78 --endMP 204:899 --enddatetime 2017-11-12T19:06:56 --enforcementcount 0 &gt;&gt;%USERPROFILE%\Documents\GitHub\eaglep3-reporting\EC\2017-11-12-refined-times.txt</v>
      </c>
      <c r="AI128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{"issue":{"subject":"","project_id":79,"tracker_id":40,"status_id":1,"priority_id":2,"assigned_to_id":338,"start_date":"2017-11-12","description":"","custom_fields":[{"id":1,"name":"Subdivision","value":"EC"},{"id":4,"name":"Milepost","value":"0.0899"},{"id":17,"name":"Train ID","value":"212-12"},{"id":16,"name":"Locomotive ID","value":"4051"},{"id":130,"name":"Impact","value":""},{"id":150,"name":"Time of Event (Mountain Time)","value":"19:06:56"},{"id":151,"name":"Denver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51"/>
        <v>start /low /b %USERPROFILE%\Documents\GitHub\eaglep3\Utilities\DownloadLogsFromS3.py --loco 4051 --day 2017-11-12</v>
      </c>
      <c r="AN128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2"/>
        <v>https://d0f6bd738d7f1b3e5a7ca70fe4ff75f0.us-east-1.aws.found.io/app/kibana#/discover/Steve-Slow-Train-Analysis-(2080s-and-2083s)?_g=(refreshInterval:(display:Off,pause:!f,section:0,value:0),time:(from:'2017-11-12T17:15:19-0700',mode:absolute,to:'2017-11-12T20:06:56-0700'))&amp;_a=(columns:!('Message%20ID',Summary),filters:!(),index:'emp_*',interval:auto,query:(query_string:(analyze_wildcard:!t,query:'%22rtdc.l.rtdc.4051%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829</v>
      </c>
      <c r="B129" s="7">
        <v>4042</v>
      </c>
      <c r="C129" s="21" t="s">
        <v>192</v>
      </c>
      <c r="D129" s="21" t="s">
        <v>471</v>
      </c>
      <c r="E129" s="13">
        <v>43051.73741898148</v>
      </c>
      <c r="F129" s="13">
        <v>43051.739930555559</v>
      </c>
      <c r="G129" s="7">
        <v>107</v>
      </c>
      <c r="H129" s="21" t="s">
        <v>1017</v>
      </c>
      <c r="I129" s="13">
        <v>43051.764525462961</v>
      </c>
      <c r="J129" s="7">
        <v>0</v>
      </c>
      <c r="K129" s="89" t="str">
        <f t="shared" si="39"/>
        <v>4041/4042</v>
      </c>
      <c r="L129" s="185" t="str">
        <f>VLOOKUP(A129,'Trips&amp;Operators'!$C$1:$G$99911,5,FALSE)</f>
        <v>LOZA FIDEL</v>
      </c>
      <c r="M129" s="6">
        <f t="shared" si="40"/>
        <v>2.4594907401478849E-2</v>
      </c>
      <c r="N129" s="7">
        <f t="shared" si="56"/>
        <v>35.416666658129543</v>
      </c>
      <c r="O129" s="7"/>
      <c r="P129" s="7"/>
      <c r="Q129" s="22"/>
      <c r="R129" s="174"/>
      <c r="S129" s="221">
        <f t="shared" si="57"/>
        <v>1</v>
      </c>
      <c r="T129" s="174" t="str">
        <f t="shared" si="41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42"/>
        <v>https://d0f6bd738d7f1b3e5a7ca70fe4ff75f0.us-east-1.aws.found.io/app/kibana#/discover/Steve-Slow-Train-Analysis-(2080s-and-2083s)?_g=(refreshInterval:(display:Off,pause:!f,section:0,value:0),time:(from:'2017-11-12T16:41:53-0700',mode:absolute,to:'2017-11-12T19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204" t="str">
        <f>IF(AA129&lt;VLOOKUP(AG129,Variables!$AC$3:$AD$8,2,FALSE),"Y","N")</f>
        <v>N</v>
      </c>
      <c r="X129" s="204">
        <f t="shared" si="58"/>
        <v>1</v>
      </c>
      <c r="Y129" s="204">
        <f t="shared" si="59"/>
        <v>5.3699999999999998E-2</v>
      </c>
      <c r="Z129" s="204">
        <f t="shared" si="60"/>
        <v>23.325500000000002</v>
      </c>
      <c r="AA129" s="204">
        <f t="shared" si="43"/>
        <v>23.271800000000002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9">
        <f t="shared" si="44"/>
        <v>213</v>
      </c>
      <c r="AE129" s="77" t="str">
        <f t="shared" si="45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129" s="74" t="str">
        <f t="shared" si="46"/>
        <v>"C:\Program Files (x86)\AstroGrep\AstroGrep.exe" /e /r /s /spath="%USERPROFILE%\AppData\Local\Temp\OnboardLogs" /stypes="app*4042*20171113*" /stext=" 01:.+((SYSTEM_STATE.+slice.+state.+changed )|(ment ac)|(multiple cpu faults)|(system.+state.+changed )|(\[timeout)|(PRM\|1\|D)|(kpr)|(kdp)|(train st.+moving)|(\|lc)|(penalty))"</v>
      </c>
      <c r="AG129" s="182" t="str">
        <f t="shared" si="47"/>
        <v>EC</v>
      </c>
      <c r="AH129" s="78" t="str">
        <f t="shared" si="50"/>
        <v>"%USERPROFILE%\Documents\GitHub\eaglep3\Utilities\RefineRTDCRunTimes.py" --tripid 213-12 --locoid 4042 --swversion DE.1.0.9.0 --startMP 204:537 --initTime 2017-11-12T17:41:53 --startdatetime 2017-11-12T17:45:30 --delay 107 --endMP 204:233255 --enddatetime 2017-11-12T18:20:55 --enforcementcount 0 &gt;&gt;%USERPROFILE%\Documents\GitHub\eaglep3-reporting\EC\2017-11-12-refined-times.txt</v>
      </c>
      <c r="AI129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{"issue":{"subject":"","project_id":79,"tracker_id":40,"status_id":1,"priority_id":2,"assigned_to_id":338,"start_date":"2017-11-12","description":"","custom_fields":[{"id":1,"name":"Subdivision","value":"EC"},{"id":4,"name":"Milepost","value":"23.3255"},{"id":17,"name":"Train ID","value":"213-12"},{"id":16,"name":"Locomotive ID","value":"4042"},{"id":130,"name":"Impact","value":""},{"id":150,"name":"Time of Event (Mountain Time)","value":"18:20:55"},{"id":151,"name":"Denver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51"/>
        <v>start /low /b %USERPROFILE%\Documents\GitHub\eaglep3\Utilities\DownloadLogsFromS3.py --loco 4042 --day 2017-11-12</v>
      </c>
      <c r="AN129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2"/>
        <v>https://d0f6bd738d7f1b3e5a7ca70fe4ff75f0.us-east-1.aws.found.io/app/kibana#/discover/Steve-Slow-Train-Analysis-(2080s-and-2083s)?_g=(refreshInterval:(display:Off,pause:!f,section:0,value:0),time:(from:'2017-11-12T16:41:53-0700',mode:absolute,to:'2017-11-12T19:20:55-0700'))&amp;_a=(columns:!('Message%20ID',Summary),filters:!(),index:'emp_*',interval:auto,query:(query_string:(analyze_wildcard:!t,query:'%22rtdc.l.rtdc.4042%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836</v>
      </c>
      <c r="B130" s="7">
        <v>4041</v>
      </c>
      <c r="C130" s="21" t="s">
        <v>192</v>
      </c>
      <c r="D130" s="21" t="s">
        <v>924</v>
      </c>
      <c r="E130" s="13">
        <v>43051.772824074076</v>
      </c>
      <c r="F130" s="13">
        <v>43051.779374999998</v>
      </c>
      <c r="G130" s="7">
        <v>127</v>
      </c>
      <c r="H130" s="21" t="s">
        <v>916</v>
      </c>
      <c r="I130" s="13">
        <v>43051.804594907408</v>
      </c>
      <c r="J130" s="7">
        <v>0</v>
      </c>
      <c r="K130" s="89" t="str">
        <f t="shared" si="39"/>
        <v>4041/4042</v>
      </c>
      <c r="L130" s="185" t="str">
        <f>VLOOKUP(A130,'Trips&amp;Operators'!$C$1:$G$99911,5,FALSE)</f>
        <v>LOZA FIDEL</v>
      </c>
      <c r="M130" s="6">
        <f t="shared" si="40"/>
        <v>2.5219907409336884E-2</v>
      </c>
      <c r="N130" s="7">
        <f t="shared" si="56"/>
        <v>36.316666669445112</v>
      </c>
      <c r="O130" s="7"/>
      <c r="P130" s="7"/>
      <c r="Q130" s="22"/>
      <c r="R130" s="174"/>
      <c r="S130" s="221">
        <f t="shared" si="57"/>
        <v>1</v>
      </c>
      <c r="T130" s="174" t="str">
        <f t="shared" si="41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2"/>
        <v>https://d0f6bd738d7f1b3e5a7ca70fe4ff75f0.us-east-1.aws.found.io/app/kibana#/discover/Steve-Slow-Train-Analysis-(2080s-and-2083s)?_g=(refreshInterval:(display:Off,pause:!f,section:0,value:0),time:(from:'2017-11-12T17:32:52-0700',mode:absolute,to:'2017-11-12T20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204" t="str">
        <f>IF(AA130&lt;VLOOKUP(AG130,Variables!$AC$3:$AD$8,2,FALSE),"Y","N")</f>
        <v>N</v>
      </c>
      <c r="X130" s="204">
        <f t="shared" si="58"/>
        <v>1</v>
      </c>
      <c r="Y130" s="204">
        <f t="shared" si="59"/>
        <v>23.293600000000001</v>
      </c>
      <c r="Z130" s="204">
        <f t="shared" si="60"/>
        <v>1.9199999999999998E-2</v>
      </c>
      <c r="AA130" s="204">
        <f t="shared" si="43"/>
        <v>23.2744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9">
        <f t="shared" si="44"/>
        <v>214</v>
      </c>
      <c r="AE130" s="77" t="str">
        <f t="shared" si="45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130" s="74" t="str">
        <f t="shared" si="46"/>
        <v>"C:\Program Files (x86)\AstroGrep\AstroGrep.exe" /e /r /s /spath="%USERPROFILE%\AppData\Local\Temp\OnboardLogs" /stypes="app*4041*20171113*" /stext=" 02:.+((SYSTEM_STATE.+slice.+state.+changed )|(ment ac)|(multiple cpu faults)|(system.+state.+changed )|(\[timeout)|(PRM\|1\|D)|(kpr)|(kdp)|(train st.+moving)|(\|lc)|(penalty))"</v>
      </c>
      <c r="AG130" s="182" t="str">
        <f t="shared" si="47"/>
        <v>EC</v>
      </c>
      <c r="AH130" s="78" t="str">
        <f t="shared" si="50"/>
        <v>"%USERPROFILE%\Documents\GitHub\eaglep3\Utilities\RefineRTDCRunTimes.py" --tripid 214-12 --locoid 4041 --swversion DE.1.0.9.0 --startMP 204:232936 --initTime 2017-11-12T18:32:52 --startdatetime 2017-11-12T18:42:18 --delay 127 --endMP 204:192 --enddatetime 2017-11-12T19:18:37 --enforcementcount 0 &gt;&gt;%USERPROFILE%\Documents\GitHub\eaglep3-reporting\EC\2017-11-12-refined-times.txt</v>
      </c>
      <c r="AI130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{"issue":{"subject":"","project_id":79,"tracker_id":40,"status_id":1,"priority_id":2,"assigned_to_id":338,"start_date":"2017-11-12","description":"","custom_fields":[{"id":1,"name":"Subdivision","value":"EC"},{"id":4,"name":"Milepost","value":"0.0192"},{"id":17,"name":"Train ID","value":"214-12"},{"id":16,"name":"Locomotive ID","value":"4041"},{"id":130,"name":"Impact","value":""},{"id":150,"name":"Time of Event (Mountain Time)","value":"19:18:37"},{"id":151,"name":"Denver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51"/>
        <v>start /low /b %USERPROFILE%\Documents\GitHub\eaglep3\Utilities\DownloadLogsFromS3.py --loco 4041 --day 2017-11-12</v>
      </c>
      <c r="AN130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02:18:37"},{"id":29,"name":"Sharepoint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52"/>
        <v>https://d0f6bd738d7f1b3e5a7ca70fe4ff75f0.us-east-1.aws.found.io/app/kibana#/discover/Steve-Slow-Train-Analysis-(2080s-and-2083s)?_g=(refreshInterval:(display:Off,pause:!f,section:0,value:0),time:(from:'2017-11-12T17:32:52-0700',mode:absolute,to:'2017-11-12T20:18:37-0700'))&amp;_a=(columns:!('Message%20ID',Summary),filters:!(),index:'emp_*',interval:auto,query:(query_string:(analyze_wildcard:!t,query:'%22rtdc.l.rtdc.4041%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831</v>
      </c>
      <c r="B131" s="7">
        <v>4004</v>
      </c>
      <c r="C131" s="21" t="s">
        <v>192</v>
      </c>
      <c r="D131" s="21" t="s">
        <v>607</v>
      </c>
      <c r="E131" s="13">
        <v>43051.745625000003</v>
      </c>
      <c r="F131" s="13">
        <v>43051.750231481485</v>
      </c>
      <c r="G131" s="7">
        <v>64</v>
      </c>
      <c r="H131" s="21" t="s">
        <v>897</v>
      </c>
      <c r="I131" s="13">
        <v>43051.776539351849</v>
      </c>
      <c r="J131" s="7">
        <v>0</v>
      </c>
      <c r="K131" s="89" t="str">
        <f t="shared" si="39"/>
        <v>4003/4004</v>
      </c>
      <c r="L131" s="185" t="str">
        <f>VLOOKUP(A131,'Trips&amp;Operators'!$C$1:$G$99911,5,FALSE)</f>
        <v>SMITH MICHAEL</v>
      </c>
      <c r="M131" s="6">
        <f t="shared" si="40"/>
        <v>2.6307870364689734E-2</v>
      </c>
      <c r="N131" s="7">
        <f t="shared" si="56"/>
        <v>37.883333325153217</v>
      </c>
      <c r="O131" s="7"/>
      <c r="P131" s="7"/>
      <c r="Q131" s="22"/>
      <c r="R131" s="174"/>
      <c r="S131" s="221">
        <f t="shared" si="57"/>
        <v>1</v>
      </c>
      <c r="T131" s="174" t="str">
        <f t="shared" si="41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2"/>
        <v>https://d0f6bd738d7f1b3e5a7ca70fe4ff75f0.us-east-1.aws.found.io/app/kibana#/discover/Steve-Slow-Train-Analysis-(2080s-and-2083s)?_g=(refreshInterval:(display:Off,pause:!f,section:0,value:0),time:(from:'2017-11-12T16:53:42-0700',mode:absolute,to:'2017-11-12T19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204" t="str">
        <f>IF(AA131&lt;VLOOKUP(AG131,Variables!$AC$3:$AD$8,2,FALSE),"Y","N")</f>
        <v>N</v>
      </c>
      <c r="X131" s="204">
        <f t="shared" si="58"/>
        <v>1</v>
      </c>
      <c r="Y131" s="204">
        <f t="shared" si="59"/>
        <v>5.4800000000000001E-2</v>
      </c>
      <c r="Z131" s="204">
        <f t="shared" si="60"/>
        <v>23.328499999999998</v>
      </c>
      <c r="AA131" s="204">
        <f t="shared" si="43"/>
        <v>23.273699999999998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9">
        <f t="shared" si="44"/>
        <v>215</v>
      </c>
      <c r="AE131" s="77" t="str">
        <f t="shared" si="45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131" s="74" t="str">
        <f t="shared" si="46"/>
        <v>"C:\Program Files (x86)\AstroGrep\AstroGrep.exe" /e /r /s /spath="%USERPROFILE%\AppData\Local\Temp\OnboardLogs" /stypes="app*4004*20171113*" /stext=" 01:.+((SYSTEM_STATE.+slice.+state.+changed )|(ment ac)|(multiple cpu faults)|(system.+state.+changed )|(\[timeout)|(PRM\|1\|D)|(kpr)|(kdp)|(train st.+moving)|(\|lc)|(penalty))"</v>
      </c>
      <c r="AG131" s="182" t="str">
        <f t="shared" si="47"/>
        <v>EC</v>
      </c>
      <c r="AH131" s="78" t="str">
        <f t="shared" si="50"/>
        <v>"%USERPROFILE%\Documents\GitHub\eaglep3\Utilities\RefineRTDCRunTimes.py" --tripid 215-12 --locoid 4004 --swversion DE.1.0.9.0 --startMP 204:548 --initTime 2017-11-12T17:53:42 --startdatetime 2017-11-12T18:00:20 --delay 64 --endMP 204:233285 --enddatetime 2017-11-12T18:38:13 --enforcementcount 0 &gt;&gt;%USERPROFILE%\Documents\GitHub\eaglep3-reporting\EC\2017-11-12-refined-times.txt</v>
      </c>
      <c r="AI131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{"issue":{"subject":"","project_id":79,"tracker_id":40,"status_id":1,"priority_id":2,"assigned_to_id":338,"start_date":"2017-11-12","description":"","custom_fields":[{"id":1,"name":"Subdivision","value":"EC"},{"id":4,"name":"Milepost","value":"23.3285"},{"id":17,"name":"Train ID","value":"215-12"},{"id":16,"name":"Locomotive ID","value":"4004"},{"id":130,"name":"Impact","value":""},{"id":150,"name":"Time of Event (Mountain Time)","value":"18:38:13"},{"id":151,"name":"Denver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51"/>
        <v>start /low /b %USERPROFILE%\Documents\GitHub\eaglep3\Utilities\DownloadLogsFromS3.py --loco 4004 --day 2017-11-12</v>
      </c>
      <c r="AN131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01:38:13"},{"id":29,"name":"Sharepoint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2"/>
        <v>https://d0f6bd738d7f1b3e5a7ca70fe4ff75f0.us-east-1.aws.found.io/app/kibana#/discover/Steve-Slow-Train-Analysis-(2080s-and-2083s)?_g=(refreshInterval:(display:Off,pause:!f,section:0,value:0),time:(from:'2017-11-12T16:53:42-0700',mode:absolute,to:'2017-11-12T19:38:13-0700'))&amp;_a=(columns:!('Message%20ID',Summary),filters:!(),index:'emp_*',interval:auto,query:(query_string:(analyze_wildcard:!t,query:'%22rtdc.l.rtdc.4004%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838</v>
      </c>
      <c r="B132" s="7">
        <v>4003</v>
      </c>
      <c r="C132" s="21" t="s">
        <v>192</v>
      </c>
      <c r="D132" s="21" t="s">
        <v>496</v>
      </c>
      <c r="E132" s="13">
        <v>43051.784745370373</v>
      </c>
      <c r="F132" s="13">
        <v>43051.789826388886</v>
      </c>
      <c r="G132" s="7">
        <v>61</v>
      </c>
      <c r="H132" s="21" t="s">
        <v>1018</v>
      </c>
      <c r="I132" s="13">
        <v>43051.816168981481</v>
      </c>
      <c r="J132" s="7">
        <v>0</v>
      </c>
      <c r="K132" s="89" t="str">
        <f t="shared" si="39"/>
        <v>4003/4004</v>
      </c>
      <c r="L132" s="185" t="str">
        <f>VLOOKUP(A132,'Trips&amp;Operators'!$C$1:$G$99911,5,FALSE)</f>
        <v>SMITH MICHAEL</v>
      </c>
      <c r="M132" s="6">
        <f t="shared" si="40"/>
        <v>2.6342592595028691E-2</v>
      </c>
      <c r="N132" s="7">
        <f t="shared" si="56"/>
        <v>37.933333336841315</v>
      </c>
      <c r="O132" s="7"/>
      <c r="P132" s="7"/>
      <c r="Q132" s="22"/>
      <c r="R132" s="174"/>
      <c r="S132" s="221">
        <f t="shared" si="57"/>
        <v>1</v>
      </c>
      <c r="T132" s="174" t="str">
        <f t="shared" si="41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2"/>
        <v>https://d0f6bd738d7f1b3e5a7ca70fe4ff75f0.us-east-1.aws.found.io/app/kibana#/discover/Steve-Slow-Train-Analysis-(2080s-and-2083s)?_g=(refreshInterval:(display:Off,pause:!f,section:0,value:0),time:(from:'2017-11-12T17:50:02-0700',mode:absolute,to:'2017-11-12T20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204" t="str">
        <f>IF(AA132&lt;VLOOKUP(AG132,Variables!$AC$3:$AD$8,2,FALSE),"Y","N")</f>
        <v>N</v>
      </c>
      <c r="X132" s="204">
        <f t="shared" si="58"/>
        <v>1</v>
      </c>
      <c r="Y132" s="204">
        <f t="shared" si="59"/>
        <v>23.2987</v>
      </c>
      <c r="Z132" s="204">
        <f t="shared" si="60"/>
        <v>0.1188</v>
      </c>
      <c r="AA132" s="204">
        <f t="shared" si="43"/>
        <v>23.1799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9">
        <f t="shared" si="44"/>
        <v>216</v>
      </c>
      <c r="AE132" s="77" t="str">
        <f t="shared" si="45"/>
        <v>aws s3 cp s3://rtdc.mdm.uploadarchive.raw/RTDC4003/ "%USERPROFILE%\AppData\Local\Temp\OnboardLogs"\RTDC4003\2017-11-12 --exclude "*" --recursive --include "*20171112*" &amp; "%USERPROFILE%\Documents\GitHub\mrs-test-scripts\Headless Mode &amp; Sideloading\WalkAndUnGZ.bat" "%USERPROFILE%\AppData\Local\Temp\OnboardLogs"\RTDC4003\2017-11-12 &amp; aws s3 cp s3://rtdc.mdm.uploadarchive.raw/RTDC4003/ "%USERPROFILE%\AppData\Local\Temp\OnboardLogs"\RTDC4003\2017-11-13 --exclude "*" --recursive --include "*20171113*" &amp; "%USERPROFILE%\Documents\GitHub\mrs-test-scripts\Headless Mode &amp; Sideloading\WalkAndUnGZ.bat" "%USERPROFILE%\AppData\Local\Temp\OnboardLogs"\RTDC4003\2017-11-13</v>
      </c>
      <c r="AF132" s="74" t="str">
        <f t="shared" si="46"/>
        <v>"C:\Program Files (x86)\AstroGrep\AstroGrep.exe" /e /r /s /spath="%USERPROFILE%\AppData\Local\Temp\OnboardLogs" /stypes="app*4003*20171113*" /stext=" 02:.+((SYSTEM_STATE.+slice.+state.+changed )|(ment ac)|(multiple cpu faults)|(system.+state.+changed )|(\[timeout)|(PRM\|1\|D)|(kpr)|(kdp)|(train st.+moving)|(\|lc)|(penalty))"</v>
      </c>
      <c r="AG132" s="182" t="str">
        <f t="shared" si="47"/>
        <v>EC</v>
      </c>
      <c r="AH132" s="78" t="str">
        <f t="shared" si="50"/>
        <v>"%USERPROFILE%\Documents\GitHub\eaglep3\Utilities\RefineRTDCRunTimes.py" --tripid 216-12 --locoid 4003 --swversion DE.1.0.9.0 --startMP 204:232987 --initTime 2017-11-12T18:50:02 --startdatetime 2017-11-12T18:57:21 --delay 61 --endMP 204:1188 --enddatetime 2017-11-12T19:35:17 --enforcementcount 0 &gt;&gt;%USERPROFILE%\Documents\GitHub\eaglep3-reporting\EC\2017-11-12-refined-times.txt</v>
      </c>
      <c r="AI132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{"issue":{"subject":"","project_id":79,"tracker_id":40,"status_id":1,"priority_id":2,"assigned_to_id":338,"start_date":"2017-11-12","description":"","custom_fields":[{"id":1,"name":"Subdivision","value":"EC"},{"id":4,"name":"Milepost","value":"0.1188"},{"id":17,"name":"Train ID","value":"216-12"},{"id":16,"name":"Locomotive ID","value":"4003"},{"id":130,"name":"Impact","value":""},{"id":150,"name":"Time of Event (Mountain Time)","value":"19:35:17"},{"id":151,"name":"Denver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51"/>
        <v>start /low /b %USERPROFILE%\Documents\GitHub\eaglep3\Utilities\DownloadLogsFromS3.py --loco 4003 --day 2017-11-12</v>
      </c>
      <c r="AN132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02:35:17"},{"id":29,"name":"Sharepoint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2"/>
        <v>https://d0f6bd738d7f1b3e5a7ca70fe4ff75f0.us-east-1.aws.found.io/app/kibana#/discover/Steve-Slow-Train-Analysis-(2080s-and-2083s)?_g=(refreshInterval:(display:Off,pause:!f,section:0,value:0),time:(from:'2017-11-12T17:50:02-0700',mode:absolute,to:'2017-11-12T20:35:17-0700'))&amp;_a=(columns:!('Message%20ID',Summary),filters:!(),index:'emp_*',interval:auto,query:(query_string:(analyze_wildcard:!t,query:'%22rtdc.l.rtdc.4003%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833</v>
      </c>
      <c r="B133" s="7">
        <v>4016</v>
      </c>
      <c r="C133" s="21" t="s">
        <v>192</v>
      </c>
      <c r="D133" s="21" t="s">
        <v>505</v>
      </c>
      <c r="E133" s="13">
        <v>43051.757673611108</v>
      </c>
      <c r="F133" s="13">
        <v>43051.76059027778</v>
      </c>
      <c r="G133" s="7">
        <v>85</v>
      </c>
      <c r="H133" s="21" t="s">
        <v>614</v>
      </c>
      <c r="I133" s="13">
        <v>43051.785833333335</v>
      </c>
      <c r="J133" s="7">
        <v>0</v>
      </c>
      <c r="K133" s="89" t="str">
        <f t="shared" si="39"/>
        <v>4015/4016</v>
      </c>
      <c r="L133" s="185" t="str">
        <f>VLOOKUP(A133,'Trips&amp;Operators'!$C$1:$G$99911,5,FALSE)</f>
        <v>ELBAUM MIKE</v>
      </c>
      <c r="M133" s="6">
        <f t="shared" si="40"/>
        <v>2.5243055555620231E-2</v>
      </c>
      <c r="N133" s="7">
        <f t="shared" ref="N133:N151" si="61">24*60*SUM($M133:$M133)</f>
        <v>36.350000000093132</v>
      </c>
      <c r="O133" s="7"/>
      <c r="P133" s="7"/>
      <c r="Q133" s="22"/>
      <c r="R133" s="174"/>
      <c r="S133" s="221">
        <f t="shared" ref="S133:S164" si="62">1/IF(AG133="EC",12,1)*SUM(U133:U133)</f>
        <v>1</v>
      </c>
      <c r="T133" s="174" t="str">
        <f t="shared" si="41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2"/>
        <v>https://d0f6bd738d7f1b3e5a7ca70fe4ff75f0.us-east-1.aws.found.io/app/kibana#/discover/Steve-Slow-Train-Analysis-(2080s-and-2083s)?_g=(refreshInterval:(display:Off,pause:!f,section:0,value:0),time:(from:'2017-11-12T17:11:03-0700',mode:absolute,to:'2017-11-12T19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204" t="str">
        <f>IF(AA133&lt;VLOOKUP(AG133,Variables!$AC$3:$AD$8,2,FALSE),"Y","N")</f>
        <v>N</v>
      </c>
      <c r="X133" s="204">
        <f t="shared" si="58"/>
        <v>1</v>
      </c>
      <c r="Y133" s="204">
        <f t="shared" si="59"/>
        <v>5.3499999999999999E-2</v>
      </c>
      <c r="Z133" s="204">
        <f t="shared" si="60"/>
        <v>23.326599999999999</v>
      </c>
      <c r="AA133" s="204">
        <f t="shared" si="43"/>
        <v>23.273099999999999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9">
        <f t="shared" si="44"/>
        <v>217</v>
      </c>
      <c r="AE133" s="77" t="str">
        <f t="shared" si="45"/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133" s="74" t="str">
        <f t="shared" si="46"/>
        <v>"C:\Program Files (x86)\AstroGrep\AstroGrep.exe" /e /r /s /spath="%USERPROFILE%\AppData\Local\Temp\OnboardLogs" /stypes="app*4016*20171113*" /stext=" 01:.+((SYSTEM_STATE.+slice.+state.+changed )|(ment ac)|(multiple cpu faults)|(system.+state.+changed )|(\[timeout)|(PRM\|1\|D)|(kpr)|(kdp)|(train st.+moving)|(\|lc)|(penalty))"</v>
      </c>
      <c r="AG133" s="182" t="str">
        <f t="shared" si="47"/>
        <v>EC</v>
      </c>
      <c r="AH133" s="78" t="str">
        <f t="shared" si="50"/>
        <v>"%USERPROFILE%\Documents\GitHub\eaglep3\Utilities\RefineRTDCRunTimes.py" --tripid 217-12 --locoid 4016 --swversion DE.1.0.9.0 --startMP 204:535 --initTime 2017-11-12T18:11:03 --startdatetime 2017-11-12T18:15:15 --delay 85 --endMP 204:233266 --enddatetime 2017-11-12T18:51:36 --enforcementcount 0 &gt;&gt;%USERPROFILE%\Documents\GitHub\eaglep3-reporting\EC\2017-11-12-refined-times.txt</v>
      </c>
      <c r="AI133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{"issue":{"subject":"","project_id":79,"tracker_id":40,"status_id":1,"priority_id":2,"assigned_to_id":338,"start_date":"2017-11-12","description":"","custom_fields":[{"id":1,"name":"Subdivision","value":"EC"},{"id":4,"name":"Milepost","value":"23.3266"},{"id":17,"name":"Train ID","value":"217-12"},{"id":16,"name":"Locomotive ID","value":"4016"},{"id":130,"name":"Impact","value":""},{"id":150,"name":"Time of Event (Mountain Time)","value":"18:51:36"},{"id":151,"name":"Denver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51"/>
        <v>start /low /b %USERPROFILE%\Documents\GitHub\eaglep3\Utilities\DownloadLogsFromS3.py --loco 4016 --day 2017-11-12</v>
      </c>
      <c r="AN133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2"/>
        <v>https://d0f6bd738d7f1b3e5a7ca70fe4ff75f0.us-east-1.aws.found.io/app/kibana#/discover/Steve-Slow-Train-Analysis-(2080s-and-2083s)?_g=(refreshInterval:(display:Off,pause:!f,section:0,value:0),time:(from:'2017-11-12T17:11:03-0700',mode:absolute,to:'2017-11-12T19:51:36-0700'))&amp;_a=(columns:!('Message%20ID',Summary),filters:!(),index:'emp_*',interval:auto,query:(query_string:(analyze_wildcard:!t,query:'%22rtdc.l.rtdc.4016%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840</v>
      </c>
      <c r="B134" s="7">
        <v>4015</v>
      </c>
      <c r="C134" s="21" t="s">
        <v>192</v>
      </c>
      <c r="D134" s="21" t="s">
        <v>615</v>
      </c>
      <c r="E134" s="13">
        <v>43051.787280092591</v>
      </c>
      <c r="F134" s="13">
        <v>43051.800208333334</v>
      </c>
      <c r="G134" s="7">
        <v>83</v>
      </c>
      <c r="H134" s="21" t="s">
        <v>1019</v>
      </c>
      <c r="I134" s="13">
        <v>43051.82508101852</v>
      </c>
      <c r="J134" s="7">
        <v>0</v>
      </c>
      <c r="K134" s="89" t="str">
        <f t="shared" si="39"/>
        <v>4015/4016</v>
      </c>
      <c r="L134" s="185" t="str">
        <f>VLOOKUP(A134,'Trips&amp;Operators'!$C$1:$G$99911,5,FALSE)</f>
        <v>ELBAUM MIKE</v>
      </c>
      <c r="M134" s="6">
        <f t="shared" si="40"/>
        <v>2.4872685185982846E-2</v>
      </c>
      <c r="N134" s="7">
        <f t="shared" si="61"/>
        <v>35.816666667815298</v>
      </c>
      <c r="O134" s="7"/>
      <c r="P134" s="7"/>
      <c r="Q134" s="22"/>
      <c r="R134" s="174"/>
      <c r="S134" s="221">
        <f t="shared" si="62"/>
        <v>1</v>
      </c>
      <c r="T134" s="174" t="str">
        <f t="shared" si="41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2"/>
        <v>https://d0f6bd738d7f1b3e5a7ca70fe4ff75f0.us-east-1.aws.found.io/app/kibana#/discover/Steve-Slow-Train-Analysis-(2080s-and-2083s)?_g=(refreshInterval:(display:Off,pause:!f,section:0,value:0),time:(from:'2017-11-12T17:53:41-0700',mode:absolute,to:'2017-11-12T20:48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204" t="str">
        <f>IF(AA134&lt;VLOOKUP(AG134,Variables!$AC$3:$AD$8,2,FALSE),"Y","N")</f>
        <v>N</v>
      </c>
      <c r="X134" s="204">
        <f t="shared" si="58"/>
        <v>1</v>
      </c>
      <c r="Y134" s="204">
        <f t="shared" si="59"/>
        <v>23.295300000000001</v>
      </c>
      <c r="Z134" s="204">
        <f t="shared" si="60"/>
        <v>2.6200000000000001E-2</v>
      </c>
      <c r="AA134" s="204">
        <f t="shared" si="43"/>
        <v>23.269100000000002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9">
        <f t="shared" si="44"/>
        <v>218</v>
      </c>
      <c r="AE134" s="77" t="str">
        <f t="shared" si="45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134" s="74" t="str">
        <f t="shared" si="46"/>
        <v>"C:\Program Files (x86)\AstroGrep\AstroGrep.exe" /e /r /s /spath="%USERPROFILE%\AppData\Local\Temp\OnboardLogs" /stypes="app*4015*20171113*" /stext=" 02:.+((SYSTEM_STATE.+slice.+state.+changed )|(ment ac)|(multiple cpu faults)|(system.+state.+changed )|(\[timeout)|(PRM\|1\|D)|(kpr)|(kdp)|(train st.+moving)|(\|lc)|(penalty))"</v>
      </c>
      <c r="AG134" s="182" t="str">
        <f t="shared" si="47"/>
        <v>EC</v>
      </c>
      <c r="AH134" s="78" t="str">
        <f t="shared" si="50"/>
        <v>"%USERPROFILE%\Documents\GitHub\eaglep3\Utilities\RefineRTDCRunTimes.py" --tripid 218-12 --locoid 4015 --swversion DE.1.0.9.0 --startMP 204:232953 --initTime 2017-11-12T18:53:41 --startdatetime 2017-11-12T19:12:18 --delay 83 --endMP 204:262 --enddatetime 2017-11-12T19:48:07 --enforcementcount 0 &gt;&gt;%USERPROFILE%\Documents\GitHub\eaglep3-reporting\EC\2017-11-12-refined-times.txt</v>
      </c>
      <c r="AI134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{"issue":{"subject":"","project_id":79,"tracker_id":40,"status_id":1,"priority_id":2,"assigned_to_id":338,"start_date":"2017-11-12","description":"","custom_fields":[{"id":1,"name":"Subdivision","value":"EC"},{"id":4,"name":"Milepost","value":"0.0262"},{"id":17,"name":"Train ID","value":"218-12"},{"id":16,"name":"Locomotive ID","value":"4015"},{"id":130,"name":"Impact","value":""},{"id":150,"name":"Time of Event (Mountain Time)","value":"19:48:07"},{"id":151,"name":"Denver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51"/>
        <v>start /low /b %USERPROFILE%\Documents\GitHub\eaglep3\Utilities\DownloadLogsFromS3.py --loco 4015 --day 2017-11-12</v>
      </c>
      <c r="AN134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02:48:07"},{"id":29,"name":"Sharepoint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2"/>
        <v>https://d0f6bd738d7f1b3e5a7ca70fe4ff75f0.us-east-1.aws.found.io/app/kibana#/discover/Steve-Slow-Train-Analysis-(2080s-and-2083s)?_g=(refreshInterval:(display:Off,pause:!f,section:0,value:0),time:(from:'2017-11-12T17:53:41-0700',mode:absolute,to:'2017-11-12T20:48:07-0700'))&amp;_a=(columns:!('Message%20ID',Summary),filters:!(),index:'emp_*',interval:auto,query:(query_string:(analyze_wildcard:!t,query:'%22rtdc.l.rtdc.4015%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834</v>
      </c>
      <c r="B135" s="7">
        <v>4006</v>
      </c>
      <c r="C135" s="21" t="s">
        <v>192</v>
      </c>
      <c r="D135" s="21" t="s">
        <v>586</v>
      </c>
      <c r="E135" s="13">
        <v>43051.766377314816</v>
      </c>
      <c r="F135" s="13">
        <v>43051.771018518521</v>
      </c>
      <c r="G135" s="7">
        <v>84</v>
      </c>
      <c r="H135" s="21" t="s">
        <v>927</v>
      </c>
      <c r="I135" s="13">
        <v>43051.795474537037</v>
      </c>
      <c r="J135" s="7">
        <v>0</v>
      </c>
      <c r="K135" s="89" t="str">
        <f t="shared" si="39"/>
        <v>4005/4006</v>
      </c>
      <c r="L135" s="185" t="str">
        <f>VLOOKUP(A135,'Trips&amp;Operators'!$C$1:$G$99911,5,FALSE)</f>
        <v>RESPASS AARON</v>
      </c>
      <c r="M135" s="6">
        <f t="shared" si="40"/>
        <v>2.4456018516502809E-2</v>
      </c>
      <c r="N135" s="7">
        <f t="shared" si="61"/>
        <v>35.216666663764045</v>
      </c>
      <c r="O135" s="7"/>
      <c r="P135" s="7"/>
      <c r="Q135" s="22"/>
      <c r="R135" s="174"/>
      <c r="S135" s="221">
        <f t="shared" si="62"/>
        <v>1</v>
      </c>
      <c r="T135" s="174" t="str">
        <f t="shared" si="41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2"/>
        <v>https://d0f6bd738d7f1b3e5a7ca70fe4ff75f0.us-east-1.aws.found.io/app/kibana#/discover/Steve-Slow-Train-Analysis-(2080s-and-2083s)?_g=(refreshInterval:(display:Off,pause:!f,section:0,value:0),time:(from:'2017-11-12T17:23:35-0700',mode:absolute,to:'2017-11-12T20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5" s="204" t="str">
        <f>IF(AA135&lt;VLOOKUP(AG135,Variables!$AC$3:$AD$8,2,FALSE),"Y","N")</f>
        <v>N</v>
      </c>
      <c r="X135" s="204">
        <f t="shared" si="58"/>
        <v>1</v>
      </c>
      <c r="Y135" s="204">
        <f t="shared" si="59"/>
        <v>5.11E-2</v>
      </c>
      <c r="Z135" s="204">
        <f t="shared" si="60"/>
        <v>23.3249</v>
      </c>
      <c r="AA135" s="204">
        <f t="shared" si="43"/>
        <v>23.273799999999998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9">
        <f t="shared" si="44"/>
        <v>219</v>
      </c>
      <c r="AE135" s="77" t="str">
        <f t="shared" si="45"/>
        <v>aws s3 cp s3://rtdc.mdm.uploadarchive.raw/RTDC4006/ "%USERPROFILE%\AppData\Local\Temp\OnboardLogs"\RTDC4006\2017-11-12 --exclude "*" --recursive --include "*20171112*" &amp; "%USERPROFILE%\Documents\GitHub\mrs-test-scripts\Headless Mode &amp; Sideloading\WalkAndUnGZ.bat" "%USERPROFILE%\AppData\Local\Temp\OnboardLogs"\RTDC4006\2017-11-12 &amp; aws s3 cp s3://rtdc.mdm.uploadarchive.raw/RTDC4006/ "%USERPROFILE%\AppData\Local\Temp\OnboardLogs"\RTDC4006\2017-11-13 --exclude "*" --recursive --include "*20171113*" &amp; "%USERPROFILE%\Documents\GitHub\mrs-test-scripts\Headless Mode &amp; Sideloading\WalkAndUnGZ.bat" "%USERPROFILE%\AppData\Local\Temp\OnboardLogs"\RTDC4006\2017-11-13</v>
      </c>
      <c r="AF135" s="74" t="str">
        <f t="shared" si="46"/>
        <v>"C:\Program Files (x86)\AstroGrep\AstroGrep.exe" /e /r /s /spath="%USERPROFILE%\AppData\Local\Temp\OnboardLogs" /stypes="app*4006*20171113*" /stext=" 02:.+((SYSTEM_STATE.+slice.+state.+changed )|(ment ac)|(multiple cpu faults)|(system.+state.+changed )|(\[timeout)|(PRM\|1\|D)|(kpr)|(kdp)|(train st.+moving)|(\|lc)|(penalty))"</v>
      </c>
      <c r="AG135" s="182" t="str">
        <f t="shared" si="47"/>
        <v>EC</v>
      </c>
      <c r="AH135" s="78" t="str">
        <f t="shared" si="50"/>
        <v>"%USERPROFILE%\Documents\GitHub\eaglep3\Utilities\RefineRTDCRunTimes.py" --tripid 219-12 --locoid 4006 --swversion DE.1.0.9.0 --startMP 204:511 --initTime 2017-11-12T18:23:35 --startdatetime 2017-11-12T18:30:16 --delay 84 --endMP 204:233249 --enddatetime 2017-11-12T19:05:29 --enforcementcount 0 &gt;&gt;%USERPROFILE%\Documents\GitHub\eaglep3-reporting\EC\2017-11-12-refined-times.txt</v>
      </c>
      <c r="AI135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{"issue":{"subject":"","project_id":79,"tracker_id":40,"status_id":1,"priority_id":2,"assigned_to_id":338,"start_date":"2017-11-12","description":"","custom_fields":[{"id":1,"name":"Subdivision","value":"EC"},{"id":4,"name":"Milepost","value":"23.3249"},{"id":17,"name":"Train ID","value":"219-12"},{"id":16,"name":"Locomotive ID","value":"4006"},{"id":130,"name":"Impact","value":""},{"id":150,"name":"Time of Event (Mountain Time)","value":"19:05:29"},{"id":151,"name":"Denver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51"/>
        <v>start /low /b %USERPROFILE%\Documents\GitHub\eaglep3\Utilities\DownloadLogsFromS3.py --loco 4006 --day 2017-11-12</v>
      </c>
      <c r="AN135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02:05:29"},{"id":29,"name":"Sharepoint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2"/>
        <v>https://d0f6bd738d7f1b3e5a7ca70fe4ff75f0.us-east-1.aws.found.io/app/kibana#/discover/Steve-Slow-Train-Analysis-(2080s-and-2083s)?_g=(refreshInterval:(display:Off,pause:!f,section:0,value:0),time:(from:'2017-11-12T17:23:35-0700',mode:absolute,to:'2017-11-12T20:05:29-0700'))&amp;_a=(columns:!('Message%20ID',Summary),filters:!(),index:'emp_*',interval:auto,query:(query_string:(analyze_wildcard:!t,query:'%22rtdc.l.rtdc.4006%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842</v>
      </c>
      <c r="B136" s="7">
        <v>4005</v>
      </c>
      <c r="C136" s="21" t="s">
        <v>192</v>
      </c>
      <c r="D136" s="21" t="s">
        <v>928</v>
      </c>
      <c r="E136" s="13">
        <v>43051.802442129629</v>
      </c>
      <c r="F136" s="13">
        <v>43051.810567129629</v>
      </c>
      <c r="G136" s="7">
        <v>168</v>
      </c>
      <c r="H136" s="21" t="s">
        <v>1020</v>
      </c>
      <c r="I136" s="13">
        <v>43051.836041666669</v>
      </c>
      <c r="J136" s="7">
        <v>0</v>
      </c>
      <c r="K136" s="89" t="str">
        <f t="shared" si="39"/>
        <v>4005/4006</v>
      </c>
      <c r="L136" s="185" t="str">
        <f>VLOOKUP(A136,'Trips&amp;Operators'!$C$1:$G$99911,5,FALSE)</f>
        <v>RESPASS AARON</v>
      </c>
      <c r="M136" s="6">
        <f t="shared" si="40"/>
        <v>2.5474537040281575E-2</v>
      </c>
      <c r="N136" s="7">
        <f t="shared" si="61"/>
        <v>36.683333338005468</v>
      </c>
      <c r="O136" s="7"/>
      <c r="P136" s="7"/>
      <c r="Q136" s="22"/>
      <c r="R136" s="174"/>
      <c r="S136" s="221">
        <f t="shared" si="62"/>
        <v>1</v>
      </c>
      <c r="T136" s="174" t="str">
        <f t="shared" si="41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2"/>
        <v>https://d0f6bd738d7f1b3e5a7ca70fe4ff75f0.us-east-1.aws.found.io/app/kibana#/discover/Steve-Slow-Train-Analysis-(2080s-and-2083s)?_g=(refreshInterval:(display:Off,pause:!f,section:0,value:0),time:(from:'2017-11-12T18:15:31-0700',mode:absolute,to:'2017-11-12T21:03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6" s="204" t="str">
        <f>IF(AA136&lt;VLOOKUP(AG136,Variables!$AC$3:$AD$8,2,FALSE),"Y","N")</f>
        <v>N</v>
      </c>
      <c r="X136" s="204">
        <f t="shared" si="58"/>
        <v>1</v>
      </c>
      <c r="Y136" s="204">
        <f t="shared" si="59"/>
        <v>23.2926</v>
      </c>
      <c r="Z136" s="204">
        <f t="shared" si="60"/>
        <v>2.63E-2</v>
      </c>
      <c r="AA136" s="204">
        <f t="shared" si="43"/>
        <v>23.266300000000001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9">
        <f t="shared" si="44"/>
        <v>220</v>
      </c>
      <c r="AE136" s="77" t="str">
        <f t="shared" si="45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136" s="74" t="str">
        <f t="shared" si="46"/>
        <v>"C:\Program Files (x86)\AstroGrep\AstroGrep.exe" /e /r /s /spath="%USERPROFILE%\AppData\Local\Temp\OnboardLogs" /stypes="app*4005*20171113*" /stext=" 03:.+((SYSTEM_STATE.+slice.+state.+changed )|(ment ac)|(multiple cpu faults)|(system.+state.+changed )|(\[timeout)|(PRM\|1\|D)|(kpr)|(kdp)|(train st.+moving)|(\|lc)|(penalty))"</v>
      </c>
      <c r="AG136" s="182" t="str">
        <f t="shared" si="47"/>
        <v>EC</v>
      </c>
      <c r="AH136" s="78" t="str">
        <f t="shared" si="50"/>
        <v>"%USERPROFILE%\Documents\GitHub\eaglep3\Utilities\RefineRTDCRunTimes.py" --tripid 220-12 --locoid 4005 --swversion DE.1.0.9.0 --startMP 204:232926 --initTime 2017-11-12T19:15:31 --startdatetime 2017-11-12T19:27:13 --delay 168 --endMP 204:263 --enddatetime 2017-11-12T20:03:54 --enforcementcount 0 &gt;&gt;%USERPROFILE%\Documents\GitHub\eaglep3-reporting\EC\2017-11-12-refined-times.txt</v>
      </c>
      <c r="AI136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{"issue":{"subject":"","project_id":79,"tracker_id":40,"status_id":1,"priority_id":2,"assigned_to_id":338,"start_date":"2017-11-12","description":"","custom_fields":[{"id":1,"name":"Subdivision","value":"EC"},{"id":4,"name":"Milepost","value":"0.0263"},{"id":17,"name":"Train ID","value":"220-12"},{"id":16,"name":"Locomotive ID","value":"4005"},{"id":130,"name":"Impact","value":""},{"id":150,"name":"Time of Event (Mountain Time)","value":"20:03:54"},{"id":151,"name":"Denver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51"/>
        <v>start /low /b %USERPROFILE%\Documents\GitHub\eaglep3\Utilities\DownloadLogsFromS3.py --loco 4005 --day 2017-11-12</v>
      </c>
      <c r="AN136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03:03:54"},{"id":29,"name":"Sharepoint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2"/>
        <v>https://d0f6bd738d7f1b3e5a7ca70fe4ff75f0.us-east-1.aws.found.io/app/kibana#/discover/Steve-Slow-Train-Analysis-(2080s-and-2083s)?_g=(refreshInterval:(display:Off,pause:!f,section:0,value:0),time:(from:'2017-11-12T18:15:31-0700',mode:absolute,to:'2017-11-12T21:03:54-0700'))&amp;_a=(columns:!('Message%20ID',Summary),filters:!(),index:'emp_*',interval:auto,query:(query_string:(analyze_wildcard:!t,query:'%22rtdc.l.rtdc.4005%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839</v>
      </c>
      <c r="B137" s="7">
        <v>4064</v>
      </c>
      <c r="C137" s="21" t="s">
        <v>192</v>
      </c>
      <c r="D137" s="21" t="s">
        <v>1021</v>
      </c>
      <c r="E137" s="13">
        <v>43051.787326388891</v>
      </c>
      <c r="F137" s="13">
        <v>43051.791319444441</v>
      </c>
      <c r="G137" s="7">
        <v>69</v>
      </c>
      <c r="H137" s="21" t="s">
        <v>492</v>
      </c>
      <c r="I137" s="13">
        <v>43051.816076388888</v>
      </c>
      <c r="J137" s="7">
        <v>0</v>
      </c>
      <c r="K137" s="89" t="str">
        <f t="shared" si="39"/>
        <v>4063/4064</v>
      </c>
      <c r="L137" s="185" t="str">
        <f>VLOOKUP(A137,'Trips&amp;Operators'!$C$1:$G$99911,5,FALSE)</f>
        <v>STAMBAUGH JAMES</v>
      </c>
      <c r="M137" s="6">
        <f t="shared" si="40"/>
        <v>2.4756944447290152E-2</v>
      </c>
      <c r="N137" s="7">
        <f t="shared" si="61"/>
        <v>35.650000004097819</v>
      </c>
      <c r="O137" s="7"/>
      <c r="P137" s="7"/>
      <c r="Q137" s="22"/>
      <c r="R137" s="174"/>
      <c r="S137" s="221">
        <f t="shared" si="62"/>
        <v>1</v>
      </c>
      <c r="T137" s="174" t="str">
        <f t="shared" si="41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2"/>
        <v>https://d0f6bd738d7f1b3e5a7ca70fe4ff75f0.us-east-1.aws.found.io/app/kibana#/discover/Steve-Slow-Train-Analysis-(2080s-and-2083s)?_g=(refreshInterval:(display:Off,pause:!f,section:0,value:0),time:(from:'2017-11-12T17:53:45-0700',mode:absolute,to:'2017-11-12T20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7" s="204" t="str">
        <f>IF(AA137&lt;VLOOKUP(AG137,Variables!$AC$3:$AD$8,2,FALSE),"Y","N")</f>
        <v>N</v>
      </c>
      <c r="X137" s="204">
        <f t="shared" si="58"/>
        <v>1</v>
      </c>
      <c r="Y137" s="204">
        <f t="shared" si="59"/>
        <v>5.6800000000000003E-2</v>
      </c>
      <c r="Z137" s="204">
        <f t="shared" si="60"/>
        <v>23.3276</v>
      </c>
      <c r="AA137" s="204">
        <f t="shared" si="43"/>
        <v>23.270800000000001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9">
        <f t="shared" si="44"/>
        <v>221</v>
      </c>
      <c r="AE137" s="77" t="str">
        <f t="shared" si="45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137" s="74" t="str">
        <f t="shared" si="46"/>
        <v>"C:\Program Files (x86)\AstroGrep\AstroGrep.exe" /e /r /s /spath="%USERPROFILE%\AppData\Local\Temp\OnboardLogs" /stypes="app*4064*20171113*" /stext=" 02:.+((SYSTEM_STATE.+slice.+state.+changed )|(ment ac)|(multiple cpu faults)|(system.+state.+changed )|(\[timeout)|(PRM\|1\|D)|(kpr)|(kdp)|(train st.+moving)|(\|lc)|(penalty))"</v>
      </c>
      <c r="AG137" s="182" t="str">
        <f t="shared" si="47"/>
        <v>EC</v>
      </c>
      <c r="AH137" s="78" t="str">
        <f t="shared" si="50"/>
        <v>"%USERPROFILE%\Documents\GitHub\eaglep3\Utilities\RefineRTDCRunTimes.py" --tripid 221-12 --locoid 4064 --swversion DE.1.0.9.0 --startMP 204:568 --initTime 2017-11-12T18:53:45 --startdatetime 2017-11-12T18:59:30 --delay 69 --endMP 204:233276 --enddatetime 2017-11-12T19:35:09 --enforcementcount 0 &gt;&gt;%USERPROFILE%\Documents\GitHub\eaglep3-reporting\EC\2017-11-12-refined-times.txt</v>
      </c>
      <c r="AI137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{"issue":{"subject":"","project_id":79,"tracker_id":40,"status_id":1,"priority_id":2,"assigned_to_id":338,"start_date":"2017-11-12","description":"","custom_fields":[{"id":1,"name":"Subdivision","value":"EC"},{"id":4,"name":"Milepost","value":"23.3276"},{"id":17,"name":"Train ID","value":"221-12"},{"id":16,"name":"Locomotive ID","value":"4064"},{"id":130,"name":"Impact","value":""},{"id":150,"name":"Time of Event (Mountain Time)","value":"19:35:09"},{"id":151,"name":"Denver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51"/>
        <v>start /low /b %USERPROFILE%\Documents\GitHub\eaglep3\Utilities\DownloadLogsFromS3.py --loco 4064 --day 2017-11-12</v>
      </c>
      <c r="AN137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02:35:09"},{"id":29,"name":"Sharepoint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2"/>
        <v>https://d0f6bd738d7f1b3e5a7ca70fe4ff75f0.us-east-1.aws.found.io/app/kibana#/discover/Steve-Slow-Train-Analysis-(2080s-and-2083s)?_g=(refreshInterval:(display:Off,pause:!f,section:0,value:0),time:(from:'2017-11-12T17:53:45-0700',mode:absolute,to:'2017-11-12T20:35:09-0700'))&amp;_a=(columns:!('Message%20ID',Summary),filters:!(),index:'emp_*',interval:auto,query:(query_string:(analyze_wildcard:!t,query:'%22rtdc.l.rtdc.4064%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846</v>
      </c>
      <c r="B138" s="7">
        <v>4063</v>
      </c>
      <c r="C138" s="21" t="s">
        <v>192</v>
      </c>
      <c r="D138" s="21" t="s">
        <v>893</v>
      </c>
      <c r="E138" s="13">
        <v>43051.827013888891</v>
      </c>
      <c r="F138" s="13">
        <v>43051.831724537034</v>
      </c>
      <c r="G138" s="7">
        <v>48</v>
      </c>
      <c r="H138" s="21" t="s">
        <v>1022</v>
      </c>
      <c r="I138" s="13">
        <v>43051.85832175926</v>
      </c>
      <c r="J138" s="7">
        <v>0</v>
      </c>
      <c r="K138" s="89" t="str">
        <f t="shared" si="39"/>
        <v>4063/4064</v>
      </c>
      <c r="L138" s="185" t="str">
        <f>VLOOKUP(A138,'Trips&amp;Operators'!$C$1:$G$99911,5,FALSE)</f>
        <v>STAMBAUGH JAMES</v>
      </c>
      <c r="M138" s="6">
        <f t="shared" si="40"/>
        <v>2.6597222225973383E-2</v>
      </c>
      <c r="N138" s="7">
        <f t="shared" si="61"/>
        <v>38.300000005401671</v>
      </c>
      <c r="O138" s="7"/>
      <c r="P138" s="7"/>
      <c r="Q138" s="22"/>
      <c r="R138" s="174"/>
      <c r="S138" s="221">
        <f t="shared" si="62"/>
        <v>1</v>
      </c>
      <c r="T138" s="174" t="str">
        <f t="shared" si="41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2"/>
        <v>https://d0f6bd738d7f1b3e5a7ca70fe4ff75f0.us-east-1.aws.found.io/app/kibana#/discover/Steve-Slow-Train-Analysis-(2080s-and-2083s)?_g=(refreshInterval:(display:Off,pause:!f,section:0,value:0),time:(from:'2017-11-12T18:50:54-0700',mode:absolute,to:'2017-11-12T21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8" s="204" t="str">
        <f>IF(AA138&lt;VLOOKUP(AG138,Variables!$AC$3:$AD$8,2,FALSE),"Y","N")</f>
        <v>N</v>
      </c>
      <c r="X138" s="204">
        <f t="shared" si="58"/>
        <v>1</v>
      </c>
      <c r="Y138" s="204">
        <f t="shared" si="59"/>
        <v>23.296800000000001</v>
      </c>
      <c r="Z138" s="204">
        <f t="shared" si="60"/>
        <v>3.1399999999999997E-2</v>
      </c>
      <c r="AA138" s="204">
        <f t="shared" si="43"/>
        <v>23.2654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9">
        <f t="shared" si="44"/>
        <v>222</v>
      </c>
      <c r="AE138" s="77" t="str">
        <f t="shared" si="45"/>
        <v>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 &amp; aws s3 cp s3://rtdc.mdm.uploadarchive.raw/RTDC4063/ "%USERPROFILE%\AppData\Local\Temp\OnboardLogs"\RTDC4063\2017-11-13 --exclude "*" --recursive --include "*20171113*" &amp; "%USERPROFILE%\Documents\GitHub\mrs-test-scripts\Headless Mode &amp; Sideloading\WalkAndUnGZ.bat" "%USERPROFILE%\AppData\Local\Temp\OnboardLogs"\RTDC4063\2017-11-13</v>
      </c>
      <c r="AF138" s="74" t="str">
        <f t="shared" si="46"/>
        <v>"C:\Program Files (x86)\AstroGrep\AstroGrep.exe" /e /r /s /spath="%USERPROFILE%\AppData\Local\Temp\OnboardLogs" /stypes="app*4063*20171113*" /stext=" 03:.+((SYSTEM_STATE.+slice.+state.+changed )|(ment ac)|(multiple cpu faults)|(system.+state.+changed )|(\[timeout)|(PRM\|1\|D)|(kpr)|(kdp)|(train st.+moving)|(\|lc)|(penalty))"</v>
      </c>
      <c r="AG138" s="182" t="str">
        <f t="shared" si="47"/>
        <v>EC</v>
      </c>
      <c r="AH138" s="78" t="str">
        <f t="shared" si="50"/>
        <v>"%USERPROFILE%\Documents\GitHub\eaglep3\Utilities\RefineRTDCRunTimes.py" --tripid 222-12 --locoid 4063 --swversion DE.1.0.9.0 --startMP 204:232968 --initTime 2017-11-12T19:50:54 --startdatetime 2017-11-12T19:57:41 --delay 48 --endMP 204:314 --enddatetime 2017-11-12T20:35:59 --enforcementcount 0 &gt;&gt;%USERPROFILE%\Documents\GitHub\eaglep3-reporting\EC\2017-11-12-refined-times.txt</v>
      </c>
      <c r="AI138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{"issue":{"subject":"","project_id":79,"tracker_id":40,"status_id":1,"priority_id":2,"assigned_to_id":338,"start_date":"2017-11-12","description":"","custom_fields":[{"id":1,"name":"Subdivision","value":"EC"},{"id":4,"name":"Milepost","value":"0.0314"},{"id":17,"name":"Train ID","value":"222-12"},{"id":16,"name":"Locomotive ID","value":"4063"},{"id":130,"name":"Impact","value":""},{"id":150,"name":"Time of Event (Mountain Time)","value":"20:35:59"},{"id":151,"name":"Denver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51"/>
        <v>start /low /b %USERPROFILE%\Documents\GitHub\eaglep3\Utilities\DownloadLogsFromS3.py --loco 4063 --day 2017-11-12</v>
      </c>
      <c r="AN138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2"/>
        <v>https://d0f6bd738d7f1b3e5a7ca70fe4ff75f0.us-east-1.aws.found.io/app/kibana#/discover/Steve-Slow-Train-Analysis-(2080s-and-2083s)?_g=(refreshInterval:(display:Off,pause:!f,section:0,value:0),time:(from:'2017-11-12T18:50:54-0700',mode:absolute,to:'2017-11-12T21:35:59-0700'))&amp;_a=(columns:!('Message%20ID',Summary),filters:!(),index:'emp_*',interval:auto,query:(query_string:(analyze_wildcard:!t,query:'%22rtdc.l.rtdc.4063%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843</v>
      </c>
      <c r="B139" s="7">
        <v>4042</v>
      </c>
      <c r="C139" s="21" t="s">
        <v>192</v>
      </c>
      <c r="D139" s="21" t="s">
        <v>912</v>
      </c>
      <c r="E139" s="13">
        <v>43051.809444444443</v>
      </c>
      <c r="F139" s="13">
        <v>43051.8127662037</v>
      </c>
      <c r="G139" s="7">
        <v>76</v>
      </c>
      <c r="H139" s="21" t="s">
        <v>596</v>
      </c>
      <c r="I139" s="13">
        <v>43051.837060185186</v>
      </c>
      <c r="J139" s="7">
        <v>0</v>
      </c>
      <c r="K139" s="89" t="str">
        <f t="shared" si="39"/>
        <v>4041/4042</v>
      </c>
      <c r="L139" s="185" t="str">
        <f>VLOOKUP(A139,'Trips&amp;Operators'!$C$1:$G$99911,5,FALSE)</f>
        <v>LOZA FIDEL</v>
      </c>
      <c r="M139" s="6">
        <f t="shared" si="40"/>
        <v>2.4293981485243421E-2</v>
      </c>
      <c r="N139" s="7">
        <f t="shared" si="61"/>
        <v>34.983333338750526</v>
      </c>
      <c r="O139" s="7"/>
      <c r="P139" s="7"/>
      <c r="Q139" s="22"/>
      <c r="R139" s="174"/>
      <c r="S139" s="221">
        <f t="shared" si="62"/>
        <v>1</v>
      </c>
      <c r="T139" s="174" t="str">
        <f t="shared" si="41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2"/>
        <v>https://d0f6bd738d7f1b3e5a7ca70fe4ff75f0.us-east-1.aws.found.io/app/kibana#/discover/Steve-Slow-Train-Analysis-(2080s-and-2083s)?_g=(refreshInterval:(display:Off,pause:!f,section:0,value:0),time:(from:'2017-11-12T18:25:36-0700',mode:absolute,to:'2017-11-12T21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204" t="str">
        <f>IF(AA139&lt;VLOOKUP(AG139,Variables!$AC$3:$AD$8,2,FALSE),"Y","N")</f>
        <v>N</v>
      </c>
      <c r="X139" s="204">
        <f t="shared" si="58"/>
        <v>1</v>
      </c>
      <c r="Y139" s="204">
        <f t="shared" si="59"/>
        <v>4.9099999999999998E-2</v>
      </c>
      <c r="Z139" s="204">
        <f t="shared" si="60"/>
        <v>23.328299999999999</v>
      </c>
      <c r="AA139" s="204">
        <f t="shared" si="43"/>
        <v>23.279199999999999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9">
        <f t="shared" si="44"/>
        <v>223</v>
      </c>
      <c r="AE139" s="77" t="str">
        <f t="shared" si="45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139" s="74" t="str">
        <f t="shared" si="46"/>
        <v>"C:\Program Files (x86)\AstroGrep\AstroGrep.exe" /e /r /s /spath="%USERPROFILE%\AppData\Local\Temp\OnboardLogs" /stypes="app*4042*20171113*" /stext=" 03:.+((SYSTEM_STATE.+slice.+state.+changed )|(ment ac)|(multiple cpu faults)|(system.+state.+changed )|(\[timeout)|(PRM\|1\|D)|(kpr)|(kdp)|(train st.+moving)|(\|lc)|(penalty))"</v>
      </c>
      <c r="AG139" s="182" t="str">
        <f t="shared" si="47"/>
        <v>EC</v>
      </c>
      <c r="AH139" s="78" t="str">
        <f t="shared" si="50"/>
        <v>"%USERPROFILE%\Documents\GitHub\eaglep3\Utilities\RefineRTDCRunTimes.py" --tripid 223-12 --locoid 4042 --swversion DE.1.0.9.0 --startMP 204:491 --initTime 2017-11-12T19:25:36 --startdatetime 2017-11-12T19:30:23 --delay 76 --endMP 204:233283 --enddatetime 2017-11-12T20:05:22 --enforcementcount 0 &gt;&gt;%USERPROFILE%\Documents\GitHub\eaglep3-reporting\EC\2017-11-12-refined-times.txt</v>
      </c>
      <c r="AI139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{"issue":{"subject":"","project_id":79,"tracker_id":40,"status_id":1,"priority_id":2,"assigned_to_id":338,"start_date":"2017-11-12","description":"","custom_fields":[{"id":1,"name":"Subdivision","value":"EC"},{"id":4,"name":"Milepost","value":"23.3283"},{"id":17,"name":"Train ID","value":"223-12"},{"id":16,"name":"Locomotive ID","value":"4042"},{"id":130,"name":"Impact","value":""},{"id":150,"name":"Time of Event (Mountain Time)","value":"20:05:22"},{"id":151,"name":"Denver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51"/>
        <v>start /low /b %USERPROFILE%\Documents\GitHub\eaglep3\Utilities\DownloadLogsFromS3.py --loco 4042 --day 2017-11-12</v>
      </c>
      <c r="AN139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03:05:22"},{"id":29,"name":"Sharepoint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2"/>
        <v>https://d0f6bd738d7f1b3e5a7ca70fe4ff75f0.us-east-1.aws.found.io/app/kibana#/discover/Steve-Slow-Train-Analysis-(2080s-and-2083s)?_g=(refreshInterval:(display:Off,pause:!f,section:0,value:0),time:(from:'2017-11-12T18:25:36-0700',mode:absolute,to:'2017-11-12T21:05:22-0700'))&amp;_a=(columns:!('Message%20ID',Summary),filters:!(),index:'emp_*',interval:auto,query:(query_string:(analyze_wildcard:!t,query:'%22rtdc.l.rtdc.4042%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853</v>
      </c>
      <c r="B140" s="7">
        <v>4041</v>
      </c>
      <c r="C140" s="21" t="s">
        <v>192</v>
      </c>
      <c r="D140" s="21" t="s">
        <v>1023</v>
      </c>
      <c r="E140" s="13">
        <v>43051.850277777776</v>
      </c>
      <c r="F140" s="13">
        <v>43051.852314814816</v>
      </c>
      <c r="G140" s="7">
        <v>71</v>
      </c>
      <c r="H140" s="21" t="s">
        <v>447</v>
      </c>
      <c r="I140" s="13">
        <v>43051.877303240741</v>
      </c>
      <c r="J140" s="7">
        <v>0</v>
      </c>
      <c r="K140" s="89" t="str">
        <f t="shared" si="39"/>
        <v>4041/4042</v>
      </c>
      <c r="L140" s="185" t="str">
        <f>VLOOKUP(A140,'Trips&amp;Operators'!$C$1:$G$99911,5,FALSE)</f>
        <v>LOZA FIDEL</v>
      </c>
      <c r="M140" s="6">
        <f t="shared" si="40"/>
        <v>2.4988425924675539E-2</v>
      </c>
      <c r="N140" s="7">
        <f t="shared" si="61"/>
        <v>35.983333331532776</v>
      </c>
      <c r="O140" s="7"/>
      <c r="P140" s="7"/>
      <c r="Q140" s="22"/>
      <c r="R140" s="174"/>
      <c r="S140" s="221">
        <f t="shared" si="62"/>
        <v>1</v>
      </c>
      <c r="T140" s="174" t="str">
        <f t="shared" si="41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2"/>
        <v>https://d0f6bd738d7f1b3e5a7ca70fe4ff75f0.us-east-1.aws.found.io/app/kibana#/discover/Steve-Slow-Train-Analysis-(2080s-and-2083s)?_g=(refreshInterval:(display:Off,pause:!f,section:0,value:0),time:(from:'2017-11-12T19:24:24-0700',mode:absolute,to:'2017-11-12T22:03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204" t="str">
        <f>IF(AA140&lt;VLOOKUP(AG140,Variables!$AC$3:$AD$8,2,FALSE),"Y","N")</f>
        <v>N</v>
      </c>
      <c r="X140" s="204">
        <f t="shared" si="58"/>
        <v>1</v>
      </c>
      <c r="Y140" s="204">
        <f t="shared" si="59"/>
        <v>23.296600000000002</v>
      </c>
      <c r="Z140" s="204">
        <f t="shared" si="60"/>
        <v>2.3599999999999999E-2</v>
      </c>
      <c r="AA140" s="204">
        <f t="shared" si="43"/>
        <v>23.273000000000003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9">
        <f t="shared" si="44"/>
        <v>224</v>
      </c>
      <c r="AE140" s="77" t="str">
        <f t="shared" si="45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140" s="74" t="str">
        <f t="shared" si="46"/>
        <v>"C:\Program Files (x86)\AstroGrep\AstroGrep.exe" /e /r /s /spath="%USERPROFILE%\AppData\Local\Temp\OnboardLogs" /stypes="app*4041*20171113*" /stext=" 04:.+((SYSTEM_STATE.+slice.+state.+changed )|(ment ac)|(multiple cpu faults)|(system.+state.+changed )|(\[timeout)|(PRM\|1\|D)|(kpr)|(kdp)|(train st.+moving)|(\|lc)|(penalty))"</v>
      </c>
      <c r="AG140" s="182" t="str">
        <f t="shared" si="47"/>
        <v>EC</v>
      </c>
      <c r="AH140" s="78" t="str">
        <f t="shared" si="50"/>
        <v>"%USERPROFILE%\Documents\GitHub\eaglep3\Utilities\RefineRTDCRunTimes.py" --tripid 224-12 --locoid 4041 --swversion DE.1.0.9.0 --startMP 204:232966 --initTime 2017-11-12T20:24:24 --startdatetime 2017-11-12T20:27:20 --delay 71 --endMP 204:236 --enddatetime 2017-11-12T21:03:19 --enforcementcount 0 &gt;&gt;%USERPROFILE%\Documents\GitHub\eaglep3-reporting\EC\2017-11-12-refined-times.txt</v>
      </c>
      <c r="AI140" s="96" t="str">
        <f t="shared" si="48"/>
        <v>echo {"issue":{"subject":"","project_id":79,"tracker_id":40,"status_id":1,"priority_id":2,"assigned_to_id":338,"start_date":"2017-11-12","description":"","custom_fields":[{"id":1,"name":"Subdivision","value":"EC"},{"id":4,"name":"Milepost","value":"0.0236"},{"id":17,"name":"Train ID","value":"224-12"},{"id":16,"name":"Locomotive ID","value":"4041"},{"id":130,"name":"Impact","value":""},{"id":150,"name":"Time of Event (Mountain Time)","value":"21:03:19"},{"id":151,"name":"Denver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51"/>
        <v>start /low /b %USERPROFILE%\Documents\GitHub\eaglep3\Utilities\DownloadLogsFromS3.py --loco 4041 --day 2017-11-12</v>
      </c>
      <c r="AN140" s="151" t="str">
        <f t="shared" si="49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04:03:19"},{"id":29,"name":"Sharepoint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2"/>
        <v>https://d0f6bd738d7f1b3e5a7ca70fe4ff75f0.us-east-1.aws.found.io/app/kibana#/discover/Steve-Slow-Train-Analysis-(2080s-and-2083s)?_g=(refreshInterval:(display:Off,pause:!f,section:0,value:0),time:(from:'2017-11-12T19:24:24-0700',mode:absolute,to:'2017-11-12T22:03:19-0700'))&amp;_a=(columns:!('Message%20ID',Summary),filters:!(),index:'emp_*',interval:auto,query:(query_string:(analyze_wildcard:!t,query:'%22rtdc.l.rtdc.4041%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845</v>
      </c>
      <c r="B141" s="7">
        <v>4016</v>
      </c>
      <c r="C141" s="21" t="s">
        <v>192</v>
      </c>
      <c r="D141" s="21" t="s">
        <v>1024</v>
      </c>
      <c r="E141" s="13">
        <v>43051.826111111113</v>
      </c>
      <c r="F141" s="13">
        <v>43051.833761574075</v>
      </c>
      <c r="G141" s="7">
        <v>62</v>
      </c>
      <c r="H141" s="21" t="s">
        <v>480</v>
      </c>
      <c r="I141" s="13">
        <v>43051.857916666668</v>
      </c>
      <c r="J141" s="7">
        <v>0</v>
      </c>
      <c r="K141" s="89" t="str">
        <f t="shared" ref="K141:K204" si="63">IF(ISEVEN(B141),(B141-1)&amp;"/"&amp;B141,B141&amp;"/"&amp;(B141+1))</f>
        <v>4015/4016</v>
      </c>
      <c r="L141" s="185" t="str">
        <f>VLOOKUP(A141,'Trips&amp;Operators'!$C$1:$G$99911,5,FALSE)</f>
        <v>ELBAUM MIKE</v>
      </c>
      <c r="M141" s="6">
        <f t="shared" ref="M141:M204" si="64">I141-F141</f>
        <v>2.4155092592991423E-2</v>
      </c>
      <c r="N141" s="7">
        <f t="shared" si="61"/>
        <v>34.783333333907649</v>
      </c>
      <c r="O141" s="7"/>
      <c r="P141" s="7"/>
      <c r="Q141" s="22"/>
      <c r="R141" s="174"/>
      <c r="S141" s="221">
        <f t="shared" si="62"/>
        <v>1</v>
      </c>
      <c r="T141" s="174" t="str">
        <f t="shared" ref="T141:T204" si="65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-12T18:49:36-0700',mode:absolute,to:'2017-11-12T21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204" t="str">
        <f>IF(AA141&lt;VLOOKUP(AG141,Variables!$AC$3:$AD$8,2,FALSE),"Y","N")</f>
        <v>N</v>
      </c>
      <c r="X141" s="204">
        <f t="shared" si="58"/>
        <v>1</v>
      </c>
      <c r="Y141" s="204">
        <f t="shared" si="59"/>
        <v>5.9499999999999997E-2</v>
      </c>
      <c r="Z141" s="204">
        <f t="shared" si="60"/>
        <v>23.3261</v>
      </c>
      <c r="AA141" s="204">
        <f t="shared" ref="AA141:AA204" si="67">ABS(Z141-Y141)</f>
        <v>23.2666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9">
        <f t="shared" ref="AD141:AD204" si="68">VALUE(LEFT(A141,LEN(A141)-3))</f>
        <v>225</v>
      </c>
      <c r="AE141" s="77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141" s="74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/stypes="app*4016*20171113*"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71">DetSubdiv(A141)</f>
        <v>EC</v>
      </c>
      <c r="AH141" s="78" t="str">
        <f t="shared" si="50"/>
        <v>"%USERPROFILE%\Documents\GitHub\eaglep3\Utilities\RefineRTDCRunTimes.py" --tripid 225-12 --locoid 4016 --swversion DE.1.0.9.0 --startMP 204:595 --initTime 2017-11-12T19:49:36 --startdatetime 2017-11-12T20:00:37 --delay 62 --endMP 204:233261 --enddatetime 2017-11-12T20:35:24 --enforcementcount 0 &gt;&gt;%USERPROFILE%\Documents\GitHub\eaglep3-reporting\EC\2017-11-12-refined-times.txt</v>
      </c>
      <c r="AI141" s="96" t="str">
        <f t="shared" ref="AI141:AI204" si="7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{"issue":{"subject":"","project_id":79,"tracker_id":40,"status_id":1,"priority_id":2,"assigned_to_id":338,"start_date":"2017-11-12","description":"","custom_fields":[{"id":1,"name":"Subdivision","value":"EC"},{"id":4,"name":"Milepost","value":"23.3261"},{"id":17,"name":"Train ID","value":"225-12"},{"id":16,"name":"Locomotive ID","value":"4016"},{"id":130,"name":"Impact","value":""},{"id":150,"name":"Time of Event (Mountain Time)","value":"20:35:24"},{"id":151,"name":"Denver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51"/>
        <v>start /low /b %USERPROFILE%\Documents\GitHub\eaglep3\Utilities\DownloadLogsFromS3.py --loco 4016 --day 2017-11-12</v>
      </c>
      <c r="AN141" s="151" t="str">
        <f t="shared" ref="AN141:AN204" si="73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03:35:24"},{"id":29,"name":"Sharepoint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2"/>
        <v>https://d0f6bd738d7f1b3e5a7ca70fe4ff75f0.us-east-1.aws.found.io/app/kibana#/discover/Steve-Slow-Train-Analysis-(2080s-and-2083s)?_g=(refreshInterval:(display:Off,pause:!f,section:0,value:0),time:(from:'2017-11-12T18:49:36-0700',mode:absolute,to:'2017-11-12T21:35:24-0700'))&amp;_a=(columns:!('Message%20ID',Summary),filters:!(),index:'emp_*',interval:auto,query:(query_string:(analyze_wildcard:!t,query:'%22rtdc.l.rtdc.4016%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854</v>
      </c>
      <c r="B142" s="7">
        <v>4015</v>
      </c>
      <c r="C142" s="21" t="s">
        <v>192</v>
      </c>
      <c r="D142" s="21" t="s">
        <v>1025</v>
      </c>
      <c r="E142" s="13">
        <v>43051.858842592592</v>
      </c>
      <c r="F142" s="13">
        <v>43051.873067129629</v>
      </c>
      <c r="G142" s="7">
        <v>78</v>
      </c>
      <c r="H142" s="21" t="s">
        <v>1026</v>
      </c>
      <c r="I142" s="13">
        <v>43051.897997685184</v>
      </c>
      <c r="J142" s="7">
        <v>0</v>
      </c>
      <c r="K142" s="89" t="str">
        <f t="shared" si="63"/>
        <v>4015/4016</v>
      </c>
      <c r="L142" s="185" t="str">
        <f>VLOOKUP(A142,'Trips&amp;Operators'!$C$1:$G$99911,5,FALSE)</f>
        <v>ELBAUM MIKE</v>
      </c>
      <c r="M142" s="6">
        <f t="shared" si="64"/>
        <v>2.4930555555329192E-2</v>
      </c>
      <c r="N142" s="7">
        <f t="shared" si="61"/>
        <v>35.899999999674037</v>
      </c>
      <c r="O142" s="7"/>
      <c r="P142" s="7"/>
      <c r="Q142" s="22"/>
      <c r="R142" s="174"/>
      <c r="S142" s="221">
        <f t="shared" si="62"/>
        <v>1</v>
      </c>
      <c r="T142" s="174" t="str">
        <f t="shared" si="65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6"/>
        <v>https://d0f6bd738d7f1b3e5a7ca70fe4ff75f0.us-east-1.aws.found.io/app/kibana#/discover/Steve-Slow-Train-Analysis-(2080s-and-2083s)?_g=(refreshInterval:(display:Off,pause:!f,section:0,value:0),time:(from:'2017-11-12T19:36:44-0700',mode:absolute,to:'2017-11-12T22:33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204" t="str">
        <f>IF(AA142&lt;VLOOKUP(AG142,Variables!$AC$3:$AD$8,2,FALSE),"Y","N")</f>
        <v>N</v>
      </c>
      <c r="X142" s="204">
        <f t="shared" si="58"/>
        <v>1</v>
      </c>
      <c r="Y142" s="204">
        <f t="shared" si="59"/>
        <v>23.294499999999999</v>
      </c>
      <c r="Z142" s="204">
        <f t="shared" si="60"/>
        <v>2.6700000000000002E-2</v>
      </c>
      <c r="AA142" s="204">
        <f t="shared" si="67"/>
        <v>23.267799999999998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9">
        <f t="shared" si="68"/>
        <v>226</v>
      </c>
      <c r="AE142" s="77" t="str">
        <f t="shared" si="69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142" s="74" t="str">
        <f t="shared" si="70"/>
        <v>"C:\Program Files (x86)\AstroGrep\AstroGrep.exe" /e /r /s /spath="%USERPROFILE%\AppData\Local\Temp\OnboardLogs" /stypes="app*4015*20171113*" /stext=" 04:.+((SYSTEM_STATE.+slice.+state.+changed )|(ment ac)|(multiple cpu faults)|(system.+state.+changed )|(\[timeout)|(PRM\|1\|D)|(kpr)|(kdp)|(train st.+moving)|(\|lc)|(penalty))"</v>
      </c>
      <c r="AG142" s="182" t="str">
        <f t="shared" si="71"/>
        <v>EC</v>
      </c>
      <c r="AH142" s="78" t="str">
        <f t="shared" ref="AH142:AH208" si="7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226-12 --locoid 4015 --swversion DE.1.0.9.0 --startMP 204:232945 --initTime 2017-11-12T20:36:44 --startdatetime 2017-11-12T20:57:13 --delay 78 --endMP 204:267 --enddatetime 2017-11-12T21:33:07 --enforcementcount 0 &gt;&gt;%USERPROFILE%\Documents\GitHub\eaglep3-reporting\EC\2017-11-12-refined-times.txt</v>
      </c>
      <c r="AI142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{"issue":{"subject":"","project_id":79,"tracker_id":40,"status_id":1,"priority_id":2,"assigned_to_id":338,"start_date":"2017-11-12","description":"","custom_fields":[{"id":1,"name":"Subdivision","value":"EC"},{"id":4,"name":"Milepost","value":"0.0267"},{"id":17,"name":"Train ID","value":"226-12"},{"id":16,"name":"Locomotive ID","value":"4015"},{"id":130,"name":"Impact","value":""},{"id":150,"name":"Time of Event (Mountain Time)","value":"21:33:07"},{"id":151,"name":"Denver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ref="AM142:AM208" si="75">"start /low /b "&amp;dls3logs&amp;" --loco "&amp;B142&amp;" --day "&amp;TEXT(F142,"YYYY-MM-DD")</f>
        <v>start /low /b %USERPROFILE%\Documents\GitHub\eaglep3\Utilities\DownloadLogsFromS3.py --loco 4015 --day 2017-11-12</v>
      </c>
      <c r="AN142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04:33:07"},{"id":29,"name":"Sharepoint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ref="AO142:AO208" si="76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-12T19:36:44-0700',mode:absolute,to:'2017-11-12T22:33:07-0700'))&amp;_a=(columns:!('Message%20ID',Summary),filters:!(),index:'emp_*',interval:auto,query:(query_string:(analyze_wildcard:!t,query:'%22rtdc.l.rtdc.4015%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849</v>
      </c>
      <c r="B143" s="7">
        <v>4004</v>
      </c>
      <c r="C143" s="21" t="s">
        <v>192</v>
      </c>
      <c r="D143" s="21" t="s">
        <v>1027</v>
      </c>
      <c r="E143" s="13">
        <v>43051.848981481482</v>
      </c>
      <c r="F143" s="13">
        <v>43051.854328703703</v>
      </c>
      <c r="G143" s="7">
        <v>70</v>
      </c>
      <c r="H143" s="21" t="s">
        <v>1028</v>
      </c>
      <c r="I143" s="13">
        <v>43051.87872685185</v>
      </c>
      <c r="J143" s="7">
        <v>0</v>
      </c>
      <c r="K143" s="89" t="str">
        <f t="shared" si="63"/>
        <v>4003/4004</v>
      </c>
      <c r="L143" s="185" t="str">
        <f>VLOOKUP(A143,'Trips&amp;Operators'!$C$1:$G$99911,5,FALSE)</f>
        <v>RESPASS AARON</v>
      </c>
      <c r="M143" s="6">
        <f t="shared" si="64"/>
        <v>2.4398148147156462E-2</v>
      </c>
      <c r="N143" s="7">
        <f t="shared" si="61"/>
        <v>35.133333331905305</v>
      </c>
      <c r="O143" s="7"/>
      <c r="P143" s="7"/>
      <c r="Q143" s="22"/>
      <c r="R143" s="174"/>
      <c r="S143" s="221">
        <f t="shared" si="62"/>
        <v>1</v>
      </c>
      <c r="T143" s="174" t="str">
        <f t="shared" si="65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6"/>
        <v>https://d0f6bd738d7f1b3e5a7ca70fe4ff75f0.us-east-1.aws.found.io/app/kibana#/discover/Steve-Slow-Train-Analysis-(2080s-and-2083s)?_g=(refreshInterval:(display:Off,pause:!f,section:0,value:0),time:(from:'2017-11-12T19:22:32-0700',mode:absolute,to:'2017-11-12T22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204" t="str">
        <f>IF(AA143&lt;VLOOKUP(AG143,Variables!$AC$3:$AD$8,2,FALSE),"Y","N")</f>
        <v>N</v>
      </c>
      <c r="X143" s="204">
        <f t="shared" si="58"/>
        <v>1</v>
      </c>
      <c r="Y143" s="204">
        <f t="shared" si="59"/>
        <v>7.8299999999999995E-2</v>
      </c>
      <c r="Z143" s="204">
        <f t="shared" si="60"/>
        <v>23.324000000000002</v>
      </c>
      <c r="AA143" s="204">
        <f t="shared" si="67"/>
        <v>23.245700000000003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9">
        <f t="shared" si="68"/>
        <v>227</v>
      </c>
      <c r="AE143" s="77" t="str">
        <f t="shared" si="69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143" s="74" t="str">
        <f t="shared" si="70"/>
        <v>"C:\Program Files (x86)\AstroGrep\AstroGrep.exe" /e /r /s /spath="%USERPROFILE%\AppData\Local\Temp\OnboardLogs" /stypes="app*4004*20171113*" /stext=" 04:.+((SYSTEM_STATE.+slice.+state.+changed )|(ment ac)|(multiple cpu faults)|(system.+state.+changed )|(\[timeout)|(PRM\|1\|D)|(kpr)|(kdp)|(train st.+moving)|(\|lc)|(penalty))"</v>
      </c>
      <c r="AG143" s="182" t="str">
        <f t="shared" si="71"/>
        <v>EC</v>
      </c>
      <c r="AH143" s="78" t="str">
        <f t="shared" si="74"/>
        <v>"%USERPROFILE%\Documents\GitHub\eaglep3\Utilities\RefineRTDCRunTimes.py" --tripid 227-12 --locoid 4004 --swversion DE.1.0.9.0 --startMP 204:783 --initTime 2017-11-12T20:22:32 --startdatetime 2017-11-12T20:30:14 --delay 70 --endMP 204:233240 --enddatetime 2017-11-12T21:05:22 --enforcementcount 0 &gt;&gt;%USERPROFILE%\Documents\GitHub\eaglep3-reporting\EC\2017-11-12-refined-times.txt</v>
      </c>
      <c r="AI143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{"issue":{"subject":"","project_id":79,"tracker_id":40,"status_id":1,"priority_id":2,"assigned_to_id":338,"start_date":"2017-11-12","description":"","custom_fields":[{"id":1,"name":"Subdivision","value":"EC"},{"id":4,"name":"Milepost","value":"23.324"},{"id":17,"name":"Train ID","value":"227-12"},{"id":16,"name":"Locomotive ID","value":"4004"},{"id":130,"name":"Impact","value":""},{"id":150,"name":"Time of Event (Mountain Time)","value":"21:05:22"},{"id":151,"name":"Denver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75"/>
        <v>start /low /b %USERPROFILE%\Documents\GitHub\eaglep3\Utilities\DownloadLogsFromS3.py --loco 4004 --day 2017-11-12</v>
      </c>
      <c r="AN143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04:05:22"},{"id":29,"name":"Sharepoint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76"/>
        <v>https://d0f6bd738d7f1b3e5a7ca70fe4ff75f0.us-east-1.aws.found.io/app/kibana#/discover/Steve-Slow-Train-Analysis-(2080s-and-2083s)?_g=(refreshInterval:(display:Off,pause:!f,section:0,value:0),time:(from:'2017-11-12T19:22:32-0700',mode:absolute,to:'2017-11-12T22:05:22-0700'))&amp;_a=(columns:!('Message%20ID',Summary),filters:!(),index:'emp_*',interval:auto,query:(query_string:(analyze_wildcard:!t,query:'%22rtdc.l.rtdc.4004%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857</v>
      </c>
      <c r="B144" s="7">
        <v>4051</v>
      </c>
      <c r="C144" s="21" t="s">
        <v>192</v>
      </c>
      <c r="D144" s="21" t="s">
        <v>1029</v>
      </c>
      <c r="E144" s="13">
        <v>43051.889282407406</v>
      </c>
      <c r="F144" s="13">
        <v>43051.894016203703</v>
      </c>
      <c r="G144" s="7">
        <v>85</v>
      </c>
      <c r="H144" s="21" t="s">
        <v>1030</v>
      </c>
      <c r="I144" s="13">
        <v>43051.921851851854</v>
      </c>
      <c r="J144" s="7">
        <v>0</v>
      </c>
      <c r="K144" s="89" t="str">
        <f t="shared" si="63"/>
        <v>4051/4052</v>
      </c>
      <c r="L144" s="185" t="str">
        <f>VLOOKUP(A144,'Trips&amp;Operators'!$C$1:$G$99911,5,FALSE)</f>
        <v>RESPASS AARON</v>
      </c>
      <c r="M144" s="6">
        <f t="shared" si="64"/>
        <v>2.7835648150357883E-2</v>
      </c>
      <c r="N144" s="7">
        <f t="shared" si="61"/>
        <v>40.083333336515352</v>
      </c>
      <c r="O144" s="7"/>
      <c r="P144" s="7"/>
      <c r="Q144" s="22"/>
      <c r="R144" s="174"/>
      <c r="S144" s="221">
        <f t="shared" si="62"/>
        <v>1</v>
      </c>
      <c r="T144" s="174" t="str">
        <f t="shared" si="65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6"/>
        <v>https://d0f6bd738d7f1b3e5a7ca70fe4ff75f0.us-east-1.aws.found.io/app/kibana#/discover/Steve-Slow-Train-Analysis-(2080s-and-2083s)?_g=(refreshInterval:(display:Off,pause:!f,section:0,value:0),time:(from:'2017-11-12T20:20:34-0700',mode:absolute,to:'2017-11-12T23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4" s="204" t="str">
        <f>IF(AA144&lt;VLOOKUP(AG144,Variables!$AC$3:$AD$8,2,FALSE),"Y","N")</f>
        <v>N</v>
      </c>
      <c r="X144" s="204">
        <f t="shared" si="58"/>
        <v>1</v>
      </c>
      <c r="Y144" s="204">
        <f t="shared" si="59"/>
        <v>23.26</v>
      </c>
      <c r="Z144" s="204">
        <f t="shared" si="60"/>
        <v>2.52E-2</v>
      </c>
      <c r="AA144" s="204">
        <f t="shared" si="67"/>
        <v>23.2348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9">
        <f t="shared" si="68"/>
        <v>228</v>
      </c>
      <c r="AE144" s="77" t="str">
        <f t="shared" si="69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144" s="74" t="str">
        <f t="shared" si="70"/>
        <v>"C:\Program Files (x86)\AstroGrep\AstroGrep.exe" /e /r /s /spath="%USERPROFILE%\AppData\Local\Temp\OnboardLogs" /stypes="app*4051*20171113*" /stext=" 05:.+((SYSTEM_STATE.+slice.+state.+changed )|(ment ac)|(multiple cpu faults)|(system.+state.+changed )|(\[timeout)|(PRM\|1\|D)|(kpr)|(kdp)|(train st.+moving)|(\|lc)|(penalty))"</v>
      </c>
      <c r="AG144" s="182" t="str">
        <f t="shared" si="71"/>
        <v>EC</v>
      </c>
      <c r="AH144" s="78" t="str">
        <f t="shared" si="74"/>
        <v>"%USERPROFILE%\Documents\GitHub\eaglep3\Utilities\RefineRTDCRunTimes.py" --tripid 228-12 --locoid 4051 --swversion DE.1.0.9.0 --startMP 204:232600 --initTime 2017-11-12T21:20:34 --startdatetime 2017-11-12T21:27:23 --delay 85 --endMP 204:252 --enddatetime 2017-11-12T22:07:28 --enforcementcount 0 &gt;&gt;%USERPROFILE%\Documents\GitHub\eaglep3-reporting\EC\2017-11-12-refined-times.txt</v>
      </c>
      <c r="AI144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{"issue":{"subject":"","project_id":79,"tracker_id":40,"status_id":1,"priority_id":2,"assigned_to_id":338,"start_date":"2017-11-12","description":"","custom_fields":[{"id":1,"name":"Subdivision","value":"EC"},{"id":4,"name":"Milepost","value":"0.0252"},{"id":17,"name":"Train ID","value":"228-12"},{"id":16,"name":"Locomotive ID","value":"4051"},{"id":130,"name":"Impact","value":""},{"id":150,"name":"Time of Event (Mountain Time)","value":"22:07:28"},{"id":151,"name":"Denver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75"/>
        <v>start /low /b %USERPROFILE%\Documents\GitHub\eaglep3\Utilities\DownloadLogsFromS3.py --loco 4051 --day 2017-11-12</v>
      </c>
      <c r="AN144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05:07:28"},{"id":29,"name":"Sharepoint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6"/>
        <v>https://d0f6bd738d7f1b3e5a7ca70fe4ff75f0.us-east-1.aws.found.io/app/kibana#/discover/Steve-Slow-Train-Analysis-(2080s-and-2083s)?_g=(refreshInterval:(display:Off,pause:!f,section:0,value:0),time:(from:'2017-11-12T20:20:34-0700',mode:absolute,to:'2017-11-12T23:07:28-0700'))&amp;_a=(columns:!('Message%20ID',Summary),filters:!(),index:'emp_*',interval:auto,query:(query_string:(analyze_wildcard:!t,query:'%22rtdc.l.rtdc.4051%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855</v>
      </c>
      <c r="B145" s="7">
        <v>4064</v>
      </c>
      <c r="C145" s="21" t="s">
        <v>192</v>
      </c>
      <c r="D145" s="21" t="s">
        <v>1031</v>
      </c>
      <c r="E145" s="13">
        <v>43051.866469907407</v>
      </c>
      <c r="F145" s="13">
        <v>43051.875219907408</v>
      </c>
      <c r="G145" s="7">
        <v>63</v>
      </c>
      <c r="H145" s="21" t="s">
        <v>1032</v>
      </c>
      <c r="I145" s="13">
        <v>43051.901145833333</v>
      </c>
      <c r="J145" s="7">
        <v>0</v>
      </c>
      <c r="K145" s="89" t="str">
        <f t="shared" si="63"/>
        <v>4063/4064</v>
      </c>
      <c r="L145" s="185" t="str">
        <f>VLOOKUP(A145,'Trips&amp;Operators'!$C$1:$G$99911,5,FALSE)</f>
        <v>KILLION DAVID</v>
      </c>
      <c r="M145" s="6">
        <f t="shared" si="64"/>
        <v>2.5925925925548654E-2</v>
      </c>
      <c r="N145" s="7">
        <f t="shared" si="61"/>
        <v>37.333333332790062</v>
      </c>
      <c r="O145" s="7"/>
      <c r="P145" s="7"/>
      <c r="Q145" s="22"/>
      <c r="R145" s="174"/>
      <c r="S145" s="221">
        <f t="shared" si="62"/>
        <v>1</v>
      </c>
      <c r="T145" s="174" t="str">
        <f t="shared" si="65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6"/>
        <v>https://d0f6bd738d7f1b3e5a7ca70fe4ff75f0.us-east-1.aws.found.io/app/kibana#/discover/Steve-Slow-Train-Analysis-(2080s-and-2083s)?_g=(refreshInterval:(display:Off,pause:!f,section:0,value:0),time:(from:'2017-11-12T19:47:43-0700',mode:absolute,to:'2017-11-12T22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5" s="204" t="str">
        <f>IF(AA145&lt;VLOOKUP(AG145,Variables!$AC$3:$AD$8,2,FALSE),"Y","N")</f>
        <v>N</v>
      </c>
      <c r="X145" s="204">
        <f t="shared" si="58"/>
        <v>1</v>
      </c>
      <c r="Y145" s="204">
        <f t="shared" si="59"/>
        <v>6.2100000000000002E-2</v>
      </c>
      <c r="Z145" s="204">
        <f t="shared" si="60"/>
        <v>23.3398</v>
      </c>
      <c r="AA145" s="204">
        <f t="shared" si="67"/>
        <v>23.277699999999999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9">
        <f t="shared" si="68"/>
        <v>229</v>
      </c>
      <c r="AE145" s="77" t="str">
        <f t="shared" si="69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145" s="74" t="str">
        <f t="shared" si="70"/>
        <v>"C:\Program Files (x86)\AstroGrep\AstroGrep.exe" /e /r /s /spath="%USERPROFILE%\AppData\Local\Temp\OnboardLogs" /stypes="app*4064*20171113*" /stext=" 04:.+((SYSTEM_STATE.+slice.+state.+changed )|(ment ac)|(multiple cpu faults)|(system.+state.+changed )|(\[timeout)|(PRM\|1\|D)|(kpr)|(kdp)|(train st.+moving)|(\|lc)|(penalty))"</v>
      </c>
      <c r="AG145" s="182" t="str">
        <f t="shared" si="71"/>
        <v>EC</v>
      </c>
      <c r="AH145" s="78" t="str">
        <f t="shared" si="74"/>
        <v>"%USERPROFILE%\Documents\GitHub\eaglep3\Utilities\RefineRTDCRunTimes.py" --tripid 229-12 --locoid 4064 --swversion DE.1.0.9.0 --startMP 204:621 --initTime 2017-11-12T20:47:43 --startdatetime 2017-11-12T21:00:19 --delay 63 --endMP 204:233398 --enddatetime 2017-11-12T21:37:39 --enforcementcount 0 &gt;&gt;%USERPROFILE%\Documents\GitHub\eaglep3-reporting\EC\2017-11-12-refined-times.txt</v>
      </c>
      <c r="AI145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{"issue":{"subject":"","project_id":79,"tracker_id":40,"status_id":1,"priority_id":2,"assigned_to_id":338,"start_date":"2017-11-12","description":"","custom_fields":[{"id":1,"name":"Subdivision","value":"EC"},{"id":4,"name":"Milepost","value":"23.3398"},{"id":17,"name":"Train ID","value":"229-12"},{"id":16,"name":"Locomotive ID","value":"4064"},{"id":130,"name":"Impact","value":""},{"id":150,"name":"Time of Event (Mountain Time)","value":"21:37:39"},{"id":151,"name":"Denver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75"/>
        <v>start /low /b %USERPROFILE%\Documents\GitHub\eaglep3\Utilities\DownloadLogsFromS3.py --loco 4064 --day 2017-11-12</v>
      </c>
      <c r="AN145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04:37:39"},{"id":29,"name":"Sharepoint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6"/>
        <v>https://d0f6bd738d7f1b3e5a7ca70fe4ff75f0.us-east-1.aws.found.io/app/kibana#/discover/Steve-Slow-Train-Analysis-(2080s-and-2083s)?_g=(refreshInterval:(display:Off,pause:!f,section:0,value:0),time:(from:'2017-11-12T19:47:43-0700',mode:absolute,to:'2017-11-12T22:37:39-0700'))&amp;_a=(columns:!('Message%20ID',Summary),filters:!(),index:'emp_*',interval:auto,query:(query_string:(analyze_wildcard:!t,query:'%22rtdc.l.rtdc.4064%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860</v>
      </c>
      <c r="B146" s="7">
        <v>4005</v>
      </c>
      <c r="C146" s="21" t="s">
        <v>192</v>
      </c>
      <c r="D146" s="21" t="s">
        <v>1033</v>
      </c>
      <c r="E146" s="13">
        <v>43051.906550925924</v>
      </c>
      <c r="F146" s="13">
        <v>43051.914826388886</v>
      </c>
      <c r="G146" s="7">
        <v>85</v>
      </c>
      <c r="H146" s="21" t="s">
        <v>1034</v>
      </c>
      <c r="I146" s="13">
        <v>43051.942303240743</v>
      </c>
      <c r="J146" s="7">
        <v>0</v>
      </c>
      <c r="K146" s="89" t="str">
        <f t="shared" si="63"/>
        <v>4005/4006</v>
      </c>
      <c r="L146" s="185" t="str">
        <f>VLOOKUP(A146,'Trips&amp;Operators'!$C$1:$G$99911,5,FALSE)</f>
        <v>KILLION DAVID</v>
      </c>
      <c r="M146" s="6">
        <f t="shared" si="64"/>
        <v>2.7476851857500151E-2</v>
      </c>
      <c r="N146" s="7">
        <f t="shared" si="61"/>
        <v>39.566666674800217</v>
      </c>
      <c r="O146" s="7"/>
      <c r="P146" s="7"/>
      <c r="Q146" s="22"/>
      <c r="R146" s="174"/>
      <c r="S146" s="221">
        <f t="shared" si="62"/>
        <v>1</v>
      </c>
      <c r="T146" s="174" t="str">
        <f t="shared" si="65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6"/>
        <v>https://d0f6bd738d7f1b3e5a7ca70fe4ff75f0.us-east-1.aws.found.io/app/kibana#/discover/Steve-Slow-Train-Analysis-(2080s-and-2083s)?_g=(refreshInterval:(display:Off,pause:!f,section:0,value:0),time:(from:'2017-11-12T20:45:26-0700',mode:absolute,to:'2017-11-12T23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6" s="204" t="str">
        <f>IF(AA146&lt;VLOOKUP(AG146,Variables!$AC$3:$AD$8,2,FALSE),"Y","N")</f>
        <v>N</v>
      </c>
      <c r="X146" s="204">
        <f t="shared" si="58"/>
        <v>1</v>
      </c>
      <c r="Y146" s="204">
        <f t="shared" si="59"/>
        <v>23.2743</v>
      </c>
      <c r="Z146" s="204">
        <f t="shared" si="60"/>
        <v>1.43E-2</v>
      </c>
      <c r="AA146" s="204">
        <f t="shared" si="67"/>
        <v>23.26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9">
        <f t="shared" si="68"/>
        <v>230</v>
      </c>
      <c r="AE146" s="77" t="str">
        <f t="shared" si="69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146" s="74" t="str">
        <f t="shared" si="70"/>
        <v>"C:\Program Files (x86)\AstroGrep\AstroGrep.exe" /e /r /s /spath="%USERPROFILE%\AppData\Local\Temp\OnboardLogs" /stypes="app*4005*20171113*" /stext=" 05:.+((SYSTEM_STATE.+slice.+state.+changed )|(ment ac)|(multiple cpu faults)|(system.+state.+changed )|(\[timeout)|(PRM\|1\|D)|(kpr)|(kdp)|(train st.+moving)|(\|lc)|(penalty))"</v>
      </c>
      <c r="AG146" s="182" t="str">
        <f t="shared" si="71"/>
        <v>EC</v>
      </c>
      <c r="AH146" s="78" t="str">
        <f t="shared" si="74"/>
        <v>"%USERPROFILE%\Documents\GitHub\eaglep3\Utilities\RefineRTDCRunTimes.py" --tripid 230-12 --locoid 4005 --swversion DE.1.0.9.0 --startMP 204:232743 --initTime 2017-11-12T21:45:26 --startdatetime 2017-11-12T21:57:21 --delay 85 --endMP 204:143 --enddatetime 2017-11-12T22:36:55 --enforcementcount 0 &gt;&gt;%USERPROFILE%\Documents\GitHub\eaglep3-reporting\EC\2017-11-12-refined-times.txt</v>
      </c>
      <c r="AI146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{"issue":{"subject":"","project_id":79,"tracker_id":40,"status_id":1,"priority_id":2,"assigned_to_id":338,"start_date":"2017-11-12","description":"","custom_fields":[{"id":1,"name":"Subdivision","value":"EC"},{"id":4,"name":"Milepost","value":"0.0143"},{"id":17,"name":"Train ID","value":"230-12"},{"id":16,"name":"Locomotive ID","value":"4005"},{"id":130,"name":"Impact","value":""},{"id":150,"name":"Time of Event (Mountain Time)","value":"22:36:55"},{"id":151,"name":"Denver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75"/>
        <v>start /low /b %USERPROFILE%\Documents\GitHub\eaglep3\Utilities\DownloadLogsFromS3.py --loco 4005 --day 2017-11-12</v>
      </c>
      <c r="AN146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05:36:55"},{"id":29,"name":"Sharepoint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6"/>
        <v>https://d0f6bd738d7f1b3e5a7ca70fe4ff75f0.us-east-1.aws.found.io/app/kibana#/discover/Steve-Slow-Train-Analysis-(2080s-and-2083s)?_g=(refreshInterval:(display:Off,pause:!f,section:0,value:0),time:(from:'2017-11-12T20:45:26-0700',mode:absolute,to:'2017-11-12T23:36:55-0700'))&amp;_a=(columns:!('Message%20ID',Summary),filters:!(),index:'emp_*',interval:auto,query:(query_string:(analyze_wildcard:!t,query:'%22rtdc.l.rtdc.4005%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856</v>
      </c>
      <c r="B147" s="7">
        <v>4042</v>
      </c>
      <c r="C147" s="21" t="s">
        <v>192</v>
      </c>
      <c r="D147" s="21" t="s">
        <v>478</v>
      </c>
      <c r="E147" s="13">
        <v>43051.882974537039</v>
      </c>
      <c r="F147" s="13">
        <v>43051.896018518521</v>
      </c>
      <c r="G147" s="7">
        <v>51</v>
      </c>
      <c r="H147" s="21" t="s">
        <v>923</v>
      </c>
      <c r="I147" s="13">
        <v>43051.920324074075</v>
      </c>
      <c r="J147" s="7">
        <v>0</v>
      </c>
      <c r="K147" s="89" t="str">
        <f t="shared" si="63"/>
        <v>4041/4042</v>
      </c>
      <c r="L147" s="185" t="str">
        <f>VLOOKUP(A147,'Trips&amp;Operators'!$C$1:$G$99911,5,FALSE)</f>
        <v>LOZA FIDEL</v>
      </c>
      <c r="M147" s="6">
        <f t="shared" si="64"/>
        <v>2.4305555554747116E-2</v>
      </c>
      <c r="N147" s="7">
        <f t="shared" si="61"/>
        <v>34.999999998835847</v>
      </c>
      <c r="O147" s="7"/>
      <c r="P147" s="7"/>
      <c r="Q147" s="22"/>
      <c r="R147" s="174"/>
      <c r="S147" s="221">
        <f t="shared" si="62"/>
        <v>1</v>
      </c>
      <c r="T147" s="174" t="str">
        <f t="shared" si="65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6"/>
        <v>https://d0f6bd738d7f1b3e5a7ca70fe4ff75f0.us-east-1.aws.found.io/app/kibana#/discover/Steve-Slow-Train-Analysis-(2080s-and-2083s)?_g=(refreshInterval:(display:Off,pause:!f,section:0,value:0),time:(from:'2017-11-12T20:11:29-0700',mode:absolute,to:'2017-11-12T23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204" t="str">
        <f>IF(AA147&lt;VLOOKUP(AG147,Variables!$AC$3:$AD$8,2,FALSE),"Y","N")</f>
        <v>N</v>
      </c>
      <c r="X147" s="204">
        <f t="shared" si="58"/>
        <v>1</v>
      </c>
      <c r="Y147" s="204">
        <f t="shared" si="59"/>
        <v>5.0900000000000001E-2</v>
      </c>
      <c r="Z147" s="204">
        <f t="shared" si="60"/>
        <v>23.3264</v>
      </c>
      <c r="AA147" s="204">
        <f t="shared" si="67"/>
        <v>23.275500000000001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9">
        <f t="shared" si="68"/>
        <v>231</v>
      </c>
      <c r="AE147" s="77" t="str">
        <f t="shared" si="69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147" s="74" t="str">
        <f t="shared" si="70"/>
        <v>"C:\Program Files (x86)\AstroGrep\AstroGrep.exe" /e /r /s /spath="%USERPROFILE%\AppData\Local\Temp\OnboardLogs" /stypes="app*4042*20171113*" /stext=" 05:.+((SYSTEM_STATE.+slice.+state.+changed )|(ment ac)|(multiple cpu faults)|(system.+state.+changed )|(\[timeout)|(PRM\|1\|D)|(kpr)|(kdp)|(train st.+moving)|(\|lc)|(penalty))"</v>
      </c>
      <c r="AG147" s="182" t="str">
        <f t="shared" si="71"/>
        <v>EC</v>
      </c>
      <c r="AH147" s="78" t="str">
        <f t="shared" si="74"/>
        <v>"%USERPROFILE%\Documents\GitHub\eaglep3\Utilities\RefineRTDCRunTimes.py" --tripid 231-12 --locoid 4042 --swversion DE.1.0.9.0 --startMP 204:509 --initTime 2017-11-12T21:11:29 --startdatetime 2017-11-12T21:30:16 --delay 51 --endMP 204:233264 --enddatetime 2017-11-12T22:05:16 --enforcementcount 0 &gt;&gt;%USERPROFILE%\Documents\GitHub\eaglep3-reporting\EC\2017-11-12-refined-times.txt</v>
      </c>
      <c r="AI147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{"issue":{"subject":"","project_id":79,"tracker_id":40,"status_id":1,"priority_id":2,"assigned_to_id":338,"start_date":"2017-11-12","description":"","custom_fields":[{"id":1,"name":"Subdivision","value":"EC"},{"id":4,"name":"Milepost","value":"23.3264"},{"id":17,"name":"Train ID","value":"231-12"},{"id":16,"name":"Locomotive ID","value":"4042"},{"id":130,"name":"Impact","value":""},{"id":150,"name":"Time of Event (Mountain Time)","value":"22:05:16"},{"id":151,"name":"Denver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75"/>
        <v>start /low /b %USERPROFILE%\Documents\GitHub\eaglep3\Utilities\DownloadLogsFromS3.py --loco 4042 --day 2017-11-12</v>
      </c>
      <c r="AN147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05:05:16"},{"id":29,"name":"Sharepoint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6"/>
        <v>https://d0f6bd738d7f1b3e5a7ca70fe4ff75f0.us-east-1.aws.found.io/app/kibana#/discover/Steve-Slow-Train-Analysis-(2080s-and-2083s)?_g=(refreshInterval:(display:Off,pause:!f,section:0,value:0),time:(from:'2017-11-12T20:11:29-0700',mode:absolute,to:'2017-11-12T23:05:16-0700'))&amp;_a=(columns:!('Message%20ID',Summary),filters:!(),index:'emp_*',interval:auto,query:(query_string:(analyze_wildcard:!t,query:'%22rtdc.l.rtdc.4042%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863</v>
      </c>
      <c r="B148" s="7">
        <v>4041</v>
      </c>
      <c r="C148" s="21" t="s">
        <v>192</v>
      </c>
      <c r="D148" s="21" t="s">
        <v>939</v>
      </c>
      <c r="E148" s="13">
        <v>43051.929340277777</v>
      </c>
      <c r="F148" s="13">
        <v>43051.935624999998</v>
      </c>
      <c r="G148" s="7">
        <v>74</v>
      </c>
      <c r="H148" s="21" t="s">
        <v>501</v>
      </c>
      <c r="I148" s="13">
        <v>43051.961365740739</v>
      </c>
      <c r="J148" s="7">
        <v>0</v>
      </c>
      <c r="K148" s="89" t="str">
        <f t="shared" si="63"/>
        <v>4041/4042</v>
      </c>
      <c r="L148" s="185" t="str">
        <f>VLOOKUP(A148,'Trips&amp;Operators'!$C$1:$G$99911,5,FALSE)</f>
        <v>LOZA FIDEL</v>
      </c>
      <c r="M148" s="6">
        <f t="shared" si="64"/>
        <v>2.5740740740729962E-2</v>
      </c>
      <c r="N148" s="7">
        <f t="shared" si="61"/>
        <v>37.066666666651145</v>
      </c>
      <c r="O148" s="7"/>
      <c r="P148" s="7"/>
      <c r="Q148" s="22"/>
      <c r="R148" s="174"/>
      <c r="S148" s="221">
        <f t="shared" si="62"/>
        <v>1</v>
      </c>
      <c r="T148" s="174" t="str">
        <f t="shared" si="65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6"/>
        <v>https://d0f6bd738d7f1b3e5a7ca70fe4ff75f0.us-east-1.aws.found.io/app/kibana#/discover/Steve-Slow-Train-Analysis-(2080s-and-2083s)?_g=(refreshInterval:(display:Off,pause:!f,section:0,value:0),time:(from:'2017-11-12T21:18:15-0700',mode:absolute,to:'2017-11-13T00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204" t="str">
        <f>IF(AA148&lt;VLOOKUP(AG148,Variables!$AC$3:$AD$8,2,FALSE),"Y","N")</f>
        <v>N</v>
      </c>
      <c r="X148" s="204">
        <f t="shared" si="58"/>
        <v>1</v>
      </c>
      <c r="Y148" s="204">
        <f t="shared" si="59"/>
        <v>23.294899999999998</v>
      </c>
      <c r="Z148" s="204">
        <f t="shared" si="60"/>
        <v>2.2700000000000001E-2</v>
      </c>
      <c r="AA148" s="204">
        <f t="shared" si="67"/>
        <v>23.272199999999998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9">
        <f t="shared" si="68"/>
        <v>232</v>
      </c>
      <c r="AE148" s="77" t="str">
        <f t="shared" si="69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148" s="74" t="str">
        <f t="shared" si="70"/>
        <v>"C:\Program Files (x86)\AstroGrep\AstroGrep.exe" /e /r /s /spath="%USERPROFILE%\AppData\Local\Temp\OnboardLogs" /stypes="app*4041*20171113*" /stext=" 06:.+((SYSTEM_STATE.+slice.+state.+changed )|(ment ac)|(multiple cpu faults)|(system.+state.+changed )|(\[timeout)|(PRM\|1\|D)|(kpr)|(kdp)|(train st.+moving)|(\|lc)|(penalty))"</v>
      </c>
      <c r="AG148" s="182" t="str">
        <f t="shared" si="71"/>
        <v>EC</v>
      </c>
      <c r="AH148" s="78" t="str">
        <f t="shared" si="74"/>
        <v>"%USERPROFILE%\Documents\GitHub\eaglep3\Utilities\RefineRTDCRunTimes.py" --tripid 232-12 --locoid 4041 --swversion DE.1.0.9.0 --startMP 204:232949 --initTime 2017-11-12T22:18:15 --startdatetime 2017-11-12T22:27:18 --delay 74 --endMP 204:227 --enddatetime 2017-11-12T23:04:22 --enforcementcount 0 &gt;&gt;%USERPROFILE%\Documents\GitHub\eaglep3-reporting\EC\2017-11-12-refined-times.txt</v>
      </c>
      <c r="AI148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{"issue":{"subject":"","project_id":79,"tracker_id":40,"status_id":1,"priority_id":2,"assigned_to_id":338,"start_date":"2017-11-12","description":"","custom_fields":[{"id":1,"name":"Subdivision","value":"EC"},{"id":4,"name":"Milepost","value":"0.0227"},{"id":17,"name":"Train ID","value":"232-12"},{"id":16,"name":"Locomotive ID","value":"4041"},{"id":130,"name":"Impact","value":""},{"id":150,"name":"Time of Event (Mountain Time)","value":"23:04:22"},{"id":151,"name":"Denver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75"/>
        <v>start /low /b %USERPROFILE%\Documents\GitHub\eaglep3\Utilities\DownloadLogsFromS3.py --loco 4041 --day 2017-11-12</v>
      </c>
      <c r="AN148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06:04:22"},{"id":29,"name":"Sharepoint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6"/>
        <v>https://d0f6bd738d7f1b3e5a7ca70fe4ff75f0.us-east-1.aws.found.io/app/kibana#/discover/Steve-Slow-Train-Analysis-(2080s-and-2083s)?_g=(refreshInterval:(display:Off,pause:!f,section:0,value:0),time:(from:'2017-11-12T21:18:15-0700',mode:absolute,to:'2017-11-13T00:04:22-0700'))&amp;_a=(columns:!('Message%20ID',Summary),filters:!(),index:'emp_*',interval:auto,query:(query_string:(analyze_wildcard:!t,query:'%22rtdc.l.rtdc.4041%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859</v>
      </c>
      <c r="B149" s="7">
        <v>4016</v>
      </c>
      <c r="C149" s="21" t="s">
        <v>192</v>
      </c>
      <c r="D149" s="21" t="s">
        <v>1035</v>
      </c>
      <c r="E149" s="13">
        <v>43051.899039351854</v>
      </c>
      <c r="F149" s="13">
        <v>43051.916875000003</v>
      </c>
      <c r="G149" s="7">
        <v>54</v>
      </c>
      <c r="H149" s="21" t="s">
        <v>611</v>
      </c>
      <c r="I149" s="13">
        <v>43051.941076388888</v>
      </c>
      <c r="J149" s="7">
        <v>0</v>
      </c>
      <c r="K149" s="89" t="str">
        <f t="shared" si="63"/>
        <v>4015/4016</v>
      </c>
      <c r="L149" s="185" t="str">
        <f>VLOOKUP(A149,'Trips&amp;Operators'!$C$1:$G$99911,5,FALSE)</f>
        <v>ELBAUM MIKE</v>
      </c>
      <c r="M149" s="6">
        <f t="shared" si="64"/>
        <v>2.4201388885558117E-2</v>
      </c>
      <c r="N149" s="7">
        <f t="shared" si="61"/>
        <v>34.849999995203689</v>
      </c>
      <c r="O149" s="7"/>
      <c r="P149" s="7"/>
      <c r="Q149" s="22"/>
      <c r="R149" s="174"/>
      <c r="S149" s="221">
        <f t="shared" si="62"/>
        <v>1</v>
      </c>
      <c r="T149" s="174" t="str">
        <f t="shared" si="65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6"/>
        <v>https://d0f6bd738d7f1b3e5a7ca70fe4ff75f0.us-east-1.aws.found.io/app/kibana#/discover/Steve-Slow-Train-Analysis-(2080s-and-2083s)?_g=(refreshInterval:(display:Off,pause:!f,section:0,value:0),time:(from:'2017-11-12T20:34:37-0700',mode:absolute,to:'2017-11-12T23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204" t="str">
        <f>IF(AA149&lt;VLOOKUP(AG149,Variables!$AC$3:$AD$8,2,FALSE),"Y","N")</f>
        <v>N</v>
      </c>
      <c r="X149" s="204">
        <f t="shared" si="58"/>
        <v>1</v>
      </c>
      <c r="Y149" s="204">
        <f t="shared" si="59"/>
        <v>5.7299999999999997E-2</v>
      </c>
      <c r="Z149" s="204">
        <f t="shared" si="60"/>
        <v>23.325099999999999</v>
      </c>
      <c r="AA149" s="204">
        <f t="shared" si="67"/>
        <v>23.267799999999998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9">
        <f t="shared" si="68"/>
        <v>233</v>
      </c>
      <c r="AE149" s="77" t="str">
        <f t="shared" si="69"/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AF149" s="74" t="str">
        <f t="shared" si="70"/>
        <v>"C:\Program Files (x86)\AstroGrep\AstroGrep.exe" /e /r /s /spath="%USERPROFILE%\AppData\Local\Temp\OnboardLogs" /stypes="app*4016*20171113*" /stext=" 05:.+((SYSTEM_STATE.+slice.+state.+changed )|(ment ac)|(multiple cpu faults)|(system.+state.+changed )|(\[timeout)|(PRM\|1\|D)|(kpr)|(kdp)|(train st.+moving)|(\|lc)|(penalty))"</v>
      </c>
      <c r="AG149" s="182" t="str">
        <f t="shared" si="71"/>
        <v>EC</v>
      </c>
      <c r="AH149" s="78" t="str">
        <f t="shared" si="74"/>
        <v>"%USERPROFILE%\Documents\GitHub\eaglep3\Utilities\RefineRTDCRunTimes.py" --tripid 233-12 --locoid 4016 --swversion DE.1.0.9.0 --startMP 204:573 --initTime 2017-11-12T21:34:37 --startdatetime 2017-11-12T22:00:18 --delay 54 --endMP 204:233251 --enddatetime 2017-11-12T22:35:09 --enforcementcount 0 &gt;&gt;%USERPROFILE%\Documents\GitHub\eaglep3-reporting\EC\2017-11-12-refined-times.txt</v>
      </c>
      <c r="AI149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{"issue":{"subject":"","project_id":79,"tracker_id":40,"status_id":1,"priority_id":2,"assigned_to_id":338,"start_date":"2017-11-12","description":"","custom_fields":[{"id":1,"name":"Subdivision","value":"EC"},{"id":4,"name":"Milepost","value":"23.3251"},{"id":17,"name":"Train ID","value":"233-12"},{"id":16,"name":"Locomotive ID","value":"4016"},{"id":130,"name":"Impact","value":""},{"id":150,"name":"Time of Event (Mountain Time)","value":"22:35:09"},{"id":151,"name":"Denver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75"/>
        <v>start /low /b %USERPROFILE%\Documents\GitHub\eaglep3\Utilities\DownloadLogsFromS3.py --loco 4016 --day 2017-11-12</v>
      </c>
      <c r="AN149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6"/>
        <v>https://d0f6bd738d7f1b3e5a7ca70fe4ff75f0.us-east-1.aws.found.io/app/kibana#/discover/Steve-Slow-Train-Analysis-(2080s-and-2083s)?_g=(refreshInterval:(display:Off,pause:!f,section:0,value:0),time:(from:'2017-11-12T20:34:37-0700',mode:absolute,to:'2017-11-12T23:35:09-0700'))&amp;_a=(columns:!('Message%20ID',Summary),filters:!(),index:'emp_*',interval:auto,query:(query_string:(analyze_wildcard:!t,query:'%22rtdc.l.rtdc.4016%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659</v>
      </c>
      <c r="B150" s="7">
        <v>4015</v>
      </c>
      <c r="C150" s="21" t="s">
        <v>192</v>
      </c>
      <c r="D150" s="21" t="s">
        <v>458</v>
      </c>
      <c r="E150" s="13">
        <v>43051.945104166669</v>
      </c>
      <c r="F150" s="13">
        <v>43051.956400462965</v>
      </c>
      <c r="G150" s="7">
        <v>105</v>
      </c>
      <c r="H150" s="21" t="s">
        <v>1036</v>
      </c>
      <c r="I150" s="13">
        <v>43051.983668981484</v>
      </c>
      <c r="J150" s="7">
        <v>0</v>
      </c>
      <c r="K150" s="89" t="str">
        <f t="shared" si="63"/>
        <v>4015/4016</v>
      </c>
      <c r="L150" s="185" t="str">
        <f>VLOOKUP(A150,'Trips&amp;Operators'!$C$1:$G$99911,5,FALSE)</f>
        <v>ELBAUM MIKE</v>
      </c>
      <c r="M150" s="6">
        <f t="shared" si="64"/>
        <v>2.7268518519122154E-2</v>
      </c>
      <c r="N150" s="7">
        <f t="shared" si="61"/>
        <v>39.266666667535901</v>
      </c>
      <c r="O150" s="7"/>
      <c r="P150" s="7"/>
      <c r="Q150" s="22"/>
      <c r="R150" s="174"/>
      <c r="S150" s="221">
        <f t="shared" si="62"/>
        <v>1</v>
      </c>
      <c r="T150" s="174" t="str">
        <f t="shared" si="65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6"/>
        <v>https://d0f6bd738d7f1b3e5a7ca70fe4ff75f0.us-east-1.aws.found.io/app/kibana#/discover/Steve-Slow-Train-Analysis-(2080s-and-2083s)?_g=(refreshInterval:(display:Off,pause:!f,section:0,value:0),time:(from:'2017-11-12T21:40:57-0700',mode:absolute,to:'2017-11-13T00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204" t="str">
        <f>IF(AA150&lt;VLOOKUP(AG150,Variables!$AC$3:$AD$8,2,FALSE),"Y","N")</f>
        <v>N</v>
      </c>
      <c r="X150" s="204">
        <f t="shared" ref="X150:X181" si="77">VALUE(LEFT(AD150,4))-VALUE(LEFT(AD149,4))</f>
        <v>1</v>
      </c>
      <c r="Y150" s="204">
        <f t="shared" si="59"/>
        <v>23.293800000000001</v>
      </c>
      <c r="Z150" s="204">
        <f t="shared" si="60"/>
        <v>2.7400000000000001E-2</v>
      </c>
      <c r="AA150" s="204">
        <f t="shared" si="67"/>
        <v>23.266400000000001</v>
      </c>
      <c r="AB150" s="54" t="str">
        <f>VLOOKUP(A150,Enforcements!$C$7:$K$9,8,0)</f>
        <v>Speed (6)</v>
      </c>
      <c r="AC150" s="51" t="str">
        <f>VLOOKUP(A150,Enforcements!$C$7:$E$9,3,0)</f>
        <v>PERMANENT SPEED RESTRICTION</v>
      </c>
      <c r="AD150" s="179">
        <f t="shared" si="68"/>
        <v>234</v>
      </c>
      <c r="AE150" s="77" t="str">
        <f t="shared" si="69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150" s="74" t="str">
        <f t="shared" si="70"/>
        <v>"C:\Program Files (x86)\AstroGrep\AstroGrep.exe" /e /r /s /spath="%USERPROFILE%\AppData\Local\Temp\OnboardLogs" /stypes="app*4015*20171113*" /stext=" 06:.+((SYSTEM_STATE.+slice.+state.+changed )|(ment ac)|(multiple cpu faults)|(system.+state.+changed )|(\[timeout)|(PRM\|1\|D)|(kpr)|(kdp)|(train st.+moving)|(\|lc)|(penalty))"</v>
      </c>
      <c r="AG150" s="182" t="str">
        <f t="shared" si="71"/>
        <v>EC</v>
      </c>
      <c r="AH150" s="78" t="str">
        <f t="shared" si="74"/>
        <v>"%USERPROFILE%\Documents\GitHub\eaglep3\Utilities\RefineRTDCRunTimes.py" --tripid 234-12 --locoid 4015 --swversion DE.1.0.9.0 --startMP 204:232938 --initTime 2017-11-12T22:40:57 --startdatetime 2017-11-12T22:57:13 --delay 105 --endMP 204:274 --enddatetime 2017-11-12T23:36:29 --enforcementcount 0 &gt;&gt;%USERPROFILE%\Documents\GitHub\eaglep3-reporting\EC\2017-11-12-refined-times.txt</v>
      </c>
      <c r="AI150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{"issue":{"subject":"","project_id":79,"tracker_id":40,"status_id":1,"priority_id":2,"assigned_to_id":338,"start_date":"2017-11-12","description":"","custom_fields":[{"id":1,"name":"Subdivision","value":"EC"},{"id":4,"name":"Milepost","value":"0.0274"},{"id":17,"name":"Train ID","value":"234-12"},{"id":16,"name":"Locomotive ID","value":"4015"},{"id":130,"name":"Impact","value":""},{"id":150,"name":"Time of Event (Mountain Time)","value":"23:36:29"},{"id":151,"name":"Denver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75"/>
        <v>start /low /b %USERPROFILE%\Documents\GitHub\eaglep3\Utilities\DownloadLogsFromS3.py --loco 4015 --day 2017-11-12</v>
      </c>
      <c r="AN150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06:36:29"},{"id":29,"name":"Sharepoint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6"/>
        <v>https://d0f6bd738d7f1b3e5a7ca70fe4ff75f0.us-east-1.aws.found.io/app/kibana#/discover/Steve-Slow-Train-Analysis-(2080s-and-2083s)?_g=(refreshInterval:(display:Off,pause:!f,section:0,value:0),time:(from:'2017-11-12T21:40:57-0700',mode:absolute,to:'2017-11-13T00:36:29-0700'))&amp;_a=(columns:!('Message%20ID',Summary),filters:!(),index:'emp_*',interval:auto,query:(query_string:(analyze_wildcard:!t,query:'%22rtdc.l.rtdc.4015%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862</v>
      </c>
      <c r="B151" s="7">
        <v>4004</v>
      </c>
      <c r="C151" s="21" t="s">
        <v>192</v>
      </c>
      <c r="D151" s="21" t="s">
        <v>1037</v>
      </c>
      <c r="E151" s="13">
        <v>43051.924768518518</v>
      </c>
      <c r="F151" s="13">
        <v>43051.937673611108</v>
      </c>
      <c r="G151" s="7">
        <v>86</v>
      </c>
      <c r="H151" s="21" t="s">
        <v>938</v>
      </c>
      <c r="I151" s="13">
        <v>43051.962650462963</v>
      </c>
      <c r="J151" s="7">
        <v>0</v>
      </c>
      <c r="K151" s="89" t="str">
        <f t="shared" si="63"/>
        <v>4003/4004</v>
      </c>
      <c r="L151" s="185" t="str">
        <f>VLOOKUP(A151,'Trips&amp;Operators'!$C$1:$G$99911,5,FALSE)</f>
        <v>RESPASS AARON</v>
      </c>
      <c r="M151" s="6">
        <f t="shared" si="64"/>
        <v>2.4976851855171844E-2</v>
      </c>
      <c r="N151" s="7">
        <f t="shared" si="61"/>
        <v>35.966666671447456</v>
      </c>
      <c r="O151" s="7"/>
      <c r="P151" s="7"/>
      <c r="Q151" s="22"/>
      <c r="R151" s="174"/>
      <c r="S151" s="221">
        <f t="shared" si="62"/>
        <v>1</v>
      </c>
      <c r="T151" s="174" t="str">
        <f t="shared" si="65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6"/>
        <v>https://d0f6bd738d7f1b3e5a7ca70fe4ff75f0.us-east-1.aws.found.io/app/kibana#/discover/Steve-Slow-Train-Analysis-(2080s-and-2083s)?_g=(refreshInterval:(display:Off,pause:!f,section:0,value:0),time:(from:'2017-11-12T21:11:40-0700',mode:absolute,to:'2017-11-13T00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1" s="204" t="str">
        <f>IF(AA151&lt;VLOOKUP(AG151,Variables!$AC$3:$AD$8,2,FALSE),"Y","N")</f>
        <v>N</v>
      </c>
      <c r="X151" s="204">
        <f t="shared" si="77"/>
        <v>1</v>
      </c>
      <c r="Y151" s="204">
        <f t="shared" si="59"/>
        <v>8.6999999999999994E-2</v>
      </c>
      <c r="Z151" s="204">
        <f t="shared" si="60"/>
        <v>23.3263</v>
      </c>
      <c r="AA151" s="204">
        <f t="shared" si="67"/>
        <v>23.2393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9">
        <f t="shared" si="68"/>
        <v>235</v>
      </c>
      <c r="AE151" s="77" t="str">
        <f t="shared" si="69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151" s="74" t="str">
        <f t="shared" si="70"/>
        <v>"C:\Program Files (x86)\AstroGrep\AstroGrep.exe" /e /r /s /spath="%USERPROFILE%\AppData\Local\Temp\OnboardLogs" /stypes="app*4004*20171113*" /stext=" 06:.+((SYSTEM_STATE.+slice.+state.+changed )|(ment ac)|(multiple cpu faults)|(system.+state.+changed )|(\[timeout)|(PRM\|1\|D)|(kpr)|(kdp)|(train st.+moving)|(\|lc)|(penalty))"</v>
      </c>
      <c r="AG151" s="182" t="str">
        <f t="shared" si="71"/>
        <v>EC</v>
      </c>
      <c r="AH151" s="78" t="str">
        <f t="shared" si="74"/>
        <v>"%USERPROFILE%\Documents\GitHub\eaglep3\Utilities\RefineRTDCRunTimes.py" --tripid 235-12 --locoid 4004 --swversion DE.1.0.9.0 --startMP 204:870 --initTime 2017-11-12T22:11:40 --startdatetime 2017-11-12T22:30:15 --delay 86 --endMP 204:233263 --enddatetime 2017-11-12T23:06:13 --enforcementcount 0 &gt;&gt;%USERPROFILE%\Documents\GitHub\eaglep3-reporting\EC\2017-11-12-refined-times.txt</v>
      </c>
      <c r="AI151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{"issue":{"subject":"","project_id":79,"tracker_id":40,"status_id":1,"priority_id":2,"assigned_to_id":338,"start_date":"2017-11-12","description":"","custom_fields":[{"id":1,"name":"Subdivision","value":"EC"},{"id":4,"name":"Milepost","value":"23.3263"},{"id":17,"name":"Train ID","value":"235-12"},{"id":16,"name":"Locomotive ID","value":"4004"},{"id":130,"name":"Impact","value":""},{"id":150,"name":"Time of Event (Mountain Time)","value":"23:06:13"},{"id":151,"name":"Denver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75"/>
        <v>start /low /b %USERPROFILE%\Documents\GitHub\eaglep3\Utilities\DownloadLogsFromS3.py --loco 4004 --day 2017-11-12</v>
      </c>
      <c r="AN151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06:06:13"},{"id":29,"name":"Sharepoint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6"/>
        <v>https://d0f6bd738d7f1b3e5a7ca70fe4ff75f0.us-east-1.aws.found.io/app/kibana#/discover/Steve-Slow-Train-Analysis-(2080s-and-2083s)?_g=(refreshInterval:(display:Off,pause:!f,section:0,value:0),time:(from:'2017-11-12T21:11:40-0700',mode:absolute,to:'2017-11-13T00:06:13-0700'))&amp;_a=(columns:!('Message%20ID',Summary),filters:!(),index:'emp_*',interval:auto,query:(query_string:(analyze_wildcard:!t,query:'%22rtdc.l.rtdc.4004%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660</v>
      </c>
      <c r="B152" s="7">
        <v>4051</v>
      </c>
      <c r="C152" s="21" t="s">
        <v>192</v>
      </c>
      <c r="D152" s="21" t="s">
        <v>1038</v>
      </c>
      <c r="E152" s="13">
        <v>43051.991099537037</v>
      </c>
      <c r="F152" s="13">
        <v>43052.060601851852</v>
      </c>
      <c r="G152" s="7">
        <v>41</v>
      </c>
      <c r="H152" s="21" t="s">
        <v>1039</v>
      </c>
      <c r="I152" s="13">
        <v>43052.088472222225</v>
      </c>
      <c r="J152" s="7">
        <v>0</v>
      </c>
      <c r="K152" s="89" t="str">
        <f t="shared" si="63"/>
        <v>4051/4052</v>
      </c>
      <c r="L152" s="185" t="str">
        <f>VLOOKUP(A152,'Trips&amp;Operators'!$C$1:$G$99911,5,FALSE)</f>
        <v>RESPASS AARON</v>
      </c>
      <c r="M152" s="6">
        <f t="shared" si="64"/>
        <v>2.7870370373420883E-2</v>
      </c>
      <c r="N152" s="7"/>
      <c r="O152" s="7"/>
      <c r="P152" s="7">
        <f>24*60*SUM($M152:$M152)</f>
        <v>40.133333337726071</v>
      </c>
      <c r="Q152" s="22"/>
      <c r="R152" s="174" t="s">
        <v>472</v>
      </c>
      <c r="S152" s="221">
        <f t="shared" si="62"/>
        <v>8.3333333333333329E-2</v>
      </c>
      <c r="T152" s="174" t="str">
        <f t="shared" si="65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216" t="str">
        <f t="shared" si="66"/>
        <v>https://d0f6bd738d7f1b3e5a7ca70fe4ff75f0.us-east-1.aws.found.io/app/kibana#/discover/Steve-Slow-Train-Analysis-(2080s-and-2083s)?_g=(refreshInterval:(display:Off,pause:!f,section:0,value:0),time:(from:'2017-11-12T22:47:11-0700',mode:absolute,to:'2017-11-13T03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2" s="204" t="str">
        <f>IF(AA152&lt;VLOOKUP(AG152,Variables!$AC$3:$AD$8,2,FALSE),"Y","N")</f>
        <v>Y</v>
      </c>
      <c r="X152" s="204">
        <f t="shared" si="77"/>
        <v>1</v>
      </c>
      <c r="Y152" s="204">
        <f t="shared" ref="Y152:Y178" si="78">RIGHT(D152,LEN(D152)-4)/10000</f>
        <v>8.6349</v>
      </c>
      <c r="Z152" s="204">
        <f t="shared" ref="Z152:Z178" si="79">RIGHT(H152,LEN(H152)-4)/10000</f>
        <v>6.9737</v>
      </c>
      <c r="AA152" s="204">
        <f t="shared" si="67"/>
        <v>1.6612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9">
        <f t="shared" si="68"/>
        <v>236</v>
      </c>
      <c r="AE152" s="77" t="str">
        <f t="shared" si="69"/>
        <v>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 &amp; 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</v>
      </c>
      <c r="AF152" s="74" t="str">
        <f t="shared" si="70"/>
        <v>"C:\Program Files (x86)\AstroGrep\AstroGrep.exe" /e /r /s /spath="%USERPROFILE%\AppData\Local\Temp\OnboardLogs" /stypes="app*4051*20171113*" /stext=" 09:.+((SYSTEM_STATE.+slice.+state.+changed )|(ment ac)|(multiple cpu faults)|(system.+state.+changed )|(\[timeout)|(PRM\|1\|D)|(kpr)|(kdp)|(train st.+moving)|(\|lc)|(penalty))"</v>
      </c>
      <c r="AG152" s="182" t="str">
        <f t="shared" si="71"/>
        <v>EC</v>
      </c>
      <c r="AH152" s="78" t="str">
        <f t="shared" si="74"/>
        <v>"%USERPROFILE%\Documents\GitHub\eaglep3\Utilities\RefineRTDCRunTimes.py" --tripid 236-12 --locoid 4051 --swversion DE.1.0.9.0 --startMP 204:86349 --initTime 2017-11-12T23:47:11 --startdatetime 2017-11-13T01:27:16 --delay 41 --endMP 204:69737 --enddatetime 2017-11-13T02:07:24 --enforcementcount 0 &gt;&gt;%USERPROFILE%\Documents\GitHub\eaglep3-reporting\EC\2017-11-12-refined-times.txt</v>
      </c>
      <c r="AI152" s="96" t="str">
        <f t="shared" si="72"/>
        <v>echo {"issue":{"subject":"Wi-MAX data drop","project_id":79,"tracker_id":40,"status_id":1,"priority_id":2,"assigned_to_id":338,"start_date":"2017-11-13","description":"","custom_fields":[{"id":1,"name":"Subdivision","value":"EC"},{"id":4,"name":"Milepost","value":"6.9737"},{"id":17,"name":"Train ID","value":"236-12"},{"id":16,"name":"Locomotive ID","value":"4051"},{"id":130,"name":"Impact","value":""},{"id":150,"name":"Time of Event (Mountain Time)","value":"02:07:24"},{"id":151,"name":"Denver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75"/>
        <v>start /low /b %USERPROFILE%\Documents\GitHub\eaglep3\Utilities\DownloadLogsFromS3.py --loco 4051 --day 2017-11-13</v>
      </c>
      <c r="AN152" s="151" t="str">
        <f t="shared" si="73"/>
        <v>echo {"issue":{"subject":"Wi-MAX data drop","project_id":30,"tracker_id":4,"status_id":1,"priority_id":1,"assigned_to_id":10,"start_date":"2017-11-13","description":"","custom_fields":[{"id":30,"name":"Category","value":"Issue"},{"id":3,"name":"Functional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09:07:24"},{"id":29,"name":"Sharepoint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6"/>
        <v>https://d0f6bd738d7f1b3e5a7ca70fe4ff75f0.us-east-1.aws.found.io/app/kibana#/discover/Steve-Slow-Train-Analysis-(2080s-and-2083s)?_g=(refreshInterval:(display:Off,pause:!f,section:0,value:0),time:(from:'2017-11-12T22:47:11-0700',mode:absolute,to:'2017-11-13T03:07:24-0700'))&amp;_a=(columns:!('Message%20ID',Summary),filters:!(),index:'emp_*',interval:auto,query:(query_string:(analyze_wildcard:!t,query:'%22rtdc.l.rtdc.4051%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865</v>
      </c>
      <c r="B153" s="7">
        <v>4064</v>
      </c>
      <c r="C153" s="21" t="s">
        <v>192</v>
      </c>
      <c r="D153" s="21" t="s">
        <v>1040</v>
      </c>
      <c r="E153" s="13">
        <v>43051.94872685185</v>
      </c>
      <c r="F153" s="13">
        <v>43051.958715277775</v>
      </c>
      <c r="G153" s="7">
        <v>79</v>
      </c>
      <c r="H153" s="21" t="s">
        <v>1041</v>
      </c>
      <c r="I153" s="13">
        <v>43051.982754629629</v>
      </c>
      <c r="J153" s="7">
        <v>0</v>
      </c>
      <c r="K153" s="89" t="str">
        <f t="shared" si="63"/>
        <v>4063/4064</v>
      </c>
      <c r="L153" s="185" t="str">
        <f>VLOOKUP(A153,'Trips&amp;Operators'!$C$1:$G$99911,5,FALSE)</f>
        <v>STAMBAUGH JAMES</v>
      </c>
      <c r="M153" s="6">
        <f t="shared" si="64"/>
        <v>2.4039351854298729E-2</v>
      </c>
      <c r="N153" s="7">
        <f t="shared" ref="N153:N175" si="80">24*60*SUM($M153:$M153)</f>
        <v>34.61666667019017</v>
      </c>
      <c r="O153" s="7"/>
      <c r="P153" s="7"/>
      <c r="Q153" s="22"/>
      <c r="R153" s="174"/>
      <c r="S153" s="221">
        <f t="shared" si="62"/>
        <v>1</v>
      </c>
      <c r="T153" s="174" t="str">
        <f t="shared" si="65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6"/>
        <v>https://d0f6bd738d7f1b3e5a7ca70fe4ff75f0.us-east-1.aws.found.io/app/kibana#/discover/Steve-Slow-Train-Analysis-(2080s-and-2083s)?_g=(refreshInterval:(display:Off,pause:!f,section:0,value:0),time:(from:'2017-11-12T21:46:10-0700',mode:absolute,to:'2017-11-13T00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3" s="204" t="str">
        <f>IF(AA153&lt;VLOOKUP(AG153,Variables!$AC$3:$AD$8,2,FALSE),"Y","N")</f>
        <v>N</v>
      </c>
      <c r="X153" s="204">
        <f t="shared" si="77"/>
        <v>1</v>
      </c>
      <c r="Y153" s="204">
        <f t="shared" si="78"/>
        <v>7.7700000000000005E-2</v>
      </c>
      <c r="Z153" s="204">
        <f t="shared" si="79"/>
        <v>23.3385</v>
      </c>
      <c r="AA153" s="204">
        <f t="shared" si="67"/>
        <v>23.2608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9">
        <f t="shared" si="68"/>
        <v>237</v>
      </c>
      <c r="AE153" s="77" t="str">
        <f t="shared" si="69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153" s="74" t="str">
        <f t="shared" si="70"/>
        <v>"C:\Program Files (x86)\AstroGrep\AstroGrep.exe" /e /r /s /spath="%USERPROFILE%\AppData\Local\Temp\OnboardLogs" /stypes="app*4064*20171113*" /stext=" 06:.+((SYSTEM_STATE.+slice.+state.+changed )|(ment ac)|(multiple cpu faults)|(system.+state.+changed )|(\[timeout)|(PRM\|1\|D)|(kpr)|(kdp)|(train st.+moving)|(\|lc)|(penalty))"</v>
      </c>
      <c r="AG153" s="182" t="str">
        <f t="shared" si="71"/>
        <v>EC</v>
      </c>
      <c r="AH153" s="78" t="str">
        <f t="shared" si="74"/>
        <v>"%USERPROFILE%\Documents\GitHub\eaglep3\Utilities\RefineRTDCRunTimes.py" --tripid 237-12 --locoid 4064 --swversion DE.1.0.9.0 --startMP 204:777 --initTime 2017-11-12T22:46:10 --startdatetime 2017-11-12T23:00:33 --delay 79 --endMP 204:233385 --enddatetime 2017-11-12T23:35:10 --enforcementcount 0 &gt;&gt;%USERPROFILE%\Documents\GitHub\eaglep3-reporting\EC\2017-11-12-refined-times.txt</v>
      </c>
      <c r="AI153" s="96" t="str">
        <f t="shared" si="72"/>
        <v>echo {"issue":{"subject":"","project_id":79,"tracker_id":40,"status_id":1,"priority_id":2,"assigned_to_id":338,"start_date":"2017-11-12","description":"","custom_fields":[{"id":1,"name":"Subdivision","value":"EC"},{"id":4,"name":"Milepost","value":"23.3385"},{"id":17,"name":"Train ID","value":"237-12"},{"id":16,"name":"Locomotive ID","value":"4064"},{"id":130,"name":"Impact","value":""},{"id":150,"name":"Time of Event (Mountain Time)","value":"23:35:10"},{"id":151,"name":"Denver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75"/>
        <v>start /low /b %USERPROFILE%\Documents\GitHub\eaglep3\Utilities\DownloadLogsFromS3.py --loco 4064 --day 2017-11-12</v>
      </c>
      <c r="AN153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06:35:10"},{"id":29,"name":"Sharepoint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6"/>
        <v>https://d0f6bd738d7f1b3e5a7ca70fe4ff75f0.us-east-1.aws.found.io/app/kibana#/discover/Steve-Slow-Train-Analysis-(2080s-and-2083s)?_g=(refreshInterval:(display:Off,pause:!f,section:0,value:0),time:(from:'2017-11-12T21:46:10-0700',mode:absolute,to:'2017-11-13T00:35:10-0700'))&amp;_a=(columns:!('Message%20ID',Summary),filters:!(),index:'emp_*',interval:auto,query:(query_string:(analyze_wildcard:!t,query:'%22rtdc.l.rtdc.4064%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869</v>
      </c>
      <c r="B154" s="7">
        <v>4005</v>
      </c>
      <c r="C154" s="21" t="s">
        <v>192</v>
      </c>
      <c r="D154" s="21" t="s">
        <v>1042</v>
      </c>
      <c r="E154" s="13">
        <v>43051.994351851848</v>
      </c>
      <c r="F154" s="13">
        <v>43051.998437499999</v>
      </c>
      <c r="G154" s="7">
        <v>85</v>
      </c>
      <c r="H154" s="21" t="s">
        <v>600</v>
      </c>
      <c r="I154" s="13">
        <v>43052.023912037039</v>
      </c>
      <c r="J154" s="7">
        <v>0</v>
      </c>
      <c r="K154" s="89" t="str">
        <f t="shared" si="63"/>
        <v>4005/4006</v>
      </c>
      <c r="L154" s="185" t="str">
        <f>VLOOKUP(A154,'Trips&amp;Operators'!$C$1:$G$99911,5,FALSE)</f>
        <v>STAMBAUGH JAMES</v>
      </c>
      <c r="M154" s="6">
        <f t="shared" si="64"/>
        <v>2.5474537040281575E-2</v>
      </c>
      <c r="N154" s="7">
        <f t="shared" si="80"/>
        <v>36.683333338005468</v>
      </c>
      <c r="O154" s="7"/>
      <c r="P154" s="7"/>
      <c r="Q154" s="22"/>
      <c r="R154" s="174"/>
      <c r="S154" s="221">
        <f t="shared" si="62"/>
        <v>1</v>
      </c>
      <c r="T154" s="174" t="str">
        <f t="shared" si="65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6"/>
        <v>https://d0f6bd738d7f1b3e5a7ca70fe4ff75f0.us-east-1.aws.found.io/app/kibana#/discover/Steve-Slow-Train-Analysis-(2080s-and-2083s)?_g=(refreshInterval:(display:Off,pause:!f,section:0,value:0),time:(from:'2017-11-12T22:51:52-0700',mode:absolute,to:'2017-11-13T01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204" t="str">
        <f>IF(AA154&lt;VLOOKUP(AG154,Variables!$AC$3:$AD$8,2,FALSE),"Y","N")</f>
        <v>N</v>
      </c>
      <c r="X154" s="204">
        <f t="shared" si="77"/>
        <v>1</v>
      </c>
      <c r="Y154" s="204">
        <f t="shared" si="78"/>
        <v>23.275200000000002</v>
      </c>
      <c r="Z154" s="204">
        <f t="shared" si="79"/>
        <v>1.3899999999999999E-2</v>
      </c>
      <c r="AA154" s="204">
        <f t="shared" si="67"/>
        <v>23.261300000000002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9">
        <f t="shared" si="68"/>
        <v>238</v>
      </c>
      <c r="AE154" s="77" t="str">
        <f t="shared" si="69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154" s="74" t="str">
        <f t="shared" si="70"/>
        <v>"C:\Program Files (x86)\AstroGrep\AstroGrep.exe" /e /r /s /spath="%USERPROFILE%\AppData\Local\Temp\OnboardLogs" /stypes="app*4005*20171113*" /stext=" 07:.+((SYSTEM_STATE.+slice.+state.+changed )|(ment ac)|(multiple cpu faults)|(system.+state.+changed )|(\[timeout)|(PRM\|1\|D)|(kpr)|(kdp)|(train st.+moving)|(\|lc)|(penalty))"</v>
      </c>
      <c r="AG154" s="182" t="str">
        <f t="shared" si="71"/>
        <v>EC</v>
      </c>
      <c r="AH154" s="78" t="str">
        <f t="shared" si="74"/>
        <v>"%USERPROFILE%\Documents\GitHub\eaglep3\Utilities\RefineRTDCRunTimes.py" --tripid 238-12 --locoid 4005 --swversion DE.1.0.9.0 --startMP 204:232752 --initTime 2017-11-12T23:51:52 --startdatetime 2017-11-12T23:57:45 --delay 85 --endMP 204:139 --enddatetime 2017-11-13T00:34:26 --enforcementcount 0 &gt;&gt;%USERPROFILE%\Documents\GitHub\eaglep3-reporting\EC\2017-11-12-refined-times.txt</v>
      </c>
      <c r="AI154" s="96" t="str">
        <f t="shared" si="72"/>
        <v>echo {"issue":{"subject":"","project_id":79,"tracker_id":40,"status_id":1,"priority_id":2,"assigned_to_id":338,"start_date":"2017-11-13","description":"","custom_fields":[{"id":1,"name":"Subdivision","value":"EC"},{"id":4,"name":"Milepost","value":"0.0139"},{"id":17,"name":"Train ID","value":"238-12"},{"id":16,"name":"Locomotive ID","value":"4005"},{"id":130,"name":"Impact","value":""},{"id":150,"name":"Time of Event (Mountain Time)","value":"00:34:26"},{"id":151,"name":"Denver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75"/>
        <v>start /low /b %USERPROFILE%\Documents\GitHub\eaglep3\Utilities\DownloadLogsFromS3.py --loco 4005 --day 2017-11-12</v>
      </c>
      <c r="AN154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6"/>
        <v>https://d0f6bd738d7f1b3e5a7ca70fe4ff75f0.us-east-1.aws.found.io/app/kibana#/discover/Steve-Slow-Train-Analysis-(2080s-and-2083s)?_g=(refreshInterval:(display:Off,pause:!f,section:0,value:0),time:(from:'2017-11-12T22:51:52-0700',mode:absolute,to:'2017-11-13T01:34:26-0700'))&amp;_a=(columns:!('Message%20ID',Summary),filters:!(),index:'emp_*',interval:auto,query:(query_string:(analyze_wildcard:!t,query:'%22rtdc.l.rtdc.4005%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867</v>
      </c>
      <c r="B155" s="7">
        <v>4042</v>
      </c>
      <c r="C155" s="21" t="s">
        <v>192</v>
      </c>
      <c r="D155" s="21" t="s">
        <v>883</v>
      </c>
      <c r="E155" s="13">
        <v>43051.96329861111</v>
      </c>
      <c r="F155" s="13">
        <v>43051.979363425926</v>
      </c>
      <c r="G155" s="7">
        <v>79</v>
      </c>
      <c r="H155" s="21" t="s">
        <v>886</v>
      </c>
      <c r="I155" s="13">
        <v>43052.007731481484</v>
      </c>
      <c r="J155" s="7">
        <v>0</v>
      </c>
      <c r="K155" s="89" t="str">
        <f t="shared" si="63"/>
        <v>4041/4042</v>
      </c>
      <c r="L155" s="185" t="str">
        <f>VLOOKUP(A155,'Trips&amp;Operators'!$C$1:$G$99911,5,FALSE)</f>
        <v>LOZA FIDEL</v>
      </c>
      <c r="M155" s="6">
        <f t="shared" si="64"/>
        <v>2.8368055558530614E-2</v>
      </c>
      <c r="N155" s="7">
        <f t="shared" si="80"/>
        <v>40.850000004284084</v>
      </c>
      <c r="O155" s="7"/>
      <c r="P155" s="7"/>
      <c r="Q155" s="22"/>
      <c r="R155" s="174"/>
      <c r="S155" s="221">
        <f t="shared" si="62"/>
        <v>1</v>
      </c>
      <c r="T155" s="174" t="str">
        <f t="shared" si="65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6"/>
        <v>https://d0f6bd738d7f1b3e5a7ca70fe4ff75f0.us-east-1.aws.found.io/app/kibana#/discover/Steve-Slow-Train-Analysis-(2080s-and-2083s)?_g=(refreshInterval:(display:Off,pause:!f,section:0,value:0),time:(from:'2017-11-12T22:07:09-0700',mode:absolute,to:'2017-11-13T01:11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5" s="204" t="str">
        <f>IF(AA155&lt;VLOOKUP(AG155,Variables!$AC$3:$AD$8,2,FALSE),"Y","N")</f>
        <v>N</v>
      </c>
      <c r="X155" s="204">
        <f t="shared" si="77"/>
        <v>1</v>
      </c>
      <c r="Y155" s="204">
        <f t="shared" si="78"/>
        <v>4.9799999999999997E-2</v>
      </c>
      <c r="Z155" s="204">
        <f t="shared" si="79"/>
        <v>23.323</v>
      </c>
      <c r="AA155" s="204">
        <f t="shared" si="67"/>
        <v>23.273199999999999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9">
        <f t="shared" si="68"/>
        <v>239</v>
      </c>
      <c r="AE155" s="77" t="str">
        <f t="shared" si="69"/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AF155" s="74" t="str">
        <f t="shared" si="70"/>
        <v>"C:\Program Files (x86)\AstroGrep\AstroGrep.exe" /e /r /s /spath="%USERPROFILE%\AppData\Local\Temp\OnboardLogs" /stypes="app*4042*20171113*" /stext=" 07:.+((SYSTEM_STATE.+slice.+state.+changed )|(ment ac)|(multiple cpu faults)|(system.+state.+changed )|(\[timeout)|(PRM\|1\|D)|(kpr)|(kdp)|(train st.+moving)|(\|lc)|(penalty))"</v>
      </c>
      <c r="AG155" s="182" t="str">
        <f t="shared" si="71"/>
        <v>EC</v>
      </c>
      <c r="AH155" s="78" t="str">
        <f t="shared" si="74"/>
        <v>"%USERPROFILE%\Documents\GitHub\eaglep3\Utilities\RefineRTDCRunTimes.py" --tripid 239-12 --locoid 4042 --swversion DE.1.0.9.0 --startMP 204:498 --initTime 2017-11-12T23:07:09 --startdatetime 2017-11-12T23:30:17 --delay 79 --endMP 204:233230 --enddatetime 2017-11-13T00:11:08 --enforcementcount 0 &gt;&gt;%USERPROFILE%\Documents\GitHub\eaglep3-reporting\EC\2017-11-12-refined-times.txt</v>
      </c>
      <c r="AI155" s="96" t="str">
        <f t="shared" si="72"/>
        <v>echo {"issue":{"subject":"","project_id":79,"tracker_id":40,"status_id":1,"priority_id":2,"assigned_to_id":338,"start_date":"2017-11-13","description":"","custom_fields":[{"id":1,"name":"Subdivision","value":"EC"},{"id":4,"name":"Milepost","value":"23.323"},{"id":17,"name":"Train ID","value":"239-12"},{"id":16,"name":"Locomotive ID","value":"4042"},{"id":130,"name":"Impact","value":""},{"id":150,"name":"Time of Event (Mountain Time)","value":"00:11:08"},{"id":151,"name":"Denver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75"/>
        <v>start /low /b %USERPROFILE%\Documents\GitHub\eaglep3\Utilities\DownloadLogsFromS3.py --loco 4042 --day 2017-11-12</v>
      </c>
      <c r="AN155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07:11:08"},{"id":29,"name":"Sharepoint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6"/>
        <v>https://d0f6bd738d7f1b3e5a7ca70fe4ff75f0.us-east-1.aws.found.io/app/kibana#/discover/Steve-Slow-Train-Analysis-(2080s-and-2083s)?_g=(refreshInterval:(display:Off,pause:!f,section:0,value:0),time:(from:'2017-11-12T22:07:09-0700',mode:absolute,to:'2017-11-13T01:11:08-0700'))&amp;_a=(columns:!('Message%20ID',Summary),filters:!(),index:'emp_*',interval:auto,query:(query_string:(analyze_wildcard:!t,query:'%22rtdc.l.rtdc.4042%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871</v>
      </c>
      <c r="B156" s="7">
        <v>4041</v>
      </c>
      <c r="C156" s="21" t="s">
        <v>192</v>
      </c>
      <c r="D156" s="21" t="s">
        <v>1043</v>
      </c>
      <c r="E156" s="13">
        <v>43052.015208333331</v>
      </c>
      <c r="F156" s="13">
        <v>43052.019282407404</v>
      </c>
      <c r="G156" s="7">
        <v>75</v>
      </c>
      <c r="H156" s="21" t="s">
        <v>1044</v>
      </c>
      <c r="I156" s="13">
        <v>43052.045439814814</v>
      </c>
      <c r="J156" s="7">
        <v>0</v>
      </c>
      <c r="K156" s="89" t="str">
        <f t="shared" si="63"/>
        <v>4041/4042</v>
      </c>
      <c r="L156" s="185" t="str">
        <f>VLOOKUP(A156,'Trips&amp;Operators'!$C$1:$G$99911,5,FALSE)</f>
        <v>LOZA FIDEL</v>
      </c>
      <c r="M156" s="6">
        <f t="shared" si="64"/>
        <v>2.6157407410209998E-2</v>
      </c>
      <c r="N156" s="7">
        <f t="shared" si="80"/>
        <v>37.666666670702398</v>
      </c>
      <c r="O156" s="7"/>
      <c r="P156" s="7"/>
      <c r="Q156" s="22"/>
      <c r="R156" s="174"/>
      <c r="S156" s="221">
        <f t="shared" si="62"/>
        <v>1</v>
      </c>
      <c r="T156" s="174" t="str">
        <f t="shared" si="65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6"/>
        <v>https://d0f6bd738d7f1b3e5a7ca70fe4ff75f0.us-east-1.aws.found.io/app/kibana#/discover/Steve-Slow-Train-Analysis-(2080s-and-2083s)?_g=(refreshInterval:(display:Off,pause:!f,section:0,value:0),time:(from:'2017-11-12T23:21:54-0700',mode:absolute,to:'2017-11-13T02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6" s="204" t="str">
        <f>IF(AA156&lt;VLOOKUP(AG156,Variables!$AC$3:$AD$8,2,FALSE),"Y","N")</f>
        <v>N</v>
      </c>
      <c r="X156" s="204">
        <f t="shared" si="77"/>
        <v>1</v>
      </c>
      <c r="Y156" s="204">
        <f t="shared" si="78"/>
        <v>23.293399999999998</v>
      </c>
      <c r="Z156" s="204">
        <f t="shared" si="79"/>
        <v>1.55E-2</v>
      </c>
      <c r="AA156" s="204">
        <f t="shared" si="67"/>
        <v>23.277899999999999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9">
        <f t="shared" si="68"/>
        <v>240</v>
      </c>
      <c r="AE156" s="77" t="str">
        <f t="shared" si="69"/>
        <v>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 &amp; aws s3 cp s3://rtdc.mdm.uploadarchive.raw/RTDC4041/ "%USERPROFILE%\AppData\Local\Temp\OnboardLogs"\RTDC4041\2017-11-14 --exclude "*" --recursive --include "*20171114*" &amp; "%USERPROFILE%\Documents\GitHub\mrs-test-scripts\Headless Mode &amp; Sideloading\WalkAndUnGZ.bat" "%USERPROFILE%\AppData\Local\Temp\OnboardLogs"\RTDC4041\2017-11-14</v>
      </c>
      <c r="AF156" s="74" t="str">
        <f t="shared" si="70"/>
        <v>"C:\Program Files (x86)\AstroGrep\AstroGrep.exe" /e /r /s /spath="%USERPROFILE%\AppData\Local\Temp\OnboardLogs" /stypes="app*4041*20171113*" /stext=" 08:.+((SYSTEM_STATE.+slice.+state.+changed )|(ment ac)|(multiple cpu faults)|(system.+state.+changed )|(\[timeout)|(PRM\|1\|D)|(kpr)|(kdp)|(train st.+moving)|(\|lc)|(penalty))"</v>
      </c>
      <c r="AG156" s="182" t="str">
        <f t="shared" si="71"/>
        <v>EC</v>
      </c>
      <c r="AH156" s="78" t="str">
        <f t="shared" si="74"/>
        <v>"%USERPROFILE%\Documents\GitHub\eaglep3\Utilities\RefineRTDCRunTimes.py" --tripid 240-12 --locoid 4041 --swversion DE.1.0.9.0 --startMP 204:232934 --initTime 2017-11-13T00:21:54 --startdatetime 2017-11-13T00:27:46 --delay 75 --endMP 204:155 --enddatetime 2017-11-13T01:05:26 --enforcementcount 0 &gt;&gt;%USERPROFILE%\Documents\GitHub\eaglep3-reporting\EC\2017-11-12-refined-times.txt</v>
      </c>
      <c r="AI156" s="96" t="str">
        <f t="shared" si="72"/>
        <v>echo {"issue":{"subject":"","project_id":79,"tracker_id":40,"status_id":1,"priority_id":2,"assigned_to_id":338,"start_date":"2017-11-13","description":"","custom_fields":[{"id":1,"name":"Subdivision","value":"EC"},{"id":4,"name":"Milepost","value":"0.0155"},{"id":17,"name":"Train ID","value":"240-12"},{"id":16,"name":"Locomotive ID","value":"4041"},{"id":130,"name":"Impact","value":""},{"id":150,"name":"Time of Event (Mountain Time)","value":"01:05:26"},{"id":151,"name":"Denver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75"/>
        <v>start /low /b %USERPROFILE%\Documents\GitHub\eaglep3\Utilities\DownloadLogsFromS3.py --loco 4041 --day 2017-11-13</v>
      </c>
      <c r="AN156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08:05:26"},{"id":29,"name":"Sharepoint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6"/>
        <v>https://d0f6bd738d7f1b3e5a7ca70fe4ff75f0.us-east-1.aws.found.io/app/kibana#/discover/Steve-Slow-Train-Analysis-(2080s-and-2083s)?_g=(refreshInterval:(display:Off,pause:!f,section:0,value:0),time:(from:'2017-11-12T23:21:54-0700',mode:absolute,to:'2017-11-13T02:05:26-0700'))&amp;_a=(columns:!('Message%20ID',Summary),filters:!(),index:'emp_*',interval:auto,query:(query_string:(analyze_wildcard:!t,query:'%22rtdc.l.rtdc.4041%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661</v>
      </c>
      <c r="B157" s="7">
        <v>4016</v>
      </c>
      <c r="C157" s="21" t="s">
        <v>192</v>
      </c>
      <c r="D157" s="21" t="s">
        <v>1045</v>
      </c>
      <c r="E157" s="13">
        <v>43051.987951388888</v>
      </c>
      <c r="F157" s="13">
        <v>43052.000162037039</v>
      </c>
      <c r="G157" s="7">
        <v>53</v>
      </c>
      <c r="H157" s="21" t="s">
        <v>945</v>
      </c>
      <c r="I157" s="13">
        <v>43052.02449074074</v>
      </c>
      <c r="J157" s="7">
        <v>0</v>
      </c>
      <c r="K157" s="89" t="str">
        <f t="shared" si="63"/>
        <v>4015/4016</v>
      </c>
      <c r="L157" s="185" t="str">
        <f>VLOOKUP(A157,'Trips&amp;Operators'!$C$1:$G$99911,5,FALSE)</f>
        <v>ELBAUM MIKE</v>
      </c>
      <c r="M157" s="6">
        <f t="shared" si="64"/>
        <v>2.4328703701030463E-2</v>
      </c>
      <c r="N157" s="7">
        <f t="shared" si="80"/>
        <v>35.033333329483867</v>
      </c>
      <c r="O157" s="7"/>
      <c r="P157" s="7"/>
      <c r="Q157" s="22"/>
      <c r="R157" s="174"/>
      <c r="S157" s="221">
        <f t="shared" si="62"/>
        <v>1</v>
      </c>
      <c r="T157" s="174" t="str">
        <f t="shared" si="65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6"/>
        <v>https://d0f6bd738d7f1b3e5a7ca70fe4ff75f0.us-east-1.aws.found.io/app/kibana#/discover/Steve-Slow-Train-Analysis-(2080s-and-2083s)?_g=(refreshInterval:(display:Off,pause:!f,section:0,value:0),time:(from:'2017-11-12T22:42:39-0700',mode:absolute,to:'2017-11-13T01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7" s="204" t="str">
        <f>IF(AA157&lt;VLOOKUP(AG157,Variables!$AC$3:$AD$8,2,FALSE),"Y","N")</f>
        <v>N</v>
      </c>
      <c r="X157" s="204">
        <f t="shared" si="77"/>
        <v>1</v>
      </c>
      <c r="Y157" s="204">
        <f t="shared" si="78"/>
        <v>5.8400000000000001E-2</v>
      </c>
      <c r="Z157" s="204">
        <f t="shared" si="79"/>
        <v>23.322399999999998</v>
      </c>
      <c r="AA157" s="204">
        <f t="shared" si="67"/>
        <v>23.263999999999999</v>
      </c>
      <c r="AB157" s="54" t="str">
        <f>VLOOKUP(A157,Enforcements!$C$7:$K$9,8,0)</f>
        <v>PTC function (8)</v>
      </c>
      <c r="AC157" s="51" t="str">
        <f>VLOOKUP(A157,Enforcements!$C$7:$E$9,3,0)</f>
        <v>NON SYNCHRONIZED SUBDIV</v>
      </c>
      <c r="AD157" s="179">
        <f t="shared" si="68"/>
        <v>241</v>
      </c>
      <c r="AE157" s="77" t="str">
        <f t="shared" si="69"/>
        <v>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 &amp; aws s3 cp s3://rtdc.mdm.uploadarchive.raw/RTDC4016/ "%USERPROFILE%\AppData\Local\Temp\OnboardLogs"\RTDC4016\2017-11-14 --exclude "*" --recursive --include "*20171114*" &amp; "%USERPROFILE%\Documents\GitHub\mrs-test-scripts\Headless Mode &amp; Sideloading\WalkAndUnGZ.bat" "%USERPROFILE%\AppData\Local\Temp\OnboardLogs"\RTDC4016\2017-11-14</v>
      </c>
      <c r="AF157" s="74" t="str">
        <f t="shared" si="70"/>
        <v>"C:\Program Files (x86)\AstroGrep\AstroGrep.exe" /e /r /s /spath="%USERPROFILE%\AppData\Local\Temp\OnboardLogs" /stypes="app*4016*20171113*" /stext=" 07:.+((SYSTEM_STATE.+slice.+state.+changed )|(ment ac)|(multiple cpu faults)|(system.+state.+changed )|(\[timeout)|(PRM\|1\|D)|(kpr)|(kdp)|(train st.+moving)|(\|lc)|(penalty))"</v>
      </c>
      <c r="AG157" s="182" t="str">
        <f t="shared" si="71"/>
        <v>EC</v>
      </c>
      <c r="AH157" s="78" t="str">
        <f t="shared" si="74"/>
        <v>"%USERPROFILE%\Documents\GitHub\eaglep3\Utilities\RefineRTDCRunTimes.py" --tripid 241-12 --locoid 4016 --swversion DE.1.0.9.0 --startMP 204:584 --initTime 2017-11-12T23:42:39 --startdatetime 2017-11-13T00:00:14 --delay 53 --endMP 204:233224 --enddatetime 2017-11-13T00:35:16 --enforcementcount 0 &gt;&gt;%USERPROFILE%\Documents\GitHub\eaglep3-reporting\EC\2017-11-12-refined-times.txt</v>
      </c>
      <c r="AI157" s="96" t="str">
        <f t="shared" si="72"/>
        <v>echo {"issue":{"subject":"","project_id":79,"tracker_id":40,"status_id":1,"priority_id":2,"assigned_to_id":338,"start_date":"2017-11-13","description":"","custom_fields":[{"id":1,"name":"Subdivision","value":"EC"},{"id":4,"name":"Milepost","value":"23.3224"},{"id":17,"name":"Train ID","value":"241-12"},{"id":16,"name":"Locomotive ID","value":"4016"},{"id":130,"name":"Impact","value":""},{"id":150,"name":"Time of Event (Mountain Time)","value":"00:35:16"},{"id":151,"name":"Denver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75"/>
        <v>start /low /b %USERPROFILE%\Documents\GitHub\eaglep3\Utilities\DownloadLogsFromS3.py --loco 4016 --day 2017-11-13</v>
      </c>
      <c r="AN157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07:35:16"},{"id":29,"name":"Sharepoint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6"/>
        <v>https://d0f6bd738d7f1b3e5a7ca70fe4ff75f0.us-east-1.aws.found.io/app/kibana#/discover/Steve-Slow-Train-Analysis-(2080s-and-2083s)?_g=(refreshInterval:(display:Off,pause:!f,section:0,value:0),time:(from:'2017-11-12T22:42:39-0700',mode:absolute,to:'2017-11-13T01:35:16-0700'))&amp;_a=(columns:!('Message%20ID',Summary),filters:!(),index:'emp_*',interval:auto,query:(query_string:(analyze_wildcard:!t,query:'%22rtdc.l.rtdc.4016%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664</v>
      </c>
      <c r="B158" s="7">
        <v>4015</v>
      </c>
      <c r="C158" s="21" t="s">
        <v>192</v>
      </c>
      <c r="D158" s="21" t="s">
        <v>1043</v>
      </c>
      <c r="E158" s="13">
        <v>43052.033009259256</v>
      </c>
      <c r="F158" s="13">
        <v>43052.039722222224</v>
      </c>
      <c r="G158" s="7">
        <v>54</v>
      </c>
      <c r="H158" s="21" t="s">
        <v>1046</v>
      </c>
      <c r="I158" s="13">
        <v>43052.068067129629</v>
      </c>
      <c r="J158" s="7">
        <v>0</v>
      </c>
      <c r="K158" s="89" t="str">
        <f t="shared" si="63"/>
        <v>4015/4016</v>
      </c>
      <c r="L158" s="185" t="str">
        <f>VLOOKUP(A158,'Trips&amp;Operators'!$C$1:$G$99911,5,FALSE)</f>
        <v>ELBAUM MIKE</v>
      </c>
      <c r="M158" s="6">
        <f t="shared" si="64"/>
        <v>2.8344907404971309E-2</v>
      </c>
      <c r="N158" s="7">
        <f t="shared" si="80"/>
        <v>40.816666663158685</v>
      </c>
      <c r="O158" s="7"/>
      <c r="P158" s="7"/>
      <c r="Q158" s="22"/>
      <c r="R158" s="174"/>
      <c r="S158" s="221">
        <f t="shared" si="62"/>
        <v>1</v>
      </c>
      <c r="T158" s="174" t="str">
        <f t="shared" si="65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66"/>
        <v>https://d0f6bd738d7f1b3e5a7ca70fe4ff75f0.us-east-1.aws.found.io/app/kibana#/discover/Steve-Slow-Train-Analysis-(2080s-and-2083s)?_g=(refreshInterval:(display:Off,pause:!f,section:0,value:0),time:(from:'2017-11-12T23:47:32-0700',mode:absolute,to:'2017-11-13T02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204" t="str">
        <f>IF(AA158&lt;VLOOKUP(AG158,Variables!$AC$3:$AD$8,2,FALSE),"Y","N")</f>
        <v>N</v>
      </c>
      <c r="X158" s="204">
        <f t="shared" si="77"/>
        <v>1</v>
      </c>
      <c r="Y158" s="204">
        <f t="shared" si="78"/>
        <v>23.293399999999998</v>
      </c>
      <c r="Z158" s="204">
        <f t="shared" si="79"/>
        <v>1.5599999999999999E-2</v>
      </c>
      <c r="AA158" s="204">
        <f t="shared" si="67"/>
        <v>23.277799999999999</v>
      </c>
      <c r="AB158" s="54" t="str">
        <f>VLOOKUP(A158,Enforcements!$C$7:$K$9,8,0)</f>
        <v>Bulletin (2)</v>
      </c>
      <c r="AC158" s="51" t="str">
        <f>VLOOKUP(A158,Enforcements!$C$7:$E$9,3,0)</f>
        <v>GRADE CROSSING</v>
      </c>
      <c r="AD158" s="179">
        <f t="shared" si="68"/>
        <v>242</v>
      </c>
      <c r="AE158" s="77" t="str">
        <f t="shared" si="69"/>
        <v>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 &amp; aws s3 cp s3://rtdc.mdm.uploadarchive.raw/RTDC4015/ "%USERPROFILE%\AppData\Local\Temp\OnboardLogs"\RTDC4015\2017-11-14 --exclude "*" --recursive --include "*20171114*" &amp; "%USERPROFILE%\Documents\GitHub\mrs-test-scripts\Headless Mode &amp; Sideloading\WalkAndUnGZ.bat" "%USERPROFILE%\AppData\Local\Temp\OnboardLogs"\RTDC4015\2017-11-14</v>
      </c>
      <c r="AF158" s="74" t="str">
        <f t="shared" si="70"/>
        <v>"C:\Program Files (x86)\AstroGrep\AstroGrep.exe" /e /r /s /spath="%USERPROFILE%\AppData\Local\Temp\OnboardLogs" /stypes="app*4015*20171113*" /stext=" 08:.+((SYSTEM_STATE.+slice.+state.+changed )|(ment ac)|(multiple cpu faults)|(system.+state.+changed )|(\[timeout)|(PRM\|1\|D)|(kpr)|(kdp)|(train st.+moving)|(\|lc)|(penalty))"</v>
      </c>
      <c r="AG158" s="182" t="str">
        <f t="shared" si="71"/>
        <v>EC</v>
      </c>
      <c r="AH158" s="78" t="str">
        <f t="shared" si="74"/>
        <v>"%USERPROFILE%\Documents\GitHub\eaglep3\Utilities\RefineRTDCRunTimes.py" --tripid 242-12 --locoid 4015 --swversion DE.1.0.9.0 --startMP 204:232934 --initTime 2017-11-13T00:47:32 --startdatetime 2017-11-13T00:57:12 --delay 54 --endMP 204:156 --enddatetime 2017-11-13T01:38:01 --enforcementcount 0 &gt;&gt;%USERPROFILE%\Documents\GitHub\eaglep3-reporting\EC\2017-11-12-refined-times.txt</v>
      </c>
      <c r="AI158" s="96" t="str">
        <f t="shared" si="72"/>
        <v>echo {"issue":{"subject":"","project_id":79,"tracker_id":40,"status_id":1,"priority_id":2,"assigned_to_id":338,"start_date":"2017-11-13","description":"","custom_fields":[{"id":1,"name":"Subdivision","value":"EC"},{"id":4,"name":"Milepost","value":"0.0156"},{"id":17,"name":"Train ID","value":"242-12"},{"id":16,"name":"Locomotive ID","value":"4015"},{"id":130,"name":"Impact","value":""},{"id":150,"name":"Time of Event (Mountain Time)","value":"01:38:01"},{"id":151,"name":"Denver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75"/>
        <v>start /low /b %USERPROFILE%\Documents\GitHub\eaglep3\Utilities\DownloadLogsFromS3.py --loco 4015 --day 2017-11-13</v>
      </c>
      <c r="AN158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08:38:01"},{"id":29,"name":"Sharepoint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6"/>
        <v>https://d0f6bd738d7f1b3e5a7ca70fe4ff75f0.us-east-1.aws.found.io/app/kibana#/discover/Steve-Slow-Train-Analysis-(2080s-and-2083s)?_g=(refreshInterval:(display:Off,pause:!f,section:0,value:0),time:(from:'2017-11-12T23:47:32-0700',mode:absolute,to:'2017-11-13T02:38:01-0700'))&amp;_a=(columns:!('Message%20ID',Summary),filters:!(),index:'emp_*',interval:auto,query:(query_string:(analyze_wildcard:!t,query:'%22rtdc.l.rtdc.4015%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870</v>
      </c>
      <c r="B159" s="7">
        <v>4004</v>
      </c>
      <c r="C159" s="21" t="s">
        <v>192</v>
      </c>
      <c r="D159" s="21" t="s">
        <v>1047</v>
      </c>
      <c r="E159" s="13">
        <v>43052.01525462963</v>
      </c>
      <c r="F159" s="13">
        <v>43052.021111111113</v>
      </c>
      <c r="G159" s="7">
        <v>53</v>
      </c>
      <c r="H159" s="21" t="s">
        <v>494</v>
      </c>
      <c r="I159" s="13">
        <v>43052.048842592594</v>
      </c>
      <c r="J159" s="7">
        <v>0</v>
      </c>
      <c r="K159" s="89" t="str">
        <f t="shared" si="63"/>
        <v>4003/4004</v>
      </c>
      <c r="L159" s="185" t="str">
        <f>VLOOKUP(A159,'Trips&amp;Operators'!$C$1:$G$99911,5,FALSE)</f>
        <v>RESPASS AARON</v>
      </c>
      <c r="M159" s="6">
        <f t="shared" si="64"/>
        <v>2.7731481481168885E-2</v>
      </c>
      <c r="N159" s="7">
        <f t="shared" si="80"/>
        <v>39.933333332883194</v>
      </c>
      <c r="O159" s="7"/>
      <c r="P159" s="7"/>
      <c r="Q159" s="22"/>
      <c r="R159" s="174"/>
      <c r="S159" s="221">
        <f t="shared" si="62"/>
        <v>1</v>
      </c>
      <c r="T159" s="174" t="str">
        <f t="shared" si="65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66"/>
        <v>https://d0f6bd738d7f1b3e5a7ca70fe4ff75f0.us-east-1.aws.found.io/app/kibana#/discover/Steve-Slow-Train-Analysis-(2080s-and-2083s)?_g=(refreshInterval:(display:Off,pause:!f,section:0,value:0),time:(from:'2017-11-12T23:21:58-0700',mode:absolute,to:'2017-11-13T02:10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9" s="204" t="str">
        <f>IF(AA159&lt;VLOOKUP(AG159,Variables!$AC$3:$AD$8,2,FALSE),"Y","N")</f>
        <v>N</v>
      </c>
      <c r="X159" s="204">
        <f t="shared" si="77"/>
        <v>1</v>
      </c>
      <c r="Y159" s="204">
        <f t="shared" si="78"/>
        <v>8.72E-2</v>
      </c>
      <c r="Z159" s="204">
        <f t="shared" si="79"/>
        <v>23.325900000000001</v>
      </c>
      <c r="AA159" s="204">
        <f t="shared" si="67"/>
        <v>23.238700000000001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9">
        <f t="shared" si="68"/>
        <v>243</v>
      </c>
      <c r="AE159" s="77" t="str">
        <f t="shared" si="69"/>
        <v>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 &amp; 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</v>
      </c>
      <c r="AF159" s="74" t="str">
        <f t="shared" si="70"/>
        <v>"C:\Program Files (x86)\AstroGrep\AstroGrep.exe" /e /r /s /spath="%USERPROFILE%\AppData\Local\Temp\OnboardLogs" /stypes="app*4004*20171113*" /stext=" 08:.+((SYSTEM_STATE.+slice.+state.+changed )|(ment ac)|(multiple cpu faults)|(system.+state.+changed )|(\[timeout)|(PRM\|1\|D)|(kpr)|(kdp)|(train st.+moving)|(\|lc)|(penalty))"</v>
      </c>
      <c r="AG159" s="182" t="str">
        <f t="shared" si="71"/>
        <v>EC</v>
      </c>
      <c r="AH159" s="78" t="str">
        <f t="shared" si="74"/>
        <v>"%USERPROFILE%\Documents\GitHub\eaglep3\Utilities\RefineRTDCRunTimes.py" --tripid 243-12 --locoid 4004 --swversion DE.1.0.9.0 --startMP 204:872 --initTime 2017-11-13T00:21:58 --startdatetime 2017-11-13T00:30:24 --delay 53 --endMP 204:233259 --enddatetime 2017-11-13T01:10:20 --enforcementcount 0 &gt;&gt;%USERPROFILE%\Documents\GitHub\eaglep3-reporting\EC\2017-11-12-refined-times.txt</v>
      </c>
      <c r="AI159" s="96" t="str">
        <f t="shared" si="72"/>
        <v>echo {"issue":{"subject":"","project_id":79,"tracker_id":40,"status_id":1,"priority_id":2,"assigned_to_id":338,"start_date":"2017-11-13","description":"","custom_fields":[{"id":1,"name":"Subdivision","value":"EC"},{"id":4,"name":"Milepost","value":"23.3259"},{"id":17,"name":"Train ID","value":"243-12"},{"id":16,"name":"Locomotive ID","value":"4004"},{"id":130,"name":"Impact","value":""},{"id":150,"name":"Time of Event (Mountain Time)","value":"01:10:20"},{"id":151,"name":"Denver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75"/>
        <v>start /low /b %USERPROFILE%\Documents\GitHub\eaglep3\Utilities\DownloadLogsFromS3.py --loco 4004 --day 2017-11-13</v>
      </c>
      <c r="AN159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08:10:20"},{"id":29,"name":"Sharepoint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6"/>
        <v>https://d0f6bd738d7f1b3e5a7ca70fe4ff75f0.us-east-1.aws.found.io/app/kibana#/discover/Steve-Slow-Train-Analysis-(2080s-and-2083s)?_g=(refreshInterval:(display:Off,pause:!f,section:0,value:0),time:(from:'2017-11-12T23:21:58-0700',mode:absolute,to:'2017-11-13T02:10:20-0700'))&amp;_a=(columns:!('Message%20ID',Summary),filters:!(),index:'emp_*',interval:auto,query:(query_string:(analyze_wildcard:!t,query:'%22rtdc.l.rtdc.4004%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874</v>
      </c>
      <c r="B160" s="7">
        <v>4051</v>
      </c>
      <c r="C160" s="21" t="s">
        <v>192</v>
      </c>
      <c r="D160" s="21" t="s">
        <v>1048</v>
      </c>
      <c r="E160" s="13">
        <v>43052.052337962959</v>
      </c>
      <c r="F160" s="13">
        <v>43052.060601851852</v>
      </c>
      <c r="G160" s="7">
        <v>91</v>
      </c>
      <c r="H160" s="21" t="s">
        <v>1049</v>
      </c>
      <c r="I160" s="13">
        <v>43052.088472222225</v>
      </c>
      <c r="J160" s="7">
        <v>0</v>
      </c>
      <c r="K160" s="89" t="str">
        <f t="shared" si="63"/>
        <v>4051/4052</v>
      </c>
      <c r="L160" s="185" t="str">
        <f>VLOOKUP(A160,'Trips&amp;Operators'!$C$1:$G$99911,5,FALSE)</f>
        <v>RESPASS AARON</v>
      </c>
      <c r="M160" s="6">
        <f t="shared" si="64"/>
        <v>2.7870370373420883E-2</v>
      </c>
      <c r="N160" s="7">
        <f t="shared" si="80"/>
        <v>40.133333337726071</v>
      </c>
      <c r="O160" s="7"/>
      <c r="P160" s="7"/>
      <c r="Q160" s="22"/>
      <c r="R160" s="174"/>
      <c r="S160" s="221">
        <f t="shared" si="62"/>
        <v>1</v>
      </c>
      <c r="T160" s="174" t="str">
        <f t="shared" si="65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66"/>
        <v>https://d0f6bd738d7f1b3e5a7ca70fe4ff75f0.us-east-1.aws.found.io/app/kibana#/discover/Steve-Slow-Train-Analysis-(2080s-and-2083s)?_g=(refreshInterval:(display:Off,pause:!f,section:0,value:0),time:(from:'2017-11-13T00:15:22-0700',mode:absolute,to:'2017-11-13T03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0" s="204" t="str">
        <f>IF(AA160&lt;VLOOKUP(AG160,Variables!$AC$3:$AD$8,2,FALSE),"Y","N")</f>
        <v>N</v>
      </c>
      <c r="X160" s="204">
        <f t="shared" si="77"/>
        <v>1</v>
      </c>
      <c r="Y160" s="204">
        <f t="shared" si="78"/>
        <v>23.259399999999999</v>
      </c>
      <c r="Z160" s="204">
        <f t="shared" si="79"/>
        <v>3.78E-2</v>
      </c>
      <c r="AA160" s="204">
        <f t="shared" si="67"/>
        <v>23.221599999999999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9">
        <f t="shared" si="68"/>
        <v>244</v>
      </c>
      <c r="AE160" s="77" t="str">
        <f t="shared" si="69"/>
        <v>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 &amp; 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</v>
      </c>
      <c r="AF160" s="74" t="str">
        <f t="shared" si="70"/>
        <v>"C:\Program Files (x86)\AstroGrep\AstroGrep.exe" /e /r /s /spath="%USERPROFILE%\AppData\Local\Temp\OnboardLogs" /stypes="app*4051*20171113*" /stext=" 09:.+((SYSTEM_STATE.+slice.+state.+changed )|(ment ac)|(multiple cpu faults)|(system.+state.+changed )|(\[timeout)|(PRM\|1\|D)|(kpr)|(kdp)|(train st.+moving)|(\|lc)|(penalty))"</v>
      </c>
      <c r="AG160" s="182" t="str">
        <f t="shared" si="71"/>
        <v>EC</v>
      </c>
      <c r="AH160" s="78" t="str">
        <f t="shared" si="74"/>
        <v>"%USERPROFILE%\Documents\GitHub\eaglep3\Utilities\RefineRTDCRunTimes.py" --tripid 244-12 --locoid 4051 --swversion DE.1.0.9.0 --startMP 204:232594 --initTime 2017-11-13T01:15:22 --startdatetime 2017-11-13T01:27:16 --delay 91 --endMP 204:378 --enddatetime 2017-11-13T02:07:24 --enforcementcount 0 &gt;&gt;%USERPROFILE%\Documents\GitHub\eaglep3-reporting\EC\2017-11-12-refined-times.txt</v>
      </c>
      <c r="AI160" s="96" t="str">
        <f t="shared" si="72"/>
        <v>echo {"issue":{"subject":"","project_id":79,"tracker_id":40,"status_id":1,"priority_id":2,"assigned_to_id":338,"start_date":"2017-11-13","description":"","custom_fields":[{"id":1,"name":"Subdivision","value":"EC"},{"id":4,"name":"Milepost","value":"0.0378"},{"id":17,"name":"Train ID","value":"244-12"},{"id":16,"name":"Locomotive ID","value":"4051"},{"id":130,"name":"Impact","value":""},{"id":150,"name":"Time of Event (Mountain Time)","value":"02:07:24"},{"id":151,"name":"Denver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75"/>
        <v>start /low /b %USERPROFILE%\Documents\GitHub\eaglep3\Utilities\DownloadLogsFromS3.py --loco 4051 --day 2017-11-13</v>
      </c>
      <c r="AN160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09:07:24"},{"id":29,"name":"Sharepoint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6"/>
        <v>https://d0f6bd738d7f1b3e5a7ca70fe4ff75f0.us-east-1.aws.found.io/app/kibana#/discover/Steve-Slow-Train-Analysis-(2080s-and-2083s)?_g=(refreshInterval:(display:Off,pause:!f,section:0,value:0),time:(from:'2017-11-13T00:15:22-0700',mode:absolute,to:'2017-11-13T03:07:24-0700'))&amp;_a=(columns:!('Message%20ID',Summary),filters:!(),index:'emp_*',interval:auto,query:(query_string:(analyze_wildcard:!t,query:'%22rtdc.l.rtdc.4051%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710</v>
      </c>
      <c r="B161" s="7">
        <v>4011</v>
      </c>
      <c r="C161" s="21" t="s">
        <v>192</v>
      </c>
      <c r="D161" s="21" t="s">
        <v>951</v>
      </c>
      <c r="E161" s="13">
        <v>43051.234618055554</v>
      </c>
      <c r="F161" s="13">
        <v>43051.236296296294</v>
      </c>
      <c r="G161" s="7">
        <v>82</v>
      </c>
      <c r="H161" s="21" t="s">
        <v>952</v>
      </c>
      <c r="I161" s="13">
        <v>43051.246990740743</v>
      </c>
      <c r="J161" s="7">
        <v>0</v>
      </c>
      <c r="K161" s="89" t="str">
        <f t="shared" si="63"/>
        <v>4011/4012</v>
      </c>
      <c r="L161" s="185" t="str">
        <f>VLOOKUP(A161,'Trips&amp;Operators'!$C$1:$G$99911,5,FALSE)</f>
        <v>MACDONALD THOMAS</v>
      </c>
      <c r="M161" s="6">
        <f t="shared" si="64"/>
        <v>1.0694444448745344E-2</v>
      </c>
      <c r="N161" s="7">
        <f t="shared" si="80"/>
        <v>15.400000006193295</v>
      </c>
      <c r="O161" s="7"/>
      <c r="P161" s="7"/>
      <c r="Q161" s="22"/>
      <c r="R161" s="174"/>
      <c r="S161" s="221">
        <f t="shared" si="62"/>
        <v>1</v>
      </c>
      <c r="T161" s="174" t="str">
        <f t="shared" si="65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6"/>
        <v>https://d0f6bd738d7f1b3e5a7ca70fe4ff75f0.us-east-1.aws.found.io/app/kibana#/discover/Steve-Slow-Train-Analysis-(2080s-and-2083s)?_g=(refreshInterval:(display:Off,pause:!f,section:0,value:0),time:(from:'2017-11-12T04:37:51-0700',mode:absolute,to:'2017-11-12T06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204" t="str">
        <f>IF(AA161&lt;VLOOKUP(AG161,Variables!$AC$3:$AD$8,2,FALSE),"Y","N")</f>
        <v>N</v>
      </c>
      <c r="X161" s="204">
        <f t="shared" si="77"/>
        <v>1556</v>
      </c>
      <c r="Y161" s="204">
        <f t="shared" si="78"/>
        <v>5.8619000000000003</v>
      </c>
      <c r="Z161" s="204">
        <f t="shared" si="79"/>
        <v>8.5900000000000004E-2</v>
      </c>
      <c r="AA161" s="204">
        <f t="shared" si="67"/>
        <v>5.7760000000000007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9">
        <f t="shared" si="68"/>
        <v>1800</v>
      </c>
      <c r="AE161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61" s="74" t="str">
        <f t="shared" si="70"/>
        <v>"C:\Program Files (x86)\AstroGrep\AstroGrep.exe" /e /r /s /spath="%USERPROFILE%\AppData\Local\Temp\OnboardLogs" /stypes="app*4011*20171112*" /stext=" 12:.+((SYSTEM_STATE.+slice.+state.+changed )|(ment ac)|(multiple cpu faults)|(system.+state.+changed )|(\[timeout)|(PRM\|1\|D)|(kpr)|(kdp)|(train st.+moving)|(\|lc)|(penalty))"</v>
      </c>
      <c r="AG161" s="182" t="str">
        <f t="shared" si="71"/>
        <v>NW</v>
      </c>
      <c r="AH161" s="78" t="str">
        <f t="shared" si="74"/>
        <v>"%USERPROFILE%\Documents\GitHub\eaglep3\Utilities\RefineRTDCRunTimes.py" --tripid 1800-12 --locoid 4011 --swversion DE.1.0.9.0 --startMP 300:58619 --initTime 2017-11-12T05:37:51 --startdatetime 2017-11-12T05:40:16 --delay 82 --endMP 204:859 --enddatetime 2017-11-12T05:55:40 --enforcementcount 0 &gt;&gt;%USERPROFILE%\Documents\GitHub\eaglep3-reporting\EC\2017-11-12-refined-times.txt</v>
      </c>
      <c r="AI161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{"issue":{"subject":"","project_id":79,"tracker_id":40,"status_id":1,"priority_id":2,"assigned_to_id":338,"start_date":"2017-11-12","description":"","custom_fields":[{"id":1,"name":"Subdivision","value":"NW"},{"id":4,"name":"Milepost","value":"0.0859"},{"id":17,"name":"Train ID","value":"1800-12"},{"id":16,"name":"Locomotive ID","value":"4011"},{"id":130,"name":"Impact","value":""},{"id":150,"name":"Time of Event (Mountain Time)","value":"05:55:40"},{"id":151,"name":"Denver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75"/>
        <v>start /low /b %USERPROFILE%\Documents\GitHub\eaglep3\Utilities\DownloadLogsFromS3.py --loco 4011 --day 2017-11-12</v>
      </c>
      <c r="AN161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6"/>
        <v>https://d0f6bd738d7f1b3e5a7ca70fe4ff75f0.us-east-1.aws.found.io/app/kibana#/discover/Steve-Slow-Train-Analysis-(2080s-and-2083s)?_g=(refreshInterval:(display:Off,pause:!f,section:0,value:0),time:(from:'2017-11-12T04:37:51-0700',mode:absolute,to:'2017-11-12T06:55:40-0700'))&amp;_a=(columns:!('Message%20ID',Summary),filters:!(),index:'emp_*',interval:auto,query:(query_string:(analyze_wildcard:!t,query:'%22rtdc.l.rtdc.4011%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713</v>
      </c>
      <c r="B162" s="7">
        <v>4012</v>
      </c>
      <c r="C162" s="21" t="s">
        <v>192</v>
      </c>
      <c r="D162" s="21" t="s">
        <v>626</v>
      </c>
      <c r="E162" s="13">
        <v>43051.254872685182</v>
      </c>
      <c r="F162" s="13">
        <v>43051.256481481483</v>
      </c>
      <c r="G162" s="7">
        <v>58</v>
      </c>
      <c r="H162" s="21" t="s">
        <v>509</v>
      </c>
      <c r="I162" s="13">
        <v>43051.265613425923</v>
      </c>
      <c r="J162" s="7">
        <v>0</v>
      </c>
      <c r="K162" s="89" t="str">
        <f t="shared" si="63"/>
        <v>4011/4012</v>
      </c>
      <c r="L162" s="185" t="str">
        <f>VLOOKUP(A162,'Trips&amp;Operators'!$C$1:$G$99911,5,FALSE)</f>
        <v>MACDONALD THOMAS</v>
      </c>
      <c r="M162" s="6">
        <f t="shared" si="64"/>
        <v>9.1319444400141947E-3</v>
      </c>
      <c r="N162" s="7">
        <f t="shared" si="80"/>
        <v>13.14999999362044</v>
      </c>
      <c r="O162" s="7"/>
      <c r="P162" s="7"/>
      <c r="Q162" s="22"/>
      <c r="R162" s="174"/>
      <c r="S162" s="221">
        <f t="shared" si="62"/>
        <v>1</v>
      </c>
      <c r="T162" s="174" t="str">
        <f t="shared" si="65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6"/>
        <v>https://d0f6bd738d7f1b3e5a7ca70fe4ff75f0.us-east-1.aws.found.io/app/kibana#/discover/Steve-Slow-Train-Analysis-(2080s-and-2083s)?_g=(refreshInterval:(display:Off,pause:!f,section:0,value:0),time:(from:'2017-11-12T05:07:01-0700',mode:absolute,to:'2017-11-12T07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2" s="204" t="str">
        <f>IF(AA162&lt;VLOOKUP(AG162,Variables!$AC$3:$AD$8,2,FALSE),"Y","N")</f>
        <v>N</v>
      </c>
      <c r="X162" s="204">
        <f t="shared" si="77"/>
        <v>1</v>
      </c>
      <c r="Y162" s="204">
        <f t="shared" si="78"/>
        <v>0.11600000000000001</v>
      </c>
      <c r="Z162" s="204">
        <f t="shared" si="79"/>
        <v>5.8939000000000004</v>
      </c>
      <c r="AA162" s="204">
        <f t="shared" si="67"/>
        <v>5.7779000000000007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9">
        <f t="shared" si="68"/>
        <v>1801</v>
      </c>
      <c r="AE162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62" s="74" t="str">
        <f t="shared" si="70"/>
        <v>"C:\Program Files (x86)\AstroGrep\AstroGrep.exe" /e /r /s /spath="%USERPROFILE%\AppData\Local\Temp\OnboardLogs" /stypes="app*4012*20171112*" /stext=" 13:.+((SYSTEM_STATE.+slice.+state.+changed )|(ment ac)|(multiple cpu faults)|(system.+state.+changed )|(\[timeout)|(PRM\|1\|D)|(kpr)|(kdp)|(train st.+moving)|(\|lc)|(penalty))"</v>
      </c>
      <c r="AG162" s="182" t="str">
        <f t="shared" si="71"/>
        <v>NW</v>
      </c>
      <c r="AH162" s="78" t="str">
        <f t="shared" si="74"/>
        <v>"%USERPROFILE%\Documents\GitHub\eaglep3\Utilities\RefineRTDCRunTimes.py" --tripid 1801-12 --locoid 4012 --swversion DE.1.0.9.0 --startMP 204:1160 --initTime 2017-11-12T06:07:01 --startdatetime 2017-11-12T06:09:20 --delay 58 --endMP 300:58939 --enddatetime 2017-11-12T06:22:29 --enforcementcount 0 &gt;&gt;%USERPROFILE%\Documents\GitHub\eaglep3-reporting\EC\2017-11-12-refined-times.txt</v>
      </c>
      <c r="AI162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{"issue":{"subject":"","project_id":79,"tracker_id":40,"status_id":1,"priority_id":2,"assigned_to_id":338,"start_date":"2017-11-12","description":"","custom_fields":[{"id":1,"name":"Subdivision","value":"NW"},{"id":4,"name":"Milepost","value":"5.8939"},{"id":17,"name":"Train ID","value":"1801-12"},{"id":16,"name":"Locomotive ID","value":"4012"},{"id":130,"name":"Impact","value":""},{"id":150,"name":"Time of Event (Mountain Time)","value":"06:22:29"},{"id":151,"name":"Denver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75"/>
        <v>start /low /b %USERPROFILE%\Documents\GitHub\eaglep3\Utilities\DownloadLogsFromS3.py --loco 4012 --day 2017-11-12</v>
      </c>
      <c r="AN162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13:22:29"},{"id":29,"name":"Sharepoint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6"/>
        <v>https://d0f6bd738d7f1b3e5a7ca70fe4ff75f0.us-east-1.aws.found.io/app/kibana#/discover/Steve-Slow-Train-Analysis-(2080s-and-2083s)?_g=(refreshInterval:(display:Off,pause:!f,section:0,value:0),time:(from:'2017-11-12T05:07:01-0700',mode:absolute,to:'2017-11-12T07:22:29-0700'))&amp;_a=(columns:!('Message%20ID',Summary),filters:!(),index:'emp_*',interval:auto,query:(query_string:(analyze_wildcard:!t,query:'%22rtdc.l.rtdc.4012%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643</v>
      </c>
      <c r="B163" s="7">
        <v>4011</v>
      </c>
      <c r="C163" s="21" t="s">
        <v>192</v>
      </c>
      <c r="D163" s="21" t="s">
        <v>953</v>
      </c>
      <c r="E163" s="13">
        <v>43051.266550925924</v>
      </c>
      <c r="F163" s="13">
        <v>43051.279166666667</v>
      </c>
      <c r="G163" s="7">
        <v>67</v>
      </c>
      <c r="H163" s="21" t="s">
        <v>954</v>
      </c>
      <c r="I163" s="13">
        <v>43051.289120370369</v>
      </c>
      <c r="J163" s="7">
        <v>0</v>
      </c>
      <c r="K163" s="89" t="str">
        <f t="shared" si="63"/>
        <v>4011/4012</v>
      </c>
      <c r="L163" s="185" t="str">
        <f>VLOOKUP(A163,'Trips&amp;Operators'!$C$1:$G$99911,5,FALSE)</f>
        <v>MACDONALD THOMAS</v>
      </c>
      <c r="M163" s="6">
        <f t="shared" si="64"/>
        <v>9.9537037021946162E-3</v>
      </c>
      <c r="N163" s="7">
        <f t="shared" si="80"/>
        <v>14.333333331160247</v>
      </c>
      <c r="O163" s="7"/>
      <c r="P163" s="7"/>
      <c r="Q163" s="22"/>
      <c r="R163" s="174"/>
      <c r="S163" s="221">
        <f t="shared" si="62"/>
        <v>1</v>
      </c>
      <c r="T163" s="174" t="str">
        <f t="shared" si="65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6"/>
        <v>https://d0f6bd738d7f1b3e5a7ca70fe4ff75f0.us-east-1.aws.found.io/app/kibana#/discover/Steve-Slow-Train-Analysis-(2080s-and-2083s)?_g=(refreshInterval:(display:Off,pause:!f,section:0,value:0),time:(from:'2017-11-12T05:23:50-0700',mode:absolute,to:'2017-11-12T07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3" s="204" t="str">
        <f>IF(AA163&lt;VLOOKUP(AG163,Variables!$AC$3:$AD$8,2,FALSE),"Y","N")</f>
        <v>N</v>
      </c>
      <c r="X163" s="204">
        <f t="shared" si="77"/>
        <v>1</v>
      </c>
      <c r="Y163" s="204">
        <f t="shared" si="78"/>
        <v>5.8605999999999998</v>
      </c>
      <c r="Z163" s="204">
        <f t="shared" si="79"/>
        <v>7.7799999999999994E-2</v>
      </c>
      <c r="AA163" s="204">
        <f t="shared" si="67"/>
        <v>5.7827999999999999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9">
        <f t="shared" si="68"/>
        <v>1802</v>
      </c>
      <c r="AE163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63" s="74" t="str">
        <f t="shared" si="70"/>
        <v>"C:\Program Files (x86)\AstroGrep\AstroGrep.exe" /e /r /s /spath="%USERPROFILE%\AppData\Local\Temp\OnboardLogs" /stypes="app*4011*20171112*" /stext=" 13:.+((SYSTEM_STATE.+slice.+state.+changed )|(ment ac)|(multiple cpu faults)|(system.+state.+changed )|(\[timeout)|(PRM\|1\|D)|(kpr)|(kdp)|(train st.+moving)|(\|lc)|(penalty))"</v>
      </c>
      <c r="AG163" s="182" t="str">
        <f t="shared" si="71"/>
        <v>NW</v>
      </c>
      <c r="AH163" s="78" t="str">
        <f t="shared" si="74"/>
        <v>"%USERPROFILE%\Documents\GitHub\eaglep3\Utilities\RefineRTDCRunTimes.py" --tripid 1802-12 --locoid 4011 --swversion DE.1.0.9.0 --startMP 300:58606 --initTime 2017-11-12T06:23:50 --startdatetime 2017-11-12T06:42:00 --delay 67 --endMP 204:778 --enddatetime 2017-11-12T06:56:20 --enforcementcount 0 &gt;&gt;%USERPROFILE%\Documents\GitHub\eaglep3-reporting\EC\2017-11-12-refined-times.txt</v>
      </c>
      <c r="AI163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{"issue":{"subject":"","project_id":79,"tracker_id":40,"status_id":1,"priority_id":2,"assigned_to_id":338,"start_date":"2017-11-12","description":"","custom_fields":[{"id":1,"name":"Subdivision","value":"NW"},{"id":4,"name":"Milepost","value":"0.0778"},{"id":17,"name":"Train ID","value":"1802-12"},{"id":16,"name":"Locomotive ID","value":"4011"},{"id":130,"name":"Impact","value":""},{"id":150,"name":"Time of Event (Mountain Time)","value":"06:56:20"},{"id":151,"name":"Denver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75"/>
        <v>start /low /b %USERPROFILE%\Documents\GitHub\eaglep3\Utilities\DownloadLogsFromS3.py --loco 4011 --day 2017-11-12</v>
      </c>
      <c r="AN163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13:56:20"},{"id":29,"name":"Sharepoint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6"/>
        <v>https://d0f6bd738d7f1b3e5a7ca70fe4ff75f0.us-east-1.aws.found.io/app/kibana#/discover/Steve-Slow-Train-Analysis-(2080s-and-2083s)?_g=(refreshInterval:(display:Off,pause:!f,section:0,value:0),time:(from:'2017-11-12T05:23:50-0700',mode:absolute,to:'2017-11-12T07:56:20-0700'))&amp;_a=(columns:!('Message%20ID',Summary),filters:!(),index:'emp_*',interval:auto,query:(query_string:(analyze_wildcard:!t,query:'%22rtdc.l.rtdc.4011%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724</v>
      </c>
      <c r="B164" s="7">
        <v>4012</v>
      </c>
      <c r="C164" s="21" t="s">
        <v>192</v>
      </c>
      <c r="D164" s="21" t="s">
        <v>955</v>
      </c>
      <c r="E164" s="13">
        <v>43051.297569444447</v>
      </c>
      <c r="F164" s="13">
        <v>43051.29886574074</v>
      </c>
      <c r="G164" s="7">
        <v>67</v>
      </c>
      <c r="H164" s="21" t="s">
        <v>956</v>
      </c>
      <c r="I164" s="13">
        <v>43051.308206018519</v>
      </c>
      <c r="J164" s="7">
        <v>0</v>
      </c>
      <c r="K164" s="89" t="str">
        <f t="shared" si="63"/>
        <v>4011/4012</v>
      </c>
      <c r="L164" s="185" t="str">
        <f>VLOOKUP(A164,'Trips&amp;Operators'!$C$1:$G$99911,5,FALSE)</f>
        <v>MACDONALD THOMAS</v>
      </c>
      <c r="M164" s="6">
        <f t="shared" si="64"/>
        <v>9.340277778392192E-3</v>
      </c>
      <c r="N164" s="7">
        <f t="shared" si="80"/>
        <v>13.450000000884756</v>
      </c>
      <c r="O164" s="7"/>
      <c r="P164" s="7"/>
      <c r="Q164" s="22"/>
      <c r="R164" s="174"/>
      <c r="S164" s="221">
        <f t="shared" si="62"/>
        <v>1</v>
      </c>
      <c r="T164" s="174" t="str">
        <f t="shared" si="65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6"/>
        <v>https://d0f6bd738d7f1b3e5a7ca70fe4ff75f0.us-east-1.aws.found.io/app/kibana#/discover/Steve-Slow-Train-Analysis-(2080s-and-2083s)?_g=(refreshInterval:(display:Off,pause:!f,section:0,value:0),time:(from:'2017-11-12T06:08:30-0700',mode:absolute,to:'2017-11-12T08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204" t="str">
        <f>IF(AA164&lt;VLOOKUP(AG164,Variables!$AC$3:$AD$8,2,FALSE),"Y","N")</f>
        <v>N</v>
      </c>
      <c r="X164" s="204">
        <f t="shared" si="77"/>
        <v>1</v>
      </c>
      <c r="Y164" s="204">
        <f t="shared" si="78"/>
        <v>0.107</v>
      </c>
      <c r="Z164" s="204">
        <f t="shared" si="79"/>
        <v>5.8917999999999999</v>
      </c>
      <c r="AA164" s="204">
        <f t="shared" si="67"/>
        <v>5.7847999999999997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9">
        <f t="shared" si="68"/>
        <v>1803</v>
      </c>
      <c r="AE164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64" s="74" t="str">
        <f t="shared" si="70"/>
        <v>"C:\Program Files (x86)\AstroGrep\AstroGrep.exe" /e /r /s /spath="%USERPROFILE%\AppData\Local\Temp\OnboardLogs" /stypes="app*4012*20171112*" /stext=" 14:.+((SYSTEM_STATE.+slice.+state.+changed )|(ment ac)|(multiple cpu faults)|(system.+state.+changed )|(\[timeout)|(PRM\|1\|D)|(kpr)|(kdp)|(train st.+moving)|(\|lc)|(penalty))"</v>
      </c>
      <c r="AG164" s="182" t="str">
        <f t="shared" si="71"/>
        <v>NW</v>
      </c>
      <c r="AH164" s="78" t="str">
        <f t="shared" si="74"/>
        <v>"%USERPROFILE%\Documents\GitHub\eaglep3\Utilities\RefineRTDCRunTimes.py" --tripid 1803-12 --locoid 4012 --swversion DE.1.0.9.0 --startMP 204:1070 --initTime 2017-11-12T07:08:30 --startdatetime 2017-11-12T07:10:22 --delay 67 --endMP 300:58918 --enddatetime 2017-11-12T07:23:49 --enforcementcount 0 &gt;&gt;%USERPROFILE%\Documents\GitHub\eaglep3-reporting\EC\2017-11-12-refined-times.txt</v>
      </c>
      <c r="AI164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{"issue":{"subject":"","project_id":79,"tracker_id":40,"status_id":1,"priority_id":2,"assigned_to_id":338,"start_date":"2017-11-12","description":"","custom_fields":[{"id":1,"name":"Subdivision","value":"NW"},{"id":4,"name":"Milepost","value":"5.8918"},{"id":17,"name":"Train ID","value":"1803-12"},{"id":16,"name":"Locomotive ID","value":"4012"},{"id":130,"name":"Impact","value":""},{"id":150,"name":"Time of Event (Mountain Time)","value":"07:23:49"},{"id":151,"name":"Denver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75"/>
        <v>start /low /b %USERPROFILE%\Documents\GitHub\eaglep3\Utilities\DownloadLogsFromS3.py --loco 4012 --day 2017-11-12</v>
      </c>
      <c r="AN164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14:23:49"},{"id":29,"name":"Sharepoint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6"/>
        <v>https://d0f6bd738d7f1b3e5a7ca70fe4ff75f0.us-east-1.aws.found.io/app/kibana#/discover/Steve-Slow-Train-Analysis-(2080s-and-2083s)?_g=(refreshInterval:(display:Off,pause:!f,section:0,value:0),time:(from:'2017-11-12T06:08:30-0700',mode:absolute,to:'2017-11-12T08:23:49-0700'))&amp;_a=(columns:!('Message%20ID',Summary),filters:!(),index:'emp_*',interval:auto,query:(query_string:(analyze_wildcard:!t,query:'%22rtdc.l.rtdc.4012%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727</v>
      </c>
      <c r="B165" s="7">
        <v>4011</v>
      </c>
      <c r="C165" s="21" t="s">
        <v>192</v>
      </c>
      <c r="D165" s="21" t="s">
        <v>957</v>
      </c>
      <c r="E165" s="13">
        <v>43051.30914351852</v>
      </c>
      <c r="F165" s="13">
        <v>43051.320833333331</v>
      </c>
      <c r="G165" s="7">
        <v>46</v>
      </c>
      <c r="H165" s="21" t="s">
        <v>958</v>
      </c>
      <c r="I165" s="13">
        <v>43051.330682870372</v>
      </c>
      <c r="J165" s="7">
        <v>0</v>
      </c>
      <c r="K165" s="89" t="str">
        <f t="shared" si="63"/>
        <v>4011/4012</v>
      </c>
      <c r="L165" s="185" t="str">
        <f>VLOOKUP(A165,'Trips&amp;Operators'!$C$1:$G$99911,5,FALSE)</f>
        <v>MACDONALD THOMAS</v>
      </c>
      <c r="M165" s="6">
        <f t="shared" si="64"/>
        <v>9.8495370402815752E-3</v>
      </c>
      <c r="N165" s="7">
        <f t="shared" si="80"/>
        <v>14.183333338005468</v>
      </c>
      <c r="O165" s="7"/>
      <c r="P165" s="7"/>
      <c r="Q165" s="22"/>
      <c r="R165" s="174"/>
      <c r="S165" s="221">
        <f t="shared" ref="S165:S175" si="81">1/IF(AG165="EC",12,1)*SUM(U165:U165)</f>
        <v>1</v>
      </c>
      <c r="T165" s="174" t="str">
        <f t="shared" si="65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6"/>
        <v>https://d0f6bd738d7f1b3e5a7ca70fe4ff75f0.us-east-1.aws.found.io/app/kibana#/discover/Steve-Slow-Train-Analysis-(2080s-and-2083s)?_g=(refreshInterval:(display:Off,pause:!f,section:0,value:0),time:(from:'2017-11-12T06:25:10-0700',mode:absolute,to:'2017-11-12T08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204" t="str">
        <f>IF(AA165&lt;VLOOKUP(AG165,Variables!$AC$3:$AD$8,2,FALSE),"Y","N")</f>
        <v>N</v>
      </c>
      <c r="X165" s="204">
        <f t="shared" si="77"/>
        <v>1</v>
      </c>
      <c r="Y165" s="204">
        <f t="shared" si="78"/>
        <v>5.8582999999999998</v>
      </c>
      <c r="Z165" s="204">
        <f t="shared" si="79"/>
        <v>8.0799999999999997E-2</v>
      </c>
      <c r="AA165" s="204">
        <f t="shared" si="67"/>
        <v>5.7774999999999999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9">
        <f t="shared" si="68"/>
        <v>1804</v>
      </c>
      <c r="AE165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65" s="74" t="str">
        <f t="shared" si="70"/>
        <v>"C:\Program Files (x86)\AstroGrep\AstroGrep.exe" /e /r /s /spath="%USERPROFILE%\AppData\Local\Temp\OnboardLogs" /stypes="app*4011*20171112*" /stext=" 14:.+((SYSTEM_STATE.+slice.+state.+changed )|(ment ac)|(multiple cpu faults)|(system.+state.+changed )|(\[timeout)|(PRM\|1\|D)|(kpr)|(kdp)|(train st.+moving)|(\|lc)|(penalty))"</v>
      </c>
      <c r="AG165" s="182" t="str">
        <f t="shared" si="71"/>
        <v>NW</v>
      </c>
      <c r="AH165" s="78" t="str">
        <f t="shared" si="74"/>
        <v>"%USERPROFILE%\Documents\GitHub\eaglep3\Utilities\RefineRTDCRunTimes.py" --tripid 1804-12 --locoid 4011 --swversion DE.1.0.9.0 --startMP 300:58583 --initTime 2017-11-12T07:25:10 --startdatetime 2017-11-12T07:42:00 --delay 46 --endMP 204:808 --enddatetime 2017-11-12T07:56:11 --enforcementcount 0 &gt;&gt;%USERPROFILE%\Documents\GitHub\eaglep3-reporting\EC\2017-11-12-refined-times.txt</v>
      </c>
      <c r="AI165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{"issue":{"subject":"","project_id":79,"tracker_id":40,"status_id":1,"priority_id":2,"assigned_to_id":338,"start_date":"2017-11-12","description":"","custom_fields":[{"id":1,"name":"Subdivision","value":"NW"},{"id":4,"name":"Milepost","value":"0.0808"},{"id":17,"name":"Train ID","value":"1804-12"},{"id":16,"name":"Locomotive ID","value":"4011"},{"id":130,"name":"Impact","value":""},{"id":150,"name":"Time of Event (Mountain Time)","value":"07:56:11"},{"id":151,"name":"Denver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75"/>
        <v>start /low /b %USERPROFILE%\Documents\GitHub\eaglep3\Utilities\DownloadLogsFromS3.py --loco 4011 --day 2017-11-12</v>
      </c>
      <c r="AN165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14:56:11"},{"id":29,"name":"Sharepoint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6"/>
        <v>https://d0f6bd738d7f1b3e5a7ca70fe4ff75f0.us-east-1.aws.found.io/app/kibana#/discover/Steve-Slow-Train-Analysis-(2080s-and-2083s)?_g=(refreshInterval:(display:Off,pause:!f,section:0,value:0),time:(from:'2017-11-12T06:25:10-0700',mode:absolute,to:'2017-11-12T08:56:11-0700'))&amp;_a=(columns:!('Message%20ID',Summary),filters:!(),index:'emp_*',interval:auto,query:(query_string:(analyze_wildcard:!t,query:'%22rtdc.l.rtdc.4011%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732</v>
      </c>
      <c r="B166" s="7">
        <v>4012</v>
      </c>
      <c r="C166" s="21" t="s">
        <v>192</v>
      </c>
      <c r="D166" s="21" t="s">
        <v>959</v>
      </c>
      <c r="E166" s="13">
        <v>43051.336724537039</v>
      </c>
      <c r="F166" s="13">
        <v>43051.340127314812</v>
      </c>
      <c r="G166" s="7">
        <v>155</v>
      </c>
      <c r="H166" s="21" t="s">
        <v>960</v>
      </c>
      <c r="I166" s="13">
        <v>43051.351226851853</v>
      </c>
      <c r="J166" s="7">
        <v>0</v>
      </c>
      <c r="K166" s="89" t="str">
        <f t="shared" si="63"/>
        <v>4011/4012</v>
      </c>
      <c r="L166" s="185" t="str">
        <f>VLOOKUP(A166,'Trips&amp;Operators'!$C$1:$G$99911,5,FALSE)</f>
        <v>MACDONALD THOMAS</v>
      </c>
      <c r="M166" s="6">
        <f t="shared" si="64"/>
        <v>1.1099537041445728E-2</v>
      </c>
      <c r="N166" s="7">
        <f t="shared" si="80"/>
        <v>15.983333339681849</v>
      </c>
      <c r="O166" s="7"/>
      <c r="P166" s="7"/>
      <c r="Q166" s="22"/>
      <c r="R166" s="174"/>
      <c r="S166" s="221">
        <f t="shared" si="81"/>
        <v>1</v>
      </c>
      <c r="T166" s="174" t="str">
        <f t="shared" si="65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6"/>
        <v>https://d0f6bd738d7f1b3e5a7ca70fe4ff75f0.us-east-1.aws.found.io/app/kibana#/discover/Steve-Slow-Train-Analysis-(2080s-and-2083s)?_g=(refreshInterval:(display:Off,pause:!f,section:0,value:0),time:(from:'2017-11-12T07:04:53-0700',mode:absolute,to:'2017-11-12T09:25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6" s="204" t="str">
        <f>IF(AA166&lt;VLOOKUP(AG166,Variables!$AC$3:$AD$8,2,FALSE),"Y","N")</f>
        <v>N</v>
      </c>
      <c r="X166" s="204">
        <f t="shared" si="77"/>
        <v>1</v>
      </c>
      <c r="Y166" s="204">
        <f t="shared" si="78"/>
        <v>0.1109</v>
      </c>
      <c r="Z166" s="204">
        <f t="shared" si="79"/>
        <v>5.8935000000000004</v>
      </c>
      <c r="AA166" s="204">
        <f t="shared" si="67"/>
        <v>5.7826000000000004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9">
        <f t="shared" si="68"/>
        <v>1805</v>
      </c>
      <c r="AE166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66" s="74" t="str">
        <f t="shared" si="70"/>
        <v>"C:\Program Files (x86)\AstroGrep\AstroGrep.exe" /e /r /s /spath="%USERPROFILE%\AppData\Local\Temp\OnboardLogs" /stypes="app*4012*20171112*" /stext=" 15:.+((SYSTEM_STATE.+slice.+state.+changed )|(ment ac)|(multiple cpu faults)|(system.+state.+changed )|(\[timeout)|(PRM\|1\|D)|(kpr)|(kdp)|(train st.+moving)|(\|lc)|(penalty))"</v>
      </c>
      <c r="AG166" s="182" t="str">
        <f t="shared" si="71"/>
        <v>NW</v>
      </c>
      <c r="AH166" s="78" t="str">
        <f t="shared" si="74"/>
        <v>"%USERPROFILE%\Documents\GitHub\eaglep3\Utilities\RefineRTDCRunTimes.py" --tripid 1805-12 --locoid 4012 --swversion DE.1.0.9.0 --startMP 204:1109 --initTime 2017-11-12T08:04:53 --startdatetime 2017-11-12T08:09:47 --delay 155 --endMP 300:58935 --enddatetime 2017-11-12T08:25:46 --enforcementcount 0 &gt;&gt;%USERPROFILE%\Documents\GitHub\eaglep3-reporting\EC\2017-11-12-refined-times.txt</v>
      </c>
      <c r="AI166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{"issue":{"subject":"","project_id":79,"tracker_id":40,"status_id":1,"priority_id":2,"assigned_to_id":338,"start_date":"2017-11-12","description":"","custom_fields":[{"id":1,"name":"Subdivision","value":"NW"},{"id":4,"name":"Milepost","value":"5.8935"},{"id":17,"name":"Train ID","value":"1805-12"},{"id":16,"name":"Locomotive ID","value":"4012"},{"id":130,"name":"Impact","value":""},{"id":150,"name":"Time of Event (Mountain Time)","value":"08:25:46"},{"id":151,"name":"Denver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75"/>
        <v>start /low /b %USERPROFILE%\Documents\GitHub\eaglep3\Utilities\DownloadLogsFromS3.py --loco 4012 --day 2017-11-12</v>
      </c>
      <c r="AN166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6"/>
        <v>https://d0f6bd738d7f1b3e5a7ca70fe4ff75f0.us-east-1.aws.found.io/app/kibana#/discover/Steve-Slow-Train-Analysis-(2080s-and-2083s)?_g=(refreshInterval:(display:Off,pause:!f,section:0,value:0),time:(from:'2017-11-12T07:04:53-0700',mode:absolute,to:'2017-11-12T09:25:46-0700'))&amp;_a=(columns:!('Message%20ID',Summary),filters:!(),index:'emp_*',interval:auto,query:(query_string:(analyze_wildcard:!t,query:'%22rtdc.l.rtdc.4012%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734</v>
      </c>
      <c r="B167" s="7">
        <v>4011</v>
      </c>
      <c r="C167" s="21" t="s">
        <v>192</v>
      </c>
      <c r="D167" s="21" t="s">
        <v>961</v>
      </c>
      <c r="E167" s="13">
        <v>43051.352152777778</v>
      </c>
      <c r="F167" s="13">
        <v>43051.362500000003</v>
      </c>
      <c r="G167" s="7">
        <v>45</v>
      </c>
      <c r="H167" s="21" t="s">
        <v>962</v>
      </c>
      <c r="I167" s="13">
        <v>43051.372245370374</v>
      </c>
      <c r="J167" s="7">
        <v>0</v>
      </c>
      <c r="K167" s="89" t="str">
        <f t="shared" si="63"/>
        <v>4011/4012</v>
      </c>
      <c r="L167" s="185" t="str">
        <f>VLOOKUP(A167,'Trips&amp;Operators'!$C$1:$G$99911,5,FALSE)</f>
        <v>MACDONALD THOMAS</v>
      </c>
      <c r="M167" s="6">
        <f t="shared" si="64"/>
        <v>9.7453703710925765E-3</v>
      </c>
      <c r="N167" s="7">
        <f t="shared" si="80"/>
        <v>14.03333333437331</v>
      </c>
      <c r="O167" s="7"/>
      <c r="P167" s="7"/>
      <c r="Q167" s="22"/>
      <c r="R167" s="174"/>
      <c r="S167" s="221">
        <f t="shared" si="81"/>
        <v>1</v>
      </c>
      <c r="T167" s="174" t="str">
        <f t="shared" si="65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6"/>
        <v>https://d0f6bd738d7f1b3e5a7ca70fe4ff75f0.us-east-1.aws.found.io/app/kibana#/discover/Steve-Slow-Train-Analysis-(2080s-and-2083s)?_g=(refreshInterval:(display:Off,pause:!f,section:0,value:0),time:(from:'2017-11-12T07:27:06-0700',mode:absolute,to:'2017-11-12T09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7" s="204" t="str">
        <f>IF(AA167&lt;VLOOKUP(AG167,Variables!$AC$3:$AD$8,2,FALSE),"Y","N")</f>
        <v>N</v>
      </c>
      <c r="X167" s="204">
        <f t="shared" si="77"/>
        <v>1</v>
      </c>
      <c r="Y167" s="204">
        <f t="shared" si="78"/>
        <v>5.8601999999999999</v>
      </c>
      <c r="Z167" s="204">
        <f t="shared" si="79"/>
        <v>7.9200000000000007E-2</v>
      </c>
      <c r="AA167" s="204">
        <f t="shared" si="67"/>
        <v>5.7809999999999997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9">
        <f t="shared" si="68"/>
        <v>1806</v>
      </c>
      <c r="AE167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67" s="74" t="str">
        <f t="shared" si="70"/>
        <v>"C:\Program Files (x86)\AstroGrep\AstroGrep.exe" /e /r /s /spath="%USERPROFILE%\AppData\Local\Temp\OnboardLogs" /stypes="app*4011*20171112*" /stext=" 15:.+((SYSTEM_STATE.+slice.+state.+changed )|(ment ac)|(multiple cpu faults)|(system.+state.+changed )|(\[timeout)|(PRM\|1\|D)|(kpr)|(kdp)|(train st.+moving)|(\|lc)|(penalty))"</v>
      </c>
      <c r="AG167" s="182" t="str">
        <f t="shared" si="71"/>
        <v>NW</v>
      </c>
      <c r="AH167" s="78" t="str">
        <f t="shared" si="74"/>
        <v>"%USERPROFILE%\Documents\GitHub\eaglep3\Utilities\RefineRTDCRunTimes.py" --tripid 1806-12 --locoid 4011 --swversion DE.1.0.9.0 --startMP 300:58602 --initTime 2017-11-12T08:27:06 --startdatetime 2017-11-12T08:42:00 --delay 45 --endMP 204:792 --enddatetime 2017-11-12T08:56:02 --enforcementcount 0 &gt;&gt;%USERPROFILE%\Documents\GitHub\eaglep3-reporting\EC\2017-11-12-refined-times.txt</v>
      </c>
      <c r="AI167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{"issue":{"subject":"","project_id":79,"tracker_id":40,"status_id":1,"priority_id":2,"assigned_to_id":338,"start_date":"2017-11-12","description":"","custom_fields":[{"id":1,"name":"Subdivision","value":"NW"},{"id":4,"name":"Milepost","value":"0.0792"},{"id":17,"name":"Train ID","value":"1806-12"},{"id":16,"name":"Locomotive ID","value":"4011"},{"id":130,"name":"Impact","value":""},{"id":150,"name":"Time of Event (Mountain Time)","value":"08:56:02"},{"id":151,"name":"Denver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75"/>
        <v>start /low /b %USERPROFILE%\Documents\GitHub\eaglep3\Utilities\DownloadLogsFromS3.py --loco 4011 --day 2017-11-12</v>
      </c>
      <c r="AN167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15:56:02"},{"id":29,"name":"Sharepoint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6"/>
        <v>https://d0f6bd738d7f1b3e5a7ca70fe4ff75f0.us-east-1.aws.found.io/app/kibana#/discover/Steve-Slow-Train-Analysis-(2080s-and-2083s)?_g=(refreshInterval:(display:Off,pause:!f,section:0,value:0),time:(from:'2017-11-12T07:27:06-0700',mode:absolute,to:'2017-11-12T09:56:02-0700'))&amp;_a=(columns:!('Message%20ID',Summary),filters:!(),index:'emp_*',interval:auto,query:(query_string:(analyze_wildcard:!t,query:'%22rtdc.l.rtdc.4011%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740</v>
      </c>
      <c r="B168" s="7">
        <v>4012</v>
      </c>
      <c r="C168" s="21" t="s">
        <v>192</v>
      </c>
      <c r="D168" s="21" t="s">
        <v>963</v>
      </c>
      <c r="E168" s="13">
        <v>43051.374803240738</v>
      </c>
      <c r="F168" s="13">
        <v>43051.381481481483</v>
      </c>
      <c r="G168" s="7">
        <v>420</v>
      </c>
      <c r="H168" s="21" t="s">
        <v>632</v>
      </c>
      <c r="I168" s="13">
        <v>43051.391365740739</v>
      </c>
      <c r="J168" s="7">
        <v>0</v>
      </c>
      <c r="K168" s="89" t="str">
        <f t="shared" si="63"/>
        <v>4011/4012</v>
      </c>
      <c r="L168" s="185" t="str">
        <f>VLOOKUP(A168,'Trips&amp;Operators'!$C$1:$G$99911,5,FALSE)</f>
        <v>MACDONALD THOMAS</v>
      </c>
      <c r="M168" s="6">
        <f t="shared" si="64"/>
        <v>9.8842592560686171E-3</v>
      </c>
      <c r="N168" s="7">
        <f t="shared" si="80"/>
        <v>14.233333328738809</v>
      </c>
      <c r="O168" s="7"/>
      <c r="P168" s="7"/>
      <c r="Q168" s="22"/>
      <c r="R168" s="174"/>
      <c r="S168" s="221">
        <f t="shared" si="81"/>
        <v>1</v>
      </c>
      <c r="T168" s="174" t="str">
        <f t="shared" si="65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6"/>
        <v>https://d0f6bd738d7f1b3e5a7ca70fe4ff75f0.us-east-1.aws.found.io/app/kibana#/discover/Steve-Slow-Train-Analysis-(2080s-and-2083s)?_g=(refreshInterval:(display:Off,pause:!f,section:0,value:0),time:(from:'2017-11-12T07:59:43-0700',mode:absolute,to:'2017-11-12T10:23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204" t="str">
        <f>IF(AA168&lt;VLOOKUP(AG168,Variables!$AC$3:$AD$8,2,FALSE),"Y","N")</f>
        <v>N</v>
      </c>
      <c r="X168" s="204">
        <f t="shared" si="77"/>
        <v>1</v>
      </c>
      <c r="Y168" s="204">
        <f t="shared" si="78"/>
        <v>0.10829999999999999</v>
      </c>
      <c r="Z168" s="204">
        <f t="shared" si="79"/>
        <v>5.8912000000000004</v>
      </c>
      <c r="AA168" s="204">
        <f t="shared" si="67"/>
        <v>5.7829000000000006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9">
        <f t="shared" si="68"/>
        <v>1807</v>
      </c>
      <c r="AE168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68" s="74" t="str">
        <f t="shared" si="70"/>
        <v>"C:\Program Files (x86)\AstroGrep\AstroGrep.exe" /e /r /s /spath="%USERPROFILE%\AppData\Local\Temp\OnboardLogs" /stypes="app*4012*20171112*" /stext=" 16:.+((SYSTEM_STATE.+slice.+state.+changed )|(ment ac)|(multiple cpu faults)|(system.+state.+changed )|(\[timeout)|(PRM\|1\|D)|(kpr)|(kdp)|(train st.+moving)|(\|lc)|(penalty))"</v>
      </c>
      <c r="AG168" s="182" t="str">
        <f t="shared" si="71"/>
        <v>NW</v>
      </c>
      <c r="AH168" s="78" t="str">
        <f t="shared" si="74"/>
        <v>"%USERPROFILE%\Documents\GitHub\eaglep3\Utilities\RefineRTDCRunTimes.py" --tripid 1807-12 --locoid 4012 --swversion DE.1.0.9.0 --startMP 204:1083 --initTime 2017-11-12T08:59:43 --startdatetime 2017-11-12T09:09:20 --delay 420 --endMP 300:58912 --enddatetime 2017-11-12T09:23:34 --enforcementcount 0 &gt;&gt;%USERPROFILE%\Documents\GitHub\eaglep3-reporting\EC\2017-11-12-refined-times.txt</v>
      </c>
      <c r="AI168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{"issue":{"subject":"","project_id":79,"tracker_id":40,"status_id":1,"priority_id":2,"assigned_to_id":338,"start_date":"2017-11-12","description":"","custom_fields":[{"id":1,"name":"Subdivision","value":"NW"},{"id":4,"name":"Milepost","value":"5.8912"},{"id":17,"name":"Train ID","value":"1807-12"},{"id":16,"name":"Locomotive ID","value":"4012"},{"id":130,"name":"Impact","value":""},{"id":150,"name":"Time of Event (Mountain Time)","value":"09:23:34"},{"id":151,"name":"Denver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75"/>
        <v>start /low /b %USERPROFILE%\Documents\GitHub\eaglep3\Utilities\DownloadLogsFromS3.py --loco 4012 --day 2017-11-12</v>
      </c>
      <c r="AN168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6"/>
        <v>https://d0f6bd738d7f1b3e5a7ca70fe4ff75f0.us-east-1.aws.found.io/app/kibana#/discover/Steve-Slow-Train-Analysis-(2080s-and-2083s)?_g=(refreshInterval:(display:Off,pause:!f,section:0,value:0),time:(from:'2017-11-12T07:59:43-0700',mode:absolute,to:'2017-11-12T10:23:34-0700'))&amp;_a=(columns:!('Message%20ID',Summary),filters:!(),index:'emp_*',interval:auto,query:(query_string:(analyze_wildcard:!t,query:'%22rtdc.l.rtdc.4012%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743</v>
      </c>
      <c r="B169" s="7">
        <v>4011</v>
      </c>
      <c r="C169" s="21" t="s">
        <v>192</v>
      </c>
      <c r="D169" s="21" t="s">
        <v>953</v>
      </c>
      <c r="E169" s="13">
        <v>43051.392106481479</v>
      </c>
      <c r="F169" s="13">
        <v>43051.404166666667</v>
      </c>
      <c r="G169" s="7">
        <v>77</v>
      </c>
      <c r="H169" s="21" t="s">
        <v>964</v>
      </c>
      <c r="I169" s="13">
        <v>43051.413275462961</v>
      </c>
      <c r="J169" s="7">
        <v>0</v>
      </c>
      <c r="K169" s="89" t="str">
        <f t="shared" si="63"/>
        <v>4011/4012</v>
      </c>
      <c r="L169" s="185" t="str">
        <f>VLOOKUP(A169,'Trips&amp;Operators'!$C$1:$G$99911,5,FALSE)</f>
        <v>MACDONALD THOMAS</v>
      </c>
      <c r="M169" s="6">
        <f t="shared" si="64"/>
        <v>9.1087962937308475E-3</v>
      </c>
      <c r="N169" s="7">
        <f t="shared" si="80"/>
        <v>13.11666666297242</v>
      </c>
      <c r="O169" s="7"/>
      <c r="P169" s="7"/>
      <c r="Q169" s="22"/>
      <c r="R169" s="174"/>
      <c r="S169" s="221">
        <f t="shared" si="81"/>
        <v>1</v>
      </c>
      <c r="T169" s="174" t="str">
        <f t="shared" si="65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6"/>
        <v>https://d0f6bd738d7f1b3e5a7ca70fe4ff75f0.us-east-1.aws.found.io/app/kibana#/discover/Steve-Slow-Train-Analysis-(2080s-and-2083s)?_g=(refreshInterval:(display:Off,pause:!f,section:0,value:0),time:(from:'2017-11-12T08:24:38-0700',mode:absolute,to:'2017-11-12T10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204" t="str">
        <f>IF(AA169&lt;VLOOKUP(AG169,Variables!$AC$3:$AD$8,2,FALSE),"Y","N")</f>
        <v>N</v>
      </c>
      <c r="X169" s="204">
        <f t="shared" si="77"/>
        <v>1</v>
      </c>
      <c r="Y169" s="204">
        <f t="shared" si="78"/>
        <v>5.8605999999999998</v>
      </c>
      <c r="Z169" s="204">
        <f t="shared" si="79"/>
        <v>8.4500000000000006E-2</v>
      </c>
      <c r="AA169" s="204">
        <f t="shared" si="67"/>
        <v>5.7760999999999996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9">
        <f t="shared" si="68"/>
        <v>1808</v>
      </c>
      <c r="AE169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69" s="74" t="str">
        <f t="shared" si="70"/>
        <v>"C:\Program Files (x86)\AstroGrep\AstroGrep.exe" /e /r /s /spath="%USERPROFILE%\AppData\Local\Temp\OnboardLogs" /stypes="app*4011*20171112*" /stext=" 16:.+((SYSTEM_STATE.+slice.+state.+changed )|(ment ac)|(multiple cpu faults)|(system.+state.+changed )|(\[timeout)|(PRM\|1\|D)|(kpr)|(kdp)|(train st.+moving)|(\|lc)|(penalty))"</v>
      </c>
      <c r="AG169" s="182" t="str">
        <f t="shared" si="71"/>
        <v>NW</v>
      </c>
      <c r="AH169" s="78" t="str">
        <f t="shared" si="74"/>
        <v>"%USERPROFILE%\Documents\GitHub\eaglep3\Utilities\RefineRTDCRunTimes.py" --tripid 1808-12 --locoid 4011 --swversion DE.1.0.9.0 --startMP 300:58606 --initTime 2017-11-12T09:24:38 --startdatetime 2017-11-12T09:42:00 --delay 77 --endMP 204:845 --enddatetime 2017-11-12T09:55:07 --enforcementcount 0 &gt;&gt;%USERPROFILE%\Documents\GitHub\eaglep3-reporting\EC\2017-11-12-refined-times.txt</v>
      </c>
      <c r="AI169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{"issue":{"subject":"","project_id":79,"tracker_id":40,"status_id":1,"priority_id":2,"assigned_to_id":338,"start_date":"2017-11-12","description":"","custom_fields":[{"id":1,"name":"Subdivision","value":"NW"},{"id":4,"name":"Milepost","value":"0.0845"},{"id":17,"name":"Train ID","value":"1808-12"},{"id":16,"name":"Locomotive ID","value":"4011"},{"id":130,"name":"Impact","value":""},{"id":150,"name":"Time of Event (Mountain Time)","value":"09:55:07"},{"id":151,"name":"Denver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75"/>
        <v>start /low /b %USERPROFILE%\Documents\GitHub\eaglep3\Utilities\DownloadLogsFromS3.py --loco 4011 --day 2017-11-12</v>
      </c>
      <c r="AN169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16:55:07"},{"id":29,"name":"Sharepoint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6"/>
        <v>https://d0f6bd738d7f1b3e5a7ca70fe4ff75f0.us-east-1.aws.found.io/app/kibana#/discover/Steve-Slow-Train-Analysis-(2080s-and-2083s)?_g=(refreshInterval:(display:Off,pause:!f,section:0,value:0),time:(from:'2017-11-12T08:24:38-0700',mode:absolute,to:'2017-11-12T10:55:07-0700'))&amp;_a=(columns:!('Message%20ID',Summary),filters:!(),index:'emp_*',interval:auto,query:(query_string:(analyze_wildcard:!t,query:'%22rtdc.l.rtdc.4011%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749</v>
      </c>
      <c r="B170" s="7">
        <v>4012</v>
      </c>
      <c r="C170" s="21" t="s">
        <v>192</v>
      </c>
      <c r="D170" s="21" t="s">
        <v>965</v>
      </c>
      <c r="E170" s="13">
        <v>43051.421805555554</v>
      </c>
      <c r="F170" s="13">
        <v>43051.423136574071</v>
      </c>
      <c r="G170" s="7">
        <v>46</v>
      </c>
      <c r="H170" s="21" t="s">
        <v>966</v>
      </c>
      <c r="I170" s="13">
        <v>43051.433125000003</v>
      </c>
      <c r="J170" s="7">
        <v>0</v>
      </c>
      <c r="K170" s="89" t="str">
        <f t="shared" si="63"/>
        <v>4011/4012</v>
      </c>
      <c r="L170" s="185" t="str">
        <f>VLOOKUP(A170,'Trips&amp;Operators'!$C$1:$G$99911,5,FALSE)</f>
        <v>MACDONALD THOMAS</v>
      </c>
      <c r="M170" s="6">
        <f t="shared" si="64"/>
        <v>9.9884259325335734E-3</v>
      </c>
      <c r="N170" s="7">
        <f t="shared" si="80"/>
        <v>14.383333342848346</v>
      </c>
      <c r="O170" s="7"/>
      <c r="P170" s="7"/>
      <c r="Q170" s="22"/>
      <c r="R170" s="174"/>
      <c r="S170" s="221">
        <f t="shared" si="81"/>
        <v>1</v>
      </c>
      <c r="T170" s="174" t="str">
        <f t="shared" si="65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6"/>
        <v>https://d0f6bd738d7f1b3e5a7ca70fe4ff75f0.us-east-1.aws.found.io/app/kibana#/discover/Steve-Slow-Train-Analysis-(2080s-and-2083s)?_g=(refreshInterval:(display:Off,pause:!f,section:0,value:0),time:(from:'2017-11-12T09:07:24-0700',mode:absolute,to:'2017-11-12T11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0" s="204" t="str">
        <f>IF(AA170&lt;VLOOKUP(AG170,Variables!$AC$3:$AD$8,2,FALSE),"Y","N")</f>
        <v>N</v>
      </c>
      <c r="X170" s="204">
        <f t="shared" si="77"/>
        <v>1</v>
      </c>
      <c r="Y170" s="204">
        <f t="shared" si="78"/>
        <v>0.113</v>
      </c>
      <c r="Z170" s="204">
        <f t="shared" si="79"/>
        <v>5.8914</v>
      </c>
      <c r="AA170" s="204">
        <f t="shared" si="67"/>
        <v>5.7783999999999995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9">
        <f t="shared" si="68"/>
        <v>1809</v>
      </c>
      <c r="AE170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70" s="74" t="str">
        <f t="shared" si="70"/>
        <v>"C:\Program Files (x86)\AstroGrep\AstroGrep.exe" /e /r /s /spath="%USERPROFILE%\AppData\Local\Temp\OnboardLogs" /stypes="app*4012*20171112*" /stext=" 17:.+((SYSTEM_STATE.+slice.+state.+changed )|(ment ac)|(multiple cpu faults)|(system.+state.+changed )|(\[timeout)|(PRM\|1\|D)|(kpr)|(kdp)|(train st.+moving)|(\|lc)|(penalty))"</v>
      </c>
      <c r="AG170" s="182" t="str">
        <f t="shared" si="71"/>
        <v>NW</v>
      </c>
      <c r="AH170" s="78" t="str">
        <f t="shared" si="74"/>
        <v>"%USERPROFILE%\Documents\GitHub\eaglep3\Utilities\RefineRTDCRunTimes.py" --tripid 1809-12 --locoid 4012 --swversion DE.1.0.9.0 --startMP 204:1130 --initTime 2017-11-12T10:07:24 --startdatetime 2017-11-12T10:09:19 --delay 46 --endMP 300:58914 --enddatetime 2017-11-12T10:23:42 --enforcementcount 0 &gt;&gt;%USERPROFILE%\Documents\GitHub\eaglep3-reporting\EC\2017-11-12-refined-times.txt</v>
      </c>
      <c r="AI170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{"issue":{"subject":"","project_id":79,"tracker_id":40,"status_id":1,"priority_id":2,"assigned_to_id":338,"start_date":"2017-11-12","description":"","custom_fields":[{"id":1,"name":"Subdivision","value":"NW"},{"id":4,"name":"Milepost","value":"5.8914"},{"id":17,"name":"Train ID","value":"1809-12"},{"id":16,"name":"Locomotive ID","value":"4012"},{"id":130,"name":"Impact","value":""},{"id":150,"name":"Time of Event (Mountain Time)","value":"10:23:42"},{"id":151,"name":"Denver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75"/>
        <v>start /low /b %USERPROFILE%\Documents\GitHub\eaglep3\Utilities\DownloadLogsFromS3.py --loco 4012 --day 2017-11-12</v>
      </c>
      <c r="AN170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17:23:42"},{"id":29,"name":"Sharepoint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6"/>
        <v>https://d0f6bd738d7f1b3e5a7ca70fe4ff75f0.us-east-1.aws.found.io/app/kibana#/discover/Steve-Slow-Train-Analysis-(2080s-and-2083s)?_g=(refreshInterval:(display:Off,pause:!f,section:0,value:0),time:(from:'2017-11-12T09:07:24-0700',mode:absolute,to:'2017-11-12T11:23:42-0700'))&amp;_a=(columns:!('Message%20ID',Summary),filters:!(),index:'emp_*',interval:auto,query:(query_string:(analyze_wildcard:!t,query:'%22rtdc.l.rtdc.4012%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649</v>
      </c>
      <c r="B171" s="7">
        <v>4011</v>
      </c>
      <c r="C171" s="21" t="s">
        <v>192</v>
      </c>
      <c r="D171" s="21" t="s">
        <v>968</v>
      </c>
      <c r="E171" s="13">
        <v>43051.433877314812</v>
      </c>
      <c r="F171" s="13">
        <v>43051.445833333331</v>
      </c>
      <c r="G171" s="7">
        <v>58</v>
      </c>
      <c r="H171" s="21" t="s">
        <v>969</v>
      </c>
      <c r="I171" s="13">
        <v>43051.455104166664</v>
      </c>
      <c r="J171" s="7">
        <v>0</v>
      </c>
      <c r="K171" s="89" t="str">
        <f t="shared" si="63"/>
        <v>4011/4012</v>
      </c>
      <c r="L171" s="185" t="str">
        <f>VLOOKUP(A171,'Trips&amp;Operators'!$C$1:$G$99911,5,FALSE)</f>
        <v>MACDONALD THOMAS</v>
      </c>
      <c r="M171" s="6">
        <f t="shared" si="64"/>
        <v>9.2708333322661929E-3</v>
      </c>
      <c r="N171" s="7">
        <f t="shared" si="80"/>
        <v>13.349999998463318</v>
      </c>
      <c r="O171" s="7"/>
      <c r="P171" s="7"/>
      <c r="Q171" s="22"/>
      <c r="R171" s="174"/>
      <c r="S171" s="221">
        <f t="shared" si="81"/>
        <v>1</v>
      </c>
      <c r="T171" s="174" t="str">
        <f t="shared" si="65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6"/>
        <v>https://d0f6bd738d7f1b3e5a7ca70fe4ff75f0.us-east-1.aws.found.io/app/kibana#/discover/Steve-Slow-Train-Analysis-(2080s-and-2083s)?_g=(refreshInterval:(display:Off,pause:!f,section:0,value:0),time:(from:'2017-11-12T09:24:47-0700',mode:absolute,to:'2017-11-12T11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1" s="204" t="str">
        <f>IF(AA171&lt;VLOOKUP(AG171,Variables!$AC$3:$AD$8,2,FALSE),"Y","N")</f>
        <v>N</v>
      </c>
      <c r="X171" s="204">
        <f t="shared" si="77"/>
        <v>1</v>
      </c>
      <c r="Y171" s="204">
        <f t="shared" si="78"/>
        <v>5.8593999999999999</v>
      </c>
      <c r="Z171" s="204">
        <f t="shared" si="79"/>
        <v>8.48E-2</v>
      </c>
      <c r="AA171" s="204">
        <f t="shared" si="67"/>
        <v>5.7745999999999995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9">
        <f t="shared" si="68"/>
        <v>1810</v>
      </c>
      <c r="AE171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71" s="74" t="str">
        <f t="shared" si="70"/>
        <v>"C:\Program Files (x86)\AstroGrep\AstroGrep.exe" /e /r /s /spath="%USERPROFILE%\AppData\Local\Temp\OnboardLogs" /stypes="app*4011*20171112*" /stext=" 17:.+((SYSTEM_STATE.+slice.+state.+changed )|(ment ac)|(multiple cpu faults)|(system.+state.+changed )|(\[timeout)|(PRM\|1\|D)|(kpr)|(kdp)|(train st.+moving)|(\|lc)|(penalty))"</v>
      </c>
      <c r="AG171" s="182" t="str">
        <f t="shared" si="71"/>
        <v>NW</v>
      </c>
      <c r="AH171" s="78" t="str">
        <f t="shared" si="74"/>
        <v>"%USERPROFILE%\Documents\GitHub\eaglep3\Utilities\RefineRTDCRunTimes.py" --tripid 1810-12 --locoid 4011 --swversion DE.1.0.9.0 --startMP 300:58594 --initTime 2017-11-12T10:24:47 --startdatetime 2017-11-12T10:42:00 --delay 58 --endMP 204:848 --enddatetime 2017-11-12T10:55:21 --enforcementcount 0 &gt;&gt;%USERPROFILE%\Documents\GitHub\eaglep3-reporting\EC\2017-11-12-refined-times.txt</v>
      </c>
      <c r="AI171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{"issue":{"subject":"","project_id":79,"tracker_id":40,"status_id":1,"priority_id":2,"assigned_to_id":338,"start_date":"2017-11-12","description":"","custom_fields":[{"id":1,"name":"Subdivision","value":"NW"},{"id":4,"name":"Milepost","value":"0.0848"},{"id":17,"name":"Train ID","value":"1810-12"},{"id":16,"name":"Locomotive ID","value":"4011"},{"id":130,"name":"Impact","value":""},{"id":150,"name":"Time of Event (Mountain Time)","value":"10:55:21"},{"id":151,"name":"Denver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75"/>
        <v>start /low /b %USERPROFILE%\Documents\GitHub\eaglep3\Utilities\DownloadLogsFromS3.py --loco 4011 --day 2017-11-12</v>
      </c>
      <c r="AN171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17:55:21"},{"id":29,"name":"Sharepoint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6"/>
        <v>https://d0f6bd738d7f1b3e5a7ca70fe4ff75f0.us-east-1.aws.found.io/app/kibana#/discover/Steve-Slow-Train-Analysis-(2080s-and-2083s)?_g=(refreshInterval:(display:Off,pause:!f,section:0,value:0),time:(from:'2017-11-12T09:24:47-0700',mode:absolute,to:'2017-11-12T11:55:21-0700'))&amp;_a=(columns:!('Message%20ID',Summary),filters:!(),index:'emp_*',interval:auto,query:(query_string:(analyze_wildcard:!t,query:'%22rtdc.l.rtdc.4011%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757</v>
      </c>
      <c r="B172" s="7">
        <v>4012</v>
      </c>
      <c r="C172" s="21" t="s">
        <v>192</v>
      </c>
      <c r="D172" s="21" t="s">
        <v>970</v>
      </c>
      <c r="E172" s="13">
        <v>43051.463460648149</v>
      </c>
      <c r="F172" s="13">
        <v>43051.464884259258</v>
      </c>
      <c r="G172" s="7">
        <v>58</v>
      </c>
      <c r="H172" s="21" t="s">
        <v>971</v>
      </c>
      <c r="I172" s="13">
        <v>43051.474953703706</v>
      </c>
      <c r="J172" s="7">
        <v>0</v>
      </c>
      <c r="K172" s="89" t="str">
        <f t="shared" si="63"/>
        <v>4011/4012</v>
      </c>
      <c r="L172" s="185" t="str">
        <f>VLOOKUP(A172,'Trips&amp;Operators'!$C$1:$G$99911,5,FALSE)</f>
        <v>MACDONALD THOMAS</v>
      </c>
      <c r="M172" s="6">
        <f t="shared" si="64"/>
        <v>1.0069444448163267E-2</v>
      </c>
      <c r="N172" s="7">
        <f t="shared" si="80"/>
        <v>14.500000005355105</v>
      </c>
      <c r="O172" s="7"/>
      <c r="P172" s="7"/>
      <c r="Q172" s="22"/>
      <c r="R172" s="174"/>
      <c r="S172" s="221">
        <f t="shared" si="81"/>
        <v>1</v>
      </c>
      <c r="T172" s="174" t="str">
        <f t="shared" si="65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6"/>
        <v>https://d0f6bd738d7f1b3e5a7ca70fe4ff75f0.us-east-1.aws.found.io/app/kibana#/discover/Steve-Slow-Train-Analysis-(2080s-and-2083s)?_g=(refreshInterval:(display:Off,pause:!f,section:0,value:0),time:(from:'2017-11-12T10:07:23-0700',mode:absolute,to:'2017-11-12T12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2" s="204" t="str">
        <f>IF(AA172&lt;VLOOKUP(AG172,Variables!$AC$3:$AD$8,2,FALSE),"Y","N")</f>
        <v>N</v>
      </c>
      <c r="X172" s="204">
        <f t="shared" si="77"/>
        <v>1</v>
      </c>
      <c r="Y172" s="204">
        <f t="shared" si="78"/>
        <v>0.1153</v>
      </c>
      <c r="Z172" s="204">
        <f t="shared" si="79"/>
        <v>5.8910999999999998</v>
      </c>
      <c r="AA172" s="204">
        <f t="shared" si="67"/>
        <v>5.7757999999999994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9">
        <f t="shared" si="68"/>
        <v>1811</v>
      </c>
      <c r="AE172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72" s="74" t="str">
        <f t="shared" si="70"/>
        <v>"C:\Program Files (x86)\AstroGrep\AstroGrep.exe" /e /r /s /spath="%USERPROFILE%\AppData\Local\Temp\OnboardLogs" /stypes="app*4012*20171112*" /stext=" 18:.+((SYSTEM_STATE.+slice.+state.+changed )|(ment ac)|(multiple cpu faults)|(system.+state.+changed )|(\[timeout)|(PRM\|1\|D)|(kpr)|(kdp)|(train st.+moving)|(\|lc)|(penalty))"</v>
      </c>
      <c r="AG172" s="182" t="str">
        <f t="shared" si="71"/>
        <v>NW</v>
      </c>
      <c r="AH172" s="78" t="str">
        <f t="shared" si="74"/>
        <v>"%USERPROFILE%\Documents\GitHub\eaglep3\Utilities\RefineRTDCRunTimes.py" --tripid 1811-12 --locoid 4012 --swversion DE.1.0.9.0 --startMP 204:1153 --initTime 2017-11-12T11:07:23 --startdatetime 2017-11-12T11:09:26 --delay 58 --endMP 300:58911 --enddatetime 2017-11-12T11:23:56 --enforcementcount 0 &gt;&gt;%USERPROFILE%\Documents\GitHub\eaglep3-reporting\EC\2017-11-12-refined-times.txt</v>
      </c>
      <c r="AI172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{"issue":{"subject":"","project_id":79,"tracker_id":40,"status_id":1,"priority_id":2,"assigned_to_id":338,"start_date":"2017-11-12","description":"","custom_fields":[{"id":1,"name":"Subdivision","value":"NW"},{"id":4,"name":"Milepost","value":"5.8911"},{"id":17,"name":"Train ID","value":"1811-12"},{"id":16,"name":"Locomotive ID","value":"4012"},{"id":130,"name":"Impact","value":""},{"id":150,"name":"Time of Event (Mountain Time)","value":"11:23:56"},{"id":151,"name":"Denver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75"/>
        <v>start /low /b %USERPROFILE%\Documents\GitHub\eaglep3\Utilities\DownloadLogsFromS3.py --loco 4012 --day 2017-11-12</v>
      </c>
      <c r="AN172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6"/>
        <v>https://d0f6bd738d7f1b3e5a7ca70fe4ff75f0.us-east-1.aws.found.io/app/kibana#/discover/Steve-Slow-Train-Analysis-(2080s-and-2083s)?_g=(refreshInterval:(display:Off,pause:!f,section:0,value:0),time:(from:'2017-11-12T10:07:23-0700',mode:absolute,to:'2017-11-12T12:23:56-0700'))&amp;_a=(columns:!('Message%20ID',Summary),filters:!(),index:'emp_*',interval:auto,query:(query_string:(analyze_wildcard:!t,query:'%22rtdc.l.rtdc.4012%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760</v>
      </c>
      <c r="B173" s="7">
        <v>4011</v>
      </c>
      <c r="C173" s="21" t="s">
        <v>192</v>
      </c>
      <c r="D173" s="21" t="s">
        <v>972</v>
      </c>
      <c r="E173" s="13">
        <v>43051.475798611114</v>
      </c>
      <c r="F173" s="13">
        <v>43051.487500000003</v>
      </c>
      <c r="G173" s="7">
        <v>51</v>
      </c>
      <c r="H173" s="21" t="s">
        <v>973</v>
      </c>
      <c r="I173" s="13">
        <v>43051.496192129627</v>
      </c>
      <c r="J173" s="7">
        <v>0</v>
      </c>
      <c r="K173" s="89" t="str">
        <f t="shared" si="63"/>
        <v>4011/4012</v>
      </c>
      <c r="L173" s="185" t="str">
        <f>VLOOKUP(A173,'Trips&amp;Operators'!$C$1:$G$99911,5,FALSE)</f>
        <v>MACDONALD THOMAS</v>
      </c>
      <c r="M173" s="6">
        <f t="shared" si="64"/>
        <v>8.6921296242508106E-3</v>
      </c>
      <c r="N173" s="7">
        <f t="shared" si="80"/>
        <v>12.516666658921167</v>
      </c>
      <c r="O173" s="7"/>
      <c r="P173" s="7"/>
      <c r="Q173" s="22"/>
      <c r="R173" s="174"/>
      <c r="S173" s="221">
        <f t="shared" si="81"/>
        <v>1</v>
      </c>
      <c r="T173" s="174" t="str">
        <f t="shared" si="65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6"/>
        <v>https://d0f6bd738d7f1b3e5a7ca70fe4ff75f0.us-east-1.aws.found.io/app/kibana#/discover/Steve-Slow-Train-Analysis-(2080s-and-2083s)?_g=(refreshInterval:(display:Off,pause:!f,section:0,value:0),time:(from:'2017-11-12T10:25:09-0700',mode:absolute,to:'2017-11-12T12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3" s="204" t="str">
        <f>IF(AA173&lt;VLOOKUP(AG173,Variables!$AC$3:$AD$8,2,FALSE),"Y","N")</f>
        <v>N</v>
      </c>
      <c r="X173" s="204">
        <f t="shared" si="77"/>
        <v>1</v>
      </c>
      <c r="Y173" s="204">
        <f t="shared" si="78"/>
        <v>5.8597999999999999</v>
      </c>
      <c r="Z173" s="204">
        <f t="shared" si="79"/>
        <v>8.9200000000000002E-2</v>
      </c>
      <c r="AA173" s="204">
        <f t="shared" si="67"/>
        <v>5.7706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9">
        <f t="shared" si="68"/>
        <v>1812</v>
      </c>
      <c r="AE173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73" s="74" t="str">
        <f t="shared" si="70"/>
        <v>"C:\Program Files (x86)\AstroGrep\AstroGrep.exe" /e /r /s /spath="%USERPROFILE%\AppData\Local\Temp\OnboardLogs" /stypes="app*4011*20171112*" /stext=" 18:.+((SYSTEM_STATE.+slice.+state.+changed )|(ment ac)|(multiple cpu faults)|(system.+state.+changed )|(\[timeout)|(PRM\|1\|D)|(kpr)|(kdp)|(train st.+moving)|(\|lc)|(penalty))"</v>
      </c>
      <c r="AG173" s="182" t="str">
        <f t="shared" si="71"/>
        <v>NW</v>
      </c>
      <c r="AH173" s="78" t="str">
        <f t="shared" si="74"/>
        <v>"%USERPROFILE%\Documents\GitHub\eaglep3\Utilities\RefineRTDCRunTimes.py" --tripid 1812-12 --locoid 4011 --swversion DE.1.0.9.0 --startMP 300:58598 --initTime 2017-11-12T11:25:09 --startdatetime 2017-11-12T11:42:00 --delay 51 --endMP 204:892 --enddatetime 2017-11-12T11:54:31 --enforcementcount 0 &gt;&gt;%USERPROFILE%\Documents\GitHub\eaglep3-reporting\EC\2017-11-12-refined-times.txt</v>
      </c>
      <c r="AI173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{"issue":{"subject":"","project_id":79,"tracker_id":40,"status_id":1,"priority_id":2,"assigned_to_id":338,"start_date":"2017-11-12","description":"","custom_fields":[{"id":1,"name":"Subdivision","value":"NW"},{"id":4,"name":"Milepost","value":"0.0892"},{"id":17,"name":"Train ID","value":"1812-12"},{"id":16,"name":"Locomotive ID","value":"4011"},{"id":130,"name":"Impact","value":""},{"id":150,"name":"Time of Event (Mountain Time)","value":"11:54:31"},{"id":151,"name":"Denver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75"/>
        <v>start /low /b %USERPROFILE%\Documents\GitHub\eaglep3\Utilities\DownloadLogsFromS3.py --loco 4011 --day 2017-11-12</v>
      </c>
      <c r="AN173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18:54:31"},{"id":29,"name":"Sharepoint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6"/>
        <v>https://d0f6bd738d7f1b3e5a7ca70fe4ff75f0.us-east-1.aws.found.io/app/kibana#/discover/Steve-Slow-Train-Analysis-(2080s-and-2083s)?_g=(refreshInterval:(display:Off,pause:!f,section:0,value:0),time:(from:'2017-11-12T10:25:09-0700',mode:absolute,to:'2017-11-12T12:54:31-0700'))&amp;_a=(columns:!('Message%20ID',Summary),filters:!(),index:'emp_*',interval:auto,query:(query_string:(analyze_wildcard:!t,query:'%22rtdc.l.rtdc.4011%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770</v>
      </c>
      <c r="B174" s="7">
        <v>4012</v>
      </c>
      <c r="C174" s="21" t="s">
        <v>192</v>
      </c>
      <c r="D174" s="21" t="s">
        <v>974</v>
      </c>
      <c r="E174" s="13">
        <v>43051.503287037034</v>
      </c>
      <c r="F174" s="13">
        <v>43051.506597222222</v>
      </c>
      <c r="G174" s="7">
        <v>60</v>
      </c>
      <c r="H174" s="21" t="s">
        <v>971</v>
      </c>
      <c r="I174" s="13">
        <v>43051.516180555554</v>
      </c>
      <c r="J174" s="7">
        <v>0</v>
      </c>
      <c r="K174" s="89" t="str">
        <f t="shared" si="63"/>
        <v>4011/4012</v>
      </c>
      <c r="L174" s="185" t="str">
        <f>VLOOKUP(A174,'Trips&amp;Operators'!$C$1:$G$99911,5,FALSE)</f>
        <v>MACDONALD THOMAS</v>
      </c>
      <c r="M174" s="6">
        <f t="shared" si="64"/>
        <v>9.5833333325572312E-3</v>
      </c>
      <c r="N174" s="7">
        <f t="shared" si="80"/>
        <v>13.799999998882413</v>
      </c>
      <c r="O174" s="7"/>
      <c r="P174" s="7"/>
      <c r="Q174" s="22"/>
      <c r="R174" s="174"/>
      <c r="S174" s="221">
        <f t="shared" si="81"/>
        <v>1</v>
      </c>
      <c r="T174" s="174" t="str">
        <f t="shared" si="65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6"/>
        <v>https://d0f6bd738d7f1b3e5a7ca70fe4ff75f0.us-east-1.aws.found.io/app/kibana#/discover/Steve-Slow-Train-Analysis-(2080s-and-2083s)?_g=(refreshInterval:(display:Off,pause:!f,section:0,value:0),time:(from:'2017-11-12T11:04:44-0700',mode:absolute,to:'2017-11-12T13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4" s="204" t="str">
        <f>IF(AA174&lt;VLOOKUP(AG174,Variables!$AC$3:$AD$8,2,FALSE),"Y","N")</f>
        <v>N</v>
      </c>
      <c r="X174" s="204">
        <f t="shared" si="77"/>
        <v>1</v>
      </c>
      <c r="Y174" s="204">
        <f t="shared" si="78"/>
        <v>0.1186</v>
      </c>
      <c r="Z174" s="204">
        <f t="shared" si="79"/>
        <v>5.8910999999999998</v>
      </c>
      <c r="AA174" s="204">
        <f t="shared" si="67"/>
        <v>5.7725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9">
        <f t="shared" si="68"/>
        <v>1813</v>
      </c>
      <c r="AE174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74" s="74" t="str">
        <f t="shared" si="70"/>
        <v>"C:\Program Files (x86)\AstroGrep\AstroGrep.exe" /e /r /s /spath="%USERPROFILE%\AppData\Local\Temp\OnboardLogs" /stypes="app*4012*20171112*" /stext=" 19:.+((SYSTEM_STATE.+slice.+state.+changed )|(ment ac)|(multiple cpu faults)|(system.+state.+changed )|(\[timeout)|(PRM\|1\|D)|(kpr)|(kdp)|(train st.+moving)|(\|lc)|(penalty))"</v>
      </c>
      <c r="AG174" s="182" t="str">
        <f t="shared" si="71"/>
        <v>NW</v>
      </c>
      <c r="AH174" s="78" t="str">
        <f t="shared" si="74"/>
        <v>"%USERPROFILE%\Documents\GitHub\eaglep3\Utilities\RefineRTDCRunTimes.py" --tripid 1813-12 --locoid 4012 --swversion DE.1.0.9.0 --startMP 204:1186 --initTime 2017-11-12T12:04:44 --startdatetime 2017-11-12T12:09:30 --delay 60 --endMP 300:58911 --enddatetime 2017-11-12T12:23:18 --enforcementcount 0 &gt;&gt;%USERPROFILE%\Documents\GitHub\eaglep3-reporting\EC\2017-11-12-refined-times.txt</v>
      </c>
      <c r="AI174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{"issue":{"subject":"","project_id":79,"tracker_id":40,"status_id":1,"priority_id":2,"assigned_to_id":338,"start_date":"2017-11-12","description":"","custom_fields":[{"id":1,"name":"Subdivision","value":"NW"},{"id":4,"name":"Milepost","value":"5.8911"},{"id":17,"name":"Train ID","value":"1813-12"},{"id":16,"name":"Locomotive ID","value":"4012"},{"id":130,"name":"Impact","value":""},{"id":150,"name":"Time of Event (Mountain Time)","value":"12:23:18"},{"id":151,"name":"Denver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75"/>
        <v>start /low /b %USERPROFILE%\Documents\GitHub\eaglep3\Utilities\DownloadLogsFromS3.py --loco 4012 --day 2017-11-12</v>
      </c>
      <c r="AN174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6"/>
        <v>https://d0f6bd738d7f1b3e5a7ca70fe4ff75f0.us-east-1.aws.found.io/app/kibana#/discover/Steve-Slow-Train-Analysis-(2080s-and-2083s)?_g=(refreshInterval:(display:Off,pause:!f,section:0,value:0),time:(from:'2017-11-12T11:04:44-0700',mode:absolute,to:'2017-11-12T13:23:18-0700'))&amp;_a=(columns:!('Message%20ID',Summary),filters:!(),index:'emp_*',interval:auto,query:(query_string:(analyze_wildcard:!t,query:'%22rtdc.l.rtdc.4012%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774</v>
      </c>
      <c r="B175" s="7">
        <v>4011</v>
      </c>
      <c r="C175" s="21" t="s">
        <v>192</v>
      </c>
      <c r="D175" s="21" t="s">
        <v>975</v>
      </c>
      <c r="E175" s="13">
        <v>43051.52002314815</v>
      </c>
      <c r="F175" s="13">
        <v>43051.529930555553</v>
      </c>
      <c r="G175" s="7">
        <v>57</v>
      </c>
      <c r="H175" s="21" t="s">
        <v>976</v>
      </c>
      <c r="I175" s="13">
        <v>43051.539687500001</v>
      </c>
      <c r="J175" s="7">
        <v>0</v>
      </c>
      <c r="K175" s="89" t="str">
        <f t="shared" si="63"/>
        <v>4011/4012</v>
      </c>
      <c r="L175" s="185" t="str">
        <f>VLOOKUP(A175,'Trips&amp;Operators'!$C$1:$G$99911,5,FALSE)</f>
        <v>MACDONALD THOMAS</v>
      </c>
      <c r="M175" s="6">
        <f t="shared" si="64"/>
        <v>9.7569444478722289E-3</v>
      </c>
      <c r="N175" s="7">
        <f t="shared" si="80"/>
        <v>14.05000000493601</v>
      </c>
      <c r="O175" s="7"/>
      <c r="P175" s="7"/>
      <c r="Q175" s="22"/>
      <c r="R175" s="174" t="s">
        <v>1101</v>
      </c>
      <c r="S175" s="221">
        <f t="shared" si="81"/>
        <v>1</v>
      </c>
      <c r="T175" s="174" t="str">
        <f t="shared" si="65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6"/>
        <v>https://d0f6bd738d7f1b3e5a7ca70fe4ff75f0.us-east-1.aws.found.io/app/kibana#/discover/Steve-Slow-Train-Analysis-(2080s-and-2083s)?_g=(refreshInterval:(display:Off,pause:!f,section:0,value:0),time:(from:'2017-11-12T11:28:50-0700',mode:absolute,to:'2017-11-12T13:57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5" s="204" t="str">
        <f>IF(AA175&lt;VLOOKUP(AG175,Variables!$AC$3:$AD$8,2,FALSE),"Y","N")</f>
        <v>Y</v>
      </c>
      <c r="X175" s="204">
        <f t="shared" si="77"/>
        <v>1</v>
      </c>
      <c r="Y175" s="204">
        <f t="shared" si="78"/>
        <v>5.7245999999999997</v>
      </c>
      <c r="Z175" s="204">
        <f t="shared" si="79"/>
        <v>7.8E-2</v>
      </c>
      <c r="AA175" s="204">
        <f t="shared" si="67"/>
        <v>5.6465999999999994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9">
        <f t="shared" si="68"/>
        <v>1814</v>
      </c>
      <c r="AE175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75" s="74" t="str">
        <f t="shared" si="70"/>
        <v>"C:\Program Files (x86)\AstroGrep\AstroGrep.exe" /e /r /s /spath="%USERPROFILE%\AppData\Local\Temp\OnboardLogs" /stypes="app*4011*20171112*" /stext=" 19:.+((SYSTEM_STATE.+slice.+state.+changed )|(ment ac)|(multiple cpu faults)|(system.+state.+changed )|(\[timeout)|(PRM\|1\|D)|(kpr)|(kdp)|(train st.+moving)|(\|lc)|(penalty))"</v>
      </c>
      <c r="AG175" s="182" t="str">
        <f t="shared" si="71"/>
        <v>NW</v>
      </c>
      <c r="AH175" s="78" t="str">
        <f t="shared" si="74"/>
        <v>"%USERPROFILE%\Documents\GitHub\eaglep3\Utilities\RefineRTDCRunTimes.py" --tripid 1814-12 --locoid 4011 --swversion DE.1.0.9.0 --startMP 300:57246 --initTime 2017-11-12T12:28:50 --startdatetime 2017-11-12T12:43:06 --delay 57 --endMP 204:780 --enddatetime 2017-11-12T12:57:09 --enforcementcount 0 &gt;&gt;%USERPROFILE%\Documents\GitHub\eaglep3-reporting\EC\2017-11-12-refined-times.txt</v>
      </c>
      <c r="AI175" s="96" t="str">
        <f t="shared" si="72"/>
        <v>echo {"issue":{"subject":"Minor Onboard in-route failure observed, no delay","project_id":79,"tracker_id":40,"status_id":1,"priority_id":2,"assigned_to_id":338,"start_date":"2017-11-12","description":"","custom_fields":[{"id":1,"name":"Subdivision","value":"NW"},{"id":4,"name":"Milepost","value":"0.078"},{"id":17,"name":"Train ID","value":"1814-12"},{"id":16,"name":"Locomotive ID","value":"4011"},{"id":130,"name":"Impact","value":""},{"id":150,"name":"Time of Event (Mountain Time)","value":"12:57:09"},{"id":151,"name":"Denver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75"/>
        <v>start /low /b %USERPROFILE%\Documents\GitHub\eaglep3\Utilities\DownloadLogsFromS3.py --loco 4011 --day 2017-11-12</v>
      </c>
      <c r="AN175" s="151" t="str">
        <f t="shared" si="73"/>
        <v>echo {"issue":{"subject":"Minor Onboard in-route failure observed, no delay","project_id":30,"tracker_id":4,"status_id":1,"priority_id":1,"assigned_to_id":10,"start_date":"2017-11-12","description":"","custom_fields":[{"id":30,"name":"Category","value":"Issue"},{"id":3,"name":"Functional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19:57:09"},{"id":29,"name":"Sharepoint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6"/>
        <v>https://d0f6bd738d7f1b3e5a7ca70fe4ff75f0.us-east-1.aws.found.io/app/kibana#/discover/Steve-Slow-Train-Analysis-(2080s-and-2083s)?_g=(refreshInterval:(display:Off,pause:!f,section:0,value:0),time:(from:'2017-11-12T11:28:50-0700',mode:absolute,to:'2017-11-12T13:57:09-0700'))&amp;_a=(columns:!('Message%20ID',Summary),filters:!(),index:'emp_*',interval:auto,query:(query_string:(analyze_wildcard:!t,query:'%22rtdc.l.rtdc.4011%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774</v>
      </c>
      <c r="B176" s="7">
        <v>4011</v>
      </c>
      <c r="C176" s="21" t="s">
        <v>192</v>
      </c>
      <c r="D176" s="21" t="s">
        <v>977</v>
      </c>
      <c r="E176" s="13">
        <v>43051.516886574071</v>
      </c>
      <c r="F176" s="13">
        <v>43051.529930555553</v>
      </c>
      <c r="G176" s="7">
        <v>51</v>
      </c>
      <c r="H176" s="21" t="s">
        <v>977</v>
      </c>
      <c r="I176" s="13">
        <v>43051.539687500001</v>
      </c>
      <c r="J176" s="7">
        <v>0</v>
      </c>
      <c r="K176" s="89" t="str">
        <f t="shared" si="63"/>
        <v>4011/4012</v>
      </c>
      <c r="L176" s="185" t="str">
        <f>VLOOKUP(A176,'Trips&amp;Operators'!$C$1:$G$99911,5,FALSE)</f>
        <v>MACDONALD THOMAS</v>
      </c>
      <c r="M176" s="6">
        <f t="shared" si="64"/>
        <v>9.7569444478722289E-3</v>
      </c>
      <c r="N176" s="7"/>
      <c r="O176" s="7"/>
      <c r="P176" s="7"/>
      <c r="Q176" s="22"/>
      <c r="R176" s="174"/>
      <c r="S176" s="221"/>
      <c r="T176" s="174" t="str">
        <f t="shared" si="65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216" t="str">
        <f t="shared" si="66"/>
        <v>https://d0f6bd738d7f1b3e5a7ca70fe4ff75f0.us-east-1.aws.found.io/app/kibana#/discover/Steve-Slow-Train-Analysis-(2080s-and-2083s)?_g=(refreshInterval:(display:Off,pause:!f,section:0,value:0),time:(from:'2017-11-12T11:24:19-0700',mode:absolute,to:'2017-11-12T13:57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6" s="204" t="str">
        <f>IF(AA176&lt;VLOOKUP(AG176,Variables!$AC$3:$AD$8,2,FALSE),"Y","N")</f>
        <v>Y</v>
      </c>
      <c r="X176" s="204">
        <f t="shared" si="77"/>
        <v>0</v>
      </c>
      <c r="Y176" s="204">
        <f t="shared" si="78"/>
        <v>5.86</v>
      </c>
      <c r="Z176" s="204">
        <f t="shared" si="79"/>
        <v>5.86</v>
      </c>
      <c r="AA176" s="204">
        <f t="shared" si="67"/>
        <v>0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9">
        <f t="shared" si="68"/>
        <v>1814</v>
      </c>
      <c r="AE176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76" s="74" t="str">
        <f t="shared" si="70"/>
        <v>"C:\Program Files (x86)\AstroGrep\AstroGrep.exe" /e /r /s /spath="%USERPROFILE%\AppData\Local\Temp\OnboardLogs" /stypes="app*4011*20171112*" /stext=" 19:.+((SYSTEM_STATE.+slice.+state.+changed )|(ment ac)|(multiple cpu faults)|(system.+state.+changed )|(\[timeout)|(PRM\|1\|D)|(kpr)|(kdp)|(train st.+moving)|(\|lc)|(penalty))"</v>
      </c>
      <c r="AG176" s="182" t="str">
        <f t="shared" si="71"/>
        <v>NW</v>
      </c>
      <c r="AH176" s="78" t="str">
        <f t="shared" si="74"/>
        <v>"%USERPROFILE%\Documents\GitHub\eaglep3\Utilities\RefineRTDCRunTimes.py" --tripid 1814-12 --locoid 4011 --swversion DE.1.0.9.0 --startMP 300:58600 --initTime 2017-11-12T12:24:19 --startdatetime 2017-11-12T12:43:06 --delay 51 --endMP 300:58600 --enddatetime 2017-11-12T12:57:09 --enforcementcount 0 &gt;&gt;%USERPROFILE%\Documents\GitHub\eaglep3-reporting\EC\2017-11-12-refined-times.txt</v>
      </c>
      <c r="AI176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{"issue":{"subject":"","project_id":79,"tracker_id":40,"status_id":1,"priority_id":2,"assigned_to_id":338,"start_date":"2017-11-12","description":"","custom_fields":[{"id":1,"name":"Subdivision","value":"NW"},{"id":4,"name":"Milepost","value":"5.86"},{"id":17,"name":"Train ID","value":"1814-12"},{"id":16,"name":"Locomotive ID","value":"4011"},{"id":130,"name":"Impact","value":""},{"id":150,"name":"Time of Event (Mountain Time)","value":"12:57:09"},{"id":151,"name":"Denver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75"/>
        <v>start /low /b %USERPROFILE%\Documents\GitHub\eaglep3\Utilities\DownloadLogsFromS3.py --loco 4011 --day 2017-11-12</v>
      </c>
      <c r="AN176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19:57:09"},{"id":29,"name":"Sharepoint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6"/>
        <v>https://d0f6bd738d7f1b3e5a7ca70fe4ff75f0.us-east-1.aws.found.io/app/kibana#/discover/Steve-Slow-Train-Analysis-(2080s-and-2083s)?_g=(refreshInterval:(display:Off,pause:!f,section:0,value:0),time:(from:'2017-11-12T11:24:19-0700',mode:absolute,to:'2017-11-12T13:57:09-0700'))&amp;_a=(columns:!('Message%20ID',Summary),filters:!(),index:'emp_*',interval:auto,query:(query_string:(analyze_wildcard:!t,query:'%22rtdc.l.rtdc.4011%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782</v>
      </c>
      <c r="B177" s="7">
        <v>4012</v>
      </c>
      <c r="C177" s="21" t="s">
        <v>192</v>
      </c>
      <c r="D177" s="21" t="s">
        <v>978</v>
      </c>
      <c r="E177" s="13">
        <v>43051.549108796295</v>
      </c>
      <c r="F177" s="13">
        <v>43051.550092592595</v>
      </c>
      <c r="G177" s="7">
        <v>44</v>
      </c>
      <c r="H177" s="21" t="s">
        <v>631</v>
      </c>
      <c r="I177" s="13">
        <v>43051.560069444444</v>
      </c>
      <c r="J177" s="7">
        <v>0</v>
      </c>
      <c r="K177" s="89" t="str">
        <f t="shared" si="63"/>
        <v>4011/4012</v>
      </c>
      <c r="L177" s="185" t="str">
        <f>VLOOKUP(A177,'Trips&amp;Operators'!$C$1:$G$99911,5,FALSE)</f>
        <v>MACDONALD THOMAS</v>
      </c>
      <c r="M177" s="6">
        <f t="shared" si="64"/>
        <v>9.9768518484779634E-3</v>
      </c>
      <c r="N177" s="7">
        <f t="shared" ref="N177:N223" si="82">24*60*SUM($M177:$M177)</f>
        <v>14.366666661808267</v>
      </c>
      <c r="O177" s="7"/>
      <c r="P177" s="7"/>
      <c r="Q177" s="22"/>
      <c r="R177" s="174"/>
      <c r="S177" s="221">
        <f t="shared" ref="S177:S223" si="83">1/IF(AG177="EC",12,1)*SUM(U177:U177)</f>
        <v>1</v>
      </c>
      <c r="T177" s="174" t="str">
        <f t="shared" si="65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6"/>
        <v>https://d0f6bd738d7f1b3e5a7ca70fe4ff75f0.us-east-1.aws.found.io/app/kibana#/discover/Steve-Slow-Train-Analysis-(2080s-and-2083s)?_g=(refreshInterval:(display:Off,pause:!f,section:0,value:0),time:(from:'2017-11-12T12:10:43-0700',mode:absolute,to:'2017-11-12T14:26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7" s="204" t="str">
        <f>IF(AA177&lt;VLOOKUP(AG177,Variables!$AC$3:$AD$8,2,FALSE),"Y","N")</f>
        <v>N</v>
      </c>
      <c r="X177" s="204">
        <f t="shared" si="77"/>
        <v>1</v>
      </c>
      <c r="Y177" s="204">
        <f t="shared" si="78"/>
        <v>0.10929999999999999</v>
      </c>
      <c r="Z177" s="204">
        <f t="shared" si="79"/>
        <v>5.8921999999999999</v>
      </c>
      <c r="AA177" s="204">
        <f t="shared" si="67"/>
        <v>5.7828999999999997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9">
        <f t="shared" si="68"/>
        <v>1815</v>
      </c>
      <c r="AE177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77" s="74" t="str">
        <f t="shared" si="70"/>
        <v>"C:\Program Files (x86)\AstroGrep\AstroGrep.exe" /e /r /s /spath="%USERPROFILE%\AppData\Local\Temp\OnboardLogs" /stypes="app*4012*20171112*" /stext=" 20:.+((SYSTEM_STATE.+slice.+state.+changed )|(ment ac)|(multiple cpu faults)|(system.+state.+changed )|(\[timeout)|(PRM\|1\|D)|(kpr)|(kdp)|(train st.+moving)|(\|lc)|(penalty))"</v>
      </c>
      <c r="AG177" s="182" t="str">
        <f t="shared" si="71"/>
        <v>NW</v>
      </c>
      <c r="AH177" s="78" t="str">
        <f t="shared" si="74"/>
        <v>"%USERPROFILE%\Documents\GitHub\eaglep3\Utilities\RefineRTDCRunTimes.py" --tripid 1815-12 --locoid 4012 --swversion DE.1.0.9.0 --startMP 204:1093 --initTime 2017-11-12T13:10:43 --startdatetime 2017-11-12T13:12:08 --delay 44 --endMP 300:58922 --enddatetime 2017-11-12T13:26:30 --enforcementcount 0 &gt;&gt;%USERPROFILE%\Documents\GitHub\eaglep3-reporting\EC\2017-11-12-refined-times.txt</v>
      </c>
      <c r="AI177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{"issue":{"subject":"","project_id":79,"tracker_id":40,"status_id":1,"priority_id":2,"assigned_to_id":338,"start_date":"2017-11-12","description":"","custom_fields":[{"id":1,"name":"Subdivision","value":"NW"},{"id":4,"name":"Milepost","value":"5.8922"},{"id":17,"name":"Train ID","value":"1815-12"},{"id":16,"name":"Locomotive ID","value":"4012"},{"id":130,"name":"Impact","value":""},{"id":150,"name":"Time of Event (Mountain Time)","value":"13:26:30"},{"id":151,"name":"Denver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75"/>
        <v>start /low /b %USERPROFILE%\Documents\GitHub\eaglep3\Utilities\DownloadLogsFromS3.py --loco 4012 --day 2017-11-12</v>
      </c>
      <c r="AN177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20:26:30"},{"id":29,"name":"Sharepoint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6"/>
        <v>https://d0f6bd738d7f1b3e5a7ca70fe4ff75f0.us-east-1.aws.found.io/app/kibana#/discover/Steve-Slow-Train-Analysis-(2080s-and-2083s)?_g=(refreshInterval:(display:Off,pause:!f,section:0,value:0),time:(from:'2017-11-12T12:10:43-0700',mode:absolute,to:'2017-11-12T14:26:30-0700'))&amp;_a=(columns:!('Message%20ID',Summary),filters:!(),index:'emp_*',interval:auto,query:(query_string:(analyze_wildcard:!t,query:'%22rtdc.l.rtdc.4012%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785</v>
      </c>
      <c r="B178" s="7">
        <v>4011</v>
      </c>
      <c r="C178" s="21" t="s">
        <v>192</v>
      </c>
      <c r="D178" s="21" t="s">
        <v>968</v>
      </c>
      <c r="E178" s="13">
        <v>43051.560740740744</v>
      </c>
      <c r="F178" s="13">
        <v>43051.570833333331</v>
      </c>
      <c r="G178" s="7">
        <v>62</v>
      </c>
      <c r="H178" s="21" t="s">
        <v>583</v>
      </c>
      <c r="I178" s="13">
        <v>43051.580925925926</v>
      </c>
      <c r="J178" s="7">
        <v>0</v>
      </c>
      <c r="K178" s="89" t="str">
        <f t="shared" si="63"/>
        <v>4011/4012</v>
      </c>
      <c r="L178" s="185" t="str">
        <f>VLOOKUP(A178,'Trips&amp;Operators'!$C$1:$G$99911,5,FALSE)</f>
        <v>MACDONALD THOMAS</v>
      </c>
      <c r="M178" s="6">
        <f t="shared" si="64"/>
        <v>1.0092592594446614E-2</v>
      </c>
      <c r="N178" s="7">
        <f t="shared" si="82"/>
        <v>14.533333336003125</v>
      </c>
      <c r="O178" s="7"/>
      <c r="P178" s="7"/>
      <c r="Q178" s="22"/>
      <c r="R178" s="174"/>
      <c r="S178" s="221">
        <f t="shared" si="83"/>
        <v>1</v>
      </c>
      <c r="T178" s="174" t="str">
        <f t="shared" si="65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6"/>
        <v>https://d0f6bd738d7f1b3e5a7ca70fe4ff75f0.us-east-1.aws.found.io/app/kibana#/discover/Steve-Slow-Train-Analysis-(2080s-and-2083s)?_g=(refreshInterval:(display:Off,pause:!f,section:0,value:0),time:(from:'2017-11-12T12:27:28-0700',mode:absolute,to:'2017-11-12T14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8" s="204" t="str">
        <f>IF(AA178&lt;VLOOKUP(AG178,Variables!$AC$3:$AD$8,2,FALSE),"Y","N")</f>
        <v>N</v>
      </c>
      <c r="X178" s="204">
        <f t="shared" si="77"/>
        <v>1</v>
      </c>
      <c r="Y178" s="204">
        <f t="shared" si="78"/>
        <v>5.8593999999999999</v>
      </c>
      <c r="Z178" s="204">
        <f t="shared" si="79"/>
        <v>7.9000000000000001E-2</v>
      </c>
      <c r="AA178" s="204">
        <f t="shared" si="67"/>
        <v>5.7804000000000002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9">
        <f t="shared" si="68"/>
        <v>1816</v>
      </c>
      <c r="AE178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78" s="74" t="str">
        <f t="shared" si="70"/>
        <v>"C:\Program Files (x86)\AstroGrep\AstroGrep.exe" /e /r /s /spath="%USERPROFILE%\AppData\Local\Temp\OnboardLogs" /stypes="app*4011*20171112*" /stext=" 20:.+((SYSTEM_STATE.+slice.+state.+changed )|(ment ac)|(multiple cpu faults)|(system.+state.+changed )|(\[timeout)|(PRM\|1\|D)|(kpr)|(kdp)|(train st.+moving)|(\|lc)|(penalty))"</v>
      </c>
      <c r="AG178" s="182" t="str">
        <f t="shared" si="71"/>
        <v>NW</v>
      </c>
      <c r="AH178" s="78" t="str">
        <f t="shared" si="74"/>
        <v>"%USERPROFILE%\Documents\GitHub\eaglep3\Utilities\RefineRTDCRunTimes.py" --tripid 1816-12 --locoid 4011 --swversion DE.1.0.9.0 --startMP 300:58594 --initTime 2017-11-12T13:27:28 --startdatetime 2017-11-12T13:42:00 --delay 62 --endMP 204:790 --enddatetime 2017-11-12T13:56:32 --enforcementcount 0 &gt;&gt;%USERPROFILE%\Documents\GitHub\eaglep3-reporting\EC\2017-11-12-refined-times.txt</v>
      </c>
      <c r="AI178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{"issue":{"subject":"","project_id":79,"tracker_id":40,"status_id":1,"priority_id":2,"assigned_to_id":338,"start_date":"2017-11-12","description":"","custom_fields":[{"id":1,"name":"Subdivision","value":"NW"},{"id":4,"name":"Milepost","value":"0.079"},{"id":17,"name":"Train ID","value":"1816-12"},{"id":16,"name":"Locomotive ID","value":"4011"},{"id":130,"name":"Impact","value":""},{"id":150,"name":"Time of Event (Mountain Time)","value":"13:56:32"},{"id":151,"name":"Denver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75"/>
        <v>start /low /b %USERPROFILE%\Documents\GitHub\eaglep3\Utilities\DownloadLogsFromS3.py --loco 4011 --day 2017-11-12</v>
      </c>
      <c r="AN178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20:56:32"},{"id":29,"name":"Sharepoint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6"/>
        <v>https://d0f6bd738d7f1b3e5a7ca70fe4ff75f0.us-east-1.aws.found.io/app/kibana#/discover/Steve-Slow-Train-Analysis-(2080s-and-2083s)?_g=(refreshInterval:(display:Off,pause:!f,section:0,value:0),time:(from:'2017-11-12T12:27:28-0700',mode:absolute,to:'2017-11-12T14:56:32-0700'))&amp;_a=(columns:!('Message%20ID',Summary),filters:!(),index:'emp_*',interval:auto,query:(query_string:(analyze_wildcard:!t,query:'%22rtdc.l.rtdc.4011%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790</v>
      </c>
      <c r="B179" s="7">
        <v>4012</v>
      </c>
      <c r="C179" s="21" t="s">
        <v>192</v>
      </c>
      <c r="D179" s="21" t="s">
        <v>968</v>
      </c>
      <c r="E179" s="13">
        <v>43051.560740740744</v>
      </c>
      <c r="F179" s="13">
        <v>43051.589953703704</v>
      </c>
      <c r="G179" s="7">
        <v>62</v>
      </c>
      <c r="H179" s="21" t="s">
        <v>583</v>
      </c>
      <c r="I179" s="13">
        <v>43051.600081018521</v>
      </c>
      <c r="J179" s="7">
        <v>0</v>
      </c>
      <c r="K179" s="89" t="str">
        <f t="shared" si="63"/>
        <v>4011/4012</v>
      </c>
      <c r="L179" s="185" t="str">
        <f>VLOOKUP(A179,'Trips&amp;Operators'!$C$1:$G$99911,5,FALSE)</f>
        <v>HOLCOMB KAMDEN</v>
      </c>
      <c r="M179" s="6">
        <f t="shared" si="64"/>
        <v>1.0127314817509614E-2</v>
      </c>
      <c r="N179" s="7">
        <f t="shared" si="82"/>
        <v>14.583333337213844</v>
      </c>
      <c r="O179" s="7"/>
      <c r="P179" s="7"/>
      <c r="Q179" s="22"/>
      <c r="R179" s="174"/>
      <c r="S179" s="221">
        <f t="shared" si="83"/>
        <v>1</v>
      </c>
      <c r="T179" s="174" t="str">
        <f t="shared" si="65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6"/>
        <v>https://d0f6bd738d7f1b3e5a7ca70fe4ff75f0.us-east-1.aws.found.io/app/kibana#/discover/Steve-Slow-Train-Analysis-(2080s-and-2083s)?_g=(refreshInterval:(display:Off,pause:!f,section:0,value:0),time:(from:'2017-11-12T12:27:28-0700',mode:absolute,to:'2017-11-12T15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9" s="204" t="str">
        <f>IF(AA179&lt;VLOOKUP(AG179,Variables!$AC$3:$AD$8,2,FALSE),"Y","N")</f>
        <v>N</v>
      </c>
      <c r="X179" s="204">
        <f t="shared" si="77"/>
        <v>1</v>
      </c>
      <c r="Y179" s="204">
        <v>0.10929999999999999</v>
      </c>
      <c r="Z179" s="204">
        <v>5.8921999999999999</v>
      </c>
      <c r="AA179" s="204">
        <f t="shared" si="67"/>
        <v>5.7828999999999997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9">
        <f t="shared" si="68"/>
        <v>1817</v>
      </c>
      <c r="AE179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79" s="74" t="str">
        <f t="shared" si="70"/>
        <v>"C:\Program Files (x86)\AstroGrep\AstroGrep.exe" /e /r /s /spath="%USERPROFILE%\AppData\Local\Temp\OnboardLogs" /stypes="app*4012*20171112*" /stext=" 21:.+((SYSTEM_STATE.+slice.+state.+changed )|(ment ac)|(multiple cpu faults)|(system.+state.+changed )|(\[timeout)|(PRM\|1\|D)|(kpr)|(kdp)|(train st.+moving)|(\|lc)|(penalty))"</v>
      </c>
      <c r="AG179" s="182" t="str">
        <f t="shared" si="71"/>
        <v>NW</v>
      </c>
      <c r="AH179" s="78" t="str">
        <f t="shared" ref="AH179" si="84"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1817-12 --locoid 4012 --swversion DE.1.0.9.0 --startMP 300:58594 --initTime 2017-11-12T13:27:28 --startdatetime 2017-11-12T14:09:32 --delay 62 --endMP 204:790 --enddatetime 2017-11-12T14:24:07 --enforcementcount 0 &gt;&gt;%USERPROFILE%\Documents\GitHub\eaglep3-reporting\EC\2017-11-12-refined-times.txt</v>
      </c>
      <c r="AI179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{"issue":{"subject":"","project_id":79,"tracker_id":40,"status_id":1,"priority_id":2,"assigned_to_id":338,"start_date":"2017-11-12","description":"","custom_fields":[{"id":1,"name":"Subdivision","value":"NW"},{"id":4,"name":"Milepost","value":"5.8922"},{"id":17,"name":"Train ID","value":"1817-12"},{"id":16,"name":"Locomotive ID","value":"4012"},{"id":130,"name":"Impact","value":""},{"id":150,"name":"Time of Event (Mountain Time)","value":"14:24:07"},{"id":151,"name":"Denver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ref="AM179" si="85">"start /low /b "&amp;dls3logs&amp;" --loco "&amp;B179&amp;" --day "&amp;TEXT(F179,"YYYY-MM-DD")</f>
        <v>start /low /b %USERPROFILE%\Documents\GitHub\eaglep3\Utilities\DownloadLogsFromS3.py --loco 4012 --day 2017-11-12</v>
      </c>
      <c r="AN179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21:24:07"},{"id":29,"name":"Sharepoint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ref="AO179" si="86"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Message%20ID',Summary),filters:!(),index:'emp_*',interval:auto,query:"&amp;"(query_string:(analyze_wildcard:!t,query:'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-12T12:27:28-0700',mode:absolute,to:'2017-11-12T15:24:07-0700'))&amp;_a=(columns:!('Message%20ID',Summary),filters:!(),index:'emp_*',interval:auto,query:(query_string:(analyze_wildcard:!t,query:'%22rtdc.l.rtdc.4012%22')),sort:!(Time.ISO8601,asc))</v>
      </c>
    </row>
    <row r="180" spans="1:91" s="20" customFormat="1" x14ac:dyDescent="0.25">
      <c r="A180" s="32" t="s">
        <v>794</v>
      </c>
      <c r="B180" s="7">
        <v>4011</v>
      </c>
      <c r="C180" s="21" t="s">
        <v>192</v>
      </c>
      <c r="D180" s="21" t="s">
        <v>979</v>
      </c>
      <c r="E180" s="13">
        <v>43051.600902777776</v>
      </c>
      <c r="F180" s="13">
        <v>43051.612500000003</v>
      </c>
      <c r="G180" s="7">
        <v>59</v>
      </c>
      <c r="H180" s="21" t="s">
        <v>980</v>
      </c>
      <c r="I180" s="13">
        <v>43051.621400462966</v>
      </c>
      <c r="J180" s="7">
        <v>0</v>
      </c>
      <c r="K180" s="89" t="str">
        <f t="shared" si="63"/>
        <v>4011/4012</v>
      </c>
      <c r="L180" s="185" t="str">
        <f>VLOOKUP(A180,'Trips&amp;Operators'!$C$1:$G$99911,5,FALSE)</f>
        <v>HOLCOMB KAMDEN</v>
      </c>
      <c r="M180" s="6">
        <f t="shared" si="64"/>
        <v>8.9004629626288079E-3</v>
      </c>
      <c r="N180" s="7">
        <f t="shared" si="82"/>
        <v>12.816666666185483</v>
      </c>
      <c r="O180" s="7"/>
      <c r="P180" s="7"/>
      <c r="Q180" s="22"/>
      <c r="R180" s="174"/>
      <c r="S180" s="221">
        <f t="shared" si="83"/>
        <v>1</v>
      </c>
      <c r="T180" s="174" t="str">
        <f t="shared" si="65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6"/>
        <v>https://d0f6bd738d7f1b3e5a7ca70fe4ff75f0.us-east-1.aws.found.io/app/kibana#/discover/Steve-Slow-Train-Analysis-(2080s-and-2083s)?_g=(refreshInterval:(display:Off,pause:!f,section:0,value:0),time:(from:'2017-11-12T13:25:18-0700',mode:absolute,to:'2017-11-12T15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0" s="204" t="str">
        <f>IF(AA180&lt;VLOOKUP(AG180,Variables!$AC$3:$AD$8,2,FALSE),"Y","N")</f>
        <v>N</v>
      </c>
      <c r="X180" s="204">
        <f t="shared" si="77"/>
        <v>1</v>
      </c>
      <c r="Y180" s="204">
        <f t="shared" ref="Y180:Y192" si="87">RIGHT(D180,LEN(D180)-4)/10000</f>
        <v>5.8682999999999996</v>
      </c>
      <c r="Z180" s="204">
        <f t="shared" ref="Z180:Z192" si="88">RIGHT(H180,LEN(H180)-4)/10000</f>
        <v>8.8300000000000003E-2</v>
      </c>
      <c r="AA180" s="204">
        <f t="shared" si="67"/>
        <v>5.7799999999999994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9">
        <f t="shared" si="68"/>
        <v>1818</v>
      </c>
      <c r="AE180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80" s="74" t="str">
        <f t="shared" si="70"/>
        <v>"C:\Program Files (x86)\AstroGrep\AstroGrep.exe" /e /r /s /spath="%USERPROFILE%\AppData\Local\Temp\OnboardLogs" /stypes="app*4011*20171112*" /stext=" 21:.+((SYSTEM_STATE.+slice.+state.+changed )|(ment ac)|(multiple cpu faults)|(system.+state.+changed )|(\[timeout)|(PRM\|1\|D)|(kpr)|(kdp)|(train st.+moving)|(\|lc)|(penalty))"</v>
      </c>
      <c r="AG180" s="182" t="str">
        <f t="shared" si="71"/>
        <v>NW</v>
      </c>
      <c r="AH180" s="78" t="str">
        <f t="shared" si="74"/>
        <v>"%USERPROFILE%\Documents\GitHub\eaglep3\Utilities\RefineRTDCRunTimes.py" --tripid 1818-12 --locoid 4011 --swversion DE.1.0.9.0 --startMP 300:58683 --initTime 2017-11-12T14:25:18 --startdatetime 2017-11-12T14:42:00 --delay 59 --endMP 204:883 --enddatetime 2017-11-12T14:54:49 --enforcementcount 0 &gt;&gt;%USERPROFILE%\Documents\GitHub\eaglep3-reporting\EC\2017-11-12-refined-times.txt</v>
      </c>
      <c r="AI180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{"issue":{"subject":"","project_id":79,"tracker_id":40,"status_id":1,"priority_id":2,"assigned_to_id":338,"start_date":"2017-11-12","description":"","custom_fields":[{"id":1,"name":"Subdivision","value":"NW"},{"id":4,"name":"Milepost","value":"0.0883"},{"id":17,"name":"Train ID","value":"1818-12"},{"id":16,"name":"Locomotive ID","value":"4011"},{"id":130,"name":"Impact","value":""},{"id":150,"name":"Time of Event (Mountain Time)","value":"14:54:49"},{"id":151,"name":"Denver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75"/>
        <v>start /low /b %USERPROFILE%\Documents\GitHub\eaglep3\Utilities\DownloadLogsFromS3.py --loco 4011 --day 2017-11-12</v>
      </c>
      <c r="AN180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21:54:49"},{"id":29,"name":"Sharepoint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6"/>
        <v>https://d0f6bd738d7f1b3e5a7ca70fe4ff75f0.us-east-1.aws.found.io/app/kibana#/discover/Steve-Slow-Train-Analysis-(2080s-and-2083s)?_g=(refreshInterval:(display:Off,pause:!f,section:0,value:0),time:(from:'2017-11-12T13:25:18-0700',mode:absolute,to:'2017-11-12T15:54:49-0700'))&amp;_a=(columns:!('Message%20ID',Summary),filters:!(),index:'emp_*',interval:auto,query:(query_string:(analyze_wildcard:!t,query:'%22rtdc.l.rtdc.4011%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654</v>
      </c>
      <c r="B181" s="7">
        <v>4012</v>
      </c>
      <c r="C181" s="21" t="s">
        <v>192</v>
      </c>
      <c r="D181" s="21" t="s">
        <v>981</v>
      </c>
      <c r="E181" s="13">
        <v>43051.627962962964</v>
      </c>
      <c r="F181" s="13">
        <v>43051.632280092592</v>
      </c>
      <c r="G181" s="7">
        <v>65</v>
      </c>
      <c r="H181" s="21" t="s">
        <v>982</v>
      </c>
      <c r="I181" s="13">
        <v>43051.642442129632</v>
      </c>
      <c r="J181" s="7">
        <v>0</v>
      </c>
      <c r="K181" s="89" t="str">
        <f t="shared" si="63"/>
        <v>4011/4012</v>
      </c>
      <c r="L181" s="185" t="str">
        <f>VLOOKUP(A181,'Trips&amp;Operators'!$C$1:$G$99911,5,FALSE)</f>
        <v>HOLCOMB KAMDEN</v>
      </c>
      <c r="M181" s="6">
        <f t="shared" si="64"/>
        <v>1.0162037040572613E-2</v>
      </c>
      <c r="N181" s="7">
        <f t="shared" si="82"/>
        <v>14.633333338424563</v>
      </c>
      <c r="O181" s="7"/>
      <c r="P181" s="7"/>
      <c r="Q181" s="22"/>
      <c r="R181" s="174"/>
      <c r="S181" s="221">
        <f t="shared" si="83"/>
        <v>1</v>
      </c>
      <c r="T181" s="174" t="str">
        <f t="shared" si="65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6"/>
        <v>https://d0f6bd738d7f1b3e5a7ca70fe4ff75f0.us-east-1.aws.found.io/app/kibana#/discover/Steve-Slow-Train-Analysis-(2080s-and-2083s)?_g=(refreshInterval:(display:Off,pause:!f,section:0,value:0),time:(from:'2017-11-12T14:04:16-0700',mode:absolute,to:'2017-11-12T16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1" s="204" t="str">
        <f>IF(AA181&lt;VLOOKUP(AG181,Variables!$AC$3:$AD$8,2,FALSE),"Y","N")</f>
        <v>N</v>
      </c>
      <c r="X181" s="204">
        <f t="shared" si="77"/>
        <v>1</v>
      </c>
      <c r="Y181" s="204">
        <f t="shared" si="87"/>
        <v>0.1181</v>
      </c>
      <c r="Z181" s="204">
        <f t="shared" si="88"/>
        <v>5.8987999999999996</v>
      </c>
      <c r="AA181" s="204">
        <f t="shared" si="67"/>
        <v>5.7806999999999995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9">
        <f t="shared" si="68"/>
        <v>1819</v>
      </c>
      <c r="AE181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81" s="74" t="str">
        <f t="shared" si="70"/>
        <v>"C:\Program Files (x86)\AstroGrep\AstroGrep.exe" /e /r /s /spath="%USERPROFILE%\AppData\Local\Temp\OnboardLogs" /stypes="app*4012*20171112*" /stext=" 22:.+((SYSTEM_STATE.+slice.+state.+changed )|(ment ac)|(multiple cpu faults)|(system.+state.+changed )|(\[timeout)|(PRM\|1\|D)|(kpr)|(kdp)|(train st.+moving)|(\|lc)|(penalty))"</v>
      </c>
      <c r="AG181" s="182" t="str">
        <f t="shared" si="71"/>
        <v>NW</v>
      </c>
      <c r="AH181" s="78" t="str">
        <f t="shared" si="74"/>
        <v>"%USERPROFILE%\Documents\GitHub\eaglep3\Utilities\RefineRTDCRunTimes.py" --tripid 1819-12 --locoid 4012 --swversion DE.1.0.9.0 --startMP 204:1181 --initTime 2017-11-12T15:04:16 --startdatetime 2017-11-12T15:10:29 --delay 65 --endMP 300:58988 --enddatetime 2017-11-12T15:25:07 --enforcementcount 0 &gt;&gt;%USERPROFILE%\Documents\GitHub\eaglep3-reporting\EC\2017-11-12-refined-times.txt</v>
      </c>
      <c r="AI181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{"issue":{"subject":"","project_id":79,"tracker_id":40,"status_id":1,"priority_id":2,"assigned_to_id":338,"start_date":"2017-11-12","description":"","custom_fields":[{"id":1,"name":"Subdivision","value":"NW"},{"id":4,"name":"Milepost","value":"5.8988"},{"id":17,"name":"Train ID","value":"1819-12"},{"id":16,"name":"Locomotive ID","value":"4012"},{"id":130,"name":"Impact","value":""},{"id":150,"name":"Time of Event (Mountain Time)","value":"15:25:07"},{"id":151,"name":"Denver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75"/>
        <v>start /low /b %USERPROFILE%\Documents\GitHub\eaglep3\Utilities\DownloadLogsFromS3.py --loco 4012 --day 2017-11-12</v>
      </c>
      <c r="AN181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22:25:07"},{"id":29,"name":"Sharepoint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6"/>
        <v>https://d0f6bd738d7f1b3e5a7ca70fe4ff75f0.us-east-1.aws.found.io/app/kibana#/discover/Steve-Slow-Train-Analysis-(2080s-and-2083s)?_g=(refreshInterval:(display:Off,pause:!f,section:0,value:0),time:(from:'2017-11-12T14:04:16-0700',mode:absolute,to:'2017-11-12T16:25:07-0700'))&amp;_a=(columns:!('Message%20ID',Summary),filters:!(),index:'emp_*',interval:auto,query:(query_string:(analyze_wildcard:!t,query:'%22rtdc.l.rtdc.4012%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801</v>
      </c>
      <c r="B182" s="7">
        <v>4011</v>
      </c>
      <c r="C182" s="21" t="s">
        <v>192</v>
      </c>
      <c r="D182" s="21" t="s">
        <v>984</v>
      </c>
      <c r="E182" s="13">
        <v>43051.644097222219</v>
      </c>
      <c r="F182" s="13">
        <v>43051.654166666667</v>
      </c>
      <c r="G182" s="7">
        <v>47</v>
      </c>
      <c r="H182" s="21" t="s">
        <v>985</v>
      </c>
      <c r="I182" s="13">
        <v>43051.663263888891</v>
      </c>
      <c r="J182" s="7">
        <v>0</v>
      </c>
      <c r="K182" s="89" t="str">
        <f t="shared" si="63"/>
        <v>4011/4012</v>
      </c>
      <c r="L182" s="185" t="str">
        <f>VLOOKUP(A182,'Trips&amp;Operators'!$C$1:$G$99911,5,FALSE)</f>
        <v>HOLCOMB KAMDEN</v>
      </c>
      <c r="M182" s="6">
        <f t="shared" si="64"/>
        <v>9.0972222242271528E-3</v>
      </c>
      <c r="N182" s="7">
        <f t="shared" si="82"/>
        <v>13.1000000028871</v>
      </c>
      <c r="O182" s="7"/>
      <c r="P182" s="7"/>
      <c r="Q182" s="22"/>
      <c r="R182" s="174"/>
      <c r="S182" s="221">
        <f t="shared" si="83"/>
        <v>1</v>
      </c>
      <c r="T182" s="174" t="str">
        <f t="shared" si="65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6"/>
        <v>https://d0f6bd738d7f1b3e5a7ca70fe4ff75f0.us-east-1.aws.found.io/app/kibana#/discover/Steve-Slow-Train-Analysis-(2080s-and-2083s)?_g=(refreshInterval:(display:Off,pause:!f,section:0,value:0),time:(from:'2017-11-12T14:27:30-0700',mode:absolute,to:'2017-11-12T16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2" s="204" t="str">
        <f>IF(AA182&lt;VLOOKUP(AG182,Variables!$AC$3:$AD$8,2,FALSE),"Y","N")</f>
        <v>N</v>
      </c>
      <c r="X182" s="204">
        <f t="shared" ref="X182:X213" si="89">VALUE(LEFT(AD182,4))-VALUE(LEFT(AD181,4))</f>
        <v>1</v>
      </c>
      <c r="Y182" s="204">
        <f t="shared" si="87"/>
        <v>5.8663999999999996</v>
      </c>
      <c r="Z182" s="204">
        <f t="shared" si="88"/>
        <v>8.6599999999999996E-2</v>
      </c>
      <c r="AA182" s="204">
        <f t="shared" si="67"/>
        <v>5.7797999999999998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9">
        <f t="shared" si="68"/>
        <v>1820</v>
      </c>
      <c r="AE182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82" s="74" t="str">
        <f t="shared" si="70"/>
        <v>"C:\Program Files (x86)\AstroGrep\AstroGrep.exe" /e /r /s /spath="%USERPROFILE%\AppData\Local\Temp\OnboardLogs" /stypes="app*4011*20171112*" /stext=" 22:.+((SYSTEM_STATE.+slice.+state.+changed )|(ment ac)|(multiple cpu faults)|(system.+state.+changed )|(\[timeout)|(PRM\|1\|D)|(kpr)|(kdp)|(train st.+moving)|(\|lc)|(penalty))"</v>
      </c>
      <c r="AG182" s="182" t="str">
        <f t="shared" si="71"/>
        <v>NW</v>
      </c>
      <c r="AH182" s="78" t="str">
        <f t="shared" si="74"/>
        <v>"%USERPROFILE%\Documents\GitHub\eaglep3\Utilities\RefineRTDCRunTimes.py" --tripid 1820-12 --locoid 4011 --swversion DE.1.0.9.0 --startMP 300:58664 --initTime 2017-11-12T15:27:30 --startdatetime 2017-11-12T15:42:00 --delay 47 --endMP 204:866 --enddatetime 2017-11-12T15:55:06 --enforcementcount 0 &gt;&gt;%USERPROFILE%\Documents\GitHub\eaglep3-reporting\EC\2017-11-12-refined-times.txt</v>
      </c>
      <c r="AI182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{"issue":{"subject":"","project_id":79,"tracker_id":40,"status_id":1,"priority_id":2,"assigned_to_id":338,"start_date":"2017-11-12","description":"","custom_fields":[{"id":1,"name":"Subdivision","value":"NW"},{"id":4,"name":"Milepost","value":"0.0866"},{"id":17,"name":"Train ID","value":"1820-12"},{"id":16,"name":"Locomotive ID","value":"4011"},{"id":130,"name":"Impact","value":""},{"id":150,"name":"Time of Event (Mountain Time)","value":"15:55:06"},{"id":151,"name":"Denver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75"/>
        <v>start /low /b %USERPROFILE%\Documents\GitHub\eaglep3\Utilities\DownloadLogsFromS3.py --loco 4011 --day 2017-11-12</v>
      </c>
      <c r="AN182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6"/>
        <v>https://d0f6bd738d7f1b3e5a7ca70fe4ff75f0.us-east-1.aws.found.io/app/kibana#/discover/Steve-Slow-Train-Analysis-(2080s-and-2083s)?_g=(refreshInterval:(display:Off,pause:!f,section:0,value:0),time:(from:'2017-11-12T14:27:30-0700',mode:absolute,to:'2017-11-12T16:55:06-0700'))&amp;_a=(columns:!('Message%20ID',Summary),filters:!(),index:'emp_*',interval:auto,query:(query_string:(analyze_wildcard:!t,query:'%22rtdc.l.rtdc.4011%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806</v>
      </c>
      <c r="B183" s="7">
        <v>4012</v>
      </c>
      <c r="C183" s="21" t="s">
        <v>192</v>
      </c>
      <c r="D183" s="21" t="s">
        <v>986</v>
      </c>
      <c r="E183" s="13">
        <v>43051.668668981481</v>
      </c>
      <c r="F183" s="13">
        <v>43051.673252314817</v>
      </c>
      <c r="G183" s="7">
        <v>58</v>
      </c>
      <c r="H183" s="21" t="s">
        <v>987</v>
      </c>
      <c r="I183" s="13">
        <v>43051.683379629627</v>
      </c>
      <c r="J183" s="7">
        <v>0</v>
      </c>
      <c r="K183" s="89" t="str">
        <f t="shared" si="63"/>
        <v>4011/4012</v>
      </c>
      <c r="L183" s="185" t="str">
        <f>VLOOKUP(A183,'Trips&amp;Operators'!$C$1:$G$99911,5,FALSE)</f>
        <v>HOLCOMB KAMDEN</v>
      </c>
      <c r="M183" s="6">
        <f t="shared" si="64"/>
        <v>1.0127314810233656E-2</v>
      </c>
      <c r="N183" s="7">
        <f t="shared" si="82"/>
        <v>14.583333326736465</v>
      </c>
      <c r="O183" s="7"/>
      <c r="P183" s="7"/>
      <c r="Q183" s="22"/>
      <c r="R183" s="174"/>
      <c r="S183" s="221">
        <f t="shared" si="83"/>
        <v>1</v>
      </c>
      <c r="T183" s="174" t="str">
        <f t="shared" si="65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6"/>
        <v>https://d0f6bd738d7f1b3e5a7ca70fe4ff75f0.us-east-1.aws.found.io/app/kibana#/discover/Steve-Slow-Train-Analysis-(2080s-and-2083s)?_g=(refreshInterval:(display:Off,pause:!f,section:0,value:0),time:(from:'2017-11-12T15:02:53-0700',mode:absolute,to:'2017-11-12T17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3" s="204" t="str">
        <f>IF(AA183&lt;VLOOKUP(AG183,Variables!$AC$3:$AD$8,2,FALSE),"Y","N")</f>
        <v>N</v>
      </c>
      <c r="X183" s="204">
        <f t="shared" si="89"/>
        <v>1</v>
      </c>
      <c r="Y183" s="204">
        <f t="shared" si="87"/>
        <v>0.1154</v>
      </c>
      <c r="Z183" s="204">
        <f t="shared" si="88"/>
        <v>5.899</v>
      </c>
      <c r="AA183" s="204">
        <f t="shared" si="67"/>
        <v>5.7835999999999999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9">
        <f t="shared" si="68"/>
        <v>1821</v>
      </c>
      <c r="AE183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83" s="74" t="str">
        <f t="shared" si="70"/>
        <v>"C:\Program Files (x86)\AstroGrep\AstroGrep.exe" /e /r /s /spath="%USERPROFILE%\AppData\Local\Temp\OnboardLogs" /stypes="app*4012*20171112*" /stext=" 23:.+((SYSTEM_STATE.+slice.+state.+changed )|(ment ac)|(multiple cpu faults)|(system.+state.+changed )|(\[timeout)|(PRM\|1\|D)|(kpr)|(kdp)|(train st.+moving)|(\|lc)|(penalty))"</v>
      </c>
      <c r="AG183" s="182" t="str">
        <f t="shared" si="71"/>
        <v>NW</v>
      </c>
      <c r="AH183" s="78" t="str">
        <f t="shared" si="74"/>
        <v>"%USERPROFILE%\Documents\GitHub\eaglep3\Utilities\RefineRTDCRunTimes.py" --tripid 1821-12 --locoid 4012 --swversion DE.1.0.9.0 --startMP 204:1154 --initTime 2017-11-12T16:02:53 --startdatetime 2017-11-12T16:09:29 --delay 58 --endMP 300:58990 --enddatetime 2017-11-12T16:24:04 --enforcementcount 0 &gt;&gt;%USERPROFILE%\Documents\GitHub\eaglep3-reporting\EC\2017-11-12-refined-times.txt</v>
      </c>
      <c r="AI183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{"issue":{"subject":"","project_id":79,"tracker_id":40,"status_id":1,"priority_id":2,"assigned_to_id":338,"start_date":"2017-11-12","description":"","custom_fields":[{"id":1,"name":"Subdivision","value":"NW"},{"id":4,"name":"Milepost","value":"5.899"},{"id":17,"name":"Train ID","value":"1821-12"},{"id":16,"name":"Locomotive ID","value":"4012"},{"id":130,"name":"Impact","value":""},{"id":150,"name":"Time of Event (Mountain Time)","value":"16:24:04"},{"id":151,"name":"Denver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75"/>
        <v>start /low /b %USERPROFILE%\Documents\GitHub\eaglep3\Utilities\DownloadLogsFromS3.py --loco 4012 --day 2017-11-12</v>
      </c>
      <c r="AN183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6"/>
        <v>https://d0f6bd738d7f1b3e5a7ca70fe4ff75f0.us-east-1.aws.found.io/app/kibana#/discover/Steve-Slow-Train-Analysis-(2080s-and-2083s)?_g=(refreshInterval:(display:Off,pause:!f,section:0,value:0),time:(from:'2017-11-12T15:02:53-0700',mode:absolute,to:'2017-11-12T17:24:04-0700'))&amp;_a=(columns:!('Message%20ID',Summary),filters:!(),index:'emp_*',interval:auto,query:(query_string:(analyze_wildcard:!t,query:'%22rtdc.l.rtdc.4012%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811</v>
      </c>
      <c r="B184" s="7">
        <v>4011</v>
      </c>
      <c r="C184" s="21" t="s">
        <v>192</v>
      </c>
      <c r="D184" s="21" t="s">
        <v>628</v>
      </c>
      <c r="E184" s="13">
        <v>43051.684733796297</v>
      </c>
      <c r="F184" s="13">
        <v>43051.695833333331</v>
      </c>
      <c r="G184" s="7">
        <v>66</v>
      </c>
      <c r="H184" s="21" t="s">
        <v>988</v>
      </c>
      <c r="I184" s="13">
        <v>43051.705034722225</v>
      </c>
      <c r="J184" s="7">
        <v>0</v>
      </c>
      <c r="K184" s="89" t="str">
        <f t="shared" si="63"/>
        <v>4011/4012</v>
      </c>
      <c r="L184" s="185" t="str">
        <f>VLOOKUP(A184,'Trips&amp;Operators'!$C$1:$G$99911,5,FALSE)</f>
        <v>HOLCOMB KAMDEN</v>
      </c>
      <c r="M184" s="6">
        <f t="shared" si="64"/>
        <v>9.2013888934161514E-3</v>
      </c>
      <c r="N184" s="7">
        <f t="shared" si="82"/>
        <v>13.250000006519258</v>
      </c>
      <c r="O184" s="7"/>
      <c r="P184" s="7"/>
      <c r="Q184" s="22"/>
      <c r="R184" s="174"/>
      <c r="S184" s="221">
        <f t="shared" si="83"/>
        <v>1</v>
      </c>
      <c r="T184" s="174" t="str">
        <f t="shared" si="65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6"/>
        <v>https://d0f6bd738d7f1b3e5a7ca70fe4ff75f0.us-east-1.aws.found.io/app/kibana#/discover/Steve-Slow-Train-Analysis-(2080s-and-2083s)?_g=(refreshInterval:(display:Off,pause:!f,section:0,value:0),time:(from:'2017-11-12T15:26:01-0700',mode:absolute,to:'2017-11-12T17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4" s="204" t="str">
        <f>IF(AA184&lt;VLOOKUP(AG184,Variables!$AC$3:$AD$8,2,FALSE),"Y","N")</f>
        <v>N</v>
      </c>
      <c r="X184" s="204">
        <f t="shared" si="89"/>
        <v>1</v>
      </c>
      <c r="Y184" s="204">
        <f t="shared" si="87"/>
        <v>5.8672000000000004</v>
      </c>
      <c r="Z184" s="204">
        <f t="shared" si="88"/>
        <v>9.0800000000000006E-2</v>
      </c>
      <c r="AA184" s="204">
        <f t="shared" si="67"/>
        <v>5.7764000000000006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9">
        <f t="shared" si="68"/>
        <v>1822</v>
      </c>
      <c r="AE184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84" s="74" t="str">
        <f t="shared" si="70"/>
        <v>"C:\Program Files (x86)\AstroGrep\AstroGrep.exe" /e /r /s /spath="%USERPROFILE%\AppData\Local\Temp\OnboardLogs" /stypes="app*4011*20171112*" /stext=" 23:.+((SYSTEM_STATE.+slice.+state.+changed )|(ment ac)|(multiple cpu faults)|(system.+state.+changed )|(\[timeout)|(PRM\|1\|D)|(kpr)|(kdp)|(train st.+moving)|(\|lc)|(penalty))"</v>
      </c>
      <c r="AG184" s="182" t="str">
        <f t="shared" si="71"/>
        <v>NW</v>
      </c>
      <c r="AH184" s="78" t="str">
        <f t="shared" si="74"/>
        <v>"%USERPROFILE%\Documents\GitHub\eaglep3\Utilities\RefineRTDCRunTimes.py" --tripid 1822-12 --locoid 4011 --swversion DE.1.0.9.0 --startMP 300:58672 --initTime 2017-11-12T16:26:01 --startdatetime 2017-11-12T16:42:00 --delay 66 --endMP 204:908 --enddatetime 2017-11-12T16:55:15 --enforcementcount 0 &gt;&gt;%USERPROFILE%\Documents\GitHub\eaglep3-reporting\EC\2017-11-12-refined-times.txt</v>
      </c>
      <c r="AI184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{"issue":{"subject":"","project_id":79,"tracker_id":40,"status_id":1,"priority_id":2,"assigned_to_id":338,"start_date":"2017-11-12","description":"","custom_fields":[{"id":1,"name":"Subdivision","value":"NW"},{"id":4,"name":"Milepost","value":"0.0908"},{"id":17,"name":"Train ID","value":"1822-12"},{"id":16,"name":"Locomotive ID","value":"4011"},{"id":130,"name":"Impact","value":""},{"id":150,"name":"Time of Event (Mountain Time)","value":"16:55:15"},{"id":151,"name":"Denver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75"/>
        <v>start /low /b %USERPROFILE%\Documents\GitHub\eaglep3\Utilities\DownloadLogsFromS3.py --loco 4011 --day 2017-11-12</v>
      </c>
      <c r="AN184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6"/>
        <v>https://d0f6bd738d7f1b3e5a7ca70fe4ff75f0.us-east-1.aws.found.io/app/kibana#/discover/Steve-Slow-Train-Analysis-(2080s-and-2083s)?_g=(refreshInterval:(display:Off,pause:!f,section:0,value:0),time:(from:'2017-11-12T15:26:01-0700',mode:absolute,to:'2017-11-12T17:55:15-0700'))&amp;_a=(columns:!('Message%20ID',Summary),filters:!(),index:'emp_*',interval:auto,query:(query_string:(analyze_wildcard:!t,query:'%22rtdc.l.rtdc.4011%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818</v>
      </c>
      <c r="B185" s="7">
        <v>4012</v>
      </c>
      <c r="C185" s="21" t="s">
        <v>192</v>
      </c>
      <c r="D185" s="21" t="s">
        <v>989</v>
      </c>
      <c r="E185" s="13">
        <v>43051.712037037039</v>
      </c>
      <c r="F185" s="13">
        <v>43051.714907407404</v>
      </c>
      <c r="G185" s="7">
        <v>70</v>
      </c>
      <c r="H185" s="21" t="s">
        <v>982</v>
      </c>
      <c r="I185" s="13">
        <v>43051.725578703707</v>
      </c>
      <c r="J185" s="7">
        <v>0</v>
      </c>
      <c r="K185" s="89" t="str">
        <f t="shared" si="63"/>
        <v>4011/4012</v>
      </c>
      <c r="L185" s="185" t="str">
        <f>VLOOKUP(A185,'Trips&amp;Operators'!$C$1:$G$99911,5,FALSE)</f>
        <v>HOLCOMB KAMDEN</v>
      </c>
      <c r="M185" s="6">
        <f t="shared" si="64"/>
        <v>1.0671296302461997E-2</v>
      </c>
      <c r="N185" s="7">
        <f t="shared" si="82"/>
        <v>15.366666675545275</v>
      </c>
      <c r="O185" s="7"/>
      <c r="P185" s="7"/>
      <c r="Q185" s="22"/>
      <c r="R185" s="174"/>
      <c r="S185" s="221">
        <f t="shared" si="83"/>
        <v>1</v>
      </c>
      <c r="T185" s="174" t="str">
        <f t="shared" si="65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6"/>
        <v>https://d0f6bd738d7f1b3e5a7ca70fe4ff75f0.us-east-1.aws.found.io/app/kibana#/discover/Steve-Slow-Train-Analysis-(2080s-and-2083s)?_g=(refreshInterval:(display:Off,pause:!f,section:0,value:0),time:(from:'2017-11-12T16:05:20-0700',mode:absolute,to:'2017-11-12T18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204" t="str">
        <f>IF(AA185&lt;VLOOKUP(AG185,Variables!$AC$3:$AD$8,2,FALSE),"Y","N")</f>
        <v>N</v>
      </c>
      <c r="X185" s="204">
        <f t="shared" si="89"/>
        <v>1</v>
      </c>
      <c r="Y185" s="204">
        <f t="shared" si="87"/>
        <v>0.12139999999999999</v>
      </c>
      <c r="Z185" s="204">
        <f t="shared" si="88"/>
        <v>5.8987999999999996</v>
      </c>
      <c r="AA185" s="204">
        <f t="shared" si="67"/>
        <v>5.7773999999999992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9">
        <f t="shared" si="68"/>
        <v>1823</v>
      </c>
      <c r="AE185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85" s="74" t="str">
        <f t="shared" si="70"/>
        <v>"C:\Program Files (x86)\AstroGrep\AstroGrep.exe" /e /r /s /spath="%USERPROFILE%\AppData\Local\Temp\OnboardLogs" /stypes="app*4012*20171113*" /stext=" 00:.+((SYSTEM_STATE.+slice.+state.+changed )|(ment ac)|(multiple cpu faults)|(system.+state.+changed )|(\[timeout)|(PRM\|1\|D)|(kpr)|(kdp)|(train st.+moving)|(\|lc)|(penalty))"</v>
      </c>
      <c r="AG185" s="182" t="str">
        <f t="shared" si="71"/>
        <v>NW</v>
      </c>
      <c r="AH185" s="78" t="str">
        <f t="shared" si="74"/>
        <v>"%USERPROFILE%\Documents\GitHub\eaglep3\Utilities\RefineRTDCRunTimes.py" --tripid 1823-12 --locoid 4012 --swversion DE.1.0.9.0 --startMP 204:1214 --initTime 2017-11-12T17:05:20 --startdatetime 2017-11-12T17:09:28 --delay 70 --endMP 300:58988 --enddatetime 2017-11-12T17:24:50 --enforcementcount 0 &gt;&gt;%USERPROFILE%\Documents\GitHub\eaglep3-reporting\EC\2017-11-12-refined-times.txt</v>
      </c>
      <c r="AI185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{"issue":{"subject":"","project_id":79,"tracker_id":40,"status_id":1,"priority_id":2,"assigned_to_id":338,"start_date":"2017-11-12","description":"","custom_fields":[{"id":1,"name":"Subdivision","value":"NW"},{"id":4,"name":"Milepost","value":"5.8988"},{"id":17,"name":"Train ID","value":"1823-12"},{"id":16,"name":"Locomotive ID","value":"4012"},{"id":130,"name":"Impact","value":""},{"id":150,"name":"Time of Event (Mountain Time)","value":"17:24:50"},{"id":151,"name":"Denver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75"/>
        <v>start /low /b %USERPROFILE%\Documents\GitHub\eaglep3\Utilities\DownloadLogsFromS3.py --loco 4012 --day 2017-11-12</v>
      </c>
      <c r="AN185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6"/>
        <v>https://d0f6bd738d7f1b3e5a7ca70fe4ff75f0.us-east-1.aws.found.io/app/kibana#/discover/Steve-Slow-Train-Analysis-(2080s-and-2083s)?_g=(refreshInterval:(display:Off,pause:!f,section:0,value:0),time:(from:'2017-11-12T16:05:20-0700',mode:absolute,to:'2017-11-12T18:24:50-0700'))&amp;_a=(columns:!('Message%20ID',Summary),filters:!(),index:'emp_*',interval:auto,query:(query_string:(analyze_wildcard:!t,query:'%22rtdc.l.rtdc.4012%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824</v>
      </c>
      <c r="B186" s="7">
        <v>4011</v>
      </c>
      <c r="C186" s="21" t="s">
        <v>192</v>
      </c>
      <c r="D186" s="21" t="s">
        <v>984</v>
      </c>
      <c r="E186" s="13">
        <v>43051.7266087963</v>
      </c>
      <c r="F186" s="13">
        <v>43051.737500000003</v>
      </c>
      <c r="G186" s="7">
        <v>62</v>
      </c>
      <c r="H186" s="21" t="s">
        <v>990</v>
      </c>
      <c r="I186" s="13">
        <v>43051.747060185182</v>
      </c>
      <c r="J186" s="7">
        <v>0</v>
      </c>
      <c r="K186" s="89" t="str">
        <f t="shared" si="63"/>
        <v>4011/4012</v>
      </c>
      <c r="L186" s="185" t="str">
        <f>VLOOKUP(A186,'Trips&amp;Operators'!$C$1:$G$99911,5,FALSE)</f>
        <v>HOLCOMB KAMDEN</v>
      </c>
      <c r="M186" s="6">
        <f t="shared" si="64"/>
        <v>9.5601851789979264E-3</v>
      </c>
      <c r="N186" s="7">
        <f t="shared" si="82"/>
        <v>13.766666657757014</v>
      </c>
      <c r="O186" s="7"/>
      <c r="P186" s="7"/>
      <c r="Q186" s="22"/>
      <c r="R186" s="174"/>
      <c r="S186" s="221">
        <f t="shared" si="83"/>
        <v>1</v>
      </c>
      <c r="T186" s="174" t="str">
        <f t="shared" si="65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6"/>
        <v>https://d0f6bd738d7f1b3e5a7ca70fe4ff75f0.us-east-1.aws.found.io/app/kibana#/discover/Steve-Slow-Train-Analysis-(2080s-and-2083s)?_g=(refreshInterval:(display:Off,pause:!f,section:0,value:0),time:(from:'2017-11-12T16:26:19-0700',mode:absolute,to:'2017-11-12T18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204" t="str">
        <f>IF(AA186&lt;VLOOKUP(AG186,Variables!$AC$3:$AD$8,2,FALSE),"Y","N")</f>
        <v>N</v>
      </c>
      <c r="X186" s="204">
        <f t="shared" si="89"/>
        <v>1</v>
      </c>
      <c r="Y186" s="204">
        <f t="shared" si="87"/>
        <v>5.8663999999999996</v>
      </c>
      <c r="Z186" s="204">
        <f t="shared" si="88"/>
        <v>8.7300000000000003E-2</v>
      </c>
      <c r="AA186" s="204">
        <f t="shared" si="67"/>
        <v>5.7790999999999997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9">
        <f t="shared" si="68"/>
        <v>1824</v>
      </c>
      <c r="AE186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86" s="74" t="str">
        <f t="shared" si="70"/>
        <v>"C:\Program Files (x86)\AstroGrep\AstroGrep.exe" /e /r /s /spath="%USERPROFILE%\AppData\Local\Temp\OnboardLogs" /stypes="app*4011*20171113*" /stext=" 00:.+((SYSTEM_STATE.+slice.+state.+changed )|(ment ac)|(multiple cpu faults)|(system.+state.+changed )|(\[timeout)|(PRM\|1\|D)|(kpr)|(kdp)|(train st.+moving)|(\|lc)|(penalty))"</v>
      </c>
      <c r="AG186" s="182" t="str">
        <f t="shared" si="71"/>
        <v>NW</v>
      </c>
      <c r="AH186" s="78" t="str">
        <f t="shared" si="74"/>
        <v>"%USERPROFILE%\Documents\GitHub\eaglep3\Utilities\RefineRTDCRunTimes.py" --tripid 1824-12 --locoid 4011 --swversion DE.1.0.9.0 --startMP 300:58664 --initTime 2017-11-12T17:26:19 --startdatetime 2017-11-12T17:42:00 --delay 62 --endMP 204:873 --enddatetime 2017-11-12T17:55:46 --enforcementcount 0 &gt;&gt;%USERPROFILE%\Documents\GitHub\eaglep3-reporting\EC\2017-11-12-refined-times.txt</v>
      </c>
      <c r="AI186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{"issue":{"subject":"","project_id":79,"tracker_id":40,"status_id":1,"priority_id":2,"assigned_to_id":338,"start_date":"2017-11-12","description":"","custom_fields":[{"id":1,"name":"Subdivision","value":"NW"},{"id":4,"name":"Milepost","value":"0.0873"},{"id":17,"name":"Train ID","value":"1824-12"},{"id":16,"name":"Locomotive ID","value":"4011"},{"id":130,"name":"Impact","value":""},{"id":150,"name":"Time of Event (Mountain Time)","value":"17:55:46"},{"id":151,"name":"Denver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75"/>
        <v>start /low /b %USERPROFILE%\Documents\GitHub\eaglep3\Utilities\DownloadLogsFromS3.py --loco 4011 --day 2017-11-12</v>
      </c>
      <c r="AN186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6"/>
        <v>https://d0f6bd738d7f1b3e5a7ca70fe4ff75f0.us-east-1.aws.found.io/app/kibana#/discover/Steve-Slow-Train-Analysis-(2080s-and-2083s)?_g=(refreshInterval:(display:Off,pause:!f,section:0,value:0),time:(from:'2017-11-12T16:26:19-0700',mode:absolute,to:'2017-11-12T18:55:46-0700'))&amp;_a=(columns:!('Message%20ID',Summary),filters:!(),index:'emp_*',interval:auto,query:(query_string:(analyze_wildcard:!t,query:'%22rtdc.l.rtdc.4011%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656</v>
      </c>
      <c r="B187" s="7">
        <v>4012</v>
      </c>
      <c r="C187" s="21" t="s">
        <v>192</v>
      </c>
      <c r="D187" s="21" t="s">
        <v>986</v>
      </c>
      <c r="E187" s="13">
        <v>43051.755312499998</v>
      </c>
      <c r="F187" s="13">
        <v>43051.75675925926</v>
      </c>
      <c r="G187" s="7">
        <v>66</v>
      </c>
      <c r="H187" s="21" t="s">
        <v>982</v>
      </c>
      <c r="I187" s="13">
        <v>43051.76734953704</v>
      </c>
      <c r="J187" s="7">
        <v>0</v>
      </c>
      <c r="K187" s="89" t="str">
        <f t="shared" si="63"/>
        <v>4011/4012</v>
      </c>
      <c r="L187" s="185" t="str">
        <f>VLOOKUP(A187,'Trips&amp;Operators'!$C$1:$G$99911,5,FALSE)</f>
        <v>HOLCOMB KAMDEN</v>
      </c>
      <c r="M187" s="6">
        <f t="shared" si="64"/>
        <v>1.0590277779556345E-2</v>
      </c>
      <c r="N187" s="7">
        <f t="shared" si="82"/>
        <v>15.250000002561137</v>
      </c>
      <c r="O187" s="7"/>
      <c r="P187" s="7"/>
      <c r="Q187" s="22"/>
      <c r="R187" s="174"/>
      <c r="S187" s="221">
        <f t="shared" si="83"/>
        <v>1</v>
      </c>
      <c r="T187" s="174" t="str">
        <f t="shared" si="65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6"/>
        <v>https://d0f6bd738d7f1b3e5a7ca70fe4ff75f0.us-east-1.aws.found.io/app/kibana#/discover/Steve-Slow-Train-Analysis-(2080s-and-2083s)?_g=(refreshInterval:(display:Off,pause:!f,section:0,value:0),time:(from:'2017-11-12T17:07:39-0700',mode:absolute,to:'2017-11-12T19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7" s="204" t="str">
        <f>IF(AA187&lt;VLOOKUP(AG187,Variables!$AC$3:$AD$8,2,FALSE),"Y","N")</f>
        <v>N</v>
      </c>
      <c r="X187" s="204">
        <f t="shared" si="89"/>
        <v>1</v>
      </c>
      <c r="Y187" s="204">
        <f t="shared" si="87"/>
        <v>0.1154</v>
      </c>
      <c r="Z187" s="204">
        <f t="shared" si="88"/>
        <v>5.8987999999999996</v>
      </c>
      <c r="AA187" s="204">
        <f t="shared" si="67"/>
        <v>5.7833999999999994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9">
        <f t="shared" si="68"/>
        <v>1825</v>
      </c>
      <c r="AE187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87" s="74" t="str">
        <f t="shared" si="70"/>
        <v>"C:\Program Files (x86)\AstroGrep\AstroGrep.exe" /e /r /s /spath="%USERPROFILE%\AppData\Local\Temp\OnboardLogs" /stypes="app*4012*20171113*" /stext=" 01:.+((SYSTEM_STATE.+slice.+state.+changed )|(ment ac)|(multiple cpu faults)|(system.+state.+changed )|(\[timeout)|(PRM\|1\|D)|(kpr)|(kdp)|(train st.+moving)|(\|lc)|(penalty))"</v>
      </c>
      <c r="AG187" s="182" t="str">
        <f t="shared" si="71"/>
        <v>NW</v>
      </c>
      <c r="AH187" s="78" t="str">
        <f t="shared" si="74"/>
        <v>"%USERPROFILE%\Documents\GitHub\eaglep3\Utilities\RefineRTDCRunTimes.py" --tripid 1825-12 --locoid 4012 --swversion DE.1.0.9.0 --startMP 204:1154 --initTime 2017-11-12T18:07:39 --startdatetime 2017-11-12T18:09:44 --delay 66 --endMP 300:58988 --enddatetime 2017-11-12T18:24:59 --enforcementcount 0 &gt;&gt;%USERPROFILE%\Documents\GitHub\eaglep3-reporting\EC\2017-11-12-refined-times.txt</v>
      </c>
      <c r="AI187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{"issue":{"subject":"","project_id":79,"tracker_id":40,"status_id":1,"priority_id":2,"assigned_to_id":338,"start_date":"2017-11-12","description":"","custom_fields":[{"id":1,"name":"Subdivision","value":"NW"},{"id":4,"name":"Milepost","value":"5.8988"},{"id":17,"name":"Train ID","value":"1825-12"},{"id":16,"name":"Locomotive ID","value":"4012"},{"id":130,"name":"Impact","value":""},{"id":150,"name":"Time of Event (Mountain Time)","value":"18:24:59"},{"id":151,"name":"Denver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75"/>
        <v>start /low /b %USERPROFILE%\Documents\GitHub\eaglep3\Utilities\DownloadLogsFromS3.py --loco 4012 --day 2017-11-12</v>
      </c>
      <c r="AN187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01:24:59"},{"id":29,"name":"Sharepoint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6"/>
        <v>https://d0f6bd738d7f1b3e5a7ca70fe4ff75f0.us-east-1.aws.found.io/app/kibana#/discover/Steve-Slow-Train-Analysis-(2080s-and-2083s)?_g=(refreshInterval:(display:Off,pause:!f,section:0,value:0),time:(from:'2017-11-12T17:07:39-0700',mode:absolute,to:'2017-11-12T19:24:59-0700'))&amp;_a=(columns:!('Message%20ID',Summary),filters:!(),index:'emp_*',interval:auto,query:(query_string:(analyze_wildcard:!t,query:'%22rtdc.l.rtdc.4012%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835</v>
      </c>
      <c r="B188" s="7">
        <v>4011</v>
      </c>
      <c r="C188" s="21" t="s">
        <v>192</v>
      </c>
      <c r="D188" s="21" t="s">
        <v>984</v>
      </c>
      <c r="E188" s="13">
        <v>43051.769421296296</v>
      </c>
      <c r="F188" s="13">
        <v>43051.779166666667</v>
      </c>
      <c r="G188" s="7">
        <v>51</v>
      </c>
      <c r="H188" s="21" t="s">
        <v>985</v>
      </c>
      <c r="I188" s="13">
        <v>43051.788622685184</v>
      </c>
      <c r="J188" s="7">
        <v>0</v>
      </c>
      <c r="K188" s="89" t="str">
        <f t="shared" si="63"/>
        <v>4011/4012</v>
      </c>
      <c r="L188" s="185" t="str">
        <f>VLOOKUP(A188,'Trips&amp;Operators'!$C$1:$G$99911,5,FALSE)</f>
        <v>HOLCOMB KAMDEN</v>
      </c>
      <c r="M188" s="6">
        <f t="shared" si="64"/>
        <v>9.4560185170848854E-3</v>
      </c>
      <c r="N188" s="7">
        <f t="shared" si="82"/>
        <v>13.616666664602235</v>
      </c>
      <c r="O188" s="7"/>
      <c r="P188" s="7"/>
      <c r="Q188" s="22"/>
      <c r="R188" s="174"/>
      <c r="S188" s="221">
        <f t="shared" si="83"/>
        <v>1</v>
      </c>
      <c r="T188" s="174" t="str">
        <f t="shared" si="65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6"/>
        <v>https://d0f6bd738d7f1b3e5a7ca70fe4ff75f0.us-east-1.aws.found.io/app/kibana#/discover/Steve-Slow-Train-Analysis-(2080s-and-2083s)?_g=(refreshInterval:(display:Off,pause:!f,section:0,value:0),time:(from:'2017-11-12T17:27:58-0700',mode:absolute,to:'2017-11-12T19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8" s="204" t="str">
        <f>IF(AA188&lt;VLOOKUP(AG188,Variables!$AC$3:$AD$8,2,FALSE),"Y","N")</f>
        <v>N</v>
      </c>
      <c r="X188" s="204">
        <f t="shared" si="89"/>
        <v>1</v>
      </c>
      <c r="Y188" s="204">
        <f t="shared" si="87"/>
        <v>5.8663999999999996</v>
      </c>
      <c r="Z188" s="204">
        <f t="shared" si="88"/>
        <v>8.6599999999999996E-2</v>
      </c>
      <c r="AA188" s="204">
        <f t="shared" si="67"/>
        <v>5.7797999999999998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9">
        <f t="shared" si="68"/>
        <v>1826</v>
      </c>
      <c r="AE188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88" s="74" t="str">
        <f t="shared" si="70"/>
        <v>"C:\Program Files (x86)\AstroGrep\AstroGrep.exe" /e /r /s /spath="%USERPROFILE%\AppData\Local\Temp\OnboardLogs" /stypes="app*4011*20171113*" /stext=" 01:.+((SYSTEM_STATE.+slice.+state.+changed )|(ment ac)|(multiple cpu faults)|(system.+state.+changed )|(\[timeout)|(PRM\|1\|D)|(kpr)|(kdp)|(train st.+moving)|(\|lc)|(penalty))"</v>
      </c>
      <c r="AG188" s="182" t="str">
        <f t="shared" si="71"/>
        <v>NW</v>
      </c>
      <c r="AH188" s="78" t="str">
        <f t="shared" si="74"/>
        <v>"%USERPROFILE%\Documents\GitHub\eaglep3\Utilities\RefineRTDCRunTimes.py" --tripid 1826-12 --locoid 4011 --swversion DE.1.0.9.0 --startMP 300:58664 --initTime 2017-11-12T18:27:58 --startdatetime 2017-11-12T18:42:00 --delay 51 --endMP 204:866 --enddatetime 2017-11-12T18:55:37 --enforcementcount 0 &gt;&gt;%USERPROFILE%\Documents\GitHub\eaglep3-reporting\EC\2017-11-12-refined-times.txt</v>
      </c>
      <c r="AI188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{"issue":{"subject":"","project_id":79,"tracker_id":40,"status_id":1,"priority_id":2,"assigned_to_id":338,"start_date":"2017-11-12","description":"","custom_fields":[{"id":1,"name":"Subdivision","value":"NW"},{"id":4,"name":"Milepost","value":"0.0866"},{"id":17,"name":"Train ID","value":"1826-12"},{"id":16,"name":"Locomotive ID","value":"4011"},{"id":130,"name":"Impact","value":""},{"id":150,"name":"Time of Event (Mountain Time)","value":"18:55:37"},{"id":151,"name":"Denver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75"/>
        <v>start /low /b %USERPROFILE%\Documents\GitHub\eaglep3\Utilities\DownloadLogsFromS3.py --loco 4011 --day 2017-11-12</v>
      </c>
      <c r="AN188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01:55:37"},{"id":29,"name":"Sharepoint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6"/>
        <v>https://d0f6bd738d7f1b3e5a7ca70fe4ff75f0.us-east-1.aws.found.io/app/kibana#/discover/Steve-Slow-Train-Analysis-(2080s-and-2083s)?_g=(refreshInterval:(display:Off,pause:!f,section:0,value:0),time:(from:'2017-11-12T17:27:58-0700',mode:absolute,to:'2017-11-12T19:55:37-0700'))&amp;_a=(columns:!('Message%20ID',Summary),filters:!(),index:'emp_*',interval:auto,query:(query_string:(analyze_wildcard:!t,query:'%22rtdc.l.rtdc.4011%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841</v>
      </c>
      <c r="B189" s="7">
        <v>4012</v>
      </c>
      <c r="C189" s="21" t="s">
        <v>192</v>
      </c>
      <c r="D189" s="21" t="s">
        <v>991</v>
      </c>
      <c r="E189" s="13">
        <v>43051.796134259261</v>
      </c>
      <c r="F189" s="13">
        <v>43051.798263888886</v>
      </c>
      <c r="G189" s="7">
        <v>53</v>
      </c>
      <c r="H189" s="21" t="s">
        <v>992</v>
      </c>
      <c r="I189" s="13">
        <v>43051.80878472222</v>
      </c>
      <c r="J189" s="7">
        <v>0</v>
      </c>
      <c r="K189" s="89" t="str">
        <f t="shared" si="63"/>
        <v>4011/4012</v>
      </c>
      <c r="L189" s="185" t="str">
        <f>VLOOKUP(A189,'Trips&amp;Operators'!$C$1:$G$99911,5,FALSE)</f>
        <v>HOLCOMB KAMDEN</v>
      </c>
      <c r="M189" s="6">
        <f t="shared" si="64"/>
        <v>1.0520833333430346E-2</v>
      </c>
      <c r="N189" s="7">
        <f t="shared" si="82"/>
        <v>15.150000000139698</v>
      </c>
      <c r="O189" s="7"/>
      <c r="P189" s="7"/>
      <c r="Q189" s="22"/>
      <c r="R189" s="174"/>
      <c r="S189" s="221">
        <f t="shared" si="83"/>
        <v>1</v>
      </c>
      <c r="T189" s="174" t="str">
        <f t="shared" si="65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6"/>
        <v>https://d0f6bd738d7f1b3e5a7ca70fe4ff75f0.us-east-1.aws.found.io/app/kibana#/discover/Steve-Slow-Train-Analysis-(2080s-and-2083s)?_g=(refreshInterval:(display:Off,pause:!f,section:0,value:0),time:(from:'2017-11-12T18:06:26-0700',mode:absolute,to:'2017-11-12T20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9" s="204" t="str">
        <f>IF(AA189&lt;VLOOKUP(AG189,Variables!$AC$3:$AD$8,2,FALSE),"Y","N")</f>
        <v>N</v>
      </c>
      <c r="X189" s="204">
        <f t="shared" si="89"/>
        <v>1</v>
      </c>
      <c r="Y189" s="204">
        <f t="shared" si="87"/>
        <v>0.1158</v>
      </c>
      <c r="Z189" s="204">
        <f t="shared" si="88"/>
        <v>5.8975999999999997</v>
      </c>
      <c r="AA189" s="204">
        <f t="shared" si="67"/>
        <v>5.7817999999999996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9">
        <f t="shared" si="68"/>
        <v>1827</v>
      </c>
      <c r="AE189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89" s="74" t="str">
        <f t="shared" si="70"/>
        <v>"C:\Program Files (x86)\AstroGrep\AstroGrep.exe" /e /r /s /spath="%USERPROFILE%\AppData\Local\Temp\OnboardLogs" /stypes="app*4012*20171113*" /stext=" 02:.+((SYSTEM_STATE.+slice.+state.+changed )|(ment ac)|(multiple cpu faults)|(system.+state.+changed )|(\[timeout)|(PRM\|1\|D)|(kpr)|(kdp)|(train st.+moving)|(\|lc)|(penalty))"</v>
      </c>
      <c r="AG189" s="182" t="str">
        <f t="shared" si="71"/>
        <v>NW</v>
      </c>
      <c r="AH189" s="78" t="str">
        <f t="shared" si="74"/>
        <v>"%USERPROFILE%\Documents\GitHub\eaglep3\Utilities\RefineRTDCRunTimes.py" --tripid 1827-12 --locoid 4012 --swversion DE.1.0.9.0 --startMP 204:1158 --initTime 2017-11-12T19:06:26 --startdatetime 2017-11-12T19:09:30 --delay 53 --endMP 300:58976 --enddatetime 2017-11-12T19:24:39 --enforcementcount 0 &gt;&gt;%USERPROFILE%\Documents\GitHub\eaglep3-reporting\EC\2017-11-12-refined-times.txt</v>
      </c>
      <c r="AI189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{"issue":{"subject":"","project_id":79,"tracker_id":40,"status_id":1,"priority_id":2,"assigned_to_id":338,"start_date":"2017-11-12","description":"","custom_fields":[{"id":1,"name":"Subdivision","value":"NW"},{"id":4,"name":"Milepost","value":"5.8976"},{"id":17,"name":"Train ID","value":"1827-12"},{"id":16,"name":"Locomotive ID","value":"4012"},{"id":130,"name":"Impact","value":""},{"id":150,"name":"Time of Event (Mountain Time)","value":"19:24:39"},{"id":151,"name":"Denver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75"/>
        <v>start /low /b %USERPROFILE%\Documents\GitHub\eaglep3\Utilities\DownloadLogsFromS3.py --loco 4012 --day 2017-11-12</v>
      </c>
      <c r="AN189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02:24:39"},{"id":29,"name":"Sharepoint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6"/>
        <v>https://d0f6bd738d7f1b3e5a7ca70fe4ff75f0.us-east-1.aws.found.io/app/kibana#/discover/Steve-Slow-Train-Analysis-(2080s-and-2083s)?_g=(refreshInterval:(display:Off,pause:!f,section:0,value:0),time:(from:'2017-11-12T18:06:26-0700',mode:absolute,to:'2017-11-12T20:24:39-0700'))&amp;_a=(columns:!('Message%20ID',Summary),filters:!(),index:'emp_*',interval:auto,query:(query_string:(analyze_wildcard:!t,query:'%22rtdc.l.rtdc.4012%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844</v>
      </c>
      <c r="B190" s="7">
        <v>4011</v>
      </c>
      <c r="C190" s="21" t="s">
        <v>192</v>
      </c>
      <c r="D190" s="21" t="s">
        <v>993</v>
      </c>
      <c r="E190" s="13">
        <v>43051.809965277775</v>
      </c>
      <c r="F190" s="13">
        <v>43051.820833333331</v>
      </c>
      <c r="G190" s="7">
        <v>48</v>
      </c>
      <c r="H190" s="21" t="s">
        <v>994</v>
      </c>
      <c r="I190" s="13">
        <v>43051.829988425925</v>
      </c>
      <c r="J190" s="7">
        <v>0</v>
      </c>
      <c r="K190" s="89" t="str">
        <f t="shared" si="63"/>
        <v>4011/4012</v>
      </c>
      <c r="L190" s="185" t="str">
        <f>VLOOKUP(A190,'Trips&amp;Operators'!$C$1:$G$99911,5,FALSE)</f>
        <v>HOLCOMB KAMDEN</v>
      </c>
      <c r="M190" s="6">
        <f t="shared" si="64"/>
        <v>9.1550925935734995E-3</v>
      </c>
      <c r="N190" s="7">
        <f t="shared" si="82"/>
        <v>13.183333334745839</v>
      </c>
      <c r="O190" s="7"/>
      <c r="P190" s="7"/>
      <c r="Q190" s="22"/>
      <c r="R190" s="174"/>
      <c r="S190" s="221">
        <f t="shared" si="83"/>
        <v>1</v>
      </c>
      <c r="T190" s="174" t="str">
        <f t="shared" si="65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6"/>
        <v>https://d0f6bd738d7f1b3e5a7ca70fe4ff75f0.us-east-1.aws.found.io/app/kibana#/discover/Steve-Slow-Train-Analysis-(2080s-and-2083s)?_g=(refreshInterval:(display:Off,pause:!f,section:0,value:0),time:(from:'2017-11-12T18:26:21-0700',mode:absolute,to:'2017-11-12T20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0" s="204" t="str">
        <f>IF(AA190&lt;VLOOKUP(AG190,Variables!$AC$3:$AD$8,2,FALSE),"Y","N")</f>
        <v>N</v>
      </c>
      <c r="X190" s="204">
        <f t="shared" si="89"/>
        <v>1</v>
      </c>
      <c r="Y190" s="204">
        <f t="shared" si="87"/>
        <v>5.8655999999999997</v>
      </c>
      <c r="Z190" s="204">
        <f t="shared" si="88"/>
        <v>9.01E-2</v>
      </c>
      <c r="AA190" s="204">
        <f t="shared" si="67"/>
        <v>5.7755000000000001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9">
        <f t="shared" si="68"/>
        <v>1828</v>
      </c>
      <c r="AE190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90" s="74" t="str">
        <f t="shared" si="70"/>
        <v>"C:\Program Files (x86)\AstroGrep\AstroGrep.exe" /e /r /s /spath="%USERPROFILE%\AppData\Local\Temp\OnboardLogs" /stypes="app*4011*20171113*" /stext=" 02:.+((SYSTEM_STATE.+slice.+state.+changed )|(ment ac)|(multiple cpu faults)|(system.+state.+changed )|(\[timeout)|(PRM\|1\|D)|(kpr)|(kdp)|(train st.+moving)|(\|lc)|(penalty))"</v>
      </c>
      <c r="AG190" s="182" t="str">
        <f t="shared" si="71"/>
        <v>NW</v>
      </c>
      <c r="AH190" s="78" t="str">
        <f t="shared" si="74"/>
        <v>"%USERPROFILE%\Documents\GitHub\eaglep3\Utilities\RefineRTDCRunTimes.py" --tripid 1828-12 --locoid 4011 --swversion DE.1.0.9.0 --startMP 300:58656 --initTime 2017-11-12T19:26:21 --startdatetime 2017-11-12T19:42:00 --delay 48 --endMP 204:901 --enddatetime 2017-11-12T19:55:11 --enforcementcount 0 &gt;&gt;%USERPROFILE%\Documents\GitHub\eaglep3-reporting\EC\2017-11-12-refined-times.txt</v>
      </c>
      <c r="AI190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{"issue":{"subject":"","project_id":79,"tracker_id":40,"status_id":1,"priority_id":2,"assigned_to_id":338,"start_date":"2017-11-12","description":"","custom_fields":[{"id":1,"name":"Subdivision","value":"NW"},{"id":4,"name":"Milepost","value":"0.0901"},{"id":17,"name":"Train ID","value":"1828-12"},{"id":16,"name":"Locomotive ID","value":"4011"},{"id":130,"name":"Impact","value":""},{"id":150,"name":"Time of Event (Mountain Time)","value":"19:55:11"},{"id":151,"name":"Denver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75"/>
        <v>start /low /b %USERPROFILE%\Documents\GitHub\eaglep3\Utilities\DownloadLogsFromS3.py --loco 4011 --day 2017-11-12</v>
      </c>
      <c r="AN190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02:55:11"},{"id":29,"name":"Sharepoint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6"/>
        <v>https://d0f6bd738d7f1b3e5a7ca70fe4ff75f0.us-east-1.aws.found.io/app/kibana#/discover/Steve-Slow-Train-Analysis-(2080s-and-2083s)?_g=(refreshInterval:(display:Off,pause:!f,section:0,value:0),time:(from:'2017-11-12T18:26:21-0700',mode:absolute,to:'2017-11-12T20:55:11-0700'))&amp;_a=(columns:!('Message%20ID',Summary),filters:!(),index:'emp_*',interval:auto,query:(query_string:(analyze_wildcard:!t,query:'%22rtdc.l.rtdc.4011%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848</v>
      </c>
      <c r="B191" s="7">
        <v>4012</v>
      </c>
      <c r="C191" s="21" t="s">
        <v>192</v>
      </c>
      <c r="D191" s="21" t="s">
        <v>995</v>
      </c>
      <c r="E191" s="13">
        <v>43051.837916666664</v>
      </c>
      <c r="F191" s="13">
        <v>43051.839768518519</v>
      </c>
      <c r="G191" s="7">
        <v>69</v>
      </c>
      <c r="H191" s="21" t="s">
        <v>629</v>
      </c>
      <c r="I191" s="13">
        <v>43051.84915509259</v>
      </c>
      <c r="J191" s="7">
        <v>0</v>
      </c>
      <c r="K191" s="89" t="str">
        <f t="shared" si="63"/>
        <v>4011/4012</v>
      </c>
      <c r="L191" s="185" t="str">
        <f>VLOOKUP(A191,'Trips&amp;Operators'!$C$1:$G$99911,5,FALSE)</f>
        <v>HOLCOMB KAMDEN</v>
      </c>
      <c r="M191" s="6">
        <f t="shared" si="64"/>
        <v>9.3865740709588863E-3</v>
      </c>
      <c r="N191" s="7">
        <f t="shared" si="82"/>
        <v>13.516666662180796</v>
      </c>
      <c r="O191" s="7"/>
      <c r="P191" s="7"/>
      <c r="Q191" s="22"/>
      <c r="R191" s="174"/>
      <c r="S191" s="221">
        <f t="shared" si="83"/>
        <v>1</v>
      </c>
      <c r="T191" s="174" t="str">
        <f t="shared" si="65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6"/>
        <v>https://d0f6bd738d7f1b3e5a7ca70fe4ff75f0.us-east-1.aws.found.io/app/kibana#/discover/Steve-Slow-Train-Analysis-(2080s-and-2083s)?_g=(refreshInterval:(display:Off,pause:!f,section:0,value:0),time:(from:'2017-11-12T19:06:36-0700',mode:absolute,to:'2017-11-12T21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1" s="204" t="str">
        <f>IF(AA191&lt;VLOOKUP(AG191,Variables!$AC$3:$AD$8,2,FALSE),"Y","N")</f>
        <v>N</v>
      </c>
      <c r="X191" s="204">
        <f t="shared" si="89"/>
        <v>1</v>
      </c>
      <c r="Y191" s="204">
        <f t="shared" si="87"/>
        <v>0.1196</v>
      </c>
      <c r="Z191" s="204">
        <f t="shared" si="88"/>
        <v>5.8971</v>
      </c>
      <c r="AA191" s="204">
        <f t="shared" si="67"/>
        <v>5.7774999999999999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9">
        <f t="shared" si="68"/>
        <v>1829</v>
      </c>
      <c r="AE191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91" s="74" t="str">
        <f t="shared" si="70"/>
        <v>"C:\Program Files (x86)\AstroGrep\AstroGrep.exe" /e /r /s /spath="%USERPROFILE%\AppData\Local\Temp\OnboardLogs" /stypes="app*4012*20171113*" /stext=" 03:.+((SYSTEM_STATE.+slice.+state.+changed )|(ment ac)|(multiple cpu faults)|(system.+state.+changed )|(\[timeout)|(PRM\|1\|D)|(kpr)|(kdp)|(train st.+moving)|(\|lc)|(penalty))"</v>
      </c>
      <c r="AG191" s="182" t="str">
        <f t="shared" si="71"/>
        <v>NW</v>
      </c>
      <c r="AH191" s="78" t="str">
        <f t="shared" si="74"/>
        <v>"%USERPROFILE%\Documents\GitHub\eaglep3\Utilities\RefineRTDCRunTimes.py" --tripid 1829-12 --locoid 4012 --swversion DE.1.0.9.0 --startMP 204:1196 --initTime 2017-11-12T20:06:36 --startdatetime 2017-11-12T20:09:16 --delay 69 --endMP 300:58971 --enddatetime 2017-11-12T20:22:47 --enforcementcount 0 &gt;&gt;%USERPROFILE%\Documents\GitHub\eaglep3-reporting\EC\2017-11-12-refined-times.txt</v>
      </c>
      <c r="AI191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{"issue":{"subject":"","project_id":79,"tracker_id":40,"status_id":1,"priority_id":2,"assigned_to_id":338,"start_date":"2017-11-12","description":"","custom_fields":[{"id":1,"name":"Subdivision","value":"NW"},{"id":4,"name":"Milepost","value":"5.8971"},{"id":17,"name":"Train ID","value":"1829-12"},{"id":16,"name":"Locomotive ID","value":"4012"},{"id":130,"name":"Impact","value":""},{"id":150,"name":"Time of Event (Mountain Time)","value":"20:22:47"},{"id":151,"name":"Denver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75"/>
        <v>start /low /b %USERPROFILE%\Documents\GitHub\eaglep3\Utilities\DownloadLogsFromS3.py --loco 4012 --day 2017-11-12</v>
      </c>
      <c r="AN191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03:22:47"},{"id":29,"name":"Sharepoint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6"/>
        <v>https://d0f6bd738d7f1b3e5a7ca70fe4ff75f0.us-east-1.aws.found.io/app/kibana#/discover/Steve-Slow-Train-Analysis-(2080s-and-2083s)?_g=(refreshInterval:(display:Off,pause:!f,section:0,value:0),time:(from:'2017-11-12T19:06:36-0700',mode:absolute,to:'2017-11-12T21:22:47-0700'))&amp;_a=(columns:!('Message%20ID',Summary),filters:!(),index:'emp_*',interval:auto,query:(query_string:(analyze_wildcard:!t,query:'%22rtdc.l.rtdc.4012%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850</v>
      </c>
      <c r="B192" s="7">
        <v>4011</v>
      </c>
      <c r="C192" s="21" t="s">
        <v>192</v>
      </c>
      <c r="D192" s="21" t="s">
        <v>510</v>
      </c>
      <c r="E192" s="13">
        <v>43051.850208333337</v>
      </c>
      <c r="F192" s="13">
        <v>43051.862500000003</v>
      </c>
      <c r="G192" s="7">
        <v>54</v>
      </c>
      <c r="H192" s="21" t="s">
        <v>952</v>
      </c>
      <c r="I192" s="13">
        <v>43051.871655092589</v>
      </c>
      <c r="J192" s="7">
        <v>0</v>
      </c>
      <c r="K192" s="89" t="str">
        <f t="shared" si="63"/>
        <v>4011/4012</v>
      </c>
      <c r="L192" s="185" t="str">
        <f>VLOOKUP(A192,'Trips&amp;Operators'!$C$1:$G$99911,5,FALSE)</f>
        <v>HOLCOMB KAMDEN</v>
      </c>
      <c r="M192" s="6">
        <f t="shared" si="64"/>
        <v>9.1550925862975419E-3</v>
      </c>
      <c r="N192" s="7">
        <f t="shared" si="82"/>
        <v>13.18333332426846</v>
      </c>
      <c r="O192" s="7"/>
      <c r="P192" s="7"/>
      <c r="Q192" s="22"/>
      <c r="R192" s="174"/>
      <c r="S192" s="221">
        <f t="shared" si="83"/>
        <v>1</v>
      </c>
      <c r="T192" s="174" t="str">
        <f t="shared" si="65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6"/>
        <v>https://d0f6bd738d7f1b3e5a7ca70fe4ff75f0.us-east-1.aws.found.io/app/kibana#/discover/Steve-Slow-Train-Analysis-(2080s-and-2083s)?_g=(refreshInterval:(display:Off,pause:!f,section:0,value:0),time:(from:'2017-11-12T19:24:18-0700',mode:absolute,to:'2017-11-12T21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2" s="204" t="str">
        <f>IF(AA192&lt;VLOOKUP(AG192,Variables!$AC$3:$AD$8,2,FALSE),"Y","N")</f>
        <v>N</v>
      </c>
      <c r="X192" s="204">
        <f t="shared" si="89"/>
        <v>1</v>
      </c>
      <c r="Y192" s="204">
        <f t="shared" si="87"/>
        <v>5.8666</v>
      </c>
      <c r="Z192" s="204">
        <f t="shared" si="88"/>
        <v>8.5900000000000004E-2</v>
      </c>
      <c r="AA192" s="204">
        <f t="shared" si="67"/>
        <v>5.7807000000000004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9">
        <f t="shared" si="68"/>
        <v>1830</v>
      </c>
      <c r="AE192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92" s="74" t="str">
        <f t="shared" si="70"/>
        <v>"C:\Program Files (x86)\AstroGrep\AstroGrep.exe" /e /r /s /spath="%USERPROFILE%\AppData\Local\Temp\OnboardLogs" /stypes="app*4011*20171113*" /stext=" 03:.+((SYSTEM_STATE.+slice.+state.+changed )|(ment ac)|(multiple cpu faults)|(system.+state.+changed )|(\[timeout)|(PRM\|1\|D)|(kpr)|(kdp)|(train st.+moving)|(\|lc)|(penalty))"</v>
      </c>
      <c r="AG192" s="182" t="str">
        <f t="shared" si="71"/>
        <v>NW</v>
      </c>
      <c r="AH192" s="78" t="str">
        <f t="shared" si="74"/>
        <v>"%USERPROFILE%\Documents\GitHub\eaglep3\Utilities\RefineRTDCRunTimes.py" --tripid 1830-12 --locoid 4011 --swversion DE.1.0.9.0 --startMP 300:58666 --initTime 2017-11-12T20:24:18 --startdatetime 2017-11-12T20:42:00 --delay 54 --endMP 204:859 --enddatetime 2017-11-12T20:55:11 --enforcementcount 0 &gt;&gt;%USERPROFILE%\Documents\GitHub\eaglep3-reporting\EC\2017-11-12-refined-times.txt</v>
      </c>
      <c r="AI192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{"issue":{"subject":"","project_id":79,"tracker_id":40,"status_id":1,"priority_id":2,"assigned_to_id":338,"start_date":"2017-11-12","description":"","custom_fields":[{"id":1,"name":"Subdivision","value":"NW"},{"id":4,"name":"Milepost","value":"0.0859"},{"id":17,"name":"Train ID","value":"1830-12"},{"id":16,"name":"Locomotive ID","value":"4011"},{"id":130,"name":"Impact","value":""},{"id":150,"name":"Time of Event (Mountain Time)","value":"20:55:11"},{"id":151,"name":"Denver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75"/>
        <v>start /low /b %USERPROFILE%\Documents\GitHub\eaglep3\Utilities\DownloadLogsFromS3.py --loco 4011 --day 2017-11-12</v>
      </c>
      <c r="AN192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6"/>
        <v>https://d0f6bd738d7f1b3e5a7ca70fe4ff75f0.us-east-1.aws.found.io/app/kibana#/discover/Steve-Slow-Train-Analysis-(2080s-and-2083s)?_g=(refreshInterval:(display:Off,pause:!f,section:0,value:0),time:(from:'2017-11-12T19:24:18-0700',mode:absolute,to:'2017-11-12T21:55:11-0700'))&amp;_a=(columns:!('Message%20ID',Summary),filters:!(),index:'emp_*',interval:auto,query:(query_string:(analyze_wildcard:!t,query:'%22rtdc.l.rtdc.4011%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658</v>
      </c>
      <c r="B193" s="7">
        <v>4012</v>
      </c>
      <c r="C193" s="21" t="s">
        <v>192</v>
      </c>
      <c r="D193" s="21" t="s">
        <v>510</v>
      </c>
      <c r="E193" s="13">
        <v>43051.850208333337</v>
      </c>
      <c r="F193" s="13">
        <v>43051.881562499999</v>
      </c>
      <c r="G193" s="7">
        <v>54</v>
      </c>
      <c r="H193" s="21" t="s">
        <v>952</v>
      </c>
      <c r="I193" s="13">
        <v>43051.891539351855</v>
      </c>
      <c r="J193" s="7">
        <v>0</v>
      </c>
      <c r="K193" s="89" t="str">
        <f t="shared" si="63"/>
        <v>4011/4012</v>
      </c>
      <c r="L193" s="185" t="str">
        <f>VLOOKUP(A193,'Trips&amp;Operators'!$C$1:$G$99911,5,FALSE)</f>
        <v>HOLCOMB KAMDEN</v>
      </c>
      <c r="M193" s="6">
        <f t="shared" si="64"/>
        <v>9.976851855753921E-3</v>
      </c>
      <c r="N193" s="7">
        <f t="shared" si="82"/>
        <v>14.366666672285646</v>
      </c>
      <c r="O193" s="7"/>
      <c r="P193" s="7"/>
      <c r="Q193" s="22"/>
      <c r="R193" s="174"/>
      <c r="S193" s="221">
        <f t="shared" si="83"/>
        <v>1</v>
      </c>
      <c r="T193" s="174" t="str">
        <f t="shared" si="65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6"/>
        <v>https://d0f6bd738d7f1b3e5a7ca70fe4ff75f0.us-east-1.aws.found.io/app/kibana#/discover/Steve-Slow-Train-Analysis-(2080s-and-2083s)?_g=(refreshInterval:(display:Off,pause:!f,section:0,value:0),time:(from:'2017-11-12T19:24:18-0700',mode:absolute,to:'2017-11-12T22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3" s="204" t="str">
        <f>IF(AA193&lt;VLOOKUP(AG193,Variables!$AC$3:$AD$8,2,FALSE),"Y","N")</f>
        <v>N</v>
      </c>
      <c r="X193" s="204">
        <f t="shared" si="89"/>
        <v>1</v>
      </c>
      <c r="Y193" s="204">
        <v>0.1196</v>
      </c>
      <c r="Z193" s="204">
        <v>5.8971</v>
      </c>
      <c r="AA193" s="204">
        <f t="shared" si="67"/>
        <v>5.7774999999999999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9">
        <f t="shared" si="68"/>
        <v>1831</v>
      </c>
      <c r="AE193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93" s="74" t="str">
        <f t="shared" si="70"/>
        <v>"C:\Program Files (x86)\AstroGrep\AstroGrep.exe" /e /r /s /spath="%USERPROFILE%\AppData\Local\Temp\OnboardLogs" /stypes="app*4012*20171113*" /stext=" 04:.+((SYSTEM_STATE.+slice.+state.+changed )|(ment ac)|(multiple cpu faults)|(system.+state.+changed )|(\[timeout)|(PRM\|1\|D)|(kpr)|(kdp)|(train st.+moving)|(\|lc)|(penalty))"</v>
      </c>
      <c r="AG193" s="182" t="str">
        <f t="shared" si="71"/>
        <v>NW</v>
      </c>
      <c r="AH193" s="78" t="str">
        <f t="shared" ref="AH193" si="90"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1831-12 --locoid 4012 --swversion DE.1.0.9.0 --startMP 300:58666 --initTime 2017-11-12T20:24:18 --startdatetime 2017-11-12T21:09:27 --delay 54 --endMP 204:859 --enddatetime 2017-11-12T21:23:49 --enforcementcount 0 &gt;&gt;%USERPROFILE%\Documents\GitHub\eaglep3-reporting\EC\2017-11-12-refined-times.txt</v>
      </c>
      <c r="AI193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{"issue":{"subject":"","project_id":79,"tracker_id":40,"status_id":1,"priority_id":2,"assigned_to_id":338,"start_date":"2017-11-12","description":"","custom_fields":[{"id":1,"name":"Subdivision","value":"NW"},{"id":4,"name":"Milepost","value":"5.8971"},{"id":17,"name":"Train ID","value":"1831-12"},{"id":16,"name":"Locomotive ID","value":"4012"},{"id":130,"name":"Impact","value":""},{"id":150,"name":"Time of Event (Mountain Time)","value":"21:23:49"},{"id":151,"name":"Denver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ref="AM193" si="91">"start /low /b "&amp;dls3logs&amp;" --loco "&amp;B193&amp;" --day "&amp;TEXT(F193,"YYYY-MM-DD")</f>
        <v>start /low /b %USERPROFILE%\Documents\GitHub\eaglep3\Utilities\DownloadLogsFromS3.py --loco 4012 --day 2017-11-12</v>
      </c>
      <c r="AN193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04:23:49"},{"id":29,"name":"Sharepoint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ref="AO193" si="92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-12T19:24:18-0700',mode:absolute,to:'2017-11-12T22:23:49-0700'))&amp;_a=(columns:!('Message%20ID',Summary),filters:!(),index:'emp_*',interval:auto,query:(query_string:(analyze_wildcard:!t,query:'%22rtdc.l.rtdc.4012%22')),sort:!(Time.ISO8601,asc))</v>
      </c>
    </row>
    <row r="194" spans="1:91" s="20" customFormat="1" x14ac:dyDescent="0.25">
      <c r="A194" s="32" t="s">
        <v>858</v>
      </c>
      <c r="B194" s="7">
        <v>4011</v>
      </c>
      <c r="C194" s="21" t="s">
        <v>192</v>
      </c>
      <c r="D194" s="21" t="s">
        <v>997</v>
      </c>
      <c r="E194" s="13">
        <v>43051.893680555557</v>
      </c>
      <c r="F194" s="13">
        <v>43051.904166666667</v>
      </c>
      <c r="G194" s="7">
        <v>49</v>
      </c>
      <c r="H194" s="21" t="s">
        <v>998</v>
      </c>
      <c r="I194" s="13">
        <v>43051.913819444446</v>
      </c>
      <c r="J194" s="7">
        <v>0</v>
      </c>
      <c r="K194" s="89" t="str">
        <f t="shared" si="63"/>
        <v>4011/4012</v>
      </c>
      <c r="L194" s="185" t="str">
        <f>VLOOKUP(A194,'Trips&amp;Operators'!$C$1:$G$99911,5,FALSE)</f>
        <v>HOLCOMB KAMDEN</v>
      </c>
      <c r="M194" s="6">
        <f t="shared" si="64"/>
        <v>9.6527777786832303E-3</v>
      </c>
      <c r="N194" s="7">
        <f t="shared" si="82"/>
        <v>13.900000001303852</v>
      </c>
      <c r="O194" s="7"/>
      <c r="P194" s="7"/>
      <c r="Q194" s="22"/>
      <c r="R194" s="174"/>
      <c r="S194" s="221">
        <f t="shared" si="83"/>
        <v>1</v>
      </c>
      <c r="T194" s="174" t="str">
        <f t="shared" si="65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6"/>
        <v>https://d0f6bd738d7f1b3e5a7ca70fe4ff75f0.us-east-1.aws.found.io/app/kibana#/discover/Steve-Slow-Train-Analysis-(2080s-and-2083s)?_g=(refreshInterval:(display:Off,pause:!f,section:0,value:0),time:(from:'2017-11-12T20:26:54-0700',mode:absolute,to:'2017-11-12T22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4" s="204" t="str">
        <f>IF(AA194&lt;VLOOKUP(AG194,Variables!$AC$3:$AD$8,2,FALSE),"Y","N")</f>
        <v>N</v>
      </c>
      <c r="X194" s="204">
        <f t="shared" si="89"/>
        <v>1</v>
      </c>
      <c r="Y194" s="204">
        <f>RIGHT(D194,LEN(D194)-4)/10000</f>
        <v>5.8643000000000001</v>
      </c>
      <c r="Z194" s="204">
        <f>RIGHT(H194,LEN(H194)-4)/10000</f>
        <v>8.9499999999999996E-2</v>
      </c>
      <c r="AA194" s="204">
        <f t="shared" si="67"/>
        <v>5.7747999999999999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9">
        <f t="shared" si="68"/>
        <v>1832</v>
      </c>
      <c r="AE194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94" s="74" t="str">
        <f t="shared" si="70"/>
        <v>"C:\Program Files (x86)\AstroGrep\AstroGrep.exe" /e /r /s /spath="%USERPROFILE%\AppData\Local\Temp\OnboardLogs" /stypes="app*4011*20171113*" /stext=" 04:.+((SYSTEM_STATE.+slice.+state.+changed )|(ment ac)|(multiple cpu faults)|(system.+state.+changed )|(\[timeout)|(PRM\|1\|D)|(kpr)|(kdp)|(train st.+moving)|(\|lc)|(penalty))"</v>
      </c>
      <c r="AG194" s="182" t="str">
        <f t="shared" si="71"/>
        <v>NW</v>
      </c>
      <c r="AH194" s="78" t="str">
        <f t="shared" si="74"/>
        <v>"%USERPROFILE%\Documents\GitHub\eaglep3\Utilities\RefineRTDCRunTimes.py" --tripid 1832-12 --locoid 4011 --swversion DE.1.0.9.0 --startMP 300:58643 --initTime 2017-11-12T21:26:54 --startdatetime 2017-11-12T21:42:00 --delay 49 --endMP 204:895 --enddatetime 2017-11-12T21:55:54 --enforcementcount 0 &gt;&gt;%USERPROFILE%\Documents\GitHub\eaglep3-reporting\EC\2017-11-12-refined-times.txt</v>
      </c>
      <c r="AI194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{"issue":{"subject":"","project_id":79,"tracker_id":40,"status_id":1,"priority_id":2,"assigned_to_id":338,"start_date":"2017-11-12","description":"","custom_fields":[{"id":1,"name":"Subdivision","value":"NW"},{"id":4,"name":"Milepost","value":"0.0895"},{"id":17,"name":"Train ID","value":"1832-12"},{"id":16,"name":"Locomotive ID","value":"4011"},{"id":130,"name":"Impact","value":""},{"id":150,"name":"Time of Event (Mountain Time)","value":"21:55:54"},{"id":151,"name":"Denver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75"/>
        <v>start /low /b %USERPROFILE%\Documents\GitHub\eaglep3\Utilities\DownloadLogsFromS3.py --loco 4011 --day 2017-11-12</v>
      </c>
      <c r="AN194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04:55:54"},{"id":29,"name":"Sharepoint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6"/>
        <v>https://d0f6bd738d7f1b3e5a7ca70fe4ff75f0.us-east-1.aws.found.io/app/kibana#/discover/Steve-Slow-Train-Analysis-(2080s-and-2083s)?_g=(refreshInterval:(display:Off,pause:!f,section:0,value:0),time:(from:'2017-11-12T20:26:54-0700',mode:absolute,to:'2017-11-12T22:55:54-0700'))&amp;_a=(columns:!('Message%20ID',Summary),filters:!(),index:'emp_*',interval:auto,query:(query_string:(analyze_wildcard:!t,query:'%22rtdc.l.rtdc.4011%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861</v>
      </c>
      <c r="B195" s="7">
        <v>4012</v>
      </c>
      <c r="C195" s="21" t="s">
        <v>192</v>
      </c>
      <c r="D195" s="21" t="s">
        <v>999</v>
      </c>
      <c r="E195" s="13">
        <v>43051.914953703701</v>
      </c>
      <c r="F195" s="13">
        <v>43051.923298611109</v>
      </c>
      <c r="G195" s="7">
        <v>92</v>
      </c>
      <c r="H195" s="21" t="s">
        <v>1000</v>
      </c>
      <c r="I195" s="13">
        <v>43051.933437500003</v>
      </c>
      <c r="J195" s="7">
        <v>0</v>
      </c>
      <c r="K195" s="89" t="str">
        <f t="shared" si="63"/>
        <v>4011/4012</v>
      </c>
      <c r="L195" s="185" t="str">
        <f>VLOOKUP(A195,'Trips&amp;Operators'!$C$1:$G$99911,5,FALSE)</f>
        <v>HOLCOMB KAMDEN</v>
      </c>
      <c r="M195" s="6">
        <f t="shared" si="64"/>
        <v>1.0138888894289266E-2</v>
      </c>
      <c r="N195" s="7">
        <f t="shared" si="82"/>
        <v>14.600000007776543</v>
      </c>
      <c r="O195" s="7"/>
      <c r="P195" s="7"/>
      <c r="Q195" s="22"/>
      <c r="R195" s="174"/>
      <c r="S195" s="221">
        <f t="shared" si="83"/>
        <v>1</v>
      </c>
      <c r="T195" s="174" t="str">
        <f t="shared" si="65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6"/>
        <v>https://d0f6bd738d7f1b3e5a7ca70fe4ff75f0.us-east-1.aws.found.io/app/kibana#/discover/Steve-Slow-Train-Analysis-(2080s-and-2083s)?_g=(refreshInterval:(display:Off,pause:!f,section:0,value:0),time:(from:'2017-11-12T20:57:32-0700',mode:absolute,to:'2017-11-12T23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5" s="204" t="str">
        <f>IF(AA195&lt;VLOOKUP(AG195,Variables!$AC$3:$AD$8,2,FALSE),"Y","N")</f>
        <v>N</v>
      </c>
      <c r="X195" s="204">
        <f t="shared" si="89"/>
        <v>1</v>
      </c>
      <c r="Y195" s="204">
        <f>RIGHT(D195,LEN(D195)-4)/10000</f>
        <v>0.1191</v>
      </c>
      <c r="Z195" s="204">
        <f>RIGHT(H195,LEN(H195)-4)/10000</f>
        <v>5.8975</v>
      </c>
      <c r="AA195" s="204">
        <f t="shared" si="67"/>
        <v>5.7783999999999995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9">
        <f t="shared" si="68"/>
        <v>1833</v>
      </c>
      <c r="AE195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95" s="74" t="str">
        <f t="shared" si="70"/>
        <v>"C:\Program Files (x86)\AstroGrep\AstroGrep.exe" /e /r /s /spath="%USERPROFILE%\AppData\Local\Temp\OnboardLogs" /stypes="app*4012*20171113*" /stext=" 05:.+((SYSTEM_STATE.+slice.+state.+changed )|(ment ac)|(multiple cpu faults)|(system.+state.+changed )|(\[timeout)|(PRM\|1\|D)|(kpr)|(kdp)|(train st.+moving)|(\|lc)|(penalty))"</v>
      </c>
      <c r="AG195" s="182" t="str">
        <f t="shared" si="71"/>
        <v>NW</v>
      </c>
      <c r="AH195" s="78" t="str">
        <f t="shared" si="74"/>
        <v>"%USERPROFILE%\Documents\GitHub\eaglep3\Utilities\RefineRTDCRunTimes.py" --tripid 1833-12 --locoid 4012 --swversion DE.1.0.9.0 --startMP 204:1191 --initTime 2017-11-12T21:57:32 --startdatetime 2017-11-12T22:09:33 --delay 92 --endMP 300:58975 --enddatetime 2017-11-12T22:24:09 --enforcementcount 0 &gt;&gt;%USERPROFILE%\Documents\GitHub\eaglep3-reporting\EC\2017-11-12-refined-times.txt</v>
      </c>
      <c r="AI195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{"issue":{"subject":"","project_id":79,"tracker_id":40,"status_id":1,"priority_id":2,"assigned_to_id":338,"start_date":"2017-11-12","description":"","custom_fields":[{"id":1,"name":"Subdivision","value":"NW"},{"id":4,"name":"Milepost","value":"5.8975"},{"id":17,"name":"Train ID","value":"1833-12"},{"id":16,"name":"Locomotive ID","value":"4012"},{"id":130,"name":"Impact","value":""},{"id":150,"name":"Time of Event (Mountain Time)","value":"22:24:09"},{"id":151,"name":"Denver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75"/>
        <v>start /low /b %USERPROFILE%\Documents\GitHub\eaglep3\Utilities\DownloadLogsFromS3.py --loco 4012 --day 2017-11-12</v>
      </c>
      <c r="AN195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05:24:09"},{"id":29,"name":"Sharepoint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6"/>
        <v>https://d0f6bd738d7f1b3e5a7ca70fe4ff75f0.us-east-1.aws.found.io/app/kibana#/discover/Steve-Slow-Train-Analysis-(2080s-and-2083s)?_g=(refreshInterval:(display:Off,pause:!f,section:0,value:0),time:(from:'2017-11-12T20:57:32-0700',mode:absolute,to:'2017-11-12T23:24:09-0700'))&amp;_a=(columns:!('Message%20ID',Summary),filters:!(),index:'emp_*',interval:auto,query:(query_string:(analyze_wildcard:!t,query:'%22rtdc.l.rtdc.4012%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864</v>
      </c>
      <c r="B196" s="7">
        <v>4011</v>
      </c>
      <c r="C196" s="21" t="s">
        <v>192</v>
      </c>
      <c r="D196" s="21" t="s">
        <v>510</v>
      </c>
      <c r="E196" s="13">
        <v>43051.934583333335</v>
      </c>
      <c r="F196" s="13">
        <v>43051.945833333331</v>
      </c>
      <c r="G196" s="7">
        <v>46</v>
      </c>
      <c r="H196" s="21" t="s">
        <v>1001</v>
      </c>
      <c r="I196" s="13">
        <v>43051.954699074071</v>
      </c>
      <c r="J196" s="7">
        <v>0</v>
      </c>
      <c r="K196" s="89" t="str">
        <f t="shared" si="63"/>
        <v>4011/4012</v>
      </c>
      <c r="L196" s="185" t="str">
        <f>VLOOKUP(A196,'Trips&amp;Operators'!$C$1:$G$99911,5,FALSE)</f>
        <v>HOLCOMB KAMDEN</v>
      </c>
      <c r="M196" s="6">
        <f t="shared" si="64"/>
        <v>8.8657407395658083E-3</v>
      </c>
      <c r="N196" s="7">
        <f t="shared" si="82"/>
        <v>12.766666664974764</v>
      </c>
      <c r="O196" s="7"/>
      <c r="P196" s="7"/>
      <c r="Q196" s="22"/>
      <c r="R196" s="174"/>
      <c r="S196" s="221">
        <f t="shared" si="83"/>
        <v>1</v>
      </c>
      <c r="T196" s="174" t="str">
        <f t="shared" si="65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6"/>
        <v>https://d0f6bd738d7f1b3e5a7ca70fe4ff75f0.us-east-1.aws.found.io/app/kibana#/discover/Steve-Slow-Train-Analysis-(2080s-and-2083s)?_g=(refreshInterval:(display:Off,pause:!f,section:0,value:0),time:(from:'2017-11-12T21:25:48-0700',mode:absolute,to:'2017-11-12T23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6" s="204" t="str">
        <f>IF(AA196&lt;VLOOKUP(AG196,Variables!$AC$3:$AD$8,2,FALSE),"Y","N")</f>
        <v>N</v>
      </c>
      <c r="X196" s="204">
        <f t="shared" si="89"/>
        <v>1</v>
      </c>
      <c r="Y196" s="204">
        <f>RIGHT(D196,LEN(D196)-4)/10000</f>
        <v>5.8666</v>
      </c>
      <c r="Z196" s="204">
        <f>RIGHT(H196,LEN(H196)-4)/10000</f>
        <v>9.3600000000000003E-2</v>
      </c>
      <c r="AA196" s="204">
        <f t="shared" si="67"/>
        <v>5.7729999999999997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9">
        <f t="shared" si="68"/>
        <v>1834</v>
      </c>
      <c r="AE196" s="77" t="str">
        <f t="shared" si="69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196" s="74" t="str">
        <f t="shared" si="70"/>
        <v>"C:\Program Files (x86)\AstroGrep\AstroGrep.exe" /e /r /s /spath="%USERPROFILE%\AppData\Local\Temp\OnboardLogs" /stypes="app*4011*20171113*" /stext=" 05:.+((SYSTEM_STATE.+slice.+state.+changed )|(ment ac)|(multiple cpu faults)|(system.+state.+changed )|(\[timeout)|(PRM\|1\|D)|(kpr)|(kdp)|(train st.+moving)|(\|lc)|(penalty))"</v>
      </c>
      <c r="AG196" s="182" t="str">
        <f t="shared" si="71"/>
        <v>NW</v>
      </c>
      <c r="AH196" s="78" t="str">
        <f t="shared" si="74"/>
        <v>"%USERPROFILE%\Documents\GitHub\eaglep3\Utilities\RefineRTDCRunTimes.py" --tripid 1834-12 --locoid 4011 --swversion DE.1.0.9.0 --startMP 300:58666 --initTime 2017-11-12T22:25:48 --startdatetime 2017-11-12T22:42:00 --delay 46 --endMP 204:936 --enddatetime 2017-11-12T22:54:46 --enforcementcount 0 &gt;&gt;%USERPROFILE%\Documents\GitHub\eaglep3-reporting\EC\2017-11-12-refined-times.txt</v>
      </c>
      <c r="AI196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{"issue":{"subject":"","project_id":79,"tracker_id":40,"status_id":1,"priority_id":2,"assigned_to_id":338,"start_date":"2017-11-12","description":"","custom_fields":[{"id":1,"name":"Subdivision","value":"NW"},{"id":4,"name":"Milepost","value":"0.0936"},{"id":17,"name":"Train ID","value":"1834-12"},{"id":16,"name":"Locomotive ID","value":"4011"},{"id":130,"name":"Impact","value":""},{"id":150,"name":"Time of Event (Mountain Time)","value":"22:54:46"},{"id":151,"name":"Denver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75"/>
        <v>start /low /b %USERPROFILE%\Documents\GitHub\eaglep3\Utilities\DownloadLogsFromS3.py --loco 4011 --day 2017-11-12</v>
      </c>
      <c r="AN196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05:54:46"},{"id":29,"name":"Sharepoint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6"/>
        <v>https://d0f6bd738d7f1b3e5a7ca70fe4ff75f0.us-east-1.aws.found.io/app/kibana#/discover/Steve-Slow-Train-Analysis-(2080s-and-2083s)?_g=(refreshInterval:(display:Off,pause:!f,section:0,value:0),time:(from:'2017-11-12T21:25:48-0700',mode:absolute,to:'2017-11-12T23:54:46-0700'))&amp;_a=(columns:!('Message%20ID',Summary),filters:!(),index:'emp_*',interval:auto,query:(query_string:(analyze_wildcard:!t,query:'%22rtdc.l.rtdc.4011%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866</v>
      </c>
      <c r="B197" s="7">
        <v>4012</v>
      </c>
      <c r="C197" s="21" t="s">
        <v>192</v>
      </c>
      <c r="D197" s="21" t="s">
        <v>510</v>
      </c>
      <c r="E197" s="13">
        <v>43051.934583333335</v>
      </c>
      <c r="F197" s="13">
        <v>43051.964849537035</v>
      </c>
      <c r="G197" s="7">
        <v>46</v>
      </c>
      <c r="H197" s="21" t="s">
        <v>1001</v>
      </c>
      <c r="I197" s="13">
        <v>43051.973680555559</v>
      </c>
      <c r="J197" s="7">
        <v>0</v>
      </c>
      <c r="K197" s="89" t="str">
        <f t="shared" si="63"/>
        <v>4011/4012</v>
      </c>
      <c r="L197" s="185" t="str">
        <f>VLOOKUP(A197,'Trips&amp;Operators'!$C$1:$G$99911,5,FALSE)</f>
        <v>HOLCOMB KAMDEN</v>
      </c>
      <c r="M197" s="6">
        <f t="shared" si="64"/>
        <v>8.8310185237787664E-3</v>
      </c>
      <c r="N197" s="7">
        <f t="shared" si="82"/>
        <v>12.716666674241424</v>
      </c>
      <c r="O197" s="7"/>
      <c r="P197" s="7"/>
      <c r="Q197" s="22"/>
      <c r="R197" s="174"/>
      <c r="S197" s="221">
        <f t="shared" si="83"/>
        <v>1</v>
      </c>
      <c r="T197" s="174" t="str">
        <f t="shared" si="65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6"/>
        <v>https://d0f6bd738d7f1b3e5a7ca70fe4ff75f0.us-east-1.aws.found.io/app/kibana#/discover/Steve-Slow-Train-Analysis-(2080s-and-2083s)?_g=(refreshInterval:(display:Off,pause:!f,section:0,value:0),time:(from:'2017-11-12T21:25:48-0700',mode:absolute,to:'2017-11-13T00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7" s="204" t="str">
        <f>IF(AA197&lt;VLOOKUP(AG197,Variables!$AC$3:$AD$8,2,FALSE),"Y","N")</f>
        <v>N</v>
      </c>
      <c r="X197" s="204">
        <f t="shared" si="89"/>
        <v>1</v>
      </c>
      <c r="Y197" s="204">
        <v>0.1191</v>
      </c>
      <c r="Z197" s="204">
        <v>5.8975</v>
      </c>
      <c r="AA197" s="204">
        <f t="shared" si="67"/>
        <v>5.7783999999999995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9">
        <f t="shared" si="68"/>
        <v>1835</v>
      </c>
      <c r="AE197" s="77" t="str">
        <f t="shared" si="69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197" s="74" t="str">
        <f t="shared" si="70"/>
        <v>"C:\Program Files (x86)\AstroGrep\AstroGrep.exe" /e /r /s /spath="%USERPROFILE%\AppData\Local\Temp\OnboardLogs" /stypes="app*4012*20171113*" /stext=" 06:.+((SYSTEM_STATE.+slice.+state.+changed )|(ment ac)|(multiple cpu faults)|(system.+state.+changed )|(\[timeout)|(PRM\|1\|D)|(kpr)|(kdp)|(train st.+moving)|(\|lc)|(penalty))"</v>
      </c>
      <c r="AG197" s="182" t="str">
        <f t="shared" si="71"/>
        <v>NW</v>
      </c>
      <c r="AH197" s="78" t="str">
        <f t="shared" ref="AH197" si="93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1835-12 --locoid 4012 --swversion DE.1.0.9.0 --startMP 300:58666 --initTime 2017-11-12T22:25:48 --startdatetime 2017-11-12T23:09:23 --delay 46 --endMP 204:936 --enddatetime 2017-11-12T23:22:06 --enforcementcount 0 &gt;&gt;%USERPROFILE%\Documents\GitHub\eaglep3-reporting\EC\2017-11-12-refined-times.txt</v>
      </c>
      <c r="AI197" s="96" t="str">
        <f t="shared" si="72"/>
        <v>echo {"issue":{"subject":"","project_id":79,"tracker_id":40,"status_id":1,"priority_id":2,"assigned_to_id":338,"start_date":"2017-11-12","description":"","custom_fields":[{"id":1,"name":"Subdivision","value":"NW"},{"id":4,"name":"Milepost","value":"5.8975"},{"id":17,"name":"Train ID","value":"1835-12"},{"id":16,"name":"Locomotive ID","value":"4012"},{"id":130,"name":"Impact","value":""},{"id":150,"name":"Time of Event (Mountain Time)","value":"23:22:06"},{"id":151,"name":"Denver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ref="AM197" si="94">"start /low /b "&amp;dls3logs&amp;" --loco "&amp;B197&amp;" --day "&amp;TEXT(F197,"YYYY-MM-DD")</f>
        <v>start /low /b %USERPROFILE%\Documents\GitHub\eaglep3\Utilities\DownloadLogsFromS3.py --loco 4012 --day 2017-11-12</v>
      </c>
      <c r="AN197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06:22:06"},{"id":29,"name":"Sharepoint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ref="AO197" si="95"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Message%20ID',Summary),filters:!(),index:'emp_*',interval:auto,query:"&amp;"(query_string:(analyze_wildcard:!t,query:'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-12T21:25:48-0700',mode:absolute,to:'2017-11-13T00:22:06-0700'))&amp;_a=(columns:!('Message%20ID',Summary),filters:!(),index:'emp_*',interval:auto,query:(query_string:(analyze_wildcard:!t,query:'%22rtdc.l.rtdc.4012%22')),sort:!(Time.ISO8601,asc))</v>
      </c>
    </row>
    <row r="198" spans="1:91" s="20" customFormat="1" x14ac:dyDescent="0.25">
      <c r="A198" s="32" t="s">
        <v>677</v>
      </c>
      <c r="B198" s="7">
        <v>4001</v>
      </c>
      <c r="C198" s="21" t="s">
        <v>192</v>
      </c>
      <c r="D198" s="21" t="s">
        <v>1050</v>
      </c>
      <c r="E198" s="13">
        <v>43051.11546296296</v>
      </c>
      <c r="F198" s="13">
        <v>43051.119502314818</v>
      </c>
      <c r="G198" s="7">
        <v>49</v>
      </c>
      <c r="H198" s="21" t="s">
        <v>493</v>
      </c>
      <c r="I198" s="13">
        <v>43051.125810185185</v>
      </c>
      <c r="J198" s="7">
        <v>0</v>
      </c>
      <c r="K198" s="89" t="str">
        <f t="shared" si="63"/>
        <v>4001/4002</v>
      </c>
      <c r="L198" s="185" t="str">
        <f>VLOOKUP(A198,'Trips&amp;Operators'!$C$1:$G$99911,5,FALSE)</f>
        <v>THOMPSON LESTER</v>
      </c>
      <c r="M198" s="6">
        <f t="shared" si="64"/>
        <v>6.3078703678911552E-3</v>
      </c>
      <c r="N198" s="7">
        <f t="shared" si="82"/>
        <v>9.0833333297632635</v>
      </c>
      <c r="O198" s="7"/>
      <c r="P198" s="7"/>
      <c r="Q198" s="22"/>
      <c r="R198" s="174"/>
      <c r="S198" s="221">
        <f t="shared" si="83"/>
        <v>1</v>
      </c>
      <c r="T198" s="174" t="str">
        <f t="shared" si="65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6"/>
        <v>https://d0f6bd738d7f1b3e5a7ca70fe4ff75f0.us-east-1.aws.found.io/app/kibana#/discover/Steve-Slow-Train-Analysis-(2080s-and-2083s)?_g=(refreshInterval:(display:Off,pause:!f,section:0,value:0),time:(from:'2017-11-12T01:46:16-0700',mode:absolute,to:'2017-11-12T04:01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204" t="str">
        <f>IF(AA198&lt;VLOOKUP(AG198,Variables!$AC$3:$AD$8,2,FALSE),"Y","N")</f>
        <v>Y</v>
      </c>
      <c r="X198" s="204">
        <f t="shared" si="89"/>
        <v>-1535</v>
      </c>
      <c r="Y198" s="204">
        <f t="shared" ref="Y198:Y223" si="96">RIGHT(D198,LEN(D198)-4)/10000</f>
        <v>2.3546</v>
      </c>
      <c r="Z198" s="204">
        <f t="shared" ref="Z198:Z223" si="97">RIGHT(H198,LEN(H198)-4)/10000</f>
        <v>1.67E-2</v>
      </c>
      <c r="AA198" s="204">
        <f t="shared" si="67"/>
        <v>2.3378999999999999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9">
        <f t="shared" si="68"/>
        <v>300</v>
      </c>
      <c r="AE198" s="77" t="str">
        <f t="shared" si="69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198" s="74" t="str">
        <f t="shared" si="70"/>
        <v>"C:\Program Files (x86)\AstroGrep\AstroGrep.exe" /e /r /s /spath="%USERPROFILE%\AppData\Local\Temp\OnboardLogs" /stypes="app*4001*20171112*" /stext=" 10:.+((SYSTEM_STATE.+slice.+state.+changed )|(ment ac)|(multiple cpu faults)|(system.+state.+changed )|(\[timeout)|(PRM\|1\|D)|(kpr)|(kdp)|(train st.+moving)|(\|lc)|(penalty))"</v>
      </c>
      <c r="AG198" s="182" t="str">
        <f t="shared" si="71"/>
        <v>Other</v>
      </c>
      <c r="AH198" s="78" t="str">
        <f t="shared" si="74"/>
        <v>"%USERPROFILE%\Documents\GitHub\eaglep3\Utilities\RefineRTDCRunTimes.py" --tripid 300-12 --locoid 4001 --swversion DE.1.0.9.0 --startMP 300:23546 --initTime 2017-11-12T02:46:16 --startdatetime 2017-11-12T02:52:05 --delay 49 --endMP 204:167 --enddatetime 2017-11-12T03:01:10 --enforcementcount 0 &gt;&gt;%USERPROFILE%\Documents\GitHub\eaglep3-reporting\EC\2017-11-12-refined-times.txt</v>
      </c>
      <c r="AI198" s="96" t="str">
        <f t="shared" si="72"/>
        <v>echo {"issue":{"subject":"","project_id":79,"tracker_id":40,"status_id":1,"priority_id":2,"assigned_to_id":338,"start_date":"2017-11-12","description":"","custom_fields":[{"id":1,"name":"Subdivision","value":"Other"},{"id":4,"name":"Milepost","value":"0.0167"},{"id":17,"name":"Train ID","value":"300-12"},{"id":16,"name":"Locomotive ID","value":"4001"},{"id":130,"name":"Impact","value":""},{"id":150,"name":"Time of Event (Mountain Time)","value":"03:01:10"},{"id":151,"name":"Denver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75"/>
        <v>start /low /b %USERPROFILE%\Documents\GitHub\eaglep3\Utilities\DownloadLogsFromS3.py --loco 4001 --day 2017-11-12</v>
      </c>
      <c r="AN198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10:01:10"},{"id":29,"name":"Sharepoint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6"/>
        <v>https://d0f6bd738d7f1b3e5a7ca70fe4ff75f0.us-east-1.aws.found.io/app/kibana#/discover/Steve-Slow-Train-Analysis-(2080s-and-2083s)?_g=(refreshInterval:(display:Off,pause:!f,section:0,value:0),time:(from:'2017-11-12T01:46:16-0700',mode:absolute,to:'2017-11-12T04:01:10-0700'))&amp;_a=(columns:!('Message%20ID',Summary),filters:!(),index:'emp_*',interval:auto,query:(query_string:(analyze_wildcard:!t,query:'%22rtdc.l.rtdc.4001%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837</v>
      </c>
      <c r="B199" s="7">
        <v>4002</v>
      </c>
      <c r="C199" s="21" t="s">
        <v>192</v>
      </c>
      <c r="D199" s="21" t="s">
        <v>605</v>
      </c>
      <c r="E199" s="13">
        <v>43051.776469907411</v>
      </c>
      <c r="F199" s="13">
        <v>43051.777858796297</v>
      </c>
      <c r="G199" s="7">
        <v>59</v>
      </c>
      <c r="H199" s="21" t="s">
        <v>627</v>
      </c>
      <c r="I199" s="13">
        <v>25568.708333333332</v>
      </c>
      <c r="J199" s="7">
        <v>0</v>
      </c>
      <c r="K199" s="89" t="str">
        <f t="shared" si="63"/>
        <v>4001/4002</v>
      </c>
      <c r="L199" s="185" t="str">
        <f>VLOOKUP(A199,'Trips&amp;Operators'!$C$1:$G$99911,5,FALSE)</f>
        <v>GONZALEZ ARMANDO</v>
      </c>
      <c r="M199" s="6">
        <f t="shared" si="64"/>
        <v>-17483.069525462965</v>
      </c>
      <c r="N199" s="7">
        <f t="shared" si="82"/>
        <v>-25175620.116666667</v>
      </c>
      <c r="O199" s="7"/>
      <c r="P199" s="7"/>
      <c r="Q199" s="22"/>
      <c r="R199" s="174"/>
      <c r="S199" s="221">
        <f t="shared" si="83"/>
        <v>1</v>
      </c>
      <c r="T199" s="174" t="str">
        <f t="shared" si="65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6"/>
        <v>https://d0f6bd738d7f1b3e5a7ca70fe4ff75f0.us-east-1.aws.found.io/app/kibana#/discover/Steve-Slow-Train-Analysis-(2080s-and-2083s)?_g=(refreshInterval:(display:Off,pause:!f,section:0,value:0),time:(from:'2017-11-12T17:38:07-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9" s="204" t="str">
        <f>IF(AA199&lt;VLOOKUP(AG199,Variables!$AC$3:$AD$8,2,FALSE),"Y","N")</f>
        <v>Y</v>
      </c>
      <c r="X199" s="204">
        <f t="shared" si="89"/>
        <v>1</v>
      </c>
      <c r="Y199" s="204">
        <f t="shared" si="96"/>
        <v>4.6899999999999997E-2</v>
      </c>
      <c r="Z199" s="204">
        <f t="shared" si="97"/>
        <v>2.3304</v>
      </c>
      <c r="AA199" s="204">
        <f t="shared" si="67"/>
        <v>2.2835000000000001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9">
        <f t="shared" si="68"/>
        <v>301</v>
      </c>
      <c r="AE199" s="77" t="str">
        <f t="shared" si="69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199" s="74" t="str">
        <f t="shared" si="70"/>
        <v>"C:\Program Files (x86)\AstroGrep\AstroGrep.exe" /e /r /s /spath="%USERPROFILE%\AppData\Local\Temp\OnboardLogs" /stypes="app*4002*19700101*" /stext=" 00:.+((SYSTEM_STATE.+slice.+state.+changed )|(ment ac)|(multiple cpu faults)|(system.+state.+changed )|(\[timeout)|(PRM\|1\|D)|(kpr)|(kdp)|(train st.+moving)|(\|lc)|(penalty))"</v>
      </c>
      <c r="AG199" s="182" t="str">
        <f t="shared" si="71"/>
        <v>Other</v>
      </c>
      <c r="AH199" s="78" t="str">
        <f t="shared" si="74"/>
        <v>"%USERPROFILE%\Documents\GitHub\eaglep3\Utilities\RefineRTDCRunTimes.py" --tripid 301-12 --locoid 4002 --swversion DE.1.0.9.0 --startMP 204:469 --initTime 2017-11-12T18:38:07 --startdatetime 2017-11-12T18:40:07 --delay 59 --endMP 300:23304 --enddatetime 1969-12-31T17:00:00 --enforcementcount 0 &gt;&gt;%USERPROFILE%\Documents\GitHub\eaglep3-reporting\EC\2017-11-12-refined-times.txt</v>
      </c>
      <c r="AI199" s="96" t="str">
        <f t="shared" si="72"/>
        <v>echo {"issue":{"subject":"","project_id":79,"tracker_id":40,"status_id":1,"priority_id":2,"assigned_to_id":338,"start_date":"1969-12-31","description":"","custom_fields":[{"id":1,"name":"Subdivision","value":"Other"},{"id":4,"name":"Milepost","value":"2.3304"},{"id":17,"name":"Train ID","value":"301-12"},{"id":16,"name":"Locomotive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75"/>
        <v>start /low /b %USERPROFILE%\Documents\GitHub\eaglep3\Utilities\DownloadLogsFromS3.py --loco 4002 --day 2017-11-12</v>
      </c>
      <c r="AN199" s="151" t="str">
        <f t="shared" si="73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6"/>
        <v>https://d0f6bd738d7f1b3e5a7ca70fe4ff75f0.us-east-1.aws.found.io/app/kibana#/discover/Steve-Slow-Train-Analysis-(2080s-and-2083s)?_g=(refreshInterval:(display:Off,pause:!f,section:0,value:0),time:(from:'2017-11-12T17:38:07-0700',mode:absolute,to:'1969-12-31T18:00:00-0700'))&amp;_a=(columns:!('Message%20ID',Summary),filters:!(),index:'emp_*',interval:auto,query:(query_string:(analyze_wildcard:!t,query:'%22rtdc.l.rtdc.4002%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680</v>
      </c>
      <c r="B200" s="7">
        <v>4041</v>
      </c>
      <c r="C200" s="21" t="s">
        <v>192</v>
      </c>
      <c r="D200" s="21" t="s">
        <v>1051</v>
      </c>
      <c r="E200" s="13">
        <v>43051.135937500003</v>
      </c>
      <c r="F200" s="13">
        <v>43051.140393518515</v>
      </c>
      <c r="G200" s="7">
        <v>66</v>
      </c>
      <c r="H200" s="21" t="s">
        <v>501</v>
      </c>
      <c r="I200" s="13">
        <v>43051.145312499997</v>
      </c>
      <c r="J200" s="7">
        <v>0</v>
      </c>
      <c r="K200" s="89" t="str">
        <f t="shared" si="63"/>
        <v>4041/4042</v>
      </c>
      <c r="L200" s="185" t="str">
        <f>VLOOKUP(A200,'Trips&amp;Operators'!$C$1:$G$99911,5,FALSE)</f>
        <v>MAELZER KURT</v>
      </c>
      <c r="M200" s="6">
        <f t="shared" si="64"/>
        <v>4.9189814817509614E-3</v>
      </c>
      <c r="N200" s="7">
        <f t="shared" si="82"/>
        <v>7.0833333337213844</v>
      </c>
      <c r="O200" s="7"/>
      <c r="P200" s="7"/>
      <c r="Q200" s="22"/>
      <c r="R200" s="174"/>
      <c r="S200" s="221">
        <f t="shared" si="83"/>
        <v>1</v>
      </c>
      <c r="T200" s="174" t="str">
        <f t="shared" si="65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6"/>
        <v>https://d0f6bd738d7f1b3e5a7ca70fe4ff75f0.us-east-1.aws.found.io/app/kibana#/discover/Steve-Slow-Train-Analysis-(2080s-and-2083s)?_g=(refreshInterval:(display:Off,pause:!f,section:0,value:0),time:(from:'2017-11-12T02:15:45-0700',mode:absolute,to:'2017-11-12T04:29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0" s="204" t="str">
        <f>IF(AA200&lt;VLOOKUP(AG200,Variables!$AC$3:$AD$8,2,FALSE),"Y","N")</f>
        <v>Y</v>
      </c>
      <c r="X200" s="204">
        <f t="shared" si="89"/>
        <v>1</v>
      </c>
      <c r="Y200" s="204">
        <f t="shared" si="96"/>
        <v>2.1739999999999999</v>
      </c>
      <c r="Z200" s="204">
        <f t="shared" si="97"/>
        <v>2.2700000000000001E-2</v>
      </c>
      <c r="AA200" s="204">
        <f t="shared" si="67"/>
        <v>2.1513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9">
        <f t="shared" si="68"/>
        <v>302</v>
      </c>
      <c r="AE200" s="77" t="str">
        <f t="shared" si="69"/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AF200" s="74" t="str">
        <f t="shared" si="70"/>
        <v>"C:\Program Files (x86)\AstroGrep\AstroGrep.exe" /e /r /s /spath="%USERPROFILE%\AppData\Local\Temp\OnboardLogs" /stypes="app*4041*20171112*" /stext=" 10:.+((SYSTEM_STATE.+slice.+state.+changed )|(ment ac)|(multiple cpu faults)|(system.+state.+changed )|(\[timeout)|(PRM\|1\|D)|(kpr)|(kdp)|(train st.+moving)|(\|lc)|(penalty))"</v>
      </c>
      <c r="AG200" s="182" t="str">
        <f t="shared" si="71"/>
        <v>Other</v>
      </c>
      <c r="AH200" s="78" t="str">
        <f t="shared" si="74"/>
        <v>"%USERPROFILE%\Documents\GitHub\eaglep3\Utilities\RefineRTDCRunTimes.py" --tripid 302-12 --locoid 4041 --swversion DE.1.0.9.0 --startMP 300:21740 --initTime 2017-11-12T03:15:45 --startdatetime 2017-11-12T03:22:10 --delay 66 --endMP 204:227 --enddatetime 2017-11-12T03:29:15 --enforcementcount 0 &gt;&gt;%USERPROFILE%\Documents\GitHub\eaglep3-reporting\EC\2017-11-12-refined-times.txt</v>
      </c>
      <c r="AI200" s="96" t="str">
        <f t="shared" si="72"/>
        <v>echo {"issue":{"subject":"","project_id":79,"tracker_id":40,"status_id":1,"priority_id":2,"assigned_to_id":338,"start_date":"2017-11-12","description":"","custom_fields":[{"id":1,"name":"Subdivision","value":"Other"},{"id":4,"name":"Milepost","value":"0.0227"},{"id":17,"name":"Train ID","value":"302-12"},{"id":16,"name":"Locomotive ID","value":"4041"},{"id":130,"name":"Impact","value":""},{"id":150,"name":"Time of Event (Mountain Time)","value":"03:29:15"},{"id":151,"name":"Denver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75"/>
        <v>start /low /b %USERPROFILE%\Documents\GitHub\eaglep3\Utilities\DownloadLogsFromS3.py --loco 4041 --day 2017-11-12</v>
      </c>
      <c r="AN200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10:29:15"},{"id":29,"name":"Sharepoint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6"/>
        <v>https://d0f6bd738d7f1b3e5a7ca70fe4ff75f0.us-east-1.aws.found.io/app/kibana#/discover/Steve-Slow-Train-Analysis-(2080s-and-2083s)?_g=(refreshInterval:(display:Off,pause:!f,section:0,value:0),time:(from:'2017-11-12T02:15:45-0700',mode:absolute,to:'2017-11-12T04:29:15-0700'))&amp;_a=(columns:!('Message%20ID',Summary),filters:!(),index:'emp_*',interval:auto,query:(query_string:(analyze_wildcard:!t,query:'%22rtdc.l.rtdc.4041%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685</v>
      </c>
      <c r="B201" s="7">
        <v>4015</v>
      </c>
      <c r="C201" s="21" t="s">
        <v>192</v>
      </c>
      <c r="D201" s="21" t="s">
        <v>1052</v>
      </c>
      <c r="E201" s="13">
        <v>43051.15761574074</v>
      </c>
      <c r="F201" s="13">
        <v>43051.161458333336</v>
      </c>
      <c r="G201" s="7">
        <v>75</v>
      </c>
      <c r="H201" s="21" t="s">
        <v>590</v>
      </c>
      <c r="I201" s="13">
        <v>43051.166655092595</v>
      </c>
      <c r="J201" s="7">
        <v>0</v>
      </c>
      <c r="K201" s="89" t="str">
        <f t="shared" si="63"/>
        <v>4015/4016</v>
      </c>
      <c r="L201" s="185" t="str">
        <f>VLOOKUP(A201,'Trips&amp;Operators'!$C$1:$G$99911,5,FALSE)</f>
        <v>PAGE MARCUS</v>
      </c>
      <c r="M201" s="6">
        <f t="shared" si="64"/>
        <v>5.1967592589790002E-3</v>
      </c>
      <c r="N201" s="7">
        <f t="shared" si="82"/>
        <v>7.4833333329297602</v>
      </c>
      <c r="O201" s="7"/>
      <c r="P201" s="7"/>
      <c r="Q201" s="22"/>
      <c r="R201" s="174"/>
      <c r="S201" s="221">
        <f t="shared" si="83"/>
        <v>1</v>
      </c>
      <c r="T201" s="174" t="str">
        <f t="shared" si="65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6"/>
        <v>https://d0f6bd738d7f1b3e5a7ca70fe4ff75f0.us-east-1.aws.found.io/app/kibana#/discover/Steve-Slow-Train-Analysis-(2080s-and-2083s)?_g=(refreshInterval:(display:Off,pause:!f,section:0,value:0),time:(from:'2017-11-12T02:46:58-0700',mode:absolute,to:'2017-11-12T04:59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204" t="str">
        <f>IF(AA201&lt;VLOOKUP(AG201,Variables!$AC$3:$AD$8,2,FALSE),"Y","N")</f>
        <v>Y</v>
      </c>
      <c r="X201" s="204">
        <f t="shared" si="89"/>
        <v>2</v>
      </c>
      <c r="Y201" s="204">
        <f t="shared" si="96"/>
        <v>2.3325999999999998</v>
      </c>
      <c r="Z201" s="204">
        <f t="shared" si="97"/>
        <v>1.6299999999999999E-2</v>
      </c>
      <c r="AA201" s="204">
        <f t="shared" si="67"/>
        <v>2.3162999999999996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9">
        <f t="shared" si="68"/>
        <v>304</v>
      </c>
      <c r="AE201" s="77" t="str">
        <f t="shared" si="69"/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AF201" s="74" t="str">
        <f t="shared" si="70"/>
        <v>"C:\Program Files (x86)\AstroGrep\AstroGrep.exe" /e /r /s /spath="%USERPROFILE%\AppData\Local\Temp\OnboardLogs" /stypes="app*4015*20171112*" /stext=" 10:.+((SYSTEM_STATE.+slice.+state.+changed )|(ment ac)|(multiple cpu faults)|(system.+state.+changed )|(\[timeout)|(PRM\|1\|D)|(kpr)|(kdp)|(train st.+moving)|(\|lc)|(penalty))"</v>
      </c>
      <c r="AG201" s="182" t="str">
        <f t="shared" si="71"/>
        <v>Other</v>
      </c>
      <c r="AH201" s="78" t="str">
        <f t="shared" si="74"/>
        <v>"%USERPROFILE%\Documents\GitHub\eaglep3\Utilities\RefineRTDCRunTimes.py" --tripid 304-12 --locoid 4015 --swversion DE.1.0.9.0 --startMP 300:23326 --initTime 2017-11-12T03:46:58 --startdatetime 2017-11-12T03:52:30 --delay 75 --endMP 204:163 --enddatetime 2017-11-12T03:59:59 --enforcementcount 0 &gt;&gt;%USERPROFILE%\Documents\GitHub\eaglep3-reporting\EC\2017-11-12-refined-times.txt</v>
      </c>
      <c r="AI201" s="96" t="str">
        <f t="shared" si="72"/>
        <v>echo {"issue":{"subject":"","project_id":79,"tracker_id":40,"status_id":1,"priority_id":2,"assigned_to_id":338,"start_date":"2017-11-12","description":"","custom_fields":[{"id":1,"name":"Subdivision","value":"Other"},{"id":4,"name":"Milepost","value":"0.0163"},{"id":17,"name":"Train ID","value":"304-12"},{"id":16,"name":"Locomotive ID","value":"4015"},{"id":130,"name":"Impact","value":""},{"id":150,"name":"Time of Event (Mountain Time)","value":"03:59:59"},{"id":151,"name":"Denver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75"/>
        <v>start /low /b %USERPROFILE%\Documents\GitHub\eaglep3\Utilities\DownloadLogsFromS3.py --loco 4015 --day 2017-11-12</v>
      </c>
      <c r="AN201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10:59:59"},{"id":29,"name":"Sharepoint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6"/>
        <v>https://d0f6bd738d7f1b3e5a7ca70fe4ff75f0.us-east-1.aws.found.io/app/kibana#/discover/Steve-Slow-Train-Analysis-(2080s-and-2083s)?_g=(refreshInterval:(display:Off,pause:!f,section:0,value:0),time:(from:'2017-11-12T02:46:58-0700',mode:absolute,to:'2017-11-12T04:59:59-0700'))&amp;_a=(columns:!('Message%20ID',Summary),filters:!(),index:'emp_*',interval:auto,query:(query_string:(analyze_wildcard:!t,query:'%22rtdc.l.rtdc.4015%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847</v>
      </c>
      <c r="B202" s="7">
        <v>4051</v>
      </c>
      <c r="C202" s="21" t="s">
        <v>192</v>
      </c>
      <c r="D202" s="21" t="s">
        <v>1053</v>
      </c>
      <c r="E202" s="13">
        <v>43051.840474537035</v>
      </c>
      <c r="F202" s="13">
        <v>43051.841990740744</v>
      </c>
      <c r="G202" s="7">
        <v>60</v>
      </c>
      <c r="H202" s="21" t="s">
        <v>1054</v>
      </c>
      <c r="I202" s="13">
        <v>43051.843275462961</v>
      </c>
      <c r="J202" s="7">
        <v>0</v>
      </c>
      <c r="K202" s="89" t="str">
        <f t="shared" si="63"/>
        <v>4051/4052</v>
      </c>
      <c r="L202" s="185" t="str">
        <f>VLOOKUP(A202,'Trips&amp;Operators'!$C$1:$G$99911,5,FALSE)</f>
        <v>GUNTHIER ERIC</v>
      </c>
      <c r="M202" s="6">
        <f t="shared" si="64"/>
        <v>1.2847222169511952E-3</v>
      </c>
      <c r="N202" s="7">
        <f t="shared" si="82"/>
        <v>1.849999992409721</v>
      </c>
      <c r="O202" s="7"/>
      <c r="P202" s="7"/>
      <c r="Q202" s="22"/>
      <c r="R202" s="174"/>
      <c r="S202" s="221">
        <f t="shared" si="83"/>
        <v>0</v>
      </c>
      <c r="T202" s="174" t="str">
        <f t="shared" si="65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216" t="str">
        <f t="shared" si="66"/>
        <v>https://d0f6bd738d7f1b3e5a7ca70fe4ff75f0.us-east-1.aws.found.io/app/kibana#/discover/Steve-Slow-Train-Analysis-(2080s-and-2083s)?_g=(refreshInterval:(display:Off,pause:!f,section:0,value:0),time:(from:'2017-11-12T19:10:17-0700',mode:absolute,to:'2017-11-12T21:14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2" s="204" t="str">
        <f>IF(AA202&lt;VLOOKUP(AG202,Variables!$AC$3:$AD$8,2,FALSE),"Y","N")</f>
        <v>Y</v>
      </c>
      <c r="X202" s="204">
        <f t="shared" si="89"/>
        <v>1</v>
      </c>
      <c r="Y202" s="204">
        <f t="shared" si="96"/>
        <v>0.33960000000000001</v>
      </c>
      <c r="Z202" s="204">
        <f t="shared" si="97"/>
        <v>0.29330000000000001</v>
      </c>
      <c r="AA202" s="204">
        <f t="shared" si="67"/>
        <v>4.6300000000000008E-2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9">
        <f t="shared" si="68"/>
        <v>305</v>
      </c>
      <c r="AE202" s="77" t="str">
        <f t="shared" si="69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202" s="74" t="str">
        <f t="shared" si="70"/>
        <v>"C:\Program Files (x86)\AstroGrep\AstroGrep.exe" /e /r /s /spath="%USERPROFILE%\AppData\Local\Temp\OnboardLogs" /stypes="app*4051*20171113*" /stext=" 03:.+((SYSTEM_STATE.+slice.+state.+changed )|(ment ac)|(multiple cpu faults)|(system.+state.+changed )|(\[timeout)|(PRM\|1\|D)|(kpr)|(kdp)|(train st.+moving)|(\|lc)|(penalty))"</v>
      </c>
      <c r="AG202" s="182" t="str">
        <f t="shared" si="71"/>
        <v>Other</v>
      </c>
      <c r="AH202" s="78" t="str">
        <f t="shared" si="74"/>
        <v>"%USERPROFILE%\Documents\GitHub\eaglep3\Utilities\RefineRTDCRunTimes.py" --tripid 305-12 --locoid 4051 --swversion DE.1.0.9.0 --startMP 204:3396 --initTime 2017-11-12T20:10:17 --startdatetime 2017-11-12T20:12:28 --delay 60 --endMP 204:2933 --enddatetime 2017-11-12T20:14:19 --enforcementcount 0 &gt;&gt;%USERPROFILE%\Documents\GitHub\eaglep3-reporting\EC\2017-11-12-refined-times.txt</v>
      </c>
      <c r="AI202" s="96" t="str">
        <f t="shared" si="72"/>
        <v>echo {"issue":{"subject":"","project_id":79,"tracker_id":40,"status_id":1,"priority_id":2,"assigned_to_id":338,"start_date":"2017-11-12","description":"","custom_fields":[{"id":1,"name":"Subdivision","value":"Other"},{"id":4,"name":"Milepost","value":"0.2933"},{"id":17,"name":"Train ID","value":"305-12"},{"id":16,"name":"Locomotive ID","value":"4051"},{"id":130,"name":"Impact","value":""},{"id":150,"name":"Time of Event (Mountain Time)","value":"20:14:19"},{"id":151,"name":"Denver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75"/>
        <v>start /low /b %USERPROFILE%\Documents\GitHub\eaglep3\Utilities\DownloadLogsFromS3.py --loco 4051 --day 2017-11-12</v>
      </c>
      <c r="AN202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03:14:19"},{"id":29,"name":"Sharepoint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6"/>
        <v>https://d0f6bd738d7f1b3e5a7ca70fe4ff75f0.us-east-1.aws.found.io/app/kibana#/discover/Steve-Slow-Train-Analysis-(2080s-and-2083s)?_g=(refreshInterval:(display:Off,pause:!f,section:0,value:0),time:(from:'2017-11-12T19:10:17-0700',mode:absolute,to:'2017-11-12T21:14:19-0700'))&amp;_a=(columns:!('Message%20ID',Summary),filters:!(),index:'emp_*',interval:auto,query:(query_string:(analyze_wildcard:!t,query:'%22rtdc.l.rtdc.4051%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847</v>
      </c>
      <c r="B203" s="7">
        <v>4004</v>
      </c>
      <c r="C203" s="21" t="s">
        <v>192</v>
      </c>
      <c r="D203" s="21" t="s">
        <v>507</v>
      </c>
      <c r="E203" s="13">
        <v>43051.836145833331</v>
      </c>
      <c r="F203" s="13">
        <v>43051.841990740744</v>
      </c>
      <c r="G203" s="7">
        <v>72</v>
      </c>
      <c r="H203" s="21" t="s">
        <v>1055</v>
      </c>
      <c r="I203" s="13">
        <v>43051.843275462961</v>
      </c>
      <c r="J203" s="7">
        <v>0</v>
      </c>
      <c r="K203" s="89" t="str">
        <f t="shared" si="63"/>
        <v>4003/4004</v>
      </c>
      <c r="L203" s="185" t="str">
        <f>VLOOKUP(A203,'Trips&amp;Operators'!$C$1:$G$99911,5,FALSE)</f>
        <v>GUNTHIER ERIC</v>
      </c>
      <c r="M203" s="6">
        <f t="shared" si="64"/>
        <v>1.2847222169511952E-3</v>
      </c>
      <c r="N203" s="7">
        <f t="shared" si="82"/>
        <v>1.849999992409721</v>
      </c>
      <c r="O203" s="7"/>
      <c r="P203" s="7"/>
      <c r="Q203" s="22"/>
      <c r="R203" s="174"/>
      <c r="S203" s="221">
        <f t="shared" si="83"/>
        <v>0</v>
      </c>
      <c r="T203" s="174" t="str">
        <f t="shared" si="65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216" t="str">
        <f t="shared" si="66"/>
        <v>https://d0f6bd738d7f1b3e5a7ca70fe4ff75f0.us-east-1.aws.found.io/app/kibana#/discover/Steve-Slow-Train-Analysis-(2080s-and-2083s)?_g=(refreshInterval:(display:Off,pause:!f,section:0,value:0),time:(from:'2017-11-12T19:04:03-0700',mode:absolute,to:'2017-11-12T21:14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3" s="204" t="str">
        <f>IF(AA203&lt;VLOOKUP(AG203,Variables!$AC$3:$AD$8,2,FALSE),"Y","N")</f>
        <v>Y</v>
      </c>
      <c r="X203" s="204">
        <f t="shared" si="89"/>
        <v>0</v>
      </c>
      <c r="Y203" s="204">
        <f t="shared" si="96"/>
        <v>0.14899999999999999</v>
      </c>
      <c r="Z203" s="204">
        <f t="shared" si="97"/>
        <v>0.40129999999999999</v>
      </c>
      <c r="AA203" s="204">
        <f t="shared" si="67"/>
        <v>0.25229999999999997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9">
        <f t="shared" si="68"/>
        <v>305</v>
      </c>
      <c r="AE203" s="77" t="str">
        <f t="shared" si="69"/>
        <v>aws s3 cp s3://rtdc.mdm.uploadarchive.raw/RTDC4004/ "%USERPROFILE%\AppData\Local\Temp\OnboardLogs"\RTDC4004\2017-11-12 --exclude "*" --recursive --include "*20171112*" &amp; "%USERPROFILE%\Documents\GitHub\mrs-test-scripts\Headless Mode &amp; Sideloading\WalkAndUnGZ.bat" "%USERPROFILE%\AppData\Local\Temp\OnboardLogs"\RTDC4004\2017-11-12 &amp; 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</v>
      </c>
      <c r="AF203" s="74" t="str">
        <f t="shared" si="70"/>
        <v>"C:\Program Files (x86)\AstroGrep\AstroGrep.exe" /e /r /s /spath="%USERPROFILE%\AppData\Local\Temp\OnboardLogs" /stypes="app*4004*20171113*" /stext=" 03:.+((SYSTEM_STATE.+slice.+state.+changed )|(ment ac)|(multiple cpu faults)|(system.+state.+changed )|(\[timeout)|(PRM\|1\|D)|(kpr)|(kdp)|(train st.+moving)|(\|lc)|(penalty))"</v>
      </c>
      <c r="AG203" s="182" t="str">
        <f t="shared" si="71"/>
        <v>Other</v>
      </c>
      <c r="AH203" s="78" t="str">
        <f t="shared" si="74"/>
        <v>"%USERPROFILE%\Documents\GitHub\eaglep3\Utilities\RefineRTDCRunTimes.py" --tripid 305-12 --locoid 4004 --swversion DE.1.0.9.0 --startMP 204:1490 --initTime 2017-11-12T20:04:03 --startdatetime 2017-11-12T20:12:28 --delay 72 --endMP 204:4013 --enddatetime 2017-11-12T20:14:19 --enforcementcount 0 &gt;&gt;%USERPROFILE%\Documents\GitHub\eaglep3-reporting\EC\2017-11-12-refined-times.txt</v>
      </c>
      <c r="AI203" s="96" t="str">
        <f t="shared" si="72"/>
        <v>echo {"issue":{"subject":"","project_id":79,"tracker_id":40,"status_id":1,"priority_id":2,"assigned_to_id":338,"start_date":"2017-11-12","description":"","custom_fields":[{"id":1,"name":"Subdivision","value":"Other"},{"id":4,"name":"Milepost","value":"0.4013"},{"id":17,"name":"Train ID","value":"305-12"},{"id":16,"name":"Locomotive ID","value":"4004"},{"id":130,"name":"Impact","value":""},{"id":150,"name":"Time of Event (Mountain Time)","value":"20:14:19"},{"id":151,"name":"Denver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75"/>
        <v>start /low /b %USERPROFILE%\Documents\GitHub\eaglep3\Utilities\DownloadLogsFromS3.py --loco 4004 --day 2017-11-12</v>
      </c>
      <c r="AN203" s="151" t="str">
        <f t="shared" si="7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03:14:19"},{"id":29,"name":"Sharepoint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6"/>
        <v>https://d0f6bd738d7f1b3e5a7ca70fe4ff75f0.us-east-1.aws.found.io/app/kibana#/discover/Steve-Slow-Train-Analysis-(2080s-and-2083s)?_g=(refreshInterval:(display:Off,pause:!f,section:0,value:0),time:(from:'2017-11-12T19:04:03-0700',mode:absolute,to:'2017-11-12T21:14:19-0700'))&amp;_a=(columns:!('Message%20ID',Summary),filters:!(),index:'emp_*',interval:auto,query:(query_string:(analyze_wildcard:!t,query:'%22rtdc.l.rtdc.4004%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635</v>
      </c>
      <c r="B204" s="7">
        <v>4005</v>
      </c>
      <c r="C204" s="21" t="s">
        <v>192</v>
      </c>
      <c r="D204" s="21" t="s">
        <v>1056</v>
      </c>
      <c r="E204" s="13">
        <v>43051.172222222223</v>
      </c>
      <c r="F204" s="13">
        <v>43051.176157407404</v>
      </c>
      <c r="G204" s="7">
        <v>98</v>
      </c>
      <c r="H204" s="21" t="s">
        <v>1057</v>
      </c>
      <c r="I204" s="13">
        <v>43051.176666666666</v>
      </c>
      <c r="J204" s="7">
        <v>0</v>
      </c>
      <c r="K204" s="89" t="str">
        <f t="shared" si="63"/>
        <v>4005/4006</v>
      </c>
      <c r="L204" s="185" t="str">
        <f>VLOOKUP(A204,'Trips&amp;Operators'!$C$1:$G$99911,5,FALSE)</f>
        <v>ROMERO CHAD</v>
      </c>
      <c r="M204" s="6">
        <f t="shared" si="64"/>
        <v>5.092592618893832E-4</v>
      </c>
      <c r="N204" s="7">
        <f t="shared" si="82"/>
        <v>0.7333333371207118</v>
      </c>
      <c r="O204" s="7"/>
      <c r="P204" s="7"/>
      <c r="Q204" s="22"/>
      <c r="R204" s="174"/>
      <c r="S204" s="221">
        <f t="shared" si="83"/>
        <v>0</v>
      </c>
      <c r="T204" s="174" t="str">
        <f t="shared" si="65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216" t="str">
        <f t="shared" si="66"/>
        <v>https://d0f6bd738d7f1b3e5a7ca70fe4ff75f0.us-east-1.aws.found.io/app/kibana#/discover/Steve-Slow-Train-Analysis-(2080s-and-2083s)?_g=(refreshInterval:(display:Off,pause:!f,section:0,value:0),time:(from:'2017-11-12T03:08:00-0700',mode:absolute,to:'2017-11-12T05:14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4" s="204" t="str">
        <f>IF(AA204&lt;VLOOKUP(AG204,Variables!$AC$3:$AD$8,2,FALSE),"Y","N")</f>
        <v>Y</v>
      </c>
      <c r="X204" s="204">
        <f t="shared" si="89"/>
        <v>1</v>
      </c>
      <c r="Y204" s="204">
        <f t="shared" si="96"/>
        <v>2.2458999999999998</v>
      </c>
      <c r="Z204" s="204">
        <f t="shared" si="97"/>
        <v>2.1307999999999998</v>
      </c>
      <c r="AA204" s="204">
        <f t="shared" si="67"/>
        <v>0.11509999999999998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9">
        <f t="shared" si="68"/>
        <v>306</v>
      </c>
      <c r="AE204" s="77" t="str">
        <f t="shared" si="69"/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AF204" s="74" t="str">
        <f t="shared" si="70"/>
        <v>"C:\Program Files (x86)\AstroGrep\AstroGrep.exe" /e /r /s /spath="%USERPROFILE%\AppData\Local\Temp\OnboardLogs" /stypes="app*4005*20171112*" /stext=" 11:.+((SYSTEM_STATE.+slice.+state.+changed )|(ment ac)|(multiple cpu faults)|(system.+state.+changed )|(\[timeout)|(PRM\|1\|D)|(kpr)|(kdp)|(train st.+moving)|(\|lc)|(penalty))"</v>
      </c>
      <c r="AG204" s="182" t="str">
        <f t="shared" si="71"/>
        <v>Other</v>
      </c>
      <c r="AH204" s="78" t="str">
        <f t="shared" si="74"/>
        <v>"%USERPROFILE%\Documents\GitHub\eaglep3\Utilities\RefineRTDCRunTimes.py" --tripid 306-12 --locoid 4005 --swversion DE.1.0.9.0 --startMP 300:22459 --initTime 2017-11-12T04:08:00 --startdatetime 2017-11-12T04:13:40 --delay 98 --endMP 300:21308 --enddatetime 2017-11-12T04:14:24 --enforcementcount 0 &gt;&gt;%USERPROFILE%\Documents\GitHub\eaglep3-reporting\EC\2017-11-12-refined-times.txt</v>
      </c>
      <c r="AI204" s="96" t="str">
        <f t="shared" si="72"/>
        <v>echo {"issue":{"subject":"","project_id":79,"tracker_id":40,"status_id":1,"priority_id":2,"assigned_to_id":338,"start_date":"2017-11-12","description":"","custom_fields":[{"id":1,"name":"Subdivision","value":"Other"},{"id":4,"name":"Milepost","value":"2.1308"},{"id":17,"name":"Train ID","value":"306-12"},{"id":16,"name":"Locomotive ID","value":"4005"},{"id":130,"name":"Impact","value":""},{"id":150,"name":"Time of Event (Mountain Time)","value":"04:14:24"},{"id":151,"name":"Denver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75"/>
        <v>start /low /b %USERPROFILE%\Documents\GitHub\eaglep3\Utilities\DownloadLogsFromS3.py --loco 4005 --day 2017-11-12</v>
      </c>
      <c r="AN204" s="151" t="str">
        <f t="shared" si="73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11:14:24"},{"id":29,"name":"Sharepoint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6"/>
        <v>https://d0f6bd738d7f1b3e5a7ca70fe4ff75f0.us-east-1.aws.found.io/app/kibana#/discover/Steve-Slow-Train-Analysis-(2080s-and-2083s)?_g=(refreshInterval:(display:Off,pause:!f,section:0,value:0),time:(from:'2017-11-12T03:08:00-0700',mode:absolute,to:'2017-11-12T05:14:24-0700'))&amp;_a=(columns:!('Message%20ID',Summary),filters:!(),index:'emp_*',interval:auto,query:(query_string:(analyze_wildcard:!t,query:'%22rtdc.l.rtdc.4005%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873</v>
      </c>
      <c r="B205" s="7">
        <v>4042</v>
      </c>
      <c r="C205" s="21" t="s">
        <v>192</v>
      </c>
      <c r="D205" s="21" t="s">
        <v>1058</v>
      </c>
      <c r="E205" s="13">
        <v>43052.049675925926</v>
      </c>
      <c r="F205" s="13">
        <v>43052.05133101852</v>
      </c>
      <c r="G205" s="7">
        <v>66</v>
      </c>
      <c r="H205" s="21" t="s">
        <v>624</v>
      </c>
      <c r="I205" s="13">
        <v>43052.058877314812</v>
      </c>
      <c r="J205" s="7">
        <v>0</v>
      </c>
      <c r="K205" s="89" t="str">
        <f t="shared" ref="K205:K223" si="98">IF(ISEVEN(B205),(B205-1)&amp;"/"&amp;B205,B205&amp;"/"&amp;(B205+1))</f>
        <v>4041/4042</v>
      </c>
      <c r="L205" s="185" t="str">
        <f>VLOOKUP(A205,'Trips&amp;Operators'!$C$1:$G$99911,5,FALSE)</f>
        <v>LOZA FIDEL</v>
      </c>
      <c r="M205" s="6">
        <f t="shared" ref="M205:M223" si="99">I205-F205</f>
        <v>7.546296292275656E-3</v>
      </c>
      <c r="N205" s="7">
        <f t="shared" si="82"/>
        <v>10.866666660876945</v>
      </c>
      <c r="O205" s="7"/>
      <c r="P205" s="7"/>
      <c r="Q205" s="22"/>
      <c r="R205" s="174"/>
      <c r="S205" s="221">
        <f t="shared" si="83"/>
        <v>1</v>
      </c>
      <c r="T205" s="174" t="str">
        <f t="shared" ref="T205:T223" si="100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3" si="10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-13T00:11:32-0700',mode:absolute,to:'2017-11-13T02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5" s="204" t="str">
        <f>IF(AA205&lt;VLOOKUP(AG205,Variables!$AC$3:$AD$8,2,FALSE),"Y","N")</f>
        <v>Y</v>
      </c>
      <c r="X205" s="204">
        <f t="shared" si="89"/>
        <v>1</v>
      </c>
      <c r="Y205" s="204">
        <f t="shared" si="96"/>
        <v>4.4400000000000002E-2</v>
      </c>
      <c r="Z205" s="204">
        <f t="shared" si="97"/>
        <v>2.3298999999999999</v>
      </c>
      <c r="AA205" s="204">
        <f t="shared" ref="AA205:AA268" si="102">ABS(Z205-Y205)</f>
        <v>2.2854999999999999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9">
        <f t="shared" ref="AD205:AD223" si="103">VALUE(LEFT(A205,LEN(A205)-3))</f>
        <v>307</v>
      </c>
      <c r="AE205" s="77" t="str">
        <f t="shared" ref="AE205:AE223" si="10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 &amp; aws s3 cp s3://rtdc.mdm.uploadarchive.raw/RTDC4042/ "%USERPROFILE%\AppData\Local\Temp\OnboardLogs"\RTDC4042\2017-11-14 --exclude "*" --recursive --include "*20171114*" &amp; "%USERPROFILE%\Documents\GitHub\mrs-test-scripts\Headless Mode &amp; Sideloading\WalkAndUnGZ.bat" "%USERPROFILE%\AppData\Local\Temp\OnboardLogs"\RTDC4042\2017-11-14</v>
      </c>
      <c r="AF205" s="74" t="str">
        <f t="shared" ref="AF205:AF223" si="10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/stypes="app*4042*20171113*" /stext=" 08:.+((SYSTEM_STATE.+slice.+state.+changed )|(ment ac)|(multiple cpu faults)|(system.+state.+changed )|(\[timeout)|(PRM\|1\|D)|(kpr)|(kdp)|(train st.+moving)|(\|lc)|(penalty))"</v>
      </c>
      <c r="AG205" s="182" t="str">
        <f t="shared" ref="AG205:AG223" si="106">DetSubdiv(A205)</f>
        <v>Other</v>
      </c>
      <c r="AH205" s="78" t="str">
        <f t="shared" si="74"/>
        <v>"%USERPROFILE%\Documents\GitHub\eaglep3\Utilities\RefineRTDCRunTimes.py" --tripid 307-12 --locoid 4042 --swversion DE.1.0.9.0 --startMP 204:444 --initTime 2017-11-13T01:11:32 --startdatetime 2017-11-13T01:13:55 --delay 66 --endMP 300:23299 --enddatetime 2017-11-13T01:24:47 --enforcementcount 0 &gt;&gt;%USERPROFILE%\Documents\GitHub\eaglep3-reporting\EC\2017-11-12-refined-times.txt</v>
      </c>
      <c r="AI205" s="96" t="str">
        <f t="shared" ref="AI205:AI268" si="10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{"issue":{"subject":"","project_id":79,"tracker_id":40,"status_id":1,"priority_id":2,"assigned_to_id":338,"start_date":"2017-11-13","description":"","custom_fields":[{"id":1,"name":"Subdivision","value":"Other"},{"id":4,"name":"Milepost","value":"2.3299"},{"id":17,"name":"Train ID","value":"307-12"},{"id":16,"name":"Locomotive ID","value":"4042"},{"id":130,"name":"Impact","value":""},{"id":150,"name":"Time of Event (Mountain Time)","value":"01:24:47"},{"id":151,"name":"Denver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75"/>
        <v>start /low /b %USERPROFILE%\Documents\GitHub\eaglep3\Utilities\DownloadLogsFromS3.py --loco 4042 --day 2017-11-13</v>
      </c>
      <c r="AN205" s="151" t="str">
        <f t="shared" ref="AN205:AN223" si="108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08:24:47"},{"id":29,"name":"Sharepoint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6"/>
        <v>https://d0f6bd738d7f1b3e5a7ca70fe4ff75f0.us-east-1.aws.found.io/app/kibana#/discover/Steve-Slow-Train-Analysis-(2080s-and-2083s)?_g=(refreshInterval:(display:Off,pause:!f,section:0,value:0),time:(from:'2017-11-13T00:11:32-0700',mode:absolute,to:'2017-11-13T02:24:47-0700'))&amp;_a=(columns:!('Message%20ID',Summary),filters:!(),index:'emp_*',interval:auto,query:(query_string:(analyze_wildcard:!t,query:'%22rtdc.l.rtdc.4042%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639</v>
      </c>
      <c r="B206" s="7">
        <v>4031</v>
      </c>
      <c r="C206" s="21" t="s">
        <v>192</v>
      </c>
      <c r="D206" s="21" t="s">
        <v>1059</v>
      </c>
      <c r="E206" s="13">
        <v>43051.179861111108</v>
      </c>
      <c r="F206" s="13">
        <v>43051.183807870373</v>
      </c>
      <c r="G206" s="7">
        <v>75</v>
      </c>
      <c r="H206" s="21" t="s">
        <v>1060</v>
      </c>
      <c r="I206" s="13">
        <v>43051.184004629627</v>
      </c>
      <c r="J206" s="7">
        <v>0</v>
      </c>
      <c r="K206" s="89" t="str">
        <f t="shared" si="98"/>
        <v>4031/4032</v>
      </c>
      <c r="L206" s="185" t="str">
        <f>VLOOKUP(A206,'Trips&amp;Operators'!$C$1:$G$99911,5,FALSE)</f>
        <v>GEBRETEKLE DAGNEW</v>
      </c>
      <c r="M206" s="6">
        <f t="shared" si="99"/>
        <v>1.9675925432238728E-4</v>
      </c>
      <c r="N206" s="7">
        <f t="shared" si="82"/>
        <v>0.28333332622423768</v>
      </c>
      <c r="O206" s="7"/>
      <c r="P206" s="7"/>
      <c r="Q206" s="22"/>
      <c r="R206" s="174"/>
      <c r="S206" s="221">
        <f t="shared" si="83"/>
        <v>0</v>
      </c>
      <c r="T206" s="174" t="str">
        <f t="shared" si="100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216" t="str">
        <f t="shared" si="101"/>
        <v>https://d0f6bd738d7f1b3e5a7ca70fe4ff75f0.us-east-1.aws.found.io/app/kibana#/discover/Steve-Slow-Train-Analysis-(2080s-and-2083s)?_g=(refreshInterval:(display:Off,pause:!f,section:0,value:0),time:(from:'2017-11-12T03:19:00-0700',mode:absolute,to:'2017-11-12T05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204" t="str">
        <f>IF(AA206&lt;VLOOKUP(AG206,Variables!$AC$3:$AD$8,2,FALSE),"Y","N")</f>
        <v>Y</v>
      </c>
      <c r="X206" s="204">
        <f t="shared" si="89"/>
        <v>1</v>
      </c>
      <c r="Y206" s="204">
        <f t="shared" si="96"/>
        <v>2.2947000000000002</v>
      </c>
      <c r="Z206" s="204">
        <f t="shared" si="97"/>
        <v>2.1956000000000002</v>
      </c>
      <c r="AA206" s="204">
        <f t="shared" si="102"/>
        <v>9.9099999999999966E-2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9">
        <f t="shared" si="103"/>
        <v>308</v>
      </c>
      <c r="AE206" s="77" t="str">
        <f t="shared" si="104"/>
        <v>aws s3 cp s3://rtdc.mdm.uploadarchive.raw/RTDC4031/ "%USERPROFILE%\AppData\Local\Temp\OnboardLogs"\RTDC4031\2017-11-12 --exclude "*" --recursive --include "*20171112*" &amp; "%USERPROFILE%\Documents\GitHub\mrs-test-scripts\Headless Mode &amp; Sideloading\WalkAndUnGZ.bat" "%USERPROFILE%\AppData\Local\Temp\OnboardLogs"\RTDC4031\2017-11-12 &amp; aws s3 cp s3://rtdc.mdm.uploadarchive.raw/RTDC4031/ "%USERPROFILE%\AppData\Local\Temp\OnboardLogs"\RTDC4031\2017-11-13 --exclude "*" --recursive --include "*20171113*" &amp; "%USERPROFILE%\Documents\GitHub\mrs-test-scripts\Headless Mode &amp; Sideloading\WalkAndUnGZ.bat" "%USERPROFILE%\AppData\Local\Temp\OnboardLogs"\RTDC4031\2017-11-13</v>
      </c>
      <c r="AF206" s="74" t="str">
        <f t="shared" si="105"/>
        <v>"C:\Program Files (x86)\AstroGrep\AstroGrep.exe" /e /r /s /spath="%USERPROFILE%\AppData\Local\Temp\OnboardLogs" /stypes="app*4031*20171112*" /stext=" 11:.+((SYSTEM_STATE.+slice.+state.+changed )|(ment ac)|(multiple cpu faults)|(system.+state.+changed )|(\[timeout)|(PRM\|1\|D)|(kpr)|(kdp)|(train st.+moving)|(\|lc)|(penalty))"</v>
      </c>
      <c r="AG206" s="182" t="str">
        <f t="shared" si="106"/>
        <v>Other</v>
      </c>
      <c r="AH206" s="78" t="str">
        <f t="shared" si="74"/>
        <v>"%USERPROFILE%\Documents\GitHub\eaglep3\Utilities\RefineRTDCRunTimes.py" --tripid 308-12 --locoid 4031 --swversion DE.1.0.9.0 --startMP 300:22947 --initTime 2017-11-12T04:19:00 --startdatetime 2017-11-12T04:24:41 --delay 75 --endMP 300:21956 --enddatetime 2017-11-12T04:24:58 --enforcementcount 0 &gt;&gt;%USERPROFILE%\Documents\GitHub\eaglep3-reporting\EC\2017-11-12-refined-times.txt</v>
      </c>
      <c r="AI206" s="96" t="str">
        <f t="shared" si="107"/>
        <v>echo {"issue":{"subject":"","project_id":79,"tracker_id":40,"status_id":1,"priority_id":2,"assigned_to_id":338,"start_date":"2017-11-12","description":"","custom_fields":[{"id":1,"name":"Subdivision","value":"Other"},{"id":4,"name":"Milepost","value":"2.1956"},{"id":17,"name":"Train ID","value":"308-12"},{"id":16,"name":"Locomotive ID","value":"4031"},{"id":130,"name":"Impact","value":""},{"id":150,"name":"Time of Event (Mountain Time)","value":"04:24:58"},{"id":151,"name":"Denver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75"/>
        <v>start /low /b %USERPROFILE%\Documents\GitHub\eaglep3\Utilities\DownloadLogsFromS3.py --loco 4031 --day 2017-11-12</v>
      </c>
      <c r="AN206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11:24:58"},{"id":29,"name":"Sharepoint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76"/>
        <v>https://d0f6bd738d7f1b3e5a7ca70fe4ff75f0.us-east-1.aws.found.io/app/kibana#/discover/Steve-Slow-Train-Analysis-(2080s-and-2083s)?_g=(refreshInterval:(display:Off,pause:!f,section:0,value:0),time:(from:'2017-11-12T03:19:00-0700',mode:absolute,to:'2017-11-12T05:24:58-0700'))&amp;_a=(columns:!('Message%20ID',Summary),filters:!(),index:'emp_*',interval:auto,query:(query_string:(analyze_wildcard:!t,query:'%22rtdc.l.rtdc.4031%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698</v>
      </c>
      <c r="B207" s="7">
        <v>4051</v>
      </c>
      <c r="C207" s="21" t="s">
        <v>192</v>
      </c>
      <c r="D207" s="21" t="s">
        <v>1061</v>
      </c>
      <c r="E207" s="13">
        <v>43051.201122685183</v>
      </c>
      <c r="F207" s="13">
        <v>43051.203935185185</v>
      </c>
      <c r="G207" s="7">
        <v>73</v>
      </c>
      <c r="H207" s="21" t="s">
        <v>1062</v>
      </c>
      <c r="I207" s="13">
        <v>43051.211770833332</v>
      </c>
      <c r="J207" s="7">
        <v>0</v>
      </c>
      <c r="K207" s="89" t="str">
        <f t="shared" si="98"/>
        <v>4051/4052</v>
      </c>
      <c r="L207" s="185" t="str">
        <f>VLOOKUP(A207,'Trips&amp;Operators'!$C$1:$G$99911,5,FALSE)</f>
        <v>WILLIAMS DONTE</v>
      </c>
      <c r="M207" s="6">
        <f t="shared" si="99"/>
        <v>7.8356481462833472E-3</v>
      </c>
      <c r="N207" s="7">
        <f t="shared" si="82"/>
        <v>11.28333333064802</v>
      </c>
      <c r="O207" s="7"/>
      <c r="P207" s="7"/>
      <c r="Q207" s="22"/>
      <c r="R207" s="174"/>
      <c r="S207" s="221">
        <f t="shared" si="83"/>
        <v>1</v>
      </c>
      <c r="T207" s="174" t="str">
        <f t="shared" si="100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01"/>
        <v>https://d0f6bd738d7f1b3e5a7ca70fe4ff75f0.us-east-1.aws.found.io/app/kibana#/discover/Steve-Slow-Train-Analysis-(2080s-and-2083s)?_g=(refreshInterval:(display:Off,pause:!f,section:0,value:0),time:(from:'2017-11-12T03:49:37-0700',mode:absolute,to:'2017-11-12T06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204" t="str">
        <f>IF(AA207&lt;VLOOKUP(AG207,Variables!$AC$3:$AD$8,2,FALSE),"Y","N")</f>
        <v>Y</v>
      </c>
      <c r="X207" s="204">
        <f t="shared" si="89"/>
        <v>2</v>
      </c>
      <c r="Y207" s="204">
        <f t="shared" si="96"/>
        <v>2.3650000000000002</v>
      </c>
      <c r="Z207" s="204">
        <f t="shared" si="97"/>
        <v>1.7600000000000001E-2</v>
      </c>
      <c r="AA207" s="204">
        <f t="shared" si="102"/>
        <v>2.3474000000000004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9">
        <f t="shared" si="103"/>
        <v>310</v>
      </c>
      <c r="AE207" s="77" t="str">
        <f t="shared" si="104"/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AF207" s="74" t="str">
        <f t="shared" si="105"/>
        <v>"C:\Program Files (x86)\AstroGrep\AstroGrep.exe" /e /r /s /spath="%USERPROFILE%\AppData\Local\Temp\OnboardLogs" /stypes="app*4051*20171112*" /stext=" 12:.+((SYSTEM_STATE.+slice.+state.+changed )|(ment ac)|(multiple cpu faults)|(system.+state.+changed )|(\[timeout)|(PRM\|1\|D)|(kpr)|(kdp)|(train st.+moving)|(\|lc)|(penalty))"</v>
      </c>
      <c r="AG207" s="182" t="str">
        <f t="shared" si="106"/>
        <v>Other</v>
      </c>
      <c r="AH207" s="78" t="str">
        <f t="shared" si="74"/>
        <v>"%USERPROFILE%\Documents\GitHub\eaglep3\Utilities\RefineRTDCRunTimes.py" --tripid 310-12 --locoid 4051 --swversion DE.1.0.9.0 --startMP 300:23650 --initTime 2017-11-12T04:49:37 --startdatetime 2017-11-12T04:53:40 --delay 73 --endMP 204:176 --enddatetime 2017-11-12T05:04:57 --enforcementcount 0 &gt;&gt;%USERPROFILE%\Documents\GitHub\eaglep3-reporting\EC\2017-11-12-refined-times.txt</v>
      </c>
      <c r="AI207" s="96" t="str">
        <f t="shared" si="107"/>
        <v>echo {"issue":{"subject":"","project_id":79,"tracker_id":40,"status_id":1,"priority_id":2,"assigned_to_id":338,"start_date":"2017-11-12","description":"","custom_fields":[{"id":1,"name":"Subdivision","value":"Other"},{"id":4,"name":"Milepost","value":"0.0176"},{"id":17,"name":"Train ID","value":"310-12"},{"id":16,"name":"Locomotive ID","value":"4051"},{"id":130,"name":"Impact","value":""},{"id":150,"name":"Time of Event (Mountain Time)","value":"05:04:57"},{"id":151,"name":"Denver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75"/>
        <v>start /low /b %USERPROFILE%\Documents\GitHub\eaglep3\Utilities\DownloadLogsFromS3.py --loco 4051 --day 2017-11-12</v>
      </c>
      <c r="AN207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76"/>
        <v>https://d0f6bd738d7f1b3e5a7ca70fe4ff75f0.us-east-1.aws.found.io/app/kibana#/discover/Steve-Slow-Train-Analysis-(2080s-and-2083s)?_g=(refreshInterval:(display:Off,pause:!f,section:0,value:0),time:(from:'2017-11-12T03:49:37-0700',mode:absolute,to:'2017-11-12T06:04:57-0700'))&amp;_a=(columns:!('Message%20ID',Summary),filters:!(),index:'emp_*',interval:auto,query:(query_string:(analyze_wildcard:!t,query:'%22rtdc.l.rtdc.4051%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704</v>
      </c>
      <c r="B208" s="7">
        <v>4003</v>
      </c>
      <c r="C208" s="21" t="s">
        <v>192</v>
      </c>
      <c r="D208" s="21" t="s">
        <v>1063</v>
      </c>
      <c r="E208" s="13">
        <v>43051.218993055554</v>
      </c>
      <c r="F208" s="13">
        <v>43051.22246527778</v>
      </c>
      <c r="G208" s="7">
        <v>72</v>
      </c>
      <c r="H208" s="21" t="s">
        <v>933</v>
      </c>
      <c r="I208" s="13">
        <v>43051.228321759256</v>
      </c>
      <c r="J208" s="7">
        <v>0</v>
      </c>
      <c r="K208" s="89" t="str">
        <f t="shared" si="98"/>
        <v>4003/4004</v>
      </c>
      <c r="L208" s="185" t="str">
        <f>VLOOKUP(A208,'Trips&amp;Operators'!$C$1:$G$99911,5,FALSE)</f>
        <v>LOPES KIMBERLY</v>
      </c>
      <c r="M208" s="6">
        <f t="shared" si="99"/>
        <v>5.8564814753481187E-3</v>
      </c>
      <c r="N208" s="7">
        <f t="shared" si="82"/>
        <v>8.4333333245012909</v>
      </c>
      <c r="O208" s="7"/>
      <c r="P208" s="7"/>
      <c r="Q208" s="22"/>
      <c r="R208" s="174"/>
      <c r="S208" s="221">
        <f t="shared" si="83"/>
        <v>1</v>
      </c>
      <c r="T208" s="174" t="str">
        <f t="shared" si="100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01"/>
        <v>https://d0f6bd738d7f1b3e5a7ca70fe4ff75f0.us-east-1.aws.found.io/app/kibana#/discover/Steve-Slow-Train-Analysis-(2080s-and-2083s)?_g=(refreshInterval:(display:Off,pause:!f,section:0,value:0),time:(from:'2017-11-12T04:15:21-0700',mode:absolute,to:'2017-11-12T06:28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8" s="204" t="str">
        <f>IF(AA208&lt;VLOOKUP(AG208,Variables!$AC$3:$AD$8,2,FALSE),"Y","N")</f>
        <v>Y</v>
      </c>
      <c r="X208" s="204">
        <f t="shared" si="89"/>
        <v>2</v>
      </c>
      <c r="Y208" s="204">
        <f t="shared" si="96"/>
        <v>2.3088000000000002</v>
      </c>
      <c r="Z208" s="204">
        <f t="shared" si="97"/>
        <v>2.23E-2</v>
      </c>
      <c r="AA208" s="204">
        <f t="shared" si="102"/>
        <v>2.2865000000000002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9">
        <f t="shared" si="103"/>
        <v>312</v>
      </c>
      <c r="AE208" s="77" t="str">
        <f t="shared" si="104"/>
        <v>aws s3 cp s3://rtdc.mdm.uploadarchive.raw/RTDC4003/ "%USERPROFILE%\AppData\Local\Temp\OnboardLogs"\RTDC4003\2017-11-12 --exclude "*" --recursive --include "*20171112*" &amp; "%USERPROFILE%\Documents\GitHub\mrs-test-scripts\Headless Mode &amp; Sideloading\WalkAndUnGZ.bat" "%USERPROFILE%\AppData\Local\Temp\OnboardLogs"\RTDC4003\2017-11-12 &amp; aws s3 cp s3://rtdc.mdm.uploadarchive.raw/RTDC4003/ "%USERPROFILE%\AppData\Local\Temp\OnboardLogs"\RTDC4003\2017-11-13 --exclude "*" --recursive --include "*20171113*" &amp; "%USERPROFILE%\Documents\GitHub\mrs-test-scripts\Headless Mode &amp; Sideloading\WalkAndUnGZ.bat" "%USERPROFILE%\AppData\Local\Temp\OnboardLogs"\RTDC4003\2017-11-13</v>
      </c>
      <c r="AF208" s="74" t="str">
        <f t="shared" si="105"/>
        <v>"C:\Program Files (x86)\AstroGrep\AstroGrep.exe" /e /r /s /spath="%USERPROFILE%\AppData\Local\Temp\OnboardLogs" /stypes="app*4003*20171112*" /stext=" 12:.+((SYSTEM_STATE.+slice.+state.+changed )|(ment ac)|(multiple cpu faults)|(system.+state.+changed )|(\[timeout)|(PRM\|1\|D)|(kpr)|(kdp)|(train st.+moving)|(\|lc)|(penalty))"</v>
      </c>
      <c r="AG208" s="182" t="str">
        <f t="shared" si="106"/>
        <v>Other</v>
      </c>
      <c r="AH208" s="78" t="str">
        <f t="shared" si="74"/>
        <v>"%USERPROFILE%\Documents\GitHub\eaglep3\Utilities\RefineRTDCRunTimes.py" --tripid 312-12 --locoid 4003 --swversion DE.1.0.9.0 --startMP 300:23088 --initTime 2017-11-12T05:15:21 --startdatetime 2017-11-12T05:20:21 --delay 72 --endMP 204:223 --enddatetime 2017-11-12T05:28:47 --enforcementcount 0 &gt;&gt;%USERPROFILE%\Documents\GitHub\eaglep3-reporting\EC\2017-11-12-refined-times.txt</v>
      </c>
      <c r="AI208" s="96" t="str">
        <f t="shared" si="107"/>
        <v>echo {"issue":{"subject":"","project_id":79,"tracker_id":40,"status_id":1,"priority_id":2,"assigned_to_id":338,"start_date":"2017-11-12","description":"","custom_fields":[{"id":1,"name":"Subdivision","value":"Other"},{"id":4,"name":"Milepost","value":"0.0223"},{"id":17,"name":"Train ID","value":"312-12"},{"id":16,"name":"Locomotive ID","value":"4003"},{"id":130,"name":"Impact","value":""},{"id":150,"name":"Time of Event (Mountain Time)","value":"05:28:47"},{"id":151,"name":"Denver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75"/>
        <v>start /low /b %USERPROFILE%\Documents\GitHub\eaglep3\Utilities\DownloadLogsFromS3.py --loco 4003 --day 2017-11-12</v>
      </c>
      <c r="AN208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12:28:47"},{"id":29,"name":"Sharepoint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76"/>
        <v>https://d0f6bd738d7f1b3e5a7ca70fe4ff75f0.us-east-1.aws.found.io/app/kibana#/discover/Steve-Slow-Train-Analysis-(2080s-and-2083s)?_g=(refreshInterval:(display:Off,pause:!f,section:0,value:0),time:(from:'2017-11-12T04:15:21-0700',mode:absolute,to:'2017-11-12T06:28:47-0700'))&amp;_a=(columns:!('Message%20ID',Summary),filters:!(),index:'emp_*',interval:auto,query:(query_string:(analyze_wildcard:!t,query:'%22rtdc.l.rtdc.4003%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872</v>
      </c>
      <c r="B209" s="7">
        <v>4064</v>
      </c>
      <c r="C209" s="21" t="s">
        <v>192</v>
      </c>
      <c r="D209" s="21" t="s">
        <v>1064</v>
      </c>
      <c r="E209" s="13">
        <v>43052.026099537034</v>
      </c>
      <c r="F209" s="13">
        <v>43052.027592592596</v>
      </c>
      <c r="G209" s="7">
        <v>78</v>
      </c>
      <c r="H209" s="21" t="s">
        <v>508</v>
      </c>
      <c r="I209" s="13">
        <v>43052.035300925927</v>
      </c>
      <c r="J209" s="7">
        <v>0</v>
      </c>
      <c r="K209" s="89" t="str">
        <f t="shared" si="98"/>
        <v>4063/4064</v>
      </c>
      <c r="L209" s="185" t="str">
        <f>VLOOKUP(A209,'Trips&amp;Operators'!$C$1:$G$99911,5,FALSE)</f>
        <v>STAMBAUGH JAMES</v>
      </c>
      <c r="M209" s="6">
        <f t="shared" si="99"/>
        <v>7.7083333308110014E-3</v>
      </c>
      <c r="N209" s="7">
        <f t="shared" si="82"/>
        <v>11.099999996367842</v>
      </c>
      <c r="O209" s="7"/>
      <c r="P209" s="7"/>
      <c r="Q209" s="22"/>
      <c r="R209" s="174"/>
      <c r="S209" s="221">
        <f t="shared" si="83"/>
        <v>1</v>
      </c>
      <c r="T209" s="174" t="str">
        <f t="shared" si="100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01"/>
        <v>https://d0f6bd738d7f1b3e5a7ca70fe4ff75f0.us-east-1.aws.found.io/app/kibana#/discover/Steve-Slow-Train-Analysis-(2080s-and-2083s)?_g=(refreshInterval:(display:Off,pause:!f,section:0,value:0),time:(from:'2017-11-12T23:37:35-0700',mode:absolute,to:'2017-11-13T01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9" s="204" t="str">
        <f>IF(AA209&lt;VLOOKUP(AG209,Variables!$AC$3:$AD$8,2,FALSE),"Y","N")</f>
        <v>Y</v>
      </c>
      <c r="X209" s="204">
        <f t="shared" si="89"/>
        <v>1</v>
      </c>
      <c r="Y209" s="204">
        <f t="shared" si="96"/>
        <v>7.6300000000000007E-2</v>
      </c>
      <c r="Z209" s="204">
        <f t="shared" si="97"/>
        <v>2.3315999999999999</v>
      </c>
      <c r="AA209" s="204">
        <f t="shared" si="102"/>
        <v>2.2553000000000001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9">
        <f t="shared" si="103"/>
        <v>313</v>
      </c>
      <c r="AE209" s="77" t="str">
        <f t="shared" si="104"/>
        <v>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 &amp; aws s3 cp s3://rtdc.mdm.uploadarchive.raw/RTDC4064/ "%USERPROFILE%\AppData\Local\Temp\OnboardLogs"\RTDC4064\2017-11-14 --exclude "*" --recursive --include "*20171114*" &amp; "%USERPROFILE%\Documents\GitHub\mrs-test-scripts\Headless Mode &amp; Sideloading\WalkAndUnGZ.bat" "%USERPROFILE%\AppData\Local\Temp\OnboardLogs"\RTDC4064\2017-11-14</v>
      </c>
      <c r="AF209" s="74" t="str">
        <f t="shared" si="105"/>
        <v>"C:\Program Files (x86)\AstroGrep\AstroGrep.exe" /e /r /s /spath="%USERPROFILE%\AppData\Local\Temp\OnboardLogs" /stypes="app*4064*20171113*" /stext=" 07:.+((SYSTEM_STATE.+slice.+state.+changed )|(ment ac)|(multiple cpu faults)|(system.+state.+changed )|(\[timeout)|(PRM\|1\|D)|(kpr)|(kdp)|(train st.+moving)|(\|lc)|(penalty))"</v>
      </c>
      <c r="AG209" s="182" t="str">
        <f t="shared" si="106"/>
        <v>Other</v>
      </c>
      <c r="AH209" s="78" t="str">
        <f t="shared" ref="AH209:AH223" si="109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313-12 --locoid 4064 --swversion DE.1.0.9.0 --startMP 204:763 --initTime 2017-11-13T00:37:35 --startdatetime 2017-11-13T00:39:44 --delay 78 --endMP 300:23316 --enddatetime 2017-11-13T00:50:50 --enforcementcount 0 &gt;&gt;%USERPROFILE%\Documents\GitHub\eaglep3-reporting\EC\2017-11-12-refined-times.txt</v>
      </c>
      <c r="AI209" s="96" t="str">
        <f t="shared" si="107"/>
        <v>echo {"issue":{"subject":"","project_id":79,"tracker_id":40,"status_id":1,"priority_id":2,"assigned_to_id":338,"start_date":"2017-11-13","description":"","custom_fields":[{"id":1,"name":"Subdivision","value":"Other"},{"id":4,"name":"Milepost","value":"2.3316"},{"id":17,"name":"Train ID","value":"313-12"},{"id":16,"name":"Locomotive ID","value":"4064"},{"id":130,"name":"Impact","value":""},{"id":150,"name":"Time of Event (Mountain Time)","value":"00:50:50"},{"id":151,"name":"Denver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ref="AM209:AM223" si="110">"start /low /b "&amp;dls3logs&amp;" --loco "&amp;B209&amp;" --day "&amp;TEXT(F209,"YYYY-MM-DD")</f>
        <v>start /low /b %USERPROFILE%\Documents\GitHub\eaglep3\Utilities\DownloadLogsFromS3.py --loco 4064 --day 2017-11-13</v>
      </c>
      <c r="AN209" s="151" t="str">
        <f t="shared" si="10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07:50:50"},{"id":29,"name":"Sharepoint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ref="AO209:AO223" si="111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-12T23:37:35-0700',mode:absolute,to:'2017-11-13T01:50:50-0700'))&amp;_a=(columns:!('Message%20ID',Summary),filters:!(),index:'emp_*',interval:auto,query:(query_string:(analyze_wildcard:!t,query:'%22rtdc.l.rtdc.4064%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640</v>
      </c>
      <c r="B210" s="7">
        <v>4012</v>
      </c>
      <c r="C210" s="21" t="s">
        <v>192</v>
      </c>
      <c r="D210" s="21" t="s">
        <v>1005</v>
      </c>
      <c r="E210" s="13">
        <v>43051.223564814813</v>
      </c>
      <c r="F210" s="13">
        <v>43051.227025462962</v>
      </c>
      <c r="G210" s="7">
        <v>67</v>
      </c>
      <c r="H210" s="21" t="s">
        <v>1006</v>
      </c>
      <c r="I210" s="13">
        <v>43051.232037037036</v>
      </c>
      <c r="J210" s="7">
        <v>0</v>
      </c>
      <c r="K210" s="89" t="str">
        <f t="shared" si="98"/>
        <v>4011/4012</v>
      </c>
      <c r="L210" s="185" t="str">
        <f>VLOOKUP(A210,'Trips&amp;Operators'!$C$1:$G$99911,5,FALSE)</f>
        <v>MACDONALD THOMAS</v>
      </c>
      <c r="M210" s="6">
        <f t="shared" si="99"/>
        <v>5.0115740741603076E-3</v>
      </c>
      <c r="N210" s="7">
        <f t="shared" si="82"/>
        <v>7.216666666790843</v>
      </c>
      <c r="O210" s="7"/>
      <c r="P210" s="7"/>
      <c r="Q210" s="22"/>
      <c r="R210" s="174"/>
      <c r="S210" s="221">
        <f t="shared" si="83"/>
        <v>0</v>
      </c>
      <c r="T210" s="174" t="str">
        <f t="shared" si="100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6" t="str">
        <f t="shared" si="101"/>
        <v>https://d0f6bd738d7f1b3e5a7ca70fe4ff75f0.us-east-1.aws.found.io/app/kibana#/discover/Steve-Slow-Train-Analysis-(2080s-and-2083s)?_g=(refreshInterval:(display:Off,pause:!f,section:0,value:0),time:(from:'2017-11-12T04:21:56-0700',mode:absolute,to:'2017-11-12T06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0" s="204" t="str">
        <f>IF(AA210&lt;VLOOKUP(AG210,Variables!$AC$3:$AD$8,2,FALSE),"Y","N")</f>
        <v>Y</v>
      </c>
      <c r="X210" s="204">
        <f t="shared" si="89"/>
        <v>1588</v>
      </c>
      <c r="Y210" s="204">
        <f t="shared" si="96"/>
        <v>2.9729000000000001</v>
      </c>
      <c r="Z210" s="204">
        <f t="shared" si="97"/>
        <v>5.8930999999999996</v>
      </c>
      <c r="AA210" s="204">
        <f t="shared" si="102"/>
        <v>2.9201999999999995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9">
        <f t="shared" si="103"/>
        <v>1901</v>
      </c>
      <c r="AE210" s="77" t="str">
        <f t="shared" si="104"/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AF210" s="74" t="str">
        <f t="shared" si="105"/>
        <v>"C:\Program Files (x86)\AstroGrep\AstroGrep.exe" /e /r /s /spath="%USERPROFILE%\AppData\Local\Temp\OnboardLogs" /stypes="app*4012*20171112*" /stext=" 12:.+((SYSTEM_STATE.+slice.+state.+changed )|(ment ac)|(multiple cpu faults)|(system.+state.+changed )|(\[timeout)|(PRM\|1\|D)|(kpr)|(kdp)|(train st.+moving)|(\|lc)|(penalty))"</v>
      </c>
      <c r="AG210" s="182" t="str">
        <f t="shared" si="106"/>
        <v>Other</v>
      </c>
      <c r="AH210" s="78" t="str">
        <f t="shared" si="109"/>
        <v>"%USERPROFILE%\Documents\GitHub\eaglep3\Utilities\RefineRTDCRunTimes.py" --tripid 1901-12 --locoid 4012 --swversion DE.1.0.9.0 --startMP 300:29729 --initTime 2017-11-12T05:21:56 --startdatetime 2017-11-12T05:26:55 --delay 67 --endMP 300:58931 --enddatetime 2017-11-12T05:34:08 --enforcementcount 0 &gt;&gt;%USERPROFILE%\Documents\GitHub\eaglep3-reporting\EC\2017-11-12-refined-times.txt</v>
      </c>
      <c r="AI210" s="96" t="str">
        <f t="shared" si="107"/>
        <v>echo {"issue":{"subject":"","project_id":79,"tracker_id":40,"status_id":1,"priority_id":2,"assigned_to_id":338,"start_date":"2017-11-12","description":"","custom_fields":[{"id":1,"name":"Subdivision","value":"Other"},{"id":4,"name":"Milepost","value":"5.8931"},{"id":17,"name":"Train ID","value":"1901-12"},{"id":16,"name":"Locomotive ID","value":"4012"},{"id":130,"name":"Impact","value":""},{"id":150,"name":"Time of Event (Mountain Time)","value":"05:34:08"},{"id":151,"name":"Denver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110"/>
        <v>start /low /b %USERPROFILE%\Documents\GitHub\eaglep3\Utilities\DownloadLogsFromS3.py --loco 4012 --day 2017-11-12</v>
      </c>
      <c r="AN210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11"/>
        <v>https://d0f6bd738d7f1b3e5a7ca70fe4ff75f0.us-east-1.aws.found.io/app/kibana#/discover/Steve-Slow-Train-Analysis-(2080s-and-2083s)?_g=(refreshInterval:(display:Off,pause:!f,section:0,value:0),time:(from:'2017-11-12T04:21:56-0700',mode:absolute,to:'2017-11-12T06:34:08-0700'))&amp;_a=(columns:!('Message%20ID',Summary),filters:!(),index:'emp_*',interval:auto,query:(query_string:(analyze_wildcard:!t,query:'%22rtdc.l.rtdc.4012%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868</v>
      </c>
      <c r="B211" s="7">
        <v>4011</v>
      </c>
      <c r="C211" s="21" t="s">
        <v>192</v>
      </c>
      <c r="D211" s="21" t="s">
        <v>630</v>
      </c>
      <c r="E211" s="13">
        <v>43051.975023148145</v>
      </c>
      <c r="F211" s="13">
        <v>43051.976180555554</v>
      </c>
      <c r="G211" s="7">
        <v>50</v>
      </c>
      <c r="H211" s="21" t="s">
        <v>1007</v>
      </c>
      <c r="I211" s="13">
        <v>43051.983831018515</v>
      </c>
      <c r="J211" s="7">
        <v>0</v>
      </c>
      <c r="K211" s="89" t="str">
        <f t="shared" si="98"/>
        <v>4011/4012</v>
      </c>
      <c r="L211" s="185" t="str">
        <f>VLOOKUP(A211,'Trips&amp;Operators'!$C$1:$G$99911,5,FALSE)</f>
        <v>HOLCOMB KAMDEN</v>
      </c>
      <c r="M211" s="6">
        <f t="shared" si="99"/>
        <v>7.6504629614646547E-3</v>
      </c>
      <c r="N211" s="7">
        <f t="shared" si="82"/>
        <v>11.016666664509103</v>
      </c>
      <c r="O211" s="7"/>
      <c r="P211" s="7"/>
      <c r="Q211" s="22"/>
      <c r="R211" s="174"/>
      <c r="S211" s="221">
        <f t="shared" si="83"/>
        <v>0</v>
      </c>
      <c r="T211" s="174" t="str">
        <f t="shared" si="100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 t="shared" si="101"/>
        <v>https://d0f6bd738d7f1b3e5a7ca70fe4ff75f0.us-east-1.aws.found.io/app/kibana#/discover/Steve-Slow-Train-Analysis-(2080s-and-2083s)?_g=(refreshInterval:(display:Off,pause:!f,section:0,value:0),time:(from:'2017-11-12T22:24:02-0700',mode:absolute,to:'2017-11-13T00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1" s="204" t="str">
        <f>IF(AA211&lt;VLOOKUP(AG211,Variables!$AC$3:$AD$8,2,FALSE),"Y","N")</f>
        <v>Y</v>
      </c>
      <c r="X211" s="204">
        <f t="shared" si="89"/>
        <v>1</v>
      </c>
      <c r="Y211" s="204">
        <f t="shared" si="96"/>
        <v>5.8644999999999996</v>
      </c>
      <c r="Z211" s="204">
        <f t="shared" si="97"/>
        <v>2.8793000000000002</v>
      </c>
      <c r="AA211" s="204">
        <f t="shared" si="102"/>
        <v>2.9851999999999994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9">
        <f t="shared" si="103"/>
        <v>1902</v>
      </c>
      <c r="AE211" s="77" t="str">
        <f t="shared" si="104"/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AF211" s="74" t="str">
        <f t="shared" si="105"/>
        <v>"C:\Program Files (x86)\AstroGrep\AstroGrep.exe" /e /r /s /spath="%USERPROFILE%\AppData\Local\Temp\OnboardLogs" /stypes="app*4011*20171113*" /stext=" 06:.+((SYSTEM_STATE.+slice.+state.+changed )|(ment ac)|(multiple cpu faults)|(system.+state.+changed )|(\[timeout)|(PRM\|1\|D)|(kpr)|(kdp)|(train st.+moving)|(\|lc)|(penalty))"</v>
      </c>
      <c r="AG211" s="182" t="str">
        <f t="shared" si="106"/>
        <v>Other</v>
      </c>
      <c r="AH211" s="78" t="str">
        <f t="shared" si="109"/>
        <v>"%USERPROFILE%\Documents\GitHub\eaglep3\Utilities\RefineRTDCRunTimes.py" --tripid 1902-12 --locoid 4011 --swversion DE.1.0.9.0 --startMP 300:58645 --initTime 2017-11-12T23:24:02 --startdatetime 2017-11-12T23:25:42 --delay 50 --endMP 300:28793 --enddatetime 2017-11-12T23:36:43 --enforcementcount 0 &gt;&gt;%USERPROFILE%\Documents\GitHub\eaglep3-reporting\EC\2017-11-12-refined-times.txt</v>
      </c>
      <c r="AI211" s="96" t="str">
        <f t="shared" si="107"/>
        <v>echo {"issue":{"subject":"","project_id":79,"tracker_id":40,"status_id":1,"priority_id":2,"assigned_to_id":338,"start_date":"2017-11-12","description":"","custom_fields":[{"id":1,"name":"Subdivision","value":"Other"},{"id":4,"name":"Milepost","value":"2.8793"},{"id":17,"name":"Train ID","value":"1902-12"},{"id":16,"name":"Locomotive ID","value":"4011"},{"id":130,"name":"Impact","value":""},{"id":150,"name":"Time of Event (Mountain Time)","value":"23:36:43"},{"id":151,"name":"Denver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10"/>
        <v>start /low /b %USERPROFILE%\Documents\GitHub\eaglep3\Utilities\DownloadLogsFromS3.py --loco 4011 --day 2017-11-12</v>
      </c>
      <c r="AN211" s="151" t="str">
        <f t="shared" si="10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06:36:43"},{"id":29,"name":"Sharepoint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1"/>
        <v>https://d0f6bd738d7f1b3e5a7ca70fe4ff75f0.us-east-1.aws.found.io/app/kibana#/discover/Steve-Slow-Train-Analysis-(2080s-and-2083s)?_g=(refreshInterval:(display:Off,pause:!f,section:0,value:0),time:(from:'2017-11-12T22:24:02-0700',mode:absolute,to:'2017-11-13T00:36:43-0700'))&amp;_a=(columns:!('Message%20ID',Summary),filters:!(),index:'emp_*',interval:auto,query:(query_string:(analyze_wildcard:!t,query:'%22rtdc.l.rtdc.4011%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678</v>
      </c>
      <c r="B212" s="7">
        <v>4002</v>
      </c>
      <c r="C212" s="21" t="s">
        <v>192</v>
      </c>
      <c r="D212" s="21" t="s">
        <v>601</v>
      </c>
      <c r="E212" s="13">
        <v>43051.130196759259</v>
      </c>
      <c r="F212" s="13">
        <v>43051.137673611112</v>
      </c>
      <c r="G212" s="7">
        <v>82</v>
      </c>
      <c r="H212" s="21" t="s">
        <v>1065</v>
      </c>
      <c r="I212" s="13">
        <v>43051.139120370368</v>
      </c>
      <c r="J212" s="7">
        <v>0</v>
      </c>
      <c r="K212" s="89" t="str">
        <f t="shared" si="98"/>
        <v>4001/4002</v>
      </c>
      <c r="L212" s="185" t="str">
        <f>VLOOKUP(A212,'Trips&amp;Operators'!$C$1:$G$99911,5,FALSE)</f>
        <v>DELGADO DIANAH</v>
      </c>
      <c r="M212" s="6">
        <f t="shared" si="99"/>
        <v>1.4467592554865405E-3</v>
      </c>
      <c r="N212" s="7">
        <f t="shared" si="82"/>
        <v>2.0833333279006183</v>
      </c>
      <c r="O212" s="7"/>
      <c r="P212" s="7"/>
      <c r="Q212" s="22"/>
      <c r="R212" s="174"/>
      <c r="S212" s="221">
        <f t="shared" si="83"/>
        <v>0</v>
      </c>
      <c r="T212" s="174" t="str">
        <f t="shared" si="100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 t="shared" si="101"/>
        <v>https://d0f6bd738d7f1b3e5a7ca70fe4ff75f0.us-east-1.aws.found.io/app/kibana#/discover/Steve-Slow-Train-Analysis-(2080s-and-2083s)?_g=(refreshInterval:(display:Off,pause:!f,section:0,value:0),time:(from:'2017-11-12T02:07:29-0700',mode:absolute,to:'2017-11-12T04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204" t="str">
        <f>IF(AA212&lt;VLOOKUP(AG212,Variables!$AC$3:$AD$8,2,FALSE),"Y","N")</f>
        <v>Y</v>
      </c>
      <c r="X212" s="204">
        <f t="shared" si="89"/>
        <v>-1851</v>
      </c>
      <c r="Y212" s="204">
        <f t="shared" si="96"/>
        <v>4.53E-2</v>
      </c>
      <c r="Z212" s="204">
        <f t="shared" si="97"/>
        <v>0.33179999999999998</v>
      </c>
      <c r="AA212" s="204">
        <f t="shared" si="102"/>
        <v>0.28649999999999998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9">
        <f t="shared" si="103"/>
        <v>51</v>
      </c>
      <c r="AE212" s="77" t="str">
        <f t="shared" si="104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212" s="74" t="str">
        <f t="shared" si="105"/>
        <v>"C:\Program Files (x86)\AstroGrep\AstroGrep.exe" /e /r /s /spath="%USERPROFILE%\AppData\Local\Temp\OnboardLogs" /stypes="app*4002*20171112*" /stext=" 10:.+((SYSTEM_STATE.+slice.+state.+changed )|(ment ac)|(multiple cpu faults)|(system.+state.+changed )|(\[timeout)|(PRM\|1\|D)|(kpr)|(kdp)|(train st.+moving)|(\|lc)|(penalty))"</v>
      </c>
      <c r="AG212" s="182" t="str">
        <f t="shared" si="106"/>
        <v>Shuttle/Test</v>
      </c>
      <c r="AH212" s="78" t="str">
        <f t="shared" si="109"/>
        <v>"%USERPROFILE%\Documents\GitHub\eaglep3\Utilities\RefineRTDCRunTimes.py" --tripid 51-12 --locoid 4002 --swversion DE.1.0.9.0 --startMP 204:453 --initTime 2017-11-12T03:07:29 --startdatetime 2017-11-12T03:18:15 --delay 82 --endMP 204:3318 --enddatetime 2017-11-12T03:20:20 --enforcementcount 0 &gt;&gt;%USERPROFILE%\Documents\GitHub\eaglep3-reporting\EC\2017-11-12-refined-times.txt</v>
      </c>
      <c r="AI212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0.3318"},{"id":17,"name":"Train ID","value":"51-12"},{"id":16,"name":"Locomotive ID","value":"4002"},{"id":130,"name":"Impact","value":""},{"id":150,"name":"Time of Event (Mountain Time)","value":"03:20:20"},{"id":151,"name":"Denver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10"/>
        <v>start /low /b %USERPROFILE%\Documents\GitHub\eaglep3\Utilities\DownloadLogsFromS3.py --loco 4002 --day 2017-11-12</v>
      </c>
      <c r="AN212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10:20:20"},{"id":29,"name":"Sharepoint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1"/>
        <v>https://d0f6bd738d7f1b3e5a7ca70fe4ff75f0.us-east-1.aws.found.io/app/kibana#/discover/Steve-Slow-Train-Analysis-(2080s-and-2083s)?_g=(refreshInterval:(display:Off,pause:!f,section:0,value:0),time:(from:'2017-11-12T02:07:29-0700',mode:absolute,to:'2017-11-12T04:20:20-0700'))&amp;_a=(columns:!('Message%20ID',Summary),filters:!(),index:'emp_*',interval:auto,query:(query_string:(analyze_wildcard:!t,query:'%22rtdc.l.rtdc.4002%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683</v>
      </c>
      <c r="B213" s="7">
        <v>4001</v>
      </c>
      <c r="C213" s="21" t="s">
        <v>192</v>
      </c>
      <c r="D213" s="21" t="s">
        <v>1066</v>
      </c>
      <c r="E213" s="13">
        <v>43051.139907407407</v>
      </c>
      <c r="F213" s="13">
        <v>43051.141458333332</v>
      </c>
      <c r="G213" s="7">
        <v>58</v>
      </c>
      <c r="H213" s="21" t="s">
        <v>1067</v>
      </c>
      <c r="I213" s="13">
        <v>43051.142384259256</v>
      </c>
      <c r="J213" s="7">
        <v>0</v>
      </c>
      <c r="K213" s="89" t="str">
        <f t="shared" si="98"/>
        <v>4001/4002</v>
      </c>
      <c r="L213" s="185" t="str">
        <f>VLOOKUP(A213,'Trips&amp;Operators'!$C$1:$G$99911,5,FALSE)</f>
        <v>DELGADO DIANAH</v>
      </c>
      <c r="M213" s="6">
        <f t="shared" si="99"/>
        <v>9.2592592409346253E-4</v>
      </c>
      <c r="N213" s="7">
        <f t="shared" si="82"/>
        <v>1.333333330694586</v>
      </c>
      <c r="O213" s="7"/>
      <c r="P213" s="7"/>
      <c r="Q213" s="22"/>
      <c r="R213" s="174"/>
      <c r="S213" s="221">
        <f t="shared" si="83"/>
        <v>0</v>
      </c>
      <c r="T213" s="174" t="str">
        <f t="shared" si="100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6" t="str">
        <f t="shared" si="101"/>
        <v>https://d0f6bd738d7f1b3e5a7ca70fe4ff75f0.us-east-1.aws.found.io/app/kibana#/discover/Steve-Slow-Train-Analysis-(2080s-and-2083s)?_g=(refreshInterval:(display:Off,pause:!f,section:0,value:0),time:(from:'2017-11-12T02:21:28-0700',mode:absolute,to:'2017-11-12T04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3" s="204" t="str">
        <f>IF(AA213&lt;VLOOKUP(AG213,Variables!$AC$3:$AD$8,2,FALSE),"Y","N")</f>
        <v>Y</v>
      </c>
      <c r="X213" s="204">
        <f t="shared" si="89"/>
        <v>1</v>
      </c>
      <c r="Y213" s="204">
        <f t="shared" si="96"/>
        <v>0.29809999999999998</v>
      </c>
      <c r="Z213" s="204">
        <f t="shared" si="97"/>
        <v>0.11650000000000001</v>
      </c>
      <c r="AA213" s="204">
        <f t="shared" si="102"/>
        <v>0.18159999999999998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9">
        <f t="shared" si="103"/>
        <v>52</v>
      </c>
      <c r="AE213" s="77" t="str">
        <f t="shared" si="104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213" s="74" t="str">
        <f t="shared" si="105"/>
        <v>"C:\Program Files (x86)\AstroGrep\AstroGrep.exe" /e /r /s /spath="%USERPROFILE%\AppData\Local\Temp\OnboardLogs" /stypes="app*4001*20171112*" /stext=" 10:.+((SYSTEM_STATE.+slice.+state.+changed )|(ment ac)|(multiple cpu faults)|(system.+state.+changed )|(\[timeout)|(PRM\|1\|D)|(kpr)|(kdp)|(train st.+moving)|(\|lc)|(penalty))"</v>
      </c>
      <c r="AG213" s="182" t="str">
        <f t="shared" si="106"/>
        <v>Shuttle/Test</v>
      </c>
      <c r="AH213" s="78" t="str">
        <f t="shared" si="109"/>
        <v>"%USERPROFILE%\Documents\GitHub\eaglep3\Utilities\RefineRTDCRunTimes.py" --tripid 52-12 --locoid 4001 --swversion DE.1.0.9.0 --startMP 204:2981 --initTime 2017-11-12T03:21:28 --startdatetime 2017-11-12T03:23:42 --delay 58 --endMP 204:1165 --enddatetime 2017-11-12T03:25:02 --enforcementcount 0 &gt;&gt;%USERPROFILE%\Documents\GitHub\eaglep3-reporting\EC\2017-11-12-refined-times.txt</v>
      </c>
      <c r="AI213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0.1165"},{"id":17,"name":"Train ID","value":"52-12"},{"id":16,"name":"Locomotive ID","value":"4001"},{"id":130,"name":"Impact","value":""},{"id":150,"name":"Time of Event (Mountain Time)","value":"03:25:02"},{"id":151,"name":"Denver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10"/>
        <v>start /low /b %USERPROFILE%\Documents\GitHub\eaglep3\Utilities\DownloadLogsFromS3.py --loco 4001 --day 2017-11-12</v>
      </c>
      <c r="AN213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10:25:02"},{"id":29,"name":"Sharepoint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1"/>
        <v>https://d0f6bd738d7f1b3e5a7ca70fe4ff75f0.us-east-1.aws.found.io/app/kibana#/discover/Steve-Slow-Train-Analysis-(2080s-and-2083s)?_g=(refreshInterval:(display:Off,pause:!f,section:0,value:0),time:(from:'2017-11-12T02:21:28-0700',mode:absolute,to:'2017-11-12T04:25:02-0700'))&amp;_a=(columns:!('Message%20ID',Summary),filters:!(),index:'emp_*',interval:auto,query:(query_string:(analyze_wildcard:!t,query:'%22rtdc.l.rtdc.4001%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637</v>
      </c>
      <c r="B214" s="7">
        <v>4002</v>
      </c>
      <c r="C214" s="21" t="s">
        <v>192</v>
      </c>
      <c r="D214" s="21" t="s">
        <v>1068</v>
      </c>
      <c r="E214" s="13">
        <v>43051.17759259259</v>
      </c>
      <c r="F214" s="13">
        <v>43051.183472222219</v>
      </c>
      <c r="G214" s="7">
        <v>75</v>
      </c>
      <c r="H214" s="21" t="s">
        <v>1069</v>
      </c>
      <c r="I214" s="13">
        <v>43051.183599537035</v>
      </c>
      <c r="J214" s="7">
        <v>0</v>
      </c>
      <c r="K214" s="89" t="str">
        <f t="shared" si="98"/>
        <v>4001/4002</v>
      </c>
      <c r="L214" s="185" t="str">
        <f>VLOOKUP(A214,'Trips&amp;Operators'!$C$1:$G$99911,5,FALSE)</f>
        <v>DELGADO DIANAH</v>
      </c>
      <c r="M214" s="6">
        <f t="shared" si="99"/>
        <v>1.273148154723458E-4</v>
      </c>
      <c r="N214" s="7">
        <f t="shared" si="82"/>
        <v>0.18333333428017795</v>
      </c>
      <c r="O214" s="7"/>
      <c r="P214" s="7"/>
      <c r="Q214" s="22"/>
      <c r="R214" s="174"/>
      <c r="S214" s="221">
        <f t="shared" si="83"/>
        <v>0</v>
      </c>
      <c r="T214" s="174" t="str">
        <f t="shared" si="100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01"/>
        <v>https://d0f6bd738d7f1b3e5a7ca70fe4ff75f0.us-east-1.aws.found.io/app/kibana#/discover/Steve-Slow-Train-Analysis-(2080s-and-2083s)?_g=(refreshInterval:(display:Off,pause:!f,section:0,value:0),time:(from:'2017-11-12T03:15:44-0700',mode:absolute,to:'2017-11-12T05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4" s="204" t="str">
        <f>IF(AA214&lt;VLOOKUP(AG214,Variables!$AC$3:$AD$8,2,FALSE),"Y","N")</f>
        <v>Y</v>
      </c>
      <c r="X214" s="204">
        <f t="shared" ref="X214:X223" si="112">VALUE(LEFT(AD214,4))-VALUE(LEFT(AD213,4))</f>
        <v>1</v>
      </c>
      <c r="Y214" s="204">
        <f t="shared" si="96"/>
        <v>0.14810000000000001</v>
      </c>
      <c r="Z214" s="204">
        <f t="shared" si="97"/>
        <v>0.1825</v>
      </c>
      <c r="AA214" s="204">
        <f t="shared" si="102"/>
        <v>3.4399999999999986E-2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9">
        <f t="shared" si="103"/>
        <v>53</v>
      </c>
      <c r="AE214" s="77" t="str">
        <f t="shared" si="104"/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AF214" s="74" t="str">
        <f t="shared" si="105"/>
        <v>"C:\Program Files (x86)\AstroGrep\AstroGrep.exe" /e /r /s /spath="%USERPROFILE%\AppData\Local\Temp\OnboardLogs" /stypes="app*4002*20171112*" /stext=" 11:.+((SYSTEM_STATE.+slice.+state.+changed )|(ment ac)|(multiple cpu faults)|(system.+state.+changed )|(\[timeout)|(PRM\|1\|D)|(kpr)|(kdp)|(train st.+moving)|(\|lc)|(penalty))"</v>
      </c>
      <c r="AG214" s="182" t="str">
        <f t="shared" si="106"/>
        <v>Shuttle/Test</v>
      </c>
      <c r="AH214" s="78" t="str">
        <f t="shared" si="109"/>
        <v>"%USERPROFILE%\Documents\GitHub\eaglep3\Utilities\RefineRTDCRunTimes.py" --tripid 53-12 --locoid 4002 --swversion DE.1.0.9.0 --startMP 204:1481 --initTime 2017-11-12T04:15:44 --startdatetime 2017-11-12T04:24:12 --delay 75 --endMP 204:1825 --enddatetime 2017-11-12T04:24:23 --enforcementcount 0 &gt;&gt;%USERPROFILE%\Documents\GitHub\eaglep3-reporting\EC\2017-11-12-refined-times.txt</v>
      </c>
      <c r="AI214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0.1825"},{"id":17,"name":"Train ID","value":"53-12"},{"id":16,"name":"Locomotive ID","value":"4002"},{"id":130,"name":"Impact","value":""},{"id":150,"name":"Time of Event (Mountain Time)","value":"04:24:23"},{"id":151,"name":"Denver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10"/>
        <v>start /low /b %USERPROFILE%\Documents\GitHub\eaglep3\Utilities\DownloadLogsFromS3.py --loco 4002 --day 2017-11-12</v>
      </c>
      <c r="AN214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11:24:23"},{"id":29,"name":"Sharepoint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1"/>
        <v>https://d0f6bd738d7f1b3e5a7ca70fe4ff75f0.us-east-1.aws.found.io/app/kibana#/discover/Steve-Slow-Train-Analysis-(2080s-and-2083s)?_g=(refreshInterval:(display:Off,pause:!f,section:0,value:0),time:(from:'2017-11-12T03:15:44-0700',mode:absolute,to:'2017-11-12T05:24:23-0700'))&amp;_a=(columns:!('Message%20ID',Summary),filters:!(),index:'emp_*',interval:auto,query:(query_string:(analyze_wildcard:!t,query:'%22rtdc.l.rtdc.4002%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689</v>
      </c>
      <c r="B215" s="7">
        <v>4001</v>
      </c>
      <c r="C215" s="21" t="s">
        <v>192</v>
      </c>
      <c r="D215" s="21" t="s">
        <v>1070</v>
      </c>
      <c r="E215" s="13">
        <v>43051.185856481483</v>
      </c>
      <c r="F215" s="13">
        <v>43051.187627314815</v>
      </c>
      <c r="G215" s="7">
        <v>69</v>
      </c>
      <c r="H215" s="21" t="s">
        <v>915</v>
      </c>
      <c r="I215" s="13">
        <v>43051.18891203704</v>
      </c>
      <c r="J215" s="7">
        <v>0</v>
      </c>
      <c r="K215" s="89" t="str">
        <f t="shared" si="98"/>
        <v>4001/4002</v>
      </c>
      <c r="L215" s="185" t="str">
        <f>VLOOKUP(A215,'Trips&amp;Operators'!$C$1:$G$99911,5,FALSE)</f>
        <v>DELGADO DIANAH</v>
      </c>
      <c r="M215" s="6">
        <f t="shared" si="99"/>
        <v>1.2847222242271528E-3</v>
      </c>
      <c r="N215" s="7">
        <f t="shared" si="82"/>
        <v>1.8500000028871</v>
      </c>
      <c r="O215" s="7"/>
      <c r="P215" s="7"/>
      <c r="Q215" s="22"/>
      <c r="R215" s="174"/>
      <c r="S215" s="221">
        <f t="shared" si="83"/>
        <v>0</v>
      </c>
      <c r="T215" s="174" t="str">
        <f t="shared" si="100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101"/>
        <v>https://d0f6bd738d7f1b3e5a7ca70fe4ff75f0.us-east-1.aws.found.io/app/kibana#/discover/Steve-Slow-Train-Analysis-(2080s-and-2083s)?_g=(refreshInterval:(display:Off,pause:!f,section:0,value:0),time:(from:'2017-11-12T03:27:38-0700',mode:absolute,to:'2017-11-12T05:32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204" t="str">
        <f>IF(AA215&lt;VLOOKUP(AG215,Variables!$AC$3:$AD$8,2,FALSE),"Y","N")</f>
        <v>Y</v>
      </c>
      <c r="X215" s="204">
        <f t="shared" si="112"/>
        <v>1</v>
      </c>
      <c r="Y215" s="204">
        <f t="shared" si="96"/>
        <v>0.29310000000000003</v>
      </c>
      <c r="Z215" s="204">
        <f t="shared" si="97"/>
        <v>0.02</v>
      </c>
      <c r="AA215" s="204">
        <f t="shared" si="102"/>
        <v>0.27310000000000001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9">
        <f t="shared" si="103"/>
        <v>54</v>
      </c>
      <c r="AE215" s="77" t="str">
        <f t="shared" si="104"/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AF215" s="74" t="str">
        <f t="shared" si="105"/>
        <v>"C:\Program Files (x86)\AstroGrep\AstroGrep.exe" /e /r /s /spath="%USERPROFILE%\AppData\Local\Temp\OnboardLogs" /stypes="app*4001*20171112*" /stext=" 11:.+((SYSTEM_STATE.+slice.+state.+changed )|(ment ac)|(multiple cpu faults)|(system.+state.+changed )|(\[timeout)|(PRM\|1\|D)|(kpr)|(kdp)|(train st.+moving)|(\|lc)|(penalty))"</v>
      </c>
      <c r="AG215" s="182" t="str">
        <f t="shared" si="106"/>
        <v>Shuttle/Test</v>
      </c>
      <c r="AH215" s="78" t="str">
        <f t="shared" si="109"/>
        <v>"%USERPROFILE%\Documents\GitHub\eaglep3\Utilities\RefineRTDCRunTimes.py" --tripid 54-12 --locoid 4001 --swversion DE.1.0.9.0 --startMP 204:2931 --initTime 2017-11-12T04:27:38 --startdatetime 2017-11-12T04:30:11 --delay 69 --endMP 204:200 --enddatetime 2017-11-12T04:32:02 --enforcementcount 0 &gt;&gt;%USERPROFILE%\Documents\GitHub\eaglep3-reporting\EC\2017-11-12-refined-times.txt</v>
      </c>
      <c r="AI215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0.02"},{"id":17,"name":"Train ID","value":"54-12"},{"id":16,"name":"Locomotive ID","value":"4001"},{"id":130,"name":"Impact","value":""},{"id":150,"name":"Time of Event (Mountain Time)","value":"04:32:02"},{"id":151,"name":"Denver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10"/>
        <v>start /low /b %USERPROFILE%\Documents\GitHub\eaglep3\Utilities\DownloadLogsFromS3.py --loco 4001 --day 2017-11-12</v>
      </c>
      <c r="AN215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11:32:02"},{"id":29,"name":"Sharepoint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1"/>
        <v>https://d0f6bd738d7f1b3e5a7ca70fe4ff75f0.us-east-1.aws.found.io/app/kibana#/discover/Steve-Slow-Train-Analysis-(2080s-and-2083s)?_g=(refreshInterval:(display:Off,pause:!f,section:0,value:0),time:(from:'2017-11-12T03:27:38-0700',mode:absolute,to:'2017-11-12T05:32:02-0700'))&amp;_a=(columns:!('Message%20ID',Summary),filters:!(),index:'emp_*',interval:auto,query:(query_string:(analyze_wildcard:!t,query:'%22rtdc.l.rtdc.4001%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693</v>
      </c>
      <c r="B216" s="7">
        <v>4064</v>
      </c>
      <c r="C216" s="21" t="s">
        <v>192</v>
      </c>
      <c r="D216" s="21" t="s">
        <v>1071</v>
      </c>
      <c r="E216" s="13">
        <v>43051.192499999997</v>
      </c>
      <c r="F216" s="13">
        <v>43051.19458333333</v>
      </c>
      <c r="G216" s="7">
        <v>50</v>
      </c>
      <c r="H216" s="21" t="s">
        <v>1072</v>
      </c>
      <c r="I216" s="13">
        <v>43051.195451388892</v>
      </c>
      <c r="J216" s="7">
        <v>0</v>
      </c>
      <c r="K216" s="89" t="str">
        <f t="shared" si="98"/>
        <v>4063/4064</v>
      </c>
      <c r="L216" s="185" t="str">
        <f>VLOOKUP(A216,'Trips&amp;Operators'!$C$1:$G$99911,5,FALSE)</f>
        <v>LANGERAK WILLIAM</v>
      </c>
      <c r="M216" s="6">
        <f t="shared" si="99"/>
        <v>8.6805556202307343E-4</v>
      </c>
      <c r="N216" s="7">
        <f t="shared" si="82"/>
        <v>1.2500000093132257</v>
      </c>
      <c r="O216" s="7"/>
      <c r="P216" s="7"/>
      <c r="Q216" s="22"/>
      <c r="R216" s="174"/>
      <c r="S216" s="221">
        <f t="shared" si="83"/>
        <v>0</v>
      </c>
      <c r="T216" s="174" t="str">
        <f t="shared" si="100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 t="shared" si="101"/>
        <v>https://d0f6bd738d7f1b3e5a7ca70fe4ff75f0.us-east-1.aws.found.io/app/kibana#/discover/Steve-Slow-Train-Analysis-(2080s-and-2083s)?_g=(refreshInterval:(display:Off,pause:!f,section:0,value:0),time:(from:'2017-11-12T03:37:12-0700',mode:absolute,to:'2017-11-12T05:41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6" s="204" t="str">
        <f>IF(AA216&lt;VLOOKUP(AG216,Variables!$AC$3:$AD$8,2,FALSE),"Y","N")</f>
        <v>Y</v>
      </c>
      <c r="X216" s="204">
        <f t="shared" si="112"/>
        <v>1</v>
      </c>
      <c r="Y216" s="204">
        <f t="shared" si="96"/>
        <v>0.1143</v>
      </c>
      <c r="Z216" s="204">
        <f t="shared" si="97"/>
        <v>0.34150000000000003</v>
      </c>
      <c r="AA216" s="204">
        <f t="shared" si="102"/>
        <v>0.22720000000000001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9">
        <f t="shared" si="103"/>
        <v>55</v>
      </c>
      <c r="AE216" s="77" t="str">
        <f t="shared" si="104"/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AF216" s="74" t="str">
        <f t="shared" si="105"/>
        <v>"C:\Program Files (x86)\AstroGrep\AstroGrep.exe" /e /r /s /spath="%USERPROFILE%\AppData\Local\Temp\OnboardLogs" /stypes="app*4064*20171112*" /stext=" 11:.+((SYSTEM_STATE.+slice.+state.+changed )|(ment ac)|(multiple cpu faults)|(system.+state.+changed )|(\[timeout)|(PRM\|1\|D)|(kpr)|(kdp)|(train st.+moving)|(\|lc)|(penalty))"</v>
      </c>
      <c r="AG216" s="182" t="str">
        <f t="shared" si="106"/>
        <v>Shuttle/Test</v>
      </c>
      <c r="AH216" s="78" t="str">
        <f t="shared" si="109"/>
        <v>"%USERPROFILE%\Documents\GitHub\eaglep3\Utilities\RefineRTDCRunTimes.py" --tripid 55-12 --locoid 4064 --swversion DE.1.0.9.0 --startMP 204:1143 --initTime 2017-11-12T04:37:12 --startdatetime 2017-11-12T04:40:12 --delay 50 --endMP 204:3415 --enddatetime 2017-11-12T04:41:27 --enforcementcount 0 &gt;&gt;%USERPROFILE%\Documents\GitHub\eaglep3-reporting\EC\2017-11-12-refined-times.txt</v>
      </c>
      <c r="AI216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0.3415"},{"id":17,"name":"Train ID","value":"55-12"},{"id":16,"name":"Locomotive ID","value":"4064"},{"id":130,"name":"Impact","value":""},{"id":150,"name":"Time of Event (Mountain Time)","value":"04:41:27"},{"id":151,"name":"Denver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10"/>
        <v>start /low /b %USERPROFILE%\Documents\GitHub\eaglep3\Utilities\DownloadLogsFromS3.py --loco 4064 --day 2017-11-12</v>
      </c>
      <c r="AN216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11:41:27"},{"id":29,"name":"Sharepoint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11"/>
        <v>https://d0f6bd738d7f1b3e5a7ca70fe4ff75f0.us-east-1.aws.found.io/app/kibana#/discover/Steve-Slow-Train-Analysis-(2080s-and-2083s)?_g=(refreshInterval:(display:Off,pause:!f,section:0,value:0),time:(from:'2017-11-12T03:37:12-0700',mode:absolute,to:'2017-11-12T05:41:27-0700'))&amp;_a=(columns:!('Message%20ID',Summary),filters:!(),index:'emp_*',interval:auto,query:(query_string:(analyze_wildcard:!t,query:'%22rtdc.l.rtdc.4064%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697</v>
      </c>
      <c r="B217" s="7">
        <v>4063</v>
      </c>
      <c r="C217" s="21" t="s">
        <v>192</v>
      </c>
      <c r="D217" s="21" t="s">
        <v>1073</v>
      </c>
      <c r="E217" s="13">
        <v>43051.196412037039</v>
      </c>
      <c r="F217" s="13">
        <v>43051.198113425926</v>
      </c>
      <c r="G217" s="7">
        <v>73</v>
      </c>
      <c r="H217" s="21" t="s">
        <v>1034</v>
      </c>
      <c r="I217" s="13">
        <v>43051.199467592596</v>
      </c>
      <c r="J217" s="7">
        <v>0</v>
      </c>
      <c r="K217" s="89" t="str">
        <f t="shared" si="98"/>
        <v>4063/4064</v>
      </c>
      <c r="L217" s="185" t="str">
        <f>VLOOKUP(A217,'Trips&amp;Operators'!$C$1:$G$99911,5,FALSE)</f>
        <v>LANGERAK WILLIAM</v>
      </c>
      <c r="M217" s="6">
        <f t="shared" si="99"/>
        <v>1.3541666703531519E-3</v>
      </c>
      <c r="N217" s="7">
        <f t="shared" si="82"/>
        <v>1.9500000053085387</v>
      </c>
      <c r="O217" s="7"/>
      <c r="P217" s="7"/>
      <c r="Q217" s="22"/>
      <c r="R217" s="174"/>
      <c r="S217" s="221">
        <f t="shared" si="83"/>
        <v>0</v>
      </c>
      <c r="T217" s="174" t="str">
        <f t="shared" si="100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 t="shared" si="101"/>
        <v>https://d0f6bd738d7f1b3e5a7ca70fe4ff75f0.us-east-1.aws.found.io/app/kibana#/discover/Steve-Slow-Train-Analysis-(2080s-and-2083s)?_g=(refreshInterval:(display:Off,pause:!f,section:0,value:0),time:(from:'2017-11-12T03:42:50-0700',mode:absolute,to:'2017-11-12T05:47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7" s="204" t="str">
        <f>IF(AA217&lt;VLOOKUP(AG217,Variables!$AC$3:$AD$8,2,FALSE),"Y","N")</f>
        <v>Y</v>
      </c>
      <c r="X217" s="204">
        <f t="shared" si="112"/>
        <v>1</v>
      </c>
      <c r="Y217" s="204">
        <f t="shared" si="96"/>
        <v>0.30859999999999999</v>
      </c>
      <c r="Z217" s="204">
        <f t="shared" si="97"/>
        <v>1.43E-2</v>
      </c>
      <c r="AA217" s="204">
        <f t="shared" si="102"/>
        <v>0.29430000000000001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9">
        <f t="shared" si="103"/>
        <v>56</v>
      </c>
      <c r="AE217" s="77" t="str">
        <f t="shared" si="104"/>
        <v>aws s3 cp s3://rtdc.mdm.uploadarchive.raw/RTDC4063/ "%USERPROFILE%\AppData\Local\Temp\OnboardLogs"\RTDC4063\2017-11-12 --exclude "*" --recursive --include "*20171112*" &amp; "%USERPROFILE%\Documents\GitHub\mrs-test-scripts\Headless Mode &amp; Sideloading\WalkAndUnGZ.bat" "%USERPROFILE%\AppData\Local\Temp\OnboardLogs"\RTDC4063\2017-11-12 &amp; aws s3 cp s3://rtdc.mdm.uploadarchive.raw/RTDC4063/ "%USERPROFILE%\AppData\Local\Temp\OnboardLogs"\RTDC4063\2017-11-13 --exclude "*" --recursive --include "*20171113*" &amp; "%USERPROFILE%\Documents\GitHub\mrs-test-scripts\Headless Mode &amp; Sideloading\WalkAndUnGZ.bat" "%USERPROFILE%\AppData\Local\Temp\OnboardLogs"\RTDC4063\2017-11-13</v>
      </c>
      <c r="AF217" s="74" t="str">
        <f t="shared" si="105"/>
        <v>"C:\Program Files (x86)\AstroGrep\AstroGrep.exe" /e /r /s /spath="%USERPROFILE%\AppData\Local\Temp\OnboardLogs" /stypes="app*4063*20171112*" /stext=" 11:.+((SYSTEM_STATE.+slice.+state.+changed )|(ment ac)|(multiple cpu faults)|(system.+state.+changed )|(\[timeout)|(PRM\|1\|D)|(kpr)|(kdp)|(train st.+moving)|(\|lc)|(penalty))"</v>
      </c>
      <c r="AG217" s="182" t="str">
        <f t="shared" si="106"/>
        <v>Shuttle/Test</v>
      </c>
      <c r="AH217" s="78" t="str">
        <f t="shared" si="109"/>
        <v>"%USERPROFILE%\Documents\GitHub\eaglep3\Utilities\RefineRTDCRunTimes.py" --tripid 56-12 --locoid 4063 --swversion DE.1.0.9.0 --startMP 204:3086 --initTime 2017-11-12T04:42:50 --startdatetime 2017-11-12T04:45:17 --delay 73 --endMP 204:143 --enddatetime 2017-11-12T04:47:14 --enforcementcount 0 &gt;&gt;%USERPROFILE%\Documents\GitHub\eaglep3-reporting\EC\2017-11-12-refined-times.txt</v>
      </c>
      <c r="AI217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0.0143"},{"id":17,"name":"Train ID","value":"56-12"},{"id":16,"name":"Locomotive ID","value":"4063"},{"id":130,"name":"Impact","value":""},{"id":150,"name":"Time of Event (Mountain Time)","value":"04:47:14"},{"id":151,"name":"Denver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10"/>
        <v>start /low /b %USERPROFILE%\Documents\GitHub\eaglep3\Utilities\DownloadLogsFromS3.py --loco 4063 --day 2017-11-12</v>
      </c>
      <c r="AN217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11:47:14"},{"id":29,"name":"Sharepoint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11"/>
        <v>https://d0f6bd738d7f1b3e5a7ca70fe4ff75f0.us-east-1.aws.found.io/app/kibana#/discover/Steve-Slow-Train-Analysis-(2080s-and-2083s)?_g=(refreshInterval:(display:Off,pause:!f,section:0,value:0),time:(from:'2017-11-12T03:42:50-0700',mode:absolute,to:'2017-11-12T05:47:14-0700'))&amp;_a=(columns:!('Message%20ID',Summary),filters:!(),index:'emp_*',interval:auto,query:(query_string:(analyze_wildcard:!t,query:'%22rtdc.l.rtdc.4063%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828</v>
      </c>
      <c r="B218" s="7">
        <v>4025</v>
      </c>
      <c r="C218" s="21" t="s">
        <v>192</v>
      </c>
      <c r="D218" s="21" t="s">
        <v>1074</v>
      </c>
      <c r="E218" s="13">
        <v>43051.735902777778</v>
      </c>
      <c r="F218" s="13">
        <v>43051.740254629629</v>
      </c>
      <c r="G218" s="7">
        <v>72</v>
      </c>
      <c r="H218" s="21" t="s">
        <v>1075</v>
      </c>
      <c r="I218" s="13">
        <v>43051.745717592596</v>
      </c>
      <c r="J218" s="7">
        <v>0</v>
      </c>
      <c r="K218" s="89" t="str">
        <f t="shared" si="98"/>
        <v>4025/4026</v>
      </c>
      <c r="L218" s="185" t="str">
        <f>VLOOKUP(A218,'Trips&amp;Operators'!$C$1:$G$99911,5,FALSE)</f>
        <v>GUNTHIER ERIC</v>
      </c>
      <c r="M218" s="6">
        <f t="shared" si="99"/>
        <v>5.4629629667033441E-3</v>
      </c>
      <c r="N218" s="7">
        <f t="shared" si="82"/>
        <v>7.8666666720528156</v>
      </c>
      <c r="O218" s="7"/>
      <c r="P218" s="7"/>
      <c r="Q218" s="22"/>
      <c r="R218" s="174"/>
      <c r="S218" s="221">
        <f t="shared" si="83"/>
        <v>1</v>
      </c>
      <c r="T218" s="174" t="str">
        <f t="shared" si="100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01"/>
        <v>https://d0f6bd738d7f1b3e5a7ca70fe4ff75f0.us-east-1.aws.found.io/app/kibana#/discover/Steve-Slow-Train-Analysis-(2080s-and-2083s)?_g=(refreshInterval:(display:Off,pause:!f,section:0,value:0),time:(from:'2017-11-12T16:39:42-0700',mode:absolute,to:'2017-11-12T18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8" s="204" t="str">
        <f>IF(AA218&lt;VLOOKUP(AG218,Variables!$AC$3:$AD$8,2,FALSE),"Y","N")</f>
        <v>Y</v>
      </c>
      <c r="X218" s="204">
        <f t="shared" si="112"/>
        <v>18</v>
      </c>
      <c r="Y218" s="204">
        <f t="shared" si="96"/>
        <v>2.3347000000000002</v>
      </c>
      <c r="Z218" s="204">
        <f t="shared" si="97"/>
        <v>9.5399999999999999E-2</v>
      </c>
      <c r="AA218" s="204">
        <f t="shared" si="102"/>
        <v>2.2393000000000001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9">
        <f t="shared" si="103"/>
        <v>74</v>
      </c>
      <c r="AE218" s="77" t="str">
        <f t="shared" si="104"/>
        <v>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 &amp; aws s3 cp s3://rtdc.mdm.uploadarchive.raw/RTDC4025/ "%USERPROFILE%\AppData\Local\Temp\OnboardLogs"\RTDC4025\2017-11-13 --exclude "*" --recursive --include "*20171113*" &amp; "%USERPROFILE%\Documents\GitHub\mrs-test-scripts\Headless Mode &amp; Sideloading\WalkAndUnGZ.bat" "%USERPROFILE%\AppData\Local\Temp\OnboardLogs"\RTDC4025\2017-11-13</v>
      </c>
      <c r="AF218" s="74" t="str">
        <f t="shared" si="105"/>
        <v>"C:\Program Files (x86)\AstroGrep\AstroGrep.exe" /e /r /s /spath="%USERPROFILE%\AppData\Local\Temp\OnboardLogs" /stypes="app*4025*20171113*" /stext=" 00:.+((SYSTEM_STATE.+slice.+state.+changed )|(ment ac)|(multiple cpu faults)|(system.+state.+changed )|(\[timeout)|(PRM\|1\|D)|(kpr)|(kdp)|(train st.+moving)|(\|lc)|(penalty))"</v>
      </c>
      <c r="AG218" s="182" t="str">
        <f t="shared" si="106"/>
        <v>Shuttle/Test</v>
      </c>
      <c r="AH218" s="78" t="str">
        <f t="shared" si="109"/>
        <v>"%USERPROFILE%\Documents\GitHub\eaglep3\Utilities\RefineRTDCRunTimes.py" --tripid 74-12 --locoid 4025 --swversion DE.1.0.9.0 --startMP 300:23347 --initTime 2017-11-12T17:39:42 --startdatetime 2017-11-12T17:45:58 --delay 72 --endMP 204:954 --enddatetime 2017-11-12T17:53:50 --enforcementcount 0 &gt;&gt;%USERPROFILE%\Documents\GitHub\eaglep3-reporting\EC\2017-11-12-refined-times.txt</v>
      </c>
      <c r="AI218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0.0954"},{"id":17,"name":"Train ID","value":"74-12"},{"id":16,"name":"Locomotive ID","value":"4025"},{"id":130,"name":"Impact","value":""},{"id":150,"name":"Time of Event (Mountain Time)","value":"17:53:50"},{"id":151,"name":"Denver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10"/>
        <v>start /low /b %USERPROFILE%\Documents\GitHub\eaglep3\Utilities\DownloadLogsFromS3.py --loco 4025 --day 2017-11-12</v>
      </c>
      <c r="AN218" s="151" t="str">
        <f t="shared" si="10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11"/>
        <v>https://d0f6bd738d7f1b3e5a7ca70fe4ff75f0.us-east-1.aws.found.io/app/kibana#/discover/Steve-Slow-Train-Analysis-(2080s-and-2083s)?_g=(refreshInterval:(display:Off,pause:!f,section:0,value:0),time:(from:'2017-11-12T16:39:42-0700',mode:absolute,to:'2017-11-12T18:53:50-0700'))&amp;_a=(columns:!('Message%20ID',Summary),filters:!(),index:'emp_*',interval:auto,query:(query_string:(analyze_wildcard:!t,query:'%22rtdc.l.rtdc.4025%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809</v>
      </c>
      <c r="B219" s="7">
        <v>4030</v>
      </c>
      <c r="C219" s="21" t="s">
        <v>192</v>
      </c>
      <c r="D219" s="21" t="s">
        <v>1076</v>
      </c>
      <c r="E219" s="13">
        <v>43051.67596064815</v>
      </c>
      <c r="F219" s="13">
        <v>43051.68204861111</v>
      </c>
      <c r="G219" s="7">
        <v>72</v>
      </c>
      <c r="H219" s="21" t="s">
        <v>625</v>
      </c>
      <c r="I219" s="13">
        <v>43051.688298611109</v>
      </c>
      <c r="J219" s="7">
        <v>0</v>
      </c>
      <c r="K219" s="89" t="str">
        <f t="shared" si="98"/>
        <v>4029/4030</v>
      </c>
      <c r="L219" s="185" t="str">
        <f>VLOOKUP(A219,'Trips&amp;Operators'!$C$1:$G$99911,5,FALSE)</f>
        <v>BROWN JACOB</v>
      </c>
      <c r="M219" s="6">
        <f t="shared" si="99"/>
        <v>6.2499999985448085E-3</v>
      </c>
      <c r="N219" s="7">
        <f t="shared" si="82"/>
        <v>8.9999999979045242</v>
      </c>
      <c r="O219" s="7"/>
      <c r="P219" s="7"/>
      <c r="Q219" s="22"/>
      <c r="R219" s="174"/>
      <c r="S219" s="221">
        <f t="shared" si="83"/>
        <v>1</v>
      </c>
      <c r="T219" s="174" t="str">
        <f t="shared" si="100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01"/>
        <v>https://d0f6bd738d7f1b3e5a7ca70fe4ff75f0.us-east-1.aws.found.io/app/kibana#/discover/Steve-Slow-Train-Analysis-(2080s-and-2083s)?_g=(refreshInterval:(display:Off,pause:!f,section:0,value:0),time:(from:'2017-11-12T15:13:23-0700',mode:absolute,to:'2017-11-12T17:31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204" t="str">
        <f>IF(AA219&lt;VLOOKUP(AG219,Variables!$AC$3:$AD$8,2,FALSE),"Y","N")</f>
        <v>Y</v>
      </c>
      <c r="X219" s="204">
        <f t="shared" si="112"/>
        <v>1</v>
      </c>
      <c r="Y219" s="204">
        <f t="shared" si="96"/>
        <v>0.14960000000000001</v>
      </c>
      <c r="Z219" s="204">
        <f t="shared" si="97"/>
        <v>2.3308</v>
      </c>
      <c r="AA219" s="204">
        <f t="shared" si="102"/>
        <v>2.1812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9">
        <f t="shared" si="103"/>
        <v>75</v>
      </c>
      <c r="AE219" s="77" t="str">
        <f t="shared" si="104"/>
        <v>aws s3 cp s3://rtdc.mdm.uploadarchive.raw/RTDC4030/ "%USERPROFILE%\AppData\Local\Temp\OnboardLogs"\RTDC4030\2017-11-12 --exclude "*" --recursive --include "*20171112*" &amp; "%USERPROFILE%\Documents\GitHub\mrs-test-scripts\Headless Mode &amp; Sideloading\WalkAndUnGZ.bat" "%USERPROFILE%\AppData\Local\Temp\OnboardLogs"\RTDC4030\2017-11-12 &amp; aws s3 cp s3://rtdc.mdm.uploadarchive.raw/RTDC4030/ "%USERPROFILE%\AppData\Local\Temp\OnboardLogs"\RTDC4030\2017-11-13 --exclude "*" --recursive --include "*20171113*" &amp; "%USERPROFILE%\Documents\GitHub\mrs-test-scripts\Headless Mode &amp; Sideloading\WalkAndUnGZ.bat" "%USERPROFILE%\AppData\Local\Temp\OnboardLogs"\RTDC4030\2017-11-13</v>
      </c>
      <c r="AF219" s="74" t="str">
        <f t="shared" si="105"/>
        <v>"C:\Program Files (x86)\AstroGrep\AstroGrep.exe" /e /r /s /spath="%USERPROFILE%\AppData\Local\Temp\OnboardLogs" /stypes="app*4030*20171112*" /stext=" 23:.+((SYSTEM_STATE.+slice.+state.+changed )|(ment ac)|(multiple cpu faults)|(system.+state.+changed )|(\[timeout)|(PRM\|1\|D)|(kpr)|(kdp)|(train st.+moving)|(\|lc)|(penalty))"</v>
      </c>
      <c r="AG219" s="182" t="str">
        <f t="shared" si="106"/>
        <v>Shuttle/Test</v>
      </c>
      <c r="AH219" s="78" t="str">
        <f t="shared" si="109"/>
        <v>"%USERPROFILE%\Documents\GitHub\eaglep3\Utilities\RefineRTDCRunTimes.py" --tripid 75-12 --locoid 4030 --swversion DE.1.0.9.0 --startMP 204:1496 --initTime 2017-11-12T16:13:23 --startdatetime 2017-11-12T16:22:09 --delay 72 --endMP 300:23308 --enddatetime 2017-11-12T16:31:09 --enforcementcount 0 &gt;&gt;%USERPROFILE%\Documents\GitHub\eaglep3-reporting\EC\2017-11-12-refined-times.txt</v>
      </c>
      <c r="AI219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2.3308"},{"id":17,"name":"Train ID","value":"75-12"},{"id":16,"name":"Locomotive ID","value":"4030"},{"id":130,"name":"Impact","value":""},{"id":150,"name":"Time of Event (Mountain Time)","value":"16:31:09"},{"id":151,"name":"Denver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10"/>
        <v>start /low /b %USERPROFILE%\Documents\GitHub\eaglep3\Utilities\DownloadLogsFromS3.py --loco 4030 --day 2017-11-12</v>
      </c>
      <c r="AN219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23:31:09"},{"id":29,"name":"Sharepoint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11"/>
        <v>https://d0f6bd738d7f1b3e5a7ca70fe4ff75f0.us-east-1.aws.found.io/app/kibana#/discover/Steve-Slow-Train-Analysis-(2080s-and-2083s)?_g=(refreshInterval:(display:Off,pause:!f,section:0,value:0),time:(from:'2017-11-12T15:13:23-0700',mode:absolute,to:'2017-11-12T17:31:09-0700'))&amp;_a=(columns:!('Message%20ID',Summary),filters:!(),index:'emp_*',interval:auto,query:(query_string:(analyze_wildcard:!t,query:'%22rtdc.l.rtdc.4030%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852</v>
      </c>
      <c r="B220" s="7">
        <v>4026</v>
      </c>
      <c r="C220" s="21" t="s">
        <v>192</v>
      </c>
      <c r="D220" s="21" t="s">
        <v>1077</v>
      </c>
      <c r="E220" s="13">
        <v>43051.848587962966</v>
      </c>
      <c r="F220" s="13">
        <v>43051.860694444447</v>
      </c>
      <c r="G220" s="7">
        <v>215</v>
      </c>
      <c r="H220" s="21" t="s">
        <v>1078</v>
      </c>
      <c r="I220" s="13">
        <v>43051.862199074072</v>
      </c>
      <c r="J220" s="7">
        <v>0</v>
      </c>
      <c r="K220" s="89" t="str">
        <f t="shared" si="98"/>
        <v>4025/4026</v>
      </c>
      <c r="L220" s="185" t="str">
        <f>VLOOKUP(A220,'Trips&amp;Operators'!$C$1:$G$99911,5,FALSE)</f>
        <v>GUNTHIER ERIC</v>
      </c>
      <c r="M220" s="6">
        <f t="shared" si="99"/>
        <v>1.5046296248328872E-3</v>
      </c>
      <c r="N220" s="7">
        <f t="shared" si="82"/>
        <v>2.1666666597593576</v>
      </c>
      <c r="O220" s="7"/>
      <c r="P220" s="7"/>
      <c r="Q220" s="22"/>
      <c r="R220" s="174"/>
      <c r="S220" s="221">
        <f t="shared" si="83"/>
        <v>0</v>
      </c>
      <c r="T220" s="174" t="str">
        <f t="shared" si="100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101"/>
        <v>https://d0f6bd738d7f1b3e5a7ca70fe4ff75f0.us-east-1.aws.found.io/app/kibana#/discover/Steve-Slow-Train-Analysis-(2080s-and-2083s)?_g=(refreshInterval:(display:Off,pause:!f,section:0,value:0),time:(from:'2017-11-12T19:21:58-0700',mode:absolute,to:'2017-11-12T21:41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204" t="str">
        <f>IF(AA220&lt;VLOOKUP(AG220,Variables!$AC$3:$AD$8,2,FALSE),"Y","N")</f>
        <v>Y</v>
      </c>
      <c r="X220" s="204">
        <f t="shared" si="112"/>
        <v>1</v>
      </c>
      <c r="Y220" s="204">
        <f t="shared" si="96"/>
        <v>0.12770000000000001</v>
      </c>
      <c r="Z220" s="204">
        <f t="shared" si="97"/>
        <v>0.53180000000000005</v>
      </c>
      <c r="AA220" s="204">
        <f t="shared" si="102"/>
        <v>0.40410000000000001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9">
        <f t="shared" si="103"/>
        <v>76</v>
      </c>
      <c r="AE220" s="77" t="str">
        <f t="shared" si="104"/>
        <v>aws s3 cp s3://rtdc.mdm.uploadarchive.raw/RTDC4026/ "%USERPROFILE%\AppData\Local\Temp\OnboardLogs"\RTDC4026\2017-11-12 --exclude "*" --recursive --include "*20171112*" &amp; "%USERPROFILE%\Documents\GitHub\mrs-test-scripts\Headless Mode &amp; Sideloading\WalkAndUnGZ.bat" "%USERPROFILE%\AppData\Local\Temp\OnboardLogs"\RTDC4026\2017-11-12 &amp; aws s3 cp s3://rtdc.mdm.uploadarchive.raw/RTDC4026/ "%USERPROFILE%\AppData\Local\Temp\OnboardLogs"\RTDC4026\2017-11-13 --exclude "*" --recursive --include "*20171113*" &amp; "%USERPROFILE%\Documents\GitHub\mrs-test-scripts\Headless Mode &amp; Sideloading\WalkAndUnGZ.bat" "%USERPROFILE%\AppData\Local\Temp\OnboardLogs"\RTDC4026\2017-11-13</v>
      </c>
      <c r="AF220" s="74" t="str">
        <f t="shared" si="105"/>
        <v>"C:\Program Files (x86)\AstroGrep\AstroGrep.exe" /e /r /s /spath="%USERPROFILE%\AppData\Local\Temp\OnboardLogs" /stypes="app*4026*20171113*" /stext=" 03:.+((SYSTEM_STATE.+slice.+state.+changed )|(ment ac)|(multiple cpu faults)|(system.+state.+changed )|(\[timeout)|(PRM\|1\|D)|(kpr)|(kdp)|(train st.+moving)|(\|lc)|(penalty))"</v>
      </c>
      <c r="AG220" s="182" t="str">
        <f t="shared" si="106"/>
        <v>Shuttle/Test</v>
      </c>
      <c r="AH220" s="78" t="str">
        <f t="shared" si="109"/>
        <v>"%USERPROFILE%\Documents\GitHub\eaglep3\Utilities\RefineRTDCRunTimes.py" --tripid 76-12 --locoid 4026 --swversion DE.1.0.9.0 --startMP 204:1277 --initTime 2017-11-12T20:21:58 --startdatetime 2017-11-12T20:39:24 --delay 215 --endMP 300:5318 --enddatetime 2017-11-12T20:41:34 --enforcementcount 0 &gt;&gt;%USERPROFILE%\Documents\GitHub\eaglep3-reporting\EC\2017-11-12-refined-times.txt</v>
      </c>
      <c r="AI220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0.5318"},{"id":17,"name":"Train ID","value":"76-12"},{"id":16,"name":"Locomotive ID","value":"4026"},{"id":130,"name":"Impact","value":""},{"id":150,"name":"Time of Event (Mountain Time)","value":"20:41:34"},{"id":151,"name":"Denver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10"/>
        <v>start /low /b %USERPROFILE%\Documents\GitHub\eaglep3\Utilities\DownloadLogsFromS3.py --loco 4026 --day 2017-11-12</v>
      </c>
      <c r="AN220" s="151" t="str">
        <f t="shared" si="10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03:41:34"},{"id":29,"name":"Sharepoint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11"/>
        <v>https://d0f6bd738d7f1b3e5a7ca70fe4ff75f0.us-east-1.aws.found.io/app/kibana#/discover/Steve-Slow-Train-Analysis-(2080s-and-2083s)?_g=(refreshInterval:(display:Off,pause:!f,section:0,value:0),time:(from:'2017-11-12T19:21:58-0700',mode:absolute,to:'2017-11-12T21:41:34-0700'))&amp;_a=(columns:!('Message%20ID',Summary),filters:!(),index:'emp_*',interval:auto,query:(query_string:(analyze_wildcard:!t,query:'%22rtdc.l.rtdc.4026%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852</v>
      </c>
      <c r="B221" s="7">
        <v>4025</v>
      </c>
      <c r="C221" s="21" t="s">
        <v>192</v>
      </c>
      <c r="D221" s="21" t="s">
        <v>1079</v>
      </c>
      <c r="E221" s="13">
        <v>43051.858888888892</v>
      </c>
      <c r="F221" s="13">
        <v>43051.860694444447</v>
      </c>
      <c r="G221" s="7">
        <v>83</v>
      </c>
      <c r="H221" s="21" t="s">
        <v>1080</v>
      </c>
      <c r="I221" s="13">
        <v>43051.862199074072</v>
      </c>
      <c r="J221" s="7">
        <v>0</v>
      </c>
      <c r="K221" s="89" t="str">
        <f t="shared" si="98"/>
        <v>4025/4026</v>
      </c>
      <c r="L221" s="185" t="str">
        <f>VLOOKUP(A221,'Trips&amp;Operators'!$C$1:$G$99911,5,FALSE)</f>
        <v>GUNTHIER ERIC</v>
      </c>
      <c r="M221" s="6">
        <f t="shared" si="99"/>
        <v>1.5046296248328872E-3</v>
      </c>
      <c r="N221" s="7">
        <f t="shared" si="82"/>
        <v>2.1666666597593576</v>
      </c>
      <c r="O221" s="7"/>
      <c r="P221" s="7"/>
      <c r="Q221" s="22"/>
      <c r="R221" s="174"/>
      <c r="S221" s="221">
        <f t="shared" si="83"/>
        <v>0</v>
      </c>
      <c r="T221" s="174" t="str">
        <f t="shared" si="100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101"/>
        <v>https://d0f6bd738d7f1b3e5a7ca70fe4ff75f0.us-east-1.aws.found.io/app/kibana#/discover/Steve-Slow-Train-Analysis-(2080s-and-2083s)?_g=(refreshInterval:(display:Off,pause:!f,section:0,value:0),time:(from:'2017-11-12T19:36:48-0700',mode:absolute,to:'2017-11-12T21:41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1" s="204" t="str">
        <f>IF(AA221&lt;VLOOKUP(AG221,Variables!$AC$3:$AD$8,2,FALSE),"Y","N")</f>
        <v>Y</v>
      </c>
      <c r="X221" s="204">
        <f t="shared" si="112"/>
        <v>0</v>
      </c>
      <c r="Y221" s="204">
        <f t="shared" si="96"/>
        <v>0.51060000000000005</v>
      </c>
      <c r="Z221" s="204">
        <f t="shared" si="97"/>
        <v>0.1124</v>
      </c>
      <c r="AA221" s="204">
        <f t="shared" si="102"/>
        <v>0.39820000000000005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9">
        <f t="shared" si="103"/>
        <v>76</v>
      </c>
      <c r="AE221" s="77" t="str">
        <f t="shared" si="104"/>
        <v>aws s3 cp s3://rtdc.mdm.uploadarchive.raw/RTDC4025/ "%USERPROFILE%\AppData\Local\Temp\OnboardLogs"\RTDC4025\2017-11-12 --exclude "*" --recursive --include "*20171112*" &amp; "%USERPROFILE%\Documents\GitHub\mrs-test-scripts\Headless Mode &amp; Sideloading\WalkAndUnGZ.bat" "%USERPROFILE%\AppData\Local\Temp\OnboardLogs"\RTDC4025\2017-11-12 &amp; aws s3 cp s3://rtdc.mdm.uploadarchive.raw/RTDC4025/ "%USERPROFILE%\AppData\Local\Temp\OnboardLogs"\RTDC4025\2017-11-13 --exclude "*" --recursive --include "*20171113*" &amp; "%USERPROFILE%\Documents\GitHub\mrs-test-scripts\Headless Mode &amp; Sideloading\WalkAndUnGZ.bat" "%USERPROFILE%\AppData\Local\Temp\OnboardLogs"\RTDC4025\2017-11-13</v>
      </c>
      <c r="AF221" s="74" t="str">
        <f t="shared" si="105"/>
        <v>"C:\Program Files (x86)\AstroGrep\AstroGrep.exe" /e /r /s /spath="%USERPROFILE%\AppData\Local\Temp\OnboardLogs" /stypes="app*4025*20171113*" /stext=" 03:.+((SYSTEM_STATE.+slice.+state.+changed )|(ment ac)|(multiple cpu faults)|(system.+state.+changed )|(\[timeout)|(PRM\|1\|D)|(kpr)|(kdp)|(train st.+moving)|(\|lc)|(penalty))"</v>
      </c>
      <c r="AG221" s="182" t="str">
        <f t="shared" si="106"/>
        <v>Shuttle/Test</v>
      </c>
      <c r="AH221" s="78" t="str">
        <f t="shared" si="109"/>
        <v>"%USERPROFILE%\Documents\GitHub\eaglep3\Utilities\RefineRTDCRunTimes.py" --tripid 76-12 --locoid 4025 --swversion DE.1.0.9.0 --startMP 300:5106 --initTime 2017-11-12T20:36:48 --startdatetime 2017-11-12T20:39:24 --delay 83 --endMP 204:1124 --enddatetime 2017-11-12T20:41:34 --enforcementcount 0 &gt;&gt;%USERPROFILE%\Documents\GitHub\eaglep3-reporting\EC\2017-11-12-refined-times.txt</v>
      </c>
      <c r="AI221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0.1124"},{"id":17,"name":"Train ID","value":"76-12"},{"id":16,"name":"Locomotive ID","value":"4025"},{"id":130,"name":"Impact","value":""},{"id":150,"name":"Time of Event (Mountain Time)","value":"20:41:34"},{"id":151,"name":"Denver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10"/>
        <v>start /low /b %USERPROFILE%\Documents\GitHub\eaglep3\Utilities\DownloadLogsFromS3.py --loco 4025 --day 2017-11-12</v>
      </c>
      <c r="AN221" s="151" t="str">
        <f t="shared" si="10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03:41:34"},{"id":29,"name":"Sharepoint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11"/>
        <v>https://d0f6bd738d7f1b3e5a7ca70fe4ff75f0.us-east-1.aws.found.io/app/kibana#/discover/Steve-Slow-Train-Analysis-(2080s-and-2083s)?_g=(refreshInterval:(display:Off,pause:!f,section:0,value:0),time:(from:'2017-11-12T19:36:48-0700',mode:absolute,to:'2017-11-12T21:41:34-0700'))&amp;_a=(columns:!('Message%20ID',Summary),filters:!(),index:'emp_*',interval:auto,query:(query_string:(analyze_wildcard:!t,query:'%22rtdc.l.rtdc.4025%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826</v>
      </c>
      <c r="B222" s="7">
        <v>4008</v>
      </c>
      <c r="C222" s="21" t="s">
        <v>192</v>
      </c>
      <c r="D222" s="21" t="s">
        <v>1081</v>
      </c>
      <c r="E222" s="13">
        <v>43051.732835648145</v>
      </c>
      <c r="F222" s="13">
        <v>43051.734143518515</v>
      </c>
      <c r="G222" s="7">
        <v>61</v>
      </c>
      <c r="H222" s="21" t="s">
        <v>1082</v>
      </c>
      <c r="I222" s="13">
        <v>43051.740231481483</v>
      </c>
      <c r="J222" s="7">
        <v>0</v>
      </c>
      <c r="K222" s="89" t="str">
        <f t="shared" si="98"/>
        <v>4007/4008</v>
      </c>
      <c r="L222" s="185" t="str">
        <f>VLOOKUP(A222,'Trips&amp;Operators'!$C$1:$G$99911,5,FALSE)</f>
        <v>BIRENBAUM THOMAS</v>
      </c>
      <c r="M222" s="6">
        <f t="shared" si="99"/>
        <v>6.0879629672854207E-3</v>
      </c>
      <c r="N222" s="7">
        <f t="shared" si="82"/>
        <v>8.7666666728910059</v>
      </c>
      <c r="O222" s="7"/>
      <c r="P222" s="7"/>
      <c r="Q222" s="22"/>
      <c r="R222" s="174"/>
      <c r="S222" s="221">
        <f t="shared" si="83"/>
        <v>1</v>
      </c>
      <c r="T222" s="174" t="str">
        <f t="shared" si="100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01"/>
        <v>https://d0f6bd738d7f1b3e5a7ca70fe4ff75f0.us-east-1.aws.found.io/app/kibana#/discover/Steve-Slow-Train-Analysis-(2080s-and-2083s)?_g=(refreshInterval:(display:Off,pause:!f,section:0,value:0),time:(from:'2017-11-12T16:35:17-0700',mode:absolute,to:'2017-11-12T18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2" s="204" t="str">
        <f>IF(AA222&lt;VLOOKUP(AG222,Variables!$AC$3:$AD$8,2,FALSE),"Y","N")</f>
        <v>Y</v>
      </c>
      <c r="X222" s="204">
        <f t="shared" si="112"/>
        <v>1</v>
      </c>
      <c r="Y222" s="204">
        <f t="shared" si="96"/>
        <v>0.1169</v>
      </c>
      <c r="Z222" s="204">
        <f t="shared" si="97"/>
        <v>2.3294999999999999</v>
      </c>
      <c r="AA222" s="204">
        <f t="shared" si="102"/>
        <v>2.2126000000000001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9">
        <f t="shared" si="103"/>
        <v>77</v>
      </c>
      <c r="AE222" s="77" t="str">
        <f t="shared" si="104"/>
        <v>aws s3 cp s3://rtdc.mdm.uploadarchive.raw/RTDC4008/ "%USERPROFILE%\AppData\Local\Temp\OnboardLogs"\RTDC4008\2017-11-12 --exclude "*" --recursive --include "*20171112*" &amp; "%USERPROFILE%\Documents\GitHub\mrs-test-scripts\Headless Mode &amp; Sideloading\WalkAndUnGZ.bat" "%USERPROFILE%\AppData\Local\Temp\OnboardLogs"\RTDC4008\2017-11-12 &amp; aws s3 cp s3://rtdc.mdm.uploadarchive.raw/RTDC4008/ "%USERPROFILE%\AppData\Local\Temp\OnboardLogs"\RTDC4008\2017-11-13 --exclude "*" --recursive --include "*20171113*" &amp; "%USERPROFILE%\Documents\GitHub\mrs-test-scripts\Headless Mode &amp; Sideloading\WalkAndUnGZ.bat" "%USERPROFILE%\AppData\Local\Temp\OnboardLogs"\RTDC4008\2017-11-13</v>
      </c>
      <c r="AF222" s="74" t="str">
        <f t="shared" si="105"/>
        <v>"C:\Program Files (x86)\AstroGrep\AstroGrep.exe" /e /r /s /spath="%USERPROFILE%\AppData\Local\Temp\OnboardLogs" /stypes="app*4008*20171113*" /stext=" 00:.+((SYSTEM_STATE.+slice.+state.+changed )|(ment ac)|(multiple cpu faults)|(system.+state.+changed )|(\[timeout)|(PRM\|1\|D)|(kpr)|(kdp)|(train st.+moving)|(\|lc)|(penalty))"</v>
      </c>
      <c r="AG222" s="182" t="str">
        <f t="shared" si="106"/>
        <v>Shuttle/Test</v>
      </c>
      <c r="AH222" s="78" t="str">
        <f t="shared" si="109"/>
        <v>"%USERPROFILE%\Documents\GitHub\eaglep3\Utilities\RefineRTDCRunTimes.py" --tripid 77-12 --locoid 4008 --swversion DE.1.0.9.0 --startMP 204:1169 --initTime 2017-11-12T17:35:17 --startdatetime 2017-11-12T17:37:10 --delay 61 --endMP 300:23295 --enddatetime 2017-11-12T17:45:56 --enforcementcount 0 &gt;&gt;%USERPROFILE%\Documents\GitHub\eaglep3-reporting\EC\2017-11-12-refined-times.txt</v>
      </c>
      <c r="AI222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2.3295"},{"id":17,"name":"Train ID","value":"77-12"},{"id":16,"name":"Locomotive ID","value":"4008"},{"id":130,"name":"Impact","value":""},{"id":150,"name":"Time of Event (Mountain Time)","value":"17:45:56"},{"id":151,"name":"Denver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10"/>
        <v>start /low /b %USERPROFILE%\Documents\GitHub\eaglep3\Utilities\DownloadLogsFromS3.py --loco 4008 --day 2017-11-12</v>
      </c>
      <c r="AN222" s="151" t="str">
        <f t="shared" si="10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00:45:56"},{"id":29,"name":"Sharepoint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11"/>
        <v>https://d0f6bd738d7f1b3e5a7ca70fe4ff75f0.us-east-1.aws.found.io/app/kibana#/discover/Steve-Slow-Train-Analysis-(2080s-and-2083s)?_g=(refreshInterval:(display:Off,pause:!f,section:0,value:0),time:(from:'2017-11-12T16:35:17-0700',mode:absolute,to:'2017-11-12T18:45:56-0700'))&amp;_a=(columns:!('Message%20ID',Summary),filters:!(),index:'emp_*',interval:auto,query:(query_string:(analyze_wildcard:!t,query:'%22rtdc.l.rtdc.4008%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703</v>
      </c>
      <c r="B223" s="7">
        <v>4029</v>
      </c>
      <c r="C223" s="21" t="s">
        <v>192</v>
      </c>
      <c r="D223" s="21" t="s">
        <v>1083</v>
      </c>
      <c r="E223" s="13">
        <v>43051.217199074075</v>
      </c>
      <c r="F223" s="13">
        <v>43051.225381944445</v>
      </c>
      <c r="G223" s="7">
        <v>100</v>
      </c>
      <c r="H223" s="21" t="s">
        <v>1084</v>
      </c>
      <c r="I223" s="13">
        <v>43051.232094907406</v>
      </c>
      <c r="J223" s="7">
        <v>0</v>
      </c>
      <c r="K223" s="89" t="str">
        <f t="shared" si="98"/>
        <v>4029/4030</v>
      </c>
      <c r="L223" s="185" t="str">
        <f>VLOOKUP(A223,'Trips&amp;Operators'!$C$1:$G$99911,5,FALSE)</f>
        <v>GEBRETEKLE DAGNEW</v>
      </c>
      <c r="M223" s="6">
        <f t="shared" si="99"/>
        <v>6.7129629605915397E-3</v>
      </c>
      <c r="N223" s="7">
        <f t="shared" si="82"/>
        <v>9.6666666632518172</v>
      </c>
      <c r="O223" s="7"/>
      <c r="P223" s="7"/>
      <c r="Q223" s="22"/>
      <c r="R223" s="174"/>
      <c r="S223" s="221">
        <f t="shared" si="83"/>
        <v>1</v>
      </c>
      <c r="T223" s="174" t="str">
        <f t="shared" si="100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01"/>
        <v>https://d0f6bd738d7f1b3e5a7ca70fe4ff75f0.us-east-1.aws.found.io/app/kibana#/discover/Steve-Slow-Train-Analysis-(2080s-and-2083s)?_g=(refreshInterval:(display:Off,pause:!f,section:0,value:0),time:(from:'2017-11-12T04:12:46-0700',mode:absolute,to:'2017-11-12T06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3" s="204" t="str">
        <f>IF(AA223&lt;VLOOKUP(AG223,Variables!$AC$3:$AD$8,2,FALSE),"Y","N")</f>
        <v>Y</v>
      </c>
      <c r="X223" s="204">
        <f t="shared" si="112"/>
        <v>11</v>
      </c>
      <c r="Y223" s="204">
        <f t="shared" si="96"/>
        <v>2.3620000000000001</v>
      </c>
      <c r="Z223" s="204">
        <f t="shared" si="97"/>
        <v>0.1179</v>
      </c>
      <c r="AA223" s="204">
        <f t="shared" si="102"/>
        <v>2.2441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9">
        <f t="shared" si="103"/>
        <v>88</v>
      </c>
      <c r="AE223" s="77" t="str">
        <f t="shared" si="104"/>
        <v>aws s3 cp s3://rtdc.mdm.uploadarchive.raw/RTDC4029/ "%USERPROFILE%\AppData\Local\Temp\OnboardLogs"\RTDC4029\2017-11-12 --exclude "*" --recursive --include "*20171112*" &amp; "%USERPROFILE%\Documents\GitHub\mrs-test-scripts\Headless Mode &amp; Sideloading\WalkAndUnGZ.bat" "%USERPROFILE%\AppData\Local\Temp\OnboardLogs"\RTDC4029\2017-11-12 &amp; aws s3 cp s3://rtdc.mdm.uploadarchive.raw/RTDC4029/ "%USERPROFILE%\AppData\Local\Temp\OnboardLogs"\RTDC4029\2017-11-13 --exclude "*" --recursive --include "*20171113*" &amp; "%USERPROFILE%\Documents\GitHub\mrs-test-scripts\Headless Mode &amp; Sideloading\WalkAndUnGZ.bat" "%USERPROFILE%\AppData\Local\Temp\OnboardLogs"\RTDC4029\2017-11-13</v>
      </c>
      <c r="AF223" s="74" t="str">
        <f t="shared" si="105"/>
        <v>"C:\Program Files (x86)\AstroGrep\AstroGrep.exe" /e /r /s /spath="%USERPROFILE%\AppData\Local\Temp\OnboardLogs" /stypes="app*4029*20171112*" /stext=" 12:.+((SYSTEM_STATE.+slice.+state.+changed )|(ment ac)|(multiple cpu faults)|(system.+state.+changed )|(\[timeout)|(PRM\|1\|D)|(kpr)|(kdp)|(train st.+moving)|(\|lc)|(penalty))"</v>
      </c>
      <c r="AG223" s="182" t="str">
        <f t="shared" si="106"/>
        <v>Shuttle/Test</v>
      </c>
      <c r="AH223" s="78" t="str">
        <f t="shared" si="109"/>
        <v>"%USERPROFILE%\Documents\GitHub\eaglep3\Utilities\RefineRTDCRunTimes.py" --tripid 88-12 --locoid 4029 --swversion DE.1.0.9.0 --startMP 300:23620 --initTime 2017-11-12T05:12:46 --startdatetime 2017-11-12T05:24:33 --delay 100 --endMP 204:1179 --enddatetime 2017-11-12T05:34:13 --enforcementcount 0 &gt;&gt;%USERPROFILE%\Documents\GitHub\eaglep3-reporting\EC\2017-11-12-refined-times.txt</v>
      </c>
      <c r="AI223" s="96" t="str">
        <f t="shared" si="107"/>
        <v>echo {"issue":{"subject":"","project_id":79,"tracker_id":40,"status_id":1,"priority_id":2,"assigned_to_id":338,"start_date":"2017-11-12","description":"","custom_fields":[{"id":1,"name":"Subdivision","value":"Shuttle/Test"},{"id":4,"name":"Milepost","value":"0.1179"},{"id":17,"name":"Train ID","value":"88-12"},{"id":16,"name":"Locomotive ID","value":"4029"},{"id":130,"name":"Impact","value":""},{"id":150,"name":"Time of Event (Mountain Time)","value":"05:34:13"},{"id":151,"name":"Denver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10"/>
        <v>start /low /b %USERPROFILE%\Documents\GitHub\eaglep3\Utilities\DownloadLogsFromS3.py --loco 4029 --day 2017-11-12</v>
      </c>
      <c r="AN223" s="151" t="str">
        <f t="shared" si="108"/>
        <v>echo {"issue":{"subject":"","project_id":30,"tracker_id":4,"status_id":1,"priority_id":1,"assigned_to_id":10,"start_date":"2017-11-12","description":"","custom_fields":[{"id":30,"name":"Category","value":"Issue"},{"id":3,"name":"Functional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UTC","value":"2017-11-12 12:34:13"},{"id":29,"name":"Sharepoint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11"/>
        <v>https://d0f6bd738d7f1b3e5a7ca70fe4ff75f0.us-east-1.aws.found.io/app/kibana#/discover/Steve-Slow-Train-Analysis-(2080s-and-2083s)?_g=(refreshInterval:(display:Off,pause:!f,section:0,value:0),time:(from:'2017-11-12T04:12:46-0700',mode:absolute,to:'2017-11-12T06:34:13-0700'))&amp;_a=(columns:!('Message%20ID',Summary),filters:!(),index:'emp_*',interval:auto,query:(query_string:(analyze_wildcard:!t,query:'%22rtdc.l.rtdc.4029%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4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4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4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4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4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4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4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4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4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4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4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4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4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4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4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4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</sheetData>
  <autoFilter ref="A12:AG478">
    <sortState ref="A13:AG478">
      <sortCondition ref="AG13:AG223"/>
      <sortCondition ref="AD13:AD223"/>
    </sortState>
  </autoFilter>
  <sortState ref="A13:AN383">
    <sortCondition ref="AG13:AG383"/>
    <sortCondition ref="AD13:AD383"/>
  </sortState>
  <mergeCells count="1">
    <mergeCell ref="A11:P11"/>
  </mergeCells>
  <conditionalFormatting sqref="W11:W12 W484:X1048576 W13:X223">
    <cfRule type="cellIs" dxfId="10" priority="465" operator="equal">
      <formula>"Y"</formula>
    </cfRule>
  </conditionalFormatting>
  <conditionalFormatting sqref="X484:X1048576 X13:X223">
    <cfRule type="cellIs" dxfId="9" priority="448" operator="greaterThan">
      <formula>1</formula>
    </cfRule>
  </conditionalFormatting>
  <conditionalFormatting sqref="X484:X1048576 X12:X223">
    <cfRule type="cellIs" dxfId="8" priority="445" operator="equal">
      <formula>0</formula>
    </cfRule>
  </conditionalFormatting>
  <conditionalFormatting sqref="A13:S223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COUNTIF($O$7:$O$207,"=Y")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COUNTA($O$7:$O$207)-O2</f>
        <v>18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- 2017-11-12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25">
      <c r="A7" s="31">
        <v>43052.057685185187</v>
      </c>
      <c r="B7" s="30" t="s">
        <v>641</v>
      </c>
      <c r="C7" s="30" t="s">
        <v>664</v>
      </c>
      <c r="D7" s="30" t="s">
        <v>49</v>
      </c>
      <c r="E7" s="30" t="s">
        <v>183</v>
      </c>
      <c r="F7" s="42">
        <v>130</v>
      </c>
      <c r="G7" s="42">
        <v>181</v>
      </c>
      <c r="H7" s="42">
        <v>63792</v>
      </c>
      <c r="I7" s="42">
        <v>63451</v>
      </c>
      <c r="J7" s="30" t="s">
        <v>184</v>
      </c>
      <c r="K7" s="42">
        <v>63309</v>
      </c>
      <c r="L7" s="131" t="s">
        <v>51</v>
      </c>
      <c r="M7" s="132">
        <f t="shared" ref="M7:M29" si="0">CONVERT((I7-K7)/10000,"mi","ft")*IF(L7="Increasing Mileposts (1)",-1,1)</f>
        <v>74.975999999999999</v>
      </c>
      <c r="N7" s="133" t="str">
        <f>VLOOKUP(C7,'Trips&amp;Operators'!$C$1:$G$99911,5,FALSE)</f>
        <v>ELBAUM MIKE</v>
      </c>
      <c r="O7" s="176" t="s">
        <v>178</v>
      </c>
      <c r="P7" s="134" t="s">
        <v>344</v>
      </c>
      <c r="Q7" s="30"/>
      <c r="R7" s="81" t="str">
        <f>VLOOKUP(C7,'Train Runs'!$A$13:$AE$10137,31,0)</f>
        <v>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 &amp; aws s3 cp s3://rtdc.mdm.uploadarchive.raw/RTDC4015/ "%USERPROFILE%\AppData\Local\Temp\OnboardLogs"\RTDC4015\2017-11-14 --exclude "*" --recursive --include "*20171114*" &amp; "%USERPROFILE%\Documents\GitHub\mrs-test-scripts\Headless Mode &amp; Sideloading\WalkAndUnGZ.bat" "%USERPROFILE%\AppData\Local\Temp\OnboardLogs"\RTDC4015\2017-11-14</v>
      </c>
      <c r="S7" s="84" t="str">
        <f>VLOOKUP(C7,'Train Runs'!$A$13:$AE$10137,22,0)</f>
        <v>https://d0f6bd738d7f1b3e5a7ca70fe4ff75f0.us-east-1.aws.found.io/app/kibana#/discover/Steve-Slow-Train-Analysis-(2080s-and-2083s)?_g=(refreshInterval:(display:Off,pause:!f,section:0,value:0),time:(from:'2017-11-12T23:47:32-0700',mode:absolute,to:'2017-11-13T02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7" s="86" t="str">
        <f t="shared" ref="T7:T2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/stypes="*4015*201711130*" /stext=" 08:.+((SYSTEM_STATE.+slice.+state.+changed )|(ment ac)|(multiple cpu faults)|(system.+state.+changed )|(\[timeout)|(PRM\|1\|D)|(kpr)|(kdp)|(train st.+moving)|(\|lc)|(penalty))"</v>
      </c>
      <c r="U7" s="9" t="str">
        <f t="shared" ref="U7:U29" si="2">MID(B7,13,4)</f>
        <v>4015</v>
      </c>
      <c r="V7" s="31">
        <f t="shared" ref="V7:V29" si="3">A7-utc_offset/24</f>
        <v>43052.349351851852</v>
      </c>
      <c r="W7" s="45" t="str">
        <f t="shared" ref="W7:W29" si="4">DetSubdiv(C7)</f>
        <v>EC</v>
      </c>
      <c r="X7" s="22">
        <f t="shared" ref="X7:X29" si="5">VALUE(LEFT(C7,LEN(C7)-3))</f>
        <v>242</v>
      </c>
      <c r="Y7" s="96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Arrival","project_id":79,"tracker_id":40,"status_id":1,"priority_id":2,"assigned_to_id":338,"start_date":"2017-11-13","description":"","custom_fields":[{"id":1,"name":"Subdivision","value":"EC"},{"id":4,"name":"Milepost","value":"6.3309"},{"id":17,"name":"Train ID","value":"242-12"},{"id":16,"name":"Locomotive ID","value":"4015"},{"id":130,"name":"Impact","value":""},{"id":150,"name":"Time of Event (Mountain Time)","value":"01:23:04"},{"id":151,"name":"Denver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2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/c/Users/stu/AppData/Local/Temp/OnboardLogs/RTDC4015 --include="*4015*201711130*"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"%USERPROFILE%\AppData\Local\Temp\OnboardLogs"\RTDC4015\*4015*201711130* &gt;&gt; 2017-11-12-SliceDisagreementCheck.txt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4015 --day 2017-11-13</v>
      </c>
    </row>
    <row r="8" spans="1:32" s="1" customFormat="1" x14ac:dyDescent="0.25">
      <c r="A8" s="31">
        <v>43052.026053240741</v>
      </c>
      <c r="B8" s="30" t="s">
        <v>536</v>
      </c>
      <c r="C8" s="30" t="s">
        <v>661</v>
      </c>
      <c r="D8" s="30" t="s">
        <v>95</v>
      </c>
      <c r="E8" s="30" t="s">
        <v>662</v>
      </c>
      <c r="F8" s="42">
        <v>0</v>
      </c>
      <c r="G8" s="42">
        <v>9</v>
      </c>
      <c r="H8" s="42">
        <v>228171</v>
      </c>
      <c r="I8" s="42">
        <v>228218</v>
      </c>
      <c r="J8" s="30" t="s">
        <v>663</v>
      </c>
      <c r="K8" s="42">
        <v>190834</v>
      </c>
      <c r="L8" s="131" t="s">
        <v>50</v>
      </c>
      <c r="M8" s="132">
        <f t="shared" si="0"/>
        <v>-19738.752</v>
      </c>
      <c r="N8" s="133" t="str">
        <f>VLOOKUP(C8,'Trips&amp;Operators'!$C$1:$G$99911,5,FALSE)</f>
        <v>ELBAUM MIKE</v>
      </c>
      <c r="O8" s="176" t="s">
        <v>178</v>
      </c>
      <c r="P8" s="134"/>
      <c r="Q8" s="30"/>
      <c r="R8" s="81" t="str">
        <f>VLOOKUP(C8,'Train Runs'!$A$13:$AE$10137,31,0)</f>
        <v>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 &amp; aws s3 cp s3://rtdc.mdm.uploadarchive.raw/RTDC4016/ "%USERPROFILE%\AppData\Local\Temp\OnboardLogs"\RTDC4016\2017-11-14 --exclude "*" --recursive --include "*20171114*" &amp; "%USERPROFILE%\Documents\GitHub\mrs-test-scripts\Headless Mode &amp; Sideloading\WalkAndUnGZ.bat" "%USERPROFILE%\AppData\Local\Temp\OnboardLogs"\RTDC4016\2017-11-14</v>
      </c>
      <c r="S8" s="84" t="str">
        <f>VLOOKUP(C8,'Train Runs'!$A$13:$AE$10137,22,0)</f>
        <v>https://d0f6bd738d7f1b3e5a7ca70fe4ff75f0.us-east-1.aws.found.io/app/kibana#/discover/Steve-Slow-Train-Analysis-(2080s-and-2083s)?_g=(refreshInterval:(display:Off,pause:!f,section:0,value:0),time:(from:'2017-11-12T22:42:39-0700',mode:absolute,to:'2017-11-13T01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86" t="str">
        <f t="shared" si="1"/>
        <v>"C:\Program Files (x86)\AstroGrep\AstroGrep.exe" /e /r /s /spath="%USERPROFILE%\AppData\Local\Temp\OnboardLogs" /stypes="*4016*201711130*" /stext=" 07:.+((SYSTEM_STATE.+slice.+state.+changed )|(ment ac)|(multiple cpu faults)|(system.+state.+changed )|(\[timeout)|(PRM\|1\|D)|(kpr)|(kdp)|(train st.+moving)|(\|lc)|(penalty))"</v>
      </c>
      <c r="U8" s="9" t="str">
        <f t="shared" si="2"/>
        <v>4016</v>
      </c>
      <c r="V8" s="31">
        <f t="shared" si="3"/>
        <v>43052.317719907405</v>
      </c>
      <c r="W8" s="45" t="str">
        <f t="shared" si="4"/>
        <v>EC</v>
      </c>
      <c r="X8" s="22">
        <f t="shared" si="5"/>
        <v>241</v>
      </c>
      <c r="Y8" s="96" t="str">
        <f t="shared" si="6"/>
        <v>echo {"issue":{"subject":"","project_id":79,"tracker_id":40,"status_id":1,"priority_id":2,"assigned_to_id":338,"start_date":"2017-11-13","description":"","custom_fields":[{"id":1,"name":"Subdivision","value":"EC"},{"id":4,"name":"Milepost","value":"19.0834"},{"id":17,"name":"Train ID","value":"241-12"},{"id":16,"name":"Locomotive ID","value":"4016"},{"id":130,"name":"Impact","value":""},{"id":150,"name":"Time of Event (Mountain Time)","value":"00:37:31"},{"id":151,"name":"Denver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/c/Users/stu/AppData/Local/Temp/OnboardLogs/RTDC4016 --include="*4016*201711130*"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"%USERPROFILE%\AppData\Local\Temp\OnboardLogs"\RTDC4016\*4016*201711130* &gt;&gt; 2017-11-12-SliceDisagreementCheck.txt</v>
      </c>
      <c r="AE8" s="145" t="str">
        <f t="shared" ref="AE8:AE29" si="9">"start /low /b "&amp;dls3logs&amp;" --loco "&amp;U8&amp;" --day "&amp;TEXT(V8,"YYYY-MM-DD")</f>
        <v>start /low /b %USERPROFILE%\Documents\GitHub\eaglep3\Utilities\DownloadLogsFromS3.py --loco 4016 --day 2017-11-13</v>
      </c>
    </row>
    <row r="9" spans="1:32" s="1" customFormat="1" x14ac:dyDescent="0.25">
      <c r="A9" s="31">
        <v>43051.966620370367</v>
      </c>
      <c r="B9" s="30" t="s">
        <v>641</v>
      </c>
      <c r="C9" s="30" t="s">
        <v>659</v>
      </c>
      <c r="D9" s="30" t="s">
        <v>49</v>
      </c>
      <c r="E9" s="30" t="s">
        <v>190</v>
      </c>
      <c r="F9" s="42">
        <v>400</v>
      </c>
      <c r="G9" s="42">
        <v>497</v>
      </c>
      <c r="H9" s="42">
        <v>121100</v>
      </c>
      <c r="I9" s="42">
        <v>119572</v>
      </c>
      <c r="J9" s="30" t="s">
        <v>191</v>
      </c>
      <c r="K9" s="42">
        <v>119716</v>
      </c>
      <c r="L9" s="131" t="s">
        <v>51</v>
      </c>
      <c r="M9" s="132">
        <f t="shared" si="0"/>
        <v>-76.031999999999996</v>
      </c>
      <c r="N9" s="133" t="str">
        <f>VLOOKUP(C9,'Trips&amp;Operators'!$C$1:$G$99911,5,FALSE)</f>
        <v>ELBAUM MIKE</v>
      </c>
      <c r="O9" s="176" t="s">
        <v>178</v>
      </c>
      <c r="P9" s="134"/>
      <c r="Q9" s="30"/>
      <c r="R9" s="81" t="str">
        <f>VLOOKUP(C9,'Train Runs'!$A$13:$AE$10137,31,0)</f>
        <v>aws s3 cp s3://rtdc.mdm.uploadarchive.raw/RTDC4015/ "%USERPROFILE%\AppData\Local\Temp\OnboardLogs"\RTDC4015\2017-11-12 --exclude "*" --recursive --include "*20171112*" &amp; "%USERPROFILE%\Documents\GitHub\mrs-test-scripts\Headless Mode &amp; Sideloading\WalkAndUnGZ.bat" "%USERPROFILE%\AppData\Local\Temp\OnboardLogs"\RTDC4015\2017-11-12 &amp; aws s3 cp s3://rtdc.mdm.uploadarchive.raw/RTDC4015/ "%USERPROFILE%\AppData\Local\Temp\OnboardLogs"\RTDC4015\2017-11-13 --exclude "*" --recursive --include "*20171113*" &amp; "%USERPROFILE%\Documents\GitHub\mrs-test-scripts\Headless Mode &amp; Sideloading\WalkAndUnGZ.bat" "%USERPROFILE%\AppData\Local\Temp\OnboardLogs"\RTDC4015\2017-11-13</v>
      </c>
      <c r="S9" s="84" t="str">
        <f>VLOOKUP(C9,'Train Runs'!$A$13:$AE$10137,22,0)</f>
        <v>https://d0f6bd738d7f1b3e5a7ca70fe4ff75f0.us-east-1.aws.found.io/app/kibana#/discover/Steve-Slow-Train-Analysis-(2080s-and-2083s)?_g=(refreshInterval:(display:Off,pause:!f,section:0,value:0),time:(from:'2017-11-12T21:40:57-0700',mode:absolute,to:'2017-11-13T00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9" s="86" t="str">
        <f t="shared" si="1"/>
        <v>"C:\Program Files (x86)\AstroGrep\AstroGrep.exe" /e /r /s /spath="%USERPROFILE%\AppData\Local\Temp\OnboardLogs" /stypes="*4015*201711130*" /stext=" 06:.+((SYSTEM_STATE.+slice.+state.+changed )|(ment ac)|(multiple cpu faults)|(system.+state.+changed )|(\[timeout)|(PRM\|1\|D)|(kpr)|(kdp)|(train st.+moving)|(\|lc)|(penalty))"</v>
      </c>
      <c r="U9" s="9" t="str">
        <f t="shared" si="2"/>
        <v>4015</v>
      </c>
      <c r="V9" s="31">
        <f t="shared" si="3"/>
        <v>43052.258287037032</v>
      </c>
      <c r="W9" s="45" t="str">
        <f t="shared" si="4"/>
        <v>EC</v>
      </c>
      <c r="X9" s="22">
        <f t="shared" si="5"/>
        <v>234</v>
      </c>
      <c r="Y9" s="96" t="str">
        <f t="shared" si="6"/>
        <v>echo {"issue":{"subject":"","project_id":79,"tracker_id":40,"status_id":1,"priority_id":2,"assigned_to_id":338,"start_date":"2017-11-12","description":"","custom_fields":[{"id":1,"name":"Subdivision","value":"EC"},{"id":4,"name":"Milepost","value":"11.9716"},{"id":17,"name":"Train ID","value":"234-12"},{"id":16,"name":"Locomotive ID","value":"4015"},{"id":130,"name":"Impact","value":""},{"id":150,"name":"Time of Event (Mountain Time)","value":"23:11:56"},{"id":151,"name":"Denver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/c/Users/stu/AppData/Local/Temp/OnboardLogs/RTDC4015 --include="*4015*201711130*"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"%USERPROFILE%\AppData\Local\Temp\OnboardLogs"\RTDC4015\*4015*201711130* &gt;&gt; 2017-11-12-SliceDisagreementCheck.txt</v>
      </c>
      <c r="AE9" s="145" t="str">
        <f t="shared" si="9"/>
        <v>start /low /b %USERPROFILE%\Documents\GitHub\eaglep3\Utilities\DownloadLogsFromS3.py --loco 4015 --day 2017-11-13</v>
      </c>
    </row>
    <row r="10" spans="1:32" x14ac:dyDescent="0.25">
      <c r="A10" s="31">
        <v>43051.180219907408</v>
      </c>
      <c r="B10" s="30" t="s">
        <v>363</v>
      </c>
      <c r="C10" s="30" t="s">
        <v>636</v>
      </c>
      <c r="D10" s="30" t="s">
        <v>95</v>
      </c>
      <c r="E10" s="30" t="s">
        <v>190</v>
      </c>
      <c r="F10" s="42">
        <v>700</v>
      </c>
      <c r="G10" s="42">
        <v>753</v>
      </c>
      <c r="H10" s="42">
        <v>175318</v>
      </c>
      <c r="I10" s="42">
        <v>172377</v>
      </c>
      <c r="J10" s="30" t="s">
        <v>191</v>
      </c>
      <c r="K10" s="42">
        <v>183829</v>
      </c>
      <c r="L10" s="131" t="s">
        <v>51</v>
      </c>
      <c r="M10" s="132">
        <f t="shared" si="0"/>
        <v>-6046.6559999999999</v>
      </c>
      <c r="N10" s="133" t="str">
        <f>VLOOKUP(C10,'Trips&amp;Operators'!$C$1:$G$99911,5,FALSE)</f>
        <v>THOMPSON LESTER</v>
      </c>
      <c r="O10" s="176" t="s">
        <v>178</v>
      </c>
      <c r="P10" s="134"/>
      <c r="Q10" s="30"/>
      <c r="R10" s="81" t="str">
        <f>VLOOKUP(C10,'Train Runs'!$A$13:$AE$10137,31,0)</f>
        <v>aws s3 cp s3://rtdc.mdm.uploadarchive.raw/RTDC4007/ "%USERPROFILE%\AppData\Local\Temp\OnboardLogs"\RTDC4007\2017-11-12 --exclude "*" --recursive --include "*20171112*" &amp; "%USERPROFILE%\Documents\GitHub\mrs-test-scripts\Headless Mode &amp; Sideloading\WalkAndUnGZ.bat" "%USERPROFILE%\AppData\Local\Temp\OnboardLogs"\RTDC4007\2017-11-12 &amp; aws s3 cp s3://rtdc.mdm.uploadarchive.raw/RTDC4007/ "%USERPROFILE%\AppData\Local\Temp\OnboardLogs"\RTDC4007\2017-11-13 --exclude "*" --recursive --include "*20171113*" &amp; "%USERPROFILE%\Documents\GitHub\mrs-test-scripts\Headless Mode &amp; Sideloading\WalkAndUnGZ.bat" "%USERPROFILE%\AppData\Local\Temp\OnboardLogs"\RTDC4007\2017-11-13</v>
      </c>
      <c r="S10" s="84" t="str">
        <f>VLOOKUP(C10,'Train Runs'!$A$13:$AE$10137,22,0)</f>
        <v>https://d0f6bd738d7f1b3e5a7ca70fe4ff75f0.us-east-1.aws.found.io/app/kibana#/discover/Steve-Slow-Train-Analysis-(2080s-and-2083s)?_g=(refreshInterval:(display:Off,pause:!f,section:0,value:0),time:(from:'2017-11-12T03:08:17-0700',mode:absolute,to:'2017-11-12T05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0" s="86" t="str">
        <f t="shared" si="1"/>
        <v>"C:\Program Files (x86)\AstroGrep\AstroGrep.exe" /e /r /s /spath="%USERPROFILE%\AppData\Local\Temp\OnboardLogs" /stypes="*4007*201711121*" /stext=" 11:.+((SYSTEM_STATE.+slice.+state.+changed )|(ment ac)|(multiple cpu faults)|(system.+state.+changed )|(\[timeout)|(PRM\|1\|D)|(kpr)|(kdp)|(train st.+moving)|(\|lc)|(penalty))"</v>
      </c>
      <c r="U10" s="9" t="str">
        <f t="shared" si="2"/>
        <v>4007</v>
      </c>
      <c r="V10" s="31">
        <f t="shared" si="3"/>
        <v>43051.471886574072</v>
      </c>
      <c r="W10" s="45" t="str">
        <f t="shared" si="4"/>
        <v>EC</v>
      </c>
      <c r="X10" s="22">
        <f t="shared" si="5"/>
        <v>102</v>
      </c>
      <c r="Y10" s="96" t="str">
        <f t="shared" si="6"/>
        <v>echo {"issue":{"subject":"","project_id":79,"tracker_id":40,"status_id":1,"priority_id":2,"assigned_to_id":338,"start_date":"2017-11-12","description":"","custom_fields":[{"id":1,"name":"Subdivision","value":"EC"},{"id":4,"name":"Milepost","value":"18.3829"},{"id":17,"name":"Train ID","value":"102-12"},{"id":16,"name":"Locomotive ID","value":"4007"},{"id":130,"name":"Impact","value":""},{"id":150,"name":"Time of Event (Mountain Time)","value":"04:19:31"},{"id":151,"name":"Denver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/c/Users/stu/AppData/Local/Temp/OnboardLogs/RTDC4007 --include="*4007*201711121*"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"%USERPROFILE%\AppData\Local\Temp\OnboardLogs"\RTDC4007\*4007*201711121* &gt;&gt; 2017-11-12-SliceDisagreementCheck.txt</v>
      </c>
      <c r="AE10" s="145" t="str">
        <f t="shared" si="9"/>
        <v>start /low /b %USERPROFILE%\Documents\GitHub\eaglep3\Utilities\DownloadLogsFromS3.py --loco 4007 --day 2017-11-12</v>
      </c>
      <c r="AF10" s="1"/>
    </row>
    <row r="11" spans="1:32" x14ac:dyDescent="0.25">
      <c r="A11" s="31">
        <v>43051.624918981484</v>
      </c>
      <c r="B11" s="30" t="s">
        <v>520</v>
      </c>
      <c r="C11" s="30" t="s">
        <v>653</v>
      </c>
      <c r="D11" s="30" t="s">
        <v>95</v>
      </c>
      <c r="E11" s="30" t="s">
        <v>190</v>
      </c>
      <c r="F11" s="42">
        <v>350</v>
      </c>
      <c r="G11" s="42">
        <v>400</v>
      </c>
      <c r="H11" s="42">
        <v>225127</v>
      </c>
      <c r="I11" s="42">
        <v>224030</v>
      </c>
      <c r="J11" s="30" t="s">
        <v>191</v>
      </c>
      <c r="K11" s="42">
        <v>232107</v>
      </c>
      <c r="L11" s="131" t="s">
        <v>51</v>
      </c>
      <c r="M11" s="132">
        <f t="shared" si="0"/>
        <v>-4264.6559999999999</v>
      </c>
      <c r="N11" s="133" t="str">
        <f>VLOOKUP(C11,'Trips&amp;Operators'!$C$1:$G$99911,5,FALSE)</f>
        <v>MAGEE KENYA</v>
      </c>
      <c r="O11" s="176" t="s">
        <v>178</v>
      </c>
      <c r="P11" s="134"/>
      <c r="Q11" s="30"/>
      <c r="R11" s="81" t="str">
        <f>VLOOKUP(C11,'Train Runs'!$A$13:$AE$10137,31,0)</f>
        <v>aws s3 cp s3://rtdc.mdm.uploadarchive.raw/RTDC4051/ "%USERPROFILE%\AppData\Local\Temp\OnboardLogs"\RTDC4051\2017-11-12 --exclude "*" --recursive --include "*20171112*" &amp; "%USERPROFILE%\Documents\GitHub\mrs-test-scripts\Headless Mode &amp; Sideloading\WalkAndUnGZ.bat" "%USERPROFILE%\AppData\Local\Temp\OnboardLogs"\RTDC4051\2017-11-12 &amp; 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</v>
      </c>
      <c r="S11" s="84" t="str">
        <f>VLOOKUP(C11,'Train Runs'!$A$13:$AE$10137,22,0)</f>
        <v>https://d0f6bd738d7f1b3e5a7ca70fe4ff75f0.us-east-1.aws.found.io/app/kibana#/discover/Steve-Slow-Train-Analysis-(2080s-and-2083s)?_g=(refreshInterval:(display:Off,pause:!f,section:0,value:0),time:(from:'2017-11-12T13:38:54-0700',mode:absolute,to:'2017-11-12T16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1" s="86" t="str">
        <f t="shared" si="1"/>
        <v>"C:\Program Files (x86)\AstroGrep\AstroGrep.exe" /e /r /s /spath="%USERPROFILE%\AppData\Local\Temp\OnboardLogs" /stypes="*4051*201711122*"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4051</v>
      </c>
      <c r="V11" s="31">
        <f t="shared" si="3"/>
        <v>43051.916585648149</v>
      </c>
      <c r="W11" s="45" t="str">
        <f t="shared" si="4"/>
        <v>EC</v>
      </c>
      <c r="X11" s="22">
        <f t="shared" si="5"/>
        <v>184</v>
      </c>
      <c r="Y11" s="96" t="str">
        <f t="shared" si="6"/>
        <v>echo {"issue":{"subject":"","project_id":79,"tracker_id":40,"status_id":1,"priority_id":2,"assigned_to_id":338,"start_date":"2017-11-12","description":"","custom_fields":[{"id":1,"name":"Subdivision","value":"EC"},{"id":4,"name":"Milepost","value":"23.2107"},{"id":17,"name":"Train ID","value":"184-12"},{"id":16,"name":"Locomotive ID","value":"4051"},{"id":130,"name":"Impact","value":""},{"id":150,"name":"Time of Event (Mountain Time)","value":"14:59:53"},{"id":151,"name":"Denver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/c/Users/stu/AppData/Local/Temp/OnboardLogs/RTDC4051 --include="*4051*201711122*"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"%USERPROFILE%\AppData\Local\Temp\OnboardLogs"\RTDC4051\*4051*201711122* &gt;&gt; 2017-11-12-SliceDisagreementCheck.txt</v>
      </c>
      <c r="AE11" s="145" t="str">
        <f t="shared" si="9"/>
        <v>start /low /b %USERPROFILE%\Documents\GitHub\eaglep3\Utilities\DownloadLogsFromS3.py --loco 4051 --day 2017-11-12</v>
      </c>
      <c r="AF11" s="1"/>
    </row>
    <row r="12" spans="1:32" x14ac:dyDescent="0.25">
      <c r="A12" s="31">
        <v>43051.345034722224</v>
      </c>
      <c r="B12" s="30" t="s">
        <v>486</v>
      </c>
      <c r="C12" s="30" t="s">
        <v>645</v>
      </c>
      <c r="D12" s="30" t="s">
        <v>95</v>
      </c>
      <c r="E12" s="30" t="s">
        <v>356</v>
      </c>
      <c r="F12" s="42">
        <v>0</v>
      </c>
      <c r="G12" s="42">
        <v>11</v>
      </c>
      <c r="H12" s="42">
        <v>2755</v>
      </c>
      <c r="I12" s="42">
        <v>2753</v>
      </c>
      <c r="J12" s="30" t="s">
        <v>357</v>
      </c>
      <c r="K12" s="42">
        <v>1692</v>
      </c>
      <c r="L12" s="131" t="s">
        <v>50</v>
      </c>
      <c r="M12" s="132">
        <f t="shared" si="0"/>
        <v>-560.20799999999997</v>
      </c>
      <c r="N12" s="133" t="str">
        <f>VLOOKUP(C12,'Trips&amp;Operators'!$C$1:$G$99911,5,FALSE)</f>
        <v>GEBRETEKLE DAGNEW</v>
      </c>
      <c r="O12" s="176" t="s">
        <v>350</v>
      </c>
      <c r="P12" s="134" t="s">
        <v>472</v>
      </c>
      <c r="Q12" s="30"/>
      <c r="R12" s="81" t="str">
        <f>VLOOKUP(C12,'Train Runs'!$A$13:$AE$10137,31,0)</f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S12" s="84" t="str">
        <f>VLOOKUP(C12,'Train Runs'!$A$13:$AE$10137,22,0)</f>
        <v>https://d0f6bd738d7f1b3e5a7ca70fe4ff75f0.us-east-1.aws.found.io/app/kibana#/discover/Steve-Slow-Train-Analysis-(2080s-and-2083s)?_g=(refreshInterval:(display:Off,pause:!f,section:0,value:0),time:(from:'2017-11-12T07:07:16-0700',mode:absolute,to:'2017-11-12T09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2" s="86" t="str">
        <f t="shared" si="1"/>
        <v>"C:\Program Files (x86)\AstroGrep\AstroGrep.exe" /e /r /s /spath="%USERPROFILE%\AppData\Local\Temp\OnboardLogs" /stypes="*4002*201711121*"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4002</v>
      </c>
      <c r="V12" s="31">
        <f t="shared" si="3"/>
        <v>43051.636701388888</v>
      </c>
      <c r="W12" s="45" t="str">
        <f t="shared" si="4"/>
        <v>EC</v>
      </c>
      <c r="X12" s="22">
        <f t="shared" si="5"/>
        <v>137</v>
      </c>
      <c r="Y12" s="96" t="str">
        <f t="shared" si="6"/>
        <v>echo {"issue":{"subject":"Wi-MAX data drop","project_id":79,"tracker_id":40,"status_id":1,"priority_id":2,"assigned_to_id":338,"start_date":"2017-11-12","description":"","custom_fields":[{"id":1,"name":"Subdivision","value":"EC"},{"id":4,"name":"Milepost","value":"0.1692"},{"id":17,"name":"Train ID","value":"137-12"},{"id":16,"name":"Locomotive ID","value":"4002"},{"id":130,"name":"Impact","value":""},{"id":150,"name":"Time of Event (Mountain Time)","value":"08:16:51"},{"id":151,"name":"Denver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/c/Users/stu/AppData/Local/Temp/OnboardLogs/RTDC4002 --include="*4002*201711121*"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"%USERPROFILE%\AppData\Local\Temp\OnboardLogs"\RTDC4002\*4002*201711121* &gt;&gt; 2017-11-12-SliceDisagreementCheck.txt</v>
      </c>
      <c r="AE12" s="145" t="str">
        <f t="shared" si="9"/>
        <v>start /low /b %USERPROFILE%\Documents\GitHub\eaglep3\Utilities\DownloadLogsFromS3.py --loco 4002 --day 2017-11-12</v>
      </c>
      <c r="AF12" s="1"/>
    </row>
    <row r="13" spans="1:32" x14ac:dyDescent="0.25">
      <c r="A13" s="31">
        <v>43051.36037037037</v>
      </c>
      <c r="B13" s="30" t="s">
        <v>449</v>
      </c>
      <c r="C13" s="30" t="s">
        <v>646</v>
      </c>
      <c r="D13" s="30" t="s">
        <v>95</v>
      </c>
      <c r="E13" s="30" t="s">
        <v>356</v>
      </c>
      <c r="F13" s="42">
        <v>200</v>
      </c>
      <c r="G13" s="42">
        <v>260</v>
      </c>
      <c r="H13" s="42">
        <v>20131</v>
      </c>
      <c r="I13" s="42">
        <v>20999</v>
      </c>
      <c r="J13" s="30" t="s">
        <v>357</v>
      </c>
      <c r="K13" s="42">
        <v>10800</v>
      </c>
      <c r="L13" s="131" t="s">
        <v>50</v>
      </c>
      <c r="M13" s="132">
        <f t="shared" si="0"/>
        <v>-5385.0720000000001</v>
      </c>
      <c r="N13" s="133" t="str">
        <f>VLOOKUP(C13,'Trips&amp;Operators'!$C$1:$G$99911,5,FALSE)</f>
        <v>THOMPSON LESTER</v>
      </c>
      <c r="O13" s="176" t="s">
        <v>178</v>
      </c>
      <c r="P13" s="134" t="s">
        <v>1102</v>
      </c>
      <c r="Q13" s="30"/>
      <c r="R13" s="81" t="str">
        <f>VLOOKUP(C13,'Train Runs'!$A$13:$AE$10137,31,0)</f>
        <v>aws s3 cp s3://rtdc.mdm.uploadarchive.raw/RTDC4064/ "%USERPROFILE%\AppData\Local\Temp\OnboardLogs"\RTDC4064\2017-11-12 --exclude "*" --recursive --include "*20171112*" &amp; "%USERPROFILE%\Documents\GitHub\mrs-test-scripts\Headless Mode &amp; Sideloading\WalkAndUnGZ.bat" "%USERPROFILE%\AppData\Local\Temp\OnboardLogs"\RTDC4064\2017-11-12 &amp; aws s3 cp s3://rtdc.mdm.uploadarchive.raw/RTDC4064/ "%USERPROFILE%\AppData\Local\Temp\OnboardLogs"\RTDC4064\2017-11-13 --exclude "*" --recursive --include "*20171113*" &amp; "%USERPROFILE%\Documents\GitHub\mrs-test-scripts\Headless Mode &amp; Sideloading\WalkAndUnGZ.bat" "%USERPROFILE%\AppData\Local\Temp\OnboardLogs"\RTDC4064\2017-11-13</v>
      </c>
      <c r="S13" s="84" t="str">
        <f>VLOOKUP(C13,'Train Runs'!$A$13:$AE$10137,22,0)</f>
        <v>https://d0f6bd738d7f1b3e5a7ca70fe4ff75f0.us-east-1.aws.found.io/app/kibana#/discover/Steve-Slow-Train-Analysis-(2080s-and-2083s)?_g=(refreshInterval:(display:Off,pause:!f,section:0,value:0),time:(from:'2017-11-12T07:34:59-0700',mode:absolute,to:'2017-11-12T10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3" s="86" t="str">
        <f t="shared" si="1"/>
        <v>"C:\Program Files (x86)\AstroGrep\AstroGrep.exe" /e /r /s /spath="%USERPROFILE%\AppData\Local\Temp\OnboardLogs" /stypes="*4064*201711121*"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4064</v>
      </c>
      <c r="V13" s="31">
        <f t="shared" si="3"/>
        <v>43051.652037037034</v>
      </c>
      <c r="W13" s="45" t="str">
        <f t="shared" si="4"/>
        <v>EC</v>
      </c>
      <c r="X13" s="22">
        <f t="shared" si="5"/>
        <v>139</v>
      </c>
      <c r="Y13" s="96" t="str">
        <f t="shared" si="6"/>
        <v>echo {"issue":{"subject":"Mid-block init overspeed","project_id":79,"tracker_id":40,"status_id":1,"priority_id":2,"assigned_to_id":338,"start_date":"2017-11-12","description":"","custom_fields":[{"id":1,"name":"Subdivision","value":"EC"},{"id":4,"name":"Milepost","value":"1.08"},{"id":17,"name":"Train ID","value":"139-12"},{"id":16,"name":"Locomotive ID","value":"4064"},{"id":130,"name":"Impact","value":""},{"id":150,"name":"Time of Event (Mountain Time)","value":"08:38:56"},{"id":151,"name":"Denver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/c/Users/stu/AppData/Local/Temp/OnboardLogs/RTDC4064 --include="*4064*201711121*"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"%USERPROFILE%\AppData\Local\Temp\OnboardLogs"\RTDC4064\*4064*201711121* &gt;&gt; 2017-11-12-SliceDisagreementCheck.txt</v>
      </c>
      <c r="AE13" s="145" t="str">
        <f t="shared" si="9"/>
        <v>start /low /b %USERPROFILE%\Documents\GitHub\eaglep3\Utilities\DownloadLogsFromS3.py --loco 4064 --day 2017-11-12</v>
      </c>
      <c r="AF13" s="1"/>
    </row>
    <row r="14" spans="1:32" x14ac:dyDescent="0.25">
      <c r="A14" s="31">
        <v>43051.993321759262</v>
      </c>
      <c r="B14" s="30" t="s">
        <v>520</v>
      </c>
      <c r="C14" s="30" t="s">
        <v>660</v>
      </c>
      <c r="D14" s="30" t="s">
        <v>49</v>
      </c>
      <c r="E14" s="30" t="s">
        <v>356</v>
      </c>
      <c r="F14" s="42">
        <v>0</v>
      </c>
      <c r="G14" s="42">
        <v>119</v>
      </c>
      <c r="H14" s="42">
        <v>82367</v>
      </c>
      <c r="I14" s="42">
        <v>82167</v>
      </c>
      <c r="J14" s="30" t="s">
        <v>357</v>
      </c>
      <c r="K14" s="42">
        <v>81751</v>
      </c>
      <c r="L14" s="131" t="s">
        <v>51</v>
      </c>
      <c r="M14" s="132">
        <f t="shared" si="0"/>
        <v>219.648</v>
      </c>
      <c r="N14" s="133" t="str">
        <f>VLOOKUP(C14,'Trips&amp;Operators'!$C$1:$G$99911,5,FALSE)</f>
        <v>RESPASS AARON</v>
      </c>
      <c r="O14" s="176" t="s">
        <v>178</v>
      </c>
      <c r="P14" s="134" t="s">
        <v>1103</v>
      </c>
      <c r="Q14" s="30"/>
      <c r="R14" s="81" t="str">
        <f>VLOOKUP(C14,'Train Runs'!$A$13:$AE$10137,31,0)</f>
        <v>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 &amp; 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</v>
      </c>
      <c r="S14" s="84" t="str">
        <f>VLOOKUP(C14,'Train Runs'!$A$13:$AE$10137,22,0)</f>
        <v>https://d0f6bd738d7f1b3e5a7ca70fe4ff75f0.us-east-1.aws.found.io/app/kibana#/discover/Steve-Slow-Train-Analysis-(2080s-and-2083s)?_g=(refreshInterval:(display:Off,pause:!f,section:0,value:0),time:(from:'2017-11-12T22:47:11-0700',mode:absolute,to:'2017-11-13T03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4" s="86" t="str">
        <f t="shared" si="1"/>
        <v>"C:\Program Files (x86)\AstroGrep\AstroGrep.exe" /e /r /s /spath="%USERPROFILE%\AppData\Local\Temp\OnboardLogs" /stypes="*4051*201711130*" /stext=" 06:.+((SYSTEM_STATE.+slice.+state.+changed )|(ment ac)|(multiple cpu faults)|(system.+state.+changed )|(\[timeout)|(PRM\|1\|D)|(kpr)|(kdp)|(train st.+moving)|(\|lc)|(penalty))"</v>
      </c>
      <c r="U14" s="9" t="str">
        <f t="shared" si="2"/>
        <v>4051</v>
      </c>
      <c r="V14" s="31">
        <f t="shared" si="3"/>
        <v>43052.284988425927</v>
      </c>
      <c r="W14" s="45" t="str">
        <f t="shared" si="4"/>
        <v>EC</v>
      </c>
      <c r="X14" s="22">
        <f t="shared" si="5"/>
        <v>236</v>
      </c>
      <c r="Y14" s="96" t="str">
        <f t="shared" si="6"/>
        <v>echo {"issue":{"subject":"STOP aspect","project_id":79,"tracker_id":40,"status_id":1,"priority_id":2,"assigned_to_id":338,"start_date":"2017-11-12","description":"","custom_fields":[{"id":1,"name":"Subdivision","value":"EC"},{"id":4,"name":"Milepost","value":"8.1751"},{"id":17,"name":"Train ID","value":"236-12"},{"id":16,"name":"Locomotive ID","value":"4051"},{"id":130,"name":"Impact","value":""},{"id":150,"name":"Time of Event (Mountain Time)","value":"23:50:23"},{"id":151,"name":"Denver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/c/Users/stu/AppData/Local/Temp/OnboardLogs/RTDC4051 --include="*4051*201711130*"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"%USERPROFILE%\AppData\Local\Temp\OnboardLogs"\RTDC4051\*4051*201711130* &gt;&gt; 2017-11-12-SliceDisagreementCheck.txt</v>
      </c>
      <c r="AE14" s="145" t="str">
        <f t="shared" si="9"/>
        <v>start /low /b %USERPROFILE%\Documents\GitHub\eaglep3\Utilities\DownloadLogsFromS3.py --loco 4051 --day 2017-11-13</v>
      </c>
      <c r="AF14" s="1"/>
    </row>
    <row r="15" spans="1:32" x14ac:dyDescent="0.25">
      <c r="A15" s="31">
        <v>43051.33761574074</v>
      </c>
      <c r="B15" s="30" t="s">
        <v>536</v>
      </c>
      <c r="C15" s="30" t="s">
        <v>644</v>
      </c>
      <c r="D15" s="30" t="s">
        <v>49</v>
      </c>
      <c r="E15" s="30" t="s">
        <v>356</v>
      </c>
      <c r="F15" s="42">
        <v>0</v>
      </c>
      <c r="G15" s="42">
        <v>397</v>
      </c>
      <c r="H15" s="42">
        <v>117745</v>
      </c>
      <c r="I15" s="42">
        <v>118706</v>
      </c>
      <c r="J15" s="30" t="s">
        <v>357</v>
      </c>
      <c r="K15" s="42">
        <v>118739</v>
      </c>
      <c r="L15" s="131" t="s">
        <v>50</v>
      </c>
      <c r="M15" s="132">
        <f t="shared" si="0"/>
        <v>17.423999999999999</v>
      </c>
      <c r="N15" s="133" t="str">
        <f>VLOOKUP(C15,'Trips&amp;Operators'!$C$1:$G$99911,5,FALSE)</f>
        <v>PAGE MARCUS</v>
      </c>
      <c r="O15" s="176" t="s">
        <v>350</v>
      </c>
      <c r="P15" s="134" t="s">
        <v>472</v>
      </c>
      <c r="Q15" s="30"/>
      <c r="R15" s="81" t="str">
        <f>VLOOKUP(C15,'Train Runs'!$A$13:$AE$10137,31,0)</f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S15" s="84" t="str">
        <f>VLOOKUP(C15,'Train Runs'!$A$13:$AE$10137,22,0)</f>
        <v>https://d0f6bd738d7f1b3e5a7ca70fe4ff75f0.us-east-1.aws.found.io/app/kibana#/discover/Steve-Slow-Train-Analysis-(2080s-and-2083s)?_g=(refreshInterval:(display:Off,pause:!f,section:0,value:0),time:(from:'2017-11-12T06:35:58-0700',mode:absolute,to:'2017-11-12T09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5" s="86" t="str">
        <f t="shared" si="1"/>
        <v>"C:\Program Files (x86)\AstroGrep\AstroGrep.exe" /e /r /s /spath="%USERPROFILE%\AppData\Local\Temp\OnboardLogs" /stypes="*4016*201711121*"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4016</v>
      </c>
      <c r="V15" s="31">
        <f t="shared" si="3"/>
        <v>43051.629282407404</v>
      </c>
      <c r="W15" s="45" t="str">
        <f t="shared" si="4"/>
        <v>EC</v>
      </c>
      <c r="X15" s="22">
        <f t="shared" si="5"/>
        <v>133</v>
      </c>
      <c r="Y15" s="96" t="str">
        <f t="shared" si="6"/>
        <v>echo {"issue":{"subject":"Wi-MAX data drop","project_id":79,"tracker_id":40,"status_id":1,"priority_id":2,"assigned_to_id":338,"start_date":"2017-11-12","description":"","custom_fields":[{"id":1,"name":"Subdivision","value":"EC"},{"id":4,"name":"Milepost","value":"11.8739"},{"id":17,"name":"Train ID","value":"133-12"},{"id":16,"name":"Locomotive ID","value":"4016"},{"id":130,"name":"Impact","value":""},{"id":150,"name":"Time of Event (Mountain Time)","value":"08:06:10"},{"id":151,"name":"Denver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/c/Users/stu/AppData/Local/Temp/OnboardLogs/RTDC4016 --include="*4016*201711121*"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"%USERPROFILE%\AppData\Local\Temp\OnboardLogs"\RTDC4016\*4016*201711121* &gt;&gt; 2017-11-12-SliceDisagreementCheck.txt</v>
      </c>
      <c r="AE15" s="145" t="str">
        <f t="shared" si="9"/>
        <v>start /low /b %USERPROFILE%\Documents\GitHub\eaglep3\Utilities\DownloadLogsFromS3.py --loco 4016 --day 2017-11-12</v>
      </c>
      <c r="AF15" s="1"/>
    </row>
    <row r="16" spans="1:32" x14ac:dyDescent="0.25">
      <c r="A16" s="31">
        <v>43051.986643518518</v>
      </c>
      <c r="B16" s="30" t="s">
        <v>520</v>
      </c>
      <c r="C16" s="30" t="s">
        <v>660</v>
      </c>
      <c r="D16" s="30" t="s">
        <v>49</v>
      </c>
      <c r="E16" s="30" t="s">
        <v>356</v>
      </c>
      <c r="F16" s="42">
        <v>0</v>
      </c>
      <c r="G16" s="42">
        <v>11</v>
      </c>
      <c r="H16" s="42">
        <v>127750</v>
      </c>
      <c r="I16" s="42">
        <v>127675</v>
      </c>
      <c r="J16" s="30" t="s">
        <v>357</v>
      </c>
      <c r="K16" s="42">
        <v>127587</v>
      </c>
      <c r="L16" s="131" t="s">
        <v>51</v>
      </c>
      <c r="M16" s="132">
        <f t="shared" si="0"/>
        <v>46.463999999999999</v>
      </c>
      <c r="N16" s="133" t="str">
        <f>VLOOKUP(C16,'Trips&amp;Operators'!$C$1:$G$99911,5,FALSE)</f>
        <v>RESPASS AARON</v>
      </c>
      <c r="O16" s="176" t="s">
        <v>350</v>
      </c>
      <c r="P16" s="134" t="s">
        <v>472</v>
      </c>
      <c r="Q16" s="30"/>
      <c r="R16" s="81" t="str">
        <f>VLOOKUP(C16,'Train Runs'!$A$13:$AE$10137,31,0)</f>
        <v>aws s3 cp s3://rtdc.mdm.uploadarchive.raw/RTDC4051/ "%USERPROFILE%\AppData\Local\Temp\OnboardLogs"\RTDC4051\2017-11-13 --exclude "*" --recursive --include "*20171113*" &amp; "%USERPROFILE%\Documents\GitHub\mrs-test-scripts\Headless Mode &amp; Sideloading\WalkAndUnGZ.bat" "%USERPROFILE%\AppData\Local\Temp\OnboardLogs"\RTDC4051\2017-11-13 &amp; aws s3 cp s3://rtdc.mdm.uploadarchive.raw/RTDC4051/ "%USERPROFILE%\AppData\Local\Temp\OnboardLogs"\RTDC4051\2017-11-14 --exclude "*" --recursive --include "*20171114*" &amp; "%USERPROFILE%\Documents\GitHub\mrs-test-scripts\Headless Mode &amp; Sideloading\WalkAndUnGZ.bat" "%USERPROFILE%\AppData\Local\Temp\OnboardLogs"\RTDC4051\2017-11-14</v>
      </c>
      <c r="S16" s="84" t="str">
        <f>VLOOKUP(C16,'Train Runs'!$A$13:$AE$10137,22,0)</f>
        <v>https://d0f6bd738d7f1b3e5a7ca70fe4ff75f0.us-east-1.aws.found.io/app/kibana#/discover/Steve-Slow-Train-Analysis-(2080s-and-2083s)?_g=(refreshInterval:(display:Off,pause:!f,section:0,value:0),time:(from:'2017-11-12T22:47:11-0700',mode:absolute,to:'2017-11-13T03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6" s="86" t="str">
        <f t="shared" si="1"/>
        <v>"C:\Program Files (x86)\AstroGrep\AstroGrep.exe" /e /r /s /spath="%USERPROFILE%\AppData\Local\Temp\OnboardLogs" /stypes="*4051*201711130*" /stext=" 06:.+((SYSTEM_STATE.+slice.+state.+changed )|(ment ac)|(multiple cpu faults)|(system.+state.+changed )|(\[timeout)|(PRM\|1\|D)|(kpr)|(kdp)|(train st.+moving)|(\|lc)|(penalty))"</v>
      </c>
      <c r="U16" s="9" t="str">
        <f t="shared" si="2"/>
        <v>4051</v>
      </c>
      <c r="V16" s="31">
        <f t="shared" si="3"/>
        <v>43052.278310185182</v>
      </c>
      <c r="W16" s="45" t="str">
        <f t="shared" si="4"/>
        <v>EC</v>
      </c>
      <c r="X16" s="22">
        <f t="shared" si="5"/>
        <v>236</v>
      </c>
      <c r="Y16" s="96" t="str">
        <f t="shared" si="6"/>
        <v>echo {"issue":{"subject":"Wi-MAX data drop","project_id":79,"tracker_id":40,"status_id":1,"priority_id":2,"assigned_to_id":338,"start_date":"2017-11-12","description":"","custom_fields":[{"id":1,"name":"Subdivision","value":"EC"},{"id":4,"name":"Milepost","value":"12.7587"},{"id":17,"name":"Train ID","value":"236-12"},{"id":16,"name":"Locomotive ID","value":"4051"},{"id":130,"name":"Impact","value":""},{"id":150,"name":"Time of Event (Mountain Time)","value":"23:40:46"},{"id":151,"name":"Denver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/c/Users/stu/AppData/Local/Temp/OnboardLogs/RTDC4051 --include="*4051*201711130*"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"%USERPROFILE%\AppData\Local\Temp\OnboardLogs"\RTDC4051\*4051*201711130* &gt;&gt; 2017-11-12-SliceDisagreementCheck.txt</v>
      </c>
      <c r="AE16" s="145" t="str">
        <f t="shared" si="9"/>
        <v>start /low /b %USERPROFILE%\Documents\GitHub\eaglep3\Utilities\DownloadLogsFromS3.py --loco 4051 --day 2017-11-13</v>
      </c>
      <c r="AF16" s="1"/>
    </row>
    <row r="17" spans="1:32" x14ac:dyDescent="0.25">
      <c r="A17" s="31">
        <v>43051.472569444442</v>
      </c>
      <c r="B17" s="30" t="s">
        <v>485</v>
      </c>
      <c r="C17" s="30" t="s">
        <v>651</v>
      </c>
      <c r="D17" s="30" t="s">
        <v>49</v>
      </c>
      <c r="E17" s="30" t="s">
        <v>356</v>
      </c>
      <c r="F17" s="42">
        <v>0</v>
      </c>
      <c r="G17" s="42">
        <v>52</v>
      </c>
      <c r="H17" s="42">
        <v>227935</v>
      </c>
      <c r="I17" s="42">
        <v>227998</v>
      </c>
      <c r="J17" s="30" t="s">
        <v>357</v>
      </c>
      <c r="K17" s="42">
        <v>228572</v>
      </c>
      <c r="L17" s="131" t="s">
        <v>50</v>
      </c>
      <c r="M17" s="132">
        <f t="shared" si="0"/>
        <v>303.072</v>
      </c>
      <c r="N17" s="133" t="str">
        <f>VLOOKUP(C17,'Trips&amp;Operators'!$C$1:$G$99911,5,FALSE)</f>
        <v>STEWART MICHAEL</v>
      </c>
      <c r="O17" s="176" t="s">
        <v>178</v>
      </c>
      <c r="P17" s="134" t="s">
        <v>1103</v>
      </c>
      <c r="Q17" s="30"/>
      <c r="R17" s="81" t="str">
        <f>VLOOKUP(C17,'Train Runs'!$A$13:$AE$10137,31,0)</f>
        <v>aws s3 cp s3://rtdc.mdm.uploadarchive.raw/RTDC4042/ "%USERPROFILE%\AppData\Local\Temp\OnboardLogs"\RTDC4042\2017-11-12 --exclude "*" --recursive --include "*20171112*" &amp; "%USERPROFILE%\Documents\GitHub\mrs-test-scripts\Headless Mode &amp; Sideloading\WalkAndUnGZ.bat" "%USERPROFILE%\AppData\Local\Temp\OnboardLogs"\RTDC4042\2017-11-12 &amp; aws s3 cp s3://rtdc.mdm.uploadarchive.raw/RTDC4042/ "%USERPROFILE%\AppData\Local\Temp\OnboardLogs"\RTDC4042\2017-11-13 --exclude "*" --recursive --include "*20171113*" &amp; "%USERPROFILE%\Documents\GitHub\mrs-test-scripts\Headless Mode &amp; Sideloading\WalkAndUnGZ.bat" "%USERPROFILE%\AppData\Local\Temp\OnboardLogs"\RTDC4042\2017-11-13</v>
      </c>
      <c r="S17" s="84" t="str">
        <f>VLOOKUP(C17,'Train Runs'!$A$13:$AE$10137,22,0)</f>
        <v>https://d0f6bd738d7f1b3e5a7ca70fe4ff75f0.us-east-1.aws.found.io/app/kibana#/discover/Steve-Slow-Train-Analysis-(2080s-and-2083s)?_g=(refreshInterval:(display:Off,pause:!f,section:0,value:0),time:(from:'2017-11-12T09:38:21-0700',mode:absolute,to:'2017-11-12T12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7" s="86" t="str">
        <f t="shared" si="1"/>
        <v>"C:\Program Files (x86)\AstroGrep\AstroGrep.exe" /e /r /s /spath="%USERPROFILE%\AppData\Local\Temp\OnboardLogs" /stypes="*4042*201711121*" /stext=" 18:.+((SYSTEM_STATE.+slice.+state.+changed )|(ment ac)|(multiple cpu faults)|(system.+state.+changed )|(\[timeout)|(PRM\|1\|D)|(kpr)|(kdp)|(train st.+moving)|(\|lc)|(penalty))"</v>
      </c>
      <c r="U17" s="9" t="str">
        <f t="shared" si="2"/>
        <v>4042</v>
      </c>
      <c r="V17" s="31">
        <f t="shared" si="3"/>
        <v>43051.764236111107</v>
      </c>
      <c r="W17" s="45" t="str">
        <f t="shared" si="4"/>
        <v>EC</v>
      </c>
      <c r="X17" s="22">
        <f t="shared" si="5"/>
        <v>157</v>
      </c>
      <c r="Y17" s="96" t="str">
        <f t="shared" si="6"/>
        <v>echo {"issue":{"subject":"STOP aspect","project_id":79,"tracker_id":40,"status_id":1,"priority_id":2,"assigned_to_id":338,"start_date":"2017-11-12","description":"","custom_fields":[{"id":1,"name":"Subdivision","value":"EC"},{"id":4,"name":"Milepost","value":"22.8572"},{"id":17,"name":"Train ID","value":"157-12"},{"id":16,"name":"Locomotive ID","value":"4042"},{"id":130,"name":"Impact","value":""},{"id":150,"name":"Time of Event (Mountain Time)","value":"11:20:30"},{"id":151,"name":"Denver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/c/Users/stu/AppData/Local/Temp/OnboardLogs/RTDC4042 --include="*4042*201711121*"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"%USERPROFILE%\AppData\Local\Temp\OnboardLogs"\RTDC4042\*4042*201711121* &gt;&gt; 2017-11-12-SliceDisagreementCheck.txt</v>
      </c>
      <c r="AE17" s="145" t="str">
        <f t="shared" si="9"/>
        <v>start /low /b %USERPROFILE%\Documents\GitHub\eaglep3\Utilities\DownloadLogsFromS3.py --loco 4042 --day 2017-11-12</v>
      </c>
      <c r="AF17" s="1"/>
    </row>
    <row r="18" spans="1:32" x14ac:dyDescent="0.25">
      <c r="A18" s="31">
        <v>43051.338761574072</v>
      </c>
      <c r="B18" s="30" t="s">
        <v>536</v>
      </c>
      <c r="C18" s="30" t="s">
        <v>644</v>
      </c>
      <c r="D18" s="30" t="s">
        <v>49</v>
      </c>
      <c r="E18" s="30" t="s">
        <v>511</v>
      </c>
      <c r="F18" s="42">
        <v>0</v>
      </c>
      <c r="G18" s="42">
        <v>601</v>
      </c>
      <c r="H18" s="42">
        <v>123704</v>
      </c>
      <c r="I18" s="42">
        <v>126418</v>
      </c>
      <c r="J18" s="30" t="s">
        <v>512</v>
      </c>
      <c r="K18" s="42">
        <v>126678</v>
      </c>
      <c r="L18" s="131" t="s">
        <v>50</v>
      </c>
      <c r="M18" s="132">
        <f t="shared" si="0"/>
        <v>137.28</v>
      </c>
      <c r="N18" s="133" t="str">
        <f>VLOOKUP(C18,'Trips&amp;Operators'!$C$1:$G$99911,5,FALSE)</f>
        <v>PAGE MARCUS</v>
      </c>
      <c r="O18" s="176" t="s">
        <v>350</v>
      </c>
      <c r="P18" s="134" t="s">
        <v>472</v>
      </c>
      <c r="Q18" s="30"/>
      <c r="R18" s="81" t="str">
        <f>VLOOKUP(C18,'Train Runs'!$A$13:$AE$10137,31,0)</f>
        <v>aws s3 cp s3://rtdc.mdm.uploadarchive.raw/RTDC4016/ "%USERPROFILE%\AppData\Local\Temp\OnboardLogs"\RTDC4016\2017-11-12 --exclude "*" --recursive --include "*20171112*" &amp; "%USERPROFILE%\Documents\GitHub\mrs-test-scripts\Headless Mode &amp; Sideloading\WalkAndUnGZ.bat" "%USERPROFILE%\AppData\Local\Temp\OnboardLogs"\RTDC4016\2017-11-12 &amp; aws s3 cp s3://rtdc.mdm.uploadarchive.raw/RTDC4016/ "%USERPROFILE%\AppData\Local\Temp\OnboardLogs"\RTDC4016\2017-11-13 --exclude "*" --recursive --include "*20171113*" &amp; "%USERPROFILE%\Documents\GitHub\mrs-test-scripts\Headless Mode &amp; Sideloading\WalkAndUnGZ.bat" "%USERPROFILE%\AppData\Local\Temp\OnboardLogs"\RTDC4016\2017-11-13</v>
      </c>
      <c r="S18" s="84" t="str">
        <f>VLOOKUP(C18,'Train Runs'!$A$13:$AE$10137,22,0)</f>
        <v>https://d0f6bd738d7f1b3e5a7ca70fe4ff75f0.us-east-1.aws.found.io/app/kibana#/discover/Steve-Slow-Train-Analysis-(2080s-and-2083s)?_g=(refreshInterval:(display:Off,pause:!f,section:0,value:0),time:(from:'2017-11-12T06:35:58-0700',mode:absolute,to:'2017-11-12T09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8" s="86" t="str">
        <f t="shared" si="1"/>
        <v>"C:\Program Files (x86)\AstroGrep\AstroGrep.exe" /e /r /s /spath="%USERPROFILE%\AppData\Local\Temp\OnboardLogs" /stypes="*4016*201711121*"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4016</v>
      </c>
      <c r="V18" s="31">
        <f t="shared" si="3"/>
        <v>43051.630428240736</v>
      </c>
      <c r="W18" s="45" t="str">
        <f t="shared" si="4"/>
        <v>EC</v>
      </c>
      <c r="X18" s="22">
        <f t="shared" si="5"/>
        <v>133</v>
      </c>
      <c r="Y18" s="96" t="str">
        <f t="shared" si="6"/>
        <v>echo {"issue":{"subject":"Wi-MAX data drop","project_id":79,"tracker_id":40,"status_id":1,"priority_id":2,"assigned_to_id":338,"start_date":"2017-11-12","description":"","custom_fields":[{"id":1,"name":"Subdivision","value":"EC"},{"id":4,"name":"Milepost","value":"12.6678"},{"id":17,"name":"Train ID","value":"133-12"},{"id":16,"name":"Locomotive ID","value":"4016"},{"id":130,"name":"Impact","value":""},{"id":150,"name":"Time of Event (Mountain Time)","value":"08:07:49"},{"id":151,"name":"Denver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/c/Users/stu/AppData/Local/Temp/OnboardLogs/RTDC4016 --include="*4016*201711121*"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"%USERPROFILE%\AppData\Local\Temp\OnboardLogs"\RTDC4016\*4016*201711121* &gt;&gt; 2017-11-12-SliceDisagreementCheck.txt</v>
      </c>
      <c r="AE18" s="145" t="str">
        <f t="shared" si="9"/>
        <v>start /low /b %USERPROFILE%\Documents\GitHub\eaglep3\Utilities\DownloadLogsFromS3.py --loco 4016 --day 2017-11-12</v>
      </c>
      <c r="AF18" s="1"/>
    </row>
    <row r="19" spans="1:32" x14ac:dyDescent="0.25">
      <c r="A19" s="31">
        <v>43051.456990740742</v>
      </c>
      <c r="B19" s="30" t="s">
        <v>484</v>
      </c>
      <c r="C19" s="30" t="s">
        <v>650</v>
      </c>
      <c r="D19" s="30" t="s">
        <v>95</v>
      </c>
      <c r="E19" s="30" t="s">
        <v>511</v>
      </c>
      <c r="F19" s="42">
        <v>0</v>
      </c>
      <c r="G19" s="42">
        <v>163</v>
      </c>
      <c r="H19" s="42">
        <v>231372</v>
      </c>
      <c r="I19" s="42">
        <v>0</v>
      </c>
      <c r="J19" s="30" t="s">
        <v>512</v>
      </c>
      <c r="K19" s="42">
        <v>231650</v>
      </c>
      <c r="L19" s="131" t="s">
        <v>51</v>
      </c>
      <c r="M19" s="132">
        <f t="shared" si="0"/>
        <v>-122311.2</v>
      </c>
      <c r="N19" s="133" t="str">
        <f>VLOOKUP(C19,'Trips&amp;Operators'!$C$1:$G$99911,5,FALSE)</f>
        <v>GEBRETEKLE DAGNEW</v>
      </c>
      <c r="O19" s="176" t="s">
        <v>350</v>
      </c>
      <c r="P19" s="134" t="s">
        <v>472</v>
      </c>
      <c r="Q19" s="30"/>
      <c r="R19" s="81" t="str">
        <f>VLOOKUP(C19,'Train Runs'!$A$13:$AE$10137,31,0)</f>
        <v>aws s3 cp s3://rtdc.mdm.uploadarchive.raw/RTDC4001/ "%USERPROFILE%\AppData\Local\Temp\OnboardLogs"\RTDC4001\2017-11-12 --exclude "*" --recursive --include "*20171112*" &amp; "%USERPROFILE%\Documents\GitHub\mrs-test-scripts\Headless Mode &amp; Sideloading\WalkAndUnGZ.bat" "%USERPROFILE%\AppData\Local\Temp\OnboardLogs"\RTDC4001\2017-11-12 &amp; 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</v>
      </c>
      <c r="S19" s="84" t="str">
        <f>VLOOKUP(C19,'Train Runs'!$A$13:$AE$10137,22,0)</f>
        <v>https://d0f6bd738d7f1b3e5a7ca70fe4ff75f0.us-east-1.aws.found.io/app/kibana#/discover/Steve-Slow-Train-Analysis-(2080s-and-2083s)?_g=(refreshInterval:(display:Off,pause:!f,section:0,value:0),time:(from:'2017-11-12T09:37:25-0700',mode:absolute,to:'2017-11-12T12:31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86" t="str">
        <f t="shared" si="1"/>
        <v>"C:\Program Files (x86)\AstroGrep\AstroGrep.exe" /e /r /s /spath="%USERPROFILE%\AppData\Local\Temp\OnboardLogs" /stypes="*4001*201711121*"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4001</v>
      </c>
      <c r="V19" s="31">
        <f t="shared" si="3"/>
        <v>43051.748657407406</v>
      </c>
      <c r="W19" s="45" t="str">
        <f t="shared" si="4"/>
        <v>EC</v>
      </c>
      <c r="X19" s="22">
        <f t="shared" si="5"/>
        <v>152</v>
      </c>
      <c r="Y19" s="96" t="str">
        <f t="shared" si="6"/>
        <v>echo {"issue":{"subject":"Wi-MAX data drop","project_id":79,"tracker_id":40,"status_id":1,"priority_id":2,"assigned_to_id":338,"start_date":"2017-11-12","description":"","custom_fields":[{"id":1,"name":"Subdivision","value":"EC"},{"id":4,"name":"Milepost","value":"23.165"},{"id":17,"name":"Train ID","value":"152-12"},{"id":16,"name":"Locomotive ID","value":"4001"},{"id":130,"name":"Impact","value":""},{"id":150,"name":"Time of Event (Mountain Time)","value":"10:58:04"},{"id":151,"name":"Denver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/c/Users/stu/AppData/Local/Temp/OnboardLogs/RTDC4001 --include="*4001*201711121*"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"%USERPROFILE%\AppData\Local\Temp\OnboardLogs"\RTDC4001\*4001*201711121* &gt;&gt; 2017-11-12-SliceDisagreementCheck.txt</v>
      </c>
      <c r="AE19" s="145" t="str">
        <f t="shared" si="9"/>
        <v>start /low /b %USERPROFILE%\Documents\GitHub\eaglep3\Utilities\DownloadLogsFromS3.py --loco 4001 --day 2017-11-12</v>
      </c>
      <c r="AF19" s="1"/>
    </row>
    <row r="20" spans="1:32" x14ac:dyDescent="0.25">
      <c r="A20" s="31">
        <v>43051.586689814816</v>
      </c>
      <c r="B20" s="30" t="s">
        <v>448</v>
      </c>
      <c r="C20" s="30" t="s">
        <v>652</v>
      </c>
      <c r="D20" s="30" t="s">
        <v>49</v>
      </c>
      <c r="E20" s="30" t="s">
        <v>482</v>
      </c>
      <c r="F20" s="42">
        <v>0</v>
      </c>
      <c r="G20" s="42">
        <v>178</v>
      </c>
      <c r="H20" s="42">
        <v>865</v>
      </c>
      <c r="I20" s="42">
        <v>668</v>
      </c>
      <c r="J20" s="30" t="s">
        <v>483</v>
      </c>
      <c r="K20" s="42">
        <v>1</v>
      </c>
      <c r="L20" s="131" t="s">
        <v>51</v>
      </c>
      <c r="M20" s="132">
        <f t="shared" si="0"/>
        <v>352.17599999999999</v>
      </c>
      <c r="N20" s="133" t="str">
        <f>VLOOKUP(C20,'Trips&amp;Operators'!$C$1:$G$99911,5,FALSE)</f>
        <v>STEWART MICHAEL</v>
      </c>
      <c r="O20" s="176" t="s">
        <v>178</v>
      </c>
      <c r="P20" s="134"/>
      <c r="Q20" s="30"/>
      <c r="R20" s="81" t="str">
        <f>VLOOKUP(C20,'Train Runs'!$A$13:$AE$10137,31,0)</f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S20" s="84" t="str">
        <f>VLOOKUP(C20,'Train Runs'!$A$13:$AE$10137,22,0)</f>
        <v>https://d0f6bd738d7f1b3e5a7ca70fe4ff75f0.us-east-1.aws.found.io/app/kibana#/discover/Steve-Slow-Train-Analysis-(2080s-and-2083s)?_g=(refreshInterval:(display:Off,pause:!f,section:0,value:0),time:(from:'2017-11-12T12:21:40-0700',mode:absolute,to:'2017-11-12T15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86" t="str">
        <f t="shared" si="1"/>
        <v>"C:\Program Files (x86)\AstroGrep\AstroGrep.exe" /e /r /s /spath="%USERPROFILE%\AppData\Local\Temp\OnboardLogs" /stypes="*4041*201711122*"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4041</v>
      </c>
      <c r="V20" s="31">
        <f t="shared" si="3"/>
        <v>43051.87835648148</v>
      </c>
      <c r="W20" s="45" t="str">
        <f t="shared" si="4"/>
        <v>EC</v>
      </c>
      <c r="X20" s="22">
        <f t="shared" si="5"/>
        <v>172</v>
      </c>
      <c r="Y20" s="96" t="str">
        <f t="shared" si="6"/>
        <v>echo {"issue":{"subject":"","project_id":79,"tracker_id":40,"status_id":1,"priority_id":2,"assigned_to_id":338,"start_date":"2017-11-12","description":"","custom_fields":[{"id":1,"name":"Subdivision","value":"EC"},{"id":4,"name":"Milepost","value":"0.0001"},{"id":17,"name":"Train ID","value":"172-12"},{"id":16,"name":"Locomotive ID","value":"4041"},{"id":130,"name":"Impact","value":""},{"id":150,"name":"Time of Event (Mountain Time)","value":"14:04:50"},{"id":151,"name":"Denver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/c/Users/stu/AppData/Local/Temp/OnboardLogs/RTDC4041 --include="*4041*201711122*"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"%USERPROFILE%\AppData\Local\Temp\OnboardLogs"\RTDC4041\*4041*201711122* &gt;&gt; 2017-11-12-SliceDisagreementCheck.txt</v>
      </c>
      <c r="AE20" s="145" t="str">
        <f t="shared" si="9"/>
        <v>start /low /b %USERPROFILE%\Documents\GitHub\eaglep3\Utilities\DownloadLogsFromS3.py --loco 4041 --day 2017-11-12</v>
      </c>
      <c r="AF20" s="1"/>
    </row>
    <row r="21" spans="1:32" x14ac:dyDescent="0.25">
      <c r="A21" s="31">
        <v>43051.660104166665</v>
      </c>
      <c r="B21" s="30" t="s">
        <v>448</v>
      </c>
      <c r="C21" s="30" t="s">
        <v>655</v>
      </c>
      <c r="D21" s="30" t="s">
        <v>49</v>
      </c>
      <c r="E21" s="30" t="s">
        <v>482</v>
      </c>
      <c r="F21" s="42">
        <v>0</v>
      </c>
      <c r="G21" s="42">
        <v>151</v>
      </c>
      <c r="H21" s="42">
        <v>622</v>
      </c>
      <c r="I21" s="42">
        <v>433</v>
      </c>
      <c r="J21" s="30" t="s">
        <v>483</v>
      </c>
      <c r="K21" s="42">
        <v>1</v>
      </c>
      <c r="L21" s="131" t="s">
        <v>51</v>
      </c>
      <c r="M21" s="132">
        <f t="shared" si="0"/>
        <v>228.096</v>
      </c>
      <c r="N21" s="133" t="str">
        <f>VLOOKUP(C21,'Trips&amp;Operators'!$C$1:$G$99911,5,FALSE)</f>
        <v>STEWART MICHAEL</v>
      </c>
      <c r="O21" s="176" t="s">
        <v>178</v>
      </c>
      <c r="P21" s="134"/>
      <c r="Q21" s="30"/>
      <c r="R21" s="81" t="str">
        <f>VLOOKUP(C21,'Train Runs'!$A$13:$AE$10137,31,0)</f>
        <v>aws s3 cp s3://rtdc.mdm.uploadarchive.raw/RTDC4041/ "%USERPROFILE%\AppData\Local\Temp\OnboardLogs"\RTDC4041\2017-11-12 --exclude "*" --recursive --include "*20171112*" &amp; "%USERPROFILE%\Documents\GitHub\mrs-test-scripts\Headless Mode &amp; Sideloading\WalkAndUnGZ.bat" "%USERPROFILE%\AppData\Local\Temp\OnboardLogs"\RTDC4041\2017-11-12 &amp; aws s3 cp s3://rtdc.mdm.uploadarchive.raw/RTDC4041/ "%USERPROFILE%\AppData\Local\Temp\OnboardLogs"\RTDC4041\2017-11-13 --exclude "*" --recursive --include "*20171113*" &amp; "%USERPROFILE%\Documents\GitHub\mrs-test-scripts\Headless Mode &amp; Sideloading\WalkAndUnGZ.bat" "%USERPROFILE%\AppData\Local\Temp\OnboardLogs"\RTDC4041\2017-11-13</v>
      </c>
      <c r="S21" s="84" t="str">
        <f>VLOOKUP(C21,'Train Runs'!$A$13:$AE$10137,22,0)</f>
        <v>https://d0f6bd738d7f1b3e5a7ca70fe4ff75f0.us-east-1.aws.found.io/app/kibana#/discover/Steve-Slow-Train-Analysis-(2080s-and-2083s)?_g=(refreshInterval:(display:Off,pause:!f,section:0,value:0),time:(from:'2017-11-12T14:11:03-0700',mode:absolute,to:'2017-11-12T16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6" t="str">
        <f t="shared" si="1"/>
        <v>"C:\Program Files (x86)\AstroGrep\AstroGrep.exe" /e /r /s /spath="%USERPROFILE%\AppData\Local\Temp\OnboardLogs" /stypes="*4041*201711122*"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43051.95177083333</v>
      </c>
      <c r="W21" s="45" t="str">
        <f t="shared" si="4"/>
        <v>EC</v>
      </c>
      <c r="X21" s="22">
        <f t="shared" si="5"/>
        <v>186</v>
      </c>
      <c r="Y21" s="96" t="str">
        <f t="shared" si="6"/>
        <v>echo {"issue":{"subject":"","project_id":79,"tracker_id":40,"status_id":1,"priority_id":2,"assigned_to_id":338,"start_date":"2017-11-12","description":"","custom_fields":[{"id":1,"name":"Subdivision","value":"EC"},{"id":4,"name":"Milepost","value":"0.0001"},{"id":17,"name":"Train ID","value":"186-12"},{"id":16,"name":"Locomotive ID","value":"4041"},{"id":130,"name":"Impact","value":""},{"id":150,"name":"Time of Event (Mountain Time)","value":"15:50:33"},{"id":151,"name":"Denver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/c/Users/stu/AppData/Local/Temp/OnboardLogs/RTDC4041 --include="*4041*201711122*"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"%USERPROFILE%\AppData\Local\Temp\OnboardLogs"\RTDC4041\*4041*201711122* &gt;&gt; 2017-11-12-SliceDisagreementCheck.txt</v>
      </c>
      <c r="AE21" s="145" t="str">
        <f t="shared" si="9"/>
        <v>start /low /b %USERPROFILE%\Documents\GitHub\eaglep3\Utilities\DownloadLogsFromS3.py --loco 4041 --day 2017-11-12</v>
      </c>
      <c r="AF21" s="1"/>
    </row>
    <row r="22" spans="1:32" x14ac:dyDescent="0.25">
      <c r="A22" s="31">
        <v>43051.28396990741</v>
      </c>
      <c r="B22" s="30" t="s">
        <v>374</v>
      </c>
      <c r="C22" s="30" t="s">
        <v>643</v>
      </c>
      <c r="D22" s="30" t="s">
        <v>49</v>
      </c>
      <c r="E22" s="30" t="s">
        <v>190</v>
      </c>
      <c r="F22" s="42">
        <v>300</v>
      </c>
      <c r="G22" s="42">
        <v>511</v>
      </c>
      <c r="H22" s="42">
        <v>25180</v>
      </c>
      <c r="I22" s="42">
        <v>23761</v>
      </c>
      <c r="J22" s="30" t="s">
        <v>191</v>
      </c>
      <c r="K22" s="42">
        <v>23491</v>
      </c>
      <c r="L22" s="131" t="s">
        <v>51</v>
      </c>
      <c r="M22" s="132">
        <f t="shared" si="0"/>
        <v>142.56</v>
      </c>
      <c r="N22" s="133" t="str">
        <f>VLOOKUP(C22,'Trips&amp;Operators'!$C$1:$G$99911,5,FALSE)</f>
        <v>MACDONALD THOMAS</v>
      </c>
      <c r="O22" s="176" t="s">
        <v>178</v>
      </c>
      <c r="P22" s="134"/>
      <c r="Q22" s="30"/>
      <c r="R22" s="81" t="str">
        <f>VLOOKUP(C22,'Train Runs'!$A$13:$AE$10137,31,0)</f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S22" s="84" t="str">
        <f>VLOOKUP(C22,'Train Runs'!$A$13:$AE$10137,22,0)</f>
        <v>https://d0f6bd738d7f1b3e5a7ca70fe4ff75f0.us-east-1.aws.found.io/app/kibana#/discover/Steve-Slow-Train-Analysis-(2080s-and-2083s)?_g=(refreshInterval:(display:Off,pause:!f,section:0,value:0),time:(from:'2017-11-12T05:23:50-0700',mode:absolute,to:'2017-11-12T07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2" s="86" t="str">
        <f t="shared" si="1"/>
        <v>"C:\Program Files (x86)\AstroGrep\AstroGrep.exe" /e /r /s /spath="%USERPROFILE%\AppData\Local\Temp\OnboardLogs" /stypes="*4011*201711121*"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4011</v>
      </c>
      <c r="V22" s="31">
        <f t="shared" si="3"/>
        <v>43051.575636574074</v>
      </c>
      <c r="W22" s="45" t="str">
        <f t="shared" si="4"/>
        <v>NW</v>
      </c>
      <c r="X22" s="22">
        <f t="shared" si="5"/>
        <v>1802</v>
      </c>
      <c r="Y22" s="96" t="str">
        <f t="shared" si="6"/>
        <v>echo {"issue":{"subject":"","project_id":79,"tracker_id":40,"status_id":1,"priority_id":2,"assigned_to_id":338,"start_date":"2017-11-12","description":"","custom_fields":[{"id":1,"name":"Subdivision","value":"NW"},{"id":4,"name":"Milepost","value":"2.3491"},{"id":17,"name":"Train ID","value":"1802-12"},{"id":16,"name":"Locomotive ID","value":"4011"},{"id":130,"name":"Impact","value":""},{"id":150,"name":"Time of Event (Mountain Time)","value":"06:48:55"},{"id":151,"name":"Denver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/c/Users/stu/AppData/Local/Temp/OnboardLogs/RTDC4011 --include="*4011*201711121*"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"%USERPROFILE%\AppData\Local\Temp\OnboardLogs"\RTDC4011\*4011*201711121* &gt;&gt; 2017-11-12-SliceDisagreementCheck.txt</v>
      </c>
      <c r="AE22" s="145" t="str">
        <f t="shared" si="9"/>
        <v>start /low /b %USERPROFILE%\Documents\GitHub\eaglep3\Utilities\DownloadLogsFromS3.py --loco 4011 --day 2017-11-12</v>
      </c>
      <c r="AF22" s="1"/>
    </row>
    <row r="23" spans="1:32" x14ac:dyDescent="0.25">
      <c r="A23" s="31">
        <v>43051.450300925928</v>
      </c>
      <c r="B23" s="30" t="s">
        <v>374</v>
      </c>
      <c r="C23" s="30" t="s">
        <v>649</v>
      </c>
      <c r="D23" s="30" t="s">
        <v>49</v>
      </c>
      <c r="E23" s="30" t="s">
        <v>190</v>
      </c>
      <c r="F23" s="42">
        <v>300</v>
      </c>
      <c r="G23" s="42">
        <v>475</v>
      </c>
      <c r="H23" s="42">
        <v>24972</v>
      </c>
      <c r="I23" s="42">
        <v>23567</v>
      </c>
      <c r="J23" s="30" t="s">
        <v>191</v>
      </c>
      <c r="K23" s="42">
        <v>23561</v>
      </c>
      <c r="L23" s="131" t="s">
        <v>51</v>
      </c>
      <c r="M23" s="132">
        <f t="shared" si="0"/>
        <v>3.1680000000000001</v>
      </c>
      <c r="N23" s="133" t="str">
        <f>VLOOKUP(C23,'Trips&amp;Operators'!$C$1:$G$99911,5,FALSE)</f>
        <v>MACDONALD THOMAS</v>
      </c>
      <c r="O23" s="176" t="s">
        <v>178</v>
      </c>
      <c r="P23" s="134"/>
      <c r="Q23" s="30"/>
      <c r="R23" s="81" t="str">
        <f>VLOOKUP(C23,'Train Runs'!$A$13:$AE$10137,31,0)</f>
        <v>aws s3 cp s3://rtdc.mdm.uploadarchive.raw/RTDC4011/ "%USERPROFILE%\AppData\Local\Temp\OnboardLogs"\RTDC4011\2017-11-12 --exclude "*" --recursive --include "*20171112*" &amp; "%USERPROFILE%\Documents\GitHub\mrs-test-scripts\Headless Mode &amp; Sideloading\WalkAndUnGZ.bat" "%USERPROFILE%\AppData\Local\Temp\OnboardLogs"\RTDC4011\2017-11-12 &amp; 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</v>
      </c>
      <c r="S23" s="84" t="str">
        <f>VLOOKUP(C23,'Train Runs'!$A$13:$AE$10137,22,0)</f>
        <v>https://d0f6bd738d7f1b3e5a7ca70fe4ff75f0.us-east-1.aws.found.io/app/kibana#/discover/Steve-Slow-Train-Analysis-(2080s-and-2083s)?_g=(refreshInterval:(display:Off,pause:!f,section:0,value:0),time:(from:'2017-11-12T09:24:47-0700',mode:absolute,to:'2017-11-12T11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3" s="86" t="str">
        <f t="shared" si="1"/>
        <v>"C:\Program Files (x86)\AstroGrep\AstroGrep.exe" /e /r /s /spath="%USERPROFILE%\AppData\Local\Temp\OnboardLogs" /stypes="*4011*201711121*"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4011</v>
      </c>
      <c r="V23" s="31">
        <f t="shared" si="3"/>
        <v>43051.741967592592</v>
      </c>
      <c r="W23" s="45" t="str">
        <f t="shared" si="4"/>
        <v>NW</v>
      </c>
      <c r="X23" s="22">
        <f t="shared" si="5"/>
        <v>1810</v>
      </c>
      <c r="Y23" s="96" t="str">
        <f t="shared" si="6"/>
        <v>echo {"issue":{"subject":"","project_id":79,"tracker_id":40,"status_id":1,"priority_id":2,"assigned_to_id":338,"start_date":"2017-11-12","description":"","custom_fields":[{"id":1,"name":"Subdivision","value":"NW"},{"id":4,"name":"Milepost","value":"2.3561"},{"id":17,"name":"Train ID","value":"1810-12"},{"id":16,"name":"Locomotive ID","value":"4011"},{"id":130,"name":"Impact","value":""},{"id":150,"name":"Time of Event (Mountain Time)","value":"10:48:26"},{"id":151,"name":"Denver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/c/Users/stu/AppData/Local/Temp/OnboardLogs/RTDC4011 --include="*4011*201711121*"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"%USERPROFILE%\AppData\Local\Temp\OnboardLogs"\RTDC4011\*4011*201711121* &gt;&gt; 2017-11-12-SliceDisagreementCheck.txt</v>
      </c>
      <c r="AE23" s="145" t="str">
        <f t="shared" si="9"/>
        <v>start /low /b %USERPROFILE%\Documents\GitHub\eaglep3\Utilities\DownloadLogsFromS3.py --loco 4011 --day 2017-11-12</v>
      </c>
      <c r="AF23" s="1"/>
    </row>
    <row r="24" spans="1:32" x14ac:dyDescent="0.25">
      <c r="A24" s="31">
        <v>43051.639953703707</v>
      </c>
      <c r="B24" s="30" t="s">
        <v>373</v>
      </c>
      <c r="C24" s="30" t="s">
        <v>654</v>
      </c>
      <c r="D24" s="30" t="s">
        <v>49</v>
      </c>
      <c r="E24" s="30" t="s">
        <v>190</v>
      </c>
      <c r="F24" s="42">
        <v>150</v>
      </c>
      <c r="G24" s="42">
        <v>319</v>
      </c>
      <c r="H24" s="42">
        <v>55585</v>
      </c>
      <c r="I24" s="42">
        <v>56167</v>
      </c>
      <c r="J24" s="30" t="s">
        <v>191</v>
      </c>
      <c r="K24" s="42">
        <v>57008</v>
      </c>
      <c r="L24" s="131" t="s">
        <v>50</v>
      </c>
      <c r="M24" s="132">
        <f t="shared" si="0"/>
        <v>444.048</v>
      </c>
      <c r="N24" s="133" t="str">
        <f>VLOOKUP(C24,'Trips&amp;Operators'!$C$1:$G$99911,5,FALSE)</f>
        <v>HOLCOMB KAMDEN</v>
      </c>
      <c r="O24" s="176" t="s">
        <v>178</v>
      </c>
      <c r="P24" s="134"/>
      <c r="Q24" s="30"/>
      <c r="R24" s="81" t="str">
        <f>VLOOKUP(C24,'Train Runs'!$A$13:$AE$10137,31,0)</f>
        <v>aws s3 cp s3://rtdc.mdm.uploadarchive.raw/RTDC4012/ "%USERPROFILE%\AppData\Local\Temp\OnboardLogs"\RTDC4012\2017-11-12 --exclude "*" --recursive --include "*20171112*" &amp; "%USERPROFILE%\Documents\GitHub\mrs-test-scripts\Headless Mode &amp; Sideloading\WalkAndUnGZ.bat" "%USERPROFILE%\AppData\Local\Temp\OnboardLogs"\RTDC4012\2017-11-12 &amp; 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</v>
      </c>
      <c r="S24" s="84" t="str">
        <f>VLOOKUP(C24,'Train Runs'!$A$13:$AE$10137,22,0)</f>
        <v>https://d0f6bd738d7f1b3e5a7ca70fe4ff75f0.us-east-1.aws.found.io/app/kibana#/discover/Steve-Slow-Train-Analysis-(2080s-and-2083s)?_g=(refreshInterval:(display:Off,pause:!f,section:0,value:0),time:(from:'2017-11-12T14:04:16-0700',mode:absolute,to:'2017-11-12T16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4" s="86" t="str">
        <f t="shared" si="1"/>
        <v>"C:\Program Files (x86)\AstroGrep\AstroGrep.exe" /e /r /s /spath="%USERPROFILE%\AppData\Local\Temp\OnboardLogs" /stypes="*4012*201711122*" /stext=" 22:.+((SYSTEM_STATE.+slice.+state.+changed )|(ment ac)|(multiple cpu faults)|(system.+state.+changed )|(\[timeout)|(PRM\|1\|D)|(kpr)|(kdp)|(train st.+moving)|(\|lc)|(penalty))"</v>
      </c>
      <c r="U24" s="9" t="str">
        <f t="shared" si="2"/>
        <v>4012</v>
      </c>
      <c r="V24" s="31">
        <f t="shared" si="3"/>
        <v>43051.931620370371</v>
      </c>
      <c r="W24" s="45" t="str">
        <f t="shared" si="4"/>
        <v>NW</v>
      </c>
      <c r="X24" s="22">
        <f t="shared" si="5"/>
        <v>1819</v>
      </c>
      <c r="Y24" s="96" t="str">
        <f t="shared" si="6"/>
        <v>echo {"issue":{"subject":"","project_id":79,"tracker_id":40,"status_id":1,"priority_id":2,"assigned_to_id":338,"start_date":"2017-11-12","description":"","custom_fields":[{"id":1,"name":"Subdivision","value":"NW"},{"id":4,"name":"Milepost","value":"5.7008"},{"id":17,"name":"Train ID","value":"1819-12"},{"id":16,"name":"Locomotive ID","value":"4012"},{"id":130,"name":"Impact","value":""},{"id":150,"name":"Time of Event (Mountain Time)","value":"15:21:32"},{"id":151,"name":"Denver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/c/Users/stu/AppData/Local/Temp/OnboardLogs/RTDC4012 --include="*4012*201711122*"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"%USERPROFILE%\AppData\Local\Temp\OnboardLogs"\RTDC4012\*4012*201711122* &gt;&gt; 2017-11-12-SliceDisagreementCheck.txt</v>
      </c>
      <c r="AE24" s="145" t="str">
        <f t="shared" si="9"/>
        <v>start /low /b %USERPROFILE%\Documents\GitHub\eaglep3\Utilities\DownloadLogsFromS3.py --loco 4012 --day 2017-11-12</v>
      </c>
      <c r="AF24" s="1"/>
    </row>
    <row r="25" spans="1:32" x14ac:dyDescent="0.25">
      <c r="A25" s="31">
        <v>43051.176319444443</v>
      </c>
      <c r="B25" s="30" t="s">
        <v>634</v>
      </c>
      <c r="C25" s="30" t="s">
        <v>635</v>
      </c>
      <c r="D25" s="30" t="s">
        <v>95</v>
      </c>
      <c r="E25" s="30" t="s">
        <v>356</v>
      </c>
      <c r="F25" s="42">
        <v>0</v>
      </c>
      <c r="G25" s="42">
        <v>167</v>
      </c>
      <c r="H25" s="42">
        <v>21682</v>
      </c>
      <c r="I25" s="42">
        <v>21471</v>
      </c>
      <c r="J25" s="30" t="s">
        <v>357</v>
      </c>
      <c r="K25" s="42">
        <v>24161</v>
      </c>
      <c r="L25" s="131" t="s">
        <v>51</v>
      </c>
      <c r="M25" s="132">
        <f t="shared" si="0"/>
        <v>-1420.3200000000002</v>
      </c>
      <c r="N25" s="133" t="str">
        <f>VLOOKUP(C25,'Trips&amp;Operators'!$C$1:$G$99911,5,FALSE)</f>
        <v>ROMERO CHAD</v>
      </c>
      <c r="O25" s="176" t="s">
        <v>178</v>
      </c>
      <c r="P25" s="134"/>
      <c r="Q25" s="30"/>
      <c r="R25" s="81" t="str">
        <f>VLOOKUP(C25,'Train Runs'!$A$13:$AE$10137,31,0)</f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S25" s="84" t="str">
        <f>VLOOKUP(C25,'Train Runs'!$A$13:$AE$10137,22,0)</f>
        <v>https://d0f6bd738d7f1b3e5a7ca70fe4ff75f0.us-east-1.aws.found.io/app/kibana#/discover/Steve-Slow-Train-Analysis-(2080s-and-2083s)?_g=(refreshInterval:(display:Off,pause:!f,section:0,value:0),time:(from:'2017-11-12T03:08:00-0700',mode:absolute,to:'2017-11-12T05:14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5" s="86" t="str">
        <f t="shared" si="1"/>
        <v>"C:\Program Files (x86)\AstroGrep\AstroGrep.exe" /e /r /s /spath="%USERPROFILE%\AppData\Local\Temp\OnboardLogs" /stypes="*4005*201711121*" /stext=" 11:.+((SYSTEM_STATE.+slice.+state.+changed )|(ment ac)|(multiple cpu faults)|(system.+state.+changed )|(\[timeout)|(PRM\|1\|D)|(kpr)|(kdp)|(train st.+moving)|(\|lc)|(penalty))"</v>
      </c>
      <c r="U25" s="9" t="str">
        <f t="shared" si="2"/>
        <v>4005</v>
      </c>
      <c r="V25" s="31">
        <f t="shared" si="3"/>
        <v>43051.467986111107</v>
      </c>
      <c r="W25" s="45" t="str">
        <f t="shared" si="4"/>
        <v>Other</v>
      </c>
      <c r="X25" s="22">
        <f t="shared" si="5"/>
        <v>306</v>
      </c>
      <c r="Y25" s="96" t="str">
        <f t="shared" si="6"/>
        <v>echo {"issue":{"subject":"","project_id":79,"tracker_id":40,"status_id":1,"priority_id":2,"assigned_to_id":338,"start_date":"2017-11-12","description":"","custom_fields":[{"id":1,"name":"Subdivision","value":"Other"},{"id":4,"name":"Milepost","value":"2.4161"},{"id":17,"name":"Train ID","value":"306-12"},{"id":16,"name":"Locomotive ID","value":"4005"},{"id":130,"name":"Impact","value":""},{"id":150,"name":"Time of Event (Mountain Time)","value":"04:13:54"},{"id":151,"name":"Denver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/c/Users/stu/AppData/Local/Temp/OnboardLogs/RTDC4005 --include="*4005*201711121*"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"%USERPROFILE%\AppData\Local\Temp\OnboardLogs"\RTDC4005\*4005*201711121* &gt;&gt; 2017-11-12-SliceDisagreementCheck.txt</v>
      </c>
      <c r="AE25" s="145" t="str">
        <f t="shared" si="9"/>
        <v>start /low /b %USERPROFILE%\Documents\GitHub\eaglep3\Utilities\DownloadLogsFromS3.py --loco 4005 --day 2017-11-12</v>
      </c>
      <c r="AF25" s="1"/>
    </row>
    <row r="26" spans="1:32" x14ac:dyDescent="0.25">
      <c r="A26" s="31">
        <v>43051.176446759258</v>
      </c>
      <c r="B26" s="30" t="s">
        <v>634</v>
      </c>
      <c r="C26" s="30" t="s">
        <v>635</v>
      </c>
      <c r="D26" s="30" t="s">
        <v>95</v>
      </c>
      <c r="E26" s="30" t="s">
        <v>356</v>
      </c>
      <c r="F26" s="42">
        <v>0</v>
      </c>
      <c r="G26" s="42">
        <v>18</v>
      </c>
      <c r="H26" s="42">
        <v>21405</v>
      </c>
      <c r="I26" s="42">
        <v>21405</v>
      </c>
      <c r="J26" s="30" t="s">
        <v>357</v>
      </c>
      <c r="K26" s="42">
        <v>24161</v>
      </c>
      <c r="L26" s="131" t="s">
        <v>51</v>
      </c>
      <c r="M26" s="132">
        <f t="shared" si="0"/>
        <v>-1455.1679999999999</v>
      </c>
      <c r="N26" s="133" t="str">
        <f>VLOOKUP(C26,'Trips&amp;Operators'!$C$1:$G$99911,5,FALSE)</f>
        <v>ROMERO CHAD</v>
      </c>
      <c r="O26" s="176" t="s">
        <v>178</v>
      </c>
      <c r="P26" s="134"/>
      <c r="Q26" s="30"/>
      <c r="R26" s="81" t="str">
        <f>VLOOKUP(C26,'Train Runs'!$A$13:$AE$10137,31,0)</f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S26" s="84" t="str">
        <f>VLOOKUP(C26,'Train Runs'!$A$13:$AE$10137,22,0)</f>
        <v>https://d0f6bd738d7f1b3e5a7ca70fe4ff75f0.us-east-1.aws.found.io/app/kibana#/discover/Steve-Slow-Train-Analysis-(2080s-and-2083s)?_g=(refreshInterval:(display:Off,pause:!f,section:0,value:0),time:(from:'2017-11-12T03:08:00-0700',mode:absolute,to:'2017-11-12T05:14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6" t="str">
        <f t="shared" si="1"/>
        <v>"C:\Program Files (x86)\AstroGrep\AstroGrep.exe" /e /r /s /spath="%USERPROFILE%\AppData\Local\Temp\OnboardLogs" /stypes="*4005*201711121*" /stext=" 11:.+((SYSTEM_STATE.+slice.+state.+changed )|(ment ac)|(multiple cpu faults)|(system.+state.+changed )|(\[timeout)|(PRM\|1\|D)|(kpr)|(kdp)|(train st.+moving)|(\|lc)|(penalty))"</v>
      </c>
      <c r="U26" s="9" t="str">
        <f t="shared" si="2"/>
        <v>4005</v>
      </c>
      <c r="V26" s="31">
        <f t="shared" si="3"/>
        <v>43051.468113425923</v>
      </c>
      <c r="W26" s="45" t="str">
        <f t="shared" si="4"/>
        <v>Other</v>
      </c>
      <c r="X26" s="22">
        <f t="shared" si="5"/>
        <v>306</v>
      </c>
      <c r="Y26" s="96" t="str">
        <f t="shared" si="6"/>
        <v>echo {"issue":{"subject":"","project_id":79,"tracker_id":40,"status_id":1,"priority_id":2,"assigned_to_id":338,"start_date":"2017-11-12","description":"","custom_fields":[{"id":1,"name":"Subdivision","value":"Other"},{"id":4,"name":"Milepost","value":"2.4161"},{"id":17,"name":"Train ID","value":"306-12"},{"id":16,"name":"Locomotive ID","value":"4005"},{"id":130,"name":"Impact","value":""},{"id":150,"name":"Time of Event (Mountain Time)","value":"04:14:05"},{"id":151,"name":"Denver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/c/Users/stu/AppData/Local/Temp/OnboardLogs/RTDC4005 --include="*4005*201711121*"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"%USERPROFILE%\AppData\Local\Temp\OnboardLogs"\RTDC4005\*4005*201711121* &gt;&gt; 2017-11-12-SliceDisagreementCheck.txt</v>
      </c>
      <c r="AE26" s="145" t="str">
        <f t="shared" si="9"/>
        <v>start /low /b %USERPROFILE%\Documents\GitHub\eaglep3\Utilities\DownloadLogsFromS3.py --loco 4005 --day 2017-11-12</v>
      </c>
      <c r="AF26" s="1"/>
    </row>
    <row r="27" spans="1:32" x14ac:dyDescent="0.25">
      <c r="A27" s="31">
        <v>43051.176655092589</v>
      </c>
      <c r="B27" s="30" t="s">
        <v>634</v>
      </c>
      <c r="C27" s="30" t="s">
        <v>635</v>
      </c>
      <c r="D27" s="30" t="s">
        <v>95</v>
      </c>
      <c r="E27" s="30" t="s">
        <v>356</v>
      </c>
      <c r="F27" s="42">
        <v>0</v>
      </c>
      <c r="G27" s="42">
        <v>20</v>
      </c>
      <c r="H27" s="42">
        <v>21399</v>
      </c>
      <c r="I27" s="42">
        <v>21305</v>
      </c>
      <c r="J27" s="30" t="s">
        <v>357</v>
      </c>
      <c r="K27" s="42">
        <v>24161</v>
      </c>
      <c r="L27" s="131" t="s">
        <v>51</v>
      </c>
      <c r="M27" s="132">
        <f t="shared" si="0"/>
        <v>-1507.9680000000001</v>
      </c>
      <c r="N27" s="133" t="str">
        <f>VLOOKUP(C27,'Trips&amp;Operators'!$C$1:$G$99911,5,FALSE)</f>
        <v>ROMERO CHAD</v>
      </c>
      <c r="O27" s="176" t="s">
        <v>178</v>
      </c>
      <c r="P27" s="134"/>
      <c r="Q27" s="30"/>
      <c r="R27" s="81" t="str">
        <f>VLOOKUP(C27,'Train Runs'!$A$13:$AE$10137,31,0)</f>
        <v>aws s3 cp s3://rtdc.mdm.uploadarchive.raw/RTDC4005/ "%USERPROFILE%\AppData\Local\Temp\OnboardLogs"\RTDC4005\2017-11-12 --exclude "*" --recursive --include "*20171112*" &amp; "%USERPROFILE%\Documents\GitHub\mrs-test-scripts\Headless Mode &amp; Sideloading\WalkAndUnGZ.bat" "%USERPROFILE%\AppData\Local\Temp\OnboardLogs"\RTDC4005\2017-11-12 &amp; aws s3 cp s3://rtdc.mdm.uploadarchive.raw/RTDC4005/ "%USERPROFILE%\AppData\Local\Temp\OnboardLogs"\RTDC4005\2017-11-13 --exclude "*" --recursive --include "*20171113*" &amp; "%USERPROFILE%\Documents\GitHub\mrs-test-scripts\Headless Mode &amp; Sideloading\WalkAndUnGZ.bat" "%USERPROFILE%\AppData\Local\Temp\OnboardLogs"\RTDC4005\2017-11-13</v>
      </c>
      <c r="S27" s="84" t="str">
        <f>VLOOKUP(C27,'Train Runs'!$A$13:$AE$10137,22,0)</f>
        <v>https://d0f6bd738d7f1b3e5a7ca70fe4ff75f0.us-east-1.aws.found.io/app/kibana#/discover/Steve-Slow-Train-Analysis-(2080s-and-2083s)?_g=(refreshInterval:(display:Off,pause:!f,section:0,value:0),time:(from:'2017-11-12T03:08:00-0700',mode:absolute,to:'2017-11-12T05:14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86" t="str">
        <f t="shared" si="1"/>
        <v>"C:\Program Files (x86)\AstroGrep\AstroGrep.exe" /e /r /s /spath="%USERPROFILE%\AppData\Local\Temp\OnboardLogs" /stypes="*4005*201711121*" /stext=" 11:.+((SYSTEM_STATE.+slice.+state.+changed )|(ment ac)|(multiple cpu faults)|(system.+state.+changed )|(\[timeout)|(PRM\|1\|D)|(kpr)|(kdp)|(train st.+moving)|(\|lc)|(penalty))"</v>
      </c>
      <c r="U27" s="9" t="str">
        <f t="shared" si="2"/>
        <v>4005</v>
      </c>
      <c r="V27" s="31">
        <f t="shared" si="3"/>
        <v>43051.468321759254</v>
      </c>
      <c r="W27" s="45" t="str">
        <f t="shared" si="4"/>
        <v>Other</v>
      </c>
      <c r="X27" s="22">
        <f t="shared" si="5"/>
        <v>306</v>
      </c>
      <c r="Y27" s="96" t="str">
        <f t="shared" si="6"/>
        <v>echo {"issue":{"subject":"","project_id":79,"tracker_id":40,"status_id":1,"priority_id":2,"assigned_to_id":338,"start_date":"2017-11-12","description":"","custom_fields":[{"id":1,"name":"Subdivision","value":"Other"},{"id":4,"name":"Milepost","value":"2.4161"},{"id":17,"name":"Train ID","value":"306-12"},{"id":16,"name":"Locomotive ID","value":"4005"},{"id":130,"name":"Impact","value":""},{"id":150,"name":"Time of Event (Mountain Time)","value":"04:14:23"},{"id":151,"name":"Denver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/c/Users/stu/AppData/Local/Temp/OnboardLogs/RTDC4005 --include="*4005*201711121*"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"%USERPROFILE%\AppData\Local\Temp\OnboardLogs"\RTDC4005\*4005*201711121* &gt;&gt; 2017-11-12-SliceDisagreementCheck.txt</v>
      </c>
      <c r="AE27" s="145" t="str">
        <f t="shared" si="9"/>
        <v>start /low /b %USERPROFILE%\Documents\GitHub\eaglep3\Utilities\DownloadLogsFromS3.py --loco 4005 --day 2017-11-12</v>
      </c>
      <c r="AF27" s="1"/>
    </row>
    <row r="28" spans="1:32" x14ac:dyDescent="0.25">
      <c r="A28" s="31">
        <v>43051.183993055558</v>
      </c>
      <c r="B28" s="30" t="s">
        <v>638</v>
      </c>
      <c r="C28" s="30" t="s">
        <v>639</v>
      </c>
      <c r="D28" s="30" t="s">
        <v>95</v>
      </c>
      <c r="E28" s="30" t="s">
        <v>356</v>
      </c>
      <c r="F28" s="42">
        <v>0</v>
      </c>
      <c r="G28" s="42">
        <v>139</v>
      </c>
      <c r="H28" s="42">
        <v>22510</v>
      </c>
      <c r="I28" s="42">
        <v>21930</v>
      </c>
      <c r="J28" s="30" t="s">
        <v>357</v>
      </c>
      <c r="K28" s="42">
        <v>24161</v>
      </c>
      <c r="L28" s="131" t="s">
        <v>51</v>
      </c>
      <c r="M28" s="132">
        <f t="shared" si="0"/>
        <v>-1177.9680000000001</v>
      </c>
      <c r="N28" s="133" t="str">
        <f>VLOOKUP(C28,'Trips&amp;Operators'!$C$1:$G$99911,5,FALSE)</f>
        <v>GEBRETEKLE DAGNEW</v>
      </c>
      <c r="O28" s="176" t="s">
        <v>178</v>
      </c>
      <c r="P28" s="134"/>
      <c r="Q28" s="30"/>
      <c r="R28" s="81" t="str">
        <f>VLOOKUP(C28,'Train Runs'!$A$13:$AE$10137,31,0)</f>
        <v>aws s3 cp s3://rtdc.mdm.uploadarchive.raw/RTDC4031/ "%USERPROFILE%\AppData\Local\Temp\OnboardLogs"\RTDC4031\2017-11-12 --exclude "*" --recursive --include "*20171112*" &amp; "%USERPROFILE%\Documents\GitHub\mrs-test-scripts\Headless Mode &amp; Sideloading\WalkAndUnGZ.bat" "%USERPROFILE%\AppData\Local\Temp\OnboardLogs"\RTDC4031\2017-11-12 &amp; aws s3 cp s3://rtdc.mdm.uploadarchive.raw/RTDC4031/ "%USERPROFILE%\AppData\Local\Temp\OnboardLogs"\RTDC4031\2017-11-13 --exclude "*" --recursive --include "*20171113*" &amp; "%USERPROFILE%\Documents\GitHub\mrs-test-scripts\Headless Mode &amp; Sideloading\WalkAndUnGZ.bat" "%USERPROFILE%\AppData\Local\Temp\OnboardLogs"\RTDC4031\2017-11-13</v>
      </c>
      <c r="S28" s="84" t="str">
        <f>VLOOKUP(C28,'Train Runs'!$A$13:$AE$10137,22,0)</f>
        <v>https://d0f6bd738d7f1b3e5a7ca70fe4ff75f0.us-east-1.aws.found.io/app/kibana#/discover/Steve-Slow-Train-Analysis-(2080s-and-2083s)?_g=(refreshInterval:(display:Off,pause:!f,section:0,value:0),time:(from:'2017-11-12T03:19:00-0700',mode:absolute,to:'2017-11-12T05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8" s="86" t="str">
        <f t="shared" si="1"/>
        <v>"C:\Program Files (x86)\AstroGrep\AstroGrep.exe" /e /r /s /spath="%USERPROFILE%\AppData\Local\Temp\OnboardLogs" /stypes="*4031*201711121*"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4031</v>
      </c>
      <c r="V28" s="31">
        <f t="shared" si="3"/>
        <v>43051.475659722222</v>
      </c>
      <c r="W28" s="45" t="str">
        <f t="shared" si="4"/>
        <v>Other</v>
      </c>
      <c r="X28" s="22">
        <f t="shared" si="5"/>
        <v>308</v>
      </c>
      <c r="Y28" s="96" t="str">
        <f t="shared" si="6"/>
        <v>echo {"issue":{"subject":"","project_id":79,"tracker_id":40,"status_id":1,"priority_id":2,"assigned_to_id":338,"start_date":"2017-11-12","description":"","custom_fields":[{"id":1,"name":"Subdivision","value":"Other"},{"id":4,"name":"Milepost","value":"2.4161"},{"id":17,"name":"Train ID","value":"308-12"},{"id":16,"name":"Locomotive ID","value":"4031"},{"id":130,"name":"Impact","value":""},{"id":150,"name":"Time of Event (Mountain Time)","value":"04:24:57"},{"id":151,"name":"Denver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/c/Users/stu/AppData/Local/Temp/OnboardLogs/RTDC4031 --include="*4031*201711121*"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"%USERPROFILE%\AppData\Local\Temp\OnboardLogs"\RTDC4031\*4031*201711121* &gt;&gt; 2017-11-12-SliceDisagreementCheck.txt</v>
      </c>
      <c r="AE28" s="145" t="str">
        <f t="shared" si="9"/>
        <v>start /low /b %USERPROFILE%\Documents\GitHub\eaglep3\Utilities\DownloadLogsFromS3.py --loco 4031 --day 2017-11-12</v>
      </c>
      <c r="AF28" s="1"/>
    </row>
    <row r="29" spans="1:32" x14ac:dyDescent="0.25">
      <c r="A29" s="31">
        <v>43051.183599537035</v>
      </c>
      <c r="B29" s="30" t="s">
        <v>486</v>
      </c>
      <c r="C29" s="30" t="s">
        <v>637</v>
      </c>
      <c r="D29" s="30" t="s">
        <v>95</v>
      </c>
      <c r="E29" s="30" t="s">
        <v>356</v>
      </c>
      <c r="F29" s="42">
        <v>0</v>
      </c>
      <c r="G29" s="42">
        <v>63</v>
      </c>
      <c r="H29" s="42">
        <v>1814</v>
      </c>
      <c r="I29" s="42">
        <v>1851</v>
      </c>
      <c r="J29" s="30" t="s">
        <v>357</v>
      </c>
      <c r="K29" s="42">
        <v>1692</v>
      </c>
      <c r="L29" s="131" t="s">
        <v>50</v>
      </c>
      <c r="M29" s="132">
        <f t="shared" si="0"/>
        <v>-83.951999999999998</v>
      </c>
      <c r="N29" s="133" t="str">
        <f>VLOOKUP(C29,'Trips&amp;Operators'!$C$1:$G$99911,5,FALSE)</f>
        <v>DELGADO DIANAH</v>
      </c>
      <c r="O29" s="176" t="s">
        <v>178</v>
      </c>
      <c r="P29" s="134"/>
      <c r="Q29" s="30"/>
      <c r="R29" s="81" t="str">
        <f>VLOOKUP(C29,'Train Runs'!$A$13:$AE$10137,31,0)</f>
        <v>aws s3 cp s3://rtdc.mdm.uploadarchive.raw/RTDC4002/ "%USERPROFILE%\AppData\Local\Temp\OnboardLogs"\RTDC4002\2017-11-12 --exclude "*" --recursive --include "*20171112*" &amp; "%USERPROFILE%\Documents\GitHub\mrs-test-scripts\Headless Mode &amp; Sideloading\WalkAndUnGZ.bat" "%USERPROFILE%\AppData\Local\Temp\OnboardLogs"\RTDC4002\2017-11-12 &amp; 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</v>
      </c>
      <c r="S29" s="84" t="str">
        <f>VLOOKUP(C29,'Train Runs'!$A$13:$AE$10137,22,0)</f>
        <v>https://d0f6bd738d7f1b3e5a7ca70fe4ff75f0.us-east-1.aws.found.io/app/kibana#/discover/Steve-Slow-Train-Analysis-(2080s-and-2083s)?_g=(refreshInterval:(display:Off,pause:!f,section:0,value:0),time:(from:'2017-11-12T03:15:44-0700',mode:absolute,to:'2017-11-12T05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9" s="86" t="str">
        <f t="shared" si="1"/>
        <v>"C:\Program Files (x86)\AstroGrep\AstroGrep.exe" /e /r /s /spath="%USERPROFILE%\AppData\Local\Temp\OnboardLogs" /stypes="*4002*201711121*" /stext=" 11:.+((SYSTEM_STATE.+slice.+state.+changed )|(ment ac)|(multiple cpu faults)|(system.+state.+changed )|(\[timeout)|(PRM\|1\|D)|(kpr)|(kdp)|(train st.+moving)|(\|lc)|(penalty))"</v>
      </c>
      <c r="U29" s="9" t="str">
        <f t="shared" si="2"/>
        <v>4002</v>
      </c>
      <c r="V29" s="31">
        <f t="shared" si="3"/>
        <v>43051.475266203699</v>
      </c>
      <c r="W29" s="45" t="str">
        <f t="shared" si="4"/>
        <v>Shuttle/Test</v>
      </c>
      <c r="X29" s="22">
        <f t="shared" si="5"/>
        <v>53</v>
      </c>
      <c r="Y29" s="96" t="str">
        <f t="shared" si="6"/>
        <v>echo {"issue":{"subject":"","project_id":79,"tracker_id":40,"status_id":1,"priority_id":2,"assigned_to_id":338,"start_date":"2017-11-12","description":"","custom_fields":[{"id":1,"name":"Subdivision","value":"Shuttle/Test"},{"id":4,"name":"Milepost","value":"0.1692"},{"id":17,"name":"Train ID","value":"53-12"},{"id":16,"name":"Locomotive ID","value":"4002"},{"id":130,"name":"Impact","value":""},{"id":150,"name":"Time of Event (Mountain Time)","value":"04:24:23"},{"id":151,"name":"Denver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/c/Users/stu/AppData/Local/Temp/OnboardLogs/RTDC4002 --include="*4002*201711121*"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"%USERPROFILE%\AppData\Local\Temp\OnboardLogs"\RTDC4002\*4002*201711121* &gt;&gt; 2017-11-12-SliceDisagreementCheck.txt</v>
      </c>
      <c r="AE29" s="145" t="str">
        <f t="shared" si="9"/>
        <v>start /low /b %USERPROFILE%\Documents\GitHub\eaglep3\Utilities\DownloadLogsFromS3.py --loco 4002 --day 2017-11-12</v>
      </c>
      <c r="AF29" s="1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</sheetData>
  <autoFilter ref="A6:AC21">
    <sortState ref="A7:AC29">
      <sortCondition ref="W7:W29"/>
      <sortCondition ref="E7:E29"/>
      <sortCondition ref="K7:K29"/>
      <sortCondition ref="F7:F29"/>
    </sortState>
  </autoFilter>
  <sortState ref="A7:AE19">
    <sortCondition ref="W7:W19"/>
    <sortCondition ref="E7:E19"/>
    <sortCondition ref="K7:K19"/>
    <sortCondition ref="C7:C19"/>
    <sortCondition ref="F7:F19"/>
  </sortState>
  <mergeCells count="1">
    <mergeCell ref="A5:O5"/>
  </mergeCells>
  <conditionalFormatting sqref="O6:P6 R6 O32:O1048576 O7:O29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9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2017-11-12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1831</v>
      </c>
      <c r="B3" s="42" t="str">
        <f>A3&amp;"-"&amp;IF(DAY(Variables!$A$2)&lt;10,0,"")&amp;DAY(Variables!$A$2)</f>
        <v>1831-12</v>
      </c>
      <c r="C3" s="135"/>
      <c r="D3" s="225" t="str">
        <f>VLOOKUP(B3,'Trips&amp;Operators'!$C$1:$H$1072,6,FALSE)</f>
        <v>4012</v>
      </c>
      <c r="E3" s="30"/>
      <c r="F3" s="21" t="str">
        <f>VLOOKUP(B3,'Trips&amp;Operators'!$C$2:$E$9912,3,FALSE)</f>
        <v>HOLCOMB</v>
      </c>
      <c r="G3" s="21" t="str">
        <f>VLOOKUP(B3,'Trips&amp;Operators'!$C$1:$F$9912,4,FALSE)</f>
        <v>KAMDEN</v>
      </c>
      <c r="H3" s="29" t="str">
        <f>VLOOKUP(B3,'Trips&amp;Operators'!$C$1:$H$9912,5,FALSE)</f>
        <v>HOLCOMB KAMDEN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221831-12%22)),sort:!(Time.ISO8601,asc))</v>
      </c>
      <c r="J3" s="30" t="str">
        <f>VLOOKUP(B3,'Train Runs'!$A$13:$A$100134,1,FALSE)</f>
        <v>1831-12</v>
      </c>
    </row>
    <row r="4" spans="1:10" x14ac:dyDescent="0.25">
      <c r="A4" s="198"/>
      <c r="B4" s="42" t="str">
        <f>A4&amp;"-"&amp;IF(DAY(Variables!$A$2)&lt;10,0,"")&amp;DAY(Variables!$A$2)</f>
        <v>-12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Runs'!$A$13:$A$100134,1,FALSE)</f>
        <v>#N/A</v>
      </c>
    </row>
    <row r="5" spans="1:10" x14ac:dyDescent="0.25">
      <c r="A5" s="198"/>
      <c r="B5" s="42" t="str">
        <f>A5&amp;"-"&amp;IF(DAY(Variables!$A$2)&lt;10,0,"")&amp;DAY(Variables!$A$2)</f>
        <v>-12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Runs'!$A$13:$A$100134,1,FALSE)</f>
        <v>#N/A</v>
      </c>
    </row>
    <row r="6" spans="1:10" x14ac:dyDescent="0.25">
      <c r="A6" s="198"/>
      <c r="B6" s="42" t="str">
        <f>A6&amp;"-"&amp;IF(DAY(Variables!$A$2)&lt;10,0,"")&amp;DAY(Variables!$A$2)</f>
        <v>-12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Runs'!$A$13:$A$100134,1,FALSE)</f>
        <v>#N/A</v>
      </c>
    </row>
    <row r="7" spans="1:10" x14ac:dyDescent="0.25">
      <c r="A7" s="198"/>
      <c r="B7" s="42" t="str">
        <f>A7&amp;"-"&amp;IF(DAY(Variables!$A$2)&lt;10,0,"")&amp;DAY(Variables!$A$2)</f>
        <v>-12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Runs'!$A$13:$A$100134,1,FALSE)</f>
        <v>#N/A</v>
      </c>
    </row>
    <row r="8" spans="1:10" x14ac:dyDescent="0.25">
      <c r="A8" s="198"/>
      <c r="B8" s="42" t="str">
        <f>A8&amp;"-"&amp;IF(DAY(Variables!$A$2)&lt;10,0,"")&amp;DAY(Variables!$A$2)</f>
        <v>-12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Runs'!$A$13:$A$100134,1,FALSE)</f>
        <v>#N/A</v>
      </c>
    </row>
    <row r="9" spans="1:10" x14ac:dyDescent="0.25">
      <c r="A9" s="198"/>
      <c r="B9" s="42" t="str">
        <f>A9&amp;"-"&amp;IF(DAY(Variables!$A$2)&lt;10,0,"")&amp;DAY(Variables!$A$2)</f>
        <v>-12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Runs'!$A$13:$A$100134,1,FALSE)</f>
        <v>#N/A</v>
      </c>
    </row>
    <row r="10" spans="1:10" x14ac:dyDescent="0.25">
      <c r="A10" s="198"/>
      <c r="B10" s="42" t="str">
        <f>A10&amp;"-"&amp;IF(DAY(Variables!$A$2)&lt;10,0,"")&amp;DAY(Variables!$A$2)</f>
        <v>-12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Runs'!$A$13:$A$100134,1,FALSE)</f>
        <v>#N/A</v>
      </c>
    </row>
    <row r="11" spans="1:10" x14ac:dyDescent="0.25">
      <c r="A11" s="198"/>
      <c r="B11" s="42" t="str">
        <f>A11&amp;"-"&amp;IF(DAY(Variables!$A$2)&lt;10,0,"")&amp;DAY(Variables!$A$2)</f>
        <v>-12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Runs'!$A$13:$A$100134,1,FALSE)</f>
        <v>#N/A</v>
      </c>
    </row>
    <row r="12" spans="1:10" x14ac:dyDescent="0.25">
      <c r="A12" s="198"/>
      <c r="B12" s="42" t="str">
        <f>A12&amp;"-"&amp;IF(DAY(Variables!$A$2)&lt;10,0,"")&amp;DAY(Variables!$A$2)</f>
        <v>-12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Runs'!$A$13:$A$100134,1,FALSE)</f>
        <v>#N/A</v>
      </c>
    </row>
    <row r="13" spans="1:10" x14ac:dyDescent="0.25">
      <c r="A13" s="198"/>
      <c r="B13" s="42" t="str">
        <f>A13&amp;"-"&amp;IF(DAY(Variables!$A$2)&lt;10,0,"")&amp;DAY(Variables!$A$2)</f>
        <v>-12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Runs'!$A$13:$A$100134,1,FALSE)</f>
        <v>#N/A</v>
      </c>
    </row>
    <row r="14" spans="1:10" x14ac:dyDescent="0.25">
      <c r="A14" s="198"/>
      <c r="B14" s="42" t="str">
        <f>A14&amp;"-"&amp;IF(DAY(Variables!$A$2)&lt;10,0,"")&amp;DAY(Variables!$A$2)</f>
        <v>-12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Runs'!$A$13:$A$100134,1,FALSE)</f>
        <v>#N/A</v>
      </c>
    </row>
    <row r="15" spans="1:10" x14ac:dyDescent="0.25">
      <c r="A15" s="198"/>
      <c r="B15" s="42" t="str">
        <f>A15&amp;"-"&amp;IF(DAY(Variables!$A$2)&lt;10,0,"")&amp;DAY(Variables!$A$2)</f>
        <v>-12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Runs'!$A$13:$A$100134,1,FALSE)</f>
        <v>#N/A</v>
      </c>
    </row>
    <row r="16" spans="1:10" x14ac:dyDescent="0.25">
      <c r="A16" s="198"/>
      <c r="B16" s="42" t="str">
        <f>A16&amp;"-"&amp;IF(DAY(Variables!$A$2)&lt;10,0,"")&amp;DAY(Variables!$A$2)</f>
        <v>-12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Runs'!$A$13:$A$100134,1,FALSE)</f>
        <v>#N/A</v>
      </c>
    </row>
    <row r="17" spans="1:10" x14ac:dyDescent="0.25">
      <c r="A17" s="198"/>
      <c r="B17" s="42" t="str">
        <f>A17&amp;"-"&amp;IF(DAY(Variables!$A$2)&lt;10,0,"")&amp;DAY(Variables!$A$2)</f>
        <v>-12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Runs'!$A$13:$A$100134,1,FALSE)</f>
        <v>#N/A</v>
      </c>
    </row>
    <row r="18" spans="1:10" x14ac:dyDescent="0.25">
      <c r="A18" s="198"/>
      <c r="B18" s="42" t="str">
        <f>A18&amp;"-"&amp;IF(DAY(Variables!$A$2)&lt;10,0,"")&amp;DAY(Variables!$A$2)</f>
        <v>-12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Runs'!$A$13:$A$100134,1,FALSE)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43051.046203703707</v>
      </c>
      <c r="B2" s="20" t="s">
        <v>665</v>
      </c>
      <c r="C2" s="20" t="s">
        <v>666</v>
      </c>
      <c r="D2" s="138">
        <v>3000000</v>
      </c>
      <c r="E2" s="20" t="s">
        <v>489</v>
      </c>
      <c r="F2" s="20" t="s">
        <v>490</v>
      </c>
      <c r="G2" s="8" t="str">
        <f>E2&amp;" "&amp;F2</f>
        <v>FORTUNATO FRANK</v>
      </c>
      <c r="H2" t="str">
        <f>MID(B2,13,4)</f>
        <v>4058</v>
      </c>
    </row>
    <row r="3" spans="1:8" x14ac:dyDescent="0.25">
      <c r="A3" s="8">
        <v>43051.056458333333</v>
      </c>
      <c r="B3" s="20" t="s">
        <v>667</v>
      </c>
      <c r="C3" s="20" t="s">
        <v>668</v>
      </c>
      <c r="D3" s="138">
        <v>3320000</v>
      </c>
      <c r="E3" s="20" t="s">
        <v>365</v>
      </c>
      <c r="F3" s="20" t="s">
        <v>366</v>
      </c>
      <c r="G3" s="8" t="str">
        <f t="shared" ref="G3:G66" si="0">E3&amp;" "&amp;F3</f>
        <v>NICHOLSON WESLEY</v>
      </c>
      <c r="H3" s="20" t="str">
        <f t="shared" ref="H3:H66" si="1">MID(B3,13,4)</f>
        <v>4021</v>
      </c>
    </row>
    <row r="4" spans="1:8" x14ac:dyDescent="0.25">
      <c r="A4" s="8">
        <v>43051.065636574072</v>
      </c>
      <c r="B4" s="20" t="s">
        <v>461</v>
      </c>
      <c r="C4" s="20" t="s">
        <v>669</v>
      </c>
      <c r="D4" s="138">
        <v>3340000</v>
      </c>
      <c r="E4" s="20" t="s">
        <v>670</v>
      </c>
      <c r="F4" s="20" t="s">
        <v>671</v>
      </c>
      <c r="G4" s="8" t="str">
        <f t="shared" si="0"/>
        <v>ELBAUM MIKE</v>
      </c>
      <c r="H4" s="20" t="str">
        <f t="shared" si="1"/>
        <v>4010</v>
      </c>
    </row>
    <row r="5" spans="1:8" x14ac:dyDescent="0.25">
      <c r="A5" s="8">
        <v>43051.072627314818</v>
      </c>
      <c r="B5" s="20" t="s">
        <v>528</v>
      </c>
      <c r="C5" s="20" t="s">
        <v>672</v>
      </c>
      <c r="D5" s="138">
        <v>3310000</v>
      </c>
      <c r="E5" s="20" t="s">
        <v>673</v>
      </c>
      <c r="F5" s="20" t="s">
        <v>674</v>
      </c>
      <c r="G5" s="8" t="str">
        <f t="shared" si="0"/>
        <v>ANDERS STEVEN</v>
      </c>
      <c r="H5" s="20" t="str">
        <f t="shared" si="1"/>
        <v>4043</v>
      </c>
    </row>
    <row r="6" spans="1:8" x14ac:dyDescent="0.25">
      <c r="A6" s="8">
        <v>43051.092986111114</v>
      </c>
      <c r="B6" s="20" t="s">
        <v>388</v>
      </c>
      <c r="C6" s="20" t="s">
        <v>675</v>
      </c>
      <c r="D6" s="138">
        <v>3320000</v>
      </c>
      <c r="E6" s="20" t="s">
        <v>365</v>
      </c>
      <c r="F6" s="20" t="s">
        <v>366</v>
      </c>
      <c r="G6" s="8" t="str">
        <f t="shared" si="0"/>
        <v>NICHOLSON WESLEY</v>
      </c>
      <c r="H6" s="20" t="str">
        <f t="shared" si="1"/>
        <v>4022</v>
      </c>
    </row>
    <row r="7" spans="1:8" x14ac:dyDescent="0.25">
      <c r="A7" s="8">
        <v>43051.109236111108</v>
      </c>
      <c r="B7" s="20" t="s">
        <v>531</v>
      </c>
      <c r="C7" s="20" t="s">
        <v>676</v>
      </c>
      <c r="D7" s="138">
        <v>3310000</v>
      </c>
      <c r="E7" s="20" t="s">
        <v>673</v>
      </c>
      <c r="F7" s="20" t="s">
        <v>674</v>
      </c>
      <c r="G7" s="8" t="str">
        <f t="shared" si="0"/>
        <v>ANDERS STEVEN</v>
      </c>
      <c r="H7" s="20" t="str">
        <f t="shared" si="1"/>
        <v>4044</v>
      </c>
    </row>
    <row r="8" spans="1:8" x14ac:dyDescent="0.25">
      <c r="A8" s="8">
        <v>43051.114537037036</v>
      </c>
      <c r="B8" s="20" t="s">
        <v>484</v>
      </c>
      <c r="C8" s="20" t="s">
        <v>677</v>
      </c>
      <c r="D8" s="138">
        <v>3120000</v>
      </c>
      <c r="E8" s="20" t="s">
        <v>372</v>
      </c>
      <c r="F8" s="20" t="s">
        <v>519</v>
      </c>
      <c r="G8" s="8" t="str">
        <f t="shared" si="0"/>
        <v>THOMPSON LESTER</v>
      </c>
      <c r="H8" s="20" t="str">
        <f t="shared" si="1"/>
        <v>4001</v>
      </c>
    </row>
    <row r="9" spans="1:8" ht="15.75" thickBot="1" x14ac:dyDescent="0.3">
      <c r="A9" s="24">
        <v>43051.11582175926</v>
      </c>
      <c r="B9" s="20" t="s">
        <v>484</v>
      </c>
      <c r="C9" s="20" t="s">
        <v>677</v>
      </c>
      <c r="D9" s="138">
        <v>3120000</v>
      </c>
      <c r="E9" s="20" t="s">
        <v>372</v>
      </c>
      <c r="F9" s="20" t="s">
        <v>519</v>
      </c>
      <c r="G9" s="8" t="str">
        <f t="shared" si="0"/>
        <v>THOMPSON LESTER</v>
      </c>
      <c r="H9" s="20" t="str">
        <f t="shared" si="1"/>
        <v>4001</v>
      </c>
    </row>
    <row r="10" spans="1:8" x14ac:dyDescent="0.25">
      <c r="A10" s="8">
        <v>43051.130937499998</v>
      </c>
      <c r="B10" s="20" t="s">
        <v>486</v>
      </c>
      <c r="C10" s="20" t="s">
        <v>678</v>
      </c>
      <c r="D10" s="138">
        <v>2370000</v>
      </c>
      <c r="E10" s="20" t="s">
        <v>529</v>
      </c>
      <c r="F10" s="20" t="s">
        <v>530</v>
      </c>
      <c r="G10" s="8" t="str">
        <f t="shared" si="0"/>
        <v>DELGADO DIANAH</v>
      </c>
      <c r="H10" s="20" t="str">
        <f t="shared" si="1"/>
        <v>4002</v>
      </c>
    </row>
    <row r="11" spans="1:8" x14ac:dyDescent="0.25">
      <c r="A11" s="8">
        <v>43051.132627314815</v>
      </c>
      <c r="B11" s="20" t="s">
        <v>358</v>
      </c>
      <c r="C11" s="20" t="s">
        <v>679</v>
      </c>
      <c r="D11" s="138">
        <v>3120000</v>
      </c>
      <c r="E11" s="20" t="s">
        <v>372</v>
      </c>
      <c r="F11" s="20" t="s">
        <v>519</v>
      </c>
      <c r="G11" s="8" t="str">
        <f t="shared" si="0"/>
        <v>THOMPSON LESTER</v>
      </c>
      <c r="H11" s="20" t="str">
        <f t="shared" si="1"/>
        <v>4008</v>
      </c>
    </row>
    <row r="12" spans="1:8" x14ac:dyDescent="0.25">
      <c r="A12" s="8">
        <v>43051.136493055557</v>
      </c>
      <c r="B12" s="20" t="s">
        <v>448</v>
      </c>
      <c r="C12" s="20" t="s">
        <v>680</v>
      </c>
      <c r="D12" s="138">
        <v>2010000</v>
      </c>
      <c r="E12" s="20" t="s">
        <v>681</v>
      </c>
      <c r="F12" s="20" t="s">
        <v>682</v>
      </c>
      <c r="G12" s="8" t="str">
        <f t="shared" si="0"/>
        <v>MAELZER KURT</v>
      </c>
      <c r="H12" s="20" t="str">
        <f t="shared" si="1"/>
        <v>4041</v>
      </c>
    </row>
    <row r="13" spans="1:8" x14ac:dyDescent="0.25">
      <c r="A13" s="8">
        <v>43051.1403587963</v>
      </c>
      <c r="B13" s="20" t="s">
        <v>484</v>
      </c>
      <c r="C13" s="20" t="s">
        <v>683</v>
      </c>
      <c r="D13" s="138">
        <v>2370000</v>
      </c>
      <c r="E13" s="20" t="s">
        <v>529</v>
      </c>
      <c r="F13" s="20" t="s">
        <v>530</v>
      </c>
      <c r="G13" s="8" t="str">
        <f t="shared" si="0"/>
        <v>DELGADO DIANAH</v>
      </c>
      <c r="H13" s="20" t="str">
        <f t="shared" si="1"/>
        <v>4001</v>
      </c>
    </row>
    <row r="14" spans="1:8" x14ac:dyDescent="0.25">
      <c r="A14" s="8">
        <v>43051.14947916667</v>
      </c>
      <c r="B14" s="20" t="s">
        <v>485</v>
      </c>
      <c r="C14" s="20" t="s">
        <v>684</v>
      </c>
      <c r="D14" s="138">
        <v>2010000</v>
      </c>
      <c r="E14" s="20" t="s">
        <v>681</v>
      </c>
      <c r="F14" s="20" t="s">
        <v>682</v>
      </c>
      <c r="G14" s="8" t="str">
        <f t="shared" si="0"/>
        <v>MAELZER KURT</v>
      </c>
      <c r="H14" s="20" t="str">
        <f t="shared" si="1"/>
        <v>4042</v>
      </c>
    </row>
    <row r="15" spans="1:8" x14ac:dyDescent="0.25">
      <c r="A15" s="8">
        <v>43051.158206018517</v>
      </c>
      <c r="B15" s="20" t="s">
        <v>641</v>
      </c>
      <c r="C15" s="20" t="s">
        <v>685</v>
      </c>
      <c r="D15" s="138">
        <v>3260000</v>
      </c>
      <c r="E15" s="20" t="s">
        <v>686</v>
      </c>
      <c r="F15" s="20" t="s">
        <v>687</v>
      </c>
      <c r="G15" s="8" t="str">
        <f t="shared" si="0"/>
        <v>PAGE MARCUS</v>
      </c>
      <c r="H15" s="20" t="str">
        <f t="shared" si="1"/>
        <v>4015</v>
      </c>
    </row>
    <row r="16" spans="1:8" x14ac:dyDescent="0.25">
      <c r="A16" s="8">
        <v>43051.172962962963</v>
      </c>
      <c r="B16" s="20" t="s">
        <v>363</v>
      </c>
      <c r="C16" s="20" t="s">
        <v>636</v>
      </c>
      <c r="D16" s="138">
        <v>3120000</v>
      </c>
      <c r="E16" s="20" t="s">
        <v>372</v>
      </c>
      <c r="F16" s="20" t="s">
        <v>519</v>
      </c>
      <c r="G16" s="8" t="str">
        <f t="shared" si="0"/>
        <v>THOMPSON LESTER</v>
      </c>
      <c r="H16" s="20" t="str">
        <f t="shared" si="1"/>
        <v>4007</v>
      </c>
    </row>
    <row r="17" spans="1:8" x14ac:dyDescent="0.25">
      <c r="A17" s="8">
        <v>43051.173067129632</v>
      </c>
      <c r="B17" s="20" t="s">
        <v>634</v>
      </c>
      <c r="C17" s="20" t="s">
        <v>635</v>
      </c>
      <c r="D17" s="138">
        <v>2470000</v>
      </c>
      <c r="E17" s="20" t="s">
        <v>521</v>
      </c>
      <c r="F17" s="20" t="s">
        <v>522</v>
      </c>
      <c r="G17" s="8" t="str">
        <f t="shared" si="0"/>
        <v>ROMERO CHAD</v>
      </c>
      <c r="H17" s="20" t="str">
        <f t="shared" si="1"/>
        <v>4005</v>
      </c>
    </row>
    <row r="18" spans="1:8" x14ac:dyDescent="0.25">
      <c r="A18" s="8">
        <v>43051.177141203705</v>
      </c>
      <c r="B18" s="20" t="s">
        <v>536</v>
      </c>
      <c r="C18" s="20" t="s">
        <v>688</v>
      </c>
      <c r="D18" s="138">
        <v>3180000</v>
      </c>
      <c r="E18" s="20" t="s">
        <v>526</v>
      </c>
      <c r="F18" s="20" t="s">
        <v>527</v>
      </c>
      <c r="G18" s="8" t="str">
        <f t="shared" si="0"/>
        <v>HUFFSMITH MONTY</v>
      </c>
      <c r="H18" s="20" t="str">
        <f t="shared" si="1"/>
        <v>4016</v>
      </c>
    </row>
    <row r="19" spans="1:8" x14ac:dyDescent="0.25">
      <c r="A19" s="8">
        <v>43051.178252314814</v>
      </c>
      <c r="B19" s="20" t="s">
        <v>486</v>
      </c>
      <c r="C19" s="20" t="s">
        <v>637</v>
      </c>
      <c r="D19" s="138">
        <v>2370000</v>
      </c>
      <c r="E19" s="20" t="s">
        <v>529</v>
      </c>
      <c r="F19" s="20" t="s">
        <v>530</v>
      </c>
      <c r="G19" s="8" t="str">
        <f t="shared" si="0"/>
        <v>DELGADO DIANAH</v>
      </c>
      <c r="H19" s="20" t="str">
        <f t="shared" si="1"/>
        <v>4002</v>
      </c>
    </row>
    <row r="20" spans="1:8" x14ac:dyDescent="0.25">
      <c r="A20" s="8">
        <v>43051.180486111109</v>
      </c>
      <c r="B20" s="20" t="s">
        <v>638</v>
      </c>
      <c r="C20" s="20" t="s">
        <v>639</v>
      </c>
      <c r="D20" s="138">
        <v>1100000</v>
      </c>
      <c r="E20" s="20" t="s">
        <v>524</v>
      </c>
      <c r="F20" s="20" t="s">
        <v>525</v>
      </c>
      <c r="G20" s="8" t="str">
        <f t="shared" si="0"/>
        <v>GEBRETEKLE DAGNEW</v>
      </c>
      <c r="H20" s="20" t="str">
        <f t="shared" si="1"/>
        <v>4031</v>
      </c>
    </row>
    <row r="21" spans="1:8" x14ac:dyDescent="0.25">
      <c r="A21" s="8">
        <v>43051.18645833333</v>
      </c>
      <c r="B21" s="20" t="s">
        <v>484</v>
      </c>
      <c r="C21" s="20" t="s">
        <v>689</v>
      </c>
      <c r="D21" s="138">
        <v>2370000</v>
      </c>
      <c r="E21" s="20" t="s">
        <v>529</v>
      </c>
      <c r="F21" s="20" t="s">
        <v>530</v>
      </c>
      <c r="G21" s="8" t="str">
        <f t="shared" si="0"/>
        <v>DELGADO DIANAH</v>
      </c>
      <c r="H21" s="20" t="str">
        <f t="shared" si="1"/>
        <v>4001</v>
      </c>
    </row>
    <row r="22" spans="1:8" x14ac:dyDescent="0.25">
      <c r="A22" s="26">
        <v>43051.186597222222</v>
      </c>
      <c r="B22" s="20" t="s">
        <v>690</v>
      </c>
      <c r="C22" s="20" t="s">
        <v>691</v>
      </c>
      <c r="D22" s="138">
        <v>2470000</v>
      </c>
      <c r="E22" s="20" t="s">
        <v>521</v>
      </c>
      <c r="F22" s="20" t="s">
        <v>522</v>
      </c>
      <c r="G22" s="8" t="str">
        <f t="shared" si="0"/>
        <v>ROMERO CHAD</v>
      </c>
      <c r="H22" s="20" t="str">
        <f t="shared" si="1"/>
        <v>4006</v>
      </c>
    </row>
    <row r="23" spans="1:8" x14ac:dyDescent="0.25">
      <c r="A23" s="8">
        <v>43051.188414351855</v>
      </c>
      <c r="B23" s="20" t="s">
        <v>448</v>
      </c>
      <c r="C23" s="20" t="s">
        <v>692</v>
      </c>
      <c r="D23" s="138">
        <v>2010000</v>
      </c>
      <c r="E23" s="20" t="s">
        <v>681</v>
      </c>
      <c r="F23" s="20" t="s">
        <v>682</v>
      </c>
      <c r="G23" s="8" t="str">
        <f t="shared" si="0"/>
        <v>MAELZER KURT</v>
      </c>
      <c r="H23" s="20" t="str">
        <f t="shared" si="1"/>
        <v>4041</v>
      </c>
    </row>
    <row r="24" spans="1:8" x14ac:dyDescent="0.25">
      <c r="A24" s="8">
        <v>43051.19091435185</v>
      </c>
      <c r="B24" s="20" t="s">
        <v>449</v>
      </c>
      <c r="C24" s="20" t="s">
        <v>693</v>
      </c>
      <c r="D24" s="138">
        <v>3300000</v>
      </c>
      <c r="E24" s="20" t="s">
        <v>694</v>
      </c>
      <c r="F24" s="20" t="s">
        <v>695</v>
      </c>
      <c r="G24" s="8" t="str">
        <f t="shared" si="0"/>
        <v>LANGERAK WILLIAM</v>
      </c>
      <c r="H24" s="20" t="str">
        <f t="shared" si="1"/>
        <v>4064</v>
      </c>
    </row>
    <row r="25" spans="1:8" x14ac:dyDescent="0.25">
      <c r="A25" s="8">
        <v>43051.191631944443</v>
      </c>
      <c r="B25" s="20" t="s">
        <v>449</v>
      </c>
      <c r="C25" s="20" t="s">
        <v>693</v>
      </c>
      <c r="D25" s="138">
        <v>3300000</v>
      </c>
      <c r="E25" s="20" t="s">
        <v>694</v>
      </c>
      <c r="F25" s="20" t="s">
        <v>695</v>
      </c>
      <c r="G25" s="8" t="str">
        <f t="shared" si="0"/>
        <v>LANGERAK WILLIAM</v>
      </c>
      <c r="H25" s="20" t="str">
        <f t="shared" si="1"/>
        <v>4064</v>
      </c>
    </row>
    <row r="26" spans="1:8" x14ac:dyDescent="0.25">
      <c r="A26" s="8">
        <v>43051.192743055559</v>
      </c>
      <c r="B26" s="20" t="s">
        <v>486</v>
      </c>
      <c r="C26" s="20" t="s">
        <v>696</v>
      </c>
      <c r="D26" s="138">
        <v>2370000</v>
      </c>
      <c r="E26" s="20" t="s">
        <v>529</v>
      </c>
      <c r="F26" s="20" t="s">
        <v>530</v>
      </c>
      <c r="G26" s="8" t="str">
        <f t="shared" si="0"/>
        <v>DELGADO DIANAH</v>
      </c>
      <c r="H26" s="20" t="str">
        <f t="shared" si="1"/>
        <v>4002</v>
      </c>
    </row>
    <row r="27" spans="1:8" x14ac:dyDescent="0.25">
      <c r="A27" s="8">
        <v>43051.192858796298</v>
      </c>
      <c r="B27" s="20" t="s">
        <v>449</v>
      </c>
      <c r="C27" s="20" t="s">
        <v>693</v>
      </c>
      <c r="D27" s="138">
        <v>3300000</v>
      </c>
      <c r="E27" s="20" t="s">
        <v>694</v>
      </c>
      <c r="F27" s="20" t="s">
        <v>695</v>
      </c>
      <c r="G27" s="8" t="str">
        <f t="shared" si="0"/>
        <v>LANGERAK WILLIAM</v>
      </c>
      <c r="H27" s="20" t="str">
        <f t="shared" si="1"/>
        <v>4064</v>
      </c>
    </row>
    <row r="28" spans="1:8" x14ac:dyDescent="0.25">
      <c r="A28" s="8">
        <v>43051.196956018517</v>
      </c>
      <c r="B28" s="20" t="s">
        <v>647</v>
      </c>
      <c r="C28" s="20" t="s">
        <v>697</v>
      </c>
      <c r="D28" s="138">
        <v>3300000</v>
      </c>
      <c r="E28" s="20" t="s">
        <v>694</v>
      </c>
      <c r="F28" s="20" t="s">
        <v>695</v>
      </c>
      <c r="G28" s="8" t="str">
        <f t="shared" si="0"/>
        <v>LANGERAK WILLIAM</v>
      </c>
      <c r="H28" s="20" t="str">
        <f t="shared" si="1"/>
        <v>4063</v>
      </c>
    </row>
    <row r="29" spans="1:8" x14ac:dyDescent="0.25">
      <c r="A29" s="8">
        <v>43051.201747685183</v>
      </c>
      <c r="B29" s="20" t="s">
        <v>520</v>
      </c>
      <c r="C29" s="20" t="s">
        <v>698</v>
      </c>
      <c r="D29" s="138">
        <v>3040000</v>
      </c>
      <c r="E29" s="20" t="s">
        <v>370</v>
      </c>
      <c r="F29" s="20" t="s">
        <v>699</v>
      </c>
      <c r="G29" s="8" t="str">
        <f t="shared" si="0"/>
        <v>WILLIAMS DONTE</v>
      </c>
      <c r="H29" s="20" t="str">
        <f t="shared" si="1"/>
        <v>4051</v>
      </c>
    </row>
    <row r="30" spans="1:8" x14ac:dyDescent="0.25">
      <c r="A30" s="8">
        <v>43051.206712962965</v>
      </c>
      <c r="B30" s="20" t="s">
        <v>641</v>
      </c>
      <c r="C30" s="20" t="s">
        <v>642</v>
      </c>
      <c r="D30" s="138">
        <v>3180000</v>
      </c>
      <c r="E30" s="20" t="s">
        <v>526</v>
      </c>
      <c r="F30" s="20" t="s">
        <v>527</v>
      </c>
      <c r="G30" s="8" t="str">
        <f t="shared" si="0"/>
        <v>HUFFSMITH MONTY</v>
      </c>
      <c r="H30" s="20" t="str">
        <f t="shared" si="1"/>
        <v>4015</v>
      </c>
    </row>
    <row r="31" spans="1:8" x14ac:dyDescent="0.25">
      <c r="A31" s="8">
        <v>43051.211076388892</v>
      </c>
      <c r="B31" s="20" t="s">
        <v>449</v>
      </c>
      <c r="C31" s="20" t="s">
        <v>700</v>
      </c>
      <c r="D31" s="138">
        <v>3120000</v>
      </c>
      <c r="E31" s="20" t="s">
        <v>372</v>
      </c>
      <c r="F31" s="20" t="s">
        <v>519</v>
      </c>
      <c r="G31" s="8" t="str">
        <f t="shared" si="0"/>
        <v>THOMPSON LESTER</v>
      </c>
      <c r="H31" s="20" t="str">
        <f t="shared" si="1"/>
        <v>4064</v>
      </c>
    </row>
    <row r="32" spans="1:8" x14ac:dyDescent="0.25">
      <c r="A32" s="8">
        <v>43051.213136574072</v>
      </c>
      <c r="B32" s="20" t="s">
        <v>634</v>
      </c>
      <c r="C32" s="20" t="s">
        <v>701</v>
      </c>
      <c r="D32" s="138">
        <v>2470000</v>
      </c>
      <c r="E32" s="20" t="s">
        <v>521</v>
      </c>
      <c r="F32" s="20" t="s">
        <v>522</v>
      </c>
      <c r="G32" s="8" t="str">
        <f t="shared" si="0"/>
        <v>ROMERO CHAD</v>
      </c>
      <c r="H32" s="20" t="str">
        <f t="shared" si="1"/>
        <v>4005</v>
      </c>
    </row>
    <row r="33" spans="1:8" x14ac:dyDescent="0.25">
      <c r="A33" s="8">
        <v>43051.215104166666</v>
      </c>
      <c r="B33" s="20" t="s">
        <v>513</v>
      </c>
      <c r="C33" s="20" t="s">
        <v>702</v>
      </c>
      <c r="D33" s="138">
        <v>3040000</v>
      </c>
      <c r="E33" s="20" t="s">
        <v>370</v>
      </c>
      <c r="F33" s="20" t="s">
        <v>699</v>
      </c>
      <c r="G33" s="8" t="str">
        <f t="shared" si="0"/>
        <v>WILLIAMS DONTE</v>
      </c>
      <c r="H33" s="20" t="str">
        <f t="shared" si="1"/>
        <v>4052</v>
      </c>
    </row>
    <row r="34" spans="1:8" x14ac:dyDescent="0.25">
      <c r="A34" s="8">
        <v>43051.217905092592</v>
      </c>
      <c r="B34" s="20" t="s">
        <v>390</v>
      </c>
      <c r="C34" s="20" t="s">
        <v>703</v>
      </c>
      <c r="D34" s="138">
        <v>1100000</v>
      </c>
      <c r="E34" s="20" t="s">
        <v>524</v>
      </c>
      <c r="F34" s="20" t="s">
        <v>525</v>
      </c>
      <c r="G34" s="8" t="str">
        <f t="shared" si="0"/>
        <v>GEBRETEKLE DAGNEW</v>
      </c>
      <c r="H34" s="20" t="str">
        <f t="shared" si="1"/>
        <v>4029</v>
      </c>
    </row>
    <row r="35" spans="1:8" x14ac:dyDescent="0.25">
      <c r="A35" s="8">
        <v>43051.219618055555</v>
      </c>
      <c r="B35" s="20" t="s">
        <v>523</v>
      </c>
      <c r="C35" s="20" t="s">
        <v>704</v>
      </c>
      <c r="D35" s="138">
        <v>2440000</v>
      </c>
      <c r="E35" s="20" t="s">
        <v>537</v>
      </c>
      <c r="F35" s="20" t="s">
        <v>538</v>
      </c>
      <c r="G35" s="8" t="str">
        <f t="shared" si="0"/>
        <v>LOPES KIMBERLY</v>
      </c>
      <c r="H35" s="20" t="str">
        <f t="shared" si="1"/>
        <v>4003</v>
      </c>
    </row>
    <row r="36" spans="1:8" x14ac:dyDescent="0.25">
      <c r="A36" s="8">
        <v>43051.224108796298</v>
      </c>
      <c r="B36" s="20" t="s">
        <v>373</v>
      </c>
      <c r="C36" s="20" t="s">
        <v>640</v>
      </c>
      <c r="D36" s="138">
        <v>2560000</v>
      </c>
      <c r="E36" s="20" t="s">
        <v>705</v>
      </c>
      <c r="F36" s="20" t="s">
        <v>706</v>
      </c>
      <c r="G36" s="8" t="str">
        <f t="shared" si="0"/>
        <v>MACDONALD THOMAS</v>
      </c>
      <c r="H36" s="20" t="str">
        <f t="shared" si="1"/>
        <v>4012</v>
      </c>
    </row>
    <row r="37" spans="1:8" x14ac:dyDescent="0.25">
      <c r="A37" s="8">
        <v>43051.225671296299</v>
      </c>
      <c r="B37" s="20" t="s">
        <v>485</v>
      </c>
      <c r="C37" s="20" t="s">
        <v>707</v>
      </c>
      <c r="D37" s="138">
        <v>2010000</v>
      </c>
      <c r="E37" s="20" t="s">
        <v>681</v>
      </c>
      <c r="F37" s="20" t="s">
        <v>682</v>
      </c>
      <c r="G37" s="8" t="str">
        <f t="shared" si="0"/>
        <v>MAELZER KURT</v>
      </c>
      <c r="H37" s="20" t="str">
        <f t="shared" si="1"/>
        <v>4042</v>
      </c>
    </row>
    <row r="38" spans="1:8" x14ac:dyDescent="0.25">
      <c r="A38" s="8">
        <v>43051.225763888891</v>
      </c>
      <c r="B38" s="20" t="s">
        <v>484</v>
      </c>
      <c r="C38" s="20" t="s">
        <v>708</v>
      </c>
      <c r="D38" s="138">
        <v>2370000</v>
      </c>
      <c r="E38" s="20" t="s">
        <v>529</v>
      </c>
      <c r="F38" s="20" t="s">
        <v>530</v>
      </c>
      <c r="G38" s="8" t="str">
        <f t="shared" si="0"/>
        <v>DELGADO DIANAH</v>
      </c>
      <c r="H38" s="20" t="str">
        <f t="shared" si="1"/>
        <v>4001</v>
      </c>
    </row>
    <row r="39" spans="1:8" x14ac:dyDescent="0.25">
      <c r="A39" s="8">
        <v>43051.22991898148</v>
      </c>
      <c r="B39" s="20" t="s">
        <v>515</v>
      </c>
      <c r="C39" s="20" t="s">
        <v>709</v>
      </c>
      <c r="D39" s="138">
        <v>2440000</v>
      </c>
      <c r="E39" s="20" t="s">
        <v>537</v>
      </c>
      <c r="F39" s="20" t="s">
        <v>538</v>
      </c>
      <c r="G39" s="8" t="str">
        <f t="shared" si="0"/>
        <v>LOPES KIMBERLY</v>
      </c>
      <c r="H39" s="20" t="str">
        <f t="shared" si="1"/>
        <v>4004</v>
      </c>
    </row>
    <row r="40" spans="1:8" x14ac:dyDescent="0.25">
      <c r="A40" s="8">
        <v>43051.235347222224</v>
      </c>
      <c r="B40" s="25" t="s">
        <v>374</v>
      </c>
      <c r="C40" s="20" t="s">
        <v>710</v>
      </c>
      <c r="D40" s="138">
        <v>2560000</v>
      </c>
      <c r="E40" s="20" t="s">
        <v>705</v>
      </c>
      <c r="F40" s="20" t="s">
        <v>706</v>
      </c>
      <c r="G40" s="8" t="str">
        <f t="shared" si="0"/>
        <v>MACDONALD THOMAS</v>
      </c>
      <c r="H40" s="20" t="str">
        <f t="shared" si="1"/>
        <v>4011</v>
      </c>
    </row>
    <row r="41" spans="1:8" x14ac:dyDescent="0.25">
      <c r="A41" s="8">
        <v>43051.246944444443</v>
      </c>
      <c r="B41" s="20" t="s">
        <v>536</v>
      </c>
      <c r="C41" s="20" t="s">
        <v>711</v>
      </c>
      <c r="D41" s="138">
        <v>3260000</v>
      </c>
      <c r="E41" s="20" t="s">
        <v>686</v>
      </c>
      <c r="F41" s="20" t="s">
        <v>687</v>
      </c>
      <c r="G41" s="8" t="str">
        <f t="shared" si="0"/>
        <v>PAGE MARCUS</v>
      </c>
      <c r="H41" s="20" t="str">
        <f t="shared" si="1"/>
        <v>4016</v>
      </c>
    </row>
    <row r="42" spans="1:8" x14ac:dyDescent="0.25">
      <c r="A42" s="8">
        <v>43051.247013888889</v>
      </c>
      <c r="B42" s="20" t="s">
        <v>647</v>
      </c>
      <c r="C42" s="20" t="s">
        <v>712</v>
      </c>
      <c r="D42" s="138">
        <v>3120000</v>
      </c>
      <c r="E42" s="20" t="s">
        <v>372</v>
      </c>
      <c r="F42" s="20" t="s">
        <v>519</v>
      </c>
      <c r="G42" s="8" t="str">
        <f t="shared" si="0"/>
        <v>THOMPSON LESTER</v>
      </c>
      <c r="H42" s="20" t="str">
        <f t="shared" si="1"/>
        <v>4063</v>
      </c>
    </row>
    <row r="43" spans="1:8" x14ac:dyDescent="0.25">
      <c r="A43" s="8">
        <v>43051.255347222221</v>
      </c>
      <c r="B43" s="20" t="s">
        <v>373</v>
      </c>
      <c r="C43" s="20" t="s">
        <v>713</v>
      </c>
      <c r="D43" s="138">
        <v>2560000</v>
      </c>
      <c r="E43" s="20" t="s">
        <v>705</v>
      </c>
      <c r="F43" s="20" t="s">
        <v>706</v>
      </c>
      <c r="G43" s="8" t="str">
        <f t="shared" si="0"/>
        <v>MACDONALD THOMAS</v>
      </c>
      <c r="H43" s="20" t="str">
        <f t="shared" si="1"/>
        <v>4012</v>
      </c>
    </row>
    <row r="44" spans="1:8" x14ac:dyDescent="0.25">
      <c r="A44" s="8">
        <v>43051.255648148152</v>
      </c>
      <c r="B44" s="20" t="s">
        <v>690</v>
      </c>
      <c r="C44" s="20" t="s">
        <v>714</v>
      </c>
      <c r="D44" s="138">
        <v>2470000</v>
      </c>
      <c r="E44" s="20" t="s">
        <v>521</v>
      </c>
      <c r="F44" s="20" t="s">
        <v>522</v>
      </c>
      <c r="G44" s="8" t="str">
        <f t="shared" si="0"/>
        <v>ROMERO CHAD</v>
      </c>
      <c r="H44" s="20" t="str">
        <f t="shared" si="1"/>
        <v>4006</v>
      </c>
    </row>
    <row r="45" spans="1:8" x14ac:dyDescent="0.25">
      <c r="A45" s="8">
        <v>43051.255706018521</v>
      </c>
      <c r="B45" s="20" t="s">
        <v>520</v>
      </c>
      <c r="C45" s="20" t="s">
        <v>715</v>
      </c>
      <c r="D45" s="138">
        <v>3040000</v>
      </c>
      <c r="E45" s="20" t="s">
        <v>370</v>
      </c>
      <c r="F45" s="20" t="s">
        <v>699</v>
      </c>
      <c r="G45" s="8" t="str">
        <f t="shared" si="0"/>
        <v>WILLIAMS DONTE</v>
      </c>
      <c r="H45" s="20" t="str">
        <f t="shared" si="1"/>
        <v>4051</v>
      </c>
    </row>
    <row r="46" spans="1:8" x14ac:dyDescent="0.25">
      <c r="A46" s="8">
        <v>43051.264270833337</v>
      </c>
      <c r="B46" s="20" t="s">
        <v>448</v>
      </c>
      <c r="C46" s="20" t="s">
        <v>716</v>
      </c>
      <c r="D46" s="138">
        <v>2010000</v>
      </c>
      <c r="E46" s="20" t="s">
        <v>681</v>
      </c>
      <c r="F46" s="20" t="s">
        <v>682</v>
      </c>
      <c r="G46" s="8" t="str">
        <f t="shared" si="0"/>
        <v>MAELZER KURT</v>
      </c>
      <c r="H46" s="20" t="str">
        <f t="shared" si="1"/>
        <v>4041</v>
      </c>
    </row>
    <row r="47" spans="1:8" x14ac:dyDescent="0.25">
      <c r="A47" s="8">
        <v>43051.2653125</v>
      </c>
      <c r="B47" s="20" t="s">
        <v>523</v>
      </c>
      <c r="C47" s="20" t="s">
        <v>717</v>
      </c>
      <c r="D47" s="138">
        <v>2440000</v>
      </c>
      <c r="E47" s="20" t="s">
        <v>537</v>
      </c>
      <c r="F47" s="20" t="s">
        <v>538</v>
      </c>
      <c r="G47" s="8" t="str">
        <f t="shared" si="0"/>
        <v>LOPES KIMBERLY</v>
      </c>
      <c r="H47" s="20" t="str">
        <f t="shared" si="1"/>
        <v>4003</v>
      </c>
    </row>
    <row r="48" spans="1:8" x14ac:dyDescent="0.25">
      <c r="A48" s="8">
        <v>43051.267118055555</v>
      </c>
      <c r="B48" s="20" t="s">
        <v>374</v>
      </c>
      <c r="C48" s="20" t="s">
        <v>643</v>
      </c>
      <c r="D48" s="138">
        <v>2560000</v>
      </c>
      <c r="E48" s="20" t="s">
        <v>705</v>
      </c>
      <c r="F48" s="20" t="s">
        <v>706</v>
      </c>
      <c r="G48" s="8" t="str">
        <f t="shared" si="0"/>
        <v>MACDONALD THOMAS</v>
      </c>
      <c r="H48" s="20" t="str">
        <f t="shared" si="1"/>
        <v>4011</v>
      </c>
    </row>
    <row r="49" spans="1:8" x14ac:dyDescent="0.25">
      <c r="A49" s="8">
        <v>43051.267812500002</v>
      </c>
      <c r="B49" s="20" t="s">
        <v>486</v>
      </c>
      <c r="C49" s="20" t="s">
        <v>718</v>
      </c>
      <c r="D49" s="138">
        <v>1100000</v>
      </c>
      <c r="E49" s="20" t="s">
        <v>524</v>
      </c>
      <c r="F49" s="20" t="s">
        <v>525</v>
      </c>
      <c r="G49" s="8" t="str">
        <f t="shared" si="0"/>
        <v>GEBRETEKLE DAGNEW</v>
      </c>
      <c r="H49" s="20" t="str">
        <f t="shared" si="1"/>
        <v>4002</v>
      </c>
    </row>
    <row r="50" spans="1:8" x14ac:dyDescent="0.25">
      <c r="A50" s="8">
        <v>43051.278414351851</v>
      </c>
      <c r="B50" s="20" t="s">
        <v>449</v>
      </c>
      <c r="C50" s="20" t="s">
        <v>719</v>
      </c>
      <c r="D50" s="138">
        <v>3120000</v>
      </c>
      <c r="E50" s="20" t="s">
        <v>372</v>
      </c>
      <c r="F50" s="20" t="s">
        <v>519</v>
      </c>
      <c r="G50" s="8" t="str">
        <f t="shared" si="0"/>
        <v>THOMPSON LESTER</v>
      </c>
      <c r="H50" s="20" t="str">
        <f t="shared" si="1"/>
        <v>4064</v>
      </c>
    </row>
    <row r="51" spans="1:8" x14ac:dyDescent="0.25">
      <c r="A51" s="8">
        <v>43051.282962962963</v>
      </c>
      <c r="B51" s="20" t="s">
        <v>641</v>
      </c>
      <c r="C51" s="20" t="s">
        <v>720</v>
      </c>
      <c r="D51" s="138">
        <v>3260000</v>
      </c>
      <c r="E51" s="20" t="s">
        <v>686</v>
      </c>
      <c r="F51" s="20" t="s">
        <v>687</v>
      </c>
      <c r="G51" s="8" t="str">
        <f t="shared" si="0"/>
        <v>PAGE MARCUS</v>
      </c>
      <c r="H51" s="20" t="str">
        <f t="shared" si="1"/>
        <v>4015</v>
      </c>
    </row>
    <row r="52" spans="1:8" x14ac:dyDescent="0.25">
      <c r="A52" s="8">
        <v>43051.287002314813</v>
      </c>
      <c r="B52" s="20" t="s">
        <v>634</v>
      </c>
      <c r="C52" s="20" t="s">
        <v>721</v>
      </c>
      <c r="D52" s="138">
        <v>2470000</v>
      </c>
      <c r="E52" s="20" t="s">
        <v>521</v>
      </c>
      <c r="F52" s="20" t="s">
        <v>522</v>
      </c>
      <c r="G52" s="8" t="str">
        <f t="shared" si="0"/>
        <v>ROMERO CHAD</v>
      </c>
      <c r="H52" s="20" t="str">
        <f t="shared" si="1"/>
        <v>4005</v>
      </c>
    </row>
    <row r="53" spans="1:8" x14ac:dyDescent="0.25">
      <c r="A53" s="8">
        <v>43051.288541666669</v>
      </c>
      <c r="B53" s="20" t="s">
        <v>513</v>
      </c>
      <c r="C53" s="20" t="s">
        <v>722</v>
      </c>
      <c r="D53" s="138">
        <v>3040000</v>
      </c>
      <c r="E53" s="20" t="s">
        <v>370</v>
      </c>
      <c r="F53" s="20" t="s">
        <v>699</v>
      </c>
      <c r="G53" s="8" t="str">
        <f t="shared" si="0"/>
        <v>WILLIAMS DONTE</v>
      </c>
      <c r="H53" s="20" t="str">
        <f t="shared" si="1"/>
        <v>4052</v>
      </c>
    </row>
    <row r="54" spans="1:8" x14ac:dyDescent="0.25">
      <c r="A54" s="8">
        <v>43051.297256944446</v>
      </c>
      <c r="B54" s="20" t="s">
        <v>484</v>
      </c>
      <c r="C54" s="20" t="s">
        <v>723</v>
      </c>
      <c r="D54" s="138">
        <v>1100000</v>
      </c>
      <c r="E54" s="20" t="s">
        <v>524</v>
      </c>
      <c r="F54" s="20" t="s">
        <v>525</v>
      </c>
      <c r="G54" s="8" t="str">
        <f t="shared" si="0"/>
        <v>GEBRETEKLE DAGNEW</v>
      </c>
      <c r="H54" s="20" t="str">
        <f t="shared" si="1"/>
        <v>4001</v>
      </c>
    </row>
    <row r="55" spans="1:8" x14ac:dyDescent="0.25">
      <c r="A55" s="8">
        <v>43051.298113425924</v>
      </c>
      <c r="B55" s="20" t="s">
        <v>373</v>
      </c>
      <c r="C55" s="20" t="s">
        <v>724</v>
      </c>
      <c r="D55" s="138">
        <v>2560000</v>
      </c>
      <c r="E55" s="20" t="s">
        <v>705</v>
      </c>
      <c r="F55" s="20" t="s">
        <v>706</v>
      </c>
      <c r="G55" s="8" t="str">
        <f t="shared" si="0"/>
        <v>MACDONALD THOMAS</v>
      </c>
      <c r="H55" s="20" t="str">
        <f t="shared" si="1"/>
        <v>4012</v>
      </c>
    </row>
    <row r="56" spans="1:8" x14ac:dyDescent="0.25">
      <c r="A56" s="8">
        <v>43051.299259259256</v>
      </c>
      <c r="B56" s="20" t="s">
        <v>485</v>
      </c>
      <c r="C56" s="20" t="s">
        <v>725</v>
      </c>
      <c r="D56" s="138">
        <v>2010000</v>
      </c>
      <c r="E56" s="20" t="s">
        <v>681</v>
      </c>
      <c r="F56" s="20" t="s">
        <v>682</v>
      </c>
      <c r="G56" s="8" t="str">
        <f t="shared" si="0"/>
        <v>MAELZER KURT</v>
      </c>
      <c r="H56" s="20" t="str">
        <f t="shared" si="1"/>
        <v>4042</v>
      </c>
    </row>
    <row r="57" spans="1:8" x14ac:dyDescent="0.25">
      <c r="A57" s="8">
        <v>43051.306157407409</v>
      </c>
      <c r="B57" s="20" t="s">
        <v>515</v>
      </c>
      <c r="C57" s="20" t="s">
        <v>726</v>
      </c>
      <c r="D57" s="138">
        <v>2440000</v>
      </c>
      <c r="E57" s="20" t="s">
        <v>537</v>
      </c>
      <c r="F57" s="20" t="s">
        <v>538</v>
      </c>
      <c r="G57" s="8" t="str">
        <f t="shared" si="0"/>
        <v>LOPES KIMBERLY</v>
      </c>
      <c r="H57" s="20" t="str">
        <f t="shared" si="1"/>
        <v>4004</v>
      </c>
    </row>
    <row r="58" spans="1:8" x14ac:dyDescent="0.25">
      <c r="A58" s="8">
        <v>43051.309467592589</v>
      </c>
      <c r="B58" s="20" t="s">
        <v>374</v>
      </c>
      <c r="C58" s="20" t="s">
        <v>727</v>
      </c>
      <c r="D58" s="138">
        <v>2560000</v>
      </c>
      <c r="E58" s="20" t="s">
        <v>705</v>
      </c>
      <c r="F58" s="20" t="s">
        <v>706</v>
      </c>
      <c r="G58" s="8" t="str">
        <f t="shared" si="0"/>
        <v>MACDONALD THOMAS</v>
      </c>
      <c r="H58" s="20" t="str">
        <f t="shared" si="1"/>
        <v>4011</v>
      </c>
    </row>
    <row r="59" spans="1:8" x14ac:dyDescent="0.25">
      <c r="A59" s="8">
        <v>43051.317361111112</v>
      </c>
      <c r="B59" s="20" t="s">
        <v>536</v>
      </c>
      <c r="C59" s="20" t="s">
        <v>644</v>
      </c>
      <c r="D59" s="138">
        <v>3260000</v>
      </c>
      <c r="E59" s="20" t="s">
        <v>686</v>
      </c>
      <c r="F59" s="20" t="s">
        <v>687</v>
      </c>
      <c r="G59" s="8" t="str">
        <f t="shared" si="0"/>
        <v>PAGE MARCUS</v>
      </c>
      <c r="H59" s="20" t="str">
        <f t="shared" si="1"/>
        <v>4016</v>
      </c>
    </row>
    <row r="60" spans="1:8" x14ac:dyDescent="0.25">
      <c r="A60" s="8">
        <v>43051.319594907407</v>
      </c>
      <c r="B60" s="20" t="s">
        <v>647</v>
      </c>
      <c r="C60" s="20" t="s">
        <v>728</v>
      </c>
      <c r="D60" s="138">
        <v>3120000</v>
      </c>
      <c r="E60" s="20" t="s">
        <v>372</v>
      </c>
      <c r="F60" s="20" t="s">
        <v>519</v>
      </c>
      <c r="G60" s="8" t="str">
        <f t="shared" si="0"/>
        <v>THOMPSON LESTER</v>
      </c>
      <c r="H60" s="20" t="str">
        <f t="shared" si="1"/>
        <v>4063</v>
      </c>
    </row>
    <row r="61" spans="1:8" x14ac:dyDescent="0.25">
      <c r="A61" s="8">
        <v>43051.327141203707</v>
      </c>
      <c r="B61" s="20" t="s">
        <v>690</v>
      </c>
      <c r="C61" s="20" t="s">
        <v>729</v>
      </c>
      <c r="D61" s="138">
        <v>2470000</v>
      </c>
      <c r="E61" s="20" t="s">
        <v>521</v>
      </c>
      <c r="F61" s="20" t="s">
        <v>522</v>
      </c>
      <c r="G61" s="8" t="str">
        <f t="shared" si="0"/>
        <v>ROMERO CHAD</v>
      </c>
      <c r="H61" s="20" t="str">
        <f t="shared" si="1"/>
        <v>4006</v>
      </c>
    </row>
    <row r="62" spans="1:8" x14ac:dyDescent="0.25">
      <c r="A62" s="8">
        <v>43051.328240740739</v>
      </c>
      <c r="B62" s="20" t="s">
        <v>520</v>
      </c>
      <c r="C62" s="20" t="s">
        <v>730</v>
      </c>
      <c r="D62" s="138">
        <v>3040000</v>
      </c>
      <c r="E62" s="20" t="s">
        <v>370</v>
      </c>
      <c r="F62" s="20" t="s">
        <v>699</v>
      </c>
      <c r="G62" s="8" t="str">
        <f t="shared" si="0"/>
        <v>WILLIAMS DONTE</v>
      </c>
      <c r="H62" s="20" t="str">
        <f t="shared" si="1"/>
        <v>4051</v>
      </c>
    </row>
    <row r="63" spans="1:8" x14ac:dyDescent="0.25">
      <c r="A63" s="8">
        <v>43051.333124999997</v>
      </c>
      <c r="B63" s="20" t="s">
        <v>448</v>
      </c>
      <c r="C63" s="20" t="s">
        <v>731</v>
      </c>
      <c r="D63" s="138">
        <v>2010000</v>
      </c>
      <c r="E63" s="20" t="s">
        <v>681</v>
      </c>
      <c r="F63" s="20" t="s">
        <v>682</v>
      </c>
      <c r="G63" s="8" t="str">
        <f t="shared" si="0"/>
        <v>MAELZER KURT</v>
      </c>
      <c r="H63" s="20" t="str">
        <f t="shared" si="1"/>
        <v>4041</v>
      </c>
    </row>
    <row r="64" spans="1:8" x14ac:dyDescent="0.25">
      <c r="A64" s="26">
        <v>43051.338287037041</v>
      </c>
      <c r="B64" s="20" t="s">
        <v>373</v>
      </c>
      <c r="C64" s="20" t="s">
        <v>732</v>
      </c>
      <c r="D64" s="138">
        <v>2560000</v>
      </c>
      <c r="E64" s="20" t="s">
        <v>705</v>
      </c>
      <c r="F64" s="20" t="s">
        <v>706</v>
      </c>
      <c r="G64" s="8" t="str">
        <f t="shared" si="0"/>
        <v>MACDONALD THOMAS</v>
      </c>
      <c r="H64" s="20" t="str">
        <f t="shared" si="1"/>
        <v>4012</v>
      </c>
    </row>
    <row r="65" spans="1:8" x14ac:dyDescent="0.25">
      <c r="A65" s="8">
        <v>43051.338807870372</v>
      </c>
      <c r="B65" s="20" t="s">
        <v>486</v>
      </c>
      <c r="C65" s="20" t="s">
        <v>645</v>
      </c>
      <c r="D65" s="138">
        <v>1100000</v>
      </c>
      <c r="E65" s="20" t="s">
        <v>524</v>
      </c>
      <c r="F65" s="20" t="s">
        <v>525</v>
      </c>
      <c r="G65" s="8" t="str">
        <f t="shared" si="0"/>
        <v>GEBRETEKLE DAGNEW</v>
      </c>
      <c r="H65" s="20" t="str">
        <f t="shared" si="1"/>
        <v>4002</v>
      </c>
    </row>
    <row r="66" spans="1:8" x14ac:dyDescent="0.25">
      <c r="A66" s="8">
        <v>43051.342511574076</v>
      </c>
      <c r="B66" s="20" t="s">
        <v>523</v>
      </c>
      <c r="C66" s="20" t="s">
        <v>733</v>
      </c>
      <c r="D66" s="138">
        <v>2440000</v>
      </c>
      <c r="E66" s="20" t="s">
        <v>537</v>
      </c>
      <c r="F66" s="20" t="s">
        <v>538</v>
      </c>
      <c r="G66" s="8" t="str">
        <f t="shared" si="0"/>
        <v>LOPES KIMBERLY</v>
      </c>
      <c r="H66" s="20" t="str">
        <f t="shared" si="1"/>
        <v>4003</v>
      </c>
    </row>
    <row r="67" spans="1:8" x14ac:dyDescent="0.25">
      <c r="A67" s="8">
        <v>43051.347870370373</v>
      </c>
      <c r="B67" s="20" t="s">
        <v>486</v>
      </c>
      <c r="C67" s="20" t="s">
        <v>645</v>
      </c>
      <c r="D67" s="138">
        <v>1100000</v>
      </c>
      <c r="E67" s="20" t="s">
        <v>524</v>
      </c>
      <c r="F67" s="20" t="s">
        <v>525</v>
      </c>
      <c r="G67" s="8" t="str">
        <f t="shared" ref="G67:G130" si="2">E67&amp;" "&amp;F67</f>
        <v>GEBRETEKLE DAGNEW</v>
      </c>
      <c r="H67" s="20" t="str">
        <f t="shared" ref="H67:H130" si="3">MID(B67,13,4)</f>
        <v>4002</v>
      </c>
    </row>
    <row r="68" spans="1:8" x14ac:dyDescent="0.25">
      <c r="A68" s="8">
        <v>43051.351712962962</v>
      </c>
      <c r="B68" s="20" t="s">
        <v>448</v>
      </c>
      <c r="C68" s="20" t="s">
        <v>731</v>
      </c>
      <c r="D68" s="138">
        <v>2010000</v>
      </c>
      <c r="E68" s="20" t="s">
        <v>681</v>
      </c>
      <c r="F68" s="20" t="s">
        <v>682</v>
      </c>
      <c r="G68" s="8" t="str">
        <f t="shared" si="2"/>
        <v>MAELZER KURT</v>
      </c>
      <c r="H68" s="20" t="str">
        <f t="shared" si="3"/>
        <v>4041</v>
      </c>
    </row>
    <row r="69" spans="1:8" x14ac:dyDescent="0.25">
      <c r="A69" s="8">
        <v>43051.352453703701</v>
      </c>
      <c r="B69" s="20" t="s">
        <v>374</v>
      </c>
      <c r="C69" s="20" t="s">
        <v>734</v>
      </c>
      <c r="D69" s="138">
        <v>2560000</v>
      </c>
      <c r="E69" s="20" t="s">
        <v>705</v>
      </c>
      <c r="F69" s="20" t="s">
        <v>706</v>
      </c>
      <c r="G69" s="8" t="str">
        <f t="shared" si="2"/>
        <v>MACDONALD THOMAS</v>
      </c>
      <c r="H69" s="20" t="str">
        <f t="shared" si="3"/>
        <v>4011</v>
      </c>
    </row>
    <row r="70" spans="1:8" x14ac:dyDescent="0.25">
      <c r="A70" s="8">
        <v>43051.352511574078</v>
      </c>
      <c r="B70" s="20" t="s">
        <v>449</v>
      </c>
      <c r="C70" s="20" t="s">
        <v>646</v>
      </c>
      <c r="D70" s="138">
        <v>3120000</v>
      </c>
      <c r="E70" s="20" t="s">
        <v>372</v>
      </c>
      <c r="F70" s="20" t="s">
        <v>519</v>
      </c>
      <c r="G70" s="8" t="str">
        <f t="shared" si="2"/>
        <v>THOMPSON LESTER</v>
      </c>
      <c r="H70" s="20" t="str">
        <f t="shared" si="3"/>
        <v>4064</v>
      </c>
    </row>
    <row r="71" spans="1:8" x14ac:dyDescent="0.25">
      <c r="A71" s="8">
        <v>43051.35701388889</v>
      </c>
      <c r="B71" s="20" t="s">
        <v>641</v>
      </c>
      <c r="C71" s="20" t="s">
        <v>735</v>
      </c>
      <c r="D71" s="138">
        <v>3260000</v>
      </c>
      <c r="E71" s="20" t="s">
        <v>686</v>
      </c>
      <c r="F71" s="20" t="s">
        <v>687</v>
      </c>
      <c r="G71" s="8" t="str">
        <f t="shared" si="2"/>
        <v>PAGE MARCUS</v>
      </c>
      <c r="H71" s="20" t="str">
        <f t="shared" si="3"/>
        <v>4015</v>
      </c>
    </row>
    <row r="72" spans="1:8" x14ac:dyDescent="0.25">
      <c r="A72" s="8">
        <v>43051.357870370368</v>
      </c>
      <c r="B72" s="20" t="s">
        <v>449</v>
      </c>
      <c r="C72" s="20" t="s">
        <v>646</v>
      </c>
      <c r="D72" s="138">
        <v>3120000</v>
      </c>
      <c r="E72" s="20" t="s">
        <v>372</v>
      </c>
      <c r="F72" s="20" t="s">
        <v>519</v>
      </c>
      <c r="G72" s="8" t="str">
        <f t="shared" si="2"/>
        <v>THOMPSON LESTER</v>
      </c>
      <c r="H72" s="20" t="str">
        <f t="shared" si="3"/>
        <v>4064</v>
      </c>
    </row>
    <row r="73" spans="1:8" x14ac:dyDescent="0.25">
      <c r="A73" s="8">
        <v>43051.361076388886</v>
      </c>
      <c r="B73" s="20" t="s">
        <v>513</v>
      </c>
      <c r="C73" s="20" t="s">
        <v>736</v>
      </c>
      <c r="D73" s="138">
        <v>3040000</v>
      </c>
      <c r="E73" s="20" t="s">
        <v>370</v>
      </c>
      <c r="F73" s="20" t="s">
        <v>699</v>
      </c>
      <c r="G73" s="8" t="str">
        <f t="shared" si="2"/>
        <v>WILLIAMS DONTE</v>
      </c>
      <c r="H73" s="20" t="str">
        <f t="shared" si="3"/>
        <v>4052</v>
      </c>
    </row>
    <row r="74" spans="1:8" x14ac:dyDescent="0.25">
      <c r="A74" s="8">
        <v>43051.364259259259</v>
      </c>
      <c r="B74" s="20" t="s">
        <v>634</v>
      </c>
      <c r="C74" s="20" t="s">
        <v>737</v>
      </c>
      <c r="D74" s="138">
        <v>2470000</v>
      </c>
      <c r="E74" s="20" t="s">
        <v>521</v>
      </c>
      <c r="F74" s="20" t="s">
        <v>522</v>
      </c>
      <c r="G74" s="8" t="str">
        <f t="shared" si="2"/>
        <v>ROMERO CHAD</v>
      </c>
      <c r="H74" s="20" t="str">
        <f t="shared" si="3"/>
        <v>4005</v>
      </c>
    </row>
    <row r="75" spans="1:8" x14ac:dyDescent="0.25">
      <c r="A75" s="8">
        <v>43051.366018518522</v>
      </c>
      <c r="B75" s="20" t="s">
        <v>634</v>
      </c>
      <c r="C75" s="20" t="s">
        <v>737</v>
      </c>
      <c r="D75" s="138">
        <v>2370000</v>
      </c>
      <c r="E75" s="20" t="s">
        <v>529</v>
      </c>
      <c r="F75" s="20" t="s">
        <v>530</v>
      </c>
      <c r="G75" s="8" t="str">
        <f t="shared" si="2"/>
        <v>DELGADO DIANAH</v>
      </c>
      <c r="H75" s="20" t="str">
        <f t="shared" si="3"/>
        <v>4005</v>
      </c>
    </row>
    <row r="76" spans="1:8" x14ac:dyDescent="0.25">
      <c r="A76" s="8">
        <v>43051.371261574073</v>
      </c>
      <c r="B76" s="20" t="s">
        <v>485</v>
      </c>
      <c r="C76" s="20" t="s">
        <v>738</v>
      </c>
      <c r="D76" s="138">
        <v>2010000</v>
      </c>
      <c r="E76" s="20" t="s">
        <v>681</v>
      </c>
      <c r="F76" s="20" t="s">
        <v>682</v>
      </c>
      <c r="G76" s="8" t="str">
        <f t="shared" si="2"/>
        <v>MAELZER KURT</v>
      </c>
      <c r="H76" s="20" t="str">
        <f t="shared" si="3"/>
        <v>4042</v>
      </c>
    </row>
    <row r="77" spans="1:8" x14ac:dyDescent="0.25">
      <c r="A77" s="8">
        <v>43051.372928240744</v>
      </c>
      <c r="B77" s="20" t="s">
        <v>484</v>
      </c>
      <c r="C77" s="20" t="s">
        <v>739</v>
      </c>
      <c r="D77" s="138">
        <v>1100000</v>
      </c>
      <c r="E77" s="20" t="s">
        <v>524</v>
      </c>
      <c r="F77" s="20" t="s">
        <v>525</v>
      </c>
      <c r="G77" s="8" t="str">
        <f t="shared" si="2"/>
        <v>GEBRETEKLE DAGNEW</v>
      </c>
      <c r="H77" s="20" t="str">
        <f t="shared" si="3"/>
        <v>4001</v>
      </c>
    </row>
    <row r="78" spans="1:8" x14ac:dyDescent="0.25">
      <c r="A78" s="8">
        <v>43051.379374999997</v>
      </c>
      <c r="B78" s="20" t="s">
        <v>373</v>
      </c>
      <c r="C78" s="20" t="s">
        <v>740</v>
      </c>
      <c r="D78" s="138">
        <v>2560000</v>
      </c>
      <c r="E78" s="20" t="s">
        <v>705</v>
      </c>
      <c r="F78" s="20" t="s">
        <v>706</v>
      </c>
      <c r="G78" s="8" t="str">
        <f t="shared" si="2"/>
        <v>MACDONALD THOMAS</v>
      </c>
      <c r="H78" s="20" t="str">
        <f t="shared" si="3"/>
        <v>4012</v>
      </c>
    </row>
    <row r="79" spans="1:8" x14ac:dyDescent="0.25">
      <c r="A79" s="8">
        <v>43051.379664351851</v>
      </c>
      <c r="B79" s="20" t="s">
        <v>515</v>
      </c>
      <c r="C79" s="20" t="s">
        <v>741</v>
      </c>
      <c r="D79" s="138">
        <v>2440000</v>
      </c>
      <c r="E79" s="20" t="s">
        <v>537</v>
      </c>
      <c r="F79" s="20" t="s">
        <v>538</v>
      </c>
      <c r="G79" s="8" t="str">
        <f t="shared" si="2"/>
        <v>LOPES KIMBERLY</v>
      </c>
      <c r="H79" s="20" t="str">
        <f t="shared" si="3"/>
        <v>4004</v>
      </c>
    </row>
    <row r="80" spans="1:8" x14ac:dyDescent="0.25">
      <c r="A80" s="8">
        <v>43051.391979166663</v>
      </c>
      <c r="B80" s="20" t="s">
        <v>536</v>
      </c>
      <c r="C80" s="20" t="s">
        <v>742</v>
      </c>
      <c r="D80" s="138">
        <v>3260000</v>
      </c>
      <c r="E80" s="20" t="s">
        <v>686</v>
      </c>
      <c r="F80" s="20" t="s">
        <v>687</v>
      </c>
      <c r="G80" s="8" t="str">
        <f t="shared" si="2"/>
        <v>PAGE MARCUS</v>
      </c>
      <c r="H80" s="20" t="str">
        <f t="shared" si="3"/>
        <v>4016</v>
      </c>
    </row>
    <row r="81" spans="1:8" x14ac:dyDescent="0.25">
      <c r="A81" s="8">
        <v>43051.392696759256</v>
      </c>
      <c r="B81" s="20" t="s">
        <v>647</v>
      </c>
      <c r="C81" s="20" t="s">
        <v>648</v>
      </c>
      <c r="D81" s="138">
        <v>3120000</v>
      </c>
      <c r="E81" s="20" t="s">
        <v>372</v>
      </c>
      <c r="F81" s="20" t="s">
        <v>519</v>
      </c>
      <c r="G81" s="8" t="str">
        <f t="shared" si="2"/>
        <v>THOMPSON LESTER</v>
      </c>
      <c r="H81" s="20" t="str">
        <f t="shared" si="3"/>
        <v>4063</v>
      </c>
    </row>
    <row r="82" spans="1:8" x14ac:dyDescent="0.25">
      <c r="A82" s="8">
        <v>43051.392789351848</v>
      </c>
      <c r="B82" s="20" t="s">
        <v>374</v>
      </c>
      <c r="C82" s="20" t="s">
        <v>743</v>
      </c>
      <c r="D82" s="138">
        <v>2560000</v>
      </c>
      <c r="E82" s="20" t="s">
        <v>705</v>
      </c>
      <c r="F82" s="20" t="s">
        <v>706</v>
      </c>
      <c r="G82" s="8" t="str">
        <f t="shared" si="2"/>
        <v>MACDONALD THOMAS</v>
      </c>
      <c r="H82" s="20" t="str">
        <f t="shared" si="3"/>
        <v>4011</v>
      </c>
    </row>
    <row r="83" spans="1:8" x14ac:dyDescent="0.25">
      <c r="A83" s="8">
        <v>43051.400671296295</v>
      </c>
      <c r="B83" s="20" t="s">
        <v>520</v>
      </c>
      <c r="C83" s="20" t="s">
        <v>744</v>
      </c>
      <c r="D83" s="138">
        <v>3040000</v>
      </c>
      <c r="E83" s="20" t="s">
        <v>370</v>
      </c>
      <c r="F83" s="20" t="s">
        <v>699</v>
      </c>
      <c r="G83" s="8" t="str">
        <f t="shared" si="2"/>
        <v>WILLIAMS DONTE</v>
      </c>
      <c r="H83" s="20" t="str">
        <f t="shared" si="3"/>
        <v>4051</v>
      </c>
    </row>
    <row r="84" spans="1:8" x14ac:dyDescent="0.25">
      <c r="A84" s="8">
        <v>43051.402361111112</v>
      </c>
      <c r="B84" s="20" t="s">
        <v>690</v>
      </c>
      <c r="C84" s="20" t="s">
        <v>745</v>
      </c>
      <c r="D84" s="138">
        <v>2470000</v>
      </c>
      <c r="E84" s="20" t="s">
        <v>521</v>
      </c>
      <c r="F84" s="20" t="s">
        <v>522</v>
      </c>
      <c r="G84" s="8" t="str">
        <f t="shared" si="2"/>
        <v>ROMERO CHAD</v>
      </c>
      <c r="H84" s="20" t="str">
        <f t="shared" si="3"/>
        <v>4006</v>
      </c>
    </row>
    <row r="85" spans="1:8" x14ac:dyDescent="0.25">
      <c r="A85" s="8">
        <v>43051.408495370371</v>
      </c>
      <c r="B85" s="20" t="s">
        <v>448</v>
      </c>
      <c r="C85" s="20" t="s">
        <v>746</v>
      </c>
      <c r="D85" s="138">
        <v>2010000</v>
      </c>
      <c r="E85" s="20" t="s">
        <v>681</v>
      </c>
      <c r="F85" s="20" t="s">
        <v>682</v>
      </c>
      <c r="G85" s="8" t="str">
        <f t="shared" si="2"/>
        <v>MAELZER KURT</v>
      </c>
      <c r="H85" s="20" t="str">
        <f t="shared" si="3"/>
        <v>4041</v>
      </c>
    </row>
    <row r="86" spans="1:8" x14ac:dyDescent="0.25">
      <c r="A86" s="8">
        <v>43051.412210648145</v>
      </c>
      <c r="B86" s="20" t="s">
        <v>486</v>
      </c>
      <c r="C86" s="20" t="s">
        <v>747</v>
      </c>
      <c r="D86" s="138">
        <v>1100000</v>
      </c>
      <c r="E86" s="20" t="s">
        <v>524</v>
      </c>
      <c r="F86" s="20" t="s">
        <v>525</v>
      </c>
      <c r="G86" s="8" t="str">
        <f t="shared" si="2"/>
        <v>GEBRETEKLE DAGNEW</v>
      </c>
      <c r="H86" s="20" t="str">
        <f t="shared" si="3"/>
        <v>4002</v>
      </c>
    </row>
    <row r="87" spans="1:8" x14ac:dyDescent="0.25">
      <c r="A87" s="8">
        <v>43051.415925925925</v>
      </c>
      <c r="B87" s="20" t="s">
        <v>523</v>
      </c>
      <c r="C87" s="20" t="s">
        <v>748</v>
      </c>
      <c r="D87" s="138">
        <v>2440000</v>
      </c>
      <c r="E87" s="20" t="s">
        <v>537</v>
      </c>
      <c r="F87" s="20" t="s">
        <v>538</v>
      </c>
      <c r="G87" s="8" t="str">
        <f t="shared" si="2"/>
        <v>LOPES KIMBERLY</v>
      </c>
      <c r="H87" s="20" t="str">
        <f t="shared" si="3"/>
        <v>4003</v>
      </c>
    </row>
    <row r="88" spans="1:8" x14ac:dyDescent="0.25">
      <c r="A88" s="8">
        <v>43051.422129629631</v>
      </c>
      <c r="B88" s="20" t="s">
        <v>373</v>
      </c>
      <c r="C88" s="20" t="s">
        <v>749</v>
      </c>
      <c r="D88" s="138">
        <v>2560000</v>
      </c>
      <c r="E88" s="20" t="s">
        <v>705</v>
      </c>
      <c r="F88" s="20" t="s">
        <v>706</v>
      </c>
      <c r="G88" s="8" t="str">
        <f t="shared" si="2"/>
        <v>MACDONALD THOMAS</v>
      </c>
      <c r="H88" s="20" t="str">
        <f t="shared" si="3"/>
        <v>4012</v>
      </c>
    </row>
    <row r="89" spans="1:8" x14ac:dyDescent="0.25">
      <c r="A89" s="8">
        <v>43051.423541666663</v>
      </c>
      <c r="B89" s="20" t="s">
        <v>449</v>
      </c>
      <c r="C89" s="20" t="s">
        <v>750</v>
      </c>
      <c r="D89" s="138">
        <v>3030000</v>
      </c>
      <c r="E89" s="20" t="s">
        <v>751</v>
      </c>
      <c r="F89" s="20" t="s">
        <v>706</v>
      </c>
      <c r="G89" s="8" t="str">
        <f t="shared" si="2"/>
        <v>BIRENBAUM THOMAS</v>
      </c>
      <c r="H89" s="20" t="str">
        <f t="shared" si="3"/>
        <v>4064</v>
      </c>
    </row>
    <row r="90" spans="1:8" x14ac:dyDescent="0.25">
      <c r="A90" s="8">
        <v>43051.431250000001</v>
      </c>
      <c r="B90" s="20" t="s">
        <v>641</v>
      </c>
      <c r="C90" s="20" t="s">
        <v>752</v>
      </c>
      <c r="D90" s="138">
        <v>3260000</v>
      </c>
      <c r="E90" s="20" t="s">
        <v>686</v>
      </c>
      <c r="F90" s="20" t="s">
        <v>687</v>
      </c>
      <c r="G90" s="8" t="str">
        <f t="shared" si="2"/>
        <v>PAGE MARCUS</v>
      </c>
      <c r="H90" s="20" t="str">
        <f t="shared" si="3"/>
        <v>4015</v>
      </c>
    </row>
    <row r="91" spans="1:8" x14ac:dyDescent="0.25">
      <c r="A91" s="8">
        <v>43051.431898148148</v>
      </c>
      <c r="B91" s="20" t="s">
        <v>634</v>
      </c>
      <c r="C91" s="20" t="s">
        <v>753</v>
      </c>
      <c r="D91" s="138">
        <v>2470000</v>
      </c>
      <c r="E91" s="20" t="s">
        <v>521</v>
      </c>
      <c r="F91" s="20" t="s">
        <v>522</v>
      </c>
      <c r="G91" s="8" t="str">
        <f t="shared" si="2"/>
        <v>ROMERO CHAD</v>
      </c>
      <c r="H91" s="20" t="str">
        <f t="shared" si="3"/>
        <v>4005</v>
      </c>
    </row>
    <row r="92" spans="1:8" x14ac:dyDescent="0.25">
      <c r="A92" s="8">
        <v>43051.433136574073</v>
      </c>
      <c r="B92" s="20" t="s">
        <v>513</v>
      </c>
      <c r="C92" s="20" t="s">
        <v>754</v>
      </c>
      <c r="D92" s="138">
        <v>3040000</v>
      </c>
      <c r="E92" s="20" t="s">
        <v>370</v>
      </c>
      <c r="F92" s="20" t="s">
        <v>699</v>
      </c>
      <c r="G92" s="8" t="str">
        <f t="shared" si="2"/>
        <v>WILLIAMS DONTE</v>
      </c>
      <c r="H92" s="20" t="str">
        <f t="shared" si="3"/>
        <v>4052</v>
      </c>
    </row>
    <row r="93" spans="1:8" x14ac:dyDescent="0.25">
      <c r="A93" s="8">
        <v>43051.434305555558</v>
      </c>
      <c r="B93" s="20" t="s">
        <v>374</v>
      </c>
      <c r="C93" s="20" t="s">
        <v>649</v>
      </c>
      <c r="D93" s="138">
        <v>2560000</v>
      </c>
      <c r="E93" s="20" t="s">
        <v>705</v>
      </c>
      <c r="F93" s="20" t="s">
        <v>706</v>
      </c>
      <c r="G93" s="8" t="str">
        <f t="shared" si="2"/>
        <v>MACDONALD THOMAS</v>
      </c>
      <c r="H93" s="20" t="str">
        <f t="shared" si="3"/>
        <v>4011</v>
      </c>
    </row>
    <row r="94" spans="1:8" x14ac:dyDescent="0.25">
      <c r="A94" s="8">
        <v>43051.443020833336</v>
      </c>
      <c r="B94" s="20" t="s">
        <v>484</v>
      </c>
      <c r="C94" s="20" t="s">
        <v>650</v>
      </c>
      <c r="D94" s="138">
        <v>1100000</v>
      </c>
      <c r="E94" s="20" t="s">
        <v>524</v>
      </c>
      <c r="F94" s="20" t="s">
        <v>525</v>
      </c>
      <c r="G94" s="8" t="str">
        <f t="shared" si="2"/>
        <v>GEBRETEKLE DAGNEW</v>
      </c>
      <c r="H94" s="20" t="str">
        <f t="shared" si="3"/>
        <v>4001</v>
      </c>
    </row>
    <row r="95" spans="1:8" x14ac:dyDescent="0.25">
      <c r="A95" s="8">
        <v>43051.44390046296</v>
      </c>
      <c r="B95" s="20" t="s">
        <v>485</v>
      </c>
      <c r="C95" s="20" t="s">
        <v>651</v>
      </c>
      <c r="D95" s="138">
        <v>880000</v>
      </c>
      <c r="E95" s="20" t="s">
        <v>383</v>
      </c>
      <c r="F95" s="20" t="s">
        <v>354</v>
      </c>
      <c r="G95" s="8" t="str">
        <f t="shared" si="2"/>
        <v>STEWART MICHAEL</v>
      </c>
      <c r="H95" s="20" t="str">
        <f t="shared" si="3"/>
        <v>4042</v>
      </c>
    </row>
    <row r="96" spans="1:8" x14ac:dyDescent="0.25">
      <c r="A96" s="8">
        <v>43051.452349537038</v>
      </c>
      <c r="B96" s="20" t="s">
        <v>515</v>
      </c>
      <c r="C96" s="20" t="s">
        <v>755</v>
      </c>
      <c r="D96" s="138">
        <v>2440000</v>
      </c>
      <c r="E96" s="20" t="s">
        <v>537</v>
      </c>
      <c r="F96" s="20" t="s">
        <v>538</v>
      </c>
      <c r="G96" s="8" t="str">
        <f t="shared" si="2"/>
        <v>LOPES KIMBERLY</v>
      </c>
      <c r="H96" s="20" t="str">
        <f t="shared" si="3"/>
        <v>4004</v>
      </c>
    </row>
    <row r="97" spans="1:8" x14ac:dyDescent="0.25">
      <c r="A97" s="8">
        <v>43051.452592592592</v>
      </c>
      <c r="B97" s="20" t="s">
        <v>647</v>
      </c>
      <c r="C97" s="20" t="s">
        <v>756</v>
      </c>
      <c r="D97" s="138">
        <v>3030000</v>
      </c>
      <c r="E97" s="20" t="s">
        <v>751</v>
      </c>
      <c r="F97" s="20" t="s">
        <v>706</v>
      </c>
      <c r="G97" s="8" t="str">
        <f t="shared" si="2"/>
        <v>BIRENBAUM THOMAS</v>
      </c>
      <c r="H97" s="20" t="str">
        <f t="shared" si="3"/>
        <v>4063</v>
      </c>
    </row>
    <row r="98" spans="1:8" x14ac:dyDescent="0.25">
      <c r="A98" s="8">
        <v>43051.463935185187</v>
      </c>
      <c r="B98" s="20" t="s">
        <v>373</v>
      </c>
      <c r="C98" s="20" t="s">
        <v>757</v>
      </c>
      <c r="D98" s="138">
        <v>2560000</v>
      </c>
      <c r="E98" s="20" t="s">
        <v>705</v>
      </c>
      <c r="F98" s="20" t="s">
        <v>706</v>
      </c>
      <c r="G98" s="8" t="str">
        <f t="shared" si="2"/>
        <v>MACDONALD THOMAS</v>
      </c>
      <c r="H98" s="20" t="str">
        <f t="shared" si="3"/>
        <v>4012</v>
      </c>
    </row>
    <row r="99" spans="1:8" x14ac:dyDescent="0.25">
      <c r="A99" s="8">
        <v>43051.46466435185</v>
      </c>
      <c r="B99" s="20" t="s">
        <v>536</v>
      </c>
      <c r="C99" s="20" t="s">
        <v>758</v>
      </c>
      <c r="D99" s="138">
        <v>920000</v>
      </c>
      <c r="E99" s="20" t="s">
        <v>462</v>
      </c>
      <c r="F99" s="20" t="s">
        <v>354</v>
      </c>
      <c r="G99" s="8" t="str">
        <f t="shared" si="2"/>
        <v>DAVIS MICHAEL</v>
      </c>
      <c r="H99" s="20" t="str">
        <f t="shared" si="3"/>
        <v>4016</v>
      </c>
    </row>
    <row r="100" spans="1:8" x14ac:dyDescent="0.25">
      <c r="A100" s="8">
        <v>43051.466134259259</v>
      </c>
      <c r="B100" s="20" t="s">
        <v>484</v>
      </c>
      <c r="C100" s="20" t="s">
        <v>650</v>
      </c>
      <c r="D100" s="138">
        <v>1100000</v>
      </c>
      <c r="E100" s="20" t="s">
        <v>524</v>
      </c>
      <c r="F100" s="20" t="s">
        <v>525</v>
      </c>
      <c r="G100" s="8" t="str">
        <f t="shared" si="2"/>
        <v>GEBRETEKLE DAGNEW</v>
      </c>
      <c r="H100" s="20" t="str">
        <f t="shared" si="3"/>
        <v>4001</v>
      </c>
    </row>
    <row r="101" spans="1:8" x14ac:dyDescent="0.25">
      <c r="A101" s="8">
        <v>43051.473229166666</v>
      </c>
      <c r="B101" s="20" t="s">
        <v>520</v>
      </c>
      <c r="C101" s="20" t="s">
        <v>759</v>
      </c>
      <c r="D101" s="138">
        <v>3040000</v>
      </c>
      <c r="E101" s="20" t="s">
        <v>370</v>
      </c>
      <c r="F101" s="20" t="s">
        <v>699</v>
      </c>
      <c r="G101" s="8" t="str">
        <f t="shared" si="2"/>
        <v>WILLIAMS DONTE</v>
      </c>
      <c r="H101" s="20" t="str">
        <f t="shared" si="3"/>
        <v>4051</v>
      </c>
    </row>
    <row r="102" spans="1:8" x14ac:dyDescent="0.25">
      <c r="A102" s="8">
        <v>43051.476157407407</v>
      </c>
      <c r="B102" s="20" t="s">
        <v>374</v>
      </c>
      <c r="C102" s="20" t="s">
        <v>760</v>
      </c>
      <c r="D102" s="138">
        <v>2560000</v>
      </c>
      <c r="E102" s="20" t="s">
        <v>705</v>
      </c>
      <c r="F102" s="20" t="s">
        <v>706</v>
      </c>
      <c r="G102" s="8" t="str">
        <f t="shared" si="2"/>
        <v>MACDONALD THOMAS</v>
      </c>
      <c r="H102" s="20" t="str">
        <f t="shared" si="3"/>
        <v>4011</v>
      </c>
    </row>
    <row r="103" spans="1:8" x14ac:dyDescent="0.25">
      <c r="A103" s="8">
        <v>43051.476921296293</v>
      </c>
      <c r="B103" s="20" t="s">
        <v>690</v>
      </c>
      <c r="C103" s="20" t="s">
        <v>761</v>
      </c>
      <c r="D103" s="138">
        <v>2630000</v>
      </c>
      <c r="E103" s="20" t="s">
        <v>375</v>
      </c>
      <c r="F103" s="20" t="s">
        <v>376</v>
      </c>
      <c r="G103" s="8" t="str">
        <f t="shared" si="2"/>
        <v>SAFIEF AEIMEN</v>
      </c>
      <c r="H103" s="20" t="str">
        <f t="shared" si="3"/>
        <v>4006</v>
      </c>
    </row>
    <row r="104" spans="1:8" x14ac:dyDescent="0.25">
      <c r="A104" s="8">
        <v>43051.486087962963</v>
      </c>
      <c r="B104" s="20" t="s">
        <v>448</v>
      </c>
      <c r="C104" s="20" t="s">
        <v>762</v>
      </c>
      <c r="D104" s="138">
        <v>880000</v>
      </c>
      <c r="E104" s="20" t="s">
        <v>383</v>
      </c>
      <c r="F104" s="20" t="s">
        <v>354</v>
      </c>
      <c r="G104" s="8" t="str">
        <f t="shared" si="2"/>
        <v>STEWART MICHAEL</v>
      </c>
      <c r="H104" s="20" t="str">
        <f t="shared" si="3"/>
        <v>4041</v>
      </c>
    </row>
    <row r="105" spans="1:8" x14ac:dyDescent="0.25">
      <c r="A105" s="8">
        <v>43051.48810185185</v>
      </c>
      <c r="B105" s="20" t="s">
        <v>486</v>
      </c>
      <c r="C105" s="20" t="s">
        <v>763</v>
      </c>
      <c r="D105" s="138">
        <v>3330000</v>
      </c>
      <c r="E105" s="20" t="s">
        <v>764</v>
      </c>
      <c r="F105" s="20" t="s">
        <v>765</v>
      </c>
      <c r="G105" s="8" t="str">
        <f t="shared" si="2"/>
        <v>GONZALEZ ARMANDO</v>
      </c>
      <c r="H105" s="20" t="str">
        <f t="shared" si="3"/>
        <v>4002</v>
      </c>
    </row>
    <row r="106" spans="1:8" x14ac:dyDescent="0.25">
      <c r="A106" s="8">
        <v>43051.492997685185</v>
      </c>
      <c r="B106" s="20" t="s">
        <v>523</v>
      </c>
      <c r="C106" s="20" t="s">
        <v>766</v>
      </c>
      <c r="D106" s="138">
        <v>2440000</v>
      </c>
      <c r="E106" s="20" t="s">
        <v>537</v>
      </c>
      <c r="F106" s="20" t="s">
        <v>538</v>
      </c>
      <c r="G106" s="8" t="str">
        <f t="shared" si="2"/>
        <v>LOPES KIMBERLY</v>
      </c>
      <c r="H106" s="20" t="str">
        <f t="shared" si="3"/>
        <v>4003</v>
      </c>
    </row>
    <row r="107" spans="1:8" x14ac:dyDescent="0.25">
      <c r="A107" s="8">
        <v>43051.496261574073</v>
      </c>
      <c r="B107" s="20" t="s">
        <v>449</v>
      </c>
      <c r="C107" s="20" t="s">
        <v>767</v>
      </c>
      <c r="D107" s="138">
        <v>2550000</v>
      </c>
      <c r="E107" s="20" t="s">
        <v>768</v>
      </c>
      <c r="F107" s="20" t="s">
        <v>769</v>
      </c>
      <c r="G107" s="8" t="str">
        <f t="shared" si="2"/>
        <v>BADERTSCHER DIANE</v>
      </c>
      <c r="H107" s="20" t="str">
        <f t="shared" si="3"/>
        <v>4064</v>
      </c>
    </row>
    <row r="108" spans="1:8" x14ac:dyDescent="0.25">
      <c r="A108" s="8">
        <v>43051.503680555557</v>
      </c>
      <c r="B108" s="20" t="s">
        <v>373</v>
      </c>
      <c r="C108" s="20" t="s">
        <v>770</v>
      </c>
      <c r="D108" s="138">
        <v>2560000</v>
      </c>
      <c r="E108" s="20" t="s">
        <v>705</v>
      </c>
      <c r="F108" s="20" t="s">
        <v>706</v>
      </c>
      <c r="G108" s="8" t="str">
        <f t="shared" si="2"/>
        <v>MACDONALD THOMAS</v>
      </c>
      <c r="H108" s="20" t="str">
        <f t="shared" si="3"/>
        <v>4012</v>
      </c>
    </row>
    <row r="109" spans="1:8" x14ac:dyDescent="0.25">
      <c r="A109" s="8">
        <v>43051.506192129629</v>
      </c>
      <c r="B109" s="20" t="s">
        <v>513</v>
      </c>
      <c r="C109" s="20" t="s">
        <v>771</v>
      </c>
      <c r="D109" s="138">
        <v>2610000</v>
      </c>
      <c r="E109" s="20" t="s">
        <v>384</v>
      </c>
      <c r="F109" s="20" t="s">
        <v>385</v>
      </c>
      <c r="G109" s="8" t="str">
        <f t="shared" si="2"/>
        <v>MAGEE KENYA</v>
      </c>
      <c r="H109" s="20" t="str">
        <f t="shared" si="3"/>
        <v>4052</v>
      </c>
    </row>
    <row r="110" spans="1:8" x14ac:dyDescent="0.25">
      <c r="A110" s="8">
        <v>43051.507141203707</v>
      </c>
      <c r="B110" s="20" t="s">
        <v>641</v>
      </c>
      <c r="C110" s="20" t="s">
        <v>772</v>
      </c>
      <c r="D110" s="138">
        <v>920000</v>
      </c>
      <c r="E110" s="20" t="s">
        <v>462</v>
      </c>
      <c r="F110" s="20" t="s">
        <v>354</v>
      </c>
      <c r="G110" s="8" t="str">
        <f t="shared" si="2"/>
        <v>DAVIS MICHAEL</v>
      </c>
      <c r="H110" s="20" t="str">
        <f t="shared" si="3"/>
        <v>4015</v>
      </c>
    </row>
    <row r="111" spans="1:8" x14ac:dyDescent="0.25">
      <c r="A111" s="8">
        <v>43051.507210648146</v>
      </c>
      <c r="B111" s="20" t="s">
        <v>634</v>
      </c>
      <c r="C111" s="20" t="s">
        <v>773</v>
      </c>
      <c r="D111" s="138">
        <v>2630000</v>
      </c>
      <c r="E111" s="20" t="s">
        <v>375</v>
      </c>
      <c r="F111" s="20" t="s">
        <v>376</v>
      </c>
      <c r="G111" s="8" t="str">
        <f t="shared" si="2"/>
        <v>SAFIEF AEIMEN</v>
      </c>
      <c r="H111" s="20" t="str">
        <f t="shared" si="3"/>
        <v>4005</v>
      </c>
    </row>
    <row r="112" spans="1:8" x14ac:dyDescent="0.25">
      <c r="A112" s="8">
        <v>43051.517268518517</v>
      </c>
      <c r="B112" s="20" t="s">
        <v>374</v>
      </c>
      <c r="C112" s="20" t="s">
        <v>774</v>
      </c>
      <c r="D112" s="138">
        <v>2560000</v>
      </c>
      <c r="E112" s="20" t="s">
        <v>705</v>
      </c>
      <c r="F112" s="20" t="s">
        <v>706</v>
      </c>
      <c r="G112" s="8" t="str">
        <f t="shared" si="2"/>
        <v>MACDONALD THOMAS</v>
      </c>
      <c r="H112" s="20" t="str">
        <f t="shared" si="3"/>
        <v>4011</v>
      </c>
    </row>
    <row r="113" spans="1:8" x14ac:dyDescent="0.25">
      <c r="A113" s="8">
        <v>43051.517337962963</v>
      </c>
      <c r="B113" s="20" t="s">
        <v>485</v>
      </c>
      <c r="C113" s="20" t="s">
        <v>775</v>
      </c>
      <c r="D113" s="138">
        <v>880000</v>
      </c>
      <c r="E113" s="20" t="s">
        <v>383</v>
      </c>
      <c r="F113" s="20" t="s">
        <v>354</v>
      </c>
      <c r="G113" s="8" t="str">
        <f t="shared" si="2"/>
        <v>STEWART MICHAEL</v>
      </c>
      <c r="H113" s="20" t="str">
        <f t="shared" si="3"/>
        <v>4042</v>
      </c>
    </row>
    <row r="114" spans="1:8" x14ac:dyDescent="0.25">
      <c r="A114" s="8">
        <v>43051.520474537036</v>
      </c>
      <c r="B114" s="20" t="s">
        <v>374</v>
      </c>
      <c r="C114" s="20" t="s">
        <v>774</v>
      </c>
      <c r="D114" s="138">
        <v>2560000</v>
      </c>
      <c r="E114" s="20" t="s">
        <v>705</v>
      </c>
      <c r="F114" s="20" t="s">
        <v>706</v>
      </c>
      <c r="G114" s="8" t="str">
        <f t="shared" si="2"/>
        <v>MACDONALD THOMAS</v>
      </c>
      <c r="H114" s="20" t="str">
        <f t="shared" si="3"/>
        <v>4011</v>
      </c>
    </row>
    <row r="115" spans="1:8" x14ac:dyDescent="0.25">
      <c r="A115" s="8">
        <v>43051.525671296295</v>
      </c>
      <c r="B115" s="20" t="s">
        <v>484</v>
      </c>
      <c r="C115" s="20" t="s">
        <v>776</v>
      </c>
      <c r="D115" s="138">
        <v>3330000</v>
      </c>
      <c r="E115" s="20" t="s">
        <v>764</v>
      </c>
      <c r="F115" s="20" t="s">
        <v>765</v>
      </c>
      <c r="G115" s="8" t="str">
        <f t="shared" si="2"/>
        <v>GONZALEZ ARMANDO</v>
      </c>
      <c r="H115" s="20" t="str">
        <f t="shared" si="3"/>
        <v>4001</v>
      </c>
    </row>
    <row r="116" spans="1:8" x14ac:dyDescent="0.25">
      <c r="A116" s="8">
        <v>43051.527233796296</v>
      </c>
      <c r="B116" s="20" t="s">
        <v>515</v>
      </c>
      <c r="C116" s="20" t="s">
        <v>777</v>
      </c>
      <c r="D116" s="138">
        <v>2230000</v>
      </c>
      <c r="E116" s="20" t="s">
        <v>397</v>
      </c>
      <c r="F116" s="20" t="s">
        <v>354</v>
      </c>
      <c r="G116" s="8" t="str">
        <f t="shared" si="2"/>
        <v>SMITH MICHAEL</v>
      </c>
      <c r="H116" s="20" t="str">
        <f t="shared" si="3"/>
        <v>4004</v>
      </c>
    </row>
    <row r="117" spans="1:8" x14ac:dyDescent="0.25">
      <c r="A117" s="8">
        <v>43051.536064814813</v>
      </c>
      <c r="B117" s="20" t="s">
        <v>647</v>
      </c>
      <c r="C117" s="20" t="s">
        <v>778</v>
      </c>
      <c r="D117" s="138">
        <v>2550000</v>
      </c>
      <c r="E117" s="20" t="s">
        <v>768</v>
      </c>
      <c r="F117" s="20" t="s">
        <v>769</v>
      </c>
      <c r="G117" s="8" t="str">
        <f t="shared" si="2"/>
        <v>BADERTSCHER DIANE</v>
      </c>
      <c r="H117" s="20" t="str">
        <f t="shared" si="3"/>
        <v>4063</v>
      </c>
    </row>
    <row r="118" spans="1:8" x14ac:dyDescent="0.25">
      <c r="A118" s="8">
        <v>43051.540613425925</v>
      </c>
      <c r="B118" s="20" t="s">
        <v>536</v>
      </c>
      <c r="C118" s="20" t="s">
        <v>779</v>
      </c>
      <c r="D118" s="138">
        <v>920000</v>
      </c>
      <c r="E118" s="20" t="s">
        <v>462</v>
      </c>
      <c r="F118" s="20" t="s">
        <v>354</v>
      </c>
      <c r="G118" s="8" t="str">
        <f t="shared" si="2"/>
        <v>DAVIS MICHAEL</v>
      </c>
      <c r="H118" s="20" t="str">
        <f t="shared" si="3"/>
        <v>4016</v>
      </c>
    </row>
    <row r="119" spans="1:8" x14ac:dyDescent="0.25">
      <c r="A119" s="8">
        <v>43051.543877314813</v>
      </c>
      <c r="B119" s="20" t="s">
        <v>520</v>
      </c>
      <c r="C119" s="20" t="s">
        <v>780</v>
      </c>
      <c r="D119" s="138">
        <v>2610000</v>
      </c>
      <c r="E119" s="20" t="s">
        <v>384</v>
      </c>
      <c r="F119" s="20" t="s">
        <v>385</v>
      </c>
      <c r="G119" s="8" t="str">
        <f t="shared" si="2"/>
        <v>MAGEE KENYA</v>
      </c>
      <c r="H119" s="20" t="str">
        <f t="shared" si="3"/>
        <v>4051</v>
      </c>
    </row>
    <row r="120" spans="1:8" x14ac:dyDescent="0.25">
      <c r="A120" s="8">
        <v>43051.547881944447</v>
      </c>
      <c r="B120" s="20" t="s">
        <v>690</v>
      </c>
      <c r="C120" s="20" t="s">
        <v>781</v>
      </c>
      <c r="D120" s="138">
        <v>2630000</v>
      </c>
      <c r="E120" s="20" t="s">
        <v>375</v>
      </c>
      <c r="F120" s="20" t="s">
        <v>376</v>
      </c>
      <c r="G120" s="8" t="str">
        <f t="shared" si="2"/>
        <v>SAFIEF AEIMEN</v>
      </c>
      <c r="H120" s="20" t="str">
        <f t="shared" si="3"/>
        <v>4006</v>
      </c>
    </row>
    <row r="121" spans="1:8" x14ac:dyDescent="0.25">
      <c r="A121" s="8">
        <v>43051.549421296295</v>
      </c>
      <c r="B121" s="20" t="s">
        <v>373</v>
      </c>
      <c r="C121" s="20" t="s">
        <v>782</v>
      </c>
      <c r="D121" s="138">
        <v>2560000</v>
      </c>
      <c r="E121" s="20" t="s">
        <v>705</v>
      </c>
      <c r="F121" s="20" t="s">
        <v>706</v>
      </c>
      <c r="G121" s="8" t="str">
        <f t="shared" si="2"/>
        <v>MACDONALD THOMAS</v>
      </c>
      <c r="H121" s="20" t="str">
        <f t="shared" si="3"/>
        <v>4012</v>
      </c>
    </row>
    <row r="122" spans="1:8" x14ac:dyDescent="0.25">
      <c r="A122" s="8">
        <v>43051.557175925926</v>
      </c>
      <c r="B122" s="25" t="s">
        <v>448</v>
      </c>
      <c r="C122" s="20" t="s">
        <v>652</v>
      </c>
      <c r="D122" s="138">
        <v>880000</v>
      </c>
      <c r="E122" s="20" t="s">
        <v>383</v>
      </c>
      <c r="F122" s="20" t="s">
        <v>354</v>
      </c>
      <c r="G122" s="8" t="str">
        <f t="shared" si="2"/>
        <v>STEWART MICHAEL</v>
      </c>
      <c r="H122" s="20" t="str">
        <f t="shared" si="3"/>
        <v>4041</v>
      </c>
    </row>
    <row r="123" spans="1:8" x14ac:dyDescent="0.25">
      <c r="A123" s="8">
        <v>43051.557395833333</v>
      </c>
      <c r="B123" s="20" t="s">
        <v>486</v>
      </c>
      <c r="C123" s="20" t="s">
        <v>783</v>
      </c>
      <c r="D123" s="138">
        <v>3330000</v>
      </c>
      <c r="E123" s="20" t="s">
        <v>764</v>
      </c>
      <c r="F123" s="20" t="s">
        <v>765</v>
      </c>
      <c r="G123" s="8" t="str">
        <f t="shared" si="2"/>
        <v>GONZALEZ ARMANDO</v>
      </c>
      <c r="H123" s="20" t="str">
        <f t="shared" si="3"/>
        <v>4002</v>
      </c>
    </row>
    <row r="124" spans="1:8" x14ac:dyDescent="0.25">
      <c r="A124" s="8">
        <v>43051.560995370368</v>
      </c>
      <c r="B124" s="20" t="s">
        <v>523</v>
      </c>
      <c r="C124" s="20" t="s">
        <v>784</v>
      </c>
      <c r="D124" s="138">
        <v>2230000</v>
      </c>
      <c r="E124" s="20" t="s">
        <v>397</v>
      </c>
      <c r="F124" s="20" t="s">
        <v>354</v>
      </c>
      <c r="G124" s="8" t="str">
        <f t="shared" si="2"/>
        <v>SMITH MICHAEL</v>
      </c>
      <c r="H124" s="20" t="str">
        <f t="shared" si="3"/>
        <v>4003</v>
      </c>
    </row>
    <row r="125" spans="1:8" x14ac:dyDescent="0.25">
      <c r="A125" s="8">
        <v>43051.561111111114</v>
      </c>
      <c r="B125" s="20" t="s">
        <v>374</v>
      </c>
      <c r="C125" s="20" t="s">
        <v>785</v>
      </c>
      <c r="D125" s="138">
        <v>2560000</v>
      </c>
      <c r="E125" s="20" t="s">
        <v>705</v>
      </c>
      <c r="F125" s="20" t="s">
        <v>706</v>
      </c>
      <c r="G125" s="8" t="str">
        <f t="shared" si="2"/>
        <v>MACDONALD THOMAS</v>
      </c>
      <c r="H125" s="20" t="str">
        <f t="shared" si="3"/>
        <v>4011</v>
      </c>
    </row>
    <row r="126" spans="1:8" x14ac:dyDescent="0.25">
      <c r="A126" s="8">
        <v>43051.56925925926</v>
      </c>
      <c r="B126" s="20" t="s">
        <v>449</v>
      </c>
      <c r="C126" s="20" t="s">
        <v>786</v>
      </c>
      <c r="D126" s="138">
        <v>2550000</v>
      </c>
      <c r="E126" s="20" t="s">
        <v>768</v>
      </c>
      <c r="F126" s="20" t="s">
        <v>769</v>
      </c>
      <c r="G126" s="8" t="str">
        <f t="shared" si="2"/>
        <v>BADERTSCHER DIANE</v>
      </c>
      <c r="H126" s="20" t="str">
        <f t="shared" si="3"/>
        <v>4064</v>
      </c>
    </row>
    <row r="127" spans="1:8" x14ac:dyDescent="0.25">
      <c r="A127" s="8">
        <v>43051.578657407408</v>
      </c>
      <c r="B127" s="20" t="s">
        <v>641</v>
      </c>
      <c r="C127" s="20" t="s">
        <v>787</v>
      </c>
      <c r="D127" s="138">
        <v>920000</v>
      </c>
      <c r="E127" s="20" t="s">
        <v>462</v>
      </c>
      <c r="F127" s="20" t="s">
        <v>354</v>
      </c>
      <c r="G127" s="8" t="str">
        <f t="shared" si="2"/>
        <v>DAVIS MICHAEL</v>
      </c>
      <c r="H127" s="20" t="str">
        <f t="shared" si="3"/>
        <v>4015</v>
      </c>
    </row>
    <row r="128" spans="1:8" x14ac:dyDescent="0.25">
      <c r="A128" s="8">
        <v>43051.579004629632</v>
      </c>
      <c r="B128" s="20" t="s">
        <v>634</v>
      </c>
      <c r="C128" s="20" t="s">
        <v>788</v>
      </c>
      <c r="D128" s="138">
        <v>2630000</v>
      </c>
      <c r="E128" s="20" t="s">
        <v>375</v>
      </c>
      <c r="F128" s="20" t="s">
        <v>376</v>
      </c>
      <c r="G128" s="8" t="str">
        <f t="shared" si="2"/>
        <v>SAFIEF AEIMEN</v>
      </c>
      <c r="H128" s="20" t="str">
        <f t="shared" si="3"/>
        <v>4005</v>
      </c>
    </row>
    <row r="129" spans="1:8" x14ac:dyDescent="0.25">
      <c r="A129" s="8">
        <v>43051.580717592595</v>
      </c>
      <c r="B129" s="20" t="s">
        <v>513</v>
      </c>
      <c r="C129" s="20" t="s">
        <v>789</v>
      </c>
      <c r="D129" s="138">
        <v>2610000</v>
      </c>
      <c r="E129" s="20" t="s">
        <v>384</v>
      </c>
      <c r="F129" s="20" t="s">
        <v>385</v>
      </c>
      <c r="G129" s="8" t="str">
        <f t="shared" si="2"/>
        <v>MAGEE KENYA</v>
      </c>
      <c r="H129" s="20" t="str">
        <f t="shared" si="3"/>
        <v>4052</v>
      </c>
    </row>
    <row r="130" spans="1:8" x14ac:dyDescent="0.25">
      <c r="A130" s="8">
        <v>43051.584282407406</v>
      </c>
      <c r="B130" s="20" t="s">
        <v>373</v>
      </c>
      <c r="C130" s="20" t="s">
        <v>790</v>
      </c>
      <c r="D130" s="138">
        <v>2420000</v>
      </c>
      <c r="E130" s="20" t="s">
        <v>534</v>
      </c>
      <c r="F130" s="20" t="s">
        <v>535</v>
      </c>
      <c r="G130" s="8" t="str">
        <f t="shared" si="2"/>
        <v>HOLCOMB KAMDEN</v>
      </c>
      <c r="H130" s="20" t="str">
        <f t="shared" si="3"/>
        <v>4012</v>
      </c>
    </row>
    <row r="131" spans="1:8" x14ac:dyDescent="0.25">
      <c r="A131" s="8">
        <v>43051.590173611112</v>
      </c>
      <c r="B131" s="20" t="s">
        <v>485</v>
      </c>
      <c r="C131" s="20" t="s">
        <v>791</v>
      </c>
      <c r="D131" s="138">
        <v>880000</v>
      </c>
      <c r="E131" s="20" t="s">
        <v>383</v>
      </c>
      <c r="F131" s="20" t="s">
        <v>354</v>
      </c>
      <c r="G131" s="8" t="str">
        <f t="shared" ref="G131:G194" si="4">E131&amp;" "&amp;F131</f>
        <v>STEWART MICHAEL</v>
      </c>
      <c r="H131" s="20" t="str">
        <f t="shared" ref="H131:H194" si="5">MID(B131,13,4)</f>
        <v>4042</v>
      </c>
    </row>
    <row r="132" spans="1:8" x14ac:dyDescent="0.25">
      <c r="A132" s="8">
        <v>43051.596932870372</v>
      </c>
      <c r="B132" s="20" t="s">
        <v>484</v>
      </c>
      <c r="C132" s="20" t="s">
        <v>792</v>
      </c>
      <c r="D132" s="138">
        <v>3330000</v>
      </c>
      <c r="E132" s="20" t="s">
        <v>764</v>
      </c>
      <c r="F132" s="20" t="s">
        <v>765</v>
      </c>
      <c r="G132" s="8" t="str">
        <f t="shared" si="4"/>
        <v>GONZALEZ ARMANDO</v>
      </c>
      <c r="H132" s="20" t="str">
        <f t="shared" si="5"/>
        <v>4001</v>
      </c>
    </row>
    <row r="133" spans="1:8" x14ac:dyDescent="0.25">
      <c r="A133" s="8">
        <v>43051.600671296299</v>
      </c>
      <c r="B133" s="20" t="s">
        <v>515</v>
      </c>
      <c r="C133" s="20" t="s">
        <v>793</v>
      </c>
      <c r="D133" s="138">
        <v>2230000</v>
      </c>
      <c r="E133" s="20" t="s">
        <v>397</v>
      </c>
      <c r="F133" s="20" t="s">
        <v>354</v>
      </c>
      <c r="G133" s="8" t="str">
        <f t="shared" si="4"/>
        <v>SMITH MICHAEL</v>
      </c>
      <c r="H133" s="20" t="str">
        <f t="shared" si="5"/>
        <v>4004</v>
      </c>
    </row>
    <row r="134" spans="1:8" x14ac:dyDescent="0.25">
      <c r="A134" s="8">
        <v>43051.601354166669</v>
      </c>
      <c r="B134" s="20" t="s">
        <v>374</v>
      </c>
      <c r="C134" s="20" t="s">
        <v>794</v>
      </c>
      <c r="D134" s="138">
        <v>2420000</v>
      </c>
      <c r="E134" s="20" t="s">
        <v>534</v>
      </c>
      <c r="F134" s="20" t="s">
        <v>535</v>
      </c>
      <c r="G134" s="8" t="str">
        <f t="shared" si="4"/>
        <v>HOLCOMB KAMDEN</v>
      </c>
      <c r="H134" s="20" t="str">
        <f t="shared" si="5"/>
        <v>4011</v>
      </c>
    </row>
    <row r="135" spans="1:8" x14ac:dyDescent="0.25">
      <c r="A135" s="8">
        <v>43051.60527777778</v>
      </c>
      <c r="B135" s="20" t="s">
        <v>647</v>
      </c>
      <c r="C135" s="20" t="s">
        <v>795</v>
      </c>
      <c r="D135" s="138">
        <v>2550000</v>
      </c>
      <c r="E135" s="20" t="s">
        <v>768</v>
      </c>
      <c r="F135" s="20" t="s">
        <v>769</v>
      </c>
      <c r="G135" s="8" t="str">
        <f t="shared" si="4"/>
        <v>BADERTSCHER DIANE</v>
      </c>
      <c r="H135" s="20" t="str">
        <f t="shared" si="5"/>
        <v>4063</v>
      </c>
    </row>
    <row r="136" spans="1:8" x14ac:dyDescent="0.25">
      <c r="A136" s="8">
        <v>43051.610856481479</v>
      </c>
      <c r="B136" s="20" t="s">
        <v>520</v>
      </c>
      <c r="C136" s="20" t="s">
        <v>653</v>
      </c>
      <c r="D136" s="138">
        <v>2610000</v>
      </c>
      <c r="E136" s="20" t="s">
        <v>384</v>
      </c>
      <c r="F136" s="20" t="s">
        <v>385</v>
      </c>
      <c r="G136" s="8" t="str">
        <f t="shared" si="4"/>
        <v>MAGEE KENYA</v>
      </c>
      <c r="H136" s="20" t="str">
        <f t="shared" si="5"/>
        <v>4051</v>
      </c>
    </row>
    <row r="137" spans="1:8" x14ac:dyDescent="0.25">
      <c r="A137" s="8">
        <v>43051.61347222222</v>
      </c>
      <c r="B137" s="20" t="s">
        <v>536</v>
      </c>
      <c r="C137" s="20" t="s">
        <v>796</v>
      </c>
      <c r="D137" s="138">
        <v>920000</v>
      </c>
      <c r="E137" s="20" t="s">
        <v>462</v>
      </c>
      <c r="F137" s="20" t="s">
        <v>354</v>
      </c>
      <c r="G137" s="8" t="str">
        <f t="shared" si="4"/>
        <v>DAVIS MICHAEL</v>
      </c>
      <c r="H137" s="20" t="str">
        <f t="shared" si="5"/>
        <v>4016</v>
      </c>
    </row>
    <row r="138" spans="1:8" x14ac:dyDescent="0.25">
      <c r="A138" s="8">
        <v>43051.621145833335</v>
      </c>
      <c r="B138" s="20" t="s">
        <v>690</v>
      </c>
      <c r="C138" s="20" t="s">
        <v>797</v>
      </c>
      <c r="D138" s="138">
        <v>2630000</v>
      </c>
      <c r="E138" s="20" t="s">
        <v>375</v>
      </c>
      <c r="F138" s="20" t="s">
        <v>376</v>
      </c>
      <c r="G138" s="8" t="str">
        <f t="shared" si="4"/>
        <v>SAFIEF AEIMEN</v>
      </c>
      <c r="H138" s="20" t="str">
        <f t="shared" si="5"/>
        <v>4006</v>
      </c>
    </row>
    <row r="139" spans="1:8" x14ac:dyDescent="0.25">
      <c r="A139" s="8">
        <v>43051.628298611111</v>
      </c>
      <c r="B139" s="20" t="s">
        <v>373</v>
      </c>
      <c r="C139" s="20" t="s">
        <v>654</v>
      </c>
      <c r="D139" s="138">
        <v>2420000</v>
      </c>
      <c r="E139" s="20" t="s">
        <v>534</v>
      </c>
      <c r="F139" s="20" t="s">
        <v>535</v>
      </c>
      <c r="G139" s="8" t="str">
        <f t="shared" si="4"/>
        <v>HOLCOMB KAMDEN</v>
      </c>
      <c r="H139" s="20" t="str">
        <f t="shared" si="5"/>
        <v>4012</v>
      </c>
    </row>
    <row r="140" spans="1:8" x14ac:dyDescent="0.25">
      <c r="A140" s="8">
        <v>43051.629872685182</v>
      </c>
      <c r="B140" s="20" t="s">
        <v>486</v>
      </c>
      <c r="C140" s="20" t="s">
        <v>798</v>
      </c>
      <c r="D140" s="138">
        <v>3330000</v>
      </c>
      <c r="E140" s="20" t="s">
        <v>764</v>
      </c>
      <c r="F140" s="20" t="s">
        <v>765</v>
      </c>
      <c r="G140" s="8" t="str">
        <f t="shared" si="4"/>
        <v>GONZALEZ ARMANDO</v>
      </c>
      <c r="H140" s="20" t="str">
        <f t="shared" si="5"/>
        <v>4002</v>
      </c>
    </row>
    <row r="141" spans="1:8" x14ac:dyDescent="0.25">
      <c r="A141" s="8">
        <v>43051.633067129631</v>
      </c>
      <c r="B141" s="20" t="s">
        <v>448</v>
      </c>
      <c r="C141" s="20" t="s">
        <v>655</v>
      </c>
      <c r="D141" s="138">
        <v>880000</v>
      </c>
      <c r="E141" s="20" t="s">
        <v>383</v>
      </c>
      <c r="F141" s="20" t="s">
        <v>354</v>
      </c>
      <c r="G141" s="8" t="str">
        <f t="shared" si="4"/>
        <v>STEWART MICHAEL</v>
      </c>
      <c r="H141" s="20" t="str">
        <f t="shared" si="5"/>
        <v>4041</v>
      </c>
    </row>
    <row r="142" spans="1:8" x14ac:dyDescent="0.25">
      <c r="A142" s="8">
        <v>43051.637708333335</v>
      </c>
      <c r="B142" s="20" t="s">
        <v>523</v>
      </c>
      <c r="C142" s="20" t="s">
        <v>799</v>
      </c>
      <c r="D142" s="138">
        <v>2230000</v>
      </c>
      <c r="E142" s="20" t="s">
        <v>397</v>
      </c>
      <c r="F142" s="20" t="s">
        <v>354</v>
      </c>
      <c r="G142" s="8" t="str">
        <f t="shared" si="4"/>
        <v>SMITH MICHAEL</v>
      </c>
      <c r="H142" s="20" t="str">
        <f t="shared" si="5"/>
        <v>4003</v>
      </c>
    </row>
    <row r="143" spans="1:8" x14ac:dyDescent="0.25">
      <c r="A143" s="8">
        <v>43051.642870370371</v>
      </c>
      <c r="B143" s="20" t="s">
        <v>449</v>
      </c>
      <c r="C143" s="20" t="s">
        <v>800</v>
      </c>
      <c r="D143" s="138">
        <v>2550000</v>
      </c>
      <c r="E143" s="20" t="s">
        <v>768</v>
      </c>
      <c r="F143" s="20" t="s">
        <v>769</v>
      </c>
      <c r="G143" s="8" t="str">
        <f t="shared" si="4"/>
        <v>BADERTSCHER DIANE</v>
      </c>
      <c r="H143" s="20" t="str">
        <f t="shared" si="5"/>
        <v>4064</v>
      </c>
    </row>
    <row r="144" spans="1:8" x14ac:dyDescent="0.25">
      <c r="A144" s="8">
        <v>43051.644432870373</v>
      </c>
      <c r="B144" s="20" t="s">
        <v>374</v>
      </c>
      <c r="C144" s="20" t="s">
        <v>801</v>
      </c>
      <c r="D144" s="138">
        <v>2420000</v>
      </c>
      <c r="E144" s="20" t="s">
        <v>534</v>
      </c>
      <c r="F144" s="20" t="s">
        <v>535</v>
      </c>
      <c r="G144" s="8" t="str">
        <f t="shared" si="4"/>
        <v>HOLCOMB KAMDEN</v>
      </c>
      <c r="H144" s="20" t="str">
        <f t="shared" si="5"/>
        <v>4011</v>
      </c>
    </row>
    <row r="145" spans="1:8" x14ac:dyDescent="0.25">
      <c r="A145" s="8">
        <v>43051.650625000002</v>
      </c>
      <c r="B145" s="20" t="s">
        <v>641</v>
      </c>
      <c r="C145" s="20" t="s">
        <v>802</v>
      </c>
      <c r="D145" s="138">
        <v>920000</v>
      </c>
      <c r="E145" s="20" t="s">
        <v>462</v>
      </c>
      <c r="F145" s="20" t="s">
        <v>354</v>
      </c>
      <c r="G145" s="8" t="str">
        <f t="shared" si="4"/>
        <v>DAVIS MICHAEL</v>
      </c>
      <c r="H145" s="20" t="str">
        <f t="shared" si="5"/>
        <v>4015</v>
      </c>
    </row>
    <row r="146" spans="1:8" x14ac:dyDescent="0.25">
      <c r="A146" s="8">
        <v>43051.652905092589</v>
      </c>
      <c r="B146" s="20" t="s">
        <v>513</v>
      </c>
      <c r="C146" s="20" t="s">
        <v>803</v>
      </c>
      <c r="D146" s="138">
        <v>2610000</v>
      </c>
      <c r="E146" s="20" t="s">
        <v>384</v>
      </c>
      <c r="F146" s="20" t="s">
        <v>385</v>
      </c>
      <c r="G146" s="8" t="str">
        <f t="shared" si="4"/>
        <v>MAGEE KENYA</v>
      </c>
      <c r="H146" s="20" t="str">
        <f t="shared" si="5"/>
        <v>4052</v>
      </c>
    </row>
    <row r="147" spans="1:8" x14ac:dyDescent="0.25">
      <c r="A147" s="8">
        <v>43051.655740740738</v>
      </c>
      <c r="B147" s="20" t="s">
        <v>634</v>
      </c>
      <c r="C147" s="20" t="s">
        <v>804</v>
      </c>
      <c r="D147" s="138">
        <v>2630000</v>
      </c>
      <c r="E147" s="20" t="s">
        <v>375</v>
      </c>
      <c r="F147" s="20" t="s">
        <v>376</v>
      </c>
      <c r="G147" s="8" t="str">
        <f t="shared" si="4"/>
        <v>SAFIEF AEIMEN</v>
      </c>
      <c r="H147" s="20" t="str">
        <f t="shared" si="5"/>
        <v>4005</v>
      </c>
    </row>
    <row r="148" spans="1:8" x14ac:dyDescent="0.25">
      <c r="A148" s="8">
        <v>43051.663032407407</v>
      </c>
      <c r="B148" s="20" t="s">
        <v>485</v>
      </c>
      <c r="C148" s="20" t="s">
        <v>805</v>
      </c>
      <c r="D148" s="138">
        <v>880000</v>
      </c>
      <c r="E148" s="20" t="s">
        <v>383</v>
      </c>
      <c r="F148" s="20" t="s">
        <v>354</v>
      </c>
      <c r="G148" s="8" t="str">
        <f t="shared" si="4"/>
        <v>STEWART MICHAEL</v>
      </c>
      <c r="H148" s="20" t="str">
        <f t="shared" si="5"/>
        <v>4042</v>
      </c>
    </row>
    <row r="149" spans="1:8" x14ac:dyDescent="0.25">
      <c r="A149" s="8">
        <v>43051.669120370374</v>
      </c>
      <c r="B149" s="20" t="s">
        <v>373</v>
      </c>
      <c r="C149" s="20" t="s">
        <v>806</v>
      </c>
      <c r="D149" s="138">
        <v>2420000</v>
      </c>
      <c r="E149" s="20" t="s">
        <v>534</v>
      </c>
      <c r="F149" s="20" t="s">
        <v>535</v>
      </c>
      <c r="G149" s="8" t="str">
        <f t="shared" si="4"/>
        <v>HOLCOMB KAMDEN</v>
      </c>
      <c r="H149" s="20" t="str">
        <f t="shared" si="5"/>
        <v>4012</v>
      </c>
    </row>
    <row r="150" spans="1:8" x14ac:dyDescent="0.25">
      <c r="A150" s="8">
        <v>43051.669965277775</v>
      </c>
      <c r="B150" s="20" t="s">
        <v>484</v>
      </c>
      <c r="C150" s="20" t="s">
        <v>807</v>
      </c>
      <c r="D150" s="138">
        <v>3330000</v>
      </c>
      <c r="E150" s="20" t="s">
        <v>764</v>
      </c>
      <c r="F150" s="20" t="s">
        <v>765</v>
      </c>
      <c r="G150" s="8" t="str">
        <f t="shared" si="4"/>
        <v>GONZALEZ ARMANDO</v>
      </c>
      <c r="H150" s="20" t="str">
        <f t="shared" si="5"/>
        <v>4001</v>
      </c>
    </row>
    <row r="151" spans="1:8" x14ac:dyDescent="0.25">
      <c r="A151" s="8">
        <v>43051.673020833332</v>
      </c>
      <c r="B151" s="20" t="s">
        <v>515</v>
      </c>
      <c r="C151" s="20" t="s">
        <v>808</v>
      </c>
      <c r="D151" s="138">
        <v>2230000</v>
      </c>
      <c r="E151" s="20" t="s">
        <v>397</v>
      </c>
      <c r="F151" s="20" t="s">
        <v>354</v>
      </c>
      <c r="G151" s="8" t="str">
        <f t="shared" si="4"/>
        <v>SMITH MICHAEL</v>
      </c>
      <c r="H151" s="20" t="str">
        <f t="shared" si="5"/>
        <v>4004</v>
      </c>
    </row>
    <row r="152" spans="1:8" x14ac:dyDescent="0.25">
      <c r="A152" s="8">
        <v>43051.676516203705</v>
      </c>
      <c r="B152" s="20" t="s">
        <v>396</v>
      </c>
      <c r="C152" s="20" t="s">
        <v>809</v>
      </c>
      <c r="D152" s="138">
        <v>2270000</v>
      </c>
      <c r="E152" s="20" t="s">
        <v>487</v>
      </c>
      <c r="F152" s="20" t="s">
        <v>488</v>
      </c>
      <c r="G152" s="8" t="str">
        <f t="shared" si="4"/>
        <v>BROWN JACOB</v>
      </c>
      <c r="H152" s="20" t="str">
        <f t="shared" si="5"/>
        <v>4030</v>
      </c>
    </row>
    <row r="153" spans="1:8" x14ac:dyDescent="0.25">
      <c r="A153" s="8">
        <v>43051.67763888889</v>
      </c>
      <c r="B153" s="20" t="s">
        <v>647</v>
      </c>
      <c r="C153" s="20" t="s">
        <v>810</v>
      </c>
      <c r="D153" s="138">
        <v>2550000</v>
      </c>
      <c r="E153" s="20" t="s">
        <v>768</v>
      </c>
      <c r="F153" s="20" t="s">
        <v>769</v>
      </c>
      <c r="G153" s="8" t="str">
        <f t="shared" si="4"/>
        <v>BADERTSCHER DIANE</v>
      </c>
      <c r="H153" s="20" t="str">
        <f t="shared" si="5"/>
        <v>4063</v>
      </c>
    </row>
    <row r="154" spans="1:8" x14ac:dyDescent="0.25">
      <c r="A154" s="8">
        <v>43051.685104166667</v>
      </c>
      <c r="B154" s="20" t="s">
        <v>374</v>
      </c>
      <c r="C154" s="20" t="s">
        <v>811</v>
      </c>
      <c r="D154" s="138">
        <v>2420000</v>
      </c>
      <c r="E154" s="20" t="s">
        <v>534</v>
      </c>
      <c r="F154" s="20" t="s">
        <v>535</v>
      </c>
      <c r="G154" s="8" t="str">
        <f t="shared" si="4"/>
        <v>HOLCOMB KAMDEN</v>
      </c>
      <c r="H154" s="20" t="str">
        <f t="shared" si="5"/>
        <v>4011</v>
      </c>
    </row>
    <row r="155" spans="1:8" x14ac:dyDescent="0.25">
      <c r="A155" s="8">
        <v>43051.686516203707</v>
      </c>
      <c r="B155" s="20" t="s">
        <v>536</v>
      </c>
      <c r="C155" s="20" t="s">
        <v>812</v>
      </c>
      <c r="D155" s="138">
        <v>920000</v>
      </c>
      <c r="E155" s="20" t="s">
        <v>462</v>
      </c>
      <c r="F155" s="20" t="s">
        <v>354</v>
      </c>
      <c r="G155" s="8" t="str">
        <f t="shared" si="4"/>
        <v>DAVIS MICHAEL</v>
      </c>
      <c r="H155" s="20" t="str">
        <f t="shared" si="5"/>
        <v>4016</v>
      </c>
    </row>
    <row r="156" spans="1:8" x14ac:dyDescent="0.25">
      <c r="A156" s="8">
        <v>43051.694178240738</v>
      </c>
      <c r="B156" s="20" t="s">
        <v>520</v>
      </c>
      <c r="C156" s="20" t="s">
        <v>813</v>
      </c>
      <c r="D156" s="138">
        <v>2610000</v>
      </c>
      <c r="E156" s="20" t="s">
        <v>384</v>
      </c>
      <c r="F156" s="20" t="s">
        <v>385</v>
      </c>
      <c r="G156" s="8" t="str">
        <f t="shared" si="4"/>
        <v>MAGEE KENYA</v>
      </c>
      <c r="H156" s="20" t="str">
        <f t="shared" si="5"/>
        <v>4051</v>
      </c>
    </row>
    <row r="157" spans="1:8" x14ac:dyDescent="0.25">
      <c r="A157" s="8">
        <v>43051.695138888892</v>
      </c>
      <c r="B157" s="20" t="s">
        <v>690</v>
      </c>
      <c r="C157" s="20" t="s">
        <v>814</v>
      </c>
      <c r="D157" s="138">
        <v>2630000</v>
      </c>
      <c r="E157" s="20" t="s">
        <v>375</v>
      </c>
      <c r="F157" s="20" t="s">
        <v>376</v>
      </c>
      <c r="G157" s="8" t="str">
        <f t="shared" si="4"/>
        <v>SAFIEF AEIMEN</v>
      </c>
      <c r="H157" s="20" t="str">
        <f t="shared" si="5"/>
        <v>4006</v>
      </c>
    </row>
    <row r="158" spans="1:8" x14ac:dyDescent="0.25">
      <c r="A158" s="8">
        <v>43051.702951388892</v>
      </c>
      <c r="B158" s="20" t="s">
        <v>486</v>
      </c>
      <c r="C158" s="20" t="s">
        <v>815</v>
      </c>
      <c r="D158" s="138">
        <v>3330000</v>
      </c>
      <c r="E158" s="20" t="s">
        <v>764</v>
      </c>
      <c r="F158" s="20" t="s">
        <v>765</v>
      </c>
      <c r="G158" s="8" t="str">
        <f t="shared" si="4"/>
        <v>GONZALEZ ARMANDO</v>
      </c>
      <c r="H158" s="20" t="str">
        <f t="shared" si="5"/>
        <v>4002</v>
      </c>
    </row>
    <row r="159" spans="1:8" x14ac:dyDescent="0.25">
      <c r="A159" s="8">
        <v>43051.702974537038</v>
      </c>
      <c r="B159" s="20" t="s">
        <v>448</v>
      </c>
      <c r="C159" s="20" t="s">
        <v>816</v>
      </c>
      <c r="D159" s="138">
        <v>880000</v>
      </c>
      <c r="E159" s="20" t="s">
        <v>383</v>
      </c>
      <c r="F159" s="20" t="s">
        <v>354</v>
      </c>
      <c r="G159" s="8" t="str">
        <f t="shared" si="4"/>
        <v>STEWART MICHAEL</v>
      </c>
      <c r="H159" s="20" t="str">
        <f t="shared" si="5"/>
        <v>4041</v>
      </c>
    </row>
    <row r="160" spans="1:8" x14ac:dyDescent="0.25">
      <c r="A160" s="8">
        <v>43051.710196759261</v>
      </c>
      <c r="B160" s="20" t="s">
        <v>523</v>
      </c>
      <c r="C160" s="20" t="s">
        <v>817</v>
      </c>
      <c r="D160" s="138">
        <v>2230000</v>
      </c>
      <c r="E160" s="20" t="s">
        <v>397</v>
      </c>
      <c r="F160" s="20" t="s">
        <v>354</v>
      </c>
      <c r="G160" s="8" t="str">
        <f t="shared" si="4"/>
        <v>SMITH MICHAEL</v>
      </c>
      <c r="H160" s="20" t="str">
        <f t="shared" si="5"/>
        <v>4003</v>
      </c>
    </row>
    <row r="161" spans="1:8" x14ac:dyDescent="0.25">
      <c r="A161" s="8">
        <v>43051.712650462963</v>
      </c>
      <c r="B161" s="20" t="s">
        <v>373</v>
      </c>
      <c r="C161" s="20" t="s">
        <v>818</v>
      </c>
      <c r="D161" s="138">
        <v>2420000</v>
      </c>
      <c r="E161" s="20" t="s">
        <v>534</v>
      </c>
      <c r="F161" s="20" t="s">
        <v>535</v>
      </c>
      <c r="G161" s="8" t="str">
        <f t="shared" si="4"/>
        <v>HOLCOMB KAMDEN</v>
      </c>
      <c r="H161" s="20" t="str">
        <f t="shared" si="5"/>
        <v>4012</v>
      </c>
    </row>
    <row r="162" spans="1:8" x14ac:dyDescent="0.25">
      <c r="A162" s="8">
        <v>43051.717210648145</v>
      </c>
      <c r="B162" s="20" t="s">
        <v>449</v>
      </c>
      <c r="C162" s="20" t="s">
        <v>819</v>
      </c>
      <c r="D162" s="138">
        <v>2000000</v>
      </c>
      <c r="E162" s="20" t="s">
        <v>398</v>
      </c>
      <c r="F162" s="20" t="s">
        <v>399</v>
      </c>
      <c r="G162" s="8" t="str">
        <f t="shared" si="4"/>
        <v>STAMBAUGH JAMES</v>
      </c>
      <c r="H162" s="20" t="str">
        <f t="shared" si="5"/>
        <v>4064</v>
      </c>
    </row>
    <row r="163" spans="1:8" x14ac:dyDescent="0.25">
      <c r="A163" s="8">
        <v>43051.723738425928</v>
      </c>
      <c r="B163" s="20" t="s">
        <v>641</v>
      </c>
      <c r="C163" s="20" t="s">
        <v>820</v>
      </c>
      <c r="D163" s="138">
        <v>920000</v>
      </c>
      <c r="E163" s="20" t="s">
        <v>462</v>
      </c>
      <c r="F163" s="20" t="s">
        <v>354</v>
      </c>
      <c r="G163" s="8" t="str">
        <f t="shared" si="4"/>
        <v>DAVIS MICHAEL</v>
      </c>
      <c r="H163" s="20" t="str">
        <f t="shared" si="5"/>
        <v>4015</v>
      </c>
    </row>
    <row r="164" spans="1:8" x14ac:dyDescent="0.25">
      <c r="A164" s="8">
        <v>43051.725439814814</v>
      </c>
      <c r="B164" s="20" t="s">
        <v>513</v>
      </c>
      <c r="C164" s="20" t="s">
        <v>821</v>
      </c>
      <c r="D164" s="138">
        <v>2030000</v>
      </c>
      <c r="E164" s="20" t="s">
        <v>822</v>
      </c>
      <c r="F164" s="20" t="s">
        <v>823</v>
      </c>
      <c r="G164" s="8" t="str">
        <f t="shared" si="4"/>
        <v>KILLION DAVID</v>
      </c>
      <c r="H164" s="20" t="str">
        <f t="shared" si="5"/>
        <v>4052</v>
      </c>
    </row>
    <row r="165" spans="1:8" x14ac:dyDescent="0.25">
      <c r="A165" s="8">
        <v>43051.727048611108</v>
      </c>
      <c r="B165" s="20" t="s">
        <v>374</v>
      </c>
      <c r="C165" s="20" t="s">
        <v>824</v>
      </c>
      <c r="D165" s="138">
        <v>2420000</v>
      </c>
      <c r="E165" s="20" t="s">
        <v>534</v>
      </c>
      <c r="F165" s="20" t="s">
        <v>535</v>
      </c>
      <c r="G165" s="8" t="str">
        <f t="shared" si="4"/>
        <v>HOLCOMB KAMDEN</v>
      </c>
      <c r="H165" s="20" t="str">
        <f t="shared" si="5"/>
        <v>4011</v>
      </c>
    </row>
    <row r="166" spans="1:8" x14ac:dyDescent="0.25">
      <c r="A166" s="8">
        <v>43051.728321759256</v>
      </c>
      <c r="B166" s="20" t="s">
        <v>634</v>
      </c>
      <c r="C166" s="20" t="s">
        <v>825</v>
      </c>
      <c r="D166" s="138">
        <v>2630000</v>
      </c>
      <c r="E166" s="20" t="s">
        <v>375</v>
      </c>
      <c r="F166" s="20" t="s">
        <v>376</v>
      </c>
      <c r="G166" s="8" t="str">
        <f t="shared" si="4"/>
        <v>SAFIEF AEIMEN</v>
      </c>
      <c r="H166" s="20" t="str">
        <f t="shared" si="5"/>
        <v>4005</v>
      </c>
    </row>
    <row r="167" spans="1:8" x14ac:dyDescent="0.25">
      <c r="A167" s="8">
        <v>43051.733310185184</v>
      </c>
      <c r="B167" s="20" t="s">
        <v>358</v>
      </c>
      <c r="C167" s="20" t="s">
        <v>826</v>
      </c>
      <c r="D167" s="138">
        <v>3030000</v>
      </c>
      <c r="E167" s="20" t="s">
        <v>751</v>
      </c>
      <c r="F167" s="20" t="s">
        <v>706</v>
      </c>
      <c r="G167" s="8" t="str">
        <f t="shared" si="4"/>
        <v>BIRENBAUM THOMAS</v>
      </c>
      <c r="H167" s="20" t="str">
        <f t="shared" si="5"/>
        <v>4008</v>
      </c>
    </row>
    <row r="168" spans="1:8" x14ac:dyDescent="0.25">
      <c r="A168" s="8">
        <v>43051.73642361111</v>
      </c>
      <c r="B168" s="20" t="s">
        <v>827</v>
      </c>
      <c r="C168" s="20" t="s">
        <v>828</v>
      </c>
      <c r="D168" s="138">
        <v>3500000</v>
      </c>
      <c r="E168" s="20" t="s">
        <v>379</v>
      </c>
      <c r="F168" s="20" t="s">
        <v>380</v>
      </c>
      <c r="G168" s="8" t="str">
        <f t="shared" si="4"/>
        <v>GUNTHIER ERIC</v>
      </c>
      <c r="H168" s="20" t="str">
        <f t="shared" si="5"/>
        <v>4025</v>
      </c>
    </row>
    <row r="169" spans="1:8" x14ac:dyDescent="0.25">
      <c r="A169" s="8">
        <v>43051.738252314812</v>
      </c>
      <c r="B169" s="20" t="s">
        <v>485</v>
      </c>
      <c r="C169" s="20" t="s">
        <v>829</v>
      </c>
      <c r="D169" s="138">
        <v>890000</v>
      </c>
      <c r="E169" s="20" t="s">
        <v>345</v>
      </c>
      <c r="F169" s="20" t="s">
        <v>346</v>
      </c>
      <c r="G169" s="8" t="str">
        <f t="shared" si="4"/>
        <v>LOZA FIDEL</v>
      </c>
      <c r="H169" s="20" t="str">
        <f t="shared" si="5"/>
        <v>4042</v>
      </c>
    </row>
    <row r="170" spans="1:8" x14ac:dyDescent="0.25">
      <c r="A170" s="8">
        <v>43051.743796296294</v>
      </c>
      <c r="B170" s="20" t="s">
        <v>484</v>
      </c>
      <c r="C170" s="20" t="s">
        <v>830</v>
      </c>
      <c r="D170" s="138">
        <v>3330000</v>
      </c>
      <c r="E170" s="20" t="s">
        <v>764</v>
      </c>
      <c r="F170" s="20" t="s">
        <v>765</v>
      </c>
      <c r="G170" s="8" t="str">
        <f t="shared" si="4"/>
        <v>GONZALEZ ARMANDO</v>
      </c>
      <c r="H170" s="20" t="str">
        <f t="shared" si="5"/>
        <v>4001</v>
      </c>
    </row>
    <row r="171" spans="1:8" x14ac:dyDescent="0.25">
      <c r="A171" s="8">
        <v>43051.746134259258</v>
      </c>
      <c r="B171" s="20" t="s">
        <v>515</v>
      </c>
      <c r="C171" s="20" t="s">
        <v>831</v>
      </c>
      <c r="D171" s="138">
        <v>2230000</v>
      </c>
      <c r="E171" s="20" t="s">
        <v>397</v>
      </c>
      <c r="F171" s="20" t="s">
        <v>354</v>
      </c>
      <c r="G171" s="8" t="str">
        <f t="shared" si="4"/>
        <v>SMITH MICHAEL</v>
      </c>
      <c r="H171" s="20" t="str">
        <f t="shared" si="5"/>
        <v>4004</v>
      </c>
    </row>
    <row r="172" spans="1:8" x14ac:dyDescent="0.25">
      <c r="A172" s="8">
        <v>43051.754351851851</v>
      </c>
      <c r="B172" s="20" t="s">
        <v>647</v>
      </c>
      <c r="C172" s="20" t="s">
        <v>832</v>
      </c>
      <c r="D172" s="138">
        <v>2000000</v>
      </c>
      <c r="E172" s="20" t="s">
        <v>398</v>
      </c>
      <c r="F172" s="20" t="s">
        <v>399</v>
      </c>
      <c r="G172" s="8" t="str">
        <f t="shared" si="4"/>
        <v>STAMBAUGH JAMES</v>
      </c>
      <c r="H172" s="20" t="str">
        <f t="shared" si="5"/>
        <v>4063</v>
      </c>
    </row>
    <row r="173" spans="1:8" x14ac:dyDescent="0.25">
      <c r="A173" s="8">
        <v>43051.755868055552</v>
      </c>
      <c r="B173" s="20" t="s">
        <v>373</v>
      </c>
      <c r="C173" s="20" t="s">
        <v>656</v>
      </c>
      <c r="D173" s="138">
        <v>2420000</v>
      </c>
      <c r="E173" s="20" t="s">
        <v>534</v>
      </c>
      <c r="F173" s="20" t="s">
        <v>535</v>
      </c>
      <c r="G173" s="8" t="str">
        <f t="shared" si="4"/>
        <v>HOLCOMB KAMDEN</v>
      </c>
      <c r="H173" s="20" t="str">
        <f t="shared" si="5"/>
        <v>4012</v>
      </c>
    </row>
    <row r="174" spans="1:8" x14ac:dyDescent="0.25">
      <c r="A174" s="8">
        <v>43051.758437500001</v>
      </c>
      <c r="B174" s="20" t="s">
        <v>536</v>
      </c>
      <c r="C174" s="20" t="s">
        <v>833</v>
      </c>
      <c r="D174" s="138">
        <v>3340000</v>
      </c>
      <c r="E174" s="20" t="s">
        <v>670</v>
      </c>
      <c r="F174" s="20" t="s">
        <v>671</v>
      </c>
      <c r="G174" s="8" t="str">
        <f t="shared" si="4"/>
        <v>ELBAUM MIKE</v>
      </c>
      <c r="H174" s="20" t="str">
        <f t="shared" si="5"/>
        <v>4016</v>
      </c>
    </row>
    <row r="175" spans="1:8" x14ac:dyDescent="0.25">
      <c r="A175" s="8">
        <v>43051.761203703703</v>
      </c>
      <c r="B175" s="20" t="s">
        <v>520</v>
      </c>
      <c r="C175" s="20" t="s">
        <v>657</v>
      </c>
      <c r="D175" s="138">
        <v>2030000</v>
      </c>
      <c r="E175" s="20" t="s">
        <v>822</v>
      </c>
      <c r="F175" s="20" t="s">
        <v>823</v>
      </c>
      <c r="G175" s="8" t="str">
        <f t="shared" si="4"/>
        <v>KILLION DAVID</v>
      </c>
      <c r="H175" s="20" t="str">
        <f t="shared" si="5"/>
        <v>4051</v>
      </c>
    </row>
    <row r="176" spans="1:8" x14ac:dyDescent="0.25">
      <c r="A176" s="8">
        <v>43051.767083333332</v>
      </c>
      <c r="B176" s="20" t="s">
        <v>690</v>
      </c>
      <c r="C176" s="20" t="s">
        <v>834</v>
      </c>
      <c r="D176" s="138">
        <v>3220000</v>
      </c>
      <c r="E176" s="20" t="s">
        <v>381</v>
      </c>
      <c r="F176" s="20" t="s">
        <v>382</v>
      </c>
      <c r="G176" s="8" t="str">
        <f t="shared" si="4"/>
        <v>RESPASS AARON</v>
      </c>
      <c r="H176" s="20" t="str">
        <f t="shared" si="5"/>
        <v>4006</v>
      </c>
    </row>
    <row r="177" spans="1:8" x14ac:dyDescent="0.25">
      <c r="A177" s="8">
        <v>43051.769791666666</v>
      </c>
      <c r="B177" s="20" t="s">
        <v>374</v>
      </c>
      <c r="C177" s="20" t="s">
        <v>835</v>
      </c>
      <c r="D177" s="138">
        <v>2420000</v>
      </c>
      <c r="E177" s="20" t="s">
        <v>534</v>
      </c>
      <c r="F177" s="20" t="s">
        <v>535</v>
      </c>
      <c r="G177" s="8" t="str">
        <f t="shared" si="4"/>
        <v>HOLCOMB KAMDEN</v>
      </c>
      <c r="H177" s="20" t="str">
        <f t="shared" si="5"/>
        <v>4011</v>
      </c>
    </row>
    <row r="178" spans="1:8" x14ac:dyDescent="0.25">
      <c r="A178" s="8">
        <v>43051.773668981485</v>
      </c>
      <c r="B178" s="20" t="s">
        <v>448</v>
      </c>
      <c r="C178" s="20" t="s">
        <v>836</v>
      </c>
      <c r="D178" s="138">
        <v>890000</v>
      </c>
      <c r="E178" s="20" t="s">
        <v>345</v>
      </c>
      <c r="F178" s="20" t="s">
        <v>346</v>
      </c>
      <c r="G178" s="8" t="str">
        <f t="shared" si="4"/>
        <v>LOZA FIDEL</v>
      </c>
      <c r="H178" s="20" t="str">
        <f t="shared" si="5"/>
        <v>4041</v>
      </c>
    </row>
    <row r="179" spans="1:8" x14ac:dyDescent="0.25">
      <c r="A179" s="8">
        <v>43051.776944444442</v>
      </c>
      <c r="B179" s="20" t="s">
        <v>486</v>
      </c>
      <c r="C179" s="20" t="s">
        <v>837</v>
      </c>
      <c r="D179" s="138">
        <v>3330000</v>
      </c>
      <c r="E179" s="20" t="s">
        <v>764</v>
      </c>
      <c r="F179" s="20" t="s">
        <v>765</v>
      </c>
      <c r="G179" s="8" t="str">
        <f t="shared" si="4"/>
        <v>GONZALEZ ARMANDO</v>
      </c>
      <c r="H179" s="20" t="str">
        <f t="shared" si="5"/>
        <v>4002</v>
      </c>
    </row>
    <row r="180" spans="1:8" x14ac:dyDescent="0.25">
      <c r="A180" s="8">
        <v>43051.785219907404</v>
      </c>
      <c r="B180" s="20" t="s">
        <v>523</v>
      </c>
      <c r="C180" s="20" t="s">
        <v>838</v>
      </c>
      <c r="D180" s="138">
        <v>2230000</v>
      </c>
      <c r="E180" s="20" t="s">
        <v>397</v>
      </c>
      <c r="F180" s="20" t="s">
        <v>354</v>
      </c>
      <c r="G180" s="8" t="str">
        <f t="shared" si="4"/>
        <v>SMITH MICHAEL</v>
      </c>
      <c r="H180" s="20" t="str">
        <f t="shared" si="5"/>
        <v>4003</v>
      </c>
    </row>
    <row r="181" spans="1:8" x14ac:dyDescent="0.25">
      <c r="A181" s="8">
        <v>43051.787905092591</v>
      </c>
      <c r="B181" s="20" t="s">
        <v>449</v>
      </c>
      <c r="C181" s="20" t="s">
        <v>839</v>
      </c>
      <c r="D181" s="138">
        <v>2000000</v>
      </c>
      <c r="E181" s="20" t="s">
        <v>398</v>
      </c>
      <c r="F181" s="20" t="s">
        <v>399</v>
      </c>
      <c r="G181" s="8" t="str">
        <f t="shared" si="4"/>
        <v>STAMBAUGH JAMES</v>
      </c>
      <c r="H181" s="20" t="str">
        <f t="shared" si="5"/>
        <v>4064</v>
      </c>
    </row>
    <row r="182" spans="1:8" x14ac:dyDescent="0.25">
      <c r="A182" s="8">
        <v>43051.78800925926</v>
      </c>
      <c r="B182" s="20" t="s">
        <v>641</v>
      </c>
      <c r="C182" s="20" t="s">
        <v>840</v>
      </c>
      <c r="D182" s="138">
        <v>3340000</v>
      </c>
      <c r="E182" s="20" t="s">
        <v>670</v>
      </c>
      <c r="F182" s="20" t="s">
        <v>671</v>
      </c>
      <c r="G182" s="8" t="str">
        <f t="shared" si="4"/>
        <v>ELBAUM MIKE</v>
      </c>
      <c r="H182" s="20" t="str">
        <f t="shared" si="5"/>
        <v>4015</v>
      </c>
    </row>
    <row r="183" spans="1:8" x14ac:dyDescent="0.25">
      <c r="A183" s="8">
        <v>43051.79650462963</v>
      </c>
      <c r="B183" s="20" t="s">
        <v>373</v>
      </c>
      <c r="C183" s="20" t="s">
        <v>841</v>
      </c>
      <c r="D183" s="138">
        <v>2420000</v>
      </c>
      <c r="E183" s="20" t="s">
        <v>534</v>
      </c>
      <c r="F183" s="20" t="s">
        <v>535</v>
      </c>
      <c r="G183" s="8" t="str">
        <f t="shared" si="4"/>
        <v>HOLCOMB KAMDEN</v>
      </c>
      <c r="H183" s="20" t="str">
        <f t="shared" si="5"/>
        <v>4012</v>
      </c>
    </row>
    <row r="184" spans="1:8" x14ac:dyDescent="0.25">
      <c r="A184" s="8">
        <v>43051.80300925926</v>
      </c>
      <c r="B184" s="20" t="s">
        <v>634</v>
      </c>
      <c r="C184" s="20" t="s">
        <v>842</v>
      </c>
      <c r="D184" s="138">
        <v>3220000</v>
      </c>
      <c r="E184" s="20" t="s">
        <v>381</v>
      </c>
      <c r="F184" s="20" t="s">
        <v>382</v>
      </c>
      <c r="G184" s="8" t="str">
        <f t="shared" si="4"/>
        <v>RESPASS AARON</v>
      </c>
      <c r="H184" s="20" t="str">
        <f t="shared" si="5"/>
        <v>4005</v>
      </c>
    </row>
    <row r="185" spans="1:8" x14ac:dyDescent="0.25">
      <c r="A185" s="8">
        <v>43051.809953703705</v>
      </c>
      <c r="B185" s="20" t="s">
        <v>485</v>
      </c>
      <c r="C185" s="20" t="s">
        <v>843</v>
      </c>
      <c r="D185" s="138">
        <v>890000</v>
      </c>
      <c r="E185" s="20" t="s">
        <v>345</v>
      </c>
      <c r="F185" s="20" t="s">
        <v>346</v>
      </c>
      <c r="G185" s="8" t="str">
        <f t="shared" si="4"/>
        <v>LOZA FIDEL</v>
      </c>
      <c r="H185" s="20" t="str">
        <f t="shared" si="5"/>
        <v>4042</v>
      </c>
    </row>
    <row r="186" spans="1:8" x14ac:dyDescent="0.25">
      <c r="A186" s="8">
        <v>43051.810289351852</v>
      </c>
      <c r="B186" s="20" t="s">
        <v>374</v>
      </c>
      <c r="C186" s="20" t="s">
        <v>844</v>
      </c>
      <c r="D186" s="138">
        <v>2420000</v>
      </c>
      <c r="E186" s="20" t="s">
        <v>534</v>
      </c>
      <c r="F186" s="20" t="s">
        <v>535</v>
      </c>
      <c r="G186" s="8" t="str">
        <f t="shared" si="4"/>
        <v>HOLCOMB KAMDEN</v>
      </c>
      <c r="H186" s="20" t="str">
        <f t="shared" si="5"/>
        <v>4011</v>
      </c>
    </row>
    <row r="187" spans="1:8" x14ac:dyDescent="0.25">
      <c r="A187" s="8">
        <v>43051.826539351852</v>
      </c>
      <c r="B187" s="20" t="s">
        <v>536</v>
      </c>
      <c r="C187" s="20" t="s">
        <v>845</v>
      </c>
      <c r="D187" s="138">
        <v>3340000</v>
      </c>
      <c r="E187" s="20" t="s">
        <v>670</v>
      </c>
      <c r="F187" s="20" t="s">
        <v>671</v>
      </c>
      <c r="G187" s="8" t="str">
        <f t="shared" si="4"/>
        <v>ELBAUM MIKE</v>
      </c>
      <c r="H187" s="20" t="str">
        <f t="shared" si="5"/>
        <v>4016</v>
      </c>
    </row>
    <row r="188" spans="1:8" x14ac:dyDescent="0.25">
      <c r="A188" s="8">
        <v>43051.827361111114</v>
      </c>
      <c r="B188" s="20" t="s">
        <v>647</v>
      </c>
      <c r="C188" s="20" t="s">
        <v>846</v>
      </c>
      <c r="D188" s="138">
        <v>2000000</v>
      </c>
      <c r="E188" s="20" t="s">
        <v>398</v>
      </c>
      <c r="F188" s="20" t="s">
        <v>399</v>
      </c>
      <c r="G188" s="8" t="str">
        <f t="shared" si="4"/>
        <v>STAMBAUGH JAMES</v>
      </c>
      <c r="H188" s="20" t="str">
        <f t="shared" si="5"/>
        <v>4063</v>
      </c>
    </row>
    <row r="189" spans="1:8" x14ac:dyDescent="0.25">
      <c r="A189" s="8">
        <v>43051.836736111109</v>
      </c>
      <c r="B189" s="20" t="s">
        <v>515</v>
      </c>
      <c r="C189" s="20" t="s">
        <v>847</v>
      </c>
      <c r="D189" s="138">
        <v>3500000</v>
      </c>
      <c r="E189" s="20" t="s">
        <v>379</v>
      </c>
      <c r="F189" s="20" t="s">
        <v>380</v>
      </c>
      <c r="G189" s="8" t="str">
        <f t="shared" si="4"/>
        <v>GUNTHIER ERIC</v>
      </c>
      <c r="H189" s="20" t="str">
        <f t="shared" si="5"/>
        <v>4004</v>
      </c>
    </row>
    <row r="190" spans="1:8" x14ac:dyDescent="0.25">
      <c r="A190" s="8">
        <v>43051.838495370372</v>
      </c>
      <c r="B190" s="20" t="s">
        <v>373</v>
      </c>
      <c r="C190" s="20" t="s">
        <v>848</v>
      </c>
      <c r="D190" s="138">
        <v>2420000</v>
      </c>
      <c r="E190" s="20" t="s">
        <v>534</v>
      </c>
      <c r="F190" s="20" t="s">
        <v>535</v>
      </c>
      <c r="G190" s="8" t="str">
        <f t="shared" si="4"/>
        <v>HOLCOMB KAMDEN</v>
      </c>
      <c r="H190" s="20" t="str">
        <f t="shared" si="5"/>
        <v>4012</v>
      </c>
    </row>
    <row r="191" spans="1:8" x14ac:dyDescent="0.25">
      <c r="A191" s="8">
        <v>43051.840949074074</v>
      </c>
      <c r="B191" s="20" t="s">
        <v>520</v>
      </c>
      <c r="C191" s="20" t="s">
        <v>847</v>
      </c>
      <c r="D191" s="138">
        <v>3500000</v>
      </c>
      <c r="E191" s="20" t="s">
        <v>379</v>
      </c>
      <c r="F191" s="20" t="s">
        <v>380</v>
      </c>
      <c r="G191" s="8" t="str">
        <f t="shared" si="4"/>
        <v>GUNTHIER ERIC</v>
      </c>
      <c r="H191" s="20" t="str">
        <f t="shared" si="5"/>
        <v>4051</v>
      </c>
    </row>
    <row r="192" spans="1:8" x14ac:dyDescent="0.25">
      <c r="A192" s="8">
        <v>43051.84957175926</v>
      </c>
      <c r="B192" s="20" t="s">
        <v>515</v>
      </c>
      <c r="C192" s="20" t="s">
        <v>849</v>
      </c>
      <c r="D192" s="138">
        <v>3220000</v>
      </c>
      <c r="E192" s="20" t="s">
        <v>381</v>
      </c>
      <c r="F192" s="20" t="s">
        <v>382</v>
      </c>
      <c r="G192" s="8" t="str">
        <f t="shared" si="4"/>
        <v>RESPASS AARON</v>
      </c>
      <c r="H192" s="20" t="str">
        <f t="shared" si="5"/>
        <v>4004</v>
      </c>
    </row>
    <row r="193" spans="1:8" x14ac:dyDescent="0.25">
      <c r="A193" s="8">
        <v>43051.850613425922</v>
      </c>
      <c r="B193" s="20" t="s">
        <v>374</v>
      </c>
      <c r="C193" s="20" t="s">
        <v>850</v>
      </c>
      <c r="D193" s="138">
        <v>2420000</v>
      </c>
      <c r="E193" s="20" t="s">
        <v>534</v>
      </c>
      <c r="F193" s="20" t="s">
        <v>535</v>
      </c>
      <c r="G193" s="8" t="str">
        <f t="shared" si="4"/>
        <v>HOLCOMB KAMDEN</v>
      </c>
      <c r="H193" s="20" t="str">
        <f t="shared" si="5"/>
        <v>4011</v>
      </c>
    </row>
    <row r="194" spans="1:8" x14ac:dyDescent="0.25">
      <c r="A194" s="8">
        <v>43051.850775462961</v>
      </c>
      <c r="B194" s="20" t="s">
        <v>851</v>
      </c>
      <c r="C194" s="20" t="s">
        <v>852</v>
      </c>
      <c r="D194" s="138">
        <v>3500000</v>
      </c>
      <c r="E194" s="20" t="s">
        <v>379</v>
      </c>
      <c r="F194" s="20" t="s">
        <v>380</v>
      </c>
      <c r="G194" s="8" t="str">
        <f t="shared" si="4"/>
        <v>GUNTHIER ERIC</v>
      </c>
      <c r="H194" s="20" t="str">
        <f t="shared" si="5"/>
        <v>4026</v>
      </c>
    </row>
    <row r="195" spans="1:8" x14ac:dyDescent="0.25">
      <c r="A195" s="8">
        <v>43051.850891203707</v>
      </c>
      <c r="B195" s="20" t="s">
        <v>448</v>
      </c>
      <c r="C195" s="20" t="s">
        <v>853</v>
      </c>
      <c r="D195" s="138">
        <v>890000</v>
      </c>
      <c r="E195" s="20" t="s">
        <v>345</v>
      </c>
      <c r="F195" s="20" t="s">
        <v>346</v>
      </c>
      <c r="G195" s="8" t="str">
        <f t="shared" ref="G195:G258" si="6">E195&amp;" "&amp;F195</f>
        <v>LOZA FIDEL</v>
      </c>
      <c r="H195" s="20" t="str">
        <f t="shared" ref="H195:H258" si="7">MID(B195,13,4)</f>
        <v>4041</v>
      </c>
    </row>
    <row r="196" spans="1:8" x14ac:dyDescent="0.25">
      <c r="A196" s="8">
        <v>43051.859513888892</v>
      </c>
      <c r="B196" s="20" t="s">
        <v>827</v>
      </c>
      <c r="C196" s="20" t="s">
        <v>852</v>
      </c>
      <c r="D196" s="138">
        <v>3500000</v>
      </c>
      <c r="E196" s="20" t="s">
        <v>379</v>
      </c>
      <c r="F196" s="20" t="s">
        <v>380</v>
      </c>
      <c r="G196" s="8" t="str">
        <f t="shared" si="6"/>
        <v>GUNTHIER ERIC</v>
      </c>
      <c r="H196" s="20" t="str">
        <f t="shared" si="7"/>
        <v>4025</v>
      </c>
    </row>
    <row r="197" spans="1:8" x14ac:dyDescent="0.25">
      <c r="A197" s="8">
        <v>43051.859525462962</v>
      </c>
      <c r="B197" s="20" t="s">
        <v>641</v>
      </c>
      <c r="C197" s="20" t="s">
        <v>854</v>
      </c>
      <c r="D197" s="138">
        <v>3340000</v>
      </c>
      <c r="E197" s="20" t="s">
        <v>670</v>
      </c>
      <c r="F197" s="20" t="s">
        <v>671</v>
      </c>
      <c r="G197" s="8" t="str">
        <f t="shared" si="6"/>
        <v>ELBAUM MIKE</v>
      </c>
      <c r="H197" s="20" t="str">
        <f t="shared" si="7"/>
        <v>4015</v>
      </c>
    </row>
    <row r="198" spans="1:8" x14ac:dyDescent="0.25">
      <c r="A198" s="8">
        <v>43051.866956018515</v>
      </c>
      <c r="B198" s="20" t="s">
        <v>449</v>
      </c>
      <c r="C198" s="20" t="s">
        <v>855</v>
      </c>
      <c r="D198" s="138">
        <v>2030000</v>
      </c>
      <c r="E198" s="20" t="s">
        <v>822</v>
      </c>
      <c r="F198" s="20" t="s">
        <v>823</v>
      </c>
      <c r="G198" s="8" t="str">
        <f t="shared" si="6"/>
        <v>KILLION DAVID</v>
      </c>
      <c r="H198" s="20" t="str">
        <f t="shared" si="7"/>
        <v>4064</v>
      </c>
    </row>
    <row r="199" spans="1:8" x14ac:dyDescent="0.25">
      <c r="A199" s="8">
        <v>43051.877453703702</v>
      </c>
      <c r="B199" s="20" t="s">
        <v>373</v>
      </c>
      <c r="C199" s="20" t="s">
        <v>658</v>
      </c>
      <c r="D199" s="138">
        <v>2420000</v>
      </c>
      <c r="E199" s="20" t="s">
        <v>534</v>
      </c>
      <c r="F199" s="20" t="s">
        <v>535</v>
      </c>
      <c r="G199" s="8" t="str">
        <f t="shared" si="6"/>
        <v>HOLCOMB KAMDEN</v>
      </c>
      <c r="H199" s="20" t="str">
        <f t="shared" si="7"/>
        <v>4012</v>
      </c>
    </row>
    <row r="200" spans="1:8" x14ac:dyDescent="0.25">
      <c r="A200" s="8">
        <v>43051.883344907408</v>
      </c>
      <c r="B200" s="20" t="s">
        <v>485</v>
      </c>
      <c r="C200" s="20" t="s">
        <v>856</v>
      </c>
      <c r="D200" s="138">
        <v>890000</v>
      </c>
      <c r="E200" s="20" t="s">
        <v>345</v>
      </c>
      <c r="F200" s="20" t="s">
        <v>346</v>
      </c>
      <c r="G200" s="8" t="str">
        <f t="shared" si="6"/>
        <v>LOZA FIDEL</v>
      </c>
      <c r="H200" s="20" t="str">
        <f t="shared" si="7"/>
        <v>4042</v>
      </c>
    </row>
    <row r="201" spans="1:8" x14ac:dyDescent="0.25">
      <c r="A201" s="8">
        <v>43051.890034722222</v>
      </c>
      <c r="B201" s="20" t="s">
        <v>520</v>
      </c>
      <c r="C201" s="20" t="s">
        <v>857</v>
      </c>
      <c r="D201" s="138">
        <v>3220000</v>
      </c>
      <c r="E201" s="20" t="s">
        <v>381</v>
      </c>
      <c r="F201" s="20" t="s">
        <v>382</v>
      </c>
      <c r="G201" s="8" t="str">
        <f t="shared" si="6"/>
        <v>RESPASS AARON</v>
      </c>
      <c r="H201" s="20" t="str">
        <f t="shared" si="7"/>
        <v>4051</v>
      </c>
    </row>
    <row r="202" spans="1:8" x14ac:dyDescent="0.25">
      <c r="A202" s="26">
        <v>43051.89402777778</v>
      </c>
      <c r="B202" s="20" t="s">
        <v>374</v>
      </c>
      <c r="C202" s="20" t="s">
        <v>858</v>
      </c>
      <c r="D202" s="138">
        <v>2420000</v>
      </c>
      <c r="E202" s="20" t="s">
        <v>534</v>
      </c>
      <c r="F202" s="20" t="s">
        <v>535</v>
      </c>
      <c r="G202" s="8" t="str">
        <f t="shared" si="6"/>
        <v>HOLCOMB KAMDEN</v>
      </c>
      <c r="H202" s="20" t="str">
        <f t="shared" si="7"/>
        <v>4011</v>
      </c>
    </row>
    <row r="203" spans="1:8" x14ac:dyDescent="0.25">
      <c r="A203" s="8">
        <v>43051.89943287037</v>
      </c>
      <c r="B203" s="20" t="s">
        <v>536</v>
      </c>
      <c r="C203" s="20" t="s">
        <v>859</v>
      </c>
      <c r="D203" s="138">
        <v>3340000</v>
      </c>
      <c r="E203" s="20" t="s">
        <v>670</v>
      </c>
      <c r="F203" s="20" t="s">
        <v>671</v>
      </c>
      <c r="G203" s="8" t="str">
        <f t="shared" si="6"/>
        <v>ELBAUM MIKE</v>
      </c>
      <c r="H203" s="20" t="str">
        <f t="shared" si="7"/>
        <v>4016</v>
      </c>
    </row>
    <row r="204" spans="1:8" x14ac:dyDescent="0.25">
      <c r="A204" s="8">
        <v>43051.90724537037</v>
      </c>
      <c r="B204" s="20" t="s">
        <v>634</v>
      </c>
      <c r="C204" s="20" t="s">
        <v>860</v>
      </c>
      <c r="D204" s="138">
        <v>2030000</v>
      </c>
      <c r="E204" s="20" t="s">
        <v>822</v>
      </c>
      <c r="F204" s="20" t="s">
        <v>823</v>
      </c>
      <c r="G204" s="8" t="str">
        <f t="shared" si="6"/>
        <v>KILLION DAVID</v>
      </c>
      <c r="H204" s="20" t="str">
        <f t="shared" si="7"/>
        <v>4005</v>
      </c>
    </row>
    <row r="205" spans="1:8" x14ac:dyDescent="0.25">
      <c r="A205" s="8">
        <v>43051.915439814817</v>
      </c>
      <c r="B205" s="20" t="s">
        <v>373</v>
      </c>
      <c r="C205" s="20" t="s">
        <v>861</v>
      </c>
      <c r="D205" s="138">
        <v>2420000</v>
      </c>
      <c r="E205" s="20" t="s">
        <v>534</v>
      </c>
      <c r="F205" s="20" t="s">
        <v>535</v>
      </c>
      <c r="G205" s="8" t="str">
        <f t="shared" si="6"/>
        <v>HOLCOMB KAMDEN</v>
      </c>
      <c r="H205" s="20" t="str">
        <f t="shared" si="7"/>
        <v>4012</v>
      </c>
    </row>
    <row r="206" spans="1:8" x14ac:dyDescent="0.25">
      <c r="A206" s="8">
        <v>43051.925462962965</v>
      </c>
      <c r="B206" s="20" t="s">
        <v>515</v>
      </c>
      <c r="C206" s="20" t="s">
        <v>862</v>
      </c>
      <c r="D206" s="138">
        <v>3220000</v>
      </c>
      <c r="E206" s="20" t="s">
        <v>381</v>
      </c>
      <c r="F206" s="20" t="s">
        <v>382</v>
      </c>
      <c r="G206" s="8" t="str">
        <f t="shared" si="6"/>
        <v>RESPASS AARON</v>
      </c>
      <c r="H206" s="20" t="str">
        <f t="shared" si="7"/>
        <v>4004</v>
      </c>
    </row>
    <row r="207" spans="1:8" x14ac:dyDescent="0.25">
      <c r="A207" s="8">
        <v>43051.929907407408</v>
      </c>
      <c r="B207" s="20" t="s">
        <v>448</v>
      </c>
      <c r="C207" s="20" t="s">
        <v>863</v>
      </c>
      <c r="D207" s="138">
        <v>890000</v>
      </c>
      <c r="E207" s="20" t="s">
        <v>345</v>
      </c>
      <c r="F207" s="20" t="s">
        <v>346</v>
      </c>
      <c r="G207" s="8" t="str">
        <f t="shared" si="6"/>
        <v>LOZA FIDEL</v>
      </c>
      <c r="H207" s="20" t="str">
        <f t="shared" si="7"/>
        <v>4041</v>
      </c>
    </row>
    <row r="208" spans="1:8" x14ac:dyDescent="0.25">
      <c r="A208" s="8">
        <v>43051.934907407405</v>
      </c>
      <c r="B208" s="20" t="s">
        <v>374</v>
      </c>
      <c r="C208" s="20" t="s">
        <v>864</v>
      </c>
      <c r="D208" s="138">
        <v>2420000</v>
      </c>
      <c r="E208" s="20" t="s">
        <v>534</v>
      </c>
      <c r="F208" s="20" t="s">
        <v>535</v>
      </c>
      <c r="G208" s="8" t="str">
        <f t="shared" si="6"/>
        <v>HOLCOMB KAMDEN</v>
      </c>
      <c r="H208" s="20" t="str">
        <f t="shared" si="7"/>
        <v>4011</v>
      </c>
    </row>
    <row r="209" spans="1:8" x14ac:dyDescent="0.25">
      <c r="A209" s="8">
        <v>43051.946099537039</v>
      </c>
      <c r="B209" s="20" t="s">
        <v>641</v>
      </c>
      <c r="C209" s="20" t="s">
        <v>659</v>
      </c>
      <c r="D209" s="138">
        <v>3340000</v>
      </c>
      <c r="E209" s="20" t="s">
        <v>670</v>
      </c>
      <c r="F209" s="20" t="s">
        <v>671</v>
      </c>
      <c r="G209" s="8" t="str">
        <f t="shared" si="6"/>
        <v>ELBAUM MIKE</v>
      </c>
      <c r="H209" s="20" t="str">
        <f t="shared" si="7"/>
        <v>4015</v>
      </c>
    </row>
    <row r="210" spans="1:8" x14ac:dyDescent="0.25">
      <c r="A210" s="8">
        <v>43051.949421296296</v>
      </c>
      <c r="B210" s="20" t="s">
        <v>449</v>
      </c>
      <c r="C210" s="20" t="s">
        <v>865</v>
      </c>
      <c r="D210" s="138">
        <v>2000000</v>
      </c>
      <c r="E210" s="20" t="s">
        <v>398</v>
      </c>
      <c r="F210" s="20" t="s">
        <v>399</v>
      </c>
      <c r="G210" s="8" t="str">
        <f t="shared" si="6"/>
        <v>STAMBAUGH JAMES</v>
      </c>
      <c r="H210" s="20" t="str">
        <f t="shared" si="7"/>
        <v>4064</v>
      </c>
    </row>
    <row r="211" spans="1:8" x14ac:dyDescent="0.25">
      <c r="A211" s="8">
        <v>43051.958726851852</v>
      </c>
      <c r="B211" s="20" t="s">
        <v>373</v>
      </c>
      <c r="C211" s="20" t="s">
        <v>866</v>
      </c>
      <c r="D211" s="138">
        <v>2420000</v>
      </c>
      <c r="E211" s="20" t="s">
        <v>534</v>
      </c>
      <c r="F211" s="20" t="s">
        <v>535</v>
      </c>
      <c r="G211" s="8" t="str">
        <f t="shared" si="6"/>
        <v>HOLCOMB KAMDEN</v>
      </c>
      <c r="H211" s="20" t="str">
        <f t="shared" si="7"/>
        <v>4012</v>
      </c>
    </row>
    <row r="212" spans="1:8" x14ac:dyDescent="0.25">
      <c r="A212" s="8">
        <v>43051.96398148148</v>
      </c>
      <c r="B212" s="20" t="s">
        <v>485</v>
      </c>
      <c r="C212" s="20" t="s">
        <v>867</v>
      </c>
      <c r="D212" s="138">
        <v>890000</v>
      </c>
      <c r="E212" s="20" t="s">
        <v>345</v>
      </c>
      <c r="F212" s="20" t="s">
        <v>346</v>
      </c>
      <c r="G212" s="8" t="str">
        <f t="shared" si="6"/>
        <v>LOZA FIDEL</v>
      </c>
      <c r="H212" s="20" t="str">
        <f t="shared" si="7"/>
        <v>4042</v>
      </c>
    </row>
    <row r="213" spans="1:8" x14ac:dyDescent="0.25">
      <c r="A213" s="8">
        <v>43051.975393518522</v>
      </c>
      <c r="B213" s="20" t="s">
        <v>374</v>
      </c>
      <c r="C213" s="20" t="s">
        <v>868</v>
      </c>
      <c r="D213" s="138">
        <v>2420000</v>
      </c>
      <c r="E213" s="20" t="s">
        <v>534</v>
      </c>
      <c r="F213" s="20" t="s">
        <v>535</v>
      </c>
      <c r="G213" s="8" t="str">
        <f t="shared" si="6"/>
        <v>HOLCOMB KAMDEN</v>
      </c>
      <c r="H213" s="20" t="str">
        <f t="shared" si="7"/>
        <v>4011</v>
      </c>
    </row>
    <row r="214" spans="1:8" x14ac:dyDescent="0.25">
      <c r="A214" s="8">
        <v>43051.976423611108</v>
      </c>
      <c r="B214" s="20" t="s">
        <v>520</v>
      </c>
      <c r="C214" s="20" t="s">
        <v>660</v>
      </c>
      <c r="D214" s="138">
        <v>3220000</v>
      </c>
      <c r="E214" s="20" t="s">
        <v>381</v>
      </c>
      <c r="F214" s="20" t="s">
        <v>382</v>
      </c>
      <c r="G214" s="8" t="str">
        <f t="shared" si="6"/>
        <v>RESPASS AARON</v>
      </c>
      <c r="H214" s="20" t="str">
        <f t="shared" si="7"/>
        <v>4051</v>
      </c>
    </row>
    <row r="215" spans="1:8" x14ac:dyDescent="0.25">
      <c r="A215" s="8">
        <v>43051.988333333335</v>
      </c>
      <c r="B215" s="20" t="s">
        <v>536</v>
      </c>
      <c r="C215" s="20" t="s">
        <v>661</v>
      </c>
      <c r="D215" s="138">
        <v>3340000</v>
      </c>
      <c r="E215" s="20" t="s">
        <v>670</v>
      </c>
      <c r="F215" s="20" t="s">
        <v>671</v>
      </c>
      <c r="G215" s="8" t="str">
        <f t="shared" si="6"/>
        <v>ELBAUM MIKE</v>
      </c>
      <c r="H215" s="20" t="str">
        <f t="shared" si="7"/>
        <v>4016</v>
      </c>
    </row>
    <row r="216" spans="1:8" x14ac:dyDescent="0.25">
      <c r="A216" s="8">
        <v>43051.991331018522</v>
      </c>
      <c r="B216" s="20" t="s">
        <v>520</v>
      </c>
      <c r="C216" s="20" t="s">
        <v>660</v>
      </c>
      <c r="D216" s="138">
        <v>3220000</v>
      </c>
      <c r="E216" s="20" t="s">
        <v>381</v>
      </c>
      <c r="F216" s="20" t="s">
        <v>382</v>
      </c>
      <c r="G216" s="8" t="str">
        <f t="shared" si="6"/>
        <v>RESPASS AARON</v>
      </c>
      <c r="H216" s="20" t="str">
        <f t="shared" si="7"/>
        <v>4051</v>
      </c>
    </row>
    <row r="217" spans="1:8" x14ac:dyDescent="0.25">
      <c r="A217" s="8">
        <v>43051.995081018518</v>
      </c>
      <c r="B217" s="20" t="s">
        <v>634</v>
      </c>
      <c r="C217" s="20" t="s">
        <v>869</v>
      </c>
      <c r="D217" s="138">
        <v>2000000</v>
      </c>
      <c r="E217" s="20" t="s">
        <v>398</v>
      </c>
      <c r="F217" s="20" t="s">
        <v>399</v>
      </c>
      <c r="G217" s="8" t="str">
        <f t="shared" si="6"/>
        <v>STAMBAUGH JAMES</v>
      </c>
      <c r="H217" s="20" t="str">
        <f t="shared" si="7"/>
        <v>4005</v>
      </c>
    </row>
    <row r="218" spans="1:8" x14ac:dyDescent="0.25">
      <c r="A218" s="8">
        <v>43052.012650462966</v>
      </c>
      <c r="B218" s="20" t="s">
        <v>520</v>
      </c>
      <c r="C218" s="20" t="s">
        <v>660</v>
      </c>
      <c r="D218" s="138">
        <v>3220000</v>
      </c>
      <c r="E218" s="20" t="s">
        <v>381</v>
      </c>
      <c r="F218" s="20" t="s">
        <v>382</v>
      </c>
      <c r="G218" s="8" t="str">
        <f t="shared" si="6"/>
        <v>RESPASS AARON</v>
      </c>
      <c r="H218" s="20" t="str">
        <f t="shared" si="7"/>
        <v>4051</v>
      </c>
    </row>
    <row r="219" spans="1:8" x14ac:dyDescent="0.25">
      <c r="A219" s="8">
        <v>43052.015625</v>
      </c>
      <c r="B219" s="20" t="s">
        <v>515</v>
      </c>
      <c r="C219" s="20" t="s">
        <v>870</v>
      </c>
      <c r="D219" s="138">
        <v>3220000</v>
      </c>
      <c r="E219" s="20" t="s">
        <v>381</v>
      </c>
      <c r="F219" s="20" t="s">
        <v>382</v>
      </c>
      <c r="G219" s="8" t="str">
        <f t="shared" si="6"/>
        <v>RESPASS AARON</v>
      </c>
      <c r="H219" s="20" t="str">
        <f t="shared" si="7"/>
        <v>4004</v>
      </c>
    </row>
    <row r="220" spans="1:8" x14ac:dyDescent="0.25">
      <c r="A220" s="8">
        <v>43052.015775462962</v>
      </c>
      <c r="B220" s="20" t="s">
        <v>448</v>
      </c>
      <c r="C220" s="20" t="s">
        <v>871</v>
      </c>
      <c r="D220" s="138">
        <v>890000</v>
      </c>
      <c r="E220" s="20" t="s">
        <v>345</v>
      </c>
      <c r="F220" s="20" t="s">
        <v>346</v>
      </c>
      <c r="G220" s="8" t="str">
        <f t="shared" si="6"/>
        <v>LOZA FIDEL</v>
      </c>
      <c r="H220" s="20" t="str">
        <f t="shared" si="7"/>
        <v>4041</v>
      </c>
    </row>
    <row r="221" spans="1:8" x14ac:dyDescent="0.25">
      <c r="A221" s="8">
        <v>43052.026770833334</v>
      </c>
      <c r="B221" s="20" t="s">
        <v>449</v>
      </c>
      <c r="C221" s="20" t="s">
        <v>872</v>
      </c>
      <c r="D221" s="138">
        <v>2000000</v>
      </c>
      <c r="E221" s="20" t="s">
        <v>398</v>
      </c>
      <c r="F221" s="20" t="s">
        <v>399</v>
      </c>
      <c r="G221" s="8" t="str">
        <f t="shared" si="6"/>
        <v>STAMBAUGH JAMES</v>
      </c>
      <c r="H221" s="20" t="str">
        <f t="shared" si="7"/>
        <v>4064</v>
      </c>
    </row>
    <row r="222" spans="1:8" x14ac:dyDescent="0.25">
      <c r="A222" s="8">
        <v>43052.033402777779</v>
      </c>
      <c r="B222" s="20" t="s">
        <v>641</v>
      </c>
      <c r="C222" s="20" t="s">
        <v>664</v>
      </c>
      <c r="D222" s="138">
        <v>3340000</v>
      </c>
      <c r="E222" s="20" t="s">
        <v>670</v>
      </c>
      <c r="F222" s="20" t="s">
        <v>671</v>
      </c>
      <c r="G222" s="8" t="str">
        <f t="shared" si="6"/>
        <v>ELBAUM MIKE</v>
      </c>
      <c r="H222" s="20" t="str">
        <f t="shared" si="7"/>
        <v>4015</v>
      </c>
    </row>
    <row r="223" spans="1:8" x14ac:dyDescent="0.25">
      <c r="A223" s="8">
        <v>43052.050104166665</v>
      </c>
      <c r="B223" s="20" t="s">
        <v>485</v>
      </c>
      <c r="C223" s="20" t="s">
        <v>873</v>
      </c>
      <c r="D223" s="138">
        <v>890000</v>
      </c>
      <c r="E223" s="20" t="s">
        <v>345</v>
      </c>
      <c r="F223" s="20" t="s">
        <v>346</v>
      </c>
      <c r="G223" s="8" t="str">
        <f t="shared" si="6"/>
        <v>LOZA FIDEL</v>
      </c>
      <c r="H223" s="20" t="str">
        <f t="shared" si="7"/>
        <v>4042</v>
      </c>
    </row>
    <row r="224" spans="1:8" x14ac:dyDescent="0.25">
      <c r="A224" s="8">
        <v>43052.053043981483</v>
      </c>
      <c r="B224" t="s">
        <v>520</v>
      </c>
      <c r="C224" t="s">
        <v>874</v>
      </c>
      <c r="D224" s="138">
        <v>3220000</v>
      </c>
      <c r="E224" t="s">
        <v>381</v>
      </c>
      <c r="F224" s="20" t="s">
        <v>382</v>
      </c>
      <c r="G224" s="8" t="str">
        <f t="shared" si="6"/>
        <v>RESPASS AARON</v>
      </c>
      <c r="H224" s="20" t="str">
        <f t="shared" si="7"/>
        <v>4051</v>
      </c>
    </row>
    <row r="225" spans="1:8" x14ac:dyDescent="0.25">
      <c r="A225" s="8">
        <v>43047.798703703702</v>
      </c>
      <c r="B225" t="s">
        <v>373</v>
      </c>
      <c r="C225" t="s">
        <v>540</v>
      </c>
      <c r="D225" s="138">
        <v>2350000</v>
      </c>
      <c r="E225" t="s">
        <v>532</v>
      </c>
      <c r="F225" s="20" t="s">
        <v>533</v>
      </c>
      <c r="G225" s="8" t="str">
        <f t="shared" si="6"/>
        <v>BERLING GARY</v>
      </c>
      <c r="H225" s="20" t="str">
        <f t="shared" si="7"/>
        <v>4012</v>
      </c>
    </row>
    <row r="226" spans="1:8" x14ac:dyDescent="0.25">
      <c r="A226" s="8">
        <v>43047.802291666667</v>
      </c>
      <c r="B226" t="s">
        <v>394</v>
      </c>
      <c r="C226" t="s">
        <v>541</v>
      </c>
      <c r="D226" s="138">
        <v>3700000</v>
      </c>
      <c r="E226" t="s">
        <v>475</v>
      </c>
      <c r="F226" s="20" t="s">
        <v>372</v>
      </c>
      <c r="G226" s="8" t="str">
        <f t="shared" si="6"/>
        <v>AUSTIN THOMPSON</v>
      </c>
      <c r="H226" s="20" t="str">
        <f t="shared" si="7"/>
        <v>4059</v>
      </c>
    </row>
    <row r="227" spans="1:8" x14ac:dyDescent="0.25">
      <c r="A227" s="8">
        <v>43047.809976851851</v>
      </c>
      <c r="B227" t="s">
        <v>474</v>
      </c>
      <c r="C227" t="s">
        <v>542</v>
      </c>
      <c r="D227" s="138">
        <v>2440000</v>
      </c>
      <c r="E227" t="s">
        <v>537</v>
      </c>
      <c r="F227" s="20" t="s">
        <v>538</v>
      </c>
      <c r="G227" s="8" t="str">
        <f t="shared" si="6"/>
        <v>LOPES KIMBERLY</v>
      </c>
      <c r="H227" s="20" t="str">
        <f t="shared" si="7"/>
        <v>4050</v>
      </c>
    </row>
    <row r="228" spans="1:8" x14ac:dyDescent="0.25">
      <c r="A228" s="8">
        <v>43047.811342592591</v>
      </c>
      <c r="B228" t="s">
        <v>516</v>
      </c>
      <c r="C228" t="s">
        <v>543</v>
      </c>
      <c r="D228" s="138">
        <v>3670000</v>
      </c>
      <c r="E228" t="s">
        <v>386</v>
      </c>
      <c r="F228" s="20" t="s">
        <v>370</v>
      </c>
      <c r="G228" s="8" t="str">
        <f t="shared" si="6"/>
        <v>ANDREA WILLIAMS</v>
      </c>
      <c r="H228" s="20" t="str">
        <f t="shared" si="7"/>
        <v>4023</v>
      </c>
    </row>
    <row r="229" spans="1:8" x14ac:dyDescent="0.25">
      <c r="A229" s="8">
        <v>43047.823148148149</v>
      </c>
      <c r="B229" t="s">
        <v>368</v>
      </c>
      <c r="C229" t="s">
        <v>539</v>
      </c>
      <c r="D229" s="138">
        <v>2420000</v>
      </c>
      <c r="E229" t="s">
        <v>534</v>
      </c>
      <c r="F229" s="20" t="s">
        <v>535</v>
      </c>
      <c r="G229" s="8" t="str">
        <f t="shared" si="6"/>
        <v>HOLCOMB KAMDEN</v>
      </c>
      <c r="H229" s="20" t="str">
        <f t="shared" si="7"/>
        <v>4036</v>
      </c>
    </row>
    <row r="230" spans="1:8" x14ac:dyDescent="0.25">
      <c r="A230" s="8">
        <v>43047.823530092595</v>
      </c>
      <c r="B230" t="s">
        <v>460</v>
      </c>
      <c r="C230" t="s">
        <v>544</v>
      </c>
      <c r="D230" s="138">
        <v>3320000</v>
      </c>
      <c r="E230" t="s">
        <v>365</v>
      </c>
      <c r="F230" s="20" t="s">
        <v>366</v>
      </c>
      <c r="G230" s="8" t="str">
        <f t="shared" si="6"/>
        <v>NICHOLSON WESLEY</v>
      </c>
      <c r="H230" s="20" t="str">
        <f t="shared" si="7"/>
        <v>4009</v>
      </c>
    </row>
    <row r="231" spans="1:8" x14ac:dyDescent="0.25">
      <c r="A231" s="8">
        <v>43047.823657407411</v>
      </c>
      <c r="B231" t="s">
        <v>368</v>
      </c>
      <c r="C231" t="s">
        <v>545</v>
      </c>
      <c r="D231" s="138">
        <v>2420000</v>
      </c>
      <c r="E231" t="s">
        <v>534</v>
      </c>
      <c r="F231" s="20" t="s">
        <v>535</v>
      </c>
      <c r="G231" s="8" t="str">
        <f t="shared" si="6"/>
        <v>HOLCOMB KAMDEN</v>
      </c>
      <c r="H231" s="20" t="str">
        <f t="shared" si="7"/>
        <v>4036</v>
      </c>
    </row>
    <row r="232" spans="1:8" x14ac:dyDescent="0.25">
      <c r="A232" s="8">
        <v>43047.831446759257</v>
      </c>
      <c r="B232" t="s">
        <v>513</v>
      </c>
      <c r="C232" t="s">
        <v>546</v>
      </c>
      <c r="D232" s="138">
        <v>890000</v>
      </c>
      <c r="E232" t="s">
        <v>345</v>
      </c>
      <c r="F232" s="20" t="s">
        <v>346</v>
      </c>
      <c r="G232" s="8" t="str">
        <f t="shared" si="6"/>
        <v>LOZA FIDEL</v>
      </c>
      <c r="H232" s="20" t="str">
        <f t="shared" si="7"/>
        <v>4052</v>
      </c>
    </row>
    <row r="233" spans="1:8" x14ac:dyDescent="0.25">
      <c r="A233" s="8">
        <v>43047.836909722224</v>
      </c>
      <c r="B233" t="s">
        <v>514</v>
      </c>
      <c r="C233" t="s">
        <v>547</v>
      </c>
      <c r="D233" s="138">
        <v>3670000</v>
      </c>
      <c r="E233" t="s">
        <v>386</v>
      </c>
      <c r="F233" s="20" t="s">
        <v>370</v>
      </c>
      <c r="G233" s="8" t="str">
        <f t="shared" si="6"/>
        <v>ANDREA WILLIAMS</v>
      </c>
      <c r="H233" s="20" t="str">
        <f t="shared" si="7"/>
        <v>4024</v>
      </c>
    </row>
    <row r="234" spans="1:8" x14ac:dyDescent="0.25">
      <c r="A234" s="8">
        <v>43047.840104166666</v>
      </c>
      <c r="B234" t="s">
        <v>359</v>
      </c>
      <c r="C234" t="s">
        <v>548</v>
      </c>
      <c r="D234" s="138">
        <v>3700000</v>
      </c>
      <c r="E234" t="s">
        <v>475</v>
      </c>
      <c r="F234" s="20" t="s">
        <v>372</v>
      </c>
      <c r="G234" s="8" t="str">
        <f t="shared" si="6"/>
        <v>AUSTIN THOMPSON</v>
      </c>
      <c r="H234" s="20" t="str">
        <f t="shared" si="7"/>
        <v>4060</v>
      </c>
    </row>
    <row r="235" spans="1:8" x14ac:dyDescent="0.25">
      <c r="A235" s="8">
        <v>43047.843518518515</v>
      </c>
      <c r="B235" t="s">
        <v>473</v>
      </c>
      <c r="C235" t="s">
        <v>549</v>
      </c>
      <c r="D235" s="138">
        <v>2440000</v>
      </c>
      <c r="E235" t="s">
        <v>537</v>
      </c>
      <c r="F235" s="20" t="s">
        <v>538</v>
      </c>
      <c r="G235" s="8" t="str">
        <f t="shared" si="6"/>
        <v>LOPES KIMBERLY</v>
      </c>
      <c r="H235" s="20" t="str">
        <f t="shared" si="7"/>
        <v>4049</v>
      </c>
    </row>
    <row r="236" spans="1:8" x14ac:dyDescent="0.25">
      <c r="A236" s="8">
        <v>43047.854131944441</v>
      </c>
      <c r="B236" t="s">
        <v>516</v>
      </c>
      <c r="C236" t="s">
        <v>550</v>
      </c>
      <c r="D236" s="138">
        <v>3670000</v>
      </c>
      <c r="E236" t="s">
        <v>386</v>
      </c>
      <c r="F236" s="20" t="s">
        <v>370</v>
      </c>
      <c r="G236" s="8" t="str">
        <f t="shared" si="6"/>
        <v>ANDREA WILLIAMS</v>
      </c>
      <c r="H236" s="20" t="str">
        <f t="shared" si="7"/>
        <v>4023</v>
      </c>
    </row>
    <row r="237" spans="1:8" x14ac:dyDescent="0.25">
      <c r="A237" s="8">
        <v>43047.866793981484</v>
      </c>
      <c r="B237" t="s">
        <v>461</v>
      </c>
      <c r="C237" t="s">
        <v>551</v>
      </c>
      <c r="D237" s="138">
        <v>3320000</v>
      </c>
      <c r="E237" t="s">
        <v>365</v>
      </c>
      <c r="F237" s="20" t="s">
        <v>366</v>
      </c>
      <c r="G237" s="8" t="str">
        <f t="shared" si="6"/>
        <v>NICHOLSON WESLEY</v>
      </c>
      <c r="H237" s="20" t="str">
        <f t="shared" si="7"/>
        <v>4010</v>
      </c>
    </row>
    <row r="238" spans="1:8" x14ac:dyDescent="0.25">
      <c r="A238" s="8">
        <v>43047.868750000001</v>
      </c>
      <c r="B238" t="s">
        <v>520</v>
      </c>
      <c r="C238" t="s">
        <v>552</v>
      </c>
      <c r="D238" s="138">
        <v>890000</v>
      </c>
      <c r="E238" t="s">
        <v>345</v>
      </c>
      <c r="F238" s="20" t="s">
        <v>346</v>
      </c>
      <c r="G238" s="8" t="str">
        <f t="shared" si="6"/>
        <v>LOZA FIDEL</v>
      </c>
      <c r="H238" s="20" t="str">
        <f t="shared" si="7"/>
        <v>4051</v>
      </c>
    </row>
    <row r="239" spans="1:8" x14ac:dyDescent="0.25">
      <c r="A239" s="8">
        <v>43047.879965277774</v>
      </c>
      <c r="B239" t="s">
        <v>474</v>
      </c>
      <c r="C239" t="s">
        <v>553</v>
      </c>
      <c r="D239" s="138">
        <v>2440000</v>
      </c>
      <c r="E239" t="s">
        <v>537</v>
      </c>
      <c r="F239" s="20" t="s">
        <v>538</v>
      </c>
      <c r="G239" s="8" t="str">
        <f t="shared" si="6"/>
        <v>LOPES KIMBERLY</v>
      </c>
      <c r="H239" s="20" t="str">
        <f t="shared" si="7"/>
        <v>4050</v>
      </c>
    </row>
    <row r="240" spans="1:8" x14ac:dyDescent="0.25">
      <c r="A240" s="8">
        <v>43047.883819444447</v>
      </c>
      <c r="B240" t="s">
        <v>514</v>
      </c>
      <c r="C240" t="s">
        <v>554</v>
      </c>
      <c r="D240" s="138">
        <v>3220000</v>
      </c>
      <c r="E240" t="s">
        <v>381</v>
      </c>
      <c r="F240" s="20" t="s">
        <v>382</v>
      </c>
      <c r="G240" s="8" t="str">
        <f t="shared" si="6"/>
        <v>RESPASS AARON</v>
      </c>
      <c r="H240" s="20" t="str">
        <f t="shared" si="7"/>
        <v>4024</v>
      </c>
    </row>
    <row r="241" spans="1:8" x14ac:dyDescent="0.25">
      <c r="A241" s="8">
        <v>43047.88925925926</v>
      </c>
      <c r="B241" t="s">
        <v>394</v>
      </c>
      <c r="C241" t="s">
        <v>555</v>
      </c>
      <c r="D241" s="138">
        <v>3700000</v>
      </c>
      <c r="E241" t="s">
        <v>475</v>
      </c>
      <c r="F241" s="20" t="s">
        <v>372</v>
      </c>
      <c r="G241" s="8" t="str">
        <f t="shared" si="6"/>
        <v>AUSTIN THOMPSON</v>
      </c>
      <c r="H241" s="20" t="str">
        <f t="shared" si="7"/>
        <v>4059</v>
      </c>
    </row>
    <row r="242" spans="1:8" x14ac:dyDescent="0.25">
      <c r="A242" s="8">
        <v>43047.90247685185</v>
      </c>
      <c r="B242" t="s">
        <v>516</v>
      </c>
      <c r="C242" t="s">
        <v>556</v>
      </c>
      <c r="D242" s="138">
        <v>3220000</v>
      </c>
      <c r="E242" t="s">
        <v>381</v>
      </c>
      <c r="F242" s="20" t="s">
        <v>382</v>
      </c>
      <c r="G242" s="8" t="str">
        <f t="shared" si="6"/>
        <v>RESPASS AARON</v>
      </c>
      <c r="H242" s="20" t="str">
        <f t="shared" si="7"/>
        <v>4023</v>
      </c>
    </row>
    <row r="243" spans="1:8" x14ac:dyDescent="0.25">
      <c r="A243" s="8">
        <v>43047.908275462964</v>
      </c>
      <c r="B243" t="s">
        <v>460</v>
      </c>
      <c r="C243" t="s">
        <v>557</v>
      </c>
      <c r="D243" s="138">
        <v>3320000</v>
      </c>
      <c r="E243" t="s">
        <v>365</v>
      </c>
      <c r="F243" s="20" t="s">
        <v>366</v>
      </c>
      <c r="G243" s="8" t="str">
        <f t="shared" si="6"/>
        <v>NICHOLSON WESLEY</v>
      </c>
      <c r="H243" s="20" t="str">
        <f t="shared" si="7"/>
        <v>4009</v>
      </c>
    </row>
    <row r="244" spans="1:8" x14ac:dyDescent="0.25">
      <c r="A244" s="8">
        <v>43047.910208333335</v>
      </c>
      <c r="B244" t="s">
        <v>513</v>
      </c>
      <c r="C244" t="s">
        <v>558</v>
      </c>
      <c r="D244" s="138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4052</v>
      </c>
    </row>
    <row r="245" spans="1:8" x14ac:dyDescent="0.25">
      <c r="A245" s="8">
        <v>43047.91914351852</v>
      </c>
      <c r="B245" t="s">
        <v>514</v>
      </c>
      <c r="C245" t="s">
        <v>559</v>
      </c>
      <c r="D245" s="138">
        <v>3220000</v>
      </c>
      <c r="E245" t="s">
        <v>381</v>
      </c>
      <c r="F245" s="20" t="s">
        <v>382</v>
      </c>
      <c r="G245" s="8" t="str">
        <f t="shared" si="6"/>
        <v>RESPASS AARON</v>
      </c>
      <c r="H245" s="20" t="str">
        <f t="shared" si="7"/>
        <v>4024</v>
      </c>
    </row>
    <row r="246" spans="1:8" x14ac:dyDescent="0.25">
      <c r="A246" s="8">
        <v>43047.927418981482</v>
      </c>
      <c r="B246" t="s">
        <v>359</v>
      </c>
      <c r="C246" t="s">
        <v>517</v>
      </c>
      <c r="D246" s="138">
        <v>3700000</v>
      </c>
      <c r="E246" t="s">
        <v>475</v>
      </c>
      <c r="F246" s="20" t="s">
        <v>372</v>
      </c>
      <c r="G246" s="8" t="str">
        <f t="shared" si="6"/>
        <v>AUSTIN THOMPSON</v>
      </c>
      <c r="H246" s="20" t="str">
        <f t="shared" si="7"/>
        <v>4060</v>
      </c>
    </row>
    <row r="247" spans="1:8" x14ac:dyDescent="0.25">
      <c r="A247" s="8">
        <v>43047.929212962961</v>
      </c>
      <c r="B247" t="s">
        <v>473</v>
      </c>
      <c r="C247" t="s">
        <v>560</v>
      </c>
      <c r="D247" s="138">
        <v>2440000</v>
      </c>
      <c r="E247" t="s">
        <v>537</v>
      </c>
      <c r="F247" s="20" t="s">
        <v>538</v>
      </c>
      <c r="G247" s="8" t="str">
        <f t="shared" si="6"/>
        <v>LOPES KIMBERLY</v>
      </c>
      <c r="H247" s="20" t="str">
        <f t="shared" si="7"/>
        <v>4049</v>
      </c>
    </row>
    <row r="248" spans="1:8" x14ac:dyDescent="0.25">
      <c r="A248" s="8">
        <v>43047.936041666668</v>
      </c>
      <c r="B248" t="s">
        <v>516</v>
      </c>
      <c r="C248" t="s">
        <v>561</v>
      </c>
      <c r="D248" s="138">
        <v>3220000</v>
      </c>
      <c r="E248" t="s">
        <v>381</v>
      </c>
      <c r="F248" s="20" t="s">
        <v>382</v>
      </c>
      <c r="G248" s="8" t="str">
        <f t="shared" si="6"/>
        <v>RESPASS AARON</v>
      </c>
      <c r="H248" s="20" t="str">
        <f t="shared" si="7"/>
        <v>4023</v>
      </c>
    </row>
    <row r="249" spans="1:8" x14ac:dyDescent="0.25">
      <c r="A249" s="8">
        <v>43047.950833333336</v>
      </c>
      <c r="B249" t="s">
        <v>461</v>
      </c>
      <c r="C249" t="s">
        <v>562</v>
      </c>
      <c r="D249" s="138">
        <v>3320000</v>
      </c>
      <c r="E249" t="s">
        <v>365</v>
      </c>
      <c r="F249" s="20" t="s">
        <v>366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43047.952499999999</v>
      </c>
      <c r="B250" t="s">
        <v>520</v>
      </c>
      <c r="C250" t="s">
        <v>563</v>
      </c>
      <c r="D250" s="138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4051</v>
      </c>
    </row>
    <row r="251" spans="1:8" x14ac:dyDescent="0.25">
      <c r="A251" s="8">
        <v>43047.962326388886</v>
      </c>
      <c r="B251" t="s">
        <v>514</v>
      </c>
      <c r="C251" t="s">
        <v>564</v>
      </c>
      <c r="D251" s="138">
        <v>2000000</v>
      </c>
      <c r="E251" t="s">
        <v>398</v>
      </c>
      <c r="F251" s="20" t="s">
        <v>399</v>
      </c>
      <c r="G251" s="8" t="str">
        <f t="shared" si="6"/>
        <v>STAMBAUGH JAMES</v>
      </c>
      <c r="H251" s="20" t="str">
        <f t="shared" si="7"/>
        <v>4024</v>
      </c>
    </row>
    <row r="252" spans="1:8" x14ac:dyDescent="0.25">
      <c r="A252" s="8">
        <v>43047.972604166665</v>
      </c>
      <c r="B252" t="s">
        <v>474</v>
      </c>
      <c r="C252" t="s">
        <v>565</v>
      </c>
      <c r="D252" s="138">
        <v>2540000</v>
      </c>
      <c r="E252" t="s">
        <v>566</v>
      </c>
      <c r="F252" s="20" t="s">
        <v>567</v>
      </c>
      <c r="G252" s="8" t="str">
        <f t="shared" si="6"/>
        <v>MCREYNOLDS KYLE</v>
      </c>
      <c r="H252" s="20" t="str">
        <f t="shared" si="7"/>
        <v>4050</v>
      </c>
    </row>
    <row r="253" spans="1:8" x14ac:dyDescent="0.25">
      <c r="A253" s="8">
        <v>43047.974976851852</v>
      </c>
      <c r="B253" t="s">
        <v>394</v>
      </c>
      <c r="C253" t="s">
        <v>568</v>
      </c>
      <c r="D253" s="138">
        <v>3700000</v>
      </c>
      <c r="E253" t="s">
        <v>475</v>
      </c>
      <c r="F253" s="20" t="s">
        <v>372</v>
      </c>
      <c r="G253" s="8" t="str">
        <f t="shared" si="6"/>
        <v>AUSTIN THOMPSON</v>
      </c>
      <c r="H253" s="20" t="str">
        <f t="shared" si="7"/>
        <v>4059</v>
      </c>
    </row>
    <row r="254" spans="1:8" x14ac:dyDescent="0.25">
      <c r="A254" s="8">
        <v>43047.975590277776</v>
      </c>
      <c r="B254" t="s">
        <v>516</v>
      </c>
      <c r="C254" t="s">
        <v>569</v>
      </c>
      <c r="D254" s="138">
        <v>2000000</v>
      </c>
      <c r="E254" t="s">
        <v>398</v>
      </c>
      <c r="F254" s="20" t="s">
        <v>399</v>
      </c>
      <c r="G254" s="8" t="str">
        <f t="shared" si="6"/>
        <v>STAMBAUGH JAMES</v>
      </c>
      <c r="H254" s="20" t="str">
        <f t="shared" si="7"/>
        <v>4023</v>
      </c>
    </row>
    <row r="255" spans="1:8" x14ac:dyDescent="0.25">
      <c r="A255" s="8">
        <v>43047.989583333336</v>
      </c>
      <c r="B255" t="s">
        <v>513</v>
      </c>
      <c r="C255" t="s">
        <v>570</v>
      </c>
      <c r="D255" s="138">
        <v>890000</v>
      </c>
      <c r="E255" t="s">
        <v>345</v>
      </c>
      <c r="F255" s="20" t="s">
        <v>346</v>
      </c>
      <c r="G255" s="8" t="str">
        <f t="shared" si="6"/>
        <v>LOZA FIDEL</v>
      </c>
      <c r="H255" s="20" t="str">
        <f t="shared" si="7"/>
        <v>4052</v>
      </c>
    </row>
    <row r="256" spans="1:8" x14ac:dyDescent="0.25">
      <c r="A256" s="8">
        <v>43047.994467592594</v>
      </c>
      <c r="B256" t="s">
        <v>460</v>
      </c>
      <c r="C256" t="s">
        <v>571</v>
      </c>
      <c r="D256" s="138">
        <v>3320000</v>
      </c>
      <c r="E256" t="s">
        <v>365</v>
      </c>
      <c r="F256" s="20" t="s">
        <v>366</v>
      </c>
      <c r="G256" s="8" t="str">
        <f t="shared" si="6"/>
        <v>NICHOLSON WESLEY</v>
      </c>
      <c r="H256" s="20" t="str">
        <f t="shared" si="7"/>
        <v>4009</v>
      </c>
    </row>
    <row r="257" spans="1:8" x14ac:dyDescent="0.25">
      <c r="A257" s="8">
        <v>43048.013437499998</v>
      </c>
      <c r="B257" t="s">
        <v>473</v>
      </c>
      <c r="C257" t="s">
        <v>572</v>
      </c>
      <c r="D257" s="138">
        <v>2540000</v>
      </c>
      <c r="E257" t="s">
        <v>566</v>
      </c>
      <c r="F257" s="20" t="s">
        <v>567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359</v>
      </c>
      <c r="C258" t="s">
        <v>518</v>
      </c>
      <c r="D258" s="138">
        <v>3700000</v>
      </c>
      <c r="E258" t="s">
        <v>475</v>
      </c>
      <c r="F258" s="20" t="s">
        <v>372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461</v>
      </c>
      <c r="C259" t="s">
        <v>573</v>
      </c>
      <c r="D259" s="138">
        <v>3320000</v>
      </c>
      <c r="E259" t="s">
        <v>365</v>
      </c>
      <c r="F259" s="20" t="s">
        <v>366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520</v>
      </c>
      <c r="C260" t="s">
        <v>574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474</v>
      </c>
      <c r="C261" t="s">
        <v>575</v>
      </c>
      <c r="D261" s="138">
        <v>2440000</v>
      </c>
      <c r="E261" t="s">
        <v>537</v>
      </c>
      <c r="F261" s="20" t="s">
        <v>538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394</v>
      </c>
      <c r="C262" t="s">
        <v>576</v>
      </c>
      <c r="D262" s="138">
        <v>3700000</v>
      </c>
      <c r="E262" t="s">
        <v>475</v>
      </c>
      <c r="F262" s="20" t="s">
        <v>372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513</v>
      </c>
      <c r="C263" t="s">
        <v>577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359</v>
      </c>
      <c r="C264" t="s">
        <v>578</v>
      </c>
      <c r="D264" s="138">
        <v>3700000</v>
      </c>
      <c r="E264" t="s">
        <v>475</v>
      </c>
      <c r="F264" s="20" t="s">
        <v>372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390</v>
      </c>
      <c r="C265" t="s">
        <v>402</v>
      </c>
      <c r="D265" s="138">
        <v>3670000</v>
      </c>
      <c r="E265" t="s">
        <v>386</v>
      </c>
      <c r="F265" s="20" t="s">
        <v>370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362</v>
      </c>
      <c r="C266" t="s">
        <v>403</v>
      </c>
      <c r="D266" s="138">
        <v>2000000</v>
      </c>
      <c r="E266" t="s">
        <v>398</v>
      </c>
      <c r="F266" s="20" t="s">
        <v>399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388</v>
      </c>
      <c r="C267" t="s">
        <v>404</v>
      </c>
      <c r="D267" s="138">
        <v>1300000</v>
      </c>
      <c r="E267" t="s">
        <v>360</v>
      </c>
      <c r="F267" s="20" t="s">
        <v>361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394</v>
      </c>
      <c r="C268" t="s">
        <v>405</v>
      </c>
      <c r="D268" s="138">
        <v>2230000</v>
      </c>
      <c r="E268" t="s">
        <v>397</v>
      </c>
      <c r="F268" s="20" t="s">
        <v>354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364</v>
      </c>
      <c r="C269" t="s">
        <v>406</v>
      </c>
      <c r="D269" s="138">
        <v>2000000</v>
      </c>
      <c r="E269" t="s">
        <v>398</v>
      </c>
      <c r="F269" s="20" t="s">
        <v>399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358</v>
      </c>
      <c r="C270" t="s">
        <v>407</v>
      </c>
      <c r="D270" s="138">
        <v>3500000</v>
      </c>
      <c r="E270" t="s">
        <v>379</v>
      </c>
      <c r="F270" s="20" t="s">
        <v>380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374</v>
      </c>
      <c r="C271" t="s">
        <v>408</v>
      </c>
      <c r="D271" s="138">
        <v>3320000</v>
      </c>
      <c r="E271" t="s">
        <v>365</v>
      </c>
      <c r="F271" s="20" t="s">
        <v>366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387</v>
      </c>
      <c r="C272" t="s">
        <v>409</v>
      </c>
      <c r="D272" s="138">
        <v>2610000</v>
      </c>
      <c r="E272" t="s">
        <v>384</v>
      </c>
      <c r="F272" s="20" t="s">
        <v>385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395</v>
      </c>
      <c r="C273" t="s">
        <v>410</v>
      </c>
      <c r="D273" s="138">
        <v>2630000</v>
      </c>
      <c r="E273" t="s">
        <v>375</v>
      </c>
      <c r="F273" s="20" t="s">
        <v>376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396</v>
      </c>
      <c r="C274" t="s">
        <v>411</v>
      </c>
      <c r="D274" s="138">
        <v>3670000</v>
      </c>
      <c r="E274" t="s">
        <v>386</v>
      </c>
      <c r="F274" s="20" t="s">
        <v>370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369</v>
      </c>
      <c r="C275" t="s">
        <v>412</v>
      </c>
      <c r="D275" s="138">
        <v>2040000</v>
      </c>
      <c r="E275" t="s">
        <v>400</v>
      </c>
      <c r="F275" s="20" t="s">
        <v>401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389</v>
      </c>
      <c r="C276" t="s">
        <v>413</v>
      </c>
      <c r="D276" s="138">
        <v>2610000</v>
      </c>
      <c r="E276" t="s">
        <v>384</v>
      </c>
      <c r="F276" s="20" t="s">
        <v>385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359</v>
      </c>
      <c r="C277" t="s">
        <v>414</v>
      </c>
      <c r="D277" s="138">
        <v>2230000</v>
      </c>
      <c r="E277" t="s">
        <v>397</v>
      </c>
      <c r="F277" s="20" t="s">
        <v>354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363</v>
      </c>
      <c r="C278" t="s">
        <v>415</v>
      </c>
      <c r="D278" s="138">
        <v>3500000</v>
      </c>
      <c r="E278" t="s">
        <v>379</v>
      </c>
      <c r="F278" s="20" t="s">
        <v>380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387</v>
      </c>
      <c r="C279" t="s">
        <v>416</v>
      </c>
      <c r="D279" s="138">
        <v>2970000</v>
      </c>
      <c r="E279" t="s">
        <v>377</v>
      </c>
      <c r="F279" s="20" t="s">
        <v>378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373</v>
      </c>
      <c r="C280" t="s">
        <v>417</v>
      </c>
      <c r="D280" s="138">
        <v>3320000</v>
      </c>
      <c r="E280" t="s">
        <v>365</v>
      </c>
      <c r="F280" s="20" t="s">
        <v>366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390</v>
      </c>
      <c r="C281" t="s">
        <v>391</v>
      </c>
      <c r="D281" s="138">
        <v>3670000</v>
      </c>
      <c r="E281" t="s">
        <v>386</v>
      </c>
      <c r="F281" s="20" t="s">
        <v>370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389</v>
      </c>
      <c r="C282" t="s">
        <v>418</v>
      </c>
      <c r="D282" s="138">
        <v>2970000</v>
      </c>
      <c r="E282" t="s">
        <v>377</v>
      </c>
      <c r="F282" s="20" t="s">
        <v>378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368</v>
      </c>
      <c r="C283" t="s">
        <v>419</v>
      </c>
      <c r="D283" s="138">
        <v>2040000</v>
      </c>
      <c r="E283" t="s">
        <v>400</v>
      </c>
      <c r="F283" s="20" t="s">
        <v>401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358</v>
      </c>
      <c r="C284" t="s">
        <v>420</v>
      </c>
      <c r="D284" s="138">
        <v>3500000</v>
      </c>
      <c r="E284" t="s">
        <v>379</v>
      </c>
      <c r="F284" s="20" t="s">
        <v>380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374</v>
      </c>
      <c r="C285" t="s">
        <v>421</v>
      </c>
      <c r="D285" s="138">
        <v>3320000</v>
      </c>
      <c r="E285" t="s">
        <v>365</v>
      </c>
      <c r="F285" s="20" t="s">
        <v>366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387</v>
      </c>
      <c r="C286" t="s">
        <v>422</v>
      </c>
      <c r="D286" s="138">
        <v>2000000</v>
      </c>
      <c r="E286" t="s">
        <v>398</v>
      </c>
      <c r="F286" s="20" t="s">
        <v>399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387</v>
      </c>
      <c r="C287" t="s">
        <v>422</v>
      </c>
      <c r="D287" s="138">
        <v>2000000</v>
      </c>
      <c r="E287" t="s">
        <v>398</v>
      </c>
      <c r="F287" s="20" t="s">
        <v>399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396</v>
      </c>
      <c r="C288" t="s">
        <v>423</v>
      </c>
      <c r="D288" s="138">
        <v>3670000</v>
      </c>
      <c r="E288" t="s">
        <v>386</v>
      </c>
      <c r="F288" s="20" t="s">
        <v>370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369</v>
      </c>
      <c r="C289" t="s">
        <v>424</v>
      </c>
      <c r="D289" s="138">
        <v>2040000</v>
      </c>
      <c r="E289" t="s">
        <v>400</v>
      </c>
      <c r="F289" s="20" t="s">
        <v>401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389</v>
      </c>
      <c r="C290" t="s">
        <v>425</v>
      </c>
      <c r="D290" s="138">
        <v>2000000</v>
      </c>
      <c r="E290" t="s">
        <v>398</v>
      </c>
      <c r="F290" s="20" t="s">
        <v>399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373</v>
      </c>
      <c r="C291" t="s">
        <v>426</v>
      </c>
      <c r="D291" s="138">
        <v>3320000</v>
      </c>
      <c r="E291" t="s">
        <v>365</v>
      </c>
      <c r="F291" s="20" t="s">
        <v>366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363</v>
      </c>
      <c r="C292" t="s">
        <v>427</v>
      </c>
      <c r="D292" s="138">
        <v>3500000</v>
      </c>
      <c r="E292" t="s">
        <v>379</v>
      </c>
      <c r="F292" s="20" t="s">
        <v>380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387</v>
      </c>
      <c r="C293" t="s">
        <v>428</v>
      </c>
      <c r="D293" s="138">
        <v>3220000</v>
      </c>
      <c r="E293" t="s">
        <v>381</v>
      </c>
      <c r="F293" s="20" t="s">
        <v>382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390</v>
      </c>
      <c r="C294" t="s">
        <v>392</v>
      </c>
      <c r="D294" s="138">
        <v>3670000</v>
      </c>
      <c r="E294" t="s">
        <v>386</v>
      </c>
      <c r="F294" s="20" t="s">
        <v>370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368</v>
      </c>
      <c r="C295" t="s">
        <v>429</v>
      </c>
      <c r="D295" s="138">
        <v>2040000</v>
      </c>
      <c r="E295" t="s">
        <v>400</v>
      </c>
      <c r="F295" s="20" t="s">
        <v>401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389</v>
      </c>
      <c r="C296" t="s">
        <v>430</v>
      </c>
      <c r="D296" s="138">
        <v>3220000</v>
      </c>
      <c r="E296" t="s">
        <v>381</v>
      </c>
      <c r="F296" s="20" t="s">
        <v>382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358</v>
      </c>
      <c r="C297" t="s">
        <v>431</v>
      </c>
      <c r="D297" s="138">
        <v>3500000</v>
      </c>
      <c r="E297" t="s">
        <v>379</v>
      </c>
      <c r="F297" s="20" t="s">
        <v>380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374</v>
      </c>
      <c r="C298" t="s">
        <v>432</v>
      </c>
      <c r="D298" s="138">
        <v>3320000</v>
      </c>
      <c r="E298" t="s">
        <v>365</v>
      </c>
      <c r="F298" s="20" t="s">
        <v>366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387</v>
      </c>
      <c r="C299" t="s">
        <v>433</v>
      </c>
      <c r="D299" s="138">
        <v>2000000</v>
      </c>
      <c r="E299" t="s">
        <v>398</v>
      </c>
      <c r="F299" s="20" t="s">
        <v>399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396</v>
      </c>
      <c r="C300" t="s">
        <v>434</v>
      </c>
      <c r="D300" s="138">
        <v>3670000</v>
      </c>
      <c r="E300" t="s">
        <v>386</v>
      </c>
      <c r="F300" s="20" t="s">
        <v>370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369</v>
      </c>
      <c r="C301" t="s">
        <v>435</v>
      </c>
      <c r="D301" s="138">
        <v>2040000</v>
      </c>
      <c r="E301" t="s">
        <v>400</v>
      </c>
      <c r="F301" s="20" t="s">
        <v>401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389</v>
      </c>
      <c r="C302" t="s">
        <v>436</v>
      </c>
      <c r="D302" s="138">
        <v>2000000</v>
      </c>
      <c r="E302" t="s">
        <v>398</v>
      </c>
      <c r="F302" s="20" t="s">
        <v>399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363</v>
      </c>
      <c r="C303" t="s">
        <v>393</v>
      </c>
      <c r="D303" s="138">
        <v>3500000</v>
      </c>
      <c r="E303" t="s">
        <v>379</v>
      </c>
      <c r="F303" s="20" t="s">
        <v>380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373</v>
      </c>
      <c r="C304" t="s">
        <v>437</v>
      </c>
      <c r="D304" s="138">
        <v>3320000</v>
      </c>
      <c r="E304" t="s">
        <v>365</v>
      </c>
      <c r="F304" s="20" t="s">
        <v>366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390</v>
      </c>
      <c r="C305" t="s">
        <v>438</v>
      </c>
      <c r="D305" s="138">
        <v>3670000</v>
      </c>
      <c r="E305" t="s">
        <v>386</v>
      </c>
      <c r="F305" s="20" t="s">
        <v>370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368</v>
      </c>
      <c r="C306" t="s">
        <v>439</v>
      </c>
      <c r="D306" s="138">
        <v>2040000</v>
      </c>
      <c r="E306" t="s">
        <v>400</v>
      </c>
      <c r="F306" s="20" t="s">
        <v>401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358</v>
      </c>
      <c r="C307" t="s">
        <v>440</v>
      </c>
      <c r="D307" s="138">
        <v>3500000</v>
      </c>
      <c r="E307" t="s">
        <v>379</v>
      </c>
      <c r="F307" s="20" t="s">
        <v>380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374</v>
      </c>
      <c r="C308" t="s">
        <v>441</v>
      </c>
      <c r="D308" s="138">
        <v>3320000</v>
      </c>
      <c r="E308" t="s">
        <v>365</v>
      </c>
      <c r="F308" s="20" t="s">
        <v>366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396</v>
      </c>
      <c r="C309" t="s">
        <v>442</v>
      </c>
      <c r="D309" s="138">
        <v>3670000</v>
      </c>
      <c r="E309" t="s">
        <v>386</v>
      </c>
      <c r="F309" s="20" t="s">
        <v>370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369</v>
      </c>
      <c r="C310" t="s">
        <v>443</v>
      </c>
      <c r="D310" s="138">
        <v>2040000</v>
      </c>
      <c r="E310" t="s">
        <v>400</v>
      </c>
      <c r="F310" s="20" t="s">
        <v>401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373</v>
      </c>
      <c r="C311" t="s">
        <v>444</v>
      </c>
      <c r="D311" s="138">
        <v>3320000</v>
      </c>
      <c r="E311" t="s">
        <v>365</v>
      </c>
      <c r="F311" s="20" t="s">
        <v>366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368</v>
      </c>
      <c r="C312" t="s">
        <v>445</v>
      </c>
      <c r="D312" s="138">
        <v>2040000</v>
      </c>
      <c r="E312" t="s">
        <v>400</v>
      </c>
      <c r="F312" s="20" t="s">
        <v>401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353</v>
      </c>
      <c r="C313" t="s">
        <v>367</v>
      </c>
      <c r="D313" s="138">
        <v>1830000</v>
      </c>
      <c r="E313" t="s">
        <v>348</v>
      </c>
      <c r="F313" s="20" t="s">
        <v>349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463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334</v>
      </c>
      <c r="P1" s="218" t="s">
        <v>154</v>
      </c>
      <c r="Q1" s="218" t="s">
        <v>161</v>
      </c>
      <c r="R1" s="218" t="s">
        <v>335</v>
      </c>
      <c r="S1" s="218" t="s">
        <v>158</v>
      </c>
      <c r="T1"/>
    </row>
    <row r="2" spans="1:20" x14ac:dyDescent="0.25">
      <c r="A2" s="196">
        <v>35.72</v>
      </c>
      <c r="B2" s="196">
        <v>0.05</v>
      </c>
      <c r="C2" s="196">
        <v>23.76</v>
      </c>
      <c r="D2" s="8">
        <v>43051</v>
      </c>
      <c r="E2" s="196">
        <v>0.61</v>
      </c>
      <c r="F2" s="196" t="s">
        <v>582</v>
      </c>
      <c r="G2" s="196">
        <v>253.73</v>
      </c>
      <c r="H2" s="196">
        <v>0</v>
      </c>
      <c r="I2" s="196">
        <v>0</v>
      </c>
      <c r="J2" s="196"/>
      <c r="K2" s="196">
        <v>1025.1199999999999</v>
      </c>
      <c r="L2" s="196" t="s">
        <v>581</v>
      </c>
      <c r="M2" s="196">
        <v>35.72</v>
      </c>
      <c r="N2" s="196">
        <v>1510470000</v>
      </c>
      <c r="O2" s="196">
        <v>0</v>
      </c>
      <c r="P2" s="196">
        <v>3.37</v>
      </c>
      <c r="Q2" s="196">
        <v>129</v>
      </c>
      <c r="R2" s="196">
        <v>2.73</v>
      </c>
      <c r="S2" s="196">
        <v>1.06</v>
      </c>
      <c r="T2"/>
    </row>
    <row r="3" spans="1:20" x14ac:dyDescent="0.25">
      <c r="A3" s="196">
        <v>33.72</v>
      </c>
      <c r="B3" s="196">
        <v>0.01</v>
      </c>
      <c r="C3" s="196">
        <v>23.36</v>
      </c>
      <c r="D3" s="8">
        <v>43051.041666666664</v>
      </c>
      <c r="E3" s="196">
        <v>0.65</v>
      </c>
      <c r="F3" s="196" t="s">
        <v>582</v>
      </c>
      <c r="G3" s="196">
        <v>253.19</v>
      </c>
      <c r="H3" s="196">
        <v>0</v>
      </c>
      <c r="I3" s="196">
        <v>0</v>
      </c>
      <c r="J3" s="196"/>
      <c r="K3" s="196">
        <v>1026.1099999999999</v>
      </c>
      <c r="L3" s="196" t="s">
        <v>581</v>
      </c>
      <c r="M3" s="196">
        <v>33.72</v>
      </c>
      <c r="N3" s="196">
        <v>1510473600</v>
      </c>
      <c r="O3" s="196">
        <v>0</v>
      </c>
      <c r="P3" s="196">
        <v>3.43</v>
      </c>
      <c r="Q3" s="196">
        <v>140</v>
      </c>
      <c r="R3" s="196">
        <v>2.0499999999999998</v>
      </c>
      <c r="S3" s="196">
        <v>0.71</v>
      </c>
      <c r="T3"/>
    </row>
    <row r="4" spans="1:20" x14ac:dyDescent="0.25">
      <c r="A4" s="196">
        <v>31.66</v>
      </c>
      <c r="B4" s="196">
        <v>0.01</v>
      </c>
      <c r="C4" s="196">
        <v>22.66</v>
      </c>
      <c r="D4" s="8">
        <v>43051.083333333336</v>
      </c>
      <c r="E4" s="196">
        <v>0.69</v>
      </c>
      <c r="F4" s="196" t="s">
        <v>582</v>
      </c>
      <c r="G4" s="196">
        <v>252.79</v>
      </c>
      <c r="H4" s="196">
        <v>0</v>
      </c>
      <c r="I4" s="196">
        <v>0</v>
      </c>
      <c r="J4" s="196"/>
      <c r="K4" s="196">
        <v>1026.53</v>
      </c>
      <c r="L4" s="196" t="s">
        <v>581</v>
      </c>
      <c r="M4" s="196">
        <v>31.66</v>
      </c>
      <c r="N4" s="196">
        <v>1510477200</v>
      </c>
      <c r="O4" s="196">
        <v>0</v>
      </c>
      <c r="P4" s="196">
        <v>3.64</v>
      </c>
      <c r="Q4" s="196">
        <v>150</v>
      </c>
      <c r="R4" s="196">
        <v>1.61</v>
      </c>
      <c r="S4" s="196">
        <v>0.53</v>
      </c>
      <c r="T4"/>
    </row>
    <row r="5" spans="1:20" x14ac:dyDescent="0.25">
      <c r="A5" s="196">
        <v>29.89</v>
      </c>
      <c r="B5" s="196">
        <v>0</v>
      </c>
      <c r="C5" s="196">
        <v>22.43</v>
      </c>
      <c r="D5" s="8">
        <v>43051.125</v>
      </c>
      <c r="E5" s="196">
        <v>0.73</v>
      </c>
      <c r="F5" s="196" t="s">
        <v>582</v>
      </c>
      <c r="G5" s="196">
        <v>252.79</v>
      </c>
      <c r="H5" s="196">
        <v>0</v>
      </c>
      <c r="I5" s="196">
        <v>0</v>
      </c>
      <c r="J5" s="196"/>
      <c r="K5" s="196">
        <v>1026.69</v>
      </c>
      <c r="L5" s="196" t="s">
        <v>581</v>
      </c>
      <c r="M5" s="196">
        <v>29.89</v>
      </c>
      <c r="N5" s="196">
        <v>1510480800</v>
      </c>
      <c r="O5" s="196">
        <v>0</v>
      </c>
      <c r="P5" s="196">
        <v>3.23</v>
      </c>
      <c r="Q5" s="196">
        <v>151</v>
      </c>
      <c r="R5" s="196">
        <v>1.84</v>
      </c>
      <c r="S5" s="196">
        <v>0.54</v>
      </c>
      <c r="T5"/>
    </row>
    <row r="6" spans="1:20" x14ac:dyDescent="0.25">
      <c r="A6" s="196">
        <v>29.4</v>
      </c>
      <c r="B6" s="196">
        <v>0</v>
      </c>
      <c r="C6" s="196">
        <v>22.13</v>
      </c>
      <c r="D6" s="8">
        <v>43051.166666666664</v>
      </c>
      <c r="E6" s="196">
        <v>0.74</v>
      </c>
      <c r="F6" s="196" t="s">
        <v>582</v>
      </c>
      <c r="G6" s="196">
        <v>253.05</v>
      </c>
      <c r="H6" s="196">
        <v>0</v>
      </c>
      <c r="I6" s="196">
        <v>0</v>
      </c>
      <c r="J6" s="196"/>
      <c r="K6" s="196">
        <v>1026.94</v>
      </c>
      <c r="L6" s="196" t="s">
        <v>581</v>
      </c>
      <c r="M6" s="196">
        <v>29.4</v>
      </c>
      <c r="N6" s="196">
        <v>1510484400</v>
      </c>
      <c r="O6" s="196">
        <v>0</v>
      </c>
      <c r="P6" s="196">
        <v>3.49</v>
      </c>
      <c r="Q6" s="196">
        <v>168</v>
      </c>
      <c r="R6" s="196">
        <v>2.21</v>
      </c>
      <c r="S6" s="196">
        <v>0.86</v>
      </c>
      <c r="T6"/>
    </row>
    <row r="7" spans="1:20" x14ac:dyDescent="0.25">
      <c r="A7" s="196">
        <v>28.77</v>
      </c>
      <c r="B7" s="196">
        <v>0</v>
      </c>
      <c r="C7" s="196">
        <v>22.06</v>
      </c>
      <c r="D7" s="8">
        <v>43051.208333333336</v>
      </c>
      <c r="E7" s="196">
        <v>0.76</v>
      </c>
      <c r="F7" s="196" t="s">
        <v>582</v>
      </c>
      <c r="G7" s="196">
        <v>252.13</v>
      </c>
      <c r="H7" s="196">
        <v>0</v>
      </c>
      <c r="I7" s="196">
        <v>0</v>
      </c>
      <c r="J7" s="196"/>
      <c r="K7" s="196">
        <v>1028.46</v>
      </c>
      <c r="L7" s="196" t="s">
        <v>581</v>
      </c>
      <c r="M7" s="196">
        <v>28.77</v>
      </c>
      <c r="N7" s="196">
        <v>1510488000</v>
      </c>
      <c r="O7" s="196">
        <v>0</v>
      </c>
      <c r="P7" s="196">
        <v>2.34</v>
      </c>
      <c r="Q7" s="196">
        <v>168</v>
      </c>
      <c r="R7" s="196">
        <v>2.13</v>
      </c>
      <c r="S7" s="196">
        <v>0.65</v>
      </c>
      <c r="T7"/>
    </row>
    <row r="8" spans="1:20" x14ac:dyDescent="0.25">
      <c r="A8" s="196">
        <v>27.99</v>
      </c>
      <c r="B8" s="196">
        <v>0.02</v>
      </c>
      <c r="C8" s="196">
        <v>21.81</v>
      </c>
      <c r="D8" s="8">
        <v>43051.25</v>
      </c>
      <c r="E8" s="196">
        <v>0.77</v>
      </c>
      <c r="F8" s="196" t="s">
        <v>582</v>
      </c>
      <c r="G8" s="196">
        <v>251.99</v>
      </c>
      <c r="H8" s="196">
        <v>0</v>
      </c>
      <c r="I8" s="196">
        <v>0</v>
      </c>
      <c r="J8" s="196"/>
      <c r="K8" s="196">
        <v>1029.1300000000001</v>
      </c>
      <c r="L8" s="196" t="s">
        <v>581</v>
      </c>
      <c r="M8" s="196">
        <v>27.99</v>
      </c>
      <c r="N8" s="196">
        <v>1510491600</v>
      </c>
      <c r="O8" s="196">
        <v>0</v>
      </c>
      <c r="P8" s="196">
        <v>3.78</v>
      </c>
      <c r="Q8" s="196">
        <v>193</v>
      </c>
      <c r="R8" s="196">
        <v>1.97</v>
      </c>
      <c r="S8" s="196">
        <v>0.59</v>
      </c>
      <c r="T8"/>
    </row>
    <row r="9" spans="1:20" x14ac:dyDescent="0.25">
      <c r="A9" s="196">
        <v>27.04</v>
      </c>
      <c r="B9" s="196">
        <v>0.03</v>
      </c>
      <c r="C9" s="196">
        <v>21.48</v>
      </c>
      <c r="D9" s="8">
        <v>43051.291666666664</v>
      </c>
      <c r="E9" s="196">
        <v>0.79</v>
      </c>
      <c r="F9" s="196" t="s">
        <v>580</v>
      </c>
      <c r="G9" s="196">
        <v>251.99</v>
      </c>
      <c r="H9" s="196">
        <v>0</v>
      </c>
      <c r="I9" s="196">
        <v>0</v>
      </c>
      <c r="J9" s="196"/>
      <c r="K9" s="196">
        <v>1029.49</v>
      </c>
      <c r="L9" s="196" t="s">
        <v>581</v>
      </c>
      <c r="M9" s="196">
        <v>27.04</v>
      </c>
      <c r="N9" s="196">
        <v>1510495200</v>
      </c>
      <c r="O9" s="196">
        <v>0</v>
      </c>
      <c r="P9" s="196">
        <v>3.98</v>
      </c>
      <c r="Q9" s="196">
        <v>152</v>
      </c>
      <c r="R9" s="196">
        <v>1.91</v>
      </c>
      <c r="S9" s="196">
        <v>0.65</v>
      </c>
      <c r="T9"/>
    </row>
    <row r="10" spans="1:20" x14ac:dyDescent="0.25">
      <c r="A10" s="196">
        <v>32.01</v>
      </c>
      <c r="B10" s="196">
        <v>0.06</v>
      </c>
      <c r="C10" s="196">
        <v>23.98</v>
      </c>
      <c r="D10" s="8">
        <v>43051.333333333336</v>
      </c>
      <c r="E10" s="196">
        <v>0.72</v>
      </c>
      <c r="F10" s="196" t="s">
        <v>580</v>
      </c>
      <c r="G10" s="196">
        <v>251.85</v>
      </c>
      <c r="H10" s="196">
        <v>0</v>
      </c>
      <c r="I10" s="196">
        <v>0</v>
      </c>
      <c r="J10" s="196"/>
      <c r="K10" s="196">
        <v>1029.02</v>
      </c>
      <c r="L10" s="196" t="s">
        <v>581</v>
      </c>
      <c r="M10" s="196">
        <v>32.01</v>
      </c>
      <c r="N10" s="196">
        <v>1510498800</v>
      </c>
      <c r="O10" s="196">
        <v>1</v>
      </c>
      <c r="P10" s="196">
        <v>4.1500000000000004</v>
      </c>
      <c r="Q10" s="196">
        <v>176</v>
      </c>
      <c r="R10" s="196">
        <v>2.59</v>
      </c>
      <c r="S10" s="196">
        <v>0.7</v>
      </c>
      <c r="T10"/>
    </row>
    <row r="11" spans="1:20" x14ac:dyDescent="0.25">
      <c r="A11" s="196">
        <v>38.340000000000003</v>
      </c>
      <c r="B11" s="196">
        <v>0.04</v>
      </c>
      <c r="C11" s="196">
        <v>25.73</v>
      </c>
      <c r="D11" s="8">
        <v>43051.375</v>
      </c>
      <c r="E11" s="196">
        <v>0.6</v>
      </c>
      <c r="F11" s="196" t="s">
        <v>580</v>
      </c>
      <c r="G11" s="196">
        <v>251.32</v>
      </c>
      <c r="H11" s="196">
        <v>0</v>
      </c>
      <c r="I11" s="196">
        <v>0</v>
      </c>
      <c r="J11" s="196"/>
      <c r="K11" s="196">
        <v>1027.82</v>
      </c>
      <c r="L11" s="196" t="s">
        <v>581</v>
      </c>
      <c r="M11" s="196">
        <v>38.340000000000003</v>
      </c>
      <c r="N11" s="196">
        <v>1510502400</v>
      </c>
      <c r="O11" s="196">
        <v>1</v>
      </c>
      <c r="P11" s="196">
        <v>4.13</v>
      </c>
      <c r="Q11" s="196">
        <v>162</v>
      </c>
      <c r="R11" s="196">
        <v>4.0999999999999996</v>
      </c>
      <c r="S11" s="196">
        <v>1.1499999999999999</v>
      </c>
      <c r="T11"/>
    </row>
    <row r="12" spans="1:20" x14ac:dyDescent="0.25">
      <c r="A12" s="196">
        <v>43.36</v>
      </c>
      <c r="B12" s="196">
        <v>0.08</v>
      </c>
      <c r="C12" s="196">
        <v>26.19</v>
      </c>
      <c r="D12" s="8">
        <v>43051.416666666664</v>
      </c>
      <c r="E12" s="196">
        <v>0.5</v>
      </c>
      <c r="F12" s="196" t="s">
        <v>580</v>
      </c>
      <c r="G12" s="196">
        <v>250.78</v>
      </c>
      <c r="H12" s="196">
        <v>0</v>
      </c>
      <c r="I12" s="196">
        <v>0</v>
      </c>
      <c r="J12" s="196"/>
      <c r="K12" s="196">
        <v>1025.77</v>
      </c>
      <c r="L12" s="196" t="s">
        <v>581</v>
      </c>
      <c r="M12" s="196">
        <v>43.36</v>
      </c>
      <c r="N12" s="196">
        <v>1510506000</v>
      </c>
      <c r="O12" s="196">
        <v>2</v>
      </c>
      <c r="P12" s="196">
        <v>4.09</v>
      </c>
      <c r="Q12" s="196">
        <v>196</v>
      </c>
      <c r="R12" s="196">
        <v>4.2699999999999996</v>
      </c>
      <c r="S12" s="196">
        <v>0.76</v>
      </c>
      <c r="T12"/>
    </row>
    <row r="13" spans="1:20" x14ac:dyDescent="0.25">
      <c r="A13" s="196">
        <v>47.76</v>
      </c>
      <c r="B13" s="196">
        <v>0.06</v>
      </c>
      <c r="C13" s="196">
        <v>26.23</v>
      </c>
      <c r="D13" s="8">
        <v>43051.458333333336</v>
      </c>
      <c r="E13" s="196">
        <v>0.43</v>
      </c>
      <c r="F13" s="196" t="s">
        <v>580</v>
      </c>
      <c r="G13" s="196">
        <v>250.92</v>
      </c>
      <c r="H13" s="196">
        <v>0</v>
      </c>
      <c r="I13" s="196">
        <v>0</v>
      </c>
      <c r="J13" s="196"/>
      <c r="K13" s="196">
        <v>1024.25</v>
      </c>
      <c r="L13" s="196" t="s">
        <v>581</v>
      </c>
      <c r="M13" s="196">
        <v>47.76</v>
      </c>
      <c r="N13" s="196">
        <v>1510509600</v>
      </c>
      <c r="O13" s="196">
        <v>3</v>
      </c>
      <c r="P13" s="196">
        <v>4.1399999999999997</v>
      </c>
      <c r="Q13" s="196">
        <v>221</v>
      </c>
      <c r="R13" s="196">
        <v>5.33</v>
      </c>
      <c r="S13" s="196">
        <v>0.77</v>
      </c>
      <c r="T13"/>
    </row>
    <row r="14" spans="1:20" x14ac:dyDescent="0.25">
      <c r="A14" s="196">
        <v>51.24</v>
      </c>
      <c r="B14" s="196">
        <v>0.11</v>
      </c>
      <c r="C14" s="196">
        <v>26.4</v>
      </c>
      <c r="D14" s="8">
        <v>43051.5</v>
      </c>
      <c r="E14" s="196">
        <v>0.38</v>
      </c>
      <c r="F14" s="196" t="s">
        <v>580</v>
      </c>
      <c r="G14" s="196">
        <v>249.72</v>
      </c>
      <c r="H14" s="196">
        <v>1E-4</v>
      </c>
      <c r="I14" s="196">
        <v>0.01</v>
      </c>
      <c r="J14" s="196" t="s">
        <v>464</v>
      </c>
      <c r="K14" s="196">
        <v>1023.11</v>
      </c>
      <c r="L14" s="196" t="s">
        <v>581</v>
      </c>
      <c r="M14" s="196">
        <v>51.24</v>
      </c>
      <c r="N14" s="196">
        <v>1510513200</v>
      </c>
      <c r="O14" s="196">
        <v>3</v>
      </c>
      <c r="P14" s="196">
        <v>4.1399999999999997</v>
      </c>
      <c r="Q14" s="196">
        <v>284</v>
      </c>
      <c r="R14" s="196">
        <v>5.63</v>
      </c>
      <c r="S14" s="196">
        <v>0.51</v>
      </c>
      <c r="T14"/>
    </row>
    <row r="15" spans="1:20" x14ac:dyDescent="0.25">
      <c r="A15" s="196">
        <v>53.98</v>
      </c>
      <c r="B15" s="196">
        <v>0.11</v>
      </c>
      <c r="C15" s="196">
        <v>26.54</v>
      </c>
      <c r="D15" s="8">
        <v>43051.541666666664</v>
      </c>
      <c r="E15" s="196">
        <v>0.34</v>
      </c>
      <c r="F15" s="196" t="s">
        <v>580</v>
      </c>
      <c r="G15" s="196">
        <v>248.24</v>
      </c>
      <c r="H15" s="196">
        <v>0</v>
      </c>
      <c r="I15" s="196">
        <v>0</v>
      </c>
      <c r="J15" s="196"/>
      <c r="K15" s="196">
        <v>1022.22</v>
      </c>
      <c r="L15" s="196" t="s">
        <v>581</v>
      </c>
      <c r="M15" s="196">
        <v>53.98</v>
      </c>
      <c r="N15" s="196">
        <v>1510516800</v>
      </c>
      <c r="O15" s="196">
        <v>3</v>
      </c>
      <c r="P15" s="196">
        <v>4.3099999999999996</v>
      </c>
      <c r="Q15" s="196">
        <v>346</v>
      </c>
      <c r="R15" s="196">
        <v>6.08</v>
      </c>
      <c r="S15" s="196">
        <v>0.45</v>
      </c>
      <c r="T15"/>
    </row>
    <row r="16" spans="1:20" x14ac:dyDescent="0.25">
      <c r="A16" s="196">
        <v>56.24</v>
      </c>
      <c r="B16" s="196">
        <v>0.09</v>
      </c>
      <c r="C16" s="196">
        <v>26.45</v>
      </c>
      <c r="D16" s="8">
        <v>43051.583333333336</v>
      </c>
      <c r="E16" s="196">
        <v>0.32</v>
      </c>
      <c r="F16" s="196" t="s">
        <v>580</v>
      </c>
      <c r="G16" s="196">
        <v>246.75</v>
      </c>
      <c r="H16" s="196">
        <v>0</v>
      </c>
      <c r="I16" s="196">
        <v>0</v>
      </c>
      <c r="J16" s="196"/>
      <c r="K16" s="196">
        <v>1021.44</v>
      </c>
      <c r="L16" s="196" t="s">
        <v>581</v>
      </c>
      <c r="M16" s="196">
        <v>56.24</v>
      </c>
      <c r="N16" s="196">
        <v>1510520400</v>
      </c>
      <c r="O16" s="196">
        <v>2</v>
      </c>
      <c r="P16" s="196">
        <v>4.3099999999999996</v>
      </c>
      <c r="Q16" s="196">
        <v>351</v>
      </c>
      <c r="R16" s="196">
        <v>6.17</v>
      </c>
      <c r="S16" s="196">
        <v>0.66</v>
      </c>
      <c r="T16"/>
    </row>
    <row r="17" spans="1:20" x14ac:dyDescent="0.25">
      <c r="A17" s="196">
        <v>56.34</v>
      </c>
      <c r="B17" s="196">
        <v>0.14000000000000001</v>
      </c>
      <c r="C17" s="196">
        <v>26.05</v>
      </c>
      <c r="D17" s="8">
        <v>43051.625</v>
      </c>
      <c r="E17" s="196">
        <v>0.31</v>
      </c>
      <c r="F17" s="196" t="s">
        <v>580</v>
      </c>
      <c r="G17" s="196">
        <v>245.25</v>
      </c>
      <c r="H17" s="196">
        <v>0</v>
      </c>
      <c r="I17" s="196">
        <v>0</v>
      </c>
      <c r="J17" s="196"/>
      <c r="K17" s="196">
        <v>1021.22</v>
      </c>
      <c r="L17" s="196" t="s">
        <v>581</v>
      </c>
      <c r="M17" s="196">
        <v>56.34</v>
      </c>
      <c r="N17" s="196">
        <v>1510524000</v>
      </c>
      <c r="O17" s="196">
        <v>1</v>
      </c>
      <c r="P17" s="196">
        <v>4.3099999999999996</v>
      </c>
      <c r="Q17" s="196">
        <v>33</v>
      </c>
      <c r="R17" s="196">
        <v>6.58</v>
      </c>
      <c r="S17" s="196">
        <v>0.68</v>
      </c>
      <c r="T17"/>
    </row>
    <row r="18" spans="1:20" x14ac:dyDescent="0.25">
      <c r="A18" s="196">
        <v>54.88</v>
      </c>
      <c r="B18" s="196">
        <v>0.05</v>
      </c>
      <c r="C18" s="196">
        <v>26.23</v>
      </c>
      <c r="D18" s="8">
        <v>43051.666666666664</v>
      </c>
      <c r="E18" s="196">
        <v>0.33</v>
      </c>
      <c r="F18" s="196" t="s">
        <v>580</v>
      </c>
      <c r="G18" s="196">
        <v>243.87</v>
      </c>
      <c r="H18" s="196">
        <v>0</v>
      </c>
      <c r="I18" s="196">
        <v>0</v>
      </c>
      <c r="J18" s="196"/>
      <c r="K18" s="196">
        <v>1021.43</v>
      </c>
      <c r="L18" s="196" t="s">
        <v>581</v>
      </c>
      <c r="M18" s="196">
        <v>54.88</v>
      </c>
      <c r="N18" s="196">
        <v>1510527600</v>
      </c>
      <c r="O18" s="196">
        <v>1</v>
      </c>
      <c r="P18" s="196">
        <v>3.42</v>
      </c>
      <c r="Q18" s="196">
        <v>348</v>
      </c>
      <c r="R18" s="196">
        <v>5.04</v>
      </c>
      <c r="S18" s="196">
        <v>0.76</v>
      </c>
      <c r="T18"/>
    </row>
    <row r="19" spans="1:20" x14ac:dyDescent="0.25">
      <c r="A19" s="196">
        <v>50.08</v>
      </c>
      <c r="B19" s="196">
        <v>0.04</v>
      </c>
      <c r="C19" s="196">
        <v>26.98</v>
      </c>
      <c r="D19" s="8">
        <v>43051.708333333336</v>
      </c>
      <c r="E19" s="196">
        <v>0.4</v>
      </c>
      <c r="F19" s="196" t="s">
        <v>582</v>
      </c>
      <c r="G19" s="196">
        <v>239.71</v>
      </c>
      <c r="H19" s="196">
        <v>0</v>
      </c>
      <c r="I19" s="196">
        <v>0</v>
      </c>
      <c r="J19" s="196"/>
      <c r="K19" s="196">
        <v>1022.61</v>
      </c>
      <c r="L19" s="196" t="s">
        <v>581</v>
      </c>
      <c r="M19" s="196">
        <v>50.08</v>
      </c>
      <c r="N19" s="196">
        <v>1510531200</v>
      </c>
      <c r="O19" s="196">
        <v>0</v>
      </c>
      <c r="P19" s="196">
        <v>3.42</v>
      </c>
      <c r="Q19" s="196">
        <v>327</v>
      </c>
      <c r="R19" s="196">
        <v>3.99</v>
      </c>
      <c r="S19" s="196">
        <v>0.44</v>
      </c>
      <c r="T19"/>
    </row>
    <row r="20" spans="1:20" x14ac:dyDescent="0.25">
      <c r="A20" s="196">
        <v>45.71</v>
      </c>
      <c r="B20" s="196">
        <v>0.14000000000000001</v>
      </c>
      <c r="C20" s="196">
        <v>27.34</v>
      </c>
      <c r="D20" s="8">
        <v>43051.75</v>
      </c>
      <c r="E20" s="196">
        <v>0.48</v>
      </c>
      <c r="F20" s="196" t="s">
        <v>582</v>
      </c>
      <c r="G20" s="196">
        <v>239.29</v>
      </c>
      <c r="H20" s="196">
        <v>0</v>
      </c>
      <c r="I20" s="196">
        <v>0</v>
      </c>
      <c r="J20" s="196"/>
      <c r="K20" s="196">
        <v>1023.22</v>
      </c>
      <c r="L20" s="196" t="s">
        <v>581</v>
      </c>
      <c r="M20" s="196">
        <v>45.71</v>
      </c>
      <c r="N20" s="196">
        <v>1510534800</v>
      </c>
      <c r="O20" s="196">
        <v>0</v>
      </c>
      <c r="P20" s="196">
        <v>3.42</v>
      </c>
      <c r="Q20" s="196">
        <v>225</v>
      </c>
      <c r="R20" s="196">
        <v>2.88</v>
      </c>
      <c r="S20" s="196">
        <v>0.27</v>
      </c>
      <c r="T20"/>
    </row>
    <row r="21" spans="1:20" x14ac:dyDescent="0.25">
      <c r="A21" s="196">
        <v>42.74</v>
      </c>
      <c r="B21" s="196">
        <v>0.15</v>
      </c>
      <c r="C21" s="196">
        <v>27.42</v>
      </c>
      <c r="D21" s="8">
        <v>43051.791666666664</v>
      </c>
      <c r="E21" s="196">
        <v>0.54</v>
      </c>
      <c r="F21" s="196" t="s">
        <v>582</v>
      </c>
      <c r="G21" s="196">
        <v>239.71</v>
      </c>
      <c r="H21" s="196">
        <v>0</v>
      </c>
      <c r="I21" s="196">
        <v>0</v>
      </c>
      <c r="J21" s="196"/>
      <c r="K21" s="196">
        <v>1023.6</v>
      </c>
      <c r="L21" s="196" t="s">
        <v>581</v>
      </c>
      <c r="M21" s="196">
        <v>42.74</v>
      </c>
      <c r="N21" s="196">
        <v>1510538400</v>
      </c>
      <c r="O21" s="196">
        <v>0</v>
      </c>
      <c r="P21" s="196">
        <v>3.42</v>
      </c>
      <c r="Q21" s="196">
        <v>200</v>
      </c>
      <c r="R21" s="196">
        <v>2.62</v>
      </c>
      <c r="S21" s="196">
        <v>0.49</v>
      </c>
      <c r="T21"/>
    </row>
    <row r="22" spans="1:20" x14ac:dyDescent="0.25">
      <c r="A22" s="196">
        <v>40.35</v>
      </c>
      <c r="B22" s="196">
        <v>0.17</v>
      </c>
      <c r="C22" s="196">
        <v>27.38</v>
      </c>
      <c r="D22" s="8">
        <v>43051.833333333336</v>
      </c>
      <c r="E22" s="196">
        <v>0.6</v>
      </c>
      <c r="F22" s="196" t="s">
        <v>582</v>
      </c>
      <c r="G22" s="196">
        <v>239.99</v>
      </c>
      <c r="H22" s="196">
        <v>0</v>
      </c>
      <c r="I22" s="196">
        <v>0</v>
      </c>
      <c r="J22" s="196"/>
      <c r="K22" s="196">
        <v>1023.44</v>
      </c>
      <c r="L22" s="196" t="s">
        <v>581</v>
      </c>
      <c r="M22" s="196">
        <v>40.35</v>
      </c>
      <c r="N22" s="196">
        <v>1510542000</v>
      </c>
      <c r="O22" s="196">
        <v>0</v>
      </c>
      <c r="P22" s="196">
        <v>2.93</v>
      </c>
      <c r="Q22" s="196">
        <v>178</v>
      </c>
      <c r="R22" s="196">
        <v>2.41</v>
      </c>
      <c r="S22" s="196">
        <v>0.65</v>
      </c>
      <c r="T22"/>
    </row>
    <row r="23" spans="1:20" x14ac:dyDescent="0.25">
      <c r="A23" s="196">
        <v>39.01</v>
      </c>
      <c r="B23" s="196">
        <v>0.15</v>
      </c>
      <c r="C23" s="196">
        <v>27.34</v>
      </c>
      <c r="D23" s="8">
        <v>43051.875</v>
      </c>
      <c r="E23" s="196">
        <v>0.63</v>
      </c>
      <c r="F23" s="196" t="s">
        <v>582</v>
      </c>
      <c r="G23" s="196">
        <v>239.71</v>
      </c>
      <c r="H23" s="196">
        <v>0</v>
      </c>
      <c r="I23" s="196">
        <v>0</v>
      </c>
      <c r="J23" s="196"/>
      <c r="K23" s="196">
        <v>1021.94</v>
      </c>
      <c r="L23" s="196" t="s">
        <v>581</v>
      </c>
      <c r="M23" s="196">
        <v>39.01</v>
      </c>
      <c r="N23" s="196">
        <v>1510545600</v>
      </c>
      <c r="O23" s="196">
        <v>0</v>
      </c>
      <c r="P23" s="196">
        <v>3.42</v>
      </c>
      <c r="Q23" s="196">
        <v>184</v>
      </c>
      <c r="R23" s="196">
        <v>2.63</v>
      </c>
      <c r="S23" s="196">
        <v>0.86</v>
      </c>
      <c r="T23"/>
    </row>
    <row r="24" spans="1:20" x14ac:dyDescent="0.25">
      <c r="A24" s="196">
        <v>37.49</v>
      </c>
      <c r="B24" s="196">
        <v>0.28999999999999998</v>
      </c>
      <c r="C24" s="196">
        <v>26.99</v>
      </c>
      <c r="D24" s="8">
        <v>43051.916666666664</v>
      </c>
      <c r="E24" s="196">
        <v>0.65</v>
      </c>
      <c r="F24" s="196" t="s">
        <v>371</v>
      </c>
      <c r="G24" s="196">
        <v>239.28</v>
      </c>
      <c r="H24" s="196">
        <v>0</v>
      </c>
      <c r="I24" s="196">
        <v>0</v>
      </c>
      <c r="J24" s="196"/>
      <c r="K24" s="196">
        <v>1021.16</v>
      </c>
      <c r="L24" s="196" t="s">
        <v>579</v>
      </c>
      <c r="M24" s="196">
        <v>37.49</v>
      </c>
      <c r="N24" s="196">
        <v>1510549200</v>
      </c>
      <c r="O24" s="196">
        <v>0</v>
      </c>
      <c r="P24" s="196">
        <v>2.4900000000000002</v>
      </c>
      <c r="Q24" s="196">
        <v>191</v>
      </c>
      <c r="R24" s="196">
        <v>2.0099999999999998</v>
      </c>
      <c r="S24" s="196">
        <v>0.34</v>
      </c>
      <c r="T24"/>
    </row>
    <row r="25" spans="1:20" x14ac:dyDescent="0.25">
      <c r="A25" s="196">
        <v>37.24</v>
      </c>
      <c r="B25" s="196">
        <v>0.08</v>
      </c>
      <c r="C25" s="196">
        <v>27.15</v>
      </c>
      <c r="D25" s="8">
        <v>43051.958333333336</v>
      </c>
      <c r="E25" s="196">
        <v>0.67</v>
      </c>
      <c r="F25" s="196" t="s">
        <v>582</v>
      </c>
      <c r="G25" s="196">
        <v>238.72</v>
      </c>
      <c r="H25" s="196">
        <v>0</v>
      </c>
      <c r="I25" s="196">
        <v>0</v>
      </c>
      <c r="J25" s="196"/>
      <c r="K25" s="196">
        <v>1019.79</v>
      </c>
      <c r="L25" s="196" t="s">
        <v>581</v>
      </c>
      <c r="M25" s="196">
        <v>37.24</v>
      </c>
      <c r="N25" s="196">
        <v>1510552800</v>
      </c>
      <c r="O25" s="196">
        <v>0</v>
      </c>
      <c r="P25" s="196">
        <v>3.42</v>
      </c>
      <c r="Q25" s="196">
        <v>171</v>
      </c>
      <c r="R25" s="196">
        <v>1.86</v>
      </c>
      <c r="S25" s="196">
        <v>0.46</v>
      </c>
      <c r="T25"/>
    </row>
    <row r="26" spans="1:20" x14ac:dyDescent="0.25">
      <c r="A26" s="196">
        <v>37.479999999999997</v>
      </c>
      <c r="B26" s="196">
        <v>0.08</v>
      </c>
      <c r="C26" s="196">
        <v>27.44</v>
      </c>
      <c r="D26" s="8">
        <v>43052</v>
      </c>
      <c r="E26" s="196">
        <v>0.67</v>
      </c>
      <c r="F26" s="196" t="s">
        <v>582</v>
      </c>
      <c r="G26" s="196">
        <v>238.3</v>
      </c>
      <c r="H26" s="196">
        <v>0</v>
      </c>
      <c r="I26" s="196">
        <v>0</v>
      </c>
      <c r="J26" s="196"/>
      <c r="K26" s="196">
        <v>1019.56</v>
      </c>
      <c r="L26" s="196" t="s">
        <v>581</v>
      </c>
      <c r="M26" s="196">
        <v>37.479999999999997</v>
      </c>
      <c r="N26" s="196">
        <v>1510556400</v>
      </c>
      <c r="O26" s="196">
        <v>0</v>
      </c>
      <c r="P26" s="196">
        <v>3.44</v>
      </c>
      <c r="Q26" s="196">
        <v>234</v>
      </c>
      <c r="R26" s="196">
        <v>2.0699999999999998</v>
      </c>
      <c r="S26" s="196">
        <v>0.33</v>
      </c>
      <c r="T26"/>
    </row>
    <row r="27" spans="1:20" x14ac:dyDescent="0.25">
      <c r="A27" s="196">
        <v>37.700000000000003</v>
      </c>
      <c r="B27" s="196">
        <v>0.06</v>
      </c>
      <c r="C27" s="196">
        <v>27.75</v>
      </c>
      <c r="D27" s="8">
        <v>43052.041666666664</v>
      </c>
      <c r="E27" s="196">
        <v>0.67</v>
      </c>
      <c r="F27" s="196" t="s">
        <v>582</v>
      </c>
      <c r="G27" s="196">
        <v>237.87</v>
      </c>
      <c r="H27" s="196">
        <v>0</v>
      </c>
      <c r="I27" s="196">
        <v>0</v>
      </c>
      <c r="J27" s="196"/>
      <c r="K27" s="196">
        <v>1019.46</v>
      </c>
      <c r="L27" s="196" t="s">
        <v>581</v>
      </c>
      <c r="M27" s="196">
        <v>37.700000000000003</v>
      </c>
      <c r="N27" s="196">
        <v>1510560000</v>
      </c>
      <c r="O27" s="196">
        <v>0</v>
      </c>
      <c r="P27" s="196">
        <v>3.42</v>
      </c>
      <c r="Q27" s="196">
        <v>245</v>
      </c>
      <c r="R27" s="196">
        <v>2.2400000000000002</v>
      </c>
      <c r="S27" s="196">
        <v>0.48</v>
      </c>
      <c r="T27"/>
    </row>
    <row r="28" spans="1:20" x14ac:dyDescent="0.25">
      <c r="A28" s="196">
        <v>37.549999999999997</v>
      </c>
      <c r="B28" s="196">
        <v>0.14000000000000001</v>
      </c>
      <c r="C28" s="196">
        <v>27.69</v>
      </c>
      <c r="D28" s="8">
        <v>43052.083333333336</v>
      </c>
      <c r="E28" s="196">
        <v>0.67</v>
      </c>
      <c r="F28" s="196" t="s">
        <v>582</v>
      </c>
      <c r="G28" s="196">
        <v>237.73</v>
      </c>
      <c r="H28" s="196">
        <v>0</v>
      </c>
      <c r="I28" s="196">
        <v>0</v>
      </c>
      <c r="J28" s="196"/>
      <c r="K28" s="196">
        <v>1019.14</v>
      </c>
      <c r="L28" s="196" t="s">
        <v>581</v>
      </c>
      <c r="M28" s="196">
        <v>37.549999999999997</v>
      </c>
      <c r="N28" s="196">
        <v>1510563600</v>
      </c>
      <c r="O28" s="196">
        <v>0</v>
      </c>
      <c r="P28" s="196">
        <v>3.44</v>
      </c>
      <c r="Q28" s="196">
        <v>203</v>
      </c>
      <c r="R28" s="196">
        <v>2.34</v>
      </c>
      <c r="S28" s="196">
        <v>0.49</v>
      </c>
      <c r="T28"/>
    </row>
    <row r="29" spans="1:20" x14ac:dyDescent="0.25">
      <c r="A29" s="196">
        <v>38.29</v>
      </c>
      <c r="B29" s="196">
        <v>0.24</v>
      </c>
      <c r="C29" s="196">
        <v>25.59</v>
      </c>
      <c r="D29" s="8">
        <v>43052.125</v>
      </c>
      <c r="E29" s="196">
        <v>0.6</v>
      </c>
      <c r="F29" s="196" t="s">
        <v>582</v>
      </c>
      <c r="G29" s="196">
        <v>237.87</v>
      </c>
      <c r="H29" s="196">
        <v>0</v>
      </c>
      <c r="I29" s="196">
        <v>0</v>
      </c>
      <c r="J29" s="196"/>
      <c r="K29" s="196">
        <v>1019.69</v>
      </c>
      <c r="L29" s="196" t="s">
        <v>581</v>
      </c>
      <c r="M29" s="196">
        <v>38.29</v>
      </c>
      <c r="N29" s="196">
        <v>1510567200</v>
      </c>
      <c r="O29" s="196">
        <v>0</v>
      </c>
      <c r="P29" s="196">
        <v>5.25</v>
      </c>
      <c r="Q29" s="196">
        <v>237</v>
      </c>
      <c r="R29" s="196">
        <v>3.2</v>
      </c>
      <c r="S29" s="196">
        <v>1.63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1" t="s">
        <v>179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4" sqref="A4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.75" thickBot="1" x14ac:dyDescent="0.3">
      <c r="A2" s="12">
        <v>43051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1085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1086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1087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25">
      <c r="C21" t="s">
        <v>1088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1089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1090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25">
      <c r="C24" t="s">
        <v>1091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1092</v>
      </c>
      <c r="J25" s="140" t="s">
        <v>144</v>
      </c>
      <c r="M25" s="154" t="b">
        <v>1</v>
      </c>
    </row>
    <row r="26" spans="3:24" x14ac:dyDescent="0.25">
      <c r="C26" t="s">
        <v>1093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%USERPROFILE%\Documents\GitHub\eaglep3-reporting\EC\2017-11-12-refined-times.txt</v>
      </c>
    </row>
    <row r="27" spans="3:24" x14ac:dyDescent="0.25">
      <c r="C27" t="s">
        <v>1094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%USERPROFILE%\Documents\GitHub\eaglep3-reporting\EC\2017-11-12-Enforcements.txt</v>
      </c>
    </row>
    <row r="28" spans="3:24" x14ac:dyDescent="0.25">
      <c r="C28" t="s">
        <v>1095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%USERPROFILE%\Documents\GitHub\eaglep3-reporting\EC\2017-11-12-Runs-refined.txt</v>
      </c>
    </row>
    <row r="29" spans="3:24" x14ac:dyDescent="0.25">
      <c r="C29" t="s">
        <v>1096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%USERPROFILE%\Documents\GitHub\eaglep3-reporting\EC\2017-11-12-Trips.txt</v>
      </c>
    </row>
    <row r="30" spans="3:24" x14ac:dyDescent="0.25">
      <c r="C30" t="s">
        <v>1097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%USERPROFILE%\Documents\GitHub\eaglep3-reporting\EC\2017-11-12-Weather.txt</v>
      </c>
    </row>
    <row r="31" spans="3:24" x14ac:dyDescent="0.25">
      <c r="J31" s="140" t="s">
        <v>188</v>
      </c>
      <c r="M31" s="154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355</v>
      </c>
      <c r="J1" s="168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2017-11-14T16:36:18Z</dcterms:modified>
</cp:coreProperties>
</file>