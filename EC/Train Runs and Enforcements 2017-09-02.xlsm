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795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Enforcements!$A$6:$AC$54</definedName>
    <definedName name="_xlnm._FilterDatabase" localSheetId="2" hidden="1">'Missing Trips'!$A$2:$J$18</definedName>
    <definedName name="_xlnm._FilterDatabase" localSheetId="0" hidden="1">'Train Runs'!$A$12:$AG$261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Runs'!$A$12:$J$84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88" i="1" l="1"/>
  <c r="M188" i="1"/>
  <c r="N188" i="1" s="1"/>
  <c r="AA188" i="1"/>
  <c r="AB188" i="1"/>
  <c r="AC188" i="1"/>
  <c r="AD188" i="1"/>
  <c r="T188" i="1" s="1"/>
  <c r="AE188" i="1"/>
  <c r="AM188" i="1"/>
  <c r="K166" i="1"/>
  <c r="M166" i="1"/>
  <c r="Y166" i="1"/>
  <c r="Z166" i="1"/>
  <c r="AA166" i="1" s="1"/>
  <c r="AB166" i="1"/>
  <c r="AC166" i="1"/>
  <c r="AD166" i="1"/>
  <c r="T166" i="1" s="1"/>
  <c r="AE166" i="1"/>
  <c r="AM166" i="1"/>
  <c r="K164" i="1"/>
  <c r="L164" i="1"/>
  <c r="M164" i="1"/>
  <c r="P164" i="1" s="1"/>
  <c r="Y164" i="1"/>
  <c r="Z164" i="1"/>
  <c r="AB164" i="1"/>
  <c r="AC164" i="1"/>
  <c r="AD164" i="1"/>
  <c r="T164" i="1" s="1"/>
  <c r="AE164" i="1"/>
  <c r="AM164" i="1"/>
  <c r="B4" i="6"/>
  <c r="F4" i="6" s="1"/>
  <c r="K85" i="1"/>
  <c r="M85" i="1"/>
  <c r="N85" i="1" s="1"/>
  <c r="Y85" i="1"/>
  <c r="Z85" i="1"/>
  <c r="AB85" i="1"/>
  <c r="AC85" i="1"/>
  <c r="AD85" i="1"/>
  <c r="T85" i="1" s="1"/>
  <c r="AE85" i="1"/>
  <c r="AM85" i="1"/>
  <c r="K46" i="1"/>
  <c r="M46" i="1"/>
  <c r="N46" i="1" s="1"/>
  <c r="AA46" i="1"/>
  <c r="AB46" i="1"/>
  <c r="AC46" i="1"/>
  <c r="AD46" i="1"/>
  <c r="T46" i="1" s="1"/>
  <c r="AE46" i="1"/>
  <c r="R26" i="3" s="1"/>
  <c r="AM46" i="1"/>
  <c r="AM19" i="1"/>
  <c r="AE19" i="1"/>
  <c r="AD19" i="1"/>
  <c r="AC19" i="1"/>
  <c r="AB19" i="1"/>
  <c r="Z19" i="1"/>
  <c r="Y19" i="1"/>
  <c r="M19" i="1"/>
  <c r="L19" i="1"/>
  <c r="K19" i="1"/>
  <c r="K17" i="1"/>
  <c r="L17" i="1"/>
  <c r="M17" i="1"/>
  <c r="Y17" i="1"/>
  <c r="Z17" i="1"/>
  <c r="AB17" i="1"/>
  <c r="AC17" i="1"/>
  <c r="AD17" i="1"/>
  <c r="T17" i="1" s="1"/>
  <c r="AE17" i="1"/>
  <c r="AM17" i="1"/>
  <c r="K14" i="1"/>
  <c r="L14" i="1"/>
  <c r="M14" i="1"/>
  <c r="Y14" i="1"/>
  <c r="Z14" i="1"/>
  <c r="AB14" i="1"/>
  <c r="AC14" i="1"/>
  <c r="AD14" i="1"/>
  <c r="T14" i="1" s="1"/>
  <c r="AE14" i="1"/>
  <c r="AM14" i="1"/>
  <c r="K15" i="1"/>
  <c r="L15" i="1"/>
  <c r="M15" i="1"/>
  <c r="Y15" i="1"/>
  <c r="Z15" i="1"/>
  <c r="AB15" i="1"/>
  <c r="AC15" i="1"/>
  <c r="AD15" i="1"/>
  <c r="T15" i="1" s="1"/>
  <c r="AE15" i="1"/>
  <c r="AM15" i="1"/>
  <c r="K16" i="1"/>
  <c r="M16" i="1"/>
  <c r="N16" i="1" s="1"/>
  <c r="Y16" i="1"/>
  <c r="Z16" i="1"/>
  <c r="AA16" i="1" s="1"/>
  <c r="AB16" i="1"/>
  <c r="AC16" i="1"/>
  <c r="AD16" i="1"/>
  <c r="AE16" i="1"/>
  <c r="AM16" i="1"/>
  <c r="K18" i="1"/>
  <c r="M18" i="1"/>
  <c r="N18" i="1" s="1"/>
  <c r="Y18" i="1"/>
  <c r="Z18" i="1"/>
  <c r="AB18" i="1"/>
  <c r="AC18" i="1"/>
  <c r="AD18" i="1"/>
  <c r="AE18" i="1"/>
  <c r="AM18" i="1"/>
  <c r="K20" i="1"/>
  <c r="M20" i="1"/>
  <c r="N20" i="1" s="1"/>
  <c r="Y20" i="1"/>
  <c r="Z20" i="1"/>
  <c r="AB20" i="1"/>
  <c r="AC20" i="1"/>
  <c r="AD20" i="1"/>
  <c r="T20" i="1" s="1"/>
  <c r="AE20" i="1"/>
  <c r="AM20" i="1"/>
  <c r="K21" i="1"/>
  <c r="M21" i="1"/>
  <c r="N21" i="1" s="1"/>
  <c r="Y21" i="1"/>
  <c r="Z21" i="1"/>
  <c r="AB21" i="1"/>
  <c r="AC21" i="1"/>
  <c r="AD21" i="1"/>
  <c r="AE21" i="1"/>
  <c r="AM21" i="1"/>
  <c r="K22" i="1"/>
  <c r="M22" i="1"/>
  <c r="N22" i="1" s="1"/>
  <c r="Y22" i="1"/>
  <c r="Z22" i="1"/>
  <c r="AB22" i="1"/>
  <c r="AC22" i="1"/>
  <c r="AD22" i="1"/>
  <c r="AE22" i="1"/>
  <c r="AM22" i="1"/>
  <c r="K23" i="1"/>
  <c r="M23" i="1"/>
  <c r="N23" i="1" s="1"/>
  <c r="Y23" i="1"/>
  <c r="Z23" i="1"/>
  <c r="AB23" i="1"/>
  <c r="AC23" i="1"/>
  <c r="AD23" i="1"/>
  <c r="AE23" i="1"/>
  <c r="AM23" i="1"/>
  <c r="K24" i="1"/>
  <c r="M24" i="1"/>
  <c r="N24" i="1" s="1"/>
  <c r="Y24" i="1"/>
  <c r="Z24" i="1"/>
  <c r="AB24" i="1"/>
  <c r="AC24" i="1"/>
  <c r="AD24" i="1"/>
  <c r="T24" i="1" s="1"/>
  <c r="AE24" i="1"/>
  <c r="AM24" i="1"/>
  <c r="K25" i="1"/>
  <c r="M25" i="1"/>
  <c r="N25" i="1" s="1"/>
  <c r="Y25" i="1"/>
  <c r="Z25" i="1"/>
  <c r="AB25" i="1"/>
  <c r="AC25" i="1"/>
  <c r="AD25" i="1"/>
  <c r="AE25" i="1"/>
  <c r="AM25" i="1"/>
  <c r="K26" i="1"/>
  <c r="M26" i="1"/>
  <c r="N26" i="1" s="1"/>
  <c r="Y26" i="1"/>
  <c r="Z26" i="1"/>
  <c r="AB26" i="1"/>
  <c r="AC26" i="1"/>
  <c r="AD26" i="1"/>
  <c r="T26" i="1" s="1"/>
  <c r="AE26" i="1"/>
  <c r="AM26" i="1"/>
  <c r="K27" i="1"/>
  <c r="M27" i="1"/>
  <c r="N27" i="1" s="1"/>
  <c r="Y27" i="1"/>
  <c r="Z27" i="1"/>
  <c r="AB27" i="1"/>
  <c r="AC27" i="1"/>
  <c r="AD27" i="1"/>
  <c r="AE27" i="1"/>
  <c r="AM27" i="1"/>
  <c r="K28" i="1"/>
  <c r="M28" i="1"/>
  <c r="N28" i="1" s="1"/>
  <c r="Y28" i="1"/>
  <c r="Z28" i="1"/>
  <c r="AB28" i="1"/>
  <c r="AC28" i="1"/>
  <c r="AD28" i="1"/>
  <c r="T28" i="1" s="1"/>
  <c r="AE28" i="1"/>
  <c r="AM28" i="1"/>
  <c r="K29" i="1"/>
  <c r="M29" i="1"/>
  <c r="N29" i="1" s="1"/>
  <c r="Y29" i="1"/>
  <c r="Z29" i="1"/>
  <c r="AB29" i="1"/>
  <c r="AC29" i="1"/>
  <c r="AD29" i="1"/>
  <c r="T29" i="1" s="1"/>
  <c r="AE29" i="1"/>
  <c r="AM29" i="1"/>
  <c r="K30" i="1"/>
  <c r="M30" i="1"/>
  <c r="N30" i="1" s="1"/>
  <c r="Y30" i="1"/>
  <c r="Z30" i="1"/>
  <c r="AB30" i="1"/>
  <c r="AC30" i="1"/>
  <c r="AD30" i="1"/>
  <c r="T30" i="1" s="1"/>
  <c r="AE30" i="1"/>
  <c r="AM30" i="1"/>
  <c r="K31" i="1"/>
  <c r="M31" i="1"/>
  <c r="N31" i="1" s="1"/>
  <c r="Y31" i="1"/>
  <c r="Z31" i="1"/>
  <c r="AB31" i="1"/>
  <c r="AC31" i="1"/>
  <c r="AD31" i="1"/>
  <c r="AE31" i="1"/>
  <c r="AM31" i="1"/>
  <c r="K32" i="1"/>
  <c r="M32" i="1"/>
  <c r="N32" i="1" s="1"/>
  <c r="Y32" i="1"/>
  <c r="Z32" i="1"/>
  <c r="AB32" i="1"/>
  <c r="AC32" i="1"/>
  <c r="AD32" i="1"/>
  <c r="T32" i="1" s="1"/>
  <c r="AE32" i="1"/>
  <c r="AM32" i="1"/>
  <c r="K33" i="1"/>
  <c r="M33" i="1"/>
  <c r="P33" i="1" s="1"/>
  <c r="Y33" i="1"/>
  <c r="Z33" i="1"/>
  <c r="AB33" i="1"/>
  <c r="AC33" i="1"/>
  <c r="AD33" i="1"/>
  <c r="T33" i="1" s="1"/>
  <c r="AE33" i="1"/>
  <c r="AM33" i="1"/>
  <c r="K34" i="1"/>
  <c r="M34" i="1"/>
  <c r="N34" i="1" s="1"/>
  <c r="Y34" i="1"/>
  <c r="Z34" i="1"/>
  <c r="AB34" i="1"/>
  <c r="AC34" i="1"/>
  <c r="AD34" i="1"/>
  <c r="T34" i="1" s="1"/>
  <c r="AE34" i="1"/>
  <c r="AM34" i="1"/>
  <c r="K35" i="1"/>
  <c r="M35" i="1"/>
  <c r="N35" i="1" s="1"/>
  <c r="Y35" i="1"/>
  <c r="Z35" i="1"/>
  <c r="AB35" i="1"/>
  <c r="AC35" i="1"/>
  <c r="AD35" i="1"/>
  <c r="AE35" i="1"/>
  <c r="AM35" i="1"/>
  <c r="K36" i="1"/>
  <c r="M36" i="1"/>
  <c r="N36" i="1" s="1"/>
  <c r="Y36" i="1"/>
  <c r="Z36" i="1"/>
  <c r="AB36" i="1"/>
  <c r="AC36" i="1"/>
  <c r="AD36" i="1"/>
  <c r="T36" i="1" s="1"/>
  <c r="AE36" i="1"/>
  <c r="AM36" i="1"/>
  <c r="K37" i="1"/>
  <c r="M37" i="1"/>
  <c r="N37" i="1" s="1"/>
  <c r="Y37" i="1"/>
  <c r="Z37" i="1"/>
  <c r="AB37" i="1"/>
  <c r="AC37" i="1"/>
  <c r="AD37" i="1"/>
  <c r="AE37" i="1"/>
  <c r="AM37" i="1"/>
  <c r="K38" i="1"/>
  <c r="M38" i="1"/>
  <c r="N38" i="1" s="1"/>
  <c r="Y38" i="1"/>
  <c r="Z38" i="1"/>
  <c r="AB38" i="1"/>
  <c r="AC38" i="1"/>
  <c r="AD38" i="1"/>
  <c r="AE38" i="1"/>
  <c r="R18" i="3" s="1"/>
  <c r="AM38" i="1"/>
  <c r="K39" i="1"/>
  <c r="M39" i="1"/>
  <c r="N39" i="1" s="1"/>
  <c r="Y39" i="1"/>
  <c r="Z39" i="1"/>
  <c r="AB39" i="1"/>
  <c r="AC39" i="1"/>
  <c r="AD39" i="1"/>
  <c r="AE39" i="1"/>
  <c r="AM39" i="1"/>
  <c r="K40" i="1"/>
  <c r="M40" i="1"/>
  <c r="N40" i="1" s="1"/>
  <c r="Y40" i="1"/>
  <c r="Z40" i="1"/>
  <c r="AB40" i="1"/>
  <c r="AC40" i="1"/>
  <c r="AD40" i="1"/>
  <c r="T40" i="1" s="1"/>
  <c r="AE40" i="1"/>
  <c r="AM40" i="1"/>
  <c r="K41" i="1"/>
  <c r="M41" i="1"/>
  <c r="N41" i="1" s="1"/>
  <c r="Y41" i="1"/>
  <c r="Z41" i="1"/>
  <c r="AB41" i="1"/>
  <c r="AC41" i="1"/>
  <c r="AD41" i="1"/>
  <c r="AE41" i="1"/>
  <c r="AM41" i="1"/>
  <c r="K42" i="1"/>
  <c r="M42" i="1"/>
  <c r="N42" i="1" s="1"/>
  <c r="Y42" i="1"/>
  <c r="Z42" i="1"/>
  <c r="AB42" i="1"/>
  <c r="AC42" i="1"/>
  <c r="AD42" i="1"/>
  <c r="T42" i="1" s="1"/>
  <c r="AE42" i="1"/>
  <c r="AM42" i="1"/>
  <c r="K43" i="1"/>
  <c r="M43" i="1"/>
  <c r="N43" i="1" s="1"/>
  <c r="Y43" i="1"/>
  <c r="Z43" i="1"/>
  <c r="AB43" i="1"/>
  <c r="AC43" i="1"/>
  <c r="AD43" i="1"/>
  <c r="AE43" i="1"/>
  <c r="AM43" i="1"/>
  <c r="K44" i="1"/>
  <c r="M44" i="1"/>
  <c r="N44" i="1" s="1"/>
  <c r="Y44" i="1"/>
  <c r="Z44" i="1"/>
  <c r="AB44" i="1"/>
  <c r="AC44" i="1"/>
  <c r="AD44" i="1"/>
  <c r="T44" i="1" s="1"/>
  <c r="AE44" i="1"/>
  <c r="AM44" i="1"/>
  <c r="K45" i="1"/>
  <c r="M45" i="1"/>
  <c r="N45" i="1" s="1"/>
  <c r="Y45" i="1"/>
  <c r="Z45" i="1"/>
  <c r="AB45" i="1"/>
  <c r="AC45" i="1"/>
  <c r="AD45" i="1"/>
  <c r="T45" i="1" s="1"/>
  <c r="AE45" i="1"/>
  <c r="AM45" i="1"/>
  <c r="K47" i="1"/>
  <c r="M47" i="1"/>
  <c r="N47" i="1" s="1"/>
  <c r="Y47" i="1"/>
  <c r="Z47" i="1"/>
  <c r="AB47" i="1"/>
  <c r="AC47" i="1"/>
  <c r="AD47" i="1"/>
  <c r="AE47" i="1"/>
  <c r="AM47" i="1"/>
  <c r="K48" i="1"/>
  <c r="M48" i="1"/>
  <c r="N48" i="1" s="1"/>
  <c r="Y48" i="1"/>
  <c r="Z48" i="1"/>
  <c r="AB48" i="1"/>
  <c r="AC48" i="1"/>
  <c r="AD48" i="1"/>
  <c r="AE48" i="1"/>
  <c r="AM48" i="1"/>
  <c r="K49" i="1"/>
  <c r="M49" i="1"/>
  <c r="N49" i="1" s="1"/>
  <c r="Y49" i="1"/>
  <c r="Z49" i="1"/>
  <c r="AB49" i="1"/>
  <c r="AC49" i="1"/>
  <c r="AD49" i="1"/>
  <c r="T49" i="1" s="1"/>
  <c r="AE49" i="1"/>
  <c r="AM49" i="1"/>
  <c r="K50" i="1"/>
  <c r="M50" i="1"/>
  <c r="N50" i="1" s="1"/>
  <c r="Y50" i="1"/>
  <c r="Z50" i="1"/>
  <c r="AB50" i="1"/>
  <c r="AC50" i="1"/>
  <c r="AD50" i="1"/>
  <c r="T50" i="1" s="1"/>
  <c r="AE50" i="1"/>
  <c r="AM50" i="1"/>
  <c r="K51" i="1"/>
  <c r="M51" i="1"/>
  <c r="N51" i="1" s="1"/>
  <c r="Y51" i="1"/>
  <c r="Z51" i="1"/>
  <c r="AB51" i="1"/>
  <c r="AC51" i="1"/>
  <c r="AD51" i="1"/>
  <c r="AE51" i="1"/>
  <c r="AM51" i="1"/>
  <c r="K52" i="1"/>
  <c r="M52" i="1"/>
  <c r="N52" i="1" s="1"/>
  <c r="Y52" i="1"/>
  <c r="Z52" i="1"/>
  <c r="AB52" i="1"/>
  <c r="AC52" i="1"/>
  <c r="AD52" i="1"/>
  <c r="AE52" i="1"/>
  <c r="AM52" i="1"/>
  <c r="K53" i="1"/>
  <c r="M53" i="1"/>
  <c r="P53" i="1" s="1"/>
  <c r="Y53" i="1"/>
  <c r="Z53" i="1"/>
  <c r="AB53" i="1"/>
  <c r="AC53" i="1"/>
  <c r="AD53" i="1"/>
  <c r="T53" i="1" s="1"/>
  <c r="AE53" i="1"/>
  <c r="AM53" i="1"/>
  <c r="K54" i="1"/>
  <c r="M54" i="1"/>
  <c r="Y54" i="1"/>
  <c r="Z54" i="1"/>
  <c r="AB54" i="1"/>
  <c r="AC54" i="1"/>
  <c r="AD54" i="1"/>
  <c r="AE54" i="1"/>
  <c r="AM54" i="1"/>
  <c r="K55" i="1"/>
  <c r="M55" i="1"/>
  <c r="N55" i="1" s="1"/>
  <c r="Y55" i="1"/>
  <c r="Z55" i="1"/>
  <c r="AB55" i="1"/>
  <c r="AC55" i="1"/>
  <c r="AD55" i="1"/>
  <c r="T55" i="1" s="1"/>
  <c r="AE55" i="1"/>
  <c r="R27" i="3" s="1"/>
  <c r="AM55" i="1"/>
  <c r="K56" i="1"/>
  <c r="M56" i="1"/>
  <c r="N56" i="1" s="1"/>
  <c r="Y56" i="1"/>
  <c r="Z56" i="1"/>
  <c r="AB56" i="1"/>
  <c r="AC56" i="1"/>
  <c r="AD56" i="1"/>
  <c r="AE56" i="1"/>
  <c r="AM56" i="1"/>
  <c r="K57" i="1"/>
  <c r="M57" i="1"/>
  <c r="N57" i="1" s="1"/>
  <c r="Y57" i="1"/>
  <c r="Z57" i="1"/>
  <c r="AB57" i="1"/>
  <c r="AC57" i="1"/>
  <c r="AD57" i="1"/>
  <c r="T57" i="1" s="1"/>
  <c r="AE57" i="1"/>
  <c r="AM57" i="1"/>
  <c r="K58" i="1"/>
  <c r="M58" i="1"/>
  <c r="N58" i="1" s="1"/>
  <c r="Y58" i="1"/>
  <c r="Z58" i="1"/>
  <c r="AB58" i="1"/>
  <c r="AC58" i="1"/>
  <c r="AD58" i="1"/>
  <c r="T58" i="1" s="1"/>
  <c r="AE58" i="1"/>
  <c r="AM58" i="1"/>
  <c r="K59" i="1"/>
  <c r="M59" i="1"/>
  <c r="N59" i="1" s="1"/>
  <c r="Y59" i="1"/>
  <c r="Z59" i="1"/>
  <c r="AB59" i="1"/>
  <c r="AC59" i="1"/>
  <c r="AD59" i="1"/>
  <c r="AE59" i="1"/>
  <c r="AM59" i="1"/>
  <c r="K60" i="1"/>
  <c r="M60" i="1"/>
  <c r="N60" i="1" s="1"/>
  <c r="Y60" i="1"/>
  <c r="Z60" i="1"/>
  <c r="AB60" i="1"/>
  <c r="AC60" i="1"/>
  <c r="AD60" i="1"/>
  <c r="AE60" i="1"/>
  <c r="AM60" i="1"/>
  <c r="K61" i="1"/>
  <c r="M61" i="1"/>
  <c r="N61" i="1" s="1"/>
  <c r="Y61" i="1"/>
  <c r="Z61" i="1"/>
  <c r="AB61" i="1"/>
  <c r="AC61" i="1"/>
  <c r="AD61" i="1"/>
  <c r="T61" i="1" s="1"/>
  <c r="AE61" i="1"/>
  <c r="AM61" i="1"/>
  <c r="K62" i="1"/>
  <c r="M62" i="1"/>
  <c r="N62" i="1" s="1"/>
  <c r="Y62" i="1"/>
  <c r="Z62" i="1"/>
  <c r="AB62" i="1"/>
  <c r="AC62" i="1"/>
  <c r="AD62" i="1"/>
  <c r="T62" i="1" s="1"/>
  <c r="AE62" i="1"/>
  <c r="AM62" i="1"/>
  <c r="K63" i="1"/>
  <c r="M63" i="1"/>
  <c r="N63" i="1" s="1"/>
  <c r="Y63" i="1"/>
  <c r="Z63" i="1"/>
  <c r="AB63" i="1"/>
  <c r="AC63" i="1"/>
  <c r="AD63" i="1"/>
  <c r="T63" i="1" s="1"/>
  <c r="AE63" i="1"/>
  <c r="R19" i="3" s="1"/>
  <c r="AM63" i="1"/>
  <c r="K64" i="1"/>
  <c r="M64" i="1"/>
  <c r="N64" i="1" s="1"/>
  <c r="Y64" i="1"/>
  <c r="Z64" i="1"/>
  <c r="AB64" i="1"/>
  <c r="AC64" i="1"/>
  <c r="AD64" i="1"/>
  <c r="AE64" i="1"/>
  <c r="AM64" i="1"/>
  <c r="K65" i="1"/>
  <c r="M65" i="1"/>
  <c r="N65" i="1" s="1"/>
  <c r="Y65" i="1"/>
  <c r="Z65" i="1"/>
  <c r="AB65" i="1"/>
  <c r="AC65" i="1"/>
  <c r="AD65" i="1"/>
  <c r="T65" i="1" s="1"/>
  <c r="AE65" i="1"/>
  <c r="AM65" i="1"/>
  <c r="K66" i="1"/>
  <c r="M66" i="1"/>
  <c r="N66" i="1" s="1"/>
  <c r="Y66" i="1"/>
  <c r="Z66" i="1"/>
  <c r="AB66" i="1"/>
  <c r="AC66" i="1"/>
  <c r="AD66" i="1"/>
  <c r="AE66" i="1"/>
  <c r="AM66" i="1"/>
  <c r="K67" i="1"/>
  <c r="M67" i="1"/>
  <c r="N67" i="1" s="1"/>
  <c r="Y67" i="1"/>
  <c r="Z67" i="1"/>
  <c r="AB67" i="1"/>
  <c r="AC67" i="1"/>
  <c r="AD67" i="1"/>
  <c r="T67" i="1" s="1"/>
  <c r="AE67" i="1"/>
  <c r="AM67" i="1"/>
  <c r="K68" i="1"/>
  <c r="M68" i="1"/>
  <c r="N68" i="1" s="1"/>
  <c r="Y68" i="1"/>
  <c r="Z68" i="1"/>
  <c r="AB68" i="1"/>
  <c r="AC68" i="1"/>
  <c r="AD68" i="1"/>
  <c r="AE68" i="1"/>
  <c r="R13" i="3" s="1"/>
  <c r="AM68" i="1"/>
  <c r="K69" i="1"/>
  <c r="M69" i="1"/>
  <c r="N69" i="1" s="1"/>
  <c r="Y69" i="1"/>
  <c r="Z69" i="1"/>
  <c r="AB69" i="1"/>
  <c r="AC69" i="1"/>
  <c r="AD69" i="1"/>
  <c r="T69" i="1" s="1"/>
  <c r="AE69" i="1"/>
  <c r="AM69" i="1"/>
  <c r="K70" i="1"/>
  <c r="M70" i="1"/>
  <c r="N70" i="1" s="1"/>
  <c r="Y70" i="1"/>
  <c r="Z70" i="1"/>
  <c r="AB70" i="1"/>
  <c r="AC70" i="1"/>
  <c r="AD70" i="1"/>
  <c r="AE70" i="1"/>
  <c r="AM70" i="1"/>
  <c r="K71" i="1"/>
  <c r="M71" i="1"/>
  <c r="N71" i="1" s="1"/>
  <c r="Y71" i="1"/>
  <c r="Z71" i="1"/>
  <c r="AB71" i="1"/>
  <c r="AC71" i="1"/>
  <c r="AD71" i="1"/>
  <c r="T71" i="1" s="1"/>
  <c r="AE71" i="1"/>
  <c r="AM71" i="1"/>
  <c r="K72" i="1"/>
  <c r="M72" i="1"/>
  <c r="P72" i="1" s="1"/>
  <c r="Y72" i="1"/>
  <c r="Z72" i="1"/>
  <c r="AB72" i="1"/>
  <c r="AC72" i="1"/>
  <c r="AD72" i="1"/>
  <c r="AE72" i="1"/>
  <c r="AM72" i="1"/>
  <c r="K73" i="1"/>
  <c r="M73" i="1"/>
  <c r="N73" i="1" s="1"/>
  <c r="Y73" i="1"/>
  <c r="Z73" i="1"/>
  <c r="AB73" i="1"/>
  <c r="AC73" i="1"/>
  <c r="AD73" i="1"/>
  <c r="T73" i="1" s="1"/>
  <c r="AE73" i="1"/>
  <c r="AM73" i="1"/>
  <c r="K74" i="1"/>
  <c r="M74" i="1"/>
  <c r="N74" i="1" s="1"/>
  <c r="Y74" i="1"/>
  <c r="Z74" i="1"/>
  <c r="AB74" i="1"/>
  <c r="AC74" i="1"/>
  <c r="AD74" i="1"/>
  <c r="T74" i="1" s="1"/>
  <c r="AE74" i="1"/>
  <c r="AM74" i="1"/>
  <c r="K75" i="1"/>
  <c r="M75" i="1"/>
  <c r="N75" i="1" s="1"/>
  <c r="Y75" i="1"/>
  <c r="Z75" i="1"/>
  <c r="AB75" i="1"/>
  <c r="AC75" i="1"/>
  <c r="AD75" i="1"/>
  <c r="T75" i="1" s="1"/>
  <c r="AE75" i="1"/>
  <c r="AM75" i="1"/>
  <c r="K76" i="1"/>
  <c r="M76" i="1"/>
  <c r="N76" i="1" s="1"/>
  <c r="Y76" i="1"/>
  <c r="Z76" i="1"/>
  <c r="AB76" i="1"/>
  <c r="AC76" i="1"/>
  <c r="AD76" i="1"/>
  <c r="AE76" i="1"/>
  <c r="AM76" i="1"/>
  <c r="K77" i="1"/>
  <c r="M77" i="1"/>
  <c r="N77" i="1" s="1"/>
  <c r="Y77" i="1"/>
  <c r="Z77" i="1"/>
  <c r="AB77" i="1"/>
  <c r="AC77" i="1"/>
  <c r="AD77" i="1"/>
  <c r="T77" i="1" s="1"/>
  <c r="AE77" i="1"/>
  <c r="AM77" i="1"/>
  <c r="K78" i="1"/>
  <c r="M78" i="1"/>
  <c r="N78" i="1" s="1"/>
  <c r="Y78" i="1"/>
  <c r="Z78" i="1"/>
  <c r="AB78" i="1"/>
  <c r="AC78" i="1"/>
  <c r="AD78" i="1"/>
  <c r="T78" i="1" s="1"/>
  <c r="AE78" i="1"/>
  <c r="AM78" i="1"/>
  <c r="K79" i="1"/>
  <c r="M79" i="1"/>
  <c r="N79" i="1" s="1"/>
  <c r="Y79" i="1"/>
  <c r="Z79" i="1"/>
  <c r="AB79" i="1"/>
  <c r="AC79" i="1"/>
  <c r="AD79" i="1"/>
  <c r="T79" i="1" s="1"/>
  <c r="AE79" i="1"/>
  <c r="AM79" i="1"/>
  <c r="K80" i="1"/>
  <c r="M80" i="1"/>
  <c r="N80" i="1" s="1"/>
  <c r="Y80" i="1"/>
  <c r="Z80" i="1"/>
  <c r="AB80" i="1"/>
  <c r="AC80" i="1"/>
  <c r="AD80" i="1"/>
  <c r="AE80" i="1"/>
  <c r="AM80" i="1"/>
  <c r="K81" i="1"/>
  <c r="M81" i="1"/>
  <c r="N81" i="1" s="1"/>
  <c r="Y81" i="1"/>
  <c r="Z81" i="1"/>
  <c r="AB81" i="1"/>
  <c r="AC81" i="1"/>
  <c r="AD81" i="1"/>
  <c r="T81" i="1" s="1"/>
  <c r="AE81" i="1"/>
  <c r="AM81" i="1"/>
  <c r="K82" i="1"/>
  <c r="M82" i="1"/>
  <c r="N82" i="1" s="1"/>
  <c r="Y82" i="1"/>
  <c r="Z82" i="1"/>
  <c r="AB82" i="1"/>
  <c r="AC82" i="1"/>
  <c r="AD82" i="1"/>
  <c r="AE82" i="1"/>
  <c r="R7" i="3" s="1"/>
  <c r="AM82" i="1"/>
  <c r="K83" i="1"/>
  <c r="M83" i="1"/>
  <c r="N83" i="1" s="1"/>
  <c r="Y83" i="1"/>
  <c r="Z83" i="1"/>
  <c r="AB83" i="1"/>
  <c r="AC83" i="1"/>
  <c r="AD83" i="1"/>
  <c r="AE83" i="1"/>
  <c r="AM83" i="1"/>
  <c r="K84" i="1"/>
  <c r="M84" i="1"/>
  <c r="N84" i="1" s="1"/>
  <c r="Y84" i="1"/>
  <c r="Z84" i="1"/>
  <c r="AB84" i="1"/>
  <c r="AC84" i="1"/>
  <c r="AD84" i="1"/>
  <c r="T84" i="1" s="1"/>
  <c r="AE84" i="1"/>
  <c r="AM84" i="1"/>
  <c r="K86" i="1"/>
  <c r="M86" i="1"/>
  <c r="N86" i="1" s="1"/>
  <c r="Y86" i="1"/>
  <c r="Z86" i="1"/>
  <c r="AB86" i="1"/>
  <c r="AC86" i="1"/>
  <c r="AD86" i="1"/>
  <c r="T86" i="1" s="1"/>
  <c r="AE86" i="1"/>
  <c r="R10" i="3" s="1"/>
  <c r="AM86" i="1"/>
  <c r="K87" i="1"/>
  <c r="M87" i="1"/>
  <c r="N87" i="1" s="1"/>
  <c r="Y87" i="1"/>
  <c r="Z87" i="1"/>
  <c r="AB87" i="1"/>
  <c r="AC87" i="1"/>
  <c r="AD87" i="1"/>
  <c r="T87" i="1" s="1"/>
  <c r="AE87" i="1"/>
  <c r="AM87" i="1"/>
  <c r="K88" i="1"/>
  <c r="M88" i="1"/>
  <c r="N88" i="1" s="1"/>
  <c r="Y88" i="1"/>
  <c r="Z88" i="1"/>
  <c r="AB88" i="1"/>
  <c r="AC88" i="1"/>
  <c r="AD88" i="1"/>
  <c r="T88" i="1" s="1"/>
  <c r="AE88" i="1"/>
  <c r="AM88" i="1"/>
  <c r="K89" i="1"/>
  <c r="M89" i="1"/>
  <c r="N89" i="1" s="1"/>
  <c r="Y89" i="1"/>
  <c r="Z89" i="1"/>
  <c r="AB89" i="1"/>
  <c r="AC89" i="1"/>
  <c r="AD89" i="1"/>
  <c r="T89" i="1" s="1"/>
  <c r="AE89" i="1"/>
  <c r="AM89" i="1"/>
  <c r="K90" i="1"/>
  <c r="M90" i="1"/>
  <c r="N90" i="1" s="1"/>
  <c r="Y90" i="1"/>
  <c r="Z90" i="1"/>
  <c r="AB90" i="1"/>
  <c r="AC90" i="1"/>
  <c r="AD90" i="1"/>
  <c r="T90" i="1" s="1"/>
  <c r="AE90" i="1"/>
  <c r="AM90" i="1"/>
  <c r="K91" i="1"/>
  <c r="M91" i="1"/>
  <c r="N91" i="1" s="1"/>
  <c r="Y91" i="1"/>
  <c r="Z91" i="1"/>
  <c r="AB91" i="1"/>
  <c r="AC91" i="1"/>
  <c r="AD91" i="1"/>
  <c r="T91" i="1" s="1"/>
  <c r="AE91" i="1"/>
  <c r="AM91" i="1"/>
  <c r="K92" i="1"/>
  <c r="M92" i="1"/>
  <c r="N92" i="1" s="1"/>
  <c r="Y92" i="1"/>
  <c r="Z92" i="1"/>
  <c r="AB92" i="1"/>
  <c r="AC92" i="1"/>
  <c r="AD92" i="1"/>
  <c r="T92" i="1" s="1"/>
  <c r="AE92" i="1"/>
  <c r="AM92" i="1"/>
  <c r="K159" i="1"/>
  <c r="M159" i="1"/>
  <c r="N159" i="1" s="1"/>
  <c r="Y159" i="1"/>
  <c r="Z159" i="1"/>
  <c r="AB159" i="1"/>
  <c r="AC159" i="1"/>
  <c r="AD159" i="1"/>
  <c r="T159" i="1" s="1"/>
  <c r="AE159" i="1"/>
  <c r="AM93" i="1"/>
  <c r="K160" i="1"/>
  <c r="M160" i="1"/>
  <c r="N160" i="1" s="1"/>
  <c r="Y160" i="1"/>
  <c r="Z160" i="1"/>
  <c r="AB160" i="1"/>
  <c r="AC160" i="1"/>
  <c r="AD160" i="1"/>
  <c r="T160" i="1" s="1"/>
  <c r="AE160" i="1"/>
  <c r="AM94" i="1"/>
  <c r="K161" i="1"/>
  <c r="M161" i="1"/>
  <c r="N161" i="1" s="1"/>
  <c r="Y161" i="1"/>
  <c r="Z161" i="1"/>
  <c r="AB161" i="1"/>
  <c r="AC161" i="1"/>
  <c r="AD161" i="1"/>
  <c r="T161" i="1" s="1"/>
  <c r="AE161" i="1"/>
  <c r="R32" i="3" s="1"/>
  <c r="AM95" i="1"/>
  <c r="K162" i="1"/>
  <c r="M162" i="1"/>
  <c r="N162" i="1" s="1"/>
  <c r="Y162" i="1"/>
  <c r="Z162" i="1"/>
  <c r="AB162" i="1"/>
  <c r="AC162" i="1"/>
  <c r="AD162" i="1"/>
  <c r="T162" i="1" s="1"/>
  <c r="AE162" i="1"/>
  <c r="R38" i="3" s="1"/>
  <c r="AM96" i="1"/>
  <c r="K163" i="1"/>
  <c r="M163" i="1"/>
  <c r="N163" i="1" s="1"/>
  <c r="Y163" i="1"/>
  <c r="Z163" i="1"/>
  <c r="AB163" i="1"/>
  <c r="AC163" i="1"/>
  <c r="AD163" i="1"/>
  <c r="X164" i="1" s="1"/>
  <c r="AE163" i="1"/>
  <c r="R33" i="3" s="1"/>
  <c r="AM97" i="1"/>
  <c r="K165" i="1"/>
  <c r="M165" i="1"/>
  <c r="N165" i="1" s="1"/>
  <c r="Y165" i="1"/>
  <c r="Z165" i="1"/>
  <c r="AB165" i="1"/>
  <c r="AC165" i="1"/>
  <c r="AD165" i="1"/>
  <c r="T165" i="1" s="1"/>
  <c r="AE165" i="1"/>
  <c r="R30" i="3" s="1"/>
  <c r="AM98" i="1"/>
  <c r="K167" i="1"/>
  <c r="M167" i="1"/>
  <c r="N167" i="1" s="1"/>
  <c r="Y167" i="1"/>
  <c r="Z167" i="1"/>
  <c r="AB167" i="1"/>
  <c r="AC167" i="1"/>
  <c r="AD167" i="1"/>
  <c r="T167" i="1" s="1"/>
  <c r="AE167" i="1"/>
  <c r="AM99" i="1"/>
  <c r="K168" i="1"/>
  <c r="M168" i="1"/>
  <c r="N168" i="1" s="1"/>
  <c r="Y168" i="1"/>
  <c r="Z168" i="1"/>
  <c r="AB168" i="1"/>
  <c r="AC168" i="1"/>
  <c r="AD168" i="1"/>
  <c r="T168" i="1" s="1"/>
  <c r="AE168" i="1"/>
  <c r="AM100" i="1"/>
  <c r="K93" i="1"/>
  <c r="M93" i="1"/>
  <c r="N93" i="1" s="1"/>
  <c r="Y93" i="1"/>
  <c r="Z93" i="1"/>
  <c r="AB93" i="1"/>
  <c r="AC93" i="1"/>
  <c r="AD93" i="1"/>
  <c r="T93" i="1" s="1"/>
  <c r="AE93" i="1"/>
  <c r="AM101" i="1"/>
  <c r="K169" i="1"/>
  <c r="M169" i="1"/>
  <c r="N169" i="1" s="1"/>
  <c r="Y169" i="1"/>
  <c r="Z169" i="1"/>
  <c r="AA169" i="1" s="1"/>
  <c r="AB169" i="1"/>
  <c r="AC169" i="1"/>
  <c r="AD169" i="1"/>
  <c r="T169" i="1" s="1"/>
  <c r="AE169" i="1"/>
  <c r="R35" i="3" s="1"/>
  <c r="AM102" i="1"/>
  <c r="K170" i="1"/>
  <c r="M170" i="1"/>
  <c r="N170" i="1"/>
  <c r="Y170" i="1"/>
  <c r="AA170" i="1" s="1"/>
  <c r="Z170" i="1"/>
  <c r="AB170" i="1"/>
  <c r="AC170" i="1"/>
  <c r="AD170" i="1"/>
  <c r="T170" i="1" s="1"/>
  <c r="AE170" i="1"/>
  <c r="AM103" i="1"/>
  <c r="K171" i="1"/>
  <c r="M171" i="1"/>
  <c r="N171" i="1" s="1"/>
  <c r="Y171" i="1"/>
  <c r="Z171" i="1"/>
  <c r="AB171" i="1"/>
  <c r="AC171" i="1"/>
  <c r="AD171" i="1"/>
  <c r="AE171" i="1"/>
  <c r="R36" i="3" s="1"/>
  <c r="AM104" i="1"/>
  <c r="K172" i="1"/>
  <c r="M172" i="1"/>
  <c r="N172" i="1" s="1"/>
  <c r="Y172" i="1"/>
  <c r="Z172" i="1"/>
  <c r="AB172" i="1"/>
  <c r="AC172" i="1"/>
  <c r="AD172" i="1"/>
  <c r="AE172" i="1"/>
  <c r="AM105" i="1"/>
  <c r="K173" i="1"/>
  <c r="M173" i="1"/>
  <c r="N173" i="1" s="1"/>
  <c r="Y173" i="1"/>
  <c r="Z173" i="1"/>
  <c r="AB173" i="1"/>
  <c r="AC173" i="1"/>
  <c r="AD173" i="1"/>
  <c r="T173" i="1" s="1"/>
  <c r="AE173" i="1"/>
  <c r="AM106" i="1"/>
  <c r="K174" i="1"/>
  <c r="M174" i="1"/>
  <c r="N174" i="1" s="1"/>
  <c r="Y174" i="1"/>
  <c r="Z174" i="1"/>
  <c r="AB174" i="1"/>
  <c r="AC174" i="1"/>
  <c r="AD174" i="1"/>
  <c r="T174" i="1" s="1"/>
  <c r="AE174" i="1"/>
  <c r="AM107" i="1"/>
  <c r="K175" i="1"/>
  <c r="M175" i="1"/>
  <c r="N175" i="1" s="1"/>
  <c r="Y175" i="1"/>
  <c r="Z175" i="1"/>
  <c r="AB175" i="1"/>
  <c r="AC175" i="1"/>
  <c r="AD175" i="1"/>
  <c r="T175" i="1" s="1"/>
  <c r="AE175" i="1"/>
  <c r="AM108" i="1"/>
  <c r="K176" i="1"/>
  <c r="M176" i="1"/>
  <c r="N176" i="1" s="1"/>
  <c r="Y176" i="1"/>
  <c r="AA176" i="1" s="1"/>
  <c r="Z176" i="1"/>
  <c r="AB176" i="1"/>
  <c r="AC176" i="1"/>
  <c r="AD176" i="1"/>
  <c r="T176" i="1" s="1"/>
  <c r="AE176" i="1"/>
  <c r="AM109" i="1"/>
  <c r="K177" i="1"/>
  <c r="M177" i="1"/>
  <c r="N177" i="1" s="1"/>
  <c r="Y177" i="1"/>
  <c r="Z177" i="1"/>
  <c r="AB177" i="1"/>
  <c r="AC177" i="1"/>
  <c r="AD177" i="1"/>
  <c r="T177" i="1" s="1"/>
  <c r="AE177" i="1"/>
  <c r="AM110" i="1"/>
  <c r="K178" i="1"/>
  <c r="M178" i="1"/>
  <c r="N178" i="1" s="1"/>
  <c r="Y178" i="1"/>
  <c r="Z178" i="1"/>
  <c r="AB178" i="1"/>
  <c r="AC178" i="1"/>
  <c r="AD178" i="1"/>
  <c r="T178" i="1" s="1"/>
  <c r="AE178" i="1"/>
  <c r="K94" i="1"/>
  <c r="M94" i="1"/>
  <c r="P94" i="1" s="1"/>
  <c r="Y94" i="1"/>
  <c r="Z94" i="1"/>
  <c r="AB94" i="1"/>
  <c r="AC94" i="1"/>
  <c r="AD94" i="1"/>
  <c r="T94" i="1" s="1"/>
  <c r="AE94" i="1"/>
  <c r="R24" i="3" s="1"/>
  <c r="AM111" i="1"/>
  <c r="K95" i="1"/>
  <c r="M95" i="1"/>
  <c r="Y95" i="1"/>
  <c r="Z95" i="1"/>
  <c r="AB95" i="1"/>
  <c r="AC95" i="1"/>
  <c r="AD95" i="1"/>
  <c r="AE95" i="1"/>
  <c r="AM112" i="1"/>
  <c r="K179" i="1"/>
  <c r="M179" i="1"/>
  <c r="N179" i="1" s="1"/>
  <c r="Y179" i="1"/>
  <c r="Z179" i="1"/>
  <c r="AB179" i="1"/>
  <c r="AC179" i="1"/>
  <c r="AD179" i="1"/>
  <c r="T179" i="1" s="1"/>
  <c r="AE179" i="1"/>
  <c r="AM113" i="1"/>
  <c r="K180" i="1"/>
  <c r="M180" i="1"/>
  <c r="N180" i="1" s="1"/>
  <c r="Y180" i="1"/>
  <c r="Z180" i="1"/>
  <c r="AB180" i="1"/>
  <c r="AC180" i="1"/>
  <c r="AD180" i="1"/>
  <c r="T180" i="1" s="1"/>
  <c r="AE180" i="1"/>
  <c r="AM114" i="1"/>
  <c r="K181" i="1"/>
  <c r="M181" i="1"/>
  <c r="N181" i="1" s="1"/>
  <c r="Y181" i="1"/>
  <c r="Z181" i="1"/>
  <c r="AB181" i="1"/>
  <c r="AC181" i="1"/>
  <c r="AD181" i="1"/>
  <c r="T181" i="1" s="1"/>
  <c r="AE181" i="1"/>
  <c r="AM115" i="1"/>
  <c r="K182" i="1"/>
  <c r="M182" i="1"/>
  <c r="N182" i="1" s="1"/>
  <c r="Y182" i="1"/>
  <c r="Z182" i="1"/>
  <c r="AB182" i="1"/>
  <c r="AC182" i="1"/>
  <c r="AD182" i="1"/>
  <c r="T182" i="1" s="1"/>
  <c r="AE182" i="1"/>
  <c r="AM116" i="1"/>
  <c r="K183" i="1"/>
  <c r="M183" i="1"/>
  <c r="N183" i="1" s="1"/>
  <c r="Y183" i="1"/>
  <c r="Z183" i="1"/>
  <c r="AB183" i="1"/>
  <c r="AC183" i="1"/>
  <c r="AD183" i="1"/>
  <c r="AE183" i="1"/>
  <c r="AM117" i="1"/>
  <c r="K184" i="1"/>
  <c r="M184" i="1"/>
  <c r="N184" i="1" s="1"/>
  <c r="Y184" i="1"/>
  <c r="Z184" i="1"/>
  <c r="AB184" i="1"/>
  <c r="AC184" i="1"/>
  <c r="AD184" i="1"/>
  <c r="T184" i="1" s="1"/>
  <c r="AE184" i="1"/>
  <c r="AM118" i="1"/>
  <c r="K185" i="1"/>
  <c r="M185" i="1"/>
  <c r="N185" i="1" s="1"/>
  <c r="Y185" i="1"/>
  <c r="Z185" i="1"/>
  <c r="AB185" i="1"/>
  <c r="AC185" i="1"/>
  <c r="AD185" i="1"/>
  <c r="X185" i="1" s="1"/>
  <c r="AE185" i="1"/>
  <c r="AM119" i="1"/>
  <c r="K186" i="1"/>
  <c r="M186" i="1"/>
  <c r="N186" i="1" s="1"/>
  <c r="Y186" i="1"/>
  <c r="Z186" i="1"/>
  <c r="AB186" i="1"/>
  <c r="AC186" i="1"/>
  <c r="AD186" i="1"/>
  <c r="AE186" i="1"/>
  <c r="AM120" i="1"/>
  <c r="K187" i="1"/>
  <c r="M187" i="1"/>
  <c r="N187" i="1" s="1"/>
  <c r="Y187" i="1"/>
  <c r="Z187" i="1"/>
  <c r="AB187" i="1"/>
  <c r="AC187" i="1"/>
  <c r="AD187" i="1"/>
  <c r="T187" i="1" s="1"/>
  <c r="AE187" i="1"/>
  <c r="R37" i="3" s="1"/>
  <c r="AM121" i="1"/>
  <c r="K96" i="1"/>
  <c r="M96" i="1"/>
  <c r="P96" i="1" s="1"/>
  <c r="Y96" i="1"/>
  <c r="Z96" i="1"/>
  <c r="AB96" i="1"/>
  <c r="AC96" i="1"/>
  <c r="AD96" i="1"/>
  <c r="T96" i="1" s="1"/>
  <c r="AE96" i="1"/>
  <c r="R20" i="3" s="1"/>
  <c r="AM122" i="1"/>
  <c r="K97" i="1"/>
  <c r="M97" i="1"/>
  <c r="Y97" i="1"/>
  <c r="Z97" i="1"/>
  <c r="AB97" i="1"/>
  <c r="AC97" i="1"/>
  <c r="AD97" i="1"/>
  <c r="T97" i="1" s="1"/>
  <c r="AE97" i="1"/>
  <c r="AM123" i="1"/>
  <c r="K189" i="1"/>
  <c r="M189" i="1"/>
  <c r="N189" i="1" s="1"/>
  <c r="Y189" i="1"/>
  <c r="Z189" i="1"/>
  <c r="AB189" i="1"/>
  <c r="AC189" i="1"/>
  <c r="AD189" i="1"/>
  <c r="X189" i="1" s="1"/>
  <c r="AE189" i="1"/>
  <c r="AM124" i="1"/>
  <c r="K190" i="1"/>
  <c r="M190" i="1"/>
  <c r="N190" i="1" s="1"/>
  <c r="Y190" i="1"/>
  <c r="Z190" i="1"/>
  <c r="AB190" i="1"/>
  <c r="AC190" i="1"/>
  <c r="AD190" i="1"/>
  <c r="T190" i="1" s="1"/>
  <c r="AE190" i="1"/>
  <c r="AM125" i="1"/>
  <c r="K191" i="1"/>
  <c r="M191" i="1"/>
  <c r="N191" i="1" s="1"/>
  <c r="Y191" i="1"/>
  <c r="Z191" i="1"/>
  <c r="AB191" i="1"/>
  <c r="AC191" i="1"/>
  <c r="AD191" i="1"/>
  <c r="AE191" i="1"/>
  <c r="AM126" i="1"/>
  <c r="AM127" i="1"/>
  <c r="K192" i="1"/>
  <c r="M192" i="1"/>
  <c r="N192" i="1" s="1"/>
  <c r="Y192" i="1"/>
  <c r="Z192" i="1"/>
  <c r="AB192" i="1"/>
  <c r="AC192" i="1"/>
  <c r="AD192" i="1"/>
  <c r="T192" i="1" s="1"/>
  <c r="AE192" i="1"/>
  <c r="R31" i="3" s="1"/>
  <c r="AM128" i="1"/>
  <c r="K193" i="1"/>
  <c r="M193" i="1"/>
  <c r="N193" i="1" s="1"/>
  <c r="Y193" i="1"/>
  <c r="Z193" i="1"/>
  <c r="AB193" i="1"/>
  <c r="AC193" i="1"/>
  <c r="AD193" i="1"/>
  <c r="T193" i="1" s="1"/>
  <c r="AE193" i="1"/>
  <c r="AM129" i="1"/>
  <c r="K194" i="1"/>
  <c r="M194" i="1"/>
  <c r="N194" i="1" s="1"/>
  <c r="Y194" i="1"/>
  <c r="Z194" i="1"/>
  <c r="AB194" i="1"/>
  <c r="AC194" i="1"/>
  <c r="AD194" i="1"/>
  <c r="T194" i="1" s="1"/>
  <c r="AE194" i="1"/>
  <c r="K98" i="1"/>
  <c r="M98" i="1"/>
  <c r="N98" i="1" s="1"/>
  <c r="Y98" i="1"/>
  <c r="Z98" i="1"/>
  <c r="AB98" i="1"/>
  <c r="AC98" i="1"/>
  <c r="AD98" i="1"/>
  <c r="T98" i="1" s="1"/>
  <c r="AE98" i="1"/>
  <c r="R11" i="3" s="1"/>
  <c r="AM130" i="1"/>
  <c r="K99" i="1"/>
  <c r="M99" i="1"/>
  <c r="N99" i="1" s="1"/>
  <c r="Y99" i="1"/>
  <c r="Z99" i="1"/>
  <c r="AB99" i="1"/>
  <c r="AC99" i="1"/>
  <c r="AD99" i="1"/>
  <c r="T99" i="1" s="1"/>
  <c r="AE99" i="1"/>
  <c r="AM131" i="1"/>
  <c r="K100" i="1"/>
  <c r="M100" i="1"/>
  <c r="N100" i="1" s="1"/>
  <c r="Y100" i="1"/>
  <c r="Z100" i="1"/>
  <c r="AB100" i="1"/>
  <c r="AC100" i="1"/>
  <c r="AD100" i="1"/>
  <c r="T100" i="1" s="1"/>
  <c r="AE100" i="1"/>
  <c r="AM132" i="1"/>
  <c r="K101" i="1"/>
  <c r="M101" i="1"/>
  <c r="N101" i="1" s="1"/>
  <c r="Y101" i="1"/>
  <c r="Z101" i="1"/>
  <c r="AB101" i="1"/>
  <c r="AC101" i="1"/>
  <c r="AD101" i="1"/>
  <c r="AE101" i="1"/>
  <c r="R14" i="3" s="1"/>
  <c r="AM133" i="1"/>
  <c r="K102" i="1"/>
  <c r="M102" i="1"/>
  <c r="N102" i="1" s="1"/>
  <c r="Y102" i="1"/>
  <c r="Z102" i="1"/>
  <c r="AB102" i="1"/>
  <c r="AC102" i="1"/>
  <c r="AD102" i="1"/>
  <c r="T102" i="1" s="1"/>
  <c r="AE102" i="1"/>
  <c r="R22" i="3" s="1"/>
  <c r="AM134" i="1"/>
  <c r="K103" i="1"/>
  <c r="M103" i="1"/>
  <c r="N103" i="1" s="1"/>
  <c r="Y103" i="1"/>
  <c r="Z103" i="1"/>
  <c r="AB103" i="1"/>
  <c r="AC103" i="1"/>
  <c r="AD103" i="1"/>
  <c r="T103" i="1" s="1"/>
  <c r="AE103" i="1"/>
  <c r="AM135" i="1"/>
  <c r="K104" i="1"/>
  <c r="M104" i="1"/>
  <c r="N104" i="1" s="1"/>
  <c r="Y104" i="1"/>
  <c r="Z104" i="1"/>
  <c r="AB104" i="1"/>
  <c r="AC104" i="1"/>
  <c r="AD104" i="1"/>
  <c r="T104" i="1" s="1"/>
  <c r="AE104" i="1"/>
  <c r="AM136" i="1"/>
  <c r="K203" i="1"/>
  <c r="M203" i="1"/>
  <c r="N203" i="1" s="1"/>
  <c r="Y203" i="1"/>
  <c r="Z203" i="1"/>
  <c r="AB203" i="1"/>
  <c r="AC203" i="1"/>
  <c r="AD203" i="1"/>
  <c r="T203" i="1" s="1"/>
  <c r="AE203" i="1"/>
  <c r="AM137" i="1"/>
  <c r="K204" i="1"/>
  <c r="M204" i="1"/>
  <c r="N204" i="1" s="1"/>
  <c r="Y204" i="1"/>
  <c r="Z204" i="1"/>
  <c r="AB204" i="1"/>
  <c r="AC204" i="1"/>
  <c r="AD204" i="1"/>
  <c r="T204" i="1" s="1"/>
  <c r="AE204" i="1"/>
  <c r="AM138" i="1"/>
  <c r="K105" i="1"/>
  <c r="M105" i="1"/>
  <c r="N105" i="1" s="1"/>
  <c r="Y105" i="1"/>
  <c r="Z105" i="1"/>
  <c r="AB105" i="1"/>
  <c r="AC105" i="1"/>
  <c r="AD105" i="1"/>
  <c r="AE105" i="1"/>
  <c r="AM139" i="1"/>
  <c r="K106" i="1"/>
  <c r="M106" i="1"/>
  <c r="N106" i="1" s="1"/>
  <c r="Y106" i="1"/>
  <c r="Z106" i="1"/>
  <c r="AB106" i="1"/>
  <c r="AC106" i="1"/>
  <c r="AD106" i="1"/>
  <c r="T106" i="1" s="1"/>
  <c r="AE106" i="1"/>
  <c r="AM140" i="1"/>
  <c r="K107" i="1"/>
  <c r="M107" i="1"/>
  <c r="N107" i="1" s="1"/>
  <c r="Y107" i="1"/>
  <c r="Z107" i="1"/>
  <c r="AB107" i="1"/>
  <c r="AC107" i="1"/>
  <c r="AD107" i="1"/>
  <c r="T107" i="1" s="1"/>
  <c r="AE107" i="1"/>
  <c r="AM141" i="1"/>
  <c r="K108" i="1"/>
  <c r="M108" i="1"/>
  <c r="N108" i="1" s="1"/>
  <c r="Y108" i="1"/>
  <c r="Z108" i="1"/>
  <c r="AB108" i="1"/>
  <c r="AC108" i="1"/>
  <c r="AD108" i="1"/>
  <c r="T108" i="1" s="1"/>
  <c r="AE108" i="1"/>
  <c r="AM142" i="1"/>
  <c r="K109" i="1"/>
  <c r="M109" i="1"/>
  <c r="N109" i="1" s="1"/>
  <c r="Y109" i="1"/>
  <c r="Z109" i="1"/>
  <c r="AB109" i="1"/>
  <c r="AC109" i="1"/>
  <c r="AD109" i="1"/>
  <c r="T109" i="1" s="1"/>
  <c r="AE109" i="1"/>
  <c r="R29" i="3" s="1"/>
  <c r="AM143" i="1"/>
  <c r="K110" i="1"/>
  <c r="M110" i="1"/>
  <c r="N110" i="1" s="1"/>
  <c r="Y110" i="1"/>
  <c r="Z110" i="1"/>
  <c r="AB110" i="1"/>
  <c r="AC110" i="1"/>
  <c r="AD110" i="1"/>
  <c r="T110" i="1" s="1"/>
  <c r="AE110" i="1"/>
  <c r="AM144" i="1"/>
  <c r="AM145" i="1"/>
  <c r="K111" i="1"/>
  <c r="M111" i="1"/>
  <c r="N111" i="1" s="1"/>
  <c r="Y111" i="1"/>
  <c r="Z111" i="1"/>
  <c r="AB111" i="1"/>
  <c r="AC111" i="1"/>
  <c r="AD111" i="1"/>
  <c r="T111" i="1" s="1"/>
  <c r="AE111" i="1"/>
  <c r="AM146" i="1"/>
  <c r="K112" i="1"/>
  <c r="M112" i="1"/>
  <c r="N112" i="1" s="1"/>
  <c r="Y112" i="1"/>
  <c r="Z112" i="1"/>
  <c r="AB112" i="1"/>
  <c r="AC112" i="1"/>
  <c r="AD112" i="1"/>
  <c r="AE112" i="1"/>
  <c r="R8" i="3" s="1"/>
  <c r="AM147" i="1"/>
  <c r="K113" i="1"/>
  <c r="M113" i="1"/>
  <c r="N113" i="1" s="1"/>
  <c r="Y113" i="1"/>
  <c r="Z113" i="1"/>
  <c r="AB113" i="1"/>
  <c r="AC113" i="1"/>
  <c r="AD113" i="1"/>
  <c r="T113" i="1" s="1"/>
  <c r="AE113" i="1"/>
  <c r="AM148" i="1"/>
  <c r="K114" i="1"/>
  <c r="M114" i="1"/>
  <c r="N114" i="1" s="1"/>
  <c r="Y114" i="1"/>
  <c r="Z114" i="1"/>
  <c r="AB114" i="1"/>
  <c r="AC114" i="1"/>
  <c r="AD114" i="1"/>
  <c r="T114" i="1" s="1"/>
  <c r="AE114" i="1"/>
  <c r="AM149" i="1"/>
  <c r="K115" i="1"/>
  <c r="M115" i="1"/>
  <c r="N115" i="1" s="1"/>
  <c r="Y115" i="1"/>
  <c r="Z115" i="1"/>
  <c r="AB115" i="1"/>
  <c r="AC115" i="1"/>
  <c r="AD115" i="1"/>
  <c r="AE115" i="1"/>
  <c r="AM150" i="1"/>
  <c r="K116" i="1"/>
  <c r="M116" i="1"/>
  <c r="P116" i="1" s="1"/>
  <c r="Y116" i="1"/>
  <c r="Z116" i="1"/>
  <c r="AB116" i="1"/>
  <c r="AC116" i="1"/>
  <c r="AD116" i="1"/>
  <c r="T116" i="1" s="1"/>
  <c r="AE116" i="1"/>
  <c r="AM151" i="1"/>
  <c r="K117" i="1"/>
  <c r="M117" i="1"/>
  <c r="N117" i="1" s="1"/>
  <c r="Y117" i="1"/>
  <c r="Z117" i="1"/>
  <c r="AB117" i="1"/>
  <c r="AC117" i="1"/>
  <c r="AD117" i="1"/>
  <c r="T117" i="1" s="1"/>
  <c r="AE117" i="1"/>
  <c r="AM152" i="1"/>
  <c r="K118" i="1"/>
  <c r="M118" i="1"/>
  <c r="N118" i="1" s="1"/>
  <c r="Y118" i="1"/>
  <c r="Z118" i="1"/>
  <c r="AB118" i="1"/>
  <c r="AC118" i="1"/>
  <c r="AD118" i="1"/>
  <c r="T118" i="1" s="1"/>
  <c r="AE118" i="1"/>
  <c r="AM153" i="1"/>
  <c r="K119" i="1"/>
  <c r="M119" i="1"/>
  <c r="N119" i="1" s="1"/>
  <c r="Y119" i="1"/>
  <c r="Z119" i="1"/>
  <c r="AB119" i="1"/>
  <c r="AC119" i="1"/>
  <c r="AD119" i="1"/>
  <c r="AE119" i="1"/>
  <c r="AM154" i="1"/>
  <c r="K120" i="1"/>
  <c r="M120" i="1"/>
  <c r="N120" i="1" s="1"/>
  <c r="Y120" i="1"/>
  <c r="Z120" i="1"/>
  <c r="AB120" i="1"/>
  <c r="AC120" i="1"/>
  <c r="AD120" i="1"/>
  <c r="AE120" i="1"/>
  <c r="AM155" i="1"/>
  <c r="K121" i="1"/>
  <c r="M121" i="1"/>
  <c r="N121" i="1" s="1"/>
  <c r="Y121" i="1"/>
  <c r="Z121" i="1"/>
  <c r="AB121" i="1"/>
  <c r="AC121" i="1"/>
  <c r="AD121" i="1"/>
  <c r="T121" i="1" s="1"/>
  <c r="AE121" i="1"/>
  <c r="AM156" i="1"/>
  <c r="K122" i="1"/>
  <c r="M122" i="1"/>
  <c r="N122" i="1" s="1"/>
  <c r="Y122" i="1"/>
  <c r="Z122" i="1"/>
  <c r="AB122" i="1"/>
  <c r="AC122" i="1"/>
  <c r="AD122" i="1"/>
  <c r="T122" i="1" s="1"/>
  <c r="AE122" i="1"/>
  <c r="AM157" i="1"/>
  <c r="K123" i="1"/>
  <c r="M123" i="1"/>
  <c r="N123" i="1" s="1"/>
  <c r="Y123" i="1"/>
  <c r="Z123" i="1"/>
  <c r="AB123" i="1"/>
  <c r="AC123" i="1"/>
  <c r="AD123" i="1"/>
  <c r="T123" i="1" s="1"/>
  <c r="AE123" i="1"/>
  <c r="AM158" i="1"/>
  <c r="K124" i="1"/>
  <c r="M124" i="1"/>
  <c r="N124" i="1" s="1"/>
  <c r="Y124" i="1"/>
  <c r="Z124" i="1"/>
  <c r="AB124" i="1"/>
  <c r="AC124" i="1"/>
  <c r="AD124" i="1"/>
  <c r="AE124" i="1"/>
  <c r="AM159" i="1"/>
  <c r="K125" i="1"/>
  <c r="M125" i="1"/>
  <c r="N125" i="1" s="1"/>
  <c r="Y125" i="1"/>
  <c r="Z125" i="1"/>
  <c r="AB125" i="1"/>
  <c r="AC125" i="1"/>
  <c r="AD125" i="1"/>
  <c r="T125" i="1" s="1"/>
  <c r="AE125" i="1"/>
  <c r="AM160" i="1"/>
  <c r="K126" i="1"/>
  <c r="M126" i="1"/>
  <c r="N126" i="1" s="1"/>
  <c r="Y126" i="1"/>
  <c r="Z126" i="1"/>
  <c r="AB126" i="1"/>
  <c r="AC126" i="1"/>
  <c r="AD126" i="1"/>
  <c r="T126" i="1" s="1"/>
  <c r="AE126" i="1"/>
  <c r="AM161" i="1"/>
  <c r="K127" i="1"/>
  <c r="M127" i="1"/>
  <c r="N127" i="1" s="1"/>
  <c r="Y127" i="1"/>
  <c r="Z127" i="1"/>
  <c r="AB127" i="1"/>
  <c r="AC127" i="1"/>
  <c r="AD127" i="1"/>
  <c r="T127" i="1" s="1"/>
  <c r="AE127" i="1"/>
  <c r="AM162" i="1"/>
  <c r="K128" i="1"/>
  <c r="M128" i="1"/>
  <c r="N128" i="1" s="1"/>
  <c r="Y128" i="1"/>
  <c r="Z128" i="1"/>
  <c r="AB128" i="1"/>
  <c r="AC128" i="1"/>
  <c r="AD128" i="1"/>
  <c r="AE128" i="1"/>
  <c r="AM163" i="1"/>
  <c r="K129" i="1"/>
  <c r="M129" i="1"/>
  <c r="N129" i="1" s="1"/>
  <c r="Y129" i="1"/>
  <c r="Z129" i="1"/>
  <c r="AB129" i="1"/>
  <c r="AC129" i="1"/>
  <c r="AD129" i="1"/>
  <c r="T129" i="1" s="1"/>
  <c r="AE129" i="1"/>
  <c r="AM165" i="1"/>
  <c r="AM167" i="1"/>
  <c r="K130" i="1"/>
  <c r="M130" i="1"/>
  <c r="N130" i="1" s="1"/>
  <c r="Y130" i="1"/>
  <c r="Z130" i="1"/>
  <c r="AB130" i="1"/>
  <c r="AC130" i="1"/>
  <c r="AD130" i="1"/>
  <c r="AE130" i="1"/>
  <c r="AM168" i="1"/>
  <c r="K131" i="1"/>
  <c r="M131" i="1"/>
  <c r="N131" i="1" s="1"/>
  <c r="Y131" i="1"/>
  <c r="Z131" i="1"/>
  <c r="AB131" i="1"/>
  <c r="AC131" i="1"/>
  <c r="AD131" i="1"/>
  <c r="T131" i="1" s="1"/>
  <c r="AE131" i="1"/>
  <c r="AM169" i="1"/>
  <c r="K132" i="1"/>
  <c r="M132" i="1"/>
  <c r="N132" i="1" s="1"/>
  <c r="Y132" i="1"/>
  <c r="Z132" i="1"/>
  <c r="AB132" i="1"/>
  <c r="AC132" i="1"/>
  <c r="AD132" i="1"/>
  <c r="T132" i="1" s="1"/>
  <c r="AE132" i="1"/>
  <c r="R28" i="3" s="1"/>
  <c r="AM170" i="1"/>
  <c r="K133" i="1"/>
  <c r="M133" i="1"/>
  <c r="N133" i="1" s="1"/>
  <c r="Y133" i="1"/>
  <c r="Z133" i="1"/>
  <c r="AB133" i="1"/>
  <c r="AC133" i="1"/>
  <c r="AD133" i="1"/>
  <c r="AE133" i="1"/>
  <c r="AM171" i="1"/>
  <c r="K134" i="1"/>
  <c r="M134" i="1"/>
  <c r="N134" i="1" s="1"/>
  <c r="Y134" i="1"/>
  <c r="Z134" i="1"/>
  <c r="AB134" i="1"/>
  <c r="AC134" i="1"/>
  <c r="AD134" i="1"/>
  <c r="T134" i="1" s="1"/>
  <c r="AE134" i="1"/>
  <c r="AM172" i="1"/>
  <c r="K135" i="1"/>
  <c r="M135" i="1"/>
  <c r="N135" i="1" s="1"/>
  <c r="Y135" i="1"/>
  <c r="Z135" i="1"/>
  <c r="AB135" i="1"/>
  <c r="AC135" i="1"/>
  <c r="AD135" i="1"/>
  <c r="T135" i="1" s="1"/>
  <c r="AE135" i="1"/>
  <c r="AM173" i="1"/>
  <c r="K136" i="1"/>
  <c r="M136" i="1"/>
  <c r="N136" i="1" s="1"/>
  <c r="Y136" i="1"/>
  <c r="Z136" i="1"/>
  <c r="AB136" i="1"/>
  <c r="AC136" i="1"/>
  <c r="AD136" i="1"/>
  <c r="T136" i="1" s="1"/>
  <c r="AE136" i="1"/>
  <c r="AM174" i="1"/>
  <c r="K137" i="1"/>
  <c r="M137" i="1"/>
  <c r="N137" i="1" s="1"/>
  <c r="Y137" i="1"/>
  <c r="Z137" i="1"/>
  <c r="AB137" i="1"/>
  <c r="AC137" i="1"/>
  <c r="AD137" i="1"/>
  <c r="T137" i="1" s="1"/>
  <c r="AE137" i="1"/>
  <c r="AM175" i="1"/>
  <c r="K138" i="1"/>
  <c r="M138" i="1"/>
  <c r="N138" i="1" s="1"/>
  <c r="Y138" i="1"/>
  <c r="Z138" i="1"/>
  <c r="AB138" i="1"/>
  <c r="AC138" i="1"/>
  <c r="AD138" i="1"/>
  <c r="T138" i="1" s="1"/>
  <c r="AE138" i="1"/>
  <c r="AM176" i="1"/>
  <c r="K139" i="1"/>
  <c r="M139" i="1"/>
  <c r="N139" i="1" s="1"/>
  <c r="Y139" i="1"/>
  <c r="Z139" i="1"/>
  <c r="AB139" i="1"/>
  <c r="AC139" i="1"/>
  <c r="AD139" i="1"/>
  <c r="T139" i="1" s="1"/>
  <c r="AE139" i="1"/>
  <c r="AM177" i="1"/>
  <c r="K140" i="1"/>
  <c r="M140" i="1"/>
  <c r="N140" i="1" s="1"/>
  <c r="Y140" i="1"/>
  <c r="Z140" i="1"/>
  <c r="AB140" i="1"/>
  <c r="AC140" i="1"/>
  <c r="AD140" i="1"/>
  <c r="T140" i="1" s="1"/>
  <c r="AE140" i="1"/>
  <c r="R12" i="3" s="1"/>
  <c r="AM178" i="1"/>
  <c r="K141" i="1"/>
  <c r="M141" i="1"/>
  <c r="N141" i="1" s="1"/>
  <c r="Y141" i="1"/>
  <c r="Z141" i="1"/>
  <c r="AA141" i="1" s="1"/>
  <c r="AB141" i="1"/>
  <c r="AC141" i="1"/>
  <c r="AD141" i="1"/>
  <c r="T141" i="1" s="1"/>
  <c r="AE141" i="1"/>
  <c r="AM179" i="1"/>
  <c r="K142" i="1"/>
  <c r="M142" i="1"/>
  <c r="N142" i="1" s="1"/>
  <c r="Y142" i="1"/>
  <c r="Z142" i="1"/>
  <c r="AB142" i="1"/>
  <c r="AC142" i="1"/>
  <c r="AD142" i="1"/>
  <c r="T142" i="1" s="1"/>
  <c r="AE142" i="1"/>
  <c r="AM180" i="1"/>
  <c r="K143" i="1"/>
  <c r="M143" i="1"/>
  <c r="N143" i="1" s="1"/>
  <c r="Y143" i="1"/>
  <c r="Z143" i="1"/>
  <c r="AA143" i="1" s="1"/>
  <c r="AB143" i="1"/>
  <c r="AC143" i="1"/>
  <c r="AD143" i="1"/>
  <c r="T143" i="1" s="1"/>
  <c r="AE143" i="1"/>
  <c r="AM181" i="1"/>
  <c r="K144" i="1"/>
  <c r="M144" i="1"/>
  <c r="N144" i="1"/>
  <c r="Y144" i="1"/>
  <c r="Z144" i="1"/>
  <c r="AB144" i="1"/>
  <c r="AC144" i="1"/>
  <c r="AD144" i="1"/>
  <c r="T144" i="1" s="1"/>
  <c r="AE144" i="1"/>
  <c r="AM182" i="1"/>
  <c r="K145" i="1"/>
  <c r="M145" i="1"/>
  <c r="N145" i="1" s="1"/>
  <c r="Y145" i="1"/>
  <c r="Z145" i="1"/>
  <c r="AB145" i="1"/>
  <c r="AC145" i="1"/>
  <c r="AD145" i="1"/>
  <c r="T145" i="1" s="1"/>
  <c r="AE145" i="1"/>
  <c r="AM183" i="1"/>
  <c r="K146" i="1"/>
  <c r="M146" i="1"/>
  <c r="N146" i="1" s="1"/>
  <c r="Y146" i="1"/>
  <c r="Z146" i="1"/>
  <c r="AB146" i="1"/>
  <c r="AC146" i="1"/>
  <c r="AD146" i="1"/>
  <c r="T146" i="1" s="1"/>
  <c r="AE146" i="1"/>
  <c r="AM184" i="1"/>
  <c r="K147" i="1"/>
  <c r="M147" i="1"/>
  <c r="N147" i="1" s="1"/>
  <c r="Y147" i="1"/>
  <c r="Z147" i="1"/>
  <c r="AB147" i="1"/>
  <c r="AC147" i="1"/>
  <c r="AD147" i="1"/>
  <c r="T147" i="1" s="1"/>
  <c r="AE147" i="1"/>
  <c r="AM185" i="1"/>
  <c r="K148" i="1"/>
  <c r="M148" i="1"/>
  <c r="N148" i="1" s="1"/>
  <c r="Y148" i="1"/>
  <c r="Z148" i="1"/>
  <c r="AB148" i="1"/>
  <c r="AC148" i="1"/>
  <c r="AD148" i="1"/>
  <c r="T148" i="1" s="1"/>
  <c r="AE148" i="1"/>
  <c r="AM186" i="1"/>
  <c r="K149" i="1"/>
  <c r="M149" i="1"/>
  <c r="N149" i="1" s="1"/>
  <c r="Y149" i="1"/>
  <c r="Z149" i="1"/>
  <c r="AB149" i="1"/>
  <c r="AC149" i="1"/>
  <c r="AD149" i="1"/>
  <c r="AE149" i="1"/>
  <c r="AM187" i="1"/>
  <c r="K150" i="1"/>
  <c r="M150" i="1"/>
  <c r="N150" i="1" s="1"/>
  <c r="Y150" i="1"/>
  <c r="Z150" i="1"/>
  <c r="AB150" i="1"/>
  <c r="AC150" i="1"/>
  <c r="AD150" i="1"/>
  <c r="T150" i="1" s="1"/>
  <c r="AE150" i="1"/>
  <c r="AM189" i="1"/>
  <c r="K151" i="1"/>
  <c r="M151" i="1"/>
  <c r="N151" i="1" s="1"/>
  <c r="Y151" i="1"/>
  <c r="Z151" i="1"/>
  <c r="AB151" i="1"/>
  <c r="AC151" i="1"/>
  <c r="AD151" i="1"/>
  <c r="T151" i="1" s="1"/>
  <c r="AE151" i="1"/>
  <c r="AM190" i="1"/>
  <c r="K152" i="1"/>
  <c r="M152" i="1"/>
  <c r="N152" i="1" s="1"/>
  <c r="Y152" i="1"/>
  <c r="Z152" i="1"/>
  <c r="AB152" i="1"/>
  <c r="AC152" i="1"/>
  <c r="AD152" i="1"/>
  <c r="T152" i="1" s="1"/>
  <c r="AE152" i="1"/>
  <c r="AM191" i="1"/>
  <c r="K153" i="1"/>
  <c r="M153" i="1"/>
  <c r="N153" i="1" s="1"/>
  <c r="Y153" i="1"/>
  <c r="Z153" i="1"/>
  <c r="AB153" i="1"/>
  <c r="AC153" i="1"/>
  <c r="AD153" i="1"/>
  <c r="T153" i="1" s="1"/>
  <c r="AE153" i="1"/>
  <c r="K154" i="1"/>
  <c r="M154" i="1"/>
  <c r="N154" i="1" s="1"/>
  <c r="Y154" i="1"/>
  <c r="Z154" i="1"/>
  <c r="AB154" i="1"/>
  <c r="AC154" i="1"/>
  <c r="AD154" i="1"/>
  <c r="T154" i="1" s="1"/>
  <c r="AE154" i="1"/>
  <c r="AM192" i="1"/>
  <c r="K155" i="1"/>
  <c r="M155" i="1"/>
  <c r="N155" i="1" s="1"/>
  <c r="Y155" i="1"/>
  <c r="Z155" i="1"/>
  <c r="AB155" i="1"/>
  <c r="AC155" i="1"/>
  <c r="AD155" i="1"/>
  <c r="T155" i="1" s="1"/>
  <c r="AE155" i="1"/>
  <c r="AM193" i="1"/>
  <c r="K156" i="1"/>
  <c r="M156" i="1"/>
  <c r="N156" i="1" s="1"/>
  <c r="Y156" i="1"/>
  <c r="Z156" i="1"/>
  <c r="AB156" i="1"/>
  <c r="AC156" i="1"/>
  <c r="AD156" i="1"/>
  <c r="T156" i="1" s="1"/>
  <c r="AE156" i="1"/>
  <c r="AM194" i="1"/>
  <c r="K157" i="1"/>
  <c r="M157" i="1"/>
  <c r="N157" i="1" s="1"/>
  <c r="Y157" i="1"/>
  <c r="Z157" i="1"/>
  <c r="AB157" i="1"/>
  <c r="AC157" i="1"/>
  <c r="AD157" i="1"/>
  <c r="T157" i="1" s="1"/>
  <c r="AE157" i="1"/>
  <c r="AM195" i="1"/>
  <c r="K158" i="1"/>
  <c r="M158" i="1"/>
  <c r="N158" i="1" s="1"/>
  <c r="Y158" i="1"/>
  <c r="Z158" i="1"/>
  <c r="AB158" i="1"/>
  <c r="AC158" i="1"/>
  <c r="AD158" i="1"/>
  <c r="AE158" i="1"/>
  <c r="AM196" i="1"/>
  <c r="K195" i="1"/>
  <c r="M195" i="1"/>
  <c r="N195" i="1" s="1"/>
  <c r="Y195" i="1"/>
  <c r="Z195" i="1"/>
  <c r="AB195" i="1"/>
  <c r="AC195" i="1"/>
  <c r="AD195" i="1"/>
  <c r="T195" i="1" s="1"/>
  <c r="AE195" i="1"/>
  <c r="AM197" i="1"/>
  <c r="K196" i="1"/>
  <c r="M196" i="1"/>
  <c r="N196" i="1" s="1"/>
  <c r="Y196" i="1"/>
  <c r="Z196" i="1"/>
  <c r="AB196" i="1"/>
  <c r="AC196" i="1"/>
  <c r="AD196" i="1"/>
  <c r="T196" i="1" s="1"/>
  <c r="AE196" i="1"/>
  <c r="R39" i="3" s="1"/>
  <c r="AM198" i="1"/>
  <c r="K197" i="1"/>
  <c r="M197" i="1"/>
  <c r="N197" i="1" s="1"/>
  <c r="Y197" i="1"/>
  <c r="Z197" i="1"/>
  <c r="AB197" i="1"/>
  <c r="AC197" i="1"/>
  <c r="AD197" i="1"/>
  <c r="T197" i="1" s="1"/>
  <c r="AE197" i="1"/>
  <c r="AM199" i="1"/>
  <c r="K198" i="1"/>
  <c r="M198" i="1"/>
  <c r="N198" i="1" s="1"/>
  <c r="Y198" i="1"/>
  <c r="Z198" i="1"/>
  <c r="AB198" i="1"/>
  <c r="AC198" i="1"/>
  <c r="AD198" i="1"/>
  <c r="T198" i="1" s="1"/>
  <c r="AE198" i="1"/>
  <c r="AM200" i="1"/>
  <c r="K199" i="1"/>
  <c r="M199" i="1"/>
  <c r="N199" i="1" s="1"/>
  <c r="Y199" i="1"/>
  <c r="Z199" i="1"/>
  <c r="AB199" i="1"/>
  <c r="AC199" i="1"/>
  <c r="AD199" i="1"/>
  <c r="T199" i="1" s="1"/>
  <c r="AE199" i="1"/>
  <c r="AM201" i="1"/>
  <c r="K200" i="1"/>
  <c r="M200" i="1"/>
  <c r="N200" i="1" s="1"/>
  <c r="Y200" i="1"/>
  <c r="Z200" i="1"/>
  <c r="AB200" i="1"/>
  <c r="AC200" i="1"/>
  <c r="AD200" i="1"/>
  <c r="T200" i="1" s="1"/>
  <c r="AE200" i="1"/>
  <c r="AM202" i="1"/>
  <c r="K201" i="1"/>
  <c r="M201" i="1"/>
  <c r="N201" i="1" s="1"/>
  <c r="Y201" i="1"/>
  <c r="Z201" i="1"/>
  <c r="AB201" i="1"/>
  <c r="AC201" i="1"/>
  <c r="AD201" i="1"/>
  <c r="AE201" i="1"/>
  <c r="AM203" i="1"/>
  <c r="K202" i="1"/>
  <c r="M202" i="1"/>
  <c r="N202" i="1" s="1"/>
  <c r="Y202" i="1"/>
  <c r="Z202" i="1"/>
  <c r="AB202" i="1"/>
  <c r="AC202" i="1"/>
  <c r="AD202" i="1"/>
  <c r="T202" i="1" s="1"/>
  <c r="AE202" i="1"/>
  <c r="AM204" i="1"/>
  <c r="K205" i="1"/>
  <c r="M205" i="1"/>
  <c r="N205" i="1" s="1"/>
  <c r="Y205" i="1"/>
  <c r="Z205" i="1"/>
  <c r="AB205" i="1"/>
  <c r="AC205" i="1"/>
  <c r="AD205" i="1"/>
  <c r="T205" i="1" s="1"/>
  <c r="AE205" i="1"/>
  <c r="AM205" i="1"/>
  <c r="K206" i="1"/>
  <c r="M206" i="1"/>
  <c r="N206" i="1" s="1"/>
  <c r="Y206" i="1"/>
  <c r="Z206" i="1"/>
  <c r="AB206" i="1"/>
  <c r="AC206" i="1"/>
  <c r="AD206" i="1"/>
  <c r="T206" i="1" s="1"/>
  <c r="AE206" i="1"/>
  <c r="AM206" i="1"/>
  <c r="K207" i="1"/>
  <c r="M207" i="1"/>
  <c r="N207" i="1" s="1"/>
  <c r="Y207" i="1"/>
  <c r="Z207" i="1"/>
  <c r="AB207" i="1"/>
  <c r="AC207" i="1"/>
  <c r="AD207" i="1"/>
  <c r="T207" i="1" s="1"/>
  <c r="AE207" i="1"/>
  <c r="AM207" i="1"/>
  <c r="K208" i="1"/>
  <c r="M208" i="1"/>
  <c r="N208" i="1" s="1"/>
  <c r="Y208" i="1"/>
  <c r="Z208" i="1"/>
  <c r="AB208" i="1"/>
  <c r="AC208" i="1"/>
  <c r="AD208" i="1"/>
  <c r="AE208" i="1"/>
  <c r="AM208" i="1"/>
  <c r="K209" i="1"/>
  <c r="M209" i="1"/>
  <c r="N209" i="1" s="1"/>
  <c r="Y209" i="1"/>
  <c r="Z209" i="1"/>
  <c r="AB209" i="1"/>
  <c r="AC209" i="1"/>
  <c r="AD209" i="1"/>
  <c r="T209" i="1" s="1"/>
  <c r="AE209" i="1"/>
  <c r="AM209" i="1"/>
  <c r="K210" i="1"/>
  <c r="M210" i="1"/>
  <c r="N210" i="1" s="1"/>
  <c r="Y210" i="1"/>
  <c r="Z210" i="1"/>
  <c r="AB210" i="1"/>
  <c r="AC210" i="1"/>
  <c r="AD210" i="1"/>
  <c r="T210" i="1" s="1"/>
  <c r="AE210" i="1"/>
  <c r="AM210" i="1"/>
  <c r="K211" i="1"/>
  <c r="M211" i="1"/>
  <c r="N211" i="1" s="1"/>
  <c r="Y211" i="1"/>
  <c r="Z211" i="1"/>
  <c r="AB211" i="1"/>
  <c r="AC211" i="1"/>
  <c r="AD211" i="1"/>
  <c r="T211" i="1" s="1"/>
  <c r="AE211" i="1"/>
  <c r="AM211" i="1"/>
  <c r="K212" i="1"/>
  <c r="M212" i="1"/>
  <c r="N212" i="1" s="1"/>
  <c r="Y212" i="1"/>
  <c r="Z212" i="1"/>
  <c r="AB212" i="1"/>
  <c r="AC212" i="1"/>
  <c r="AD212" i="1"/>
  <c r="T212" i="1" s="1"/>
  <c r="AE212" i="1"/>
  <c r="AM212" i="1"/>
  <c r="K213" i="1"/>
  <c r="M213" i="1"/>
  <c r="N213" i="1" s="1"/>
  <c r="Y213" i="1"/>
  <c r="Z213" i="1"/>
  <c r="AB213" i="1"/>
  <c r="AC213" i="1"/>
  <c r="AD213" i="1"/>
  <c r="T213" i="1" s="1"/>
  <c r="AE213" i="1"/>
  <c r="AM213" i="1"/>
  <c r="K214" i="1"/>
  <c r="M214" i="1"/>
  <c r="N214" i="1" s="1"/>
  <c r="Y214" i="1"/>
  <c r="Z214" i="1"/>
  <c r="AB214" i="1"/>
  <c r="AC214" i="1"/>
  <c r="AD214" i="1"/>
  <c r="T214" i="1" s="1"/>
  <c r="AE214" i="1"/>
  <c r="AM214" i="1"/>
  <c r="K215" i="1"/>
  <c r="M215" i="1"/>
  <c r="N215" i="1" s="1"/>
  <c r="Y215" i="1"/>
  <c r="Z215" i="1"/>
  <c r="AB215" i="1"/>
  <c r="AC215" i="1"/>
  <c r="AD215" i="1"/>
  <c r="T215" i="1" s="1"/>
  <c r="AE215" i="1"/>
  <c r="AM215" i="1"/>
  <c r="K216" i="1"/>
  <c r="M216" i="1"/>
  <c r="N216" i="1" s="1"/>
  <c r="Y216" i="1"/>
  <c r="Z216" i="1"/>
  <c r="AB216" i="1"/>
  <c r="AC216" i="1"/>
  <c r="AD216" i="1"/>
  <c r="T216" i="1" s="1"/>
  <c r="AE216" i="1"/>
  <c r="AM216" i="1"/>
  <c r="K217" i="1"/>
  <c r="M217" i="1"/>
  <c r="N217" i="1" s="1"/>
  <c r="Y217" i="1"/>
  <c r="Z217" i="1"/>
  <c r="AB217" i="1"/>
  <c r="AC217" i="1"/>
  <c r="AD217" i="1"/>
  <c r="T217" i="1" s="1"/>
  <c r="AE217" i="1"/>
  <c r="AM217" i="1"/>
  <c r="K218" i="1"/>
  <c r="M218" i="1"/>
  <c r="N218" i="1" s="1"/>
  <c r="Y218" i="1"/>
  <c r="Z218" i="1"/>
  <c r="AB218" i="1"/>
  <c r="AC218" i="1"/>
  <c r="AD218" i="1"/>
  <c r="T218" i="1" s="1"/>
  <c r="AE218" i="1"/>
  <c r="R40" i="3" s="1"/>
  <c r="AM218" i="1"/>
  <c r="K219" i="1"/>
  <c r="M219" i="1"/>
  <c r="N219" i="1" s="1"/>
  <c r="Y219" i="1"/>
  <c r="Z219" i="1"/>
  <c r="AB219" i="1"/>
  <c r="AC219" i="1"/>
  <c r="AD219" i="1"/>
  <c r="AE219" i="1"/>
  <c r="AM219" i="1"/>
  <c r="M32" i="3"/>
  <c r="U32" i="3"/>
  <c r="X32" i="3"/>
  <c r="M38" i="3"/>
  <c r="U38" i="3"/>
  <c r="X38" i="3"/>
  <c r="M18" i="3"/>
  <c r="U18" i="3"/>
  <c r="X18" i="3"/>
  <c r="M17" i="3"/>
  <c r="U17" i="3"/>
  <c r="X17" i="3"/>
  <c r="M33" i="3"/>
  <c r="U33" i="3"/>
  <c r="X33" i="3"/>
  <c r="M30" i="3"/>
  <c r="U30" i="3"/>
  <c r="X30" i="3"/>
  <c r="M34" i="3"/>
  <c r="U34" i="3"/>
  <c r="X34" i="3"/>
  <c r="M26" i="3"/>
  <c r="U26" i="3"/>
  <c r="X26" i="3"/>
  <c r="M27" i="3"/>
  <c r="U27" i="3"/>
  <c r="X27" i="3"/>
  <c r="M19" i="3"/>
  <c r="U19" i="3"/>
  <c r="X19" i="3"/>
  <c r="M13" i="3"/>
  <c r="U13" i="3"/>
  <c r="X13" i="3"/>
  <c r="M35" i="3"/>
  <c r="U35" i="3"/>
  <c r="X35" i="3"/>
  <c r="M15" i="3"/>
  <c r="R15" i="3"/>
  <c r="U15" i="3"/>
  <c r="X15" i="3"/>
  <c r="M36" i="3"/>
  <c r="U36" i="3"/>
  <c r="X36" i="3"/>
  <c r="M40" i="3"/>
  <c r="U40" i="3"/>
  <c r="X40" i="3"/>
  <c r="M7" i="3"/>
  <c r="U7" i="3"/>
  <c r="X7" i="3"/>
  <c r="M10" i="3"/>
  <c r="U10" i="3"/>
  <c r="X10" i="3"/>
  <c r="M20" i="3"/>
  <c r="U20" i="3"/>
  <c r="X20" i="3"/>
  <c r="M21" i="3"/>
  <c r="U21" i="3"/>
  <c r="X21" i="3"/>
  <c r="M23" i="3"/>
  <c r="U23" i="3"/>
  <c r="X23" i="3"/>
  <c r="M14" i="3"/>
  <c r="U14" i="3"/>
  <c r="X14" i="3"/>
  <c r="M24" i="3"/>
  <c r="U24" i="3"/>
  <c r="X24" i="3"/>
  <c r="M9" i="3"/>
  <c r="U9" i="3"/>
  <c r="X9" i="3"/>
  <c r="M11" i="3"/>
  <c r="U11" i="3"/>
  <c r="X11" i="3"/>
  <c r="M22" i="3"/>
  <c r="U22" i="3"/>
  <c r="X22" i="3"/>
  <c r="M29" i="3"/>
  <c r="U29" i="3"/>
  <c r="X29" i="3"/>
  <c r="M25" i="3"/>
  <c r="R25" i="3"/>
  <c r="U25" i="3"/>
  <c r="X25" i="3"/>
  <c r="M8" i="3"/>
  <c r="U8" i="3"/>
  <c r="X8" i="3"/>
  <c r="M39" i="3"/>
  <c r="U39" i="3"/>
  <c r="X39" i="3"/>
  <c r="M37" i="3"/>
  <c r="U37" i="3"/>
  <c r="X37" i="3"/>
  <c r="M28" i="3"/>
  <c r="U28" i="3"/>
  <c r="X28" i="3"/>
  <c r="M12" i="3"/>
  <c r="U12" i="3"/>
  <c r="X12" i="3"/>
  <c r="M31" i="3"/>
  <c r="U31" i="3"/>
  <c r="X31" i="3"/>
  <c r="AG166" i="1"/>
  <c r="AG14" i="1"/>
  <c r="AG82" i="1"/>
  <c r="AG90" i="1"/>
  <c r="AG126" i="1"/>
  <c r="AG198" i="1"/>
  <c r="AG86" i="1"/>
  <c r="AG23" i="1"/>
  <c r="AG159" i="1"/>
  <c r="AG177" i="1"/>
  <c r="AG132" i="1"/>
  <c r="AG150" i="1"/>
  <c r="AG53" i="1"/>
  <c r="AG77" i="1"/>
  <c r="AG110" i="1"/>
  <c r="AG64" i="1"/>
  <c r="AG109" i="1"/>
  <c r="AG106" i="1"/>
  <c r="AG213" i="1"/>
  <c r="AG161" i="1"/>
  <c r="AG137" i="1"/>
  <c r="W13" i="3"/>
  <c r="W11" i="3"/>
  <c r="W30" i="3"/>
  <c r="W8" i="3"/>
  <c r="W10" i="3"/>
  <c r="AG85" i="1"/>
  <c r="AG37" i="1"/>
  <c r="AG30" i="1"/>
  <c r="AG172" i="1"/>
  <c r="AG186" i="1"/>
  <c r="AG113" i="1"/>
  <c r="AG130" i="1"/>
  <c r="AG164" i="1"/>
  <c r="AG17" i="1"/>
  <c r="AG21" i="1"/>
  <c r="AG18" i="1"/>
  <c r="AG71" i="1"/>
  <c r="AG65" i="1"/>
  <c r="AG89" i="1"/>
  <c r="AG185" i="1"/>
  <c r="AG173" i="1"/>
  <c r="AG108" i="1"/>
  <c r="AG100" i="1"/>
  <c r="AG196" i="1"/>
  <c r="AG205" i="1"/>
  <c r="AG216" i="1"/>
  <c r="AG24" i="1"/>
  <c r="AG47" i="1"/>
  <c r="AG99" i="1"/>
  <c r="AG140" i="1"/>
  <c r="AG41" i="1"/>
  <c r="AG39" i="1"/>
  <c r="AG38" i="1"/>
  <c r="AG26" i="1"/>
  <c r="AG176" i="1"/>
  <c r="AG170" i="1"/>
  <c r="AG189" i="1"/>
  <c r="AG111" i="1"/>
  <c r="AG187" i="1"/>
  <c r="AG148" i="1"/>
  <c r="AG155" i="1"/>
  <c r="AG202" i="1"/>
  <c r="AG29" i="1"/>
  <c r="AG27" i="1"/>
  <c r="AG50" i="1"/>
  <c r="AG55" i="1"/>
  <c r="AG84" i="1"/>
  <c r="AG97" i="1"/>
  <c r="AG156" i="1"/>
  <c r="AG51" i="1"/>
  <c r="AG80" i="1"/>
  <c r="AG94" i="1"/>
  <c r="AG165" i="1"/>
  <c r="AG124" i="1"/>
  <c r="AG203" i="1"/>
  <c r="AG121" i="1"/>
  <c r="AG128" i="1"/>
  <c r="AG138" i="1"/>
  <c r="AG149" i="1"/>
  <c r="AG62" i="1"/>
  <c r="AG169" i="1"/>
  <c r="AG131" i="1"/>
  <c r="AG142" i="1"/>
  <c r="W36" i="3"/>
  <c r="W7" i="3"/>
  <c r="W20" i="3"/>
  <c r="W40" i="3"/>
  <c r="W24" i="3"/>
  <c r="W9" i="3"/>
  <c r="W19" i="3"/>
  <c r="W34" i="3"/>
  <c r="W12" i="3"/>
  <c r="AG16" i="1"/>
  <c r="AG81" i="1"/>
  <c r="AG167" i="1"/>
  <c r="AG123" i="1"/>
  <c r="AG141" i="1"/>
  <c r="AG188" i="1"/>
  <c r="AG46" i="1"/>
  <c r="AG15" i="1"/>
  <c r="AG28" i="1"/>
  <c r="AG52" i="1"/>
  <c r="AG66" i="1"/>
  <c r="AG58" i="1"/>
  <c r="AG88" i="1"/>
  <c r="AG180" i="1"/>
  <c r="AG103" i="1"/>
  <c r="AG194" i="1"/>
  <c r="AG129" i="1"/>
  <c r="AG135" i="1"/>
  <c r="AG146" i="1"/>
  <c r="AG157" i="1"/>
  <c r="AG67" i="1"/>
  <c r="AG181" i="1"/>
  <c r="AG107" i="1"/>
  <c r="AG199" i="1"/>
  <c r="AG49" i="1"/>
  <c r="AG59" i="1"/>
  <c r="AG45" i="1"/>
  <c r="AG76" i="1"/>
  <c r="AG175" i="1"/>
  <c r="AG160" i="1"/>
  <c r="AG120" i="1"/>
  <c r="AG101" i="1"/>
  <c r="AG117" i="1"/>
  <c r="AG218" i="1"/>
  <c r="AG134" i="1"/>
  <c r="AG197" i="1"/>
  <c r="AG36" i="1"/>
  <c r="AG63" i="1"/>
  <c r="AG40" i="1"/>
  <c r="AG61" i="1"/>
  <c r="AG178" i="1"/>
  <c r="AG122" i="1"/>
  <c r="AG54" i="1"/>
  <c r="AG34" i="1"/>
  <c r="AG95" i="1"/>
  <c r="AG174" i="1"/>
  <c r="AG192" i="1"/>
  <c r="AG115" i="1"/>
  <c r="AG190" i="1"/>
  <c r="AG152" i="1"/>
  <c r="AG195" i="1"/>
  <c r="AG208" i="1"/>
  <c r="AG219" i="1"/>
  <c r="AG182" i="1"/>
  <c r="AG191" i="1"/>
  <c r="AG212" i="1"/>
  <c r="AG207" i="1"/>
  <c r="W23" i="3"/>
  <c r="W14" i="3"/>
  <c r="W17" i="3"/>
  <c r="W22" i="3"/>
  <c r="W26" i="3"/>
  <c r="W15" i="3"/>
  <c r="W37" i="3"/>
  <c r="W32" i="3"/>
  <c r="AG19" i="1"/>
  <c r="AG44" i="1"/>
  <c r="AG56" i="1"/>
  <c r="AG72" i="1"/>
  <c r="AG171" i="1"/>
  <c r="AG116" i="1"/>
  <c r="AG144" i="1"/>
  <c r="AG151" i="1"/>
  <c r="AG211" i="1"/>
  <c r="AG78" i="1"/>
  <c r="AG193" i="1"/>
  <c r="AG25" i="1"/>
  <c r="AG75" i="1"/>
  <c r="AG69" i="1"/>
  <c r="AG87" i="1"/>
  <c r="AG98" i="1"/>
  <c r="AG114" i="1"/>
  <c r="AG139" i="1"/>
  <c r="AG215" i="1"/>
  <c r="AG79" i="1"/>
  <c r="AG31" i="1"/>
  <c r="AG183" i="1"/>
  <c r="AG74" i="1"/>
  <c r="AG162" i="1"/>
  <c r="AG83" i="1"/>
  <c r="AG96" i="1"/>
  <c r="AG206" i="1"/>
  <c r="AG133" i="1"/>
  <c r="AG57" i="1"/>
  <c r="AG125" i="1"/>
  <c r="AG217" i="1"/>
  <c r="W38" i="3"/>
  <c r="W18" i="3"/>
  <c r="W35" i="3"/>
  <c r="AG35" i="1"/>
  <c r="AG204" i="1"/>
  <c r="AG70" i="1"/>
  <c r="AG105" i="1"/>
  <c r="AG209" i="1"/>
  <c r="AG33" i="1"/>
  <c r="AG147" i="1"/>
  <c r="AG179" i="1"/>
  <c r="AG143" i="1"/>
  <c r="AG112" i="1"/>
  <c r="W33" i="3"/>
  <c r="W28" i="3"/>
  <c r="AG145" i="1"/>
  <c r="AG73" i="1"/>
  <c r="AG154" i="1"/>
  <c r="W31" i="3"/>
  <c r="AG214" i="1"/>
  <c r="AG210" i="1"/>
  <c r="AG60" i="1"/>
  <c r="AG127" i="1"/>
  <c r="AG22" i="1"/>
  <c r="AG102" i="1"/>
  <c r="AG158" i="1"/>
  <c r="W29" i="3"/>
  <c r="AG48" i="1"/>
  <c r="AG32" i="1"/>
  <c r="AG92" i="1"/>
  <c r="AG104" i="1"/>
  <c r="AG20" i="1"/>
  <c r="AG168" i="1"/>
  <c r="AG163" i="1"/>
  <c r="AG118" i="1"/>
  <c r="AG201" i="1"/>
  <c r="AG153" i="1"/>
  <c r="W27" i="3"/>
  <c r="W25" i="3"/>
  <c r="AG43" i="1"/>
  <c r="AG136" i="1"/>
  <c r="W39" i="3"/>
  <c r="W21" i="3"/>
  <c r="AG93" i="1"/>
  <c r="AG42" i="1"/>
  <c r="AG184" i="1"/>
  <c r="AG200" i="1"/>
  <c r="AG119" i="1"/>
  <c r="AG91" i="1"/>
  <c r="AG68" i="1"/>
  <c r="AA153" i="1" l="1"/>
  <c r="X133" i="1"/>
  <c r="AA14" i="1"/>
  <c r="AA164" i="1"/>
  <c r="X193" i="1"/>
  <c r="AA213" i="1"/>
  <c r="W213" i="1" s="1"/>
  <c r="X130" i="1"/>
  <c r="X194" i="1"/>
  <c r="X192" i="1"/>
  <c r="G4" i="6"/>
  <c r="X132" i="1"/>
  <c r="AA218" i="1"/>
  <c r="AA216" i="1"/>
  <c r="X112" i="1"/>
  <c r="AA65" i="1"/>
  <c r="AA61" i="1"/>
  <c r="X47" i="1"/>
  <c r="X131" i="1"/>
  <c r="X168" i="1"/>
  <c r="X167" i="1"/>
  <c r="AA200" i="1"/>
  <c r="AA198" i="1"/>
  <c r="X105" i="1"/>
  <c r="AA33" i="1"/>
  <c r="AA29" i="1"/>
  <c r="X165" i="1"/>
  <c r="AI188" i="1"/>
  <c r="U188" i="1"/>
  <c r="S188" i="1" s="1"/>
  <c r="W188" i="1"/>
  <c r="X188" i="1"/>
  <c r="I4" i="6"/>
  <c r="U166" i="1"/>
  <c r="S166" i="1" s="1"/>
  <c r="AI166" i="1"/>
  <c r="W166" i="1"/>
  <c r="X166" i="1"/>
  <c r="AI164" i="1"/>
  <c r="U164" i="1"/>
  <c r="S164" i="1" s="1"/>
  <c r="W164" i="1"/>
  <c r="J4" i="6"/>
  <c r="X110" i="1"/>
  <c r="X208" i="1"/>
  <c r="X127" i="1"/>
  <c r="X119" i="1"/>
  <c r="AA110" i="1"/>
  <c r="W110" i="1" s="1"/>
  <c r="X72" i="1"/>
  <c r="X113" i="1"/>
  <c r="T105" i="1"/>
  <c r="T185" i="1"/>
  <c r="X37" i="1"/>
  <c r="AA187" i="1"/>
  <c r="AA36" i="1"/>
  <c r="X111" i="1"/>
  <c r="X48" i="1"/>
  <c r="X74" i="1"/>
  <c r="X198" i="1"/>
  <c r="X216" i="1"/>
  <c r="T208" i="1"/>
  <c r="T189" i="1"/>
  <c r="U189" i="1" s="1"/>
  <c r="S189" i="1" s="1"/>
  <c r="AA185" i="1"/>
  <c r="AA28" i="1"/>
  <c r="X73" i="1"/>
  <c r="X88" i="1"/>
  <c r="AA219" i="1"/>
  <c r="AA210" i="1"/>
  <c r="AA208" i="1"/>
  <c r="W208" i="1" s="1"/>
  <c r="AA81" i="1"/>
  <c r="X87" i="1"/>
  <c r="AA85" i="1"/>
  <c r="X86" i="1"/>
  <c r="AI85" i="1"/>
  <c r="U85" i="1"/>
  <c r="S85" i="1" s="1"/>
  <c r="W85" i="1"/>
  <c r="X85" i="1"/>
  <c r="R23" i="3"/>
  <c r="R9" i="3"/>
  <c r="R17" i="3"/>
  <c r="X46" i="1"/>
  <c r="AI46" i="1"/>
  <c r="U46" i="1"/>
  <c r="S46" i="1" s="1"/>
  <c r="W46" i="1"/>
  <c r="R21" i="3"/>
  <c r="X215" i="1"/>
  <c r="AA111" i="1"/>
  <c r="AA193" i="1"/>
  <c r="AA56" i="1"/>
  <c r="W56" i="1" s="1"/>
  <c r="X18" i="1"/>
  <c r="AA15" i="1"/>
  <c r="W15" i="1" s="1"/>
  <c r="AA64" i="1"/>
  <c r="AA57" i="1"/>
  <c r="W57" i="1" s="1"/>
  <c r="AA48" i="1"/>
  <c r="W48" i="1" s="1"/>
  <c r="X89" i="1"/>
  <c r="AA20" i="1"/>
  <c r="W20" i="1" s="1"/>
  <c r="X16" i="1"/>
  <c r="X19" i="1"/>
  <c r="AA211" i="1"/>
  <c r="X207" i="1"/>
  <c r="AA205" i="1"/>
  <c r="W205" i="1" s="1"/>
  <c r="AA201" i="1"/>
  <c r="W201" i="1" s="1"/>
  <c r="X197" i="1"/>
  <c r="AA195" i="1"/>
  <c r="AA157" i="1"/>
  <c r="W157" i="1" s="1"/>
  <c r="X154" i="1"/>
  <c r="AA124" i="1"/>
  <c r="AA122" i="1"/>
  <c r="AA116" i="1"/>
  <c r="W116" i="1" s="1"/>
  <c r="AA174" i="1"/>
  <c r="W174" i="1" s="1"/>
  <c r="AA168" i="1"/>
  <c r="AA162" i="1"/>
  <c r="AA92" i="1"/>
  <c r="W92" i="1" s="1"/>
  <c r="X82" i="1"/>
  <c r="AA80" i="1"/>
  <c r="AA78" i="1"/>
  <c r="X62" i="1"/>
  <c r="AA60" i="1"/>
  <c r="W60" i="1" s="1"/>
  <c r="AA58" i="1"/>
  <c r="AA53" i="1"/>
  <c r="X45" i="1"/>
  <c r="X25" i="1"/>
  <c r="AA23" i="1"/>
  <c r="AA21" i="1"/>
  <c r="AA19" i="1"/>
  <c r="W19" i="1" s="1"/>
  <c r="R34" i="3"/>
  <c r="AA145" i="1"/>
  <c r="X137" i="1"/>
  <c r="AA131" i="1"/>
  <c r="AA118" i="1"/>
  <c r="AA109" i="1"/>
  <c r="X108" i="1"/>
  <c r="AA204" i="1"/>
  <c r="AA103" i="1"/>
  <c r="W103" i="1" s="1"/>
  <c r="AA97" i="1"/>
  <c r="W97" i="1" s="1"/>
  <c r="AA186" i="1"/>
  <c r="W186" i="1" s="1"/>
  <c r="AA183" i="1"/>
  <c r="X175" i="1"/>
  <c r="X171" i="1"/>
  <c r="AA49" i="1"/>
  <c r="W49" i="1" s="1"/>
  <c r="X21" i="1"/>
  <c r="X138" i="1"/>
  <c r="X109" i="1"/>
  <c r="X95" i="1"/>
  <c r="T82" i="1"/>
  <c r="X69" i="1"/>
  <c r="X66" i="1"/>
  <c r="X44" i="1"/>
  <c r="T37" i="1"/>
  <c r="AA32" i="1"/>
  <c r="W32" i="1" s="1"/>
  <c r="T16" i="1"/>
  <c r="U16" i="1" s="1"/>
  <c r="S16" i="1" s="1"/>
  <c r="X20" i="1"/>
  <c r="X145" i="1"/>
  <c r="X120" i="1"/>
  <c r="X159" i="1"/>
  <c r="X153" i="1"/>
  <c r="AA151" i="1"/>
  <c r="AA149" i="1"/>
  <c r="W149" i="1" s="1"/>
  <c r="X146" i="1"/>
  <c r="AA119" i="1"/>
  <c r="X116" i="1"/>
  <c r="AA112" i="1"/>
  <c r="W112" i="1" s="1"/>
  <c r="AA98" i="1"/>
  <c r="AA192" i="1"/>
  <c r="AA184" i="1"/>
  <c r="W184" i="1" s="1"/>
  <c r="AA181" i="1"/>
  <c r="W181" i="1" s="1"/>
  <c r="AA94" i="1"/>
  <c r="X163" i="1"/>
  <c r="X78" i="1"/>
  <c r="AA71" i="1"/>
  <c r="W71" i="1" s="1"/>
  <c r="AA69" i="1"/>
  <c r="X59" i="1"/>
  <c r="AA18" i="1"/>
  <c r="AA17" i="1"/>
  <c r="W17" i="1" s="1"/>
  <c r="AI19" i="1"/>
  <c r="T19" i="1"/>
  <c r="U19" i="1" s="1"/>
  <c r="S19" i="1" s="1"/>
  <c r="X17" i="1"/>
  <c r="AI17" i="1"/>
  <c r="U17" i="1"/>
  <c r="S17" i="1" s="1"/>
  <c r="AI14" i="1"/>
  <c r="U14" i="1"/>
  <c r="U15" i="1"/>
  <c r="S15" i="1" s="1"/>
  <c r="AI15" i="1"/>
  <c r="AI16" i="1"/>
  <c r="W14" i="1"/>
  <c r="W16" i="1"/>
  <c r="X15" i="1"/>
  <c r="AA156" i="1"/>
  <c r="AA154" i="1"/>
  <c r="AA148" i="1"/>
  <c r="W148" i="1" s="1"/>
  <c r="AA146" i="1"/>
  <c r="W146" i="1" s="1"/>
  <c r="AA140" i="1"/>
  <c r="AA138" i="1"/>
  <c r="AA137" i="1"/>
  <c r="W137" i="1" s="1"/>
  <c r="AA129" i="1"/>
  <c r="AA127" i="1"/>
  <c r="X124" i="1"/>
  <c r="AA203" i="1"/>
  <c r="W203" i="1" s="1"/>
  <c r="AA102" i="1"/>
  <c r="AA194" i="1"/>
  <c r="AA180" i="1"/>
  <c r="W180" i="1" s="1"/>
  <c r="X94" i="1"/>
  <c r="AA175" i="1"/>
  <c r="AA173" i="1"/>
  <c r="W173" i="1" s="1"/>
  <c r="AA171" i="1"/>
  <c r="W171" i="1" s="1"/>
  <c r="X162" i="1"/>
  <c r="X92" i="1"/>
  <c r="X84" i="1"/>
  <c r="AA75" i="1"/>
  <c r="AA66" i="1"/>
  <c r="W66" i="1" s="1"/>
  <c r="T59" i="1"/>
  <c r="U59" i="1" s="1"/>
  <c r="S59" i="1" s="1"/>
  <c r="X57" i="1"/>
  <c r="AA40" i="1"/>
  <c r="X29" i="1"/>
  <c r="AA215" i="1"/>
  <c r="W215" i="1" s="1"/>
  <c r="AA207" i="1"/>
  <c r="AA197" i="1"/>
  <c r="AA133" i="1"/>
  <c r="W133" i="1" s="1"/>
  <c r="AA123" i="1"/>
  <c r="T120" i="1"/>
  <c r="T119" i="1"/>
  <c r="U119" i="1" s="1"/>
  <c r="S119" i="1" s="1"/>
  <c r="AA117" i="1"/>
  <c r="W117" i="1" s="1"/>
  <c r="T95" i="1"/>
  <c r="AA178" i="1"/>
  <c r="T163" i="1"/>
  <c r="U163" i="1" s="1"/>
  <c r="S163" i="1" s="1"/>
  <c r="AA161" i="1"/>
  <c r="W161" i="1" s="1"/>
  <c r="AA91" i="1"/>
  <c r="AA87" i="1"/>
  <c r="AA76" i="1"/>
  <c r="W76" i="1" s="1"/>
  <c r="AA73" i="1"/>
  <c r="W73" i="1" s="1"/>
  <c r="AA59" i="1"/>
  <c r="X54" i="1"/>
  <c r="X50" i="1"/>
  <c r="X49" i="1"/>
  <c r="X26" i="1"/>
  <c r="AA24" i="1"/>
  <c r="X219" i="1"/>
  <c r="X201" i="1"/>
  <c r="X149" i="1"/>
  <c r="AA132" i="1"/>
  <c r="X128" i="1"/>
  <c r="AA128" i="1"/>
  <c r="AA126" i="1"/>
  <c r="X123" i="1"/>
  <c r="AA121" i="1"/>
  <c r="W121" i="1" s="1"/>
  <c r="X115" i="1"/>
  <c r="T112" i="1"/>
  <c r="AA104" i="1"/>
  <c r="W104" i="1" s="1"/>
  <c r="X103" i="1"/>
  <c r="X99" i="1"/>
  <c r="X182" i="1"/>
  <c r="X176" i="1"/>
  <c r="AA172" i="1"/>
  <c r="X93" i="1"/>
  <c r="AA88" i="1"/>
  <c r="W88" i="1" s="1"/>
  <c r="AA84" i="1"/>
  <c r="AA82" i="1"/>
  <c r="AA77" i="1"/>
  <c r="W77" i="1" s="1"/>
  <c r="T66" i="1"/>
  <c r="U66" i="1" s="1"/>
  <c r="S66" i="1" s="1"/>
  <c r="AA62" i="1"/>
  <c r="T54" i="1"/>
  <c r="AA44" i="1"/>
  <c r="W44" i="1" s="1"/>
  <c r="AA41" i="1"/>
  <c r="AA39" i="1"/>
  <c r="AA37" i="1"/>
  <c r="AA35" i="1"/>
  <c r="W35" i="1" s="1"/>
  <c r="X34" i="1"/>
  <c r="AA25" i="1"/>
  <c r="X186" i="1"/>
  <c r="T186" i="1"/>
  <c r="U186" i="1" s="1"/>
  <c r="S186" i="1" s="1"/>
  <c r="X212" i="1"/>
  <c r="X202" i="1"/>
  <c r="X158" i="1"/>
  <c r="X150" i="1"/>
  <c r="X142" i="1"/>
  <c r="AA135" i="1"/>
  <c r="X134" i="1"/>
  <c r="AA130" i="1"/>
  <c r="W130" i="1" s="1"/>
  <c r="T130" i="1"/>
  <c r="U130" i="1" s="1"/>
  <c r="S130" i="1" s="1"/>
  <c r="T128" i="1"/>
  <c r="T124" i="1"/>
  <c r="AA120" i="1"/>
  <c r="W120" i="1" s="1"/>
  <c r="AA115" i="1"/>
  <c r="W115" i="1" s="1"/>
  <c r="T115" i="1"/>
  <c r="AA114" i="1"/>
  <c r="AA108" i="1"/>
  <c r="W108" i="1" s="1"/>
  <c r="T101" i="1"/>
  <c r="U101" i="1" s="1"/>
  <c r="S101" i="1" s="1"/>
  <c r="X102" i="1"/>
  <c r="T191" i="1"/>
  <c r="X172" i="1"/>
  <c r="T172" i="1"/>
  <c r="T171" i="1"/>
  <c r="AA52" i="1"/>
  <c r="W52" i="1" s="1"/>
  <c r="X38" i="1"/>
  <c r="T38" i="1"/>
  <c r="T219" i="1"/>
  <c r="U219" i="1" s="1"/>
  <c r="S219" i="1" s="1"/>
  <c r="T201" i="1"/>
  <c r="U201" i="1" s="1"/>
  <c r="S201" i="1" s="1"/>
  <c r="T149" i="1"/>
  <c r="U149" i="1" s="1"/>
  <c r="S149" i="1" s="1"/>
  <c r="T133" i="1"/>
  <c r="U133" i="1" s="1"/>
  <c r="S133" i="1" s="1"/>
  <c r="X70" i="1"/>
  <c r="T70" i="1"/>
  <c r="U70" i="1" s="1"/>
  <c r="S70" i="1" s="1"/>
  <c r="AA214" i="1"/>
  <c r="W214" i="1" s="1"/>
  <c r="X211" i="1"/>
  <c r="AA206" i="1"/>
  <c r="AA196" i="1"/>
  <c r="W196" i="1" s="1"/>
  <c r="X157" i="1"/>
  <c r="AA152" i="1"/>
  <c r="AA144" i="1"/>
  <c r="X141" i="1"/>
  <c r="AA136" i="1"/>
  <c r="W136" i="1" s="1"/>
  <c r="X41" i="1"/>
  <c r="T41" i="1"/>
  <c r="X22" i="1"/>
  <c r="T22" i="1"/>
  <c r="U22" i="1" s="1"/>
  <c r="S22" i="1" s="1"/>
  <c r="T21" i="1"/>
  <c r="AA217" i="1"/>
  <c r="AA212" i="1"/>
  <c r="W212" i="1" s="1"/>
  <c r="AA209" i="1"/>
  <c r="W209" i="1" s="1"/>
  <c r="AA202" i="1"/>
  <c r="AA199" i="1"/>
  <c r="AA158" i="1"/>
  <c r="W158" i="1" s="1"/>
  <c r="T158" i="1"/>
  <c r="U158" i="1" s="1"/>
  <c r="S158" i="1" s="1"/>
  <c r="AA155" i="1"/>
  <c r="AA150" i="1"/>
  <c r="AA147" i="1"/>
  <c r="W147" i="1" s="1"/>
  <c r="AA142" i="1"/>
  <c r="W142" i="1" s="1"/>
  <c r="AA139" i="1"/>
  <c r="AA134" i="1"/>
  <c r="AA125" i="1"/>
  <c r="W125" i="1" s="1"/>
  <c r="AA167" i="1"/>
  <c r="W167" i="1" s="1"/>
  <c r="AA107" i="1"/>
  <c r="X204" i="1"/>
  <c r="AA101" i="1"/>
  <c r="W101" i="1" s="1"/>
  <c r="X98" i="1"/>
  <c r="AA191" i="1"/>
  <c r="X97" i="1"/>
  <c r="X181" i="1"/>
  <c r="AA177" i="1"/>
  <c r="W177" i="1" s="1"/>
  <c r="AA79" i="1"/>
  <c r="AA70" i="1"/>
  <c r="W70" i="1" s="1"/>
  <c r="AA68" i="1"/>
  <c r="AA63" i="1"/>
  <c r="W63" i="1" s="1"/>
  <c r="X53" i="1"/>
  <c r="AA38" i="1"/>
  <c r="W38" i="1" s="1"/>
  <c r="X33" i="1"/>
  <c r="X30" i="1"/>
  <c r="AA27" i="1"/>
  <c r="W27" i="1" s="1"/>
  <c r="T25" i="1"/>
  <c r="U25" i="1" s="1"/>
  <c r="S25" i="1" s="1"/>
  <c r="AA22" i="1"/>
  <c r="AA105" i="1"/>
  <c r="AA99" i="1"/>
  <c r="W99" i="1" s="1"/>
  <c r="AA189" i="1"/>
  <c r="W189" i="1" s="1"/>
  <c r="AA182" i="1"/>
  <c r="AA93" i="1"/>
  <c r="W93" i="1" s="1"/>
  <c r="X65" i="1"/>
  <c r="AA54" i="1"/>
  <c r="AA30" i="1"/>
  <c r="AA113" i="1"/>
  <c r="W113" i="1" s="1"/>
  <c r="AA106" i="1"/>
  <c r="W106" i="1" s="1"/>
  <c r="AA100" i="1"/>
  <c r="W100" i="1" s="1"/>
  <c r="AA190" i="1"/>
  <c r="AA96" i="1"/>
  <c r="W96" i="1" s="1"/>
  <c r="AA179" i="1"/>
  <c r="W179" i="1" s="1"/>
  <c r="AA95" i="1"/>
  <c r="W95" i="1" s="1"/>
  <c r="AA165" i="1"/>
  <c r="AA163" i="1"/>
  <c r="W163" i="1" s="1"/>
  <c r="AA160" i="1"/>
  <c r="W160" i="1" s="1"/>
  <c r="AA159" i="1"/>
  <c r="W159" i="1" s="1"/>
  <c r="AA90" i="1"/>
  <c r="AA89" i="1"/>
  <c r="W89" i="1" s="1"/>
  <c r="AA86" i="1"/>
  <c r="W86" i="1" s="1"/>
  <c r="X77" i="1"/>
  <c r="AA74" i="1"/>
  <c r="AA72" i="1"/>
  <c r="W72" i="1" s="1"/>
  <c r="AA67" i="1"/>
  <c r="X61" i="1"/>
  <c r="X55" i="1"/>
  <c r="AA51" i="1"/>
  <c r="W51" i="1" s="1"/>
  <c r="AA50" i="1"/>
  <c r="W50" i="1" s="1"/>
  <c r="AA45" i="1"/>
  <c r="W45" i="1" s="1"/>
  <c r="AA43" i="1"/>
  <c r="AA31" i="1"/>
  <c r="W31" i="1" s="1"/>
  <c r="AI219" i="1"/>
  <c r="AI215" i="1"/>
  <c r="U215" i="1"/>
  <c r="S215" i="1" s="1"/>
  <c r="AI211" i="1"/>
  <c r="U211" i="1"/>
  <c r="S211" i="1" s="1"/>
  <c r="AI207" i="1"/>
  <c r="U207" i="1"/>
  <c r="S207" i="1" s="1"/>
  <c r="AI203" i="1"/>
  <c r="AI199" i="1"/>
  <c r="U197" i="1"/>
  <c r="S197" i="1" s="1"/>
  <c r="AI195" i="1"/>
  <c r="U157" i="1"/>
  <c r="S157" i="1" s="1"/>
  <c r="U153" i="1"/>
  <c r="S153" i="1" s="1"/>
  <c r="AI187" i="1"/>
  <c r="AI183" i="1"/>
  <c r="U145" i="1"/>
  <c r="S145" i="1" s="1"/>
  <c r="AI179" i="1"/>
  <c r="U141" i="1"/>
  <c r="S141" i="1" s="1"/>
  <c r="AI175" i="1"/>
  <c r="U137" i="1"/>
  <c r="S137" i="1" s="1"/>
  <c r="AI171" i="1"/>
  <c r="AI167" i="1"/>
  <c r="AI216" i="1"/>
  <c r="U216" i="1"/>
  <c r="S216" i="1" s="1"/>
  <c r="AI212" i="1"/>
  <c r="U212" i="1"/>
  <c r="S212" i="1" s="1"/>
  <c r="AI208" i="1"/>
  <c r="U208" i="1"/>
  <c r="S208" i="1" s="1"/>
  <c r="AI204" i="1"/>
  <c r="U202" i="1"/>
  <c r="S202" i="1" s="1"/>
  <c r="AI200" i="1"/>
  <c r="U198" i="1"/>
  <c r="S198" i="1" s="1"/>
  <c r="AI196" i="1"/>
  <c r="AI192" i="1"/>
  <c r="U154" i="1"/>
  <c r="S154" i="1" s="1"/>
  <c r="AI189" i="1"/>
  <c r="U150" i="1"/>
  <c r="S150" i="1" s="1"/>
  <c r="AI184" i="1"/>
  <c r="U146" i="1"/>
  <c r="S146" i="1" s="1"/>
  <c r="AI180" i="1"/>
  <c r="U142" i="1"/>
  <c r="S142" i="1" s="1"/>
  <c r="AI176" i="1"/>
  <c r="U138" i="1"/>
  <c r="S138" i="1" s="1"/>
  <c r="AI172" i="1"/>
  <c r="U134" i="1"/>
  <c r="S134" i="1" s="1"/>
  <c r="AI168" i="1"/>
  <c r="U217" i="1"/>
  <c r="S217" i="1" s="1"/>
  <c r="AI217" i="1"/>
  <c r="U213" i="1"/>
  <c r="S213" i="1" s="1"/>
  <c r="AI213" i="1"/>
  <c r="U209" i="1"/>
  <c r="S209" i="1" s="1"/>
  <c r="AI209" i="1"/>
  <c r="U205" i="1"/>
  <c r="S205" i="1" s="1"/>
  <c r="AI205" i="1"/>
  <c r="U199" i="1"/>
  <c r="S199" i="1" s="1"/>
  <c r="AI201" i="1"/>
  <c r="U195" i="1"/>
  <c r="S195" i="1" s="1"/>
  <c r="AI197" i="1"/>
  <c r="U155" i="1"/>
  <c r="S155" i="1" s="1"/>
  <c r="AI193" i="1"/>
  <c r="U151" i="1"/>
  <c r="S151" i="1" s="1"/>
  <c r="AI190" i="1"/>
  <c r="U147" i="1"/>
  <c r="S147" i="1" s="1"/>
  <c r="AI185" i="1"/>
  <c r="U143" i="1"/>
  <c r="S143" i="1" s="1"/>
  <c r="AI181" i="1"/>
  <c r="U139" i="1"/>
  <c r="S139" i="1" s="1"/>
  <c r="AI177" i="1"/>
  <c r="U135" i="1"/>
  <c r="S135" i="1" s="1"/>
  <c r="AI173" i="1"/>
  <c r="U131" i="1"/>
  <c r="S131" i="1" s="1"/>
  <c r="AI169" i="1"/>
  <c r="U128" i="1"/>
  <c r="S128" i="1" s="1"/>
  <c r="AI163" i="1"/>
  <c r="U218" i="1"/>
  <c r="S218" i="1" s="1"/>
  <c r="AI218" i="1"/>
  <c r="U214" i="1"/>
  <c r="S214" i="1" s="1"/>
  <c r="AI214" i="1"/>
  <c r="U210" i="1"/>
  <c r="S210" i="1" s="1"/>
  <c r="AI210" i="1"/>
  <c r="U206" i="1"/>
  <c r="S206" i="1" s="1"/>
  <c r="AI206" i="1"/>
  <c r="U200" i="1"/>
  <c r="S200" i="1" s="1"/>
  <c r="AI202" i="1"/>
  <c r="U196" i="1"/>
  <c r="S196" i="1" s="1"/>
  <c r="AI198" i="1"/>
  <c r="U156" i="1"/>
  <c r="S156" i="1" s="1"/>
  <c r="AI194" i="1"/>
  <c r="U152" i="1"/>
  <c r="S152" i="1" s="1"/>
  <c r="AI191" i="1"/>
  <c r="U148" i="1"/>
  <c r="S148" i="1" s="1"/>
  <c r="AI186" i="1"/>
  <c r="U144" i="1"/>
  <c r="S144" i="1" s="1"/>
  <c r="AI182" i="1"/>
  <c r="U140" i="1"/>
  <c r="S140" i="1" s="1"/>
  <c r="AI178" i="1"/>
  <c r="U136" i="1"/>
  <c r="S136" i="1" s="1"/>
  <c r="AI174" i="1"/>
  <c r="U132" i="1"/>
  <c r="S132" i="1" s="1"/>
  <c r="AI170" i="1"/>
  <c r="U129" i="1"/>
  <c r="S129" i="1" s="1"/>
  <c r="AI165" i="1"/>
  <c r="AI160" i="1"/>
  <c r="U125" i="1"/>
  <c r="S125" i="1" s="1"/>
  <c r="AI156" i="1"/>
  <c r="U121" i="1"/>
  <c r="S121" i="1" s="1"/>
  <c r="AI152" i="1"/>
  <c r="U117" i="1"/>
  <c r="S117" i="1" s="1"/>
  <c r="AI148" i="1"/>
  <c r="U113" i="1"/>
  <c r="S113" i="1" s="1"/>
  <c r="AI144" i="1"/>
  <c r="U110" i="1"/>
  <c r="S110" i="1" s="1"/>
  <c r="AI140" i="1"/>
  <c r="U106" i="1"/>
  <c r="S106" i="1" s="1"/>
  <c r="AI136" i="1"/>
  <c r="U104" i="1"/>
  <c r="S104" i="1" s="1"/>
  <c r="AI132" i="1"/>
  <c r="U100" i="1"/>
  <c r="S100" i="1" s="1"/>
  <c r="AI129" i="1"/>
  <c r="U193" i="1"/>
  <c r="S193" i="1" s="1"/>
  <c r="AI125" i="1"/>
  <c r="U190" i="1"/>
  <c r="S190" i="1" s="1"/>
  <c r="AI121" i="1"/>
  <c r="U187" i="1"/>
  <c r="S187" i="1" s="1"/>
  <c r="U126" i="1"/>
  <c r="S126" i="1" s="1"/>
  <c r="AI161" i="1"/>
  <c r="AI157" i="1"/>
  <c r="U122" i="1"/>
  <c r="S122" i="1" s="1"/>
  <c r="AI153" i="1"/>
  <c r="U118" i="1"/>
  <c r="S118" i="1" s="1"/>
  <c r="AI149" i="1"/>
  <c r="U114" i="1"/>
  <c r="S114" i="1" s="1"/>
  <c r="AI145" i="1"/>
  <c r="AI141" i="1"/>
  <c r="U107" i="1"/>
  <c r="S107" i="1" s="1"/>
  <c r="AI137" i="1"/>
  <c r="U203" i="1"/>
  <c r="S203" i="1" s="1"/>
  <c r="AI133" i="1"/>
  <c r="U194" i="1"/>
  <c r="S194" i="1" s="1"/>
  <c r="AI126" i="1"/>
  <c r="U191" i="1"/>
  <c r="S191" i="1" s="1"/>
  <c r="AI122" i="1"/>
  <c r="U96" i="1"/>
  <c r="U127" i="1"/>
  <c r="S127" i="1" s="1"/>
  <c r="AI162" i="1"/>
  <c r="U123" i="1"/>
  <c r="S123" i="1" s="1"/>
  <c r="AI158" i="1"/>
  <c r="AI154" i="1"/>
  <c r="U115" i="1"/>
  <c r="S115" i="1" s="1"/>
  <c r="AI150" i="1"/>
  <c r="U111" i="1"/>
  <c r="S111" i="1" s="1"/>
  <c r="AI146" i="1"/>
  <c r="U108" i="1"/>
  <c r="S108" i="1" s="1"/>
  <c r="AI142" i="1"/>
  <c r="U204" i="1"/>
  <c r="S204" i="1" s="1"/>
  <c r="AI138" i="1"/>
  <c r="U102" i="1"/>
  <c r="S102" i="1" s="1"/>
  <c r="AI134" i="1"/>
  <c r="U98" i="1"/>
  <c r="S98" i="1" s="1"/>
  <c r="AI130" i="1"/>
  <c r="AI127" i="1"/>
  <c r="U97" i="1"/>
  <c r="AI123" i="1"/>
  <c r="U124" i="1"/>
  <c r="S124" i="1" s="1"/>
  <c r="AI159" i="1"/>
  <c r="U120" i="1"/>
  <c r="S120" i="1" s="1"/>
  <c r="AI155" i="1"/>
  <c r="U116" i="1"/>
  <c r="S116" i="1" s="1"/>
  <c r="AI151" i="1"/>
  <c r="U112" i="1"/>
  <c r="S112" i="1" s="1"/>
  <c r="AI147" i="1"/>
  <c r="U109" i="1"/>
  <c r="S109" i="1" s="1"/>
  <c r="AI143" i="1"/>
  <c r="U105" i="1"/>
  <c r="S105" i="1" s="1"/>
  <c r="AI139" i="1"/>
  <c r="U103" i="1"/>
  <c r="S103" i="1" s="1"/>
  <c r="AI135" i="1"/>
  <c r="U99" i="1"/>
  <c r="S99" i="1" s="1"/>
  <c r="AI131" i="1"/>
  <c r="U192" i="1"/>
  <c r="S192" i="1" s="1"/>
  <c r="AI128" i="1"/>
  <c r="AI124" i="1"/>
  <c r="AI120" i="1"/>
  <c r="AI117" i="1"/>
  <c r="AI113" i="1"/>
  <c r="U179" i="1"/>
  <c r="S179" i="1" s="1"/>
  <c r="AI110" i="1"/>
  <c r="U177" i="1"/>
  <c r="S177" i="1" s="1"/>
  <c r="AI106" i="1"/>
  <c r="U173" i="1"/>
  <c r="S173" i="1" s="1"/>
  <c r="AI102" i="1"/>
  <c r="U169" i="1"/>
  <c r="S169" i="1" s="1"/>
  <c r="AI98" i="1"/>
  <c r="U165" i="1"/>
  <c r="S165" i="1" s="1"/>
  <c r="AI94" i="1"/>
  <c r="U160" i="1"/>
  <c r="S160" i="1" s="1"/>
  <c r="AI90" i="1"/>
  <c r="U90" i="1"/>
  <c r="S90" i="1" s="1"/>
  <c r="AI86" i="1"/>
  <c r="U86" i="1"/>
  <c r="S86" i="1" s="1"/>
  <c r="AI83" i="1"/>
  <c r="U184" i="1"/>
  <c r="S184" i="1" s="1"/>
  <c r="AI118" i="1"/>
  <c r="AI114" i="1"/>
  <c r="U180" i="1"/>
  <c r="S180" i="1" s="1"/>
  <c r="U178" i="1"/>
  <c r="S178" i="1" s="1"/>
  <c r="AI107" i="1"/>
  <c r="U174" i="1"/>
  <c r="S174" i="1" s="1"/>
  <c r="AI103" i="1"/>
  <c r="U170" i="1"/>
  <c r="S170" i="1" s="1"/>
  <c r="AI99" i="1"/>
  <c r="U167" i="1"/>
  <c r="S167" i="1" s="1"/>
  <c r="AI95" i="1"/>
  <c r="U161" i="1"/>
  <c r="S161" i="1" s="1"/>
  <c r="AI91" i="1"/>
  <c r="U91" i="1"/>
  <c r="S91" i="1" s="1"/>
  <c r="AI87" i="1"/>
  <c r="U87" i="1"/>
  <c r="S87" i="1" s="1"/>
  <c r="U185" i="1"/>
  <c r="S185" i="1" s="1"/>
  <c r="AI119" i="1"/>
  <c r="U181" i="1"/>
  <c r="S181" i="1" s="1"/>
  <c r="AI115" i="1"/>
  <c r="U94" i="1"/>
  <c r="AI111" i="1"/>
  <c r="U175" i="1"/>
  <c r="S175" i="1" s="1"/>
  <c r="AI108" i="1"/>
  <c r="U171" i="1"/>
  <c r="S171" i="1" s="1"/>
  <c r="AI104" i="1"/>
  <c r="U168" i="1"/>
  <c r="S168" i="1" s="1"/>
  <c r="AI100" i="1"/>
  <c r="U162" i="1"/>
  <c r="S162" i="1" s="1"/>
  <c r="AI96" i="1"/>
  <c r="U92" i="1"/>
  <c r="S92" i="1" s="1"/>
  <c r="AI92" i="1"/>
  <c r="U88" i="1"/>
  <c r="S88" i="1" s="1"/>
  <c r="AI88" i="1"/>
  <c r="U182" i="1"/>
  <c r="S182" i="1" s="1"/>
  <c r="AI116" i="1"/>
  <c r="U95" i="1"/>
  <c r="AI112" i="1"/>
  <c r="U176" i="1"/>
  <c r="S176" i="1" s="1"/>
  <c r="AI109" i="1"/>
  <c r="U172" i="1"/>
  <c r="S172" i="1" s="1"/>
  <c r="AI105" i="1"/>
  <c r="U93" i="1"/>
  <c r="S93" i="1" s="1"/>
  <c r="AI101" i="1"/>
  <c r="AI97" i="1"/>
  <c r="U159" i="1"/>
  <c r="S159" i="1" s="1"/>
  <c r="AI93" i="1"/>
  <c r="U89" i="1"/>
  <c r="S89" i="1" s="1"/>
  <c r="AI89" i="1"/>
  <c r="U84" i="1"/>
  <c r="S84" i="1" s="1"/>
  <c r="AI84" i="1"/>
  <c r="AI80" i="1"/>
  <c r="AI76" i="1"/>
  <c r="AI72" i="1"/>
  <c r="AI68" i="1"/>
  <c r="AI64" i="1"/>
  <c r="AI60" i="1"/>
  <c r="AI58" i="1"/>
  <c r="U58" i="1"/>
  <c r="S58" i="1" s="1"/>
  <c r="AI47" i="1"/>
  <c r="AI34" i="1"/>
  <c r="U34" i="1"/>
  <c r="S34" i="1" s="1"/>
  <c r="AI26" i="1"/>
  <c r="U26" i="1"/>
  <c r="S26" i="1" s="1"/>
  <c r="U81" i="1"/>
  <c r="S81" i="1" s="1"/>
  <c r="AI81" i="1"/>
  <c r="AI77" i="1"/>
  <c r="U77" i="1"/>
  <c r="S77" i="1" s="1"/>
  <c r="AI73" i="1"/>
  <c r="U73" i="1"/>
  <c r="S73" i="1" s="1"/>
  <c r="AI69" i="1"/>
  <c r="U69" i="1"/>
  <c r="S69" i="1" s="1"/>
  <c r="AI65" i="1"/>
  <c r="U65" i="1"/>
  <c r="S65" i="1" s="1"/>
  <c r="AI61" i="1"/>
  <c r="U61" i="1"/>
  <c r="S61" i="1" s="1"/>
  <c r="AI51" i="1"/>
  <c r="AI45" i="1"/>
  <c r="U45" i="1"/>
  <c r="S45" i="1" s="1"/>
  <c r="U82" i="1"/>
  <c r="S82" i="1" s="1"/>
  <c r="AI82" i="1"/>
  <c r="U78" i="1"/>
  <c r="S78" i="1" s="1"/>
  <c r="AI78" i="1"/>
  <c r="U74" i="1"/>
  <c r="S74" i="1" s="1"/>
  <c r="AI74" i="1"/>
  <c r="AI70" i="1"/>
  <c r="AI66" i="1"/>
  <c r="U62" i="1"/>
  <c r="S62" i="1" s="1"/>
  <c r="AI62" i="1"/>
  <c r="AI50" i="1"/>
  <c r="U50" i="1"/>
  <c r="S50" i="1" s="1"/>
  <c r="AI38" i="1"/>
  <c r="U38" i="1"/>
  <c r="S38" i="1" s="1"/>
  <c r="AI30" i="1"/>
  <c r="U30" i="1"/>
  <c r="S30" i="1" s="1"/>
  <c r="AI22" i="1"/>
  <c r="U79" i="1"/>
  <c r="S79" i="1" s="1"/>
  <c r="AI79" i="1"/>
  <c r="U75" i="1"/>
  <c r="S75" i="1" s="1"/>
  <c r="AI75" i="1"/>
  <c r="U71" i="1"/>
  <c r="S71" i="1" s="1"/>
  <c r="AI71" i="1"/>
  <c r="U67" i="1"/>
  <c r="S67" i="1" s="1"/>
  <c r="AI67" i="1"/>
  <c r="U63" i="1"/>
  <c r="S63" i="1" s="1"/>
  <c r="AI63" i="1"/>
  <c r="AI59" i="1"/>
  <c r="AI56" i="1"/>
  <c r="AI55" i="1"/>
  <c r="U55" i="1"/>
  <c r="S55" i="1" s="1"/>
  <c r="U54" i="1"/>
  <c r="AI54" i="1"/>
  <c r="AI42" i="1"/>
  <c r="U42" i="1"/>
  <c r="S42" i="1" s="1"/>
  <c r="AI52" i="1"/>
  <c r="AI48" i="1"/>
  <c r="AI43" i="1"/>
  <c r="AI39" i="1"/>
  <c r="AI35" i="1"/>
  <c r="AI31" i="1"/>
  <c r="AI27" i="1"/>
  <c r="AI23" i="1"/>
  <c r="AI18" i="1"/>
  <c r="U57" i="1"/>
  <c r="S57" i="1" s="1"/>
  <c r="AI57" i="1"/>
  <c r="U53" i="1"/>
  <c r="S53" i="1" s="1"/>
  <c r="AI53" i="1"/>
  <c r="U49" i="1"/>
  <c r="S49" i="1" s="1"/>
  <c r="AI49" i="1"/>
  <c r="U44" i="1"/>
  <c r="S44" i="1" s="1"/>
  <c r="AI44" i="1"/>
  <c r="U40" i="1"/>
  <c r="S40" i="1" s="1"/>
  <c r="AI40" i="1"/>
  <c r="W40" i="1"/>
  <c r="U36" i="1"/>
  <c r="S36" i="1" s="1"/>
  <c r="AI36" i="1"/>
  <c r="U32" i="1"/>
  <c r="S32" i="1" s="1"/>
  <c r="AI32" i="1"/>
  <c r="U28" i="1"/>
  <c r="S28" i="1" s="1"/>
  <c r="AI28" i="1"/>
  <c r="U24" i="1"/>
  <c r="S24" i="1" s="1"/>
  <c r="AI24" i="1"/>
  <c r="W24" i="1"/>
  <c r="U20" i="1"/>
  <c r="S20" i="1" s="1"/>
  <c r="AI20" i="1"/>
  <c r="U41" i="1"/>
  <c r="S41" i="1" s="1"/>
  <c r="AI41" i="1"/>
  <c r="U37" i="1"/>
  <c r="S37" i="1" s="1"/>
  <c r="AI37" i="1"/>
  <c r="U33" i="1"/>
  <c r="S33" i="1" s="1"/>
  <c r="AI33" i="1"/>
  <c r="U29" i="1"/>
  <c r="S29" i="1" s="1"/>
  <c r="AI29" i="1"/>
  <c r="AI25" i="1"/>
  <c r="U21" i="1"/>
  <c r="S21" i="1" s="1"/>
  <c r="AI21" i="1"/>
  <c r="W218" i="1"/>
  <c r="W210" i="1"/>
  <c r="W200" i="1"/>
  <c r="W156" i="1"/>
  <c r="W140" i="1"/>
  <c r="W132" i="1"/>
  <c r="W131" i="1"/>
  <c r="W216" i="1"/>
  <c r="W207" i="1"/>
  <c r="W198" i="1"/>
  <c r="W197" i="1"/>
  <c r="W195" i="1"/>
  <c r="W154" i="1"/>
  <c r="W153" i="1"/>
  <c r="W151" i="1"/>
  <c r="W145" i="1"/>
  <c r="W143" i="1"/>
  <c r="W138" i="1"/>
  <c r="W135" i="1"/>
  <c r="W127" i="1"/>
  <c r="W206" i="1"/>
  <c r="W152" i="1"/>
  <c r="W144" i="1"/>
  <c r="W129" i="1"/>
  <c r="W128" i="1"/>
  <c r="W219" i="1"/>
  <c r="W217" i="1"/>
  <c r="W211" i="1"/>
  <c r="W202" i="1"/>
  <c r="W199" i="1"/>
  <c r="W155" i="1"/>
  <c r="W150" i="1"/>
  <c r="W141" i="1"/>
  <c r="W139" i="1"/>
  <c r="W134" i="1"/>
  <c r="W126" i="1"/>
  <c r="X218" i="1"/>
  <c r="X214" i="1"/>
  <c r="X210" i="1"/>
  <c r="X206" i="1"/>
  <c r="X200" i="1"/>
  <c r="X196" i="1"/>
  <c r="X156" i="1"/>
  <c r="X152" i="1"/>
  <c r="X148" i="1"/>
  <c r="X144" i="1"/>
  <c r="X140" i="1"/>
  <c r="X136" i="1"/>
  <c r="X129" i="1"/>
  <c r="W119" i="1"/>
  <c r="W114" i="1"/>
  <c r="W109" i="1"/>
  <c r="W107" i="1"/>
  <c r="W192" i="1"/>
  <c r="W191" i="1"/>
  <c r="W185" i="1"/>
  <c r="W123" i="1"/>
  <c r="W118" i="1"/>
  <c r="W111" i="1"/>
  <c r="W204" i="1"/>
  <c r="W98" i="1"/>
  <c r="W193" i="1"/>
  <c r="W124" i="1"/>
  <c r="W122" i="1"/>
  <c r="W105" i="1"/>
  <c r="W194" i="1"/>
  <c r="W187" i="1"/>
  <c r="X217" i="1"/>
  <c r="X213" i="1"/>
  <c r="X209" i="1"/>
  <c r="X205" i="1"/>
  <c r="X199" i="1"/>
  <c r="X195" i="1"/>
  <c r="X155" i="1"/>
  <c r="X151" i="1"/>
  <c r="X147" i="1"/>
  <c r="X143" i="1"/>
  <c r="X139" i="1"/>
  <c r="X135" i="1"/>
  <c r="W102" i="1"/>
  <c r="W190" i="1"/>
  <c r="W178" i="1"/>
  <c r="W176" i="1"/>
  <c r="X125" i="1"/>
  <c r="X121" i="1"/>
  <c r="X117" i="1"/>
  <c r="X106" i="1"/>
  <c r="X104" i="1"/>
  <c r="X100" i="1"/>
  <c r="X190" i="1"/>
  <c r="X187" i="1"/>
  <c r="W172" i="1"/>
  <c r="W168" i="1"/>
  <c r="W81" i="1"/>
  <c r="X126" i="1"/>
  <c r="X122" i="1"/>
  <c r="X118" i="1"/>
  <c r="X114" i="1"/>
  <c r="X107" i="1"/>
  <c r="X203" i="1"/>
  <c r="X101" i="1"/>
  <c r="X191" i="1"/>
  <c r="X96" i="1"/>
  <c r="W183" i="1"/>
  <c r="W182" i="1"/>
  <c r="W94" i="1"/>
  <c r="W170" i="1"/>
  <c r="W169" i="1"/>
  <c r="W162" i="1"/>
  <c r="W84" i="1"/>
  <c r="T183" i="1"/>
  <c r="U183" i="1" s="1"/>
  <c r="S183" i="1" s="1"/>
  <c r="X183" i="1"/>
  <c r="W175" i="1"/>
  <c r="W165" i="1"/>
  <c r="W91" i="1"/>
  <c r="W90" i="1"/>
  <c r="W87" i="1"/>
  <c r="W79" i="1"/>
  <c r="W69" i="1"/>
  <c r="W68" i="1"/>
  <c r="X179" i="1"/>
  <c r="X177" i="1"/>
  <c r="X173" i="1"/>
  <c r="X169" i="1"/>
  <c r="X160" i="1"/>
  <c r="X90" i="1"/>
  <c r="W80" i="1"/>
  <c r="W75" i="1"/>
  <c r="W65" i="1"/>
  <c r="W64" i="1"/>
  <c r="W59" i="1"/>
  <c r="W58" i="1"/>
  <c r="W53" i="1"/>
  <c r="W36" i="1"/>
  <c r="X184" i="1"/>
  <c r="X180" i="1"/>
  <c r="X178" i="1"/>
  <c r="X174" i="1"/>
  <c r="X170" i="1"/>
  <c r="X161" i="1"/>
  <c r="X91" i="1"/>
  <c r="AA83" i="1"/>
  <c r="W83" i="1" s="1"/>
  <c r="W82" i="1"/>
  <c r="X81" i="1"/>
  <c r="T80" i="1"/>
  <c r="U80" i="1" s="1"/>
  <c r="S80" i="1" s="1"/>
  <c r="X80" i="1"/>
  <c r="W78" i="1"/>
  <c r="W62" i="1"/>
  <c r="W61" i="1"/>
  <c r="T83" i="1"/>
  <c r="U83" i="1" s="1"/>
  <c r="S83" i="1" s="1"/>
  <c r="X83" i="1"/>
  <c r="W74" i="1"/>
  <c r="W67" i="1"/>
  <c r="W28" i="1"/>
  <c r="X79" i="1"/>
  <c r="X75" i="1"/>
  <c r="X71" i="1"/>
  <c r="X67" i="1"/>
  <c r="X63" i="1"/>
  <c r="T51" i="1"/>
  <c r="U51" i="1" s="1"/>
  <c r="S51" i="1" s="1"/>
  <c r="X51" i="1"/>
  <c r="T48" i="1"/>
  <c r="U48" i="1" s="1"/>
  <c r="S48" i="1" s="1"/>
  <c r="W39" i="1"/>
  <c r="W30" i="1"/>
  <c r="W23" i="1"/>
  <c r="W22" i="1"/>
  <c r="X76" i="1"/>
  <c r="T76" i="1"/>
  <c r="U76" i="1" s="1"/>
  <c r="S76" i="1" s="1"/>
  <c r="T72" i="1"/>
  <c r="U72" i="1" s="1"/>
  <c r="S72" i="1" s="1"/>
  <c r="X68" i="1"/>
  <c r="T68" i="1"/>
  <c r="U68" i="1" s="1"/>
  <c r="S68" i="1" s="1"/>
  <c r="X64" i="1"/>
  <c r="T64" i="1"/>
  <c r="U64" i="1" s="1"/>
  <c r="S64" i="1" s="1"/>
  <c r="X60" i="1"/>
  <c r="T60" i="1"/>
  <c r="U60" i="1" s="1"/>
  <c r="S60" i="1" s="1"/>
  <c r="X58" i="1"/>
  <c r="AA55" i="1"/>
  <c r="W55" i="1" s="1"/>
  <c r="T52" i="1"/>
  <c r="U52" i="1" s="1"/>
  <c r="S52" i="1" s="1"/>
  <c r="X52" i="1"/>
  <c r="W43" i="1"/>
  <c r="AA42" i="1"/>
  <c r="W42" i="1" s="1"/>
  <c r="W41" i="1"/>
  <c r="X40" i="1"/>
  <c r="T39" i="1"/>
  <c r="U39" i="1" s="1"/>
  <c r="S39" i="1" s="1"/>
  <c r="X39" i="1"/>
  <c r="W37" i="1"/>
  <c r="X32" i="1"/>
  <c r="T31" i="1"/>
  <c r="U31" i="1" s="1"/>
  <c r="S31" i="1" s="1"/>
  <c r="X31" i="1"/>
  <c r="W29" i="1"/>
  <c r="X24" i="1"/>
  <c r="T23" i="1"/>
  <c r="U23" i="1" s="1"/>
  <c r="S23" i="1" s="1"/>
  <c r="X23" i="1"/>
  <c r="W21" i="1"/>
  <c r="W18" i="1"/>
  <c r="T56" i="1"/>
  <c r="U56" i="1" s="1"/>
  <c r="S56" i="1" s="1"/>
  <c r="X56" i="1"/>
  <c r="W54" i="1"/>
  <c r="AA47" i="1"/>
  <c r="W47" i="1" s="1"/>
  <c r="T43" i="1"/>
  <c r="U43" i="1" s="1"/>
  <c r="S43" i="1" s="1"/>
  <c r="X43" i="1"/>
  <c r="AA34" i="1"/>
  <c r="W34" i="1" s="1"/>
  <c r="AA26" i="1"/>
  <c r="W26" i="1" s="1"/>
  <c r="T18" i="1"/>
  <c r="U18" i="1" s="1"/>
  <c r="S18" i="1" s="1"/>
  <c r="T47" i="1"/>
  <c r="U47" i="1" s="1"/>
  <c r="S47" i="1" s="1"/>
  <c r="X36" i="1"/>
  <c r="T35" i="1"/>
  <c r="U35" i="1" s="1"/>
  <c r="S35" i="1" s="1"/>
  <c r="X35" i="1"/>
  <c r="W33" i="1"/>
  <c r="X28" i="1"/>
  <c r="T27" i="1"/>
  <c r="U27" i="1" s="1"/>
  <c r="S27" i="1" s="1"/>
  <c r="X27" i="1"/>
  <c r="W25" i="1"/>
  <c r="X42" i="1"/>
  <c r="Y12" i="3"/>
  <c r="Y8" i="3"/>
  <c r="Y22" i="3"/>
  <c r="Y14" i="3"/>
  <c r="Y10" i="3"/>
  <c r="Y15" i="3"/>
  <c r="Y27" i="3"/>
  <c r="Y33" i="3"/>
  <c r="Y32" i="3"/>
  <c r="Y28" i="3"/>
  <c r="Y7" i="3"/>
  <c r="Y25" i="3"/>
  <c r="Y9" i="3"/>
  <c r="Y40" i="3"/>
  <c r="Y13" i="3"/>
  <c r="Y34" i="3"/>
  <c r="Y18" i="3"/>
  <c r="Y11" i="3"/>
  <c r="Y23" i="3"/>
  <c r="Y35" i="3"/>
  <c r="Y26" i="3"/>
  <c r="Y17" i="3"/>
  <c r="Y37" i="3"/>
  <c r="Y21" i="3"/>
  <c r="Y31" i="3"/>
  <c r="Y39" i="3"/>
  <c r="Y29" i="3"/>
  <c r="Y24" i="3"/>
  <c r="Y20" i="3"/>
  <c r="Y36" i="3"/>
  <c r="Y19" i="3"/>
  <c r="Y30" i="3"/>
  <c r="Y38" i="3"/>
  <c r="M16" i="3"/>
  <c r="R16" i="3"/>
  <c r="U16" i="3"/>
  <c r="X16" i="3"/>
  <c r="W16" i="3"/>
  <c r="S94" i="1" l="1"/>
  <c r="S96" i="1"/>
  <c r="Y16" i="3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L157" i="1" s="1"/>
  <c r="G225" i="4"/>
  <c r="L154" i="1" s="1"/>
  <c r="G226" i="4"/>
  <c r="L198" i="1" s="1"/>
  <c r="G227" i="4"/>
  <c r="L156" i="1" s="1"/>
  <c r="G228" i="4"/>
  <c r="L158" i="1" s="1"/>
  <c r="G229" i="4"/>
  <c r="L199" i="1" s="1"/>
  <c r="G230" i="4"/>
  <c r="L201" i="1" s="1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Y13" i="1"/>
  <c r="Z13" i="1"/>
  <c r="AB13" i="1"/>
  <c r="AC13" i="1"/>
  <c r="AD13" i="1"/>
  <c r="AE13" i="1"/>
  <c r="AM13" i="1"/>
  <c r="AG13" i="1"/>
  <c r="X14" i="1" l="1"/>
  <c r="AA13" i="1"/>
  <c r="T13" i="1"/>
  <c r="U13" i="1" s="1"/>
  <c r="S13" i="1" s="1"/>
  <c r="X13" i="1"/>
  <c r="AI13" i="1"/>
  <c r="W13" i="1"/>
  <c r="O2" i="3" l="1"/>
  <c r="M28" i="5" l="1"/>
  <c r="M23" i="5" l="1"/>
  <c r="AN164" i="1" l="1"/>
  <c r="AN46" i="1"/>
  <c r="AN17" i="1"/>
  <c r="V14" i="1"/>
  <c r="AN15" i="1"/>
  <c r="V16" i="1"/>
  <c r="AN18" i="1"/>
  <c r="V20" i="1"/>
  <c r="AN21" i="1"/>
  <c r="V22" i="1"/>
  <c r="AN23" i="1"/>
  <c r="V24" i="1"/>
  <c r="AN25" i="1"/>
  <c r="V26" i="1"/>
  <c r="AN27" i="1"/>
  <c r="V28" i="1"/>
  <c r="AN29" i="1"/>
  <c r="V30" i="1"/>
  <c r="AN31" i="1"/>
  <c r="V32" i="1"/>
  <c r="AN33" i="1"/>
  <c r="V34" i="1"/>
  <c r="AN35" i="1"/>
  <c r="V36" i="1"/>
  <c r="AN37" i="1"/>
  <c r="V38" i="1"/>
  <c r="AN39" i="1"/>
  <c r="V40" i="1"/>
  <c r="AN41" i="1"/>
  <c r="V42" i="1"/>
  <c r="AN166" i="1"/>
  <c r="V85" i="1"/>
  <c r="AN19" i="1"/>
  <c r="AN103" i="1"/>
  <c r="V171" i="1"/>
  <c r="S36" i="3" s="1"/>
  <c r="AN105" i="1"/>
  <c r="V173" i="1"/>
  <c r="AN107" i="1"/>
  <c r="V175" i="1"/>
  <c r="AN109" i="1"/>
  <c r="V177" i="1"/>
  <c r="V98" i="1"/>
  <c r="AN131" i="1"/>
  <c r="V100" i="1"/>
  <c r="V188" i="1"/>
  <c r="V164" i="1"/>
  <c r="V17" i="1"/>
  <c r="AN14" i="1"/>
  <c r="V15" i="1"/>
  <c r="AN16" i="1"/>
  <c r="V18" i="1"/>
  <c r="S16" i="3" s="1"/>
  <c r="AN20" i="1"/>
  <c r="V21" i="1"/>
  <c r="AN22" i="1"/>
  <c r="V23" i="1"/>
  <c r="AN24" i="1"/>
  <c r="V25" i="1"/>
  <c r="AN26" i="1"/>
  <c r="V27" i="1"/>
  <c r="AN28" i="1"/>
  <c r="V29" i="1"/>
  <c r="AN30" i="1"/>
  <c r="V31" i="1"/>
  <c r="AN32" i="1"/>
  <c r="V33" i="1"/>
  <c r="AN34" i="1"/>
  <c r="V35" i="1"/>
  <c r="AN36" i="1"/>
  <c r="V37" i="1"/>
  <c r="AN38" i="1"/>
  <c r="V39" i="1"/>
  <c r="AN40" i="1"/>
  <c r="V41" i="1"/>
  <c r="AN42" i="1"/>
  <c r="V43" i="1"/>
  <c r="AN44" i="1"/>
  <c r="V45" i="1"/>
  <c r="AN47" i="1"/>
  <c r="V48" i="1"/>
  <c r="AN188" i="1"/>
  <c r="V46" i="1"/>
  <c r="S26" i="3" s="1"/>
  <c r="V44" i="1"/>
  <c r="AN45" i="1"/>
  <c r="AN51" i="1"/>
  <c r="V52" i="1"/>
  <c r="AN54" i="1"/>
  <c r="V55" i="1"/>
  <c r="S27" i="3" s="1"/>
  <c r="AN59" i="1"/>
  <c r="V60" i="1"/>
  <c r="AN62" i="1"/>
  <c r="V63" i="1"/>
  <c r="S19" i="3" s="1"/>
  <c r="AN67" i="1"/>
  <c r="V68" i="1"/>
  <c r="S13" i="3" s="1"/>
  <c r="AN70" i="1"/>
  <c r="V71" i="1"/>
  <c r="AN75" i="1"/>
  <c r="V76" i="1"/>
  <c r="AN78" i="1"/>
  <c r="V79" i="1"/>
  <c r="AN83" i="1"/>
  <c r="V84" i="1"/>
  <c r="AN87" i="1"/>
  <c r="V88" i="1"/>
  <c r="AN92" i="1"/>
  <c r="V159" i="1"/>
  <c r="AN95" i="1"/>
  <c r="V162" i="1"/>
  <c r="S38" i="3" s="1"/>
  <c r="AN100" i="1"/>
  <c r="V93" i="1"/>
  <c r="V170" i="1"/>
  <c r="V172" i="1"/>
  <c r="AN85" i="1"/>
  <c r="AN43" i="1"/>
  <c r="AN49" i="1"/>
  <c r="V50" i="1"/>
  <c r="AN52" i="1"/>
  <c r="V53" i="1"/>
  <c r="AN57" i="1"/>
  <c r="V58" i="1"/>
  <c r="AN60" i="1"/>
  <c r="V61" i="1"/>
  <c r="AN65" i="1"/>
  <c r="V66" i="1"/>
  <c r="AN68" i="1"/>
  <c r="V69" i="1"/>
  <c r="AN73" i="1"/>
  <c r="V74" i="1"/>
  <c r="AN76" i="1"/>
  <c r="V77" i="1"/>
  <c r="AN81" i="1"/>
  <c r="V82" i="1"/>
  <c r="S7" i="3" s="1"/>
  <c r="AN84" i="1"/>
  <c r="V86" i="1"/>
  <c r="S10" i="3" s="1"/>
  <c r="AN90" i="1"/>
  <c r="V91" i="1"/>
  <c r="AN93" i="1"/>
  <c r="V160" i="1"/>
  <c r="AN98" i="1"/>
  <c r="V167" i="1"/>
  <c r="AN101" i="1"/>
  <c r="V169" i="1"/>
  <c r="S35" i="3" s="1"/>
  <c r="AN104" i="1"/>
  <c r="AN106" i="1"/>
  <c r="AN108" i="1"/>
  <c r="AN110" i="1"/>
  <c r="AN50" i="1"/>
  <c r="V51" i="1"/>
  <c r="AN55" i="1"/>
  <c r="V56" i="1"/>
  <c r="AN58" i="1"/>
  <c r="V59" i="1"/>
  <c r="AN63" i="1"/>
  <c r="V64" i="1"/>
  <c r="AN66" i="1"/>
  <c r="V67" i="1"/>
  <c r="AN71" i="1"/>
  <c r="V72" i="1"/>
  <c r="AN74" i="1"/>
  <c r="V75" i="1"/>
  <c r="AN79" i="1"/>
  <c r="V80" i="1"/>
  <c r="AN82" i="1"/>
  <c r="V83" i="1"/>
  <c r="AN88" i="1"/>
  <c r="V89" i="1"/>
  <c r="AN91" i="1"/>
  <c r="V92" i="1"/>
  <c r="V166" i="1"/>
  <c r="V19" i="1"/>
  <c r="V47" i="1"/>
  <c r="AN48" i="1"/>
  <c r="V49" i="1"/>
  <c r="AN53" i="1"/>
  <c r="V54" i="1"/>
  <c r="AN56" i="1"/>
  <c r="V57" i="1"/>
  <c r="AN61" i="1"/>
  <c r="V62" i="1"/>
  <c r="AN64" i="1"/>
  <c r="V65" i="1"/>
  <c r="AN69" i="1"/>
  <c r="V70" i="1"/>
  <c r="S15" i="3" s="1"/>
  <c r="AN72" i="1"/>
  <c r="V73" i="1"/>
  <c r="AN77" i="1"/>
  <c r="V78" i="1"/>
  <c r="AN80" i="1"/>
  <c r="V81" i="1"/>
  <c r="AN86" i="1"/>
  <c r="V87" i="1"/>
  <c r="AN89" i="1"/>
  <c r="V90" i="1"/>
  <c r="AN94" i="1"/>
  <c r="V161" i="1"/>
  <c r="S32" i="3" s="1"/>
  <c r="AN97" i="1"/>
  <c r="V165" i="1"/>
  <c r="AN102" i="1"/>
  <c r="V94" i="1"/>
  <c r="S24" i="3" s="1"/>
  <c r="AN99" i="1"/>
  <c r="AN112" i="1"/>
  <c r="V179" i="1"/>
  <c r="AN113" i="1"/>
  <c r="V180" i="1"/>
  <c r="AN118" i="1"/>
  <c r="V185" i="1"/>
  <c r="AN121" i="1"/>
  <c r="V96" i="1"/>
  <c r="AN126" i="1"/>
  <c r="AN127" i="1"/>
  <c r="V192" i="1"/>
  <c r="S31" i="3" s="1"/>
  <c r="V99" i="1"/>
  <c r="V101" i="1"/>
  <c r="S14" i="3" s="1"/>
  <c r="AN134" i="1"/>
  <c r="V103" i="1"/>
  <c r="AN136" i="1"/>
  <c r="V203" i="1"/>
  <c r="AN138" i="1"/>
  <c r="V105" i="1"/>
  <c r="AN140" i="1"/>
  <c r="V107" i="1"/>
  <c r="AN142" i="1"/>
  <c r="V109" i="1"/>
  <c r="S29" i="3" s="1"/>
  <c r="AN144" i="1"/>
  <c r="AN167" i="1"/>
  <c r="V130" i="1"/>
  <c r="AN169" i="1"/>
  <c r="V132" i="1"/>
  <c r="S28" i="3" s="1"/>
  <c r="AN171" i="1"/>
  <c r="V134" i="1"/>
  <c r="AN173" i="1"/>
  <c r="V136" i="1"/>
  <c r="AN175" i="1"/>
  <c r="V138" i="1"/>
  <c r="AN177" i="1"/>
  <c r="V140" i="1"/>
  <c r="S12" i="3" s="1"/>
  <c r="V163" i="1"/>
  <c r="S33" i="3" s="1"/>
  <c r="AN116" i="1"/>
  <c r="V183" i="1"/>
  <c r="AN119" i="1"/>
  <c r="V186" i="1"/>
  <c r="AN124" i="1"/>
  <c r="V190" i="1"/>
  <c r="AN128" i="1"/>
  <c r="V193" i="1"/>
  <c r="AN130" i="1"/>
  <c r="AN132" i="1"/>
  <c r="AN146" i="1"/>
  <c r="V112" i="1"/>
  <c r="S8" i="3" s="1"/>
  <c r="AN148" i="1"/>
  <c r="V114" i="1"/>
  <c r="AN150" i="1"/>
  <c r="V116" i="1"/>
  <c r="AN152" i="1"/>
  <c r="V118" i="1"/>
  <c r="AN154" i="1"/>
  <c r="V120" i="1"/>
  <c r="AN156" i="1"/>
  <c r="V122" i="1"/>
  <c r="AN158" i="1"/>
  <c r="V124" i="1"/>
  <c r="AN160" i="1"/>
  <c r="V126" i="1"/>
  <c r="AN162" i="1"/>
  <c r="V128" i="1"/>
  <c r="AN165" i="1"/>
  <c r="V144" i="1"/>
  <c r="AN183" i="1"/>
  <c r="V146" i="1"/>
  <c r="AN96" i="1"/>
  <c r="V174" i="1"/>
  <c r="V176" i="1"/>
  <c r="V178" i="1"/>
  <c r="AN114" i="1"/>
  <c r="V181" i="1"/>
  <c r="AN117" i="1"/>
  <c r="V184" i="1"/>
  <c r="AN122" i="1"/>
  <c r="V97" i="1"/>
  <c r="AN125" i="1"/>
  <c r="V191" i="1"/>
  <c r="AN133" i="1"/>
  <c r="V102" i="1"/>
  <c r="S22" i="3" s="1"/>
  <c r="AN135" i="1"/>
  <c r="V104" i="1"/>
  <c r="AN137" i="1"/>
  <c r="V204" i="1"/>
  <c r="AN139" i="1"/>
  <c r="V106" i="1"/>
  <c r="AN141" i="1"/>
  <c r="V108" i="1"/>
  <c r="AN143" i="1"/>
  <c r="V110" i="1"/>
  <c r="AN168" i="1"/>
  <c r="V131" i="1"/>
  <c r="AN170" i="1"/>
  <c r="V133" i="1"/>
  <c r="AN172" i="1"/>
  <c r="V135" i="1"/>
  <c r="V168" i="1"/>
  <c r="AN111" i="1"/>
  <c r="V95" i="1"/>
  <c r="AN115" i="1"/>
  <c r="V182" i="1"/>
  <c r="AN120" i="1"/>
  <c r="V187" i="1"/>
  <c r="S37" i="3" s="1"/>
  <c r="AN123" i="1"/>
  <c r="V189" i="1"/>
  <c r="AN129" i="1"/>
  <c r="V194" i="1"/>
  <c r="AN145" i="1"/>
  <c r="V111" i="1"/>
  <c r="AN147" i="1"/>
  <c r="V113" i="1"/>
  <c r="AN149" i="1"/>
  <c r="V115" i="1"/>
  <c r="S25" i="3" s="1"/>
  <c r="AN151" i="1"/>
  <c r="V117" i="1"/>
  <c r="AN153" i="1"/>
  <c r="V119" i="1"/>
  <c r="AN155" i="1"/>
  <c r="V121" i="1"/>
  <c r="AN157" i="1"/>
  <c r="V123" i="1"/>
  <c r="AN159" i="1"/>
  <c r="V125" i="1"/>
  <c r="AN161" i="1"/>
  <c r="V127" i="1"/>
  <c r="AN163" i="1"/>
  <c r="V129" i="1"/>
  <c r="AN182" i="1"/>
  <c r="V145" i="1"/>
  <c r="AN184" i="1"/>
  <c r="V147" i="1"/>
  <c r="AN186" i="1"/>
  <c r="V149" i="1"/>
  <c r="V139" i="1"/>
  <c r="AN180" i="1"/>
  <c r="V143" i="1"/>
  <c r="AN192" i="1"/>
  <c r="V155" i="1"/>
  <c r="AN194" i="1"/>
  <c r="V157" i="1"/>
  <c r="AN196" i="1"/>
  <c r="V195" i="1"/>
  <c r="AN198" i="1"/>
  <c r="V197" i="1"/>
  <c r="AN200" i="1"/>
  <c r="V199" i="1"/>
  <c r="AN210" i="1"/>
  <c r="V211" i="1"/>
  <c r="AN212" i="1"/>
  <c r="V213" i="1"/>
  <c r="AN216" i="1"/>
  <c r="V217" i="1"/>
  <c r="V36" i="3"/>
  <c r="AE36" i="3" s="1"/>
  <c r="V40" i="3"/>
  <c r="AE40" i="3" s="1"/>
  <c r="V7" i="3"/>
  <c r="V10" i="3"/>
  <c r="AE10" i="3" s="1"/>
  <c r="V28" i="3"/>
  <c r="AE28" i="3" s="1"/>
  <c r="AN215" i="1"/>
  <c r="AN217" i="1"/>
  <c r="V218" i="1"/>
  <c r="S40" i="3" s="1"/>
  <c r="V9" i="3"/>
  <c r="AE9" i="3" s="1"/>
  <c r="AN176" i="1"/>
  <c r="AN181" i="1"/>
  <c r="V148" i="1"/>
  <c r="V150" i="1"/>
  <c r="AN190" i="1"/>
  <c r="V152" i="1"/>
  <c r="V32" i="3"/>
  <c r="AE32" i="3" s="1"/>
  <c r="V38" i="3"/>
  <c r="AE38" i="3" s="1"/>
  <c r="V18" i="3"/>
  <c r="AE18" i="3" s="1"/>
  <c r="V17" i="3"/>
  <c r="AE17" i="3" s="1"/>
  <c r="V33" i="3"/>
  <c r="AE33" i="3" s="1"/>
  <c r="V30" i="3"/>
  <c r="AE30" i="3" s="1"/>
  <c r="V34" i="3"/>
  <c r="AE34" i="3" s="1"/>
  <c r="V26" i="3"/>
  <c r="AE26" i="3" s="1"/>
  <c r="V27" i="3"/>
  <c r="AE27" i="3" s="1"/>
  <c r="V19" i="3"/>
  <c r="AE19" i="3" s="1"/>
  <c r="V13" i="3"/>
  <c r="AE13" i="3" s="1"/>
  <c r="V35" i="3"/>
  <c r="AE35" i="3" s="1"/>
  <c r="V20" i="3"/>
  <c r="AE20" i="3" s="1"/>
  <c r="V21" i="3"/>
  <c r="AE21" i="3" s="1"/>
  <c r="V23" i="3"/>
  <c r="AE23" i="3" s="1"/>
  <c r="V14" i="3"/>
  <c r="AE14" i="3" s="1"/>
  <c r="V31" i="3"/>
  <c r="AE31" i="3" s="1"/>
  <c r="AN209" i="1"/>
  <c r="V210" i="1"/>
  <c r="V137" i="1"/>
  <c r="V141" i="1"/>
  <c r="AN185" i="1"/>
  <c r="AN187" i="1"/>
  <c r="V154" i="1"/>
  <c r="AN193" i="1"/>
  <c r="V156" i="1"/>
  <c r="AN195" i="1"/>
  <c r="V158" i="1"/>
  <c r="AN197" i="1"/>
  <c r="V196" i="1"/>
  <c r="S39" i="3" s="1"/>
  <c r="AN199" i="1"/>
  <c r="V198" i="1"/>
  <c r="AN201" i="1"/>
  <c r="V200" i="1"/>
  <c r="AN203" i="1"/>
  <c r="V202" i="1"/>
  <c r="AN205" i="1"/>
  <c r="V206" i="1"/>
  <c r="AN207" i="1"/>
  <c r="V208" i="1"/>
  <c r="AN211" i="1"/>
  <c r="V212" i="1"/>
  <c r="AN213" i="1"/>
  <c r="V214" i="1"/>
  <c r="V216" i="1"/>
  <c r="AN219" i="1"/>
  <c r="AN174" i="1"/>
  <c r="AN178" i="1"/>
  <c r="AN179" i="1"/>
  <c r="V142" i="1"/>
  <c r="AN189" i="1"/>
  <c r="V151" i="1"/>
  <c r="AN191" i="1"/>
  <c r="V153" i="1"/>
  <c r="V15" i="3"/>
  <c r="AE15" i="3" s="1"/>
  <c r="V11" i="3"/>
  <c r="AE11" i="3" s="1"/>
  <c r="V22" i="3"/>
  <c r="AE22" i="3" s="1"/>
  <c r="V29" i="3"/>
  <c r="AE29" i="3" s="1"/>
  <c r="AN202" i="1"/>
  <c r="V201" i="1"/>
  <c r="AN204" i="1"/>
  <c r="V205" i="1"/>
  <c r="AN206" i="1"/>
  <c r="V207" i="1"/>
  <c r="AN208" i="1"/>
  <c r="V209" i="1"/>
  <c r="AN214" i="1"/>
  <c r="V215" i="1"/>
  <c r="AN218" i="1"/>
  <c r="V219" i="1"/>
  <c r="V25" i="3"/>
  <c r="AE25" i="3" s="1"/>
  <c r="V8" i="3"/>
  <c r="AE8" i="3" s="1"/>
  <c r="V39" i="3"/>
  <c r="AE39" i="3" s="1"/>
  <c r="V37" i="3"/>
  <c r="AE37" i="3" s="1"/>
  <c r="V12" i="3"/>
  <c r="AE12" i="3" s="1"/>
  <c r="V24" i="3"/>
  <c r="AE24" i="3" s="1"/>
  <c r="AD11" i="3"/>
  <c r="AC25" i="3"/>
  <c r="AD36" i="3"/>
  <c r="AD22" i="3"/>
  <c r="AD13" i="3"/>
  <c r="AD17" i="3"/>
  <c r="AC23" i="3"/>
  <c r="AC27" i="3"/>
  <c r="AC39" i="3"/>
  <c r="AC24" i="3"/>
  <c r="AC36" i="3"/>
  <c r="AD12" i="3"/>
  <c r="AD20" i="3"/>
  <c r="AC13" i="3"/>
  <c r="AC34" i="3"/>
  <c r="AC18" i="3"/>
  <c r="AC15" i="3"/>
  <c r="AC11" i="3"/>
  <c r="AC26" i="3"/>
  <c r="AD28" i="3"/>
  <c r="AC28" i="3"/>
  <c r="AC33" i="3"/>
  <c r="AC14" i="3"/>
  <c r="AD25" i="3"/>
  <c r="AD15" i="3"/>
  <c r="AD10" i="3"/>
  <c r="AD32" i="3"/>
  <c r="AC17" i="3"/>
  <c r="AD34" i="3"/>
  <c r="AD27" i="3"/>
  <c r="AC38" i="3"/>
  <c r="AD40" i="3"/>
  <c r="V16" i="3"/>
  <c r="AE16" i="3" s="1"/>
  <c r="AC29" i="3"/>
  <c r="AC20" i="3"/>
  <c r="AC19" i="3"/>
  <c r="AD8" i="3"/>
  <c r="AD19" i="3"/>
  <c r="AD30" i="3"/>
  <c r="AD38" i="3"/>
  <c r="AC37" i="3"/>
  <c r="AC7" i="3"/>
  <c r="AC9" i="3"/>
  <c r="AC32" i="3"/>
  <c r="AC8" i="3"/>
  <c r="AC12" i="3"/>
  <c r="AD23" i="3"/>
  <c r="AD21" i="3"/>
  <c r="AC10" i="3"/>
  <c r="AD18" i="3"/>
  <c r="AC21" i="3"/>
  <c r="AC40" i="3"/>
  <c r="AD29" i="3"/>
  <c r="AD39" i="3"/>
  <c r="AD26" i="3"/>
  <c r="AD35" i="3"/>
  <c r="AD33" i="3"/>
  <c r="AD14" i="3"/>
  <c r="AD37" i="3"/>
  <c r="AD9" i="3"/>
  <c r="AC35" i="3"/>
  <c r="AC22" i="3"/>
  <c r="AC31" i="3"/>
  <c r="AD31" i="3"/>
  <c r="AD24" i="3"/>
  <c r="AC30" i="3"/>
  <c r="AC16" i="3"/>
  <c r="AD16" i="3"/>
  <c r="V13" i="1"/>
  <c r="AN13" i="1"/>
  <c r="AD7" i="3"/>
  <c r="S34" i="3" l="1"/>
  <c r="S30" i="3"/>
  <c r="S21" i="3"/>
  <c r="S20" i="3"/>
  <c r="S23" i="3"/>
  <c r="S9" i="3"/>
  <c r="S11" i="3"/>
  <c r="S18" i="3"/>
  <c r="S17" i="3"/>
  <c r="AE7" i="3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L16" i="1" s="1"/>
  <c r="G15" i="4"/>
  <c r="G16" i="4"/>
  <c r="G17" i="4"/>
  <c r="L21" i="1" s="1"/>
  <c r="G18" i="4"/>
  <c r="G19" i="4"/>
  <c r="L200" i="1" s="1"/>
  <c r="G20" i="4"/>
  <c r="L18" i="1" s="1"/>
  <c r="G21" i="4"/>
  <c r="L23" i="1" s="1"/>
  <c r="G22" i="4"/>
  <c r="L25" i="1" s="1"/>
  <c r="G23" i="4"/>
  <c r="L20" i="1" s="1"/>
  <c r="G24" i="4"/>
  <c r="L203" i="1" s="1"/>
  <c r="G25" i="4"/>
  <c r="L22" i="1" s="1"/>
  <c r="G26" i="4"/>
  <c r="L202" i="1" s="1"/>
  <c r="G27" i="4"/>
  <c r="L27" i="1" s="1"/>
  <c r="G28" i="4"/>
  <c r="L159" i="1" s="1"/>
  <c r="G29" i="4"/>
  <c r="L29" i="1" s="1"/>
  <c r="G30" i="4"/>
  <c r="L24" i="1" s="1"/>
  <c r="G31" i="4"/>
  <c r="L31" i="1" s="1"/>
  <c r="G32" i="4"/>
  <c r="L160" i="1" s="1"/>
  <c r="G33" i="4"/>
  <c r="L26" i="1" s="1"/>
  <c r="G34" i="4"/>
  <c r="L28" i="1" s="1"/>
  <c r="G35" i="4"/>
  <c r="L33" i="1" s="1"/>
  <c r="G36" i="4"/>
  <c r="L35" i="1" s="1"/>
  <c r="G37" i="4"/>
  <c r="L161" i="1" s="1"/>
  <c r="G38" i="4"/>
  <c r="L30" i="1" s="1"/>
  <c r="G39" i="4"/>
  <c r="L32" i="1" s="1"/>
  <c r="G40" i="4"/>
  <c r="L37" i="1" s="1"/>
  <c r="G41" i="4"/>
  <c r="L162" i="1" s="1"/>
  <c r="G42" i="4"/>
  <c r="L34" i="1" s="1"/>
  <c r="G43" i="4"/>
  <c r="L39" i="1" s="1"/>
  <c r="G44" i="4"/>
  <c r="L41" i="1" s="1"/>
  <c r="G45" i="4"/>
  <c r="L36" i="1" s="1"/>
  <c r="G46" i="4"/>
  <c r="L163" i="1" s="1"/>
  <c r="G47" i="4"/>
  <c r="L43" i="1" s="1"/>
  <c r="G48" i="4"/>
  <c r="L45" i="1" s="1"/>
  <c r="G49" i="4"/>
  <c r="L38" i="1" s="1"/>
  <c r="G50" i="4"/>
  <c r="L47" i="1" s="1"/>
  <c r="G51" i="4"/>
  <c r="L40" i="1" s="1"/>
  <c r="G52" i="4"/>
  <c r="L42" i="1" s="1"/>
  <c r="G53" i="4"/>
  <c r="L49" i="1" s="1"/>
  <c r="G54" i="4"/>
  <c r="L44" i="1" s="1"/>
  <c r="G55" i="4"/>
  <c r="L51" i="1" s="1"/>
  <c r="G56" i="4"/>
  <c r="L165" i="1" s="1"/>
  <c r="G57" i="4"/>
  <c r="L48" i="1" s="1"/>
  <c r="G58" i="4"/>
  <c r="G59" i="4"/>
  <c r="G60" i="4"/>
  <c r="G61" i="4"/>
  <c r="L56" i="1" s="1"/>
  <c r="G62" i="4"/>
  <c r="L50" i="1" s="1"/>
  <c r="G63" i="4"/>
  <c r="L166" i="1" s="1"/>
  <c r="G64" i="4"/>
  <c r="G65" i="4"/>
  <c r="G66" i="4"/>
  <c r="L58" i="1" s="1"/>
  <c r="G67" i="4"/>
  <c r="G68" i="4"/>
  <c r="L60" i="1" s="1"/>
  <c r="G69" i="4"/>
  <c r="G70" i="4"/>
  <c r="L52" i="1" s="1"/>
  <c r="G71" i="4"/>
  <c r="L167" i="1" s="1"/>
  <c r="G72" i="4"/>
  <c r="G73" i="4"/>
  <c r="L55" i="1" s="1"/>
  <c r="G74" i="4"/>
  <c r="L62" i="1" s="1"/>
  <c r="G75" i="4"/>
  <c r="L57" i="1" s="1"/>
  <c r="G76" i="4"/>
  <c r="L64" i="1" s="1"/>
  <c r="G77" i="4"/>
  <c r="L168" i="1" s="1"/>
  <c r="G78" i="4"/>
  <c r="L59" i="1" s="1"/>
  <c r="G79" i="4"/>
  <c r="L66" i="1" s="1"/>
  <c r="G80" i="4"/>
  <c r="L63" i="1" s="1"/>
  <c r="G81" i="4"/>
  <c r="L61" i="1" s="1"/>
  <c r="G82" i="4"/>
  <c r="L68" i="1" s="1"/>
  <c r="G83" i="4"/>
  <c r="L169" i="1" s="1"/>
  <c r="G84" i="4"/>
  <c r="L65" i="1" s="1"/>
  <c r="G85" i="4"/>
  <c r="L70" i="1" s="1"/>
  <c r="G86" i="4"/>
  <c r="L67" i="1" s="1"/>
  <c r="G87" i="4"/>
  <c r="L72" i="1" s="1"/>
  <c r="G88" i="4"/>
  <c r="L170" i="1" s="1"/>
  <c r="G89" i="4"/>
  <c r="L73" i="1" s="1"/>
  <c r="G90" i="4"/>
  <c r="L171" i="1" s="1"/>
  <c r="G91" i="4"/>
  <c r="L69" i="1" s="1"/>
  <c r="G92" i="4"/>
  <c r="L75" i="1" s="1"/>
  <c r="G93" i="4"/>
  <c r="L71" i="1" s="1"/>
  <c r="G94" i="4"/>
  <c r="G95" i="4"/>
  <c r="L77" i="1" s="1"/>
  <c r="G96" i="4"/>
  <c r="L79" i="1" s="1"/>
  <c r="G97" i="4"/>
  <c r="L172" i="1" s="1"/>
  <c r="G98" i="4"/>
  <c r="L81" i="1" s="1"/>
  <c r="G99" i="4"/>
  <c r="L74" i="1" s="1"/>
  <c r="G100" i="4"/>
  <c r="L76" i="1" s="1"/>
  <c r="G101" i="4"/>
  <c r="G102" i="4"/>
  <c r="L78" i="1" s="1"/>
  <c r="G103" i="4"/>
  <c r="L83" i="1" s="1"/>
  <c r="G104" i="4"/>
  <c r="L173" i="1" s="1"/>
  <c r="G105" i="4"/>
  <c r="G106" i="4"/>
  <c r="L85" i="1" s="1"/>
  <c r="G107" i="4"/>
  <c r="G108" i="4"/>
  <c r="G109" i="4"/>
  <c r="G110" i="4"/>
  <c r="L80" i="1" s="1"/>
  <c r="G111" i="4"/>
  <c r="G112" i="4"/>
  <c r="G113" i="4"/>
  <c r="L174" i="1" s="1"/>
  <c r="G114" i="4"/>
  <c r="L87" i="1" s="1"/>
  <c r="G115" i="4"/>
  <c r="L89" i="1" s="1"/>
  <c r="G116" i="4"/>
  <c r="L82" i="1" s="1"/>
  <c r="G117" i="4"/>
  <c r="L84" i="1" s="1"/>
  <c r="G118" i="4"/>
  <c r="L91" i="1" s="1"/>
  <c r="G119" i="4"/>
  <c r="L175" i="1" s="1"/>
  <c r="G120" i="4"/>
  <c r="L93" i="1" s="1"/>
  <c r="G121" i="4"/>
  <c r="G122" i="4"/>
  <c r="G123" i="4"/>
  <c r="L88" i="1" s="1"/>
  <c r="G124" i="4"/>
  <c r="L90" i="1" s="1"/>
  <c r="G125" i="4"/>
  <c r="L176" i="1" s="1"/>
  <c r="G126" i="4"/>
  <c r="G127" i="4"/>
  <c r="G128" i="4"/>
  <c r="G129" i="4"/>
  <c r="L99" i="1" s="1"/>
  <c r="G130" i="4"/>
  <c r="L92" i="1" s="1"/>
  <c r="G131" i="4"/>
  <c r="G132" i="4"/>
  <c r="L101" i="1" s="1"/>
  <c r="G133" i="4"/>
  <c r="L177" i="1" s="1"/>
  <c r="G134" i="4"/>
  <c r="G135" i="4"/>
  <c r="G136" i="4"/>
  <c r="G137" i="4"/>
  <c r="L103" i="1" s="1"/>
  <c r="G138" i="4"/>
  <c r="L98" i="1" s="1"/>
  <c r="G139" i="4"/>
  <c r="L105" i="1" s="1"/>
  <c r="G140" i="4"/>
  <c r="G141" i="4"/>
  <c r="L178" i="1" s="1"/>
  <c r="G142" i="4"/>
  <c r="L107" i="1" s="1"/>
  <c r="G143" i="4"/>
  <c r="L100" i="1" s="1"/>
  <c r="G144" i="4"/>
  <c r="L213" i="1" s="1"/>
  <c r="G145" i="4"/>
  <c r="L102" i="1" s="1"/>
  <c r="G146" i="4"/>
  <c r="L179" i="1" s="1"/>
  <c r="G147" i="4"/>
  <c r="L109" i="1" s="1"/>
  <c r="G148" i="4"/>
  <c r="L106" i="1" s="1"/>
  <c r="G149" i="4"/>
  <c r="L104" i="1" s="1"/>
  <c r="G150" i="4"/>
  <c r="H4" i="6" s="1"/>
  <c r="G151" i="4"/>
  <c r="G152" i="4"/>
  <c r="L111" i="1" s="1"/>
  <c r="G153" i="4"/>
  <c r="L108" i="1" s="1"/>
  <c r="G154" i="4"/>
  <c r="G155" i="4"/>
  <c r="L180" i="1" s="1"/>
  <c r="G156" i="4"/>
  <c r="L113" i="1" s="1"/>
  <c r="G157" i="4"/>
  <c r="L110" i="1" s="1"/>
  <c r="G158" i="4"/>
  <c r="L115" i="1" s="1"/>
  <c r="G159" i="4"/>
  <c r="L181" i="1" s="1"/>
  <c r="G160" i="4"/>
  <c r="G161" i="4"/>
  <c r="L117" i="1" s="1"/>
  <c r="G162" i="4"/>
  <c r="L114" i="1" s="1"/>
  <c r="G163" i="4"/>
  <c r="L112" i="1" s="1"/>
  <c r="G164" i="4"/>
  <c r="L119" i="1" s="1"/>
  <c r="G165" i="4"/>
  <c r="L182" i="1" s="1"/>
  <c r="G166" i="4"/>
  <c r="L121" i="1" s="1"/>
  <c r="G167" i="4"/>
  <c r="L123" i="1" s="1"/>
  <c r="G168" i="4"/>
  <c r="L116" i="1" s="1"/>
  <c r="G169" i="4"/>
  <c r="G170" i="4"/>
  <c r="L183" i="1" s="1"/>
  <c r="G171" i="4"/>
  <c r="G172" i="4"/>
  <c r="L120" i="1" s="1"/>
  <c r="G173" i="4"/>
  <c r="L118" i="1" s="1"/>
  <c r="G174" i="4"/>
  <c r="L208" i="1" s="1"/>
  <c r="G175" i="4"/>
  <c r="L125" i="1" s="1"/>
  <c r="G176" i="4"/>
  <c r="L127" i="1" s="1"/>
  <c r="G177" i="4"/>
  <c r="L122" i="1" s="1"/>
  <c r="G178" i="4"/>
  <c r="L184" i="1" s="1"/>
  <c r="G179" i="4"/>
  <c r="L124" i="1" s="1"/>
  <c r="G180" i="4"/>
  <c r="L129" i="1" s="1"/>
  <c r="G181" i="4"/>
  <c r="L185" i="1" s="1"/>
  <c r="G182" i="4"/>
  <c r="L131" i="1" s="1"/>
  <c r="G183" i="4"/>
  <c r="L126" i="1" s="1"/>
  <c r="G184" i="4"/>
  <c r="L195" i="1" s="1"/>
  <c r="G185" i="4"/>
  <c r="L128" i="1" s="1"/>
  <c r="G186" i="4"/>
  <c r="L133" i="1" s="1"/>
  <c r="G187" i="4"/>
  <c r="L130" i="1" s="1"/>
  <c r="G188" i="4"/>
  <c r="L186" i="1" s="1"/>
  <c r="G189" i="4"/>
  <c r="L196" i="1" s="1"/>
  <c r="G190" i="4"/>
  <c r="G191" i="4"/>
  <c r="L132" i="1" s="1"/>
  <c r="G192" i="4"/>
  <c r="L135" i="1" s="1"/>
  <c r="G193" i="4"/>
  <c r="L187" i="1" s="1"/>
  <c r="G194" i="4"/>
  <c r="L197" i="1" s="1"/>
  <c r="G195" i="4"/>
  <c r="L134" i="1" s="1"/>
  <c r="G196" i="4"/>
  <c r="L137" i="1" s="1"/>
  <c r="G197" i="4"/>
  <c r="L188" i="1" s="1"/>
  <c r="G198" i="4"/>
  <c r="L136" i="1" s="1"/>
  <c r="G199" i="4"/>
  <c r="L139" i="1" s="1"/>
  <c r="G200" i="4"/>
  <c r="L189" i="1" s="1"/>
  <c r="G201" i="4"/>
  <c r="L138" i="1" s="1"/>
  <c r="G202" i="4"/>
  <c r="L141" i="1" s="1"/>
  <c r="G203" i="4"/>
  <c r="L190" i="1" s="1"/>
  <c r="G204" i="4"/>
  <c r="L143" i="1" s="1"/>
  <c r="G205" i="4"/>
  <c r="L140" i="1" s="1"/>
  <c r="G206" i="4"/>
  <c r="L191" i="1" s="1"/>
  <c r="G207" i="4"/>
  <c r="L142" i="1" s="1"/>
  <c r="G208" i="4"/>
  <c r="L145" i="1" s="1"/>
  <c r="G209" i="4"/>
  <c r="L192" i="1" s="1"/>
  <c r="G210" i="4"/>
  <c r="L144" i="1" s="1"/>
  <c r="G211" i="4"/>
  <c r="L147" i="1" s="1"/>
  <c r="G212" i="4"/>
  <c r="G213" i="4"/>
  <c r="L193" i="1" s="1"/>
  <c r="G214" i="4"/>
  <c r="L149" i="1" s="1"/>
  <c r="G215" i="4"/>
  <c r="L146" i="1" s="1"/>
  <c r="G216" i="4"/>
  <c r="L194" i="1" s="1"/>
  <c r="G217" i="4"/>
  <c r="L151" i="1" s="1"/>
  <c r="G218" i="4"/>
  <c r="L148" i="1" s="1"/>
  <c r="G219" i="4"/>
  <c r="L204" i="1" s="1"/>
  <c r="G220" i="4"/>
  <c r="L150" i="1" s="1"/>
  <c r="G221" i="4"/>
  <c r="L153" i="1" s="1"/>
  <c r="G222" i="4"/>
  <c r="L155" i="1" s="1"/>
  <c r="G223" i="4"/>
  <c r="L152" i="1" s="1"/>
  <c r="G2" i="4"/>
  <c r="L94" i="1" l="1"/>
  <c r="L95" i="1"/>
  <c r="L97" i="1"/>
  <c r="L96" i="1"/>
  <c r="L209" i="1"/>
  <c r="L210" i="1"/>
  <c r="N26" i="3"/>
  <c r="L46" i="1"/>
  <c r="N10" i="3"/>
  <c r="L86" i="1"/>
  <c r="L211" i="1"/>
  <c r="L212" i="1"/>
  <c r="L216" i="1"/>
  <c r="L217" i="1"/>
  <c r="L215" i="1"/>
  <c r="L214" i="1"/>
  <c r="L219" i="1"/>
  <c r="L218" i="1"/>
  <c r="L54" i="1"/>
  <c r="L53" i="1"/>
  <c r="L206" i="1"/>
  <c r="L207" i="1"/>
  <c r="L205" i="1"/>
  <c r="N25" i="3"/>
  <c r="N9" i="3"/>
  <c r="N11" i="3"/>
  <c r="N24" i="3"/>
  <c r="N23" i="3"/>
  <c r="N21" i="3"/>
  <c r="N20" i="3"/>
  <c r="N33" i="3"/>
  <c r="N31" i="3"/>
  <c r="N37" i="3"/>
  <c r="N39" i="3"/>
  <c r="N22" i="3"/>
  <c r="N15" i="3"/>
  <c r="N27" i="3"/>
  <c r="N17" i="3"/>
  <c r="N18" i="3"/>
  <c r="N38" i="3"/>
  <c r="N32" i="3"/>
  <c r="N12" i="3"/>
  <c r="N14" i="3"/>
  <c r="N16" i="3"/>
  <c r="N7" i="3"/>
  <c r="N19" i="3"/>
  <c r="N30" i="3"/>
  <c r="N34" i="3"/>
  <c r="N36" i="3"/>
  <c r="N13" i="3"/>
  <c r="N28" i="3"/>
  <c r="N8" i="3"/>
  <c r="N29" i="3"/>
  <c r="N40" i="3"/>
  <c r="N35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4" i="1" l="1"/>
  <c r="AH16" i="1"/>
  <c r="AH20" i="1"/>
  <c r="AH22" i="1"/>
  <c r="AH24" i="1"/>
  <c r="AH26" i="1"/>
  <c r="AH28" i="1"/>
  <c r="AH30" i="1"/>
  <c r="AH32" i="1"/>
  <c r="AH34" i="1"/>
  <c r="AH36" i="1"/>
  <c r="AH38" i="1"/>
  <c r="AH40" i="1"/>
  <c r="AH42" i="1"/>
  <c r="AH188" i="1"/>
  <c r="AH85" i="1"/>
  <c r="AH104" i="1"/>
  <c r="AH106" i="1"/>
  <c r="AH108" i="1"/>
  <c r="AH110" i="1"/>
  <c r="AH130" i="1"/>
  <c r="AH132" i="1"/>
  <c r="AH164" i="1"/>
  <c r="AH46" i="1"/>
  <c r="AH17" i="1"/>
  <c r="AH15" i="1"/>
  <c r="AH18" i="1"/>
  <c r="AH21" i="1"/>
  <c r="AH23" i="1"/>
  <c r="AH25" i="1"/>
  <c r="AH27" i="1"/>
  <c r="AH29" i="1"/>
  <c r="AH31" i="1"/>
  <c r="AH33" i="1"/>
  <c r="AH35" i="1"/>
  <c r="AH37" i="1"/>
  <c r="AH39" i="1"/>
  <c r="AH41" i="1"/>
  <c r="AH43" i="1"/>
  <c r="AH45" i="1"/>
  <c r="AH48" i="1"/>
  <c r="AH19" i="1"/>
  <c r="AH44" i="1"/>
  <c r="AH50" i="1"/>
  <c r="AH55" i="1"/>
  <c r="AH58" i="1"/>
  <c r="AH63" i="1"/>
  <c r="AH66" i="1"/>
  <c r="AH71" i="1"/>
  <c r="AH74" i="1"/>
  <c r="AH79" i="1"/>
  <c r="AH82" i="1"/>
  <c r="AH88" i="1"/>
  <c r="AH91" i="1"/>
  <c r="AH96" i="1"/>
  <c r="AH99" i="1"/>
  <c r="AH103" i="1"/>
  <c r="AH105" i="1"/>
  <c r="AH53" i="1"/>
  <c r="AH56" i="1"/>
  <c r="AH61" i="1"/>
  <c r="AH64" i="1"/>
  <c r="AH69" i="1"/>
  <c r="AH72" i="1"/>
  <c r="AH77" i="1"/>
  <c r="AH80" i="1"/>
  <c r="AH86" i="1"/>
  <c r="AH89" i="1"/>
  <c r="AH94" i="1"/>
  <c r="AH97" i="1"/>
  <c r="AH102" i="1"/>
  <c r="AH113" i="1"/>
  <c r="AH166" i="1"/>
  <c r="AH51" i="1"/>
  <c r="AH54" i="1"/>
  <c r="AH59" i="1"/>
  <c r="AH62" i="1"/>
  <c r="AH67" i="1"/>
  <c r="AH70" i="1"/>
  <c r="AH75" i="1"/>
  <c r="AH78" i="1"/>
  <c r="AH83" i="1"/>
  <c r="AH87" i="1"/>
  <c r="AH92" i="1"/>
  <c r="AH95" i="1"/>
  <c r="AH47" i="1"/>
  <c r="AH49" i="1"/>
  <c r="AH52" i="1"/>
  <c r="AH57" i="1"/>
  <c r="AH60" i="1"/>
  <c r="AH65" i="1"/>
  <c r="AH68" i="1"/>
  <c r="AH73" i="1"/>
  <c r="AH76" i="1"/>
  <c r="AH81" i="1"/>
  <c r="AH84" i="1"/>
  <c r="AH90" i="1"/>
  <c r="AH93" i="1"/>
  <c r="AH98" i="1"/>
  <c r="AH101" i="1"/>
  <c r="AH114" i="1"/>
  <c r="AH117" i="1"/>
  <c r="AH122" i="1"/>
  <c r="AH125" i="1"/>
  <c r="AH131" i="1"/>
  <c r="AH133" i="1"/>
  <c r="AH135" i="1"/>
  <c r="AH137" i="1"/>
  <c r="AH139" i="1"/>
  <c r="AH141" i="1"/>
  <c r="AH143" i="1"/>
  <c r="AH168" i="1"/>
  <c r="AH170" i="1"/>
  <c r="AH172" i="1"/>
  <c r="AH174" i="1"/>
  <c r="AH176" i="1"/>
  <c r="AH178" i="1"/>
  <c r="AH107" i="1"/>
  <c r="AH109" i="1"/>
  <c r="AH111" i="1"/>
  <c r="AH115" i="1"/>
  <c r="AH120" i="1"/>
  <c r="AH123" i="1"/>
  <c r="AH129" i="1"/>
  <c r="AH145" i="1"/>
  <c r="AH147" i="1"/>
  <c r="AH149" i="1"/>
  <c r="AH151" i="1"/>
  <c r="AH153" i="1"/>
  <c r="AH155" i="1"/>
  <c r="AH157" i="1"/>
  <c r="AH159" i="1"/>
  <c r="AH161" i="1"/>
  <c r="AH163" i="1"/>
  <c r="AH182" i="1"/>
  <c r="AH100" i="1"/>
  <c r="AH112" i="1"/>
  <c r="AH118" i="1"/>
  <c r="AH121" i="1"/>
  <c r="AH126" i="1"/>
  <c r="AH127" i="1"/>
  <c r="AH134" i="1"/>
  <c r="AH136" i="1"/>
  <c r="AH138" i="1"/>
  <c r="AH140" i="1"/>
  <c r="AH142" i="1"/>
  <c r="AH144" i="1"/>
  <c r="AH167" i="1"/>
  <c r="AH169" i="1"/>
  <c r="AH171" i="1"/>
  <c r="AH173" i="1"/>
  <c r="AH116" i="1"/>
  <c r="AH119" i="1"/>
  <c r="AH124" i="1"/>
  <c r="AH128" i="1"/>
  <c r="AH146" i="1"/>
  <c r="AH148" i="1"/>
  <c r="AH150" i="1"/>
  <c r="AH152" i="1"/>
  <c r="AH154" i="1"/>
  <c r="AH156" i="1"/>
  <c r="AH158" i="1"/>
  <c r="AH160" i="1"/>
  <c r="AH162" i="1"/>
  <c r="AH165" i="1"/>
  <c r="AH183" i="1"/>
  <c r="AH185" i="1"/>
  <c r="AH187" i="1"/>
  <c r="AH193" i="1"/>
  <c r="AH195" i="1"/>
  <c r="AH197" i="1"/>
  <c r="AH199" i="1"/>
  <c r="AH201" i="1"/>
  <c r="AH211" i="1"/>
  <c r="AH213" i="1"/>
  <c r="AH217" i="1"/>
  <c r="AH218" i="1"/>
  <c r="AH175" i="1"/>
  <c r="AH179" i="1"/>
  <c r="AH184" i="1"/>
  <c r="AH186" i="1"/>
  <c r="AH189" i="1"/>
  <c r="AH191" i="1"/>
  <c r="AH210" i="1"/>
  <c r="AH180" i="1"/>
  <c r="AH192" i="1"/>
  <c r="AH194" i="1"/>
  <c r="AH196" i="1"/>
  <c r="AH198" i="1"/>
  <c r="AH200" i="1"/>
  <c r="AH202" i="1"/>
  <c r="AH204" i="1"/>
  <c r="AH206" i="1"/>
  <c r="AH208" i="1"/>
  <c r="AH212" i="1"/>
  <c r="AH214" i="1"/>
  <c r="AH216" i="1"/>
  <c r="AH177" i="1"/>
  <c r="AH181" i="1"/>
  <c r="AH190" i="1"/>
  <c r="AH203" i="1"/>
  <c r="AH205" i="1"/>
  <c r="AH207" i="1"/>
  <c r="AH209" i="1"/>
  <c r="AH215" i="1"/>
  <c r="AH219" i="1"/>
  <c r="AH13" i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88" i="1" l="1"/>
  <c r="AF85" i="1"/>
  <c r="AF19" i="1"/>
  <c r="AF164" i="1"/>
  <c r="AF46" i="1"/>
  <c r="AF17" i="1"/>
  <c r="AF15" i="1"/>
  <c r="AF18" i="1"/>
  <c r="AF21" i="1"/>
  <c r="AF23" i="1"/>
  <c r="AF25" i="1"/>
  <c r="AF27" i="1"/>
  <c r="AF29" i="1"/>
  <c r="AF31" i="1"/>
  <c r="AF33" i="1"/>
  <c r="AF35" i="1"/>
  <c r="AF37" i="1"/>
  <c r="AF39" i="1"/>
  <c r="AF41" i="1"/>
  <c r="AF43" i="1"/>
  <c r="AF45" i="1"/>
  <c r="AF48" i="1"/>
  <c r="AF50" i="1"/>
  <c r="AF52" i="1"/>
  <c r="AF54" i="1"/>
  <c r="AF56" i="1"/>
  <c r="AF58" i="1"/>
  <c r="AF60" i="1"/>
  <c r="AF62" i="1"/>
  <c r="AF64" i="1"/>
  <c r="AF66" i="1"/>
  <c r="AF68" i="1"/>
  <c r="AF70" i="1"/>
  <c r="AF72" i="1"/>
  <c r="AF74" i="1"/>
  <c r="AF76" i="1"/>
  <c r="AF78" i="1"/>
  <c r="AF80" i="1"/>
  <c r="AF82" i="1"/>
  <c r="AF84" i="1"/>
  <c r="AF87" i="1"/>
  <c r="AF89" i="1"/>
  <c r="AF91" i="1"/>
  <c r="AF159" i="1"/>
  <c r="AF161" i="1"/>
  <c r="AF163" i="1"/>
  <c r="AF167" i="1"/>
  <c r="AF93" i="1"/>
  <c r="AF94" i="1"/>
  <c r="AF179" i="1"/>
  <c r="AF181" i="1"/>
  <c r="AF183" i="1"/>
  <c r="AF185" i="1"/>
  <c r="AF187" i="1"/>
  <c r="AF97" i="1"/>
  <c r="AF190" i="1"/>
  <c r="AF192" i="1"/>
  <c r="AF194" i="1"/>
  <c r="AF166" i="1"/>
  <c r="AF22" i="1"/>
  <c r="AF30" i="1"/>
  <c r="AF38" i="1"/>
  <c r="AF53" i="1"/>
  <c r="AF61" i="1"/>
  <c r="AF69" i="1"/>
  <c r="AF77" i="1"/>
  <c r="AF86" i="1"/>
  <c r="AF160" i="1"/>
  <c r="AF169" i="1"/>
  <c r="AF20" i="1"/>
  <c r="AF28" i="1"/>
  <c r="AF36" i="1"/>
  <c r="AF51" i="1"/>
  <c r="AF59" i="1"/>
  <c r="AF67" i="1"/>
  <c r="AF75" i="1"/>
  <c r="AF83" i="1"/>
  <c r="AF92" i="1"/>
  <c r="AF168" i="1"/>
  <c r="AF14" i="1"/>
  <c r="AF16" i="1"/>
  <c r="AF26" i="1"/>
  <c r="AF34" i="1"/>
  <c r="AF42" i="1"/>
  <c r="AF47" i="1"/>
  <c r="AF49" i="1"/>
  <c r="AF57" i="1"/>
  <c r="AF65" i="1"/>
  <c r="AF73" i="1"/>
  <c r="AF81" i="1"/>
  <c r="AF90" i="1"/>
  <c r="AF24" i="1"/>
  <c r="AF32" i="1"/>
  <c r="AF40" i="1"/>
  <c r="AF44" i="1"/>
  <c r="AF55" i="1"/>
  <c r="AF63" i="1"/>
  <c r="AF71" i="1"/>
  <c r="AF79" i="1"/>
  <c r="AF88" i="1"/>
  <c r="AF162" i="1"/>
  <c r="AF170" i="1"/>
  <c r="AF171" i="1"/>
  <c r="AF172" i="1"/>
  <c r="AF173" i="1"/>
  <c r="AF174" i="1"/>
  <c r="AF175" i="1"/>
  <c r="AF176" i="1"/>
  <c r="AF177" i="1"/>
  <c r="AF178" i="1"/>
  <c r="AF95" i="1"/>
  <c r="AF186" i="1"/>
  <c r="AF193" i="1"/>
  <c r="AF112" i="1"/>
  <c r="AF114" i="1"/>
  <c r="AF116" i="1"/>
  <c r="AF118" i="1"/>
  <c r="AF120" i="1"/>
  <c r="AF122" i="1"/>
  <c r="AF124" i="1"/>
  <c r="AF126" i="1"/>
  <c r="AF128" i="1"/>
  <c r="AF165" i="1"/>
  <c r="AF184" i="1"/>
  <c r="AF191" i="1"/>
  <c r="AF102" i="1"/>
  <c r="AF104" i="1"/>
  <c r="AF204" i="1"/>
  <c r="AF106" i="1"/>
  <c r="AF108" i="1"/>
  <c r="AF110" i="1"/>
  <c r="AF131" i="1"/>
  <c r="AF133" i="1"/>
  <c r="AF135" i="1"/>
  <c r="AF137" i="1"/>
  <c r="AF139" i="1"/>
  <c r="AF141" i="1"/>
  <c r="AF143" i="1"/>
  <c r="AF182" i="1"/>
  <c r="AF189" i="1"/>
  <c r="AF111" i="1"/>
  <c r="AF113" i="1"/>
  <c r="AF115" i="1"/>
  <c r="AF117" i="1"/>
  <c r="AF119" i="1"/>
  <c r="AF121" i="1"/>
  <c r="AF123" i="1"/>
  <c r="AF125" i="1"/>
  <c r="AF127" i="1"/>
  <c r="AF129" i="1"/>
  <c r="AF180" i="1"/>
  <c r="AF96" i="1"/>
  <c r="AF98" i="1"/>
  <c r="AF99" i="1"/>
  <c r="AF100" i="1"/>
  <c r="AF101" i="1"/>
  <c r="AF103" i="1"/>
  <c r="AF203" i="1"/>
  <c r="AF105" i="1"/>
  <c r="AF107" i="1"/>
  <c r="AF109" i="1"/>
  <c r="AF130" i="1"/>
  <c r="AF132" i="1"/>
  <c r="AF134" i="1"/>
  <c r="AF136" i="1"/>
  <c r="AF138" i="1"/>
  <c r="AF140" i="1"/>
  <c r="AF142" i="1"/>
  <c r="AF144" i="1"/>
  <c r="AF146" i="1"/>
  <c r="AF147" i="1"/>
  <c r="AF148" i="1"/>
  <c r="AF149" i="1"/>
  <c r="AF150" i="1"/>
  <c r="AF152" i="1"/>
  <c r="AF154" i="1"/>
  <c r="AF156" i="1"/>
  <c r="AF158" i="1"/>
  <c r="AF196" i="1"/>
  <c r="AF198" i="1"/>
  <c r="AF200" i="1"/>
  <c r="AF202" i="1"/>
  <c r="AF206" i="1"/>
  <c r="AF208" i="1"/>
  <c r="AF210" i="1"/>
  <c r="AF212" i="1"/>
  <c r="AF214" i="1"/>
  <c r="AF216" i="1"/>
  <c r="AF218" i="1"/>
  <c r="AF145" i="1"/>
  <c r="AF151" i="1"/>
  <c r="AF153" i="1"/>
  <c r="AF155" i="1"/>
  <c r="AF157" i="1"/>
  <c r="AF195" i="1"/>
  <c r="AF197" i="1"/>
  <c r="AF199" i="1"/>
  <c r="AF201" i="1"/>
  <c r="AF205" i="1"/>
  <c r="AF207" i="1"/>
  <c r="AF209" i="1"/>
  <c r="AF211" i="1"/>
  <c r="AF213" i="1"/>
  <c r="AF215" i="1"/>
  <c r="AF217" i="1"/>
  <c r="AF219" i="1"/>
  <c r="T35" i="3"/>
  <c r="T26" i="3"/>
  <c r="T17" i="3"/>
  <c r="T12" i="3"/>
  <c r="T23" i="3"/>
  <c r="T34" i="3"/>
  <c r="T9" i="3"/>
  <c r="T31" i="3"/>
  <c r="T38" i="3"/>
  <c r="T24" i="3"/>
  <c r="T19" i="3"/>
  <c r="T20" i="3"/>
  <c r="T15" i="3"/>
  <c r="T28" i="3"/>
  <c r="T10" i="3"/>
  <c r="T22" i="3"/>
  <c r="T40" i="3"/>
  <c r="T21" i="3"/>
  <c r="T39" i="3"/>
  <c r="T30" i="3"/>
  <c r="T29" i="3"/>
  <c r="T36" i="3"/>
  <c r="T14" i="3"/>
  <c r="T11" i="3"/>
  <c r="T18" i="3"/>
  <c r="T25" i="3"/>
  <c r="T27" i="3"/>
  <c r="T33" i="3"/>
  <c r="T32" i="3"/>
  <c r="T8" i="3"/>
  <c r="T7" i="3"/>
  <c r="T37" i="3"/>
  <c r="T13" i="3"/>
  <c r="T16" i="3"/>
  <c r="AF13" i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  <c r="B3" i="6" l="1"/>
  <c r="I3" i="6" l="1"/>
  <c r="G3" i="6"/>
  <c r="F3" i="6"/>
  <c r="H3" i="6"/>
  <c r="J3" i="6"/>
  <c r="B5" i="6" l="1"/>
  <c r="F5" i="6" l="1"/>
  <c r="G5" i="6"/>
  <c r="J5" i="6"/>
  <c r="H5" i="6"/>
  <c r="I5" i="6"/>
  <c r="B6" i="6" l="1"/>
  <c r="B7" i="6" l="1"/>
  <c r="J6" i="6"/>
  <c r="F6" i="6"/>
  <c r="H6" i="6"/>
  <c r="G6" i="6"/>
  <c r="I6" i="6"/>
  <c r="B8" i="6" l="1"/>
  <c r="H7" i="6"/>
  <c r="F7" i="6"/>
  <c r="I7" i="6"/>
  <c r="J7" i="6"/>
  <c r="G7" i="6"/>
  <c r="B10" i="6" l="1"/>
  <c r="B9" i="6"/>
  <c r="G8" i="6"/>
  <c r="H8" i="6"/>
  <c r="F8" i="6"/>
  <c r="I8" i="6"/>
  <c r="J8" i="6"/>
  <c r="G9" i="6" l="1"/>
  <c r="H9" i="6"/>
  <c r="I9" i="6"/>
  <c r="J9" i="6"/>
  <c r="F9" i="6"/>
  <c r="H10" i="6"/>
  <c r="J10" i="6"/>
  <c r="G10" i="6"/>
  <c r="I10" i="6"/>
  <c r="F10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<sst xmlns="http://schemas.openxmlformats.org/spreadsheetml/2006/main" count="2591" uniqueCount="973">
  <si>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</si>
  <si>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</si>
  <si>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</si>
  <si>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</si>
  <si>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</si>
  <si>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</si>
  <si>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</si>
  <si>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</si>
  <si>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</si>
  <si>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</si>
  <si>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</si>
  <si>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</si>
  <si>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</si>
  <si>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</si>
  <si>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</si>
  <si>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</si>
  <si>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</si>
  <si>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</si>
  <si>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</si>
  <si>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</si>
  <si>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</si>
  <si>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</si>
  <si>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</si>
  <si>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</si>
  <si>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</si>
  <si>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</si>
  <si>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</si>
  <si>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</si>
  <si>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</si>
  <si>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</si>
  <si>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</si>
  <si>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</si>
  <si>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</si>
  <si>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</si>
  <si>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</si>
  <si>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</si>
  <si>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</si>
  <si>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</si>
  <si>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</si>
  <si>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</si>
  <si>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</si>
  <si>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</si>
  <si>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</si>
  <si>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</si>
  <si>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</si>
  <si>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</si>
  <si>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</si>
  <si>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</si>
  <si>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</si>
  <si>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</si>
  <si>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</si>
  <si>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</si>
  <si>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</si>
  <si>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</si>
  <si>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</si>
  <si>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</si>
  <si>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</si>
  <si>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</si>
  <si>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</si>
  <si>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</si>
  <si>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</si>
  <si>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</si>
  <si>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</si>
  <si>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</si>
  <si>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</si>
  <si>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</si>
  <si>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</si>
  <si>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</si>
  <si>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</si>
  <si>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</si>
  <si>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</si>
  <si>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</si>
  <si>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</si>
  <si>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</si>
  <si>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</si>
  <si>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</si>
  <si>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</si>
  <si>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</si>
  <si>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</si>
  <si>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</si>
  <si>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</si>
  <si>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</si>
  <si>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</si>
  <si>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</si>
  <si>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</si>
  <si>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</si>
  <si>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</si>
  <si>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</si>
  <si>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</si>
  <si>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</si>
  <si>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</si>
  <si>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</si>
  <si>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</si>
  <si>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</si>
  <si>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</si>
  <si>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</si>
  <si>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</si>
  <si>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</si>
  <si>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</si>
  <si>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</si>
  <si>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</si>
  <si>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</si>
  <si>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</si>
  <si>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</si>
  <si>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</si>
  <si>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</si>
  <si>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</si>
  <si>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</si>
  <si>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</si>
  <si>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</si>
  <si>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</si>
  <si>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</si>
  <si>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</si>
  <si>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</si>
  <si>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</si>
  <si>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</si>
  <si>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</si>
  <si>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</si>
  <si>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</si>
  <si>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</si>
  <si>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</si>
  <si>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</si>
  <si>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</si>
  <si>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</si>
  <si>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</si>
  <si>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</si>
  <si>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</si>
  <si>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</si>
  <si>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</si>
  <si>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</si>
  <si>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</si>
  <si>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</si>
  <si>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</si>
  <si>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</si>
  <si>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</si>
  <si>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</si>
  <si>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</si>
  <si>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</si>
  <si>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</si>
  <si>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</si>
  <si>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</si>
  <si>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</si>
  <si>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</si>
  <si>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</si>
  <si>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</si>
  <si>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</si>
  <si>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</si>
  <si>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</si>
  <si>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</si>
  <si>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</si>
  <si>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</si>
  <si>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</si>
  <si>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</si>
  <si>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</si>
  <si>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</si>
  <si>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</si>
  <si>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</si>
  <si>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</si>
  <si>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</si>
  <si>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</si>
  <si>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</si>
  <si>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</si>
  <si>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</si>
  <si>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</si>
  <si>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</si>
  <si>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</si>
  <si>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</si>
  <si>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</si>
  <si>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</si>
  <si>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</si>
  <si>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</si>
  <si>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</si>
  <si>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</si>
  <si>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</si>
  <si>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</si>
  <si>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</si>
  <si>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</si>
  <si>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</si>
  <si>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</si>
  <si>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</si>
  <si>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</si>
  <si>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</si>
  <si>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</si>
  <si>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</si>
  <si>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</si>
  <si>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</si>
  <si>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</si>
  <si>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</si>
  <si>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</si>
  <si>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</si>
  <si>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</si>
  <si>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MICHAEL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</si>
  <si>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</si>
  <si>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</si>
  <si>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</si>
  <si>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</si>
  <si>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</si>
  <si>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</si>
  <si>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</si>
  <si>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</si>
  <si>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</si>
  <si>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</si>
  <si>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</si>
  <si>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</si>
  <si>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</si>
  <si>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</si>
  <si>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</si>
  <si>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</si>
  <si>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</si>
  <si>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</si>
  <si>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</si>
  <si>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</si>
  <si>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</si>
  <si>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</si>
  <si>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</si>
  <si>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</si>
  <si>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</si>
  <si>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</si>
  <si>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</si>
  <si>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</si>
  <si>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</si>
  <si>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</si>
  <si>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</si>
  <si>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</si>
  <si>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</si>
  <si>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</si>
  <si>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</si>
  <si>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</si>
  <si>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</si>
  <si>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</si>
  <si>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</si>
  <si>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</si>
  <si>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</si>
  <si>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</si>
  <si>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</si>
  <si>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</si>
  <si>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</si>
  <si>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</si>
  <si>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</si>
  <si>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</si>
  <si>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</si>
  <si>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</si>
  <si>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</si>
  <si>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</si>
  <si>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</si>
  <si>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</si>
  <si>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</si>
  <si>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</si>
  <si>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</si>
  <si>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</si>
  <si>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</si>
  <si>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</si>
  <si>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</si>
  <si>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</si>
  <si>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</si>
  <si>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</si>
  <si>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</si>
  <si>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</si>
  <si>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</si>
  <si>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</si>
  <si>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</si>
  <si>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</si>
  <si>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</si>
  <si>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</si>
  <si>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</si>
  <si>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</si>
  <si>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</si>
  <si>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</si>
  <si>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</si>
  <si>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</si>
  <si>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</si>
  <si>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</si>
  <si>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</si>
  <si>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</si>
  <si>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</si>
  <si>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</si>
  <si>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</si>
  <si>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</si>
  <si>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</si>
  <si>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</si>
  <si>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</si>
  <si>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</si>
  <si>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</si>
  <si>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</si>
  <si>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</si>
  <si>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</si>
  <si>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</si>
  <si>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</si>
  <si>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</si>
  <si>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</si>
  <si>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</si>
  <si>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</si>
  <si>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</si>
  <si>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</si>
  <si>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</si>
  <si>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</si>
  <si>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</si>
  <si>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</si>
  <si>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</si>
  <si>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</si>
  <si>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</si>
  <si>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</si>
  <si>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</si>
  <si>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</si>
  <si>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</si>
  <si>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</si>
  <si>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</si>
  <si>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</si>
  <si>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</si>
  <si>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</si>
  <si>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</si>
  <si>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</si>
  <si>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</si>
  <si>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</si>
  <si>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</si>
  <si>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</si>
  <si>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</si>
  <si>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</si>
  <si>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</si>
  <si>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</si>
  <si>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</si>
  <si>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</si>
  <si>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</si>
  <si>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</si>
  <si>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</si>
  <si>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</si>
  <si>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</si>
  <si>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</si>
  <si>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</si>
  <si>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</si>
  <si>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</si>
  <si>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</si>
  <si>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</si>
  <si>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</si>
  <si>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</si>
  <si>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</si>
  <si>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</si>
  <si>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</si>
  <si>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</si>
  <si>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</si>
  <si>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</si>
  <si>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204:451</t>
  </si>
  <si>
    <t>204:453</t>
  </si>
  <si>
    <t>204:447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</si>
  <si>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</si>
  <si>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</si>
  <si>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</si>
  <si>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204:462</t>
  </si>
  <si>
    <t>DAVIS</t>
  </si>
  <si>
    <t>M - F = 49 trips</t>
  </si>
  <si>
    <t>Sat - Sun = 35 Trips</t>
  </si>
  <si>
    <t>204:232996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</si>
  <si>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</si>
  <si>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</si>
  <si>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</si>
  <si>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</si>
  <si>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</si>
  <si>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</si>
  <si>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</si>
  <si>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</si>
  <si>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</si>
  <si>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</si>
  <si>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</si>
  <si>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204:458</t>
  </si>
  <si>
    <t>204:152</t>
  </si>
  <si>
    <t>204:449</t>
  </si>
  <si>
    <t>204:457</t>
  </si>
  <si>
    <t>SIGNAL</t>
  </si>
  <si>
    <t>Signal based authority (5)</t>
  </si>
  <si>
    <t>204:464</t>
  </si>
  <si>
    <t>Y</t>
  </si>
  <si>
    <t>204:145</t>
  </si>
  <si>
    <t>204:138</t>
  </si>
  <si>
    <t>clear-day</t>
  </si>
  <si>
    <t>Clear</t>
  </si>
  <si>
    <t>clear-night</t>
  </si>
  <si>
    <t>204:444</t>
  </si>
  <si>
    <t>204:466</t>
  </si>
  <si>
    <t>204:233293</t>
  </si>
  <si>
    <t>Early Arrival</t>
  </si>
  <si>
    <t>204:156</t>
  </si>
  <si>
    <t>204:467</t>
  </si>
  <si>
    <t>rtdc.l.rtdc.4027:itc</t>
  </si>
  <si>
    <t>rtdc.l.rtdc.4028:itc</t>
  </si>
  <si>
    <t>rtdc.l.rtdc.4042:itc</t>
  </si>
  <si>
    <t>WEST</t>
  </si>
  <si>
    <t>BRYAN</t>
  </si>
  <si>
    <t>204:232977</t>
  </si>
  <si>
    <t>204:232980</t>
  </si>
  <si>
    <t>204:473</t>
  </si>
  <si>
    <t>204:136</t>
  </si>
  <si>
    <t>204:139</t>
  </si>
  <si>
    <t>rtdc.l.rtdc.4030:itc</t>
  </si>
  <si>
    <t>rtdc.l.rtdc.4029:itc</t>
  </si>
  <si>
    <t>YANG</t>
  </si>
  <si>
    <t>JAN</t>
  </si>
  <si>
    <t>FORTUNATO</t>
  </si>
  <si>
    <t>FRANK</t>
  </si>
  <si>
    <t>204:233306</t>
  </si>
  <si>
    <t>204:469</t>
  </si>
  <si>
    <t>204:161</t>
  </si>
  <si>
    <t>204:233323</t>
  </si>
  <si>
    <t>204:233297</t>
  </si>
  <si>
    <t>204:233295</t>
  </si>
  <si>
    <t>rtdc.l.rtdc.4013:itc</t>
  </si>
  <si>
    <t>rtdc.l.rtdc.4041:itc</t>
  </si>
  <si>
    <t>rtdc.l.rtdc.4014:itc</t>
  </si>
  <si>
    <t>RESPASS</t>
  </si>
  <si>
    <t>AARON</t>
  </si>
  <si>
    <t>LAMAR</t>
  </si>
  <si>
    <t>NEKESHA</t>
  </si>
  <si>
    <t>239-23</t>
  </si>
  <si>
    <t>238-23</t>
  </si>
  <si>
    <t>241-23</t>
  </si>
  <si>
    <t>240-23</t>
  </si>
  <si>
    <t>243-23</t>
  </si>
  <si>
    <t>307-23</t>
  </si>
  <si>
    <t>242-23</t>
  </si>
  <si>
    <t>309-23</t>
  </si>
  <si>
    <t>244-23</t>
  </si>
  <si>
    <t>311-23</t>
  </si>
  <si>
    <t>313-23</t>
  </si>
  <si>
    <t>204:232983</t>
  </si>
  <si>
    <t>WILLIAMS</t>
  </si>
  <si>
    <t>DONTE</t>
  </si>
  <si>
    <t>PERKINS</t>
  </si>
  <si>
    <t>DARREN</t>
  </si>
  <si>
    <t>204:232993</t>
  </si>
  <si>
    <t>204:232992</t>
  </si>
  <si>
    <t>204:438</t>
  </si>
  <si>
    <t>204:167</t>
  </si>
  <si>
    <t>300:23310</t>
  </si>
  <si>
    <t>204:232982</t>
  </si>
  <si>
    <t>204:233291</t>
  </si>
  <si>
    <t>204:437</t>
  </si>
  <si>
    <t>GUNTHIER</t>
  </si>
  <si>
    <t>ERIC</t>
  </si>
  <si>
    <t>204:233304</t>
  </si>
  <si>
    <t>204:442</t>
  </si>
  <si>
    <t>204:233017</t>
  </si>
  <si>
    <t>300:58626</t>
  </si>
  <si>
    <t>300:58937</t>
  </si>
  <si>
    <t>SWITCH UNKNOWN</t>
  </si>
  <si>
    <t>Track device (7)</t>
  </si>
  <si>
    <t>rtdc.l.rtdc.4019:itc</t>
  </si>
  <si>
    <t>rtdc.l.rtdc.4020:itc</t>
  </si>
  <si>
    <t>BRUDER</t>
  </si>
  <si>
    <t>RICHARD</t>
  </si>
  <si>
    <t>BIRKHOLZ</t>
  </si>
  <si>
    <t>NADINE</t>
  </si>
  <si>
    <t>204:160</t>
  </si>
  <si>
    <t>204:233278</t>
  </si>
  <si>
    <t>204:460</t>
  </si>
  <si>
    <t>204:233316</t>
  </si>
  <si>
    <t>204:440</t>
  </si>
  <si>
    <t>300:23306</t>
  </si>
  <si>
    <t>300:23301</t>
  </si>
  <si>
    <t>204:685</t>
  </si>
  <si>
    <t>300:58943</t>
  </si>
  <si>
    <t>300:58628</t>
  </si>
  <si>
    <t>300:58621</t>
  </si>
  <si>
    <t>rtdc.l.rtdc.4012:itc</t>
  </si>
  <si>
    <t>rtdc.l.rtdc.4011:itc</t>
  </si>
  <si>
    <t>rtdc.l.rtdc.4017:itc</t>
  </si>
  <si>
    <t>rtdc.l.rtdc.4024:itc</t>
  </si>
  <si>
    <t>rtdc.l.rtdc.4023:itc</t>
  </si>
  <si>
    <t>rtdc.l.rtdc.4040:itc</t>
  </si>
  <si>
    <t>MAELZER</t>
  </si>
  <si>
    <t>KURT</t>
  </si>
  <si>
    <t>WENDY</t>
  </si>
  <si>
    <t>HUFFSMITH</t>
  </si>
  <si>
    <t>MONTY</t>
  </si>
  <si>
    <t>MOSES</t>
  </si>
  <si>
    <t>BRADLEY</t>
  </si>
  <si>
    <t>DELGADO</t>
  </si>
  <si>
    <t>DIANAH</t>
  </si>
  <si>
    <t>STORY</t>
  </si>
  <si>
    <t>SAMANTHA</t>
  </si>
  <si>
    <t>ZEWDU</t>
  </si>
  <si>
    <t>DEREJE</t>
  </si>
  <si>
    <t>NICHOLSON</t>
  </si>
  <si>
    <t>WESLEY</t>
  </si>
  <si>
    <t>204:475</t>
  </si>
  <si>
    <t>204:158</t>
  </si>
  <si>
    <t>204:233315</t>
  </si>
  <si>
    <t>204:232987</t>
  </si>
  <si>
    <t>204:232984</t>
  </si>
  <si>
    <t>204:233004</t>
  </si>
  <si>
    <t>204:232978</t>
  </si>
  <si>
    <t>204:233339</t>
  </si>
  <si>
    <t>204:478</t>
  </si>
  <si>
    <t>204:233299</t>
  </si>
  <si>
    <t>300:58954</t>
  </si>
  <si>
    <t>rtdc.l.rtdc.4026:itc</t>
  </si>
  <si>
    <t>rtdc.l.rtdc.4056:itc</t>
  </si>
  <si>
    <t>rtdc.l.rtdc.4055:itc</t>
  </si>
  <si>
    <t>rtdc.l.rtdc.4057:itc</t>
  </si>
  <si>
    <t>rtdc.l.rtdc.4031:itc</t>
  </si>
  <si>
    <t>rtdc.l.rtdc.4039:itc</t>
  </si>
  <si>
    <t>238-01</t>
  </si>
  <si>
    <t>rtdc.l.rtdc.4025:itc</t>
  </si>
  <si>
    <t>MACDONALD</t>
  </si>
  <si>
    <t>THOMAS</t>
  </si>
  <si>
    <t>rtdc.l.rtdc.4058:itc</t>
  </si>
  <si>
    <t>LANGERAK</t>
  </si>
  <si>
    <t>WILLIAM</t>
  </si>
  <si>
    <t>LALONDE</t>
  </si>
  <si>
    <t>GREGORY</t>
  </si>
  <si>
    <t>SAFIEF</t>
  </si>
  <si>
    <t>AEIMEN</t>
  </si>
  <si>
    <t>rtdc.l.rtdc.4032:itc</t>
  </si>
  <si>
    <t>HOLCOMB</t>
  </si>
  <si>
    <t>KAMDEN</t>
  </si>
  <si>
    <t>ELBAUM</t>
  </si>
  <si>
    <t>MIKE</t>
  </si>
  <si>
    <t>849-01</t>
  </si>
  <si>
    <t>236-01</t>
  </si>
  <si>
    <t>239-01</t>
  </si>
  <si>
    <t>908-01</t>
  </si>
  <si>
    <t>241-01</t>
  </si>
  <si>
    <t>243-01</t>
  </si>
  <si>
    <t>240-01</t>
  </si>
  <si>
    <t>245-01</t>
  </si>
  <si>
    <t>242-01</t>
  </si>
  <si>
    <t>307-01</t>
  </si>
  <si>
    <t>244-01</t>
  </si>
  <si>
    <t>309-01</t>
  </si>
  <si>
    <t>246-01</t>
  </si>
  <si>
    <t>313-01</t>
  </si>
  <si>
    <t>204:233272</t>
  </si>
  <si>
    <t>204:232964</t>
  </si>
  <si>
    <t>204:233276</t>
  </si>
  <si>
    <t>204:233325</t>
  </si>
  <si>
    <t>204:233312</t>
  </si>
  <si>
    <t>204:232994</t>
  </si>
  <si>
    <t>204:233336</t>
  </si>
  <si>
    <t>204:233028</t>
  </si>
  <si>
    <t>204:232975</t>
  </si>
  <si>
    <t>204:233302</t>
  </si>
  <si>
    <t>204:233314</t>
  </si>
  <si>
    <t>204:232971</t>
  </si>
  <si>
    <t>204:233319</t>
  </si>
  <si>
    <t>204:233326</t>
  </si>
  <si>
    <t>204:233032</t>
  </si>
  <si>
    <t>204:233008</t>
  </si>
  <si>
    <t>204:232990</t>
  </si>
  <si>
    <t>204:426</t>
  </si>
  <si>
    <t>204:233286</t>
  </si>
  <si>
    <t>300:23346</t>
  </si>
  <si>
    <t>300:58600</t>
  </si>
  <si>
    <t>300:58666</t>
  </si>
  <si>
    <t>300:58653</t>
  </si>
  <si>
    <t>204:696</t>
  </si>
  <si>
    <t>204:635</t>
  </si>
  <si>
    <t>300:58615</t>
  </si>
  <si>
    <t>204:694</t>
  </si>
  <si>
    <t>204:983</t>
  </si>
  <si>
    <t>300:58939</t>
  </si>
  <si>
    <t>300:58611</t>
  </si>
  <si>
    <t>start /low /b %USERPROFILE%\Documents\GitHub\eaglep3\Utilities\DownloadLogsFromS3.py --loco 4056 --day 2017-09-02</t>
  </si>
  <si>
    <t>start /low /b %USERPROFILE%\Documents\GitHub\eaglep3\Utilities\DownloadLogsFromS3.py --loco 4055 --day 2017-09-02</t>
  </si>
  <si>
    <t>106-02</t>
  </si>
  <si>
    <t>1802-02</t>
  </si>
  <si>
    <t>1803-02</t>
  </si>
  <si>
    <t>rtdc.l.rtdc.4065:itc</t>
  </si>
  <si>
    <t>126-02</t>
  </si>
  <si>
    <t>1804-02</t>
  </si>
  <si>
    <t>1806-02</t>
  </si>
  <si>
    <t>134-02</t>
  </si>
  <si>
    <t>142-02</t>
  </si>
  <si>
    <t>150-02</t>
  </si>
  <si>
    <t>155-02</t>
  </si>
  <si>
    <t>1810-02</t>
  </si>
  <si>
    <t>157-02</t>
  </si>
  <si>
    <t>1812-02</t>
  </si>
  <si>
    <t>68-02</t>
  </si>
  <si>
    <t>170-02</t>
  </si>
  <si>
    <t>174-02</t>
  </si>
  <si>
    <t>rtdc.l.rtdc.4052:itc</t>
  </si>
  <si>
    <t>183-02</t>
  </si>
  <si>
    <t>rtdc.l.rtdc.4018:itc</t>
  </si>
  <si>
    <t>187-02</t>
  </si>
  <si>
    <t>182-02</t>
  </si>
  <si>
    <t>rtdc.l.rtdc.4051:itc</t>
  </si>
  <si>
    <t>184-02</t>
  </si>
  <si>
    <t>188-02</t>
  </si>
  <si>
    <t>rtdc.l.rtdc.4066:itc</t>
  </si>
  <si>
    <t>195-02</t>
  </si>
  <si>
    <t>203-02</t>
  </si>
  <si>
    <t>200-02</t>
  </si>
  <si>
    <t>303-02</t>
  </si>
  <si>
    <t>1828-02</t>
  </si>
  <si>
    <t>220-02</t>
  </si>
  <si>
    <t>228-02</t>
  </si>
  <si>
    <t>1833-02</t>
  </si>
  <si>
    <t>300-02</t>
  </si>
  <si>
    <t>THOMPSON</t>
  </si>
  <si>
    <t>LESTER</t>
  </si>
  <si>
    <t>51-02</t>
  </si>
  <si>
    <t>304-02</t>
  </si>
  <si>
    <t>104-02</t>
  </si>
  <si>
    <t>53-02</t>
  </si>
  <si>
    <t>rtdc.l.rtdc.4010:itc</t>
  </si>
  <si>
    <t>109-02</t>
  </si>
  <si>
    <t>310-02</t>
  </si>
  <si>
    <t>111-02</t>
  </si>
  <si>
    <t>113-02</t>
  </si>
  <si>
    <t>108-02</t>
  </si>
  <si>
    <t>GEBRETEKLE</t>
  </si>
  <si>
    <t>DAGNEW</t>
  </si>
  <si>
    <t>1901-02</t>
  </si>
  <si>
    <t>rtdc.l.rtdc.4009:itc</t>
  </si>
  <si>
    <t>110-02</t>
  </si>
  <si>
    <t>312-02</t>
  </si>
  <si>
    <t>115-02</t>
  </si>
  <si>
    <t>1800-02</t>
  </si>
  <si>
    <t>117-02</t>
  </si>
  <si>
    <t>112-02</t>
  </si>
  <si>
    <t>119-02</t>
  </si>
  <si>
    <t>1801-02</t>
  </si>
  <si>
    <t>114-02</t>
  </si>
  <si>
    <t>116-02</t>
  </si>
  <si>
    <t>121-02</t>
  </si>
  <si>
    <t>123-02</t>
  </si>
  <si>
    <t>118-02</t>
  </si>
  <si>
    <t>120-02</t>
  </si>
  <si>
    <t>125-02</t>
  </si>
  <si>
    <t>122-02</t>
  </si>
  <si>
    <t>127-02</t>
  </si>
  <si>
    <t>129-02</t>
  </si>
  <si>
    <t>124-02</t>
  </si>
  <si>
    <t>131-02</t>
  </si>
  <si>
    <t>133-02</t>
  </si>
  <si>
    <t>135-02</t>
  </si>
  <si>
    <t>128-02</t>
  </si>
  <si>
    <t>130-02</t>
  </si>
  <si>
    <t>137-02</t>
  </si>
  <si>
    <t>132-02</t>
  </si>
  <si>
    <t>139-02</t>
  </si>
  <si>
    <t>136-02</t>
  </si>
  <si>
    <t>141-02</t>
  </si>
  <si>
    <t>143-02</t>
  </si>
  <si>
    <t>138-02</t>
  </si>
  <si>
    <t>1807-02</t>
  </si>
  <si>
    <t>145-02</t>
  </si>
  <si>
    <t>147-02</t>
  </si>
  <si>
    <t>140-02</t>
  </si>
  <si>
    <t>1808-02</t>
  </si>
  <si>
    <t>149-02</t>
  </si>
  <si>
    <t>144-02</t>
  </si>
  <si>
    <t>151-02</t>
  </si>
  <si>
    <t>1809-02</t>
  </si>
  <si>
    <t>146-02</t>
  </si>
  <si>
    <t>153-02</t>
  </si>
  <si>
    <t>ROMERO</t>
  </si>
  <si>
    <t>CHAD</t>
  </si>
  <si>
    <t>148-02</t>
  </si>
  <si>
    <t>152-02</t>
  </si>
  <si>
    <t>154-02</t>
  </si>
  <si>
    <t>159-02</t>
  </si>
  <si>
    <t>1811-02</t>
  </si>
  <si>
    <t>161-02</t>
  </si>
  <si>
    <t>156-02</t>
  </si>
  <si>
    <t>163-02</t>
  </si>
  <si>
    <t>158-02</t>
  </si>
  <si>
    <t>60-02</t>
  </si>
  <si>
    <t>165-02</t>
  </si>
  <si>
    <t>GUZMAN</t>
  </si>
  <si>
    <t>DANNY</t>
  </si>
  <si>
    <t>167-02</t>
  </si>
  <si>
    <t>1813-02</t>
  </si>
  <si>
    <t>169-02</t>
  </si>
  <si>
    <t>162-02</t>
  </si>
  <si>
    <t>164-02</t>
  </si>
  <si>
    <t>61-02</t>
  </si>
  <si>
    <t>MCREYNOLDS</t>
  </si>
  <si>
    <t>KYLE</t>
  </si>
  <si>
    <t>166-02</t>
  </si>
  <si>
    <t>171-02</t>
  </si>
  <si>
    <t>1814-02</t>
  </si>
  <si>
    <t>173-02</t>
  </si>
  <si>
    <t>67-02</t>
  </si>
  <si>
    <t>LOPES</t>
  </si>
  <si>
    <t>KIMBERLY</t>
  </si>
  <si>
    <t>168-02</t>
  </si>
  <si>
    <t>1815-02</t>
  </si>
  <si>
    <t>175-02</t>
  </si>
  <si>
    <t>177-02</t>
  </si>
  <si>
    <t>172-02</t>
  </si>
  <si>
    <t>179-02</t>
  </si>
  <si>
    <t>1816-02</t>
  </si>
  <si>
    <t>181-02</t>
  </si>
  <si>
    <t>176-02</t>
  </si>
  <si>
    <t>178-02</t>
  </si>
  <si>
    <t>1817-02</t>
  </si>
  <si>
    <t>SMITH</t>
  </si>
  <si>
    <t>185-02</t>
  </si>
  <si>
    <t>180-02</t>
  </si>
  <si>
    <t>1818-02</t>
  </si>
  <si>
    <t>189-02</t>
  </si>
  <si>
    <t>191-02</t>
  </si>
  <si>
    <t>1819-02</t>
  </si>
  <si>
    <t>193-02</t>
  </si>
  <si>
    <t>186-02</t>
  </si>
  <si>
    <t>64-02</t>
  </si>
  <si>
    <t>1820-02</t>
  </si>
  <si>
    <t>192-02</t>
  </si>
  <si>
    <t>190-02</t>
  </si>
  <si>
    <t>197-02</t>
  </si>
  <si>
    <t>199-02</t>
  </si>
  <si>
    <t>194-02</t>
  </si>
  <si>
    <t>1821-02</t>
  </si>
  <si>
    <t>201-02</t>
  </si>
  <si>
    <t>196-02</t>
  </si>
  <si>
    <t>1822-02</t>
  </si>
  <si>
    <t>75-02</t>
  </si>
  <si>
    <t>205-02</t>
  </si>
  <si>
    <t>202-02</t>
  </si>
  <si>
    <t>207-02</t>
  </si>
  <si>
    <t>1823-02</t>
  </si>
  <si>
    <t>209-02</t>
  </si>
  <si>
    <t>211-02</t>
  </si>
  <si>
    <t>204-02</t>
  </si>
  <si>
    <t>1824-02</t>
  </si>
  <si>
    <t>208-02</t>
  </si>
  <si>
    <t>206-02</t>
  </si>
  <si>
    <t>56-02</t>
  </si>
  <si>
    <t>213-02</t>
  </si>
  <si>
    <t>215-02</t>
  </si>
  <si>
    <t>210-02</t>
  </si>
  <si>
    <t>1825-02</t>
  </si>
  <si>
    <t>212-02</t>
  </si>
  <si>
    <t>217-02</t>
  </si>
  <si>
    <t>ANDERS</t>
  </si>
  <si>
    <t>STEVEN</t>
  </si>
  <si>
    <t>1826-02</t>
  </si>
  <si>
    <t>219-02</t>
  </si>
  <si>
    <t>214-02</t>
  </si>
  <si>
    <t>301-02</t>
  </si>
  <si>
    <t>216-02</t>
  </si>
  <si>
    <t>221-02</t>
  </si>
  <si>
    <t>218-02</t>
  </si>
  <si>
    <t>1827-02</t>
  </si>
  <si>
    <t>223-02</t>
  </si>
  <si>
    <t>305-02</t>
  </si>
  <si>
    <t>222-02</t>
  </si>
  <si>
    <t>225-02</t>
  </si>
  <si>
    <t>1829-02</t>
  </si>
  <si>
    <t>224-02</t>
  </si>
  <si>
    <t>227-02</t>
  </si>
  <si>
    <t>1830-02</t>
  </si>
  <si>
    <t>226-02</t>
  </si>
  <si>
    <t>229-02</t>
  </si>
  <si>
    <t>1831-02</t>
  </si>
  <si>
    <t>231-02</t>
  </si>
  <si>
    <t>1832-02</t>
  </si>
  <si>
    <t>230-02</t>
  </si>
  <si>
    <t>233-02</t>
  </si>
  <si>
    <t>232-02</t>
  </si>
  <si>
    <t>235-02</t>
  </si>
  <si>
    <t>1834-02</t>
  </si>
  <si>
    <t>237-02</t>
  </si>
  <si>
    <t>234-02</t>
  </si>
  <si>
    <t>1835-02</t>
  </si>
  <si>
    <t>239-02</t>
  </si>
  <si>
    <t>236-02</t>
  </si>
  <si>
    <t>1902-02</t>
  </si>
  <si>
    <t>238-02</t>
  </si>
  <si>
    <t>241-02</t>
  </si>
  <si>
    <t>243-02</t>
  </si>
  <si>
    <t>240-02</t>
  </si>
  <si>
    <t>245-02</t>
  </si>
  <si>
    <t>242-02</t>
  </si>
  <si>
    <t>307-02</t>
  </si>
  <si>
    <t>244-02</t>
  </si>
  <si>
    <t>246-02</t>
  </si>
  <si>
    <t>309-02</t>
  </si>
  <si>
    <t>311-02</t>
  </si>
  <si>
    <t>313-02</t>
  </si>
  <si>
    <t>rtdc.l.rtdc.4007:itc</t>
  </si>
  <si>
    <t>300-03</t>
  </si>
  <si>
    <t>204:233130</t>
  </si>
  <si>
    <t>204:233053</t>
  </si>
  <si>
    <t>204:233330</t>
  </si>
  <si>
    <t>204:233019</t>
  </si>
  <si>
    <t>204:233308</t>
  </si>
  <si>
    <t>204:484</t>
  </si>
  <si>
    <t>204:497</t>
  </si>
  <si>
    <t>204:233310</t>
  </si>
  <si>
    <t>204:19126</t>
  </si>
  <si>
    <t>204:233282</t>
  </si>
  <si>
    <t>204:232953</t>
  </si>
  <si>
    <t>204:233002</t>
  </si>
  <si>
    <t>204:134</t>
  </si>
  <si>
    <t>204:233311</t>
  </si>
  <si>
    <t>204:404</t>
  </si>
  <si>
    <t>204:233324</t>
  </si>
  <si>
    <t>204:19121</t>
  </si>
  <si>
    <t>204:233230</t>
  </si>
  <si>
    <t>204:232911</t>
  </si>
  <si>
    <t>204:232957</t>
  </si>
  <si>
    <t>204:232985</t>
  </si>
  <si>
    <t>204:233329</t>
  </si>
  <si>
    <t>204:233011</t>
  </si>
  <si>
    <t>204:233372</t>
  </si>
  <si>
    <t>204:233049</t>
  </si>
  <si>
    <t>204:232949</t>
  </si>
  <si>
    <t>204:70052</t>
  </si>
  <si>
    <t>204:480</t>
  </si>
  <si>
    <t>204:233021</t>
  </si>
  <si>
    <t>204:101</t>
  </si>
  <si>
    <t>204:233344</t>
  </si>
  <si>
    <t>204:110</t>
  </si>
  <si>
    <t>204:233353</t>
  </si>
  <si>
    <t>204:232998</t>
  </si>
  <si>
    <t>204:233334</t>
  </si>
  <si>
    <t>204:400</t>
  </si>
  <si>
    <t>204:233341</t>
  </si>
  <si>
    <t>204:125</t>
  </si>
  <si>
    <t>204:165</t>
  </si>
  <si>
    <t>300:58675</t>
  </si>
  <si>
    <t>204:619</t>
  </si>
  <si>
    <t>204:927</t>
  </si>
  <si>
    <t>300:58975</t>
  </si>
  <si>
    <t>300:58668</t>
  </si>
  <si>
    <t>204:643</t>
  </si>
  <si>
    <t>204:936</t>
  </si>
  <si>
    <t>300:58918</t>
  </si>
  <si>
    <t>204:603</t>
  </si>
  <si>
    <t>204:100</t>
  </si>
  <si>
    <t>300:58941</t>
  </si>
  <si>
    <t>204:407</t>
  </si>
  <si>
    <t>204:233382</t>
  </si>
  <si>
    <t>204:626</t>
  </si>
  <si>
    <t>204:652</t>
  </si>
  <si>
    <t>204:920</t>
  </si>
  <si>
    <t>204:647</t>
  </si>
  <si>
    <t>204:904</t>
  </si>
  <si>
    <t>300:58645</t>
  </si>
  <si>
    <t>204:636</t>
  </si>
  <si>
    <t>204:902</t>
  </si>
  <si>
    <t>204:673</t>
  </si>
  <si>
    <t>204:958</t>
  </si>
  <si>
    <t>300:58948</t>
  </si>
  <si>
    <t>204:233061</t>
  </si>
  <si>
    <t>204:179667</t>
  </si>
  <si>
    <t>204:127869</t>
  </si>
  <si>
    <t>204:181</t>
  </si>
  <si>
    <t>300:58630</t>
  </si>
  <si>
    <t>204:960</t>
  </si>
  <si>
    <t>300:58956</t>
  </si>
  <si>
    <t>300:58640</t>
  </si>
  <si>
    <t>204:664</t>
  </si>
  <si>
    <t>204:965</t>
  </si>
  <si>
    <t>300:58638</t>
  </si>
  <si>
    <t>204:677</t>
  </si>
  <si>
    <t>300:59007</t>
  </si>
  <si>
    <t>300:58698</t>
  </si>
  <si>
    <t>204:948</t>
  </si>
  <si>
    <t>204:617</t>
  </si>
  <si>
    <t>204:1475</t>
  </si>
  <si>
    <t>204:1871</t>
  </si>
  <si>
    <t>300:58632</t>
  </si>
  <si>
    <t>204:675</t>
  </si>
  <si>
    <t>300:58613</t>
  </si>
  <si>
    <t>204:689</t>
  </si>
  <si>
    <t>204:1672</t>
  </si>
  <si>
    <t>204:705</t>
  </si>
  <si>
    <t>204:997</t>
  </si>
  <si>
    <t>300:58952</t>
  </si>
  <si>
    <t>204:1156</t>
  </si>
  <si>
    <t>204:427</t>
  </si>
  <si>
    <t>204:233366</t>
  </si>
  <si>
    <t>204:233015</t>
  </si>
  <si>
    <t>300:29765</t>
  </si>
  <si>
    <t>300:58984</t>
  </si>
  <si>
    <t>300:28788</t>
  </si>
  <si>
    <t>204:418</t>
  </si>
  <si>
    <t>204:232973</t>
  </si>
  <si>
    <t>204:233349</t>
  </si>
  <si>
    <t>204:233030</t>
  </si>
  <si>
    <t>204:65672</t>
  </si>
  <si>
    <t>204:233415</t>
  </si>
  <si>
    <t>204:119</t>
  </si>
  <si>
    <t>204:233337</t>
  </si>
  <si>
    <t>204:233289</t>
  </si>
  <si>
    <t>204:1150</t>
  </si>
  <si>
    <t>204:121</t>
  </si>
  <si>
    <t>204:233287</t>
  </si>
  <si>
    <t>204:486</t>
  </si>
  <si>
    <t>204:233318</t>
  </si>
  <si>
    <t>204:233345</t>
  </si>
  <si>
    <t>300:23514</t>
  </si>
  <si>
    <t>300:23819</t>
  </si>
  <si>
    <t>204:1467</t>
  </si>
  <si>
    <t>204:1469</t>
  </si>
  <si>
    <t>300:5202</t>
  </si>
  <si>
    <t>204:1477</t>
  </si>
  <si>
    <t>300:5489</t>
  </si>
  <si>
    <t>300:23678</t>
  </si>
  <si>
    <t>204:2526</t>
  </si>
  <si>
    <t>204:69737</t>
  </si>
  <si>
    <t>204:893</t>
  </si>
  <si>
    <t>204:314</t>
  </si>
  <si>
    <t>204:1148</t>
  </si>
  <si>
    <t>204:3507</t>
  </si>
  <si>
    <t>204:3169</t>
  </si>
  <si>
    <t>300:23743</t>
  </si>
  <si>
    <t>204:1160</t>
  </si>
  <si>
    <t>204:1210</t>
  </si>
  <si>
    <t>300:5414</t>
  </si>
  <si>
    <t>300:5129</t>
  </si>
  <si>
    <t>204:3512</t>
  </si>
  <si>
    <t>300:5000</t>
  </si>
  <si>
    <t>204:4651</t>
  </si>
  <si>
    <t>204:365</t>
  </si>
  <si>
    <t>300:5292</t>
  </si>
  <si>
    <t>start /low /b %USERPROFILE%\Documents\GitHub\eaglep3\Utilities\DownloadLogsFromS3.py --loco 4042 --day 2017-09-02</t>
  </si>
  <si>
    <t>start /low /b %USERPROFILE%\Documents\GitHub\eaglep3\Utilities\DownloadLogsFromS3.py --loco 4052 --day 2017-09-02</t>
  </si>
  <si>
    <t>start /low /b %USERPROFILE%\Documents\GitHub\eaglep3\Utilities\DownloadLogsFromS3.py --loco 4065 --day 2017-09-02</t>
  </si>
  <si>
    <t>start /low /b %USERPROFILE%\Documents\GitHub\eaglep3\Utilities\DownloadLogsFromS3.py --loco 4031 --day 2017-09-02</t>
  </si>
  <si>
    <t>start /low /b %USERPROFILE%\Documents\GitHub\eaglep3\Utilities\DownloadLogsFromS3.py --loco 4014 --day 2017-09-02</t>
  </si>
  <si>
    <t>start /low /b %USERPROFILE%\Documents\GitHub\eaglep3\Utilities\DownloadLogsFromS3.py --loco 4041 --day 2017-09-02</t>
  </si>
  <si>
    <t>start /low /b %USERPROFILE%\Documents\GitHub\eaglep3\Utilities\DownloadLogsFromS3.py --loco 4051 --day 2017-09-02</t>
  </si>
  <si>
    <t>start /low /b %USERPROFILE%\Documents\GitHub\eaglep3\Utilities\DownloadLogsFromS3.py --loco 4017 --day 2017-09-02</t>
  </si>
  <si>
    <t>start /low /b %USERPROFILE%\Documents\GitHub\eaglep3\Utilities\DownloadLogsFromS3.py --loco 4027 --day 2017-09-03</t>
  </si>
  <si>
    <t>start /low /b %USERPROFILE%\Documents\GitHub\eaglep3\Utilities\DownloadLogsFromS3.py --loco 4018 --day 2017-09-02</t>
  </si>
  <si>
    <t>start /low /b %USERPROFILE%\Documents\GitHub\eaglep3\Utilities\DownloadLogsFromS3.py --loco 4032 --day 2017-09-02</t>
  </si>
  <si>
    <t>start /low /b %USERPROFILE%\Documents\GitHub\eaglep3\Utilities\DownloadLogsFromS3.py --loco 4027 --day 2017-09-02</t>
  </si>
  <si>
    <t>start /low /b %USERPROFILE%\Documents\GitHub\eaglep3\Utilities\DownloadLogsFromS3.py --loco 4066 --day 2017-09-02</t>
  </si>
  <si>
    <t>start /low /b %USERPROFILE%\Documents\GitHub\eaglep3\Utilities\DownloadLogsFromS3.py --loco 4029 --day 2017-09-02</t>
  </si>
  <si>
    <t>start /low /b %USERPROFILE%\Documents\GitHub\eaglep3\Utilities\DownloadLogsFromS3.py --loco 4014 --day 2017-09-03</t>
  </si>
  <si>
    <t>start /low /b %USERPROFILE%\Documents\GitHub\eaglep3\Utilities\DownloadLogsFromS3.py --loco 4013 --day 2017-09-02</t>
  </si>
  <si>
    <t>start /low /b %USERPROFILE%\Documents\GitHub\eaglep3\Utilities\DownloadLogsFromS3.py --loco 4013 --day 2017-09-03</t>
  </si>
  <si>
    <t>start /low /b %USERPROFILE%\Documents\GitHub\eaglep3\Utilities\DownloadLogsFromS3.py --loco 4030 --day 2017-09-02</t>
  </si>
  <si>
    <t>204:130</t>
  </si>
  <si>
    <t>204:962</t>
  </si>
  <si>
    <t>204:232951</t>
  </si>
  <si>
    <t>204:118</t>
  </si>
  <si>
    <t>204:233331</t>
  </si>
  <si>
    <t>204:232991</t>
  </si>
  <si>
    <t>204:129</t>
  </si>
  <si>
    <t>204:233328</t>
  </si>
  <si>
    <t>204:233009</t>
  </si>
  <si>
    <t>204:899</t>
  </si>
  <si>
    <t>204:207</t>
  </si>
  <si>
    <t>300:23316</t>
  </si>
  <si>
    <t>204:3216</t>
  </si>
  <si>
    <t>start /low /b %USERPROFILE%\Documents\GitHub\eaglep3\Utilities\DownloadLogsFromS3.py --loco 4057 --day 2017-09-02</t>
  </si>
  <si>
    <t>101-02</t>
  </si>
  <si>
    <t>102-02</t>
  </si>
  <si>
    <t>103-02</t>
  </si>
  <si>
    <t>BOS frozen - needed restart</t>
  </si>
  <si>
    <t>105-02</t>
  </si>
  <si>
    <t>107-02</t>
  </si>
  <si>
    <t>Extended Onboard Wi-MAX outage</t>
  </si>
  <si>
    <t>Onboard in-route failure</t>
  </si>
  <si>
    <t>Selected wrong track at first</t>
  </si>
  <si>
    <t>Master controller issues</t>
  </si>
  <si>
    <t>Cancelled due to master controller issues</t>
  </si>
  <si>
    <t>False occupancy @ ML1680</t>
  </si>
  <si>
    <t>Delayed by false occupancy @ ML1680</t>
  </si>
  <si>
    <t>Cancelled</t>
  </si>
  <si>
    <t>Wi-MAX data drop, then enforcement at SWITCH UNKNOWN caused map to unload</t>
  </si>
  <si>
    <t>1805-02</t>
  </si>
  <si>
    <t>Did not perform depart test</t>
  </si>
  <si>
    <t>Selected wrong track</t>
  </si>
  <si>
    <t>Main 3 departure</t>
  </si>
  <si>
    <t>Overspeed</t>
  </si>
  <si>
    <t>40th 4S STOP, cleared after</t>
  </si>
  <si>
    <t>Wi-MAX data drop</t>
  </si>
  <si>
    <t>Minor onboard in-route failure caused unhealthy banner at York</t>
  </si>
  <si>
    <t>Unhealthy at Chambers due to train stop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</si>
</sst>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20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2" fontId="0" fillId="0" borderId="5" xfId="0" applyNumberFormat="1" applyFill="1" applyBorder="1"/>
    <xf numFmtId="0" fontId="1" fillId="0" borderId="5" xfId="0" applyNumberFormat="1" applyFont="1" applyBorder="1" applyAlignment="1">
      <alignment horizontal="left" vertical="center" wrapText="1"/>
    </xf>
    <xf numFmtId="0" fontId="0" fillId="0" borderId="5" xfId="0" applyNumberFormat="1" applyFill="1" applyBorder="1" applyAlignment="1">
      <alignment horizontal="left"/>
    </xf>
    <xf numFmtId="0" fontId="12" fillId="0" borderId="0" xfId="0" applyNumberFormat="1" applyFont="1"/>
    <xf numFmtId="0" fontId="0" fillId="0" borderId="0" xfId="3" applyNumberFormat="1" applyFont="1"/>
    <xf numFmtId="0" fontId="10" fillId="0" borderId="0" xfId="3" applyNumberForma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6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66"/>
  <sheetViews>
    <sheetView topLeftCell="A104" zoomScaleNormal="100" workbookViewId="0">
      <selection activeCell="R120" sqref="R120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71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1" customWidth="1"/>
    <col min="19" max="19" width="6" style="207" customWidth="1"/>
    <col min="20" max="20" width="3.85546875" style="169" customWidth="1"/>
    <col min="21" max="21" width="5" style="169" customWidth="1"/>
    <col min="22" max="22" width="5.7109375" style="195" customWidth="1"/>
    <col min="23" max="23" width="3.85546875" style="188" customWidth="1"/>
    <col min="24" max="24" width="6.5703125" style="188" customWidth="1"/>
    <col min="25" max="25" width="11.5703125" style="188" bestFit="1" customWidth="1"/>
    <col min="26" max="26" width="7.28515625" style="188" customWidth="1"/>
    <col min="27" max="27" width="9.140625" style="188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69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69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171"/>
      <c r="M1" s="35"/>
      <c r="N1" s="36"/>
      <c r="O1" s="2"/>
      <c r="P1" s="2"/>
      <c r="R1" s="160" t="s">
        <v>104</v>
      </c>
      <c r="S1" s="170"/>
      <c r="T1" s="171"/>
      <c r="U1" s="171"/>
      <c r="V1" s="172"/>
      <c r="W1" s="171"/>
      <c r="X1" s="169"/>
      <c r="Y1" s="188"/>
      <c r="Z1" s="188"/>
      <c r="AA1" s="188"/>
      <c r="AB1" s="52"/>
      <c r="AC1" s="49"/>
      <c r="AD1" s="2"/>
      <c r="AE1" s="1"/>
      <c r="AF1" s="1"/>
      <c r="AG1" s="206"/>
      <c r="AH1" s="47"/>
      <c r="AI1" s="1"/>
      <c r="AM1" s="142"/>
      <c r="AO1" s="169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42980</v>
      </c>
      <c r="J2" s="58"/>
      <c r="K2" s="59"/>
      <c r="L2" s="174"/>
      <c r="M2" s="60" t="s">
        <v>8</v>
      </c>
      <c r="N2" s="61"/>
      <c r="O2" s="62"/>
      <c r="P2" s="2"/>
      <c r="R2" s="57">
        <f>Variables!$A$2</f>
        <v>42980</v>
      </c>
      <c r="S2" s="173"/>
      <c r="T2" s="174"/>
      <c r="U2" s="174"/>
      <c r="V2" s="175" t="s">
        <v>8</v>
      </c>
      <c r="W2" s="176"/>
      <c r="X2" s="177"/>
      <c r="Y2" s="188"/>
      <c r="Z2" s="188"/>
      <c r="AA2" s="188"/>
      <c r="AB2" s="52"/>
      <c r="AC2" s="49"/>
      <c r="AD2" s="2"/>
      <c r="AE2" s="1"/>
      <c r="AF2" s="1"/>
      <c r="AG2" s="206"/>
      <c r="AH2" s="47"/>
      <c r="AI2" s="1"/>
      <c r="AM2" s="142"/>
      <c r="AO2" s="169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9"/>
      <c r="M3" s="37" t="s">
        <v>11</v>
      </c>
      <c r="N3" s="38" t="s">
        <v>12</v>
      </c>
      <c r="O3" s="3" t="s">
        <v>13</v>
      </c>
      <c r="P3" s="2"/>
      <c r="R3" s="162" t="s">
        <v>10</v>
      </c>
      <c r="S3" s="178"/>
      <c r="T3" s="179"/>
      <c r="U3" s="179"/>
      <c r="V3" s="180" t="s">
        <v>11</v>
      </c>
      <c r="W3" s="181" t="s">
        <v>12</v>
      </c>
      <c r="X3" s="182" t="s">
        <v>13</v>
      </c>
      <c r="Y3" s="188"/>
      <c r="Z3" s="188"/>
      <c r="AA3" s="188"/>
      <c r="AB3" s="52"/>
      <c r="AC3" s="49"/>
      <c r="AD3" s="2"/>
      <c r="AE3" s="1"/>
      <c r="AF3" s="1"/>
      <c r="AG3" s="206"/>
      <c r="AH3" s="47"/>
      <c r="AI3" s="1"/>
      <c r="AM3" s="142"/>
      <c r="AO3" s="169"/>
    </row>
    <row r="4" spans="1:91" s="20" customFormat="1" ht="15.75" thickBot="1" x14ac:dyDescent="0.3">
      <c r="A4" s="34"/>
      <c r="B4" s="36"/>
      <c r="C4" s="27"/>
      <c r="D4" s="27"/>
      <c r="E4" s="33"/>
      <c r="F4" s="160"/>
      <c r="G4" s="36"/>
      <c r="H4" s="33"/>
      <c r="I4" s="66" t="s">
        <v>14</v>
      </c>
      <c r="J4" s="48">
        <f>SUM(J5:J7)</f>
        <v>143</v>
      </c>
      <c r="K4" s="39"/>
      <c r="L4" s="184"/>
      <c r="M4" s="40" t="s">
        <v>15</v>
      </c>
      <c r="N4" s="38" t="s">
        <v>15</v>
      </c>
      <c r="O4" s="3" t="s">
        <v>15</v>
      </c>
      <c r="P4" s="2"/>
      <c r="R4" s="163" t="s">
        <v>14</v>
      </c>
      <c r="S4" s="183">
        <f>SUM(S5:S7)</f>
        <v>36</v>
      </c>
      <c r="T4" s="184"/>
      <c r="U4" s="184"/>
      <c r="V4" s="180" t="s">
        <v>15</v>
      </c>
      <c r="W4" s="181" t="s">
        <v>15</v>
      </c>
      <c r="X4" s="182" t="s">
        <v>15</v>
      </c>
      <c r="Y4" s="188"/>
      <c r="Z4" s="188"/>
      <c r="AA4" s="188"/>
      <c r="AB4" s="52"/>
      <c r="AC4" s="49"/>
      <c r="AD4" s="2"/>
      <c r="AE4" s="1"/>
      <c r="AF4" s="1"/>
      <c r="AG4" s="206"/>
      <c r="AH4" s="47"/>
      <c r="AI4" s="1"/>
      <c r="AM4" s="142"/>
      <c r="AO4" s="169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COUNTIFS($N$13:$N$9309,"&gt;0",$AG$13:$AG$9309,I1)</f>
        <v>132</v>
      </c>
      <c r="K5" s="39"/>
      <c r="L5" s="184"/>
      <c r="M5" s="40">
        <f>AVERAGEIFS($N$13:$N$9309,$AG$13:$AG$9309,I1)</f>
        <v>38.325252525524277</v>
      </c>
      <c r="N5" s="38">
        <f t="array" ref="N5">MIN(IF($AG$13:$AG$9309=I1,IF(ISNUMBER($N$13:$N$9309),IF($N$13:$N$9309&gt;0,$N$13:$N$9309))))</f>
        <v>34.033333336701617</v>
      </c>
      <c r="O5" s="3">
        <f t="array" ref="O5">MAX(IF($AG$13:$AG$9309=I1,IF(ISNUMBER($N$13:$N$9309),IF($N$13:$N$9309&gt;0,$N$13:$N$9309))))</f>
        <v>58.13333333353512</v>
      </c>
      <c r="P5" s="2"/>
      <c r="R5" s="163" t="s">
        <v>17</v>
      </c>
      <c r="S5" s="183">
        <f>COUNTIFS($N$13:$N$9309,"&gt;0",$AG$13:$AG$9309,R1)</f>
        <v>34</v>
      </c>
      <c r="T5" s="184"/>
      <c r="U5" s="184"/>
      <c r="V5" s="180">
        <f>AVERAGEIFS($N$13:$N$9309,$AG$13:$AG$9309,R1)</f>
        <v>15.49705882282818</v>
      </c>
      <c r="W5" s="181">
        <f t="array" ref="W5">MIN(IF($AG$13:$AG$9309=R1,IF(ISNUMBER($N$13:$N$9309),IF($N$13:$N$9309&gt;0,$N$13:$N$9309))))</f>
        <v>11.783333332277834</v>
      </c>
      <c r="X5" s="182">
        <f t="array" ref="X5">MAX(IF($AG$13:$AG$9309=R1,IF(ISNUMBER($N$13:$N$9309),IF($N$13:$N$9309&gt;0,$N$13:$N$9309))))</f>
        <v>22.116666671354324</v>
      </c>
      <c r="Y5" s="188"/>
      <c r="Z5" s="188"/>
      <c r="AA5" s="188"/>
      <c r="AB5" s="52"/>
      <c r="AC5" s="49"/>
      <c r="AD5" s="2"/>
      <c r="AE5" s="1"/>
      <c r="AF5" s="1"/>
      <c r="AG5" s="206"/>
      <c r="AH5" s="47"/>
      <c r="AI5" s="1"/>
      <c r="AM5" s="142"/>
      <c r="AO5" s="169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COUNT($O$13:$O$134)</f>
        <v>0</v>
      </c>
      <c r="K6" s="39"/>
      <c r="L6" s="184"/>
      <c r="M6" s="40">
        <f>IFERROR(AVERAGE($O$13:$O$134),0)</f>
        <v>0</v>
      </c>
      <c r="N6" s="38">
        <f>MIN($O$13:$O$134)</f>
        <v>0</v>
      </c>
      <c r="O6" s="3">
        <f>MAX($O$13:$O$134)</f>
        <v>0</v>
      </c>
      <c r="P6" s="2"/>
      <c r="R6" s="164" t="s">
        <v>43</v>
      </c>
      <c r="S6" s="183">
        <f>COUNT($O$13:$O$134)</f>
        <v>0</v>
      </c>
      <c r="T6" s="184"/>
      <c r="U6" s="184"/>
      <c r="V6" s="180">
        <f>IFERROR(AVERAGE($O$13:$O$134),0)</f>
        <v>0</v>
      </c>
      <c r="W6" s="181">
        <f>MIN($O$13:$O$134)</f>
        <v>0</v>
      </c>
      <c r="X6" s="182">
        <f>MAX($O$13:$O$134)</f>
        <v>0</v>
      </c>
      <c r="Y6" s="188"/>
      <c r="Z6" s="188"/>
      <c r="AA6" s="188"/>
      <c r="AB6" s="52"/>
      <c r="AC6" s="49"/>
      <c r="AD6" s="2"/>
      <c r="AE6" s="1"/>
      <c r="AF6" s="1"/>
      <c r="AG6" s="206"/>
      <c r="AH6" s="47"/>
      <c r="AI6" s="1"/>
      <c r="AM6" s="142"/>
      <c r="AO6" s="169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COUNTIFS($P$13:$P$9309,"&gt;0",$AG$13:$AG$9309,I1)</f>
        <v>11</v>
      </c>
      <c r="K7" s="39"/>
      <c r="L7" s="184"/>
      <c r="M7" s="38" t="s">
        <v>15</v>
      </c>
      <c r="N7" s="38" t="s">
        <v>15</v>
      </c>
      <c r="O7" s="3" t="s">
        <v>15</v>
      </c>
      <c r="P7" s="2"/>
      <c r="R7" s="165" t="s">
        <v>9</v>
      </c>
      <c r="S7" s="183">
        <f>COUNTIFS($P$13:$P$9309,"&gt;0",$AG$13:$AG$9309,R1)</f>
        <v>2</v>
      </c>
      <c r="T7" s="184"/>
      <c r="U7" s="184"/>
      <c r="V7" s="180" t="s">
        <v>15</v>
      </c>
      <c r="W7" s="181" t="s">
        <v>15</v>
      </c>
      <c r="X7" s="182" t="s">
        <v>15</v>
      </c>
      <c r="Y7" s="188"/>
      <c r="Z7" s="188"/>
      <c r="AA7" s="188"/>
      <c r="AB7" s="52"/>
      <c r="AC7" s="49"/>
      <c r="AD7" s="2"/>
      <c r="AE7" s="1"/>
      <c r="AF7" s="1"/>
      <c r="AG7" s="206"/>
      <c r="AH7" s="47"/>
      <c r="AI7" s="1"/>
      <c r="AM7" s="142"/>
      <c r="AO7" s="169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132</v>
      </c>
      <c r="K8" s="39"/>
      <c r="L8" s="184"/>
      <c r="M8" s="40">
        <f>M5</f>
        <v>38.325252525524277</v>
      </c>
      <c r="N8" s="38">
        <f>N5</f>
        <v>34.033333336701617</v>
      </c>
      <c r="O8" s="3">
        <f>O5</f>
        <v>58.13333333353512</v>
      </c>
      <c r="P8" s="2"/>
      <c r="R8" s="163" t="s">
        <v>16</v>
      </c>
      <c r="S8" s="183">
        <f>S5</f>
        <v>34</v>
      </c>
      <c r="T8" s="184"/>
      <c r="U8" s="184"/>
      <c r="V8" s="180">
        <f>V5</f>
        <v>15.49705882282818</v>
      </c>
      <c r="W8" s="181">
        <f>W5</f>
        <v>11.783333332277834</v>
      </c>
      <c r="X8" s="182">
        <f>X5</f>
        <v>22.116666671354324</v>
      </c>
      <c r="Y8" s="188"/>
      <c r="Z8" s="188"/>
      <c r="AA8" s="188"/>
      <c r="AB8" s="52"/>
      <c r="AC8" s="49"/>
      <c r="AD8" s="2"/>
      <c r="AE8" s="1"/>
      <c r="AF8" s="1"/>
      <c r="AG8" s="206"/>
      <c r="AH8" s="47"/>
      <c r="AI8" s="1"/>
      <c r="AM8" s="142"/>
      <c r="AO8" s="169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0.92307692307692313</v>
      </c>
      <c r="K9" s="41"/>
      <c r="L9" s="171"/>
      <c r="M9" s="69"/>
      <c r="N9" s="36"/>
      <c r="O9" s="70"/>
      <c r="P9" s="2"/>
      <c r="R9" s="163" t="s">
        <v>19</v>
      </c>
      <c r="S9" s="211">
        <f>S8/S4</f>
        <v>0.94444444444444442</v>
      </c>
      <c r="T9" s="171"/>
      <c r="U9" s="171"/>
      <c r="V9" s="185"/>
      <c r="W9" s="171"/>
      <c r="X9" s="186"/>
      <c r="Y9" s="188"/>
      <c r="Z9" s="188"/>
      <c r="AA9" s="188"/>
      <c r="AB9" s="52"/>
      <c r="AC9" s="49"/>
      <c r="AD9" s="2"/>
      <c r="AE9" s="1"/>
      <c r="AF9" s="1"/>
      <c r="AG9" s="206"/>
      <c r="AH9" s="47"/>
      <c r="AI9" s="1"/>
      <c r="AM9" s="142"/>
      <c r="AO9" s="169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71"/>
      <c r="M10" s="35"/>
      <c r="N10" s="36"/>
      <c r="O10" s="2"/>
      <c r="P10" s="2"/>
      <c r="R10" s="161"/>
      <c r="S10" s="207"/>
      <c r="T10" s="169"/>
      <c r="U10" s="169"/>
      <c r="V10" s="187"/>
      <c r="W10" s="188"/>
      <c r="X10" s="188"/>
      <c r="Y10" s="188"/>
      <c r="Z10" s="188"/>
      <c r="AA10" s="188"/>
      <c r="AB10" s="52"/>
      <c r="AC10" s="49"/>
      <c r="AD10" s="2"/>
      <c r="AE10" s="1"/>
      <c r="AF10" s="1"/>
      <c r="AG10" s="206"/>
      <c r="AH10" s="47"/>
      <c r="AI10" s="1"/>
      <c r="AM10" s="142"/>
      <c r="AO10" s="169"/>
    </row>
    <row r="11" spans="1:91" ht="16.5" thickBot="1" x14ac:dyDescent="0.3">
      <c r="A11" s="218" t="str">
        <f>"Eagle P3 System Performance - "&amp;TEXT(Variables!A2,"yyyy-mm-dd")</f>
        <v>Eagle P3 System Performance - 2017-09-02</v>
      </c>
      <c r="B11" s="218"/>
      <c r="C11" s="218"/>
      <c r="D11" s="218"/>
      <c r="E11" s="218"/>
      <c r="F11" s="218"/>
      <c r="G11" s="218"/>
      <c r="H11" s="218"/>
      <c r="I11" s="218"/>
      <c r="J11" s="218"/>
      <c r="K11" s="218"/>
      <c r="L11" s="218"/>
      <c r="M11" s="218"/>
      <c r="N11" s="218"/>
      <c r="O11" s="218"/>
      <c r="P11" s="218"/>
      <c r="S11" s="208">
        <f>AVERAGE(S13:S110)</f>
        <v>0.92368421052631577</v>
      </c>
      <c r="V11" s="187"/>
      <c r="AE11" s="1"/>
      <c r="AF11" s="1"/>
      <c r="AG11" s="206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213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6" t="s">
        <v>24</v>
      </c>
      <c r="S12" s="209" t="s">
        <v>63</v>
      </c>
      <c r="T12" s="189" t="s">
        <v>64</v>
      </c>
      <c r="U12" s="189" t="s">
        <v>65</v>
      </c>
      <c r="V12" s="190" t="s">
        <v>45</v>
      </c>
      <c r="W12" s="191" t="s">
        <v>23</v>
      </c>
      <c r="X12" s="191" t="s">
        <v>48</v>
      </c>
      <c r="Y12" s="191" t="s">
        <v>20</v>
      </c>
      <c r="Z12" s="191" t="s">
        <v>21</v>
      </c>
      <c r="AA12" s="191" t="s">
        <v>22</v>
      </c>
      <c r="AB12" s="53" t="s">
        <v>39</v>
      </c>
      <c r="AC12" s="50" t="s">
        <v>40</v>
      </c>
      <c r="AD12" s="202" t="s">
        <v>82</v>
      </c>
      <c r="AE12" s="76" t="s">
        <v>89</v>
      </c>
      <c r="AF12" s="73" t="s">
        <v>94</v>
      </c>
      <c r="AG12" s="201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192</v>
      </c>
      <c r="AN12" s="46" t="s">
        <v>334</v>
      </c>
      <c r="AO12" s="201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949</v>
      </c>
      <c r="B13" s="7"/>
      <c r="C13" s="21" t="s">
        <v>197</v>
      </c>
      <c r="D13" s="21" t="s">
        <v>781</v>
      </c>
      <c r="E13" s="13">
        <v>42980.191469907404</v>
      </c>
      <c r="F13" s="13"/>
      <c r="G13" s="7">
        <v>100</v>
      </c>
      <c r="H13" s="21" t="s">
        <v>340</v>
      </c>
      <c r="I13" s="13"/>
      <c r="J13" s="7">
        <v>0</v>
      </c>
      <c r="K13" s="89" t="str">
        <f>IF(ISEVEN(B13),(B13-1)&amp;"/"&amp;B13,B13&amp;"/"&amp;(B13+1))</f>
        <v>-1/</v>
      </c>
      <c r="L13" s="214" t="e">
        <f>VLOOKUP(A13,'Trips&amp;Operators'!$C$1:$G$99911,5,FALSE)</f>
        <v>#N/A</v>
      </c>
      <c r="M13" s="6">
        <f>I13-F13</f>
        <v>0</v>
      </c>
      <c r="N13" s="7"/>
      <c r="O13" s="7"/>
      <c r="P13" s="7">
        <v>1</v>
      </c>
      <c r="Q13" s="22"/>
      <c r="R13" s="167" t="s">
        <v>952</v>
      </c>
      <c r="S13" s="210">
        <f>1/IF(AG13="EC",12,1)*SUM(U13:U13)</f>
        <v>0</v>
      </c>
      <c r="T13" s="192" t="str">
        <f>IF(ISEVEN(LEFT(AD13,4)),"Southbound","NorthBound")</f>
        <v>NorthBound</v>
      </c>
      <c r="U13" s="192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0</v>
      </c>
      <c r="V13" s="193" t="str">
        <f t="shared" ref="V13:V76" si="0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-09-02T03:35:43-0600',mode:absolute,to:'1900-01-00T01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%22')),sort:!(Time.ISO8601,asc))</v>
      </c>
      <c r="W13" s="194" t="str">
        <f>IF(AA13&lt;VLOOKUP(AG13,Variables!$AC$3:$AD$8,2,FALSE),"Y","N")</f>
        <v>N</v>
      </c>
      <c r="X13" s="194" t="e">
        <f>VALUE(LEFT(AD13,4))-VALUE(LEFT(AD12,4))</f>
        <v>#VALUE!</v>
      </c>
      <c r="Y13" s="194">
        <f>RIGHT(D13,LEN(D13)-4)/10000</f>
        <v>23.312999999999999</v>
      </c>
      <c r="Z13" s="194">
        <f>RIGHT(H13,LEN(H13)-4)/10000</f>
        <v>1.43E-2</v>
      </c>
      <c r="AA13" s="194">
        <f>ABS(Z13-Y13)</f>
        <v>23.2987</v>
      </c>
      <c r="AB13" s="54" t="e">
        <f>VLOOKUP(A13,Enforcements!$C$7:$K$11,8,0)</f>
        <v>#N/A</v>
      </c>
      <c r="AC13" s="51" t="e">
        <f>VLOOKUP(A13,Enforcements!$C$7:$E$11,3,0)</f>
        <v>#N/A</v>
      </c>
      <c r="AD13" s="203">
        <f>VALUE(LEFT(A13,LEN(A13)-3))</f>
        <v>101</v>
      </c>
      <c r="AE13" s="77" t="str">
        <f t="shared" ref="AE13:AE76" si="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3" s="74" t="str">
        <f t="shared" ref="AF13:AF76" si="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/stypes="app**19000100*" /stext=" 06:.+((SYSTEM_STATE.+slice.+state.+changed )|(ment ac)|(multiple cpu faults)|(system.+state.+changed )|(\[timeout)|(PRM\|1\|D)|(kpr)|(kdp)|(train st.+moving)|(\|lc)|(penalty))"</v>
      </c>
      <c r="AG13" s="206" t="str">
        <f>DetSubdiv(A13)</f>
        <v>EC</v>
      </c>
      <c r="AH13" s="78" t="str">
        <f t="shared" ref="AH13" si="3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101-02 --locoid  --swversion DE.1.0.9.0 --startMP 204:233130 --initTime 2017-09-02T04:35:43 --startdatetime 1900-01-00T00:00:00 --delay 100 --endMP 204:143 --enddatetime 1900-01-00T00:00:00 --enforcementcount 0 &gt;&gt;C:\Users\stu\Documents\GitHub\eaglep3-reporting\EC\2017-09-02-refined-times.txt</v>
      </c>
      <c r="AI13" s="96" t="str">
        <f t="shared" ref="AI13" si="4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{"issue":{"subject":"BOS frozen - needed restart","project_id":79,"tracker_id":40,"status_id":1,"priority_id":2,"assigned_to_id":338,"start_date":"1900-01-00","description":"","custom_fields":[{"id":1,"name":"Subdivision","value":"EC"},{"id":4,"name":"Milepost","value":"0.0143"},{"id":17,"name":"Train ID","value":"101-02"},{"id":16,"name":"Locomotive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5">"start /low /b "&amp;dls3logs&amp;" --loco "&amp;B13&amp;" --day "&amp;TEXT(F13,"YYYY-MM-DD")</f>
        <v>start /low /b %USERPROFILE%\Documents\GitHub\eaglep3\Utilities\DownloadLogsFromS3.py --loco  --day 1900-01-00</v>
      </c>
      <c r="AN13" s="151" t="str">
        <f t="shared" ref="AN13" si="6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{"issue":{"subject":"BOS frozen - needed restart","project_id":30,"tracker_id":4,"status_id":1,"priority_id":1,"assigned_to_id":10,"start_date":"1900-01-00","description":"","custom_fields":[{"id":30,"name":"Category","value":"Issue"},{"id":3,"name":"Functional Component","value":"Onboard"},{"id":31,"name":"Version","value":"N/A"},{"id":8,"name":"Reporting RR","value":"WABTEC"},{"id":27,"name":"Locomotive ID","value":""},{"id":20,"name":"RR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UTC","value":"1900-01-00 06:00:00"},{"id":29,"name":"Sharepoint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9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950</v>
      </c>
      <c r="B14" s="7"/>
      <c r="C14" s="21" t="s">
        <v>197</v>
      </c>
      <c r="D14" s="21" t="s">
        <v>781</v>
      </c>
      <c r="E14" s="13">
        <v>42980.191469907404</v>
      </c>
      <c r="F14" s="13"/>
      <c r="G14" s="7">
        <v>100</v>
      </c>
      <c r="H14" s="21" t="s">
        <v>340</v>
      </c>
      <c r="I14" s="13"/>
      <c r="J14" s="7">
        <v>0</v>
      </c>
      <c r="K14" s="89" t="str">
        <f t="shared" ref="K14:K16" si="7">IF(ISEVEN(B14),(B14-1)&amp;"/"&amp;B14,B14&amp;"/"&amp;(B14+1))</f>
        <v>-1/</v>
      </c>
      <c r="L14" s="214" t="e">
        <f>VLOOKUP(A14,'Trips&amp;Operators'!$C$1:$G$99911,5,FALSE)</f>
        <v>#N/A</v>
      </c>
      <c r="M14" s="6">
        <f t="shared" ref="M14:M16" si="8">I14-F14</f>
        <v>0</v>
      </c>
      <c r="N14" s="7"/>
      <c r="O14" s="7"/>
      <c r="P14" s="7">
        <v>1</v>
      </c>
      <c r="Q14" s="22"/>
      <c r="R14" s="167" t="s">
        <v>952</v>
      </c>
      <c r="S14" s="210">
        <v>0</v>
      </c>
      <c r="T14" s="192" t="str">
        <f t="shared" ref="T14:T16" si="9">IF(ISEVEN(LEFT(AD14,4)),"Southbound","NorthBound")</f>
        <v>Southbound</v>
      </c>
      <c r="U14" s="192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3" t="str">
        <f t="shared" si="0"/>
        <v>https://d0f6bd738d7f1b3e5a7ca70fe4ff75f0.us-east-1.aws.found.io/app/kibana#/discover/Steve-Slow-Train-Analysis-(2080s-and-2083s)?_g=(refreshInterval:(display:Off,pause:!f,section:0,value:0),time:(from:'2017-09-02T03:35:43-0600',mode:absolute,to:'1900-01-00T01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%22')),sort:!(Time.ISO8601,asc))</v>
      </c>
      <c r="W14" s="194" t="str">
        <f>IF(AA14&lt;VLOOKUP(AG14,Variables!$AC$3:$AD$8,2,FALSE),"Y","N")</f>
        <v>N</v>
      </c>
      <c r="X14" s="194">
        <f t="shared" ref="X14:X16" si="10">VALUE(LEFT(AD14,4))-VALUE(LEFT(AD13,4))</f>
        <v>1</v>
      </c>
      <c r="Y14" s="194">
        <f t="shared" ref="Y14:Y16" si="11">RIGHT(D14,LEN(D14)-4)/10000</f>
        <v>23.312999999999999</v>
      </c>
      <c r="Z14" s="194">
        <f t="shared" ref="Z14:Z16" si="12">RIGHT(H14,LEN(H14)-4)/10000</f>
        <v>1.43E-2</v>
      </c>
      <c r="AA14" s="194">
        <f t="shared" ref="AA14:AA16" si="13">ABS(Z14-Y14)</f>
        <v>23.2987</v>
      </c>
      <c r="AB14" s="54" t="e">
        <f>VLOOKUP(A14,Enforcements!$C$7:$K$11,8,0)</f>
        <v>#N/A</v>
      </c>
      <c r="AC14" s="51" t="e">
        <f>VLOOKUP(A14,Enforcements!$C$7:$E$11,3,0)</f>
        <v>#N/A</v>
      </c>
      <c r="AD14" s="203">
        <f t="shared" ref="AD14:AD16" si="14">VALUE(LEFT(A14,LEN(A14)-3))</f>
        <v>102</v>
      </c>
      <c r="AE14" s="77" t="str">
        <f t="shared" si="1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4" s="74" t="str">
        <f t="shared" si="2"/>
        <v>"C:\Program Files (x86)\AstroGrep\AstroGrep.exe" /e /r /s /spath="%USERPROFILE%\AppData\Local\Temp\OnboardLogs" /stypes="app**19000100*" /stext=" 06:.+((SYSTEM_STATE.+slice.+state.+changed )|(ment ac)|(multiple cpu faults)|(system.+state.+changed )|(\[timeout)|(PRM\|1\|D)|(kpr)|(kdp)|(train st.+moving)|(\|lc)|(penalty))"</v>
      </c>
      <c r="AG14" s="206" t="str">
        <f t="shared" ref="AG14:AG16" si="15">DetSubdiv(A14)</f>
        <v>EC</v>
      </c>
      <c r="AH14" s="78" t="str">
        <f t="shared" ref="AH14:AH16" si="16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102-02 --locoid  --swversion DE.1.0.9.0 --startMP 204:233130 --initTime 2017-09-02T04:35:43 --startdatetime 1900-01-00T00:00:00 --delay 100 --endMP 204:143 --enddatetime 1900-01-00T00:00:00 --enforcementcount 0 &gt;&gt;C:\Users\stu\Documents\GitHub\eaglep3-reporting\EC\2017-09-02-refined-times.txt</v>
      </c>
      <c r="AI14" s="96" t="str">
        <f t="shared" ref="AI14:AI16" si="17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{"issue":{"subject":"BOS frozen - needed restart","project_id":79,"tracker_id":40,"status_id":1,"priority_id":2,"assigned_to_id":338,"start_date":"1900-01-00","description":"","custom_fields":[{"id":1,"name":"Subdivision","value":"EC"},{"id":4,"name":"Milepost","value":"0.0143"},{"id":17,"name":"Train ID","value":"102-02"},{"id":16,"name":"Locomotive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16" si="18">"start /low /b "&amp;dls3logs&amp;" --loco "&amp;B14&amp;" --day "&amp;TEXT(F14,"YYYY-MM-DD")</f>
        <v>start /low /b %USERPROFILE%\Documents\GitHub\eaglep3\Utilities\DownloadLogsFromS3.py --loco  --day 1900-01-00</v>
      </c>
      <c r="AN14" s="151" t="str">
        <f t="shared" ref="AN14:AN16" si="19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{"issue":{"subject":"BOS frozen - needed restart","project_id":30,"tracker_id":4,"status_id":1,"priority_id":1,"assigned_to_id":10,"start_date":"1900-01-00","description":"","custom_fields":[{"id":30,"name":"Category","value":"Issue"},{"id":3,"name":"Functional Component","value":"Onboard"},{"id":31,"name":"Version","value":"N/A"},{"id":8,"name":"Reporting RR","value":"WABTEC"},{"id":27,"name":"Locomotive ID","value":""},{"id":20,"name":"RR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UTC","value":"1900-01-00 06:00:00"},{"id":29,"name":"Sharepoint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169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20"/>
      <c r="BI14" s="20"/>
      <c r="BJ14" s="20"/>
      <c r="BK14" s="20"/>
      <c r="BL14" s="20"/>
      <c r="BM14" s="20"/>
      <c r="BN14" s="20"/>
      <c r="BO14" s="20"/>
      <c r="BP14" s="20"/>
      <c r="BQ14" s="20"/>
      <c r="BR14" s="20"/>
      <c r="BS14" s="20"/>
      <c r="BT14" s="20"/>
      <c r="BU14" s="20"/>
      <c r="BV14" s="20"/>
      <c r="BW14" s="20"/>
      <c r="BX14" s="20"/>
      <c r="BY14" s="20"/>
      <c r="BZ14" s="20"/>
      <c r="CA14" s="20"/>
      <c r="CB14" s="20"/>
      <c r="CC14" s="20"/>
      <c r="CD14" s="20"/>
      <c r="CE14" s="20"/>
      <c r="CF14" s="20"/>
      <c r="CG14" s="20"/>
      <c r="CH14" s="20"/>
      <c r="CI14" s="20"/>
      <c r="CJ14" s="20"/>
      <c r="CK14" s="20"/>
      <c r="CL14" s="20"/>
      <c r="CM14" s="20"/>
    </row>
    <row r="15" spans="1:91" s="1" customFormat="1" x14ac:dyDescent="0.25">
      <c r="A15" s="32" t="s">
        <v>951</v>
      </c>
      <c r="B15" s="7"/>
      <c r="C15" s="21" t="s">
        <v>197</v>
      </c>
      <c r="D15" s="21" t="s">
        <v>781</v>
      </c>
      <c r="E15" s="13">
        <v>42980.191469907404</v>
      </c>
      <c r="F15" s="13"/>
      <c r="G15" s="7">
        <v>100</v>
      </c>
      <c r="H15" s="21" t="s">
        <v>340</v>
      </c>
      <c r="I15" s="13"/>
      <c r="J15" s="7">
        <v>0</v>
      </c>
      <c r="K15" s="89" t="str">
        <f t="shared" si="7"/>
        <v>-1/</v>
      </c>
      <c r="L15" s="214" t="e">
        <f>VLOOKUP(A15,'Trips&amp;Operators'!$C$1:$G$99911,5,FALSE)</f>
        <v>#N/A</v>
      </c>
      <c r="M15" s="6">
        <f t="shared" si="8"/>
        <v>0</v>
      </c>
      <c r="N15" s="7"/>
      <c r="O15" s="7"/>
      <c r="P15" s="7">
        <v>1</v>
      </c>
      <c r="Q15" s="22"/>
      <c r="R15" s="167" t="s">
        <v>952</v>
      </c>
      <c r="S15" s="210">
        <f t="shared" ref="S15:S16" si="20">1/IF(AG15="EC",12,1)*SUM(U15:U15)</f>
        <v>0</v>
      </c>
      <c r="T15" s="192" t="str">
        <f t="shared" si="9"/>
        <v>NorthBound</v>
      </c>
      <c r="U15" s="192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0</v>
      </c>
      <c r="V15" s="193" t="str">
        <f t="shared" si="0"/>
        <v>https://d0f6bd738d7f1b3e5a7ca70fe4ff75f0.us-east-1.aws.found.io/app/kibana#/discover/Steve-Slow-Train-Analysis-(2080s-and-2083s)?_g=(refreshInterval:(display:Off,pause:!f,section:0,value:0),time:(from:'2017-09-02T03:35:43-0600',mode:absolute,to:'1900-01-00T01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%22')),sort:!(Time.ISO8601,asc))</v>
      </c>
      <c r="W15" s="194" t="str">
        <f>IF(AA15&lt;VLOOKUP(AG15,Variables!$AC$3:$AD$8,2,FALSE),"Y","N")</f>
        <v>N</v>
      </c>
      <c r="X15" s="194">
        <f t="shared" si="10"/>
        <v>1</v>
      </c>
      <c r="Y15" s="194">
        <f t="shared" si="11"/>
        <v>23.312999999999999</v>
      </c>
      <c r="Z15" s="194">
        <f t="shared" si="12"/>
        <v>1.43E-2</v>
      </c>
      <c r="AA15" s="194">
        <f t="shared" si="13"/>
        <v>23.2987</v>
      </c>
      <c r="AB15" s="54" t="e">
        <f>VLOOKUP(A15,Enforcements!$C$7:$K$11,8,0)</f>
        <v>#N/A</v>
      </c>
      <c r="AC15" s="51" t="e">
        <f>VLOOKUP(A15,Enforcements!$C$7:$E$11,3,0)</f>
        <v>#N/A</v>
      </c>
      <c r="AD15" s="203">
        <f t="shared" si="14"/>
        <v>103</v>
      </c>
      <c r="AE15" s="77" t="str">
        <f t="shared" si="1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5" s="74" t="str">
        <f t="shared" si="2"/>
        <v>"C:\Program Files (x86)\AstroGrep\AstroGrep.exe" /e /r /s /spath="%USERPROFILE%\AppData\Local\Temp\OnboardLogs" /stypes="app**19000100*" /stext=" 06:.+((SYSTEM_STATE.+slice.+state.+changed )|(ment ac)|(multiple cpu faults)|(system.+state.+changed )|(\[timeout)|(PRM\|1\|D)|(kpr)|(kdp)|(train st.+moving)|(\|lc)|(penalty))"</v>
      </c>
      <c r="AG15" s="206" t="str">
        <f t="shared" si="15"/>
        <v>EC</v>
      </c>
      <c r="AH15" s="78" t="str">
        <f t="shared" si="16"/>
        <v>"%USERPROFILE%\Documents\GitHub\eaglep3\Utilities\RefineRTDCRunTimes.py" --tripid 103-02 --locoid  --swversion DE.1.0.9.0 --startMP 204:233130 --initTime 2017-09-02T04:35:43 --startdatetime 1900-01-00T00:00:00 --delay 100 --endMP 204:143 --enddatetime 1900-01-00T00:00:00 --enforcementcount 0 &gt;&gt;C:\Users\stu\Documents\GitHub\eaglep3-reporting\EC\2017-09-02-refined-times.txt</v>
      </c>
      <c r="AI15" s="96" t="str">
        <f t="shared" si="17"/>
        <v>echo {"issue":{"subject":"BOS frozen - needed restart","project_id":79,"tracker_id":40,"status_id":1,"priority_id":2,"assigned_to_id":338,"start_date":"1900-01-00","description":"","custom_fields":[{"id":1,"name":"Subdivision","value":"EC"},{"id":4,"name":"Milepost","value":"0.0143"},{"id":17,"name":"Train ID","value":"103-02"},{"id":16,"name":"Locomotive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18"/>
        <v>start /low /b %USERPROFILE%\Documents\GitHub\eaglep3\Utilities\DownloadLogsFromS3.py --loco  --day 1900-01-00</v>
      </c>
      <c r="AN15" s="151" t="str">
        <f t="shared" si="19"/>
        <v>echo {"issue":{"subject":"BOS frozen - needed restart","project_id":30,"tracker_id":4,"status_id":1,"priority_id":1,"assigned_to_id":10,"start_date":"1900-01-00","description":"","custom_fields":[{"id":30,"name":"Category","value":"Issue"},{"id":3,"name":"Functional Component","value":"Onboard"},{"id":31,"name":"Version","value":"N/A"},{"id":8,"name":"Reporting RR","value":"WABTEC"},{"id":27,"name":"Locomotive ID","value":""},{"id":20,"name":"RR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UTC","value":"1900-01-00 06:00:00"},{"id":29,"name":"Sharepoint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169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20"/>
      <c r="BI15" s="20"/>
      <c r="BJ15" s="20"/>
      <c r="BK15" s="20"/>
      <c r="BL15" s="20"/>
      <c r="BM15" s="20"/>
      <c r="BN15" s="20"/>
      <c r="BO15" s="20"/>
      <c r="BP15" s="20"/>
      <c r="BQ15" s="20"/>
      <c r="BR15" s="20"/>
      <c r="BS15" s="20"/>
      <c r="BT15" s="20"/>
      <c r="BU15" s="20"/>
      <c r="BV15" s="20"/>
      <c r="BW15" s="20"/>
      <c r="BX15" s="20"/>
      <c r="BY15" s="20"/>
      <c r="BZ15" s="20"/>
      <c r="CA15" s="20"/>
      <c r="CB15" s="20"/>
      <c r="CC15" s="20"/>
      <c r="CD15" s="20"/>
      <c r="CE15" s="20"/>
      <c r="CF15" s="20"/>
      <c r="CG15" s="20"/>
      <c r="CH15" s="20"/>
      <c r="CI15" s="20"/>
      <c r="CJ15" s="20"/>
      <c r="CK15" s="20"/>
      <c r="CL15" s="20"/>
      <c r="CM15" s="20"/>
    </row>
    <row r="16" spans="1:91" s="1" customFormat="1" x14ac:dyDescent="0.25">
      <c r="A16" s="32" t="s">
        <v>600</v>
      </c>
      <c r="B16" s="7">
        <v>4031</v>
      </c>
      <c r="C16" s="21" t="s">
        <v>197</v>
      </c>
      <c r="D16" s="21" t="s">
        <v>781</v>
      </c>
      <c r="E16" s="13">
        <v>42980.191469907404</v>
      </c>
      <c r="F16" s="13">
        <v>42980.196909722225</v>
      </c>
      <c r="G16" s="7">
        <v>100</v>
      </c>
      <c r="H16" s="21" t="s">
        <v>340</v>
      </c>
      <c r="I16" s="13">
        <v>42980.223946759259</v>
      </c>
      <c r="J16" s="7">
        <v>0</v>
      </c>
      <c r="K16" s="89" t="str">
        <f t="shared" si="7"/>
        <v>4031/4032</v>
      </c>
      <c r="L16" s="214" t="str">
        <f>VLOOKUP(A16,'Trips&amp;Operators'!$C$1:$G$99911,5,FALSE)</f>
        <v>LANGERAK WILLIAM</v>
      </c>
      <c r="M16" s="6">
        <f t="shared" si="8"/>
        <v>2.7037037034460809E-2</v>
      </c>
      <c r="N16" s="7">
        <f t="shared" ref="N16" si="21">24*60*SUM($M16:$M16)</f>
        <v>38.933333329623565</v>
      </c>
      <c r="O16" s="7"/>
      <c r="P16" s="7"/>
      <c r="Q16" s="22"/>
      <c r="R16" s="167"/>
      <c r="S16" s="210">
        <f t="shared" si="20"/>
        <v>1</v>
      </c>
      <c r="T16" s="192" t="str">
        <f t="shared" si="9"/>
        <v>Southbound</v>
      </c>
      <c r="U16" s="192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3" t="str">
        <f t="shared" si="0"/>
        <v>https://d0f6bd738d7f1b3e5a7ca70fe4ff75f0.us-east-1.aws.found.io/app/kibana#/discover/Steve-Slow-Train-Analysis-(2080s-and-2083s)?_g=(refreshInterval:(display:Off,pause:!f,section:0,value:0),time:(from:'2017-09-02T03:35:43-0600',mode:absolute,to:'2017-09-02T06:22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" s="194" t="str">
        <f>IF(AA16&lt;VLOOKUP(AG16,Variables!$AC$3:$AD$8,2,FALSE),"Y","N")</f>
        <v>N</v>
      </c>
      <c r="X16" s="194">
        <f t="shared" si="10"/>
        <v>1</v>
      </c>
      <c r="Y16" s="194">
        <f t="shared" si="11"/>
        <v>23.312999999999999</v>
      </c>
      <c r="Z16" s="194">
        <f t="shared" si="12"/>
        <v>1.43E-2</v>
      </c>
      <c r="AA16" s="194">
        <f t="shared" si="13"/>
        <v>23.2987</v>
      </c>
      <c r="AB16" s="54" t="e">
        <f>VLOOKUP(A16,Enforcements!$C$7:$K$11,8,0)</f>
        <v>#N/A</v>
      </c>
      <c r="AC16" s="51" t="e">
        <f>VLOOKUP(A16,Enforcements!$C$7:$E$11,3,0)</f>
        <v>#N/A</v>
      </c>
      <c r="AD16" s="203">
        <f t="shared" si="14"/>
        <v>104</v>
      </c>
      <c r="AE16" s="77" t="str">
        <f t="shared" si="1"/>
        <v>aws s3 cp s3://rtdc.mdm.uploadarchive.raw/RTDC4031/ "%USERPROFILE%\AppData\Local\Temp\OnboardLogs"\RTDC4031\2017-09-02 --exclude "*" --recursive --include "*20170902*" &amp; "%USERPROFILE%\Documents\GitHub\mrs-test-scripts\Headless Mode &amp; Sideloading\WalkAndUnGZ.bat" "%USERPROFILE%\AppData\Local\Temp\OnboardLogs"\RTDC4031\2017-09-02 &amp; aws s3 cp s3://rtdc.mdm.uploadarchive.raw/RTDC4031/ "%USERPROFILE%\AppData\Local\Temp\OnboardLogs"\RTDC4031\2017-09-03 --exclude "*" --recursive --include "*20170903*" &amp; "%USERPROFILE%\Documents\GitHub\mrs-test-scripts\Headless Mode &amp; Sideloading\WalkAndUnGZ.bat" "%USERPROFILE%\AppData\Local\Temp\OnboardLogs"\RTDC4031\2017-09-03</v>
      </c>
      <c r="AF16" s="74" t="str">
        <f t="shared" si="2"/>
        <v>"C:\Program Files (x86)\AstroGrep\AstroGrep.exe" /e /r /s /spath="%USERPROFILE%\AppData\Local\Temp\OnboardLogs" /stypes="app*4031*20170902*" /stext=" 11:.+((SYSTEM_STATE.+slice.+state.+changed )|(ment ac)|(multiple cpu faults)|(system.+state.+changed )|(\[timeout)|(PRM\|1\|D)|(kpr)|(kdp)|(train st.+moving)|(\|lc)|(penalty))"</v>
      </c>
      <c r="AG16" s="206" t="str">
        <f t="shared" si="15"/>
        <v>EC</v>
      </c>
      <c r="AH16" s="78" t="str">
        <f t="shared" si="16"/>
        <v>"%USERPROFILE%\Documents\GitHub\eaglep3\Utilities\RefineRTDCRunTimes.py" --tripid 104-02 --locoid 4031 --swversion DE.1.0.9.0 --startMP 204:233130 --initTime 2017-09-02T04:35:43 --startdatetime 2017-09-02T04:43:33 --delay 100 --endMP 204:143 --enddatetime 2017-09-02T05:22:29 --enforcementcount 0 &gt;&gt;C:\Users\stu\Documents\GitHub\eaglep3-reporting\EC\2017-09-02-refined-times.txt</v>
      </c>
      <c r="AI16" s="96" t="str">
        <f t="shared" si="17"/>
        <v>echo {"issue":{"subject":"","project_id":79,"tracker_id":40,"status_id":1,"priority_id":2,"assigned_to_id":338,"start_date":"2017-09-02","description":"","custom_fields":[{"id":1,"name":"Subdivision","value":"EC"},{"id":4,"name":"Milepost","value":"0.0143"},{"id":17,"name":"Train ID","value":"104-02"},{"id":16,"name":"Locomotive ID","value":"4031"},{"id":130,"name":"Impact","value":""},{"id":150,"name":"Time of Event (Mountain Time)","value":"05:22:29"},{"id":151,"name":"Denver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18"/>
        <v>start /low /b %USERPROFILE%\Documents\GitHub\eaglep3\Utilities\DownloadLogsFromS3.py --loco 4031 --day 2017-09-02</v>
      </c>
      <c r="AN16" s="151" t="str">
        <f t="shared" si="19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11:22:29"},{"id":29,"name":"Sharepoint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169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20"/>
      <c r="BI16" s="20"/>
      <c r="BJ16" s="20"/>
      <c r="BK16" s="20"/>
      <c r="BL16" s="20"/>
      <c r="BM16" s="20"/>
      <c r="BN16" s="20"/>
      <c r="BO16" s="20"/>
      <c r="BP16" s="20"/>
      <c r="BQ16" s="20"/>
      <c r="BR16" s="20"/>
      <c r="BS16" s="20"/>
      <c r="BT16" s="20"/>
      <c r="BU16" s="20"/>
      <c r="BV16" s="20"/>
      <c r="BW16" s="20"/>
      <c r="BX16" s="20"/>
      <c r="BY16" s="20"/>
      <c r="BZ16" s="20"/>
      <c r="CA16" s="20"/>
      <c r="CB16" s="20"/>
      <c r="CC16" s="20"/>
      <c r="CD16" s="20"/>
      <c r="CE16" s="20"/>
      <c r="CF16" s="20"/>
      <c r="CG16" s="20"/>
      <c r="CH16" s="20"/>
      <c r="CI16" s="20"/>
      <c r="CJ16" s="20"/>
      <c r="CK16" s="20"/>
      <c r="CL16" s="20"/>
      <c r="CM16" s="20"/>
    </row>
    <row r="17" spans="1:91" s="1" customFormat="1" x14ac:dyDescent="0.25">
      <c r="A17" s="32" t="s">
        <v>953</v>
      </c>
      <c r="B17" s="7"/>
      <c r="C17" s="21" t="s">
        <v>197</v>
      </c>
      <c r="D17" s="21" t="s">
        <v>781</v>
      </c>
      <c r="E17" s="13">
        <v>42980.191469907404</v>
      </c>
      <c r="F17" s="13"/>
      <c r="G17" s="7">
        <v>100</v>
      </c>
      <c r="H17" s="21" t="s">
        <v>340</v>
      </c>
      <c r="I17" s="13"/>
      <c r="J17" s="7">
        <v>0</v>
      </c>
      <c r="K17" s="89" t="str">
        <f t="shared" ref="K17" si="22">IF(ISEVEN(B17),(B17-1)&amp;"/"&amp;B17,B17&amp;"/"&amp;(B17+1))</f>
        <v>-1/</v>
      </c>
      <c r="L17" s="214" t="e">
        <f>VLOOKUP(A17,'Trips&amp;Operators'!$C$1:$G$99911,5,FALSE)</f>
        <v>#N/A</v>
      </c>
      <c r="M17" s="6">
        <f t="shared" ref="M17" si="23">I17-F17</f>
        <v>0</v>
      </c>
      <c r="N17" s="7"/>
      <c r="O17" s="7"/>
      <c r="P17" s="7">
        <v>1</v>
      </c>
      <c r="Q17" s="22"/>
      <c r="R17" s="167" t="s">
        <v>952</v>
      </c>
      <c r="S17" s="210">
        <f t="shared" ref="S17" si="24">1/IF(AG17="EC",12,1)*SUM(U17:U17)</f>
        <v>0</v>
      </c>
      <c r="T17" s="192" t="str">
        <f t="shared" ref="T17" si="25">IF(ISEVEN(LEFT(AD17,4)),"Southbound","NorthBound")</f>
        <v>NorthBound</v>
      </c>
      <c r="U17" s="192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0</v>
      </c>
      <c r="V17" s="193" t="str">
        <f t="shared" si="0"/>
        <v>https://d0f6bd738d7f1b3e5a7ca70fe4ff75f0.us-east-1.aws.found.io/app/kibana#/discover/Steve-Slow-Train-Analysis-(2080s-and-2083s)?_g=(refreshInterval:(display:Off,pause:!f,section:0,value:0),time:(from:'2017-09-02T03:35:43-0600',mode:absolute,to:'1900-01-00T01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%22')),sort:!(Time.ISO8601,asc))</v>
      </c>
      <c r="W17" s="194" t="str">
        <f>IF(AA17&lt;VLOOKUP(AG17,Variables!$AC$3:$AD$8,2,FALSE),"Y","N")</f>
        <v>N</v>
      </c>
      <c r="X17" s="194">
        <f t="shared" ref="X17:X21" si="26">VALUE(LEFT(AD17,4))-VALUE(LEFT(AD16,4))</f>
        <v>1</v>
      </c>
      <c r="Y17" s="194">
        <f t="shared" ref="Y17" si="27">RIGHT(D17,LEN(D17)-4)/10000</f>
        <v>23.312999999999999</v>
      </c>
      <c r="Z17" s="194">
        <f t="shared" ref="Z17" si="28">RIGHT(H17,LEN(H17)-4)/10000</f>
        <v>1.43E-2</v>
      </c>
      <c r="AA17" s="194">
        <f t="shared" ref="AA17" si="29">ABS(Z17-Y17)</f>
        <v>23.2987</v>
      </c>
      <c r="AB17" s="54" t="e">
        <f>VLOOKUP(A17,Enforcements!$C$7:$K$11,8,0)</f>
        <v>#N/A</v>
      </c>
      <c r="AC17" s="51" t="e">
        <f>VLOOKUP(A17,Enforcements!$C$7:$E$11,3,0)</f>
        <v>#N/A</v>
      </c>
      <c r="AD17" s="203">
        <f t="shared" ref="AD17" si="30">VALUE(LEFT(A17,LEN(A17)-3))</f>
        <v>105</v>
      </c>
      <c r="AE17" s="77" t="str">
        <f t="shared" si="1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7" s="74" t="str">
        <f t="shared" si="2"/>
        <v>"C:\Program Files (x86)\AstroGrep\AstroGrep.exe" /e /r /s /spath="%USERPROFILE%\AppData\Local\Temp\OnboardLogs" /stypes="app**19000100*" /stext=" 06:.+((SYSTEM_STATE.+slice.+state.+changed )|(ment ac)|(multiple cpu faults)|(system.+state.+changed )|(\[timeout)|(PRM\|1\|D)|(kpr)|(kdp)|(train st.+moving)|(\|lc)|(penalty))"</v>
      </c>
      <c r="AG17" s="206" t="str">
        <f t="shared" ref="AG17" si="31">DetSubdiv(A17)</f>
        <v>EC</v>
      </c>
      <c r="AH17" s="78" t="str">
        <f t="shared" ref="AH17" si="32">refinertdcruntimes&amp;" --tripid "&amp;A17&amp;" --locoid "&amp;B17&amp;" --swversion "&amp;C17&amp;" --startMP "&amp;D17&amp;" --initTime "&amp;TEXT(E17,"yyyy-mm-ddTHH:MM:SS")&amp;" --startdatetime "&amp;TEXT(F17,"yyyy-mm-ddTHH:MM:SS")&amp;" --delay "&amp;G17&amp;" --endMP "&amp;H17&amp;" --enddatetime "&amp;TEXT(I17,"yyyy-mm-ddTHH:MM:SS")&amp;" --enforcementcount "&amp;J17&amp;IF(outputrefinedruntimes," &gt;&gt;"&amp;RefinedRTDCRunTimesOutputFile,"")</f>
        <v>"%USERPROFILE%\Documents\GitHub\eaglep3\Utilities\RefineRTDCRunTimes.py" --tripid 105-02 --locoid  --swversion DE.1.0.9.0 --startMP 204:233130 --initTime 2017-09-02T04:35:43 --startdatetime 1900-01-00T00:00:00 --delay 100 --endMP 204:143 --enddatetime 1900-01-00T00:00:00 --enforcementcount 0 &gt;&gt;C:\Users\stu\Documents\GitHub\eaglep3-reporting\EC\2017-09-02-refined-times.txt</v>
      </c>
      <c r="AI17" s="96" t="str">
        <f t="shared" ref="AI17" si="33">"echo {""issue"":{""subject"":"""&amp;R17&amp;""",""project_id"":79,""tracker_id"":40,""status_id"":"&amp;redmine_status&amp;",""priority_id"":"&amp;redmine_priority&amp;",""assigned_to_id"":"&amp;redmine_assignee&amp;",""start_date"":"""&amp;TEXT(I17,"YYYY-mm-dd")&amp;""",""description"":"""&amp;AJ17&amp;""",""custom_fields"":[{""id"":1,""name"":""Subdivision"",""value"":"""&amp;AG17&amp;"""},{""id"":4,""name"":""Milepost"",""value"":"""&amp;Z17&amp;"""},{""id"":17,""name"":""Train ID"",""value"":"""&amp;A17&amp;"""},{""id"":16,""name"":""Locomotive ID"",""value"":"""&amp;B17&amp;"""},{""id"":130,""name"":""Impact"",""value"":"""&amp;AK17&amp;"""},{""id"":150,""name"":""Time of Event (Mountain Time)"",""value"":"""&amp;TEXT(I17,"hh:mm:ss")&amp;"""},{""id"":151,""name"":""Denver Issue ID"",""value"":"""&amp;"""},{""id"":178,""name"":""Operational Impact"",""value"":"""&amp;redmine_op_impact&amp;"""},{""id"":179,""name"":""Denver Segment Assigned"",""value"":"""&amp;AL17&amp;"""}]}}"&amp;" | curl -X POST -H ""Content-Type: application/json"" -H ""X-Redmine-API-Key: "&amp;redm_api_key&amp;""" "&amp;redm_url&amp;" --data @-"</f>
        <v>echo {"issue":{"subject":"BOS frozen - needed restart","project_id":79,"tracker_id":40,"status_id":1,"priority_id":2,"assigned_to_id":338,"start_date":"1900-01-00","description":"","custom_fields":[{"id":1,"name":"Subdivision","value":"EC"},{"id":4,"name":"Milepost","value":"0.0143"},{"id":17,"name":"Train ID","value":"105-02"},{"id":16,"name":"Locomotive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ref="AM17" si="34">"start /low /b "&amp;dls3logs&amp;" --loco "&amp;B17&amp;" --day "&amp;TEXT(F17,"YYYY-MM-DD")</f>
        <v>start /low /b %USERPROFILE%\Documents\GitHub\eaglep3\Utilities\DownloadLogsFromS3.py --loco  --day 1900-01-00</v>
      </c>
      <c r="AN17" s="151" t="str">
        <f t="shared" ref="AN17" si="35">"echo {""issue"":{""subject"":"""&amp;R17&amp;""",""project_id"":30,""tracker_id"":4,""status_id"":"&amp;redmine_status_wcr&amp;",""priority_id"":"&amp;redmine_priority_wcr&amp;",""assigned_to_id"":"&amp;redmine_assignee_wcr&amp;",""start_date"":"""&amp;TEXT(I17-utc_offset/24,"YYYY-mm-dd")&amp;""",""description"":"""&amp;AJ17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{"issue":{"subject":"BOS frozen - needed restart","project_id":30,"tracker_id":4,"status_id":1,"priority_id":1,"assigned_to_id":10,"start_date":"1900-01-00","description":"","custom_fields":[{"id":30,"name":"Category","value":"Issue"},{"id":3,"name":"Functional Component","value":"Onboard"},{"id":31,"name":"Version","value":"N/A"},{"id":8,"name":"Reporting RR","value":"WABTEC"},{"id":27,"name":"Locomotive ID","value":""},{"id":20,"name":"RR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UTC","value":"1900-01-00 06:00:00"},{"id":29,"name":"Sharepoint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169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20"/>
      <c r="BI17" s="20"/>
      <c r="BJ17" s="20"/>
      <c r="BK17" s="20"/>
      <c r="BL17" s="20"/>
      <c r="BM17" s="20"/>
      <c r="BN17" s="20"/>
      <c r="BO17" s="20"/>
      <c r="BP17" s="20"/>
      <c r="BQ17" s="20"/>
      <c r="BR17" s="20"/>
      <c r="BS17" s="20"/>
      <c r="BT17" s="20"/>
      <c r="BU17" s="20"/>
      <c r="BV17" s="20"/>
      <c r="BW17" s="20"/>
      <c r="BX17" s="20"/>
      <c r="BY17" s="20"/>
      <c r="BZ17" s="20"/>
      <c r="CA17" s="20"/>
      <c r="CB17" s="20"/>
      <c r="CC17" s="20"/>
      <c r="CD17" s="20"/>
      <c r="CE17" s="20"/>
      <c r="CF17" s="20"/>
      <c r="CG17" s="20"/>
      <c r="CH17" s="20"/>
      <c r="CI17" s="20"/>
      <c r="CJ17" s="20"/>
      <c r="CK17" s="20"/>
      <c r="CL17" s="20"/>
      <c r="CM17" s="20"/>
    </row>
    <row r="18" spans="1:91" s="1" customFormat="1" x14ac:dyDescent="0.25">
      <c r="A18" s="32" t="s">
        <v>561</v>
      </c>
      <c r="B18" s="7">
        <v>4027</v>
      </c>
      <c r="C18" s="21" t="s">
        <v>197</v>
      </c>
      <c r="D18" s="21" t="s">
        <v>432</v>
      </c>
      <c r="E18" s="13">
        <v>42980.204351851855</v>
      </c>
      <c r="F18" s="13">
        <v>42980.216840277775</v>
      </c>
      <c r="G18" s="7">
        <v>51</v>
      </c>
      <c r="H18" s="21" t="s">
        <v>483</v>
      </c>
      <c r="I18" s="13">
        <v>42980.24459490741</v>
      </c>
      <c r="J18" s="7">
        <v>0</v>
      </c>
      <c r="K18" s="89" t="str">
        <f>IF(ISEVEN(B18),(B18-1)&amp;"/"&amp;B18,B18&amp;"/"&amp;(B18+1))</f>
        <v>4027/4028</v>
      </c>
      <c r="L18" s="214" t="str">
        <f>VLOOKUP(A18,'Trips&amp;Operators'!$C$1:$G$99911,5,FALSE)</f>
        <v>DAVIS WENDY</v>
      </c>
      <c r="M18" s="6">
        <f>I18-F18</f>
        <v>2.775462963472819E-2</v>
      </c>
      <c r="N18" s="7">
        <f>24*60*SUM($M18:$M18)</f>
        <v>39.966666674008593</v>
      </c>
      <c r="O18" s="7"/>
      <c r="P18" s="7"/>
      <c r="Q18" s="22"/>
      <c r="R18" s="167"/>
      <c r="S18" s="210">
        <f>1/IF(AG18="EC",12,1)*SUM(U18:U18)</f>
        <v>1</v>
      </c>
      <c r="T18" s="192" t="str">
        <f>IF(ISEVEN(LEFT(AD18,4)),"Southbound","NorthBound")</f>
        <v>Southbound</v>
      </c>
      <c r="U18" s="192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3" t="str">
        <f t="shared" si="0"/>
        <v>https://d0f6bd738d7f1b3e5a7ca70fe4ff75f0.us-east-1.aws.found.io/app/kibana#/discover/Steve-Slow-Train-Analysis-(2080s-and-2083s)?_g=(refreshInterval:(display:Off,pause:!f,section:0,value:0),time:(from:'2017-09-02T03:54:16-0600',mode:absolute,to:'2017-09-02T06:52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8" s="194" t="str">
        <f>IF(AA18&lt;VLOOKUP(AG18,Variables!$AC$3:$AD$8,2,FALSE),"Y","N")</f>
        <v>N</v>
      </c>
      <c r="X18" s="194">
        <f t="shared" si="26"/>
        <v>1</v>
      </c>
      <c r="Y18" s="194">
        <f>RIGHT(D18,LEN(D18)-4)/10000</f>
        <v>23.298200000000001</v>
      </c>
      <c r="Z18" s="194">
        <f>RIGHT(H18,LEN(H18)-4)/10000</f>
        <v>1.5800000000000002E-2</v>
      </c>
      <c r="AA18" s="194">
        <f>ABS(Z18-Y18)</f>
        <v>23.282400000000003</v>
      </c>
      <c r="AB18" s="54" t="e">
        <f>VLOOKUP(A18,Enforcements!$C$7:$K$11,8,0)</f>
        <v>#N/A</v>
      </c>
      <c r="AC18" s="51" t="e">
        <f>VLOOKUP(A18,Enforcements!$C$7:$E$11,3,0)</f>
        <v>#N/A</v>
      </c>
      <c r="AD18" s="203">
        <f>VALUE(LEFT(A18,LEN(A18)-3))</f>
        <v>106</v>
      </c>
      <c r="AE18" s="77" t="str">
        <f t="shared" si="1"/>
        <v>aws s3 cp s3://rtdc.mdm.uploadarchive.raw/RTDC4027/ "%USERPROFILE%\AppData\Local\Temp\OnboardLogs"\RTDC4027\2017-09-02 --exclude "*" --recursive --include "*20170902*" &amp; "%USERPROFILE%\Documents\GitHub\mrs-test-scripts\Headless Mode &amp; Sideloading\WalkAndUnGZ.bat" "%USERPROFILE%\AppData\Local\Temp\OnboardLogs"\RTDC4027\2017-09-02 &amp; aws s3 cp s3://rtdc.mdm.uploadarchive.raw/RTDC4027/ "%USERPROFILE%\AppData\Local\Temp\OnboardLogs"\RTDC4027\2017-09-03 --exclude "*" --recursive --include "*20170903*" &amp; "%USERPROFILE%\Documents\GitHub\mrs-test-scripts\Headless Mode &amp; Sideloading\WalkAndUnGZ.bat" "%USERPROFILE%\AppData\Local\Temp\OnboardLogs"\RTDC4027\2017-09-03</v>
      </c>
      <c r="AF18" s="74" t="str">
        <f t="shared" si="2"/>
        <v>"C:\Program Files (x86)\AstroGrep\AstroGrep.exe" /e /r /s /spath="%USERPROFILE%\AppData\Local\Temp\OnboardLogs" /stypes="app*4027*20170902*" /stext=" 11:.+((SYSTEM_STATE.+slice.+state.+changed )|(ment ac)|(multiple cpu faults)|(system.+state.+changed )|(\[timeout)|(PRM\|1\|D)|(kpr)|(kdp)|(train st.+moving)|(\|lc)|(penalty))"</v>
      </c>
      <c r="AG18" s="206" t="str">
        <f>DetSubdiv(A18)</f>
        <v>EC</v>
      </c>
      <c r="AH18" s="78" t="str">
        <f t="shared" ref="AH18:AH83" si="36">refinertdcruntimes&amp;" --tripid "&amp;A18&amp;" --locoid "&amp;B18&amp;" --swversion "&amp;C18&amp;" --startMP "&amp;D18&amp;" --initTime "&amp;TEXT(E18,"yyyy-mm-ddTHH:MM:SS")&amp;" --startdatetime "&amp;TEXT(F18,"yyyy-mm-ddTHH:MM:SS")&amp;" --delay "&amp;G18&amp;" --endMP "&amp;H18&amp;" --enddatetime "&amp;TEXT(I18,"yyyy-mm-ddTHH:MM:SS")&amp;" --enforcementcount "&amp;J18&amp;IF(outputrefinedruntimes," &gt;&gt;"&amp;RefinedRTDCRunTimesOutputFile,"")</f>
        <v>"%USERPROFILE%\Documents\GitHub\eaglep3\Utilities\RefineRTDCRunTimes.py" --tripid 106-02 --locoid 4027 --swversion DE.1.0.9.0 --startMP 204:232982 --initTime 2017-09-02T04:54:16 --startdatetime 2017-09-02T05:12:15 --delay 51 --endMP 204:158 --enddatetime 2017-09-02T05:52:13 --enforcementcount 0 &gt;&gt;C:\Users\stu\Documents\GitHub\eaglep3-reporting\EC\2017-09-02-refined-times.txt</v>
      </c>
      <c r="AI18" s="96" t="str">
        <f t="shared" ref="AI18:AI83" si="37">"echo {""issue"":{""subject"":"""&amp;R18&amp;""",""project_id"":79,""tracker_id"":40,""status_id"":"&amp;redmine_status&amp;",""priority_id"":"&amp;redmine_priority&amp;",""assigned_to_id"":"&amp;redmine_assignee&amp;",""start_date"":"""&amp;TEXT(I18,"YYYY-mm-dd")&amp;""",""description"":"""&amp;AJ18&amp;""",""custom_fields"":[{""id"":1,""name"":""Subdivision"",""value"":"""&amp;AG18&amp;"""},{""id"":4,""name"":""Milepost"",""value"":"""&amp;Z18&amp;"""},{""id"":17,""name"":""Train ID"",""value"":"""&amp;A18&amp;"""},{""id"":16,""name"":""Locomotive ID"",""value"":"""&amp;B18&amp;"""},{""id"":130,""name"":""Impact"",""value"":"""&amp;AK18&amp;"""},{""id"":150,""name"":""Time of Event (Mountain Time)"",""value"":"""&amp;TEXT(I18,"hh:mm:ss")&amp;"""},{""id"":151,""name"":""Denver Issue ID"",""value"":"""&amp;"""},{""id"":178,""name"":""Operational Impact"",""value"":"""&amp;redmine_op_impact&amp;"""},{""id"":179,""name"":""Denver Segment Assigned"",""value"":"""&amp;AL18&amp;"""}]}}"&amp;"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{"issue":{"subject":"","project_id":79,"tracker_id":40,"status_id":1,"priority_id":2,"assigned_to_id":338,"start_date":"2017-09-02","description":"","custom_fields":[{"id":1,"name":"Subdivision","value":"EC"},{"id":4,"name":"Milepost","value":"0.0158"},{"id":17,"name":"Train ID","value":"106-02"},{"id":16,"name":"Locomotive ID","value":"4027"},{"id":130,"name":"Impact","value":""},{"id":150,"name":"Time of Event (Mountain Time)","value":"05:52:13"},{"id":151,"name":"Denver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ref="AM18:AM83" si="38">"start /low /b "&amp;dls3logs&amp;" --loco "&amp;B18&amp;" --day "&amp;TEXT(F18,"YYYY-MM-DD")</f>
        <v>start /low /b %USERPROFILE%\Documents\GitHub\eaglep3\Utilities\DownloadLogsFromS3.py --loco 4027 --day 2017-09-02</v>
      </c>
      <c r="AN18" s="151" t="str">
        <f t="shared" ref="AN18:AN83" si="39">"echo {""issue"":{""subject"":"""&amp;R18&amp;""",""project_id"":30,""tracker_id"":4,""status_id"":"&amp;redmine_status_wcr&amp;",""priority_id"":"&amp;redmine_priority_wcr&amp;",""assigned_to_id"":"&amp;redmine_assignee_wcr&amp;",""start_date"":"""&amp;TEXT(I18-utc_offset/24,"YYYY-mm-dd")&amp;""",""description"":"""&amp;AJ18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11:52:13"},{"id":29,"name":"Sharepoint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954</v>
      </c>
      <c r="B19" s="7"/>
      <c r="C19" s="21" t="s">
        <v>197</v>
      </c>
      <c r="D19" s="21" t="s">
        <v>781</v>
      </c>
      <c r="E19" s="13">
        <v>42980.191469907404</v>
      </c>
      <c r="F19" s="13"/>
      <c r="G19" s="7">
        <v>100</v>
      </c>
      <c r="H19" s="21" t="s">
        <v>340</v>
      </c>
      <c r="I19" s="13"/>
      <c r="J19" s="7">
        <v>0</v>
      </c>
      <c r="K19" s="89" t="str">
        <f t="shared" ref="K19" si="40">IF(ISEVEN(B19),(B19-1)&amp;"/"&amp;B19,B19&amp;"/"&amp;(B19+1))</f>
        <v>-1/</v>
      </c>
      <c r="L19" s="214" t="e">
        <f>VLOOKUP(A19,'Trips&amp;Operators'!$C$1:$G$99911,5,FALSE)</f>
        <v>#N/A</v>
      </c>
      <c r="M19" s="6">
        <f t="shared" ref="M19" si="41">I19-F19</f>
        <v>0</v>
      </c>
      <c r="N19" s="7"/>
      <c r="O19" s="7"/>
      <c r="P19" s="7">
        <v>1</v>
      </c>
      <c r="Q19" s="22"/>
      <c r="R19" s="167" t="s">
        <v>952</v>
      </c>
      <c r="S19" s="210">
        <f t="shared" ref="S19" si="42">1/IF(AG19="EC",12,1)*SUM(U19:U19)</f>
        <v>0</v>
      </c>
      <c r="T19" s="192" t="str">
        <f t="shared" ref="T19" si="43">IF(ISEVEN(LEFT(AD19,4)),"Southbound","NorthBound")</f>
        <v>NorthBound</v>
      </c>
      <c r="U19" s="192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0</v>
      </c>
      <c r="V19" s="193" t="str">
        <f t="shared" si="0"/>
        <v>https://d0f6bd738d7f1b3e5a7ca70fe4ff75f0.us-east-1.aws.found.io/app/kibana#/discover/Steve-Slow-Train-Analysis-(2080s-and-2083s)?_g=(refreshInterval:(display:Off,pause:!f,section:0,value:0),time:(from:'2017-09-02T03:35:43-0600',mode:absolute,to:'1900-01-00T01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%22')),sort:!(Time.ISO8601,asc))</v>
      </c>
      <c r="W19" s="194" t="str">
        <f>IF(AA19&lt;VLOOKUP(AG19,Variables!$AC$3:$AD$8,2,FALSE),"Y","N")</f>
        <v>N</v>
      </c>
      <c r="X19" s="194">
        <f t="shared" si="26"/>
        <v>1</v>
      </c>
      <c r="Y19" s="194">
        <f t="shared" ref="Y19" si="44">RIGHT(D19,LEN(D19)-4)/10000</f>
        <v>23.312999999999999</v>
      </c>
      <c r="Z19" s="194">
        <f t="shared" ref="Z19" si="45">RIGHT(H19,LEN(H19)-4)/10000</f>
        <v>1.43E-2</v>
      </c>
      <c r="AA19" s="194">
        <f t="shared" ref="AA19" si="46">ABS(Z19-Y19)</f>
        <v>23.2987</v>
      </c>
      <c r="AB19" s="54" t="e">
        <f>VLOOKUP(A19,Enforcements!$C$7:$K$11,8,0)</f>
        <v>#N/A</v>
      </c>
      <c r="AC19" s="51" t="e">
        <f>VLOOKUP(A19,Enforcements!$C$7:$E$11,3,0)</f>
        <v>#N/A</v>
      </c>
      <c r="AD19" s="203">
        <f t="shared" ref="AD19" si="47">VALUE(LEFT(A19,LEN(A19)-3))</f>
        <v>107</v>
      </c>
      <c r="AE19" s="77" t="str">
        <f t="shared" si="1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9" s="74" t="str">
        <f t="shared" si="2"/>
        <v>"C:\Program Files (x86)\AstroGrep\AstroGrep.exe" /e /r /s /spath="%USERPROFILE%\AppData\Local\Temp\OnboardLogs" /stypes="app**19000100*" /stext=" 06:.+((SYSTEM_STATE.+slice.+state.+changed )|(ment ac)|(multiple cpu faults)|(system.+state.+changed )|(\[timeout)|(PRM\|1\|D)|(kpr)|(kdp)|(train st.+moving)|(\|lc)|(penalty))"</v>
      </c>
      <c r="AG19" s="206" t="str">
        <f t="shared" ref="AG19" si="48">DetSubdiv(A19)</f>
        <v>EC</v>
      </c>
      <c r="AH19" s="78" t="str">
        <f t="shared" si="36"/>
        <v>"%USERPROFILE%\Documents\GitHub\eaglep3\Utilities\RefineRTDCRunTimes.py" --tripid 107-02 --locoid  --swversion DE.1.0.9.0 --startMP 204:233130 --initTime 2017-09-02T04:35:43 --startdatetime 1900-01-00T00:00:00 --delay 100 --endMP 204:143 --enddatetime 1900-01-00T00:00:00 --enforcementcount 0 &gt;&gt;C:\Users\stu\Documents\GitHub\eaglep3-reporting\EC\2017-09-02-refined-times.txt</v>
      </c>
      <c r="AI19" s="96" t="str">
        <f t="shared" si="37"/>
        <v>echo {"issue":{"subject":"BOS frozen - needed restart","project_id":79,"tracker_id":40,"status_id":1,"priority_id":2,"assigned_to_id":338,"start_date":"1900-01-00","description":"","custom_fields":[{"id":1,"name":"Subdivision","value":"EC"},{"id":4,"name":"Milepost","value":"0.0143"},{"id":17,"name":"Train ID","value":"107-02"},{"id":16,"name":"Locomotive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38"/>
        <v>start /low /b %USERPROFILE%\Documents\GitHub\eaglep3\Utilities\DownloadLogsFromS3.py --loco  --day 1900-01-00</v>
      </c>
      <c r="AN19" s="151" t="str">
        <f t="shared" si="39"/>
        <v>echo {"issue":{"subject":"BOS frozen - needed restart","project_id":30,"tracker_id":4,"status_id":1,"priority_id":1,"assigned_to_id":10,"start_date":"1900-01-00","description":"","custom_fields":[{"id":30,"name":"Category","value":"Issue"},{"id":3,"name":"Functional Component","value":"Onboard"},{"id":31,"name":"Version","value":"N/A"},{"id":8,"name":"Reporting RR","value":"WABTEC"},{"id":27,"name":"Locomotive ID","value":""},{"id":20,"name":"RR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UTC","value":"1900-01-00 06:00:00"},{"id":29,"name":"Sharepoint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169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20"/>
      <c r="BI19" s="20"/>
      <c r="BJ19" s="20"/>
      <c r="BK19" s="20"/>
      <c r="BL19" s="20"/>
      <c r="BM19" s="20"/>
      <c r="BN19" s="20"/>
      <c r="BO19" s="20"/>
      <c r="BP19" s="20"/>
      <c r="BQ19" s="20"/>
      <c r="BR19" s="20"/>
      <c r="BS19" s="20"/>
      <c r="BT19" s="20"/>
      <c r="BU19" s="20"/>
      <c r="BV19" s="20"/>
      <c r="BW19" s="20"/>
      <c r="BX19" s="20"/>
      <c r="BY19" s="20"/>
      <c r="BZ19" s="20"/>
      <c r="CA19" s="20"/>
      <c r="CB19" s="20"/>
      <c r="CC19" s="20"/>
      <c r="CD19" s="20"/>
      <c r="CE19" s="20"/>
      <c r="CF19" s="20"/>
      <c r="CG19" s="20"/>
      <c r="CH19" s="20"/>
      <c r="CI19" s="20"/>
      <c r="CJ19" s="20"/>
      <c r="CK19" s="20"/>
      <c r="CL19" s="20"/>
      <c r="CM19" s="20"/>
    </row>
    <row r="20" spans="1:91" s="1" customFormat="1" x14ac:dyDescent="0.25">
      <c r="A20" s="32" t="s">
        <v>607</v>
      </c>
      <c r="B20" s="7">
        <v>4055</v>
      </c>
      <c r="C20" s="21" t="s">
        <v>197</v>
      </c>
      <c r="D20" s="21" t="s">
        <v>782</v>
      </c>
      <c r="E20" s="13">
        <v>42980.215682870374</v>
      </c>
      <c r="F20" s="13">
        <v>42980.227303240739</v>
      </c>
      <c r="G20" s="7">
        <v>129</v>
      </c>
      <c r="H20" s="21" t="s">
        <v>450</v>
      </c>
      <c r="I20" s="13">
        <v>42980.254791666666</v>
      </c>
      <c r="J20" s="7">
        <v>0</v>
      </c>
      <c r="K20" s="89" t="str">
        <f t="shared" ref="K20:K51" si="49">IF(ISEVEN(B20),(B20-1)&amp;"/"&amp;B20,B20&amp;"/"&amp;(B20+1))</f>
        <v>4055/4056</v>
      </c>
      <c r="L20" s="214" t="str">
        <f>VLOOKUP(A20,'Trips&amp;Operators'!$C$1:$G$99911,5,FALSE)</f>
        <v>GEBRETEKLE DAGNEW</v>
      </c>
      <c r="M20" s="6">
        <f t="shared" ref="M20:M51" si="50">I20-F20</f>
        <v>2.7488425927003846E-2</v>
      </c>
      <c r="N20" s="7">
        <f t="shared" ref="N20:N32" si="51">24*60*SUM($M20:$M20)</f>
        <v>39.583333334885538</v>
      </c>
      <c r="O20" s="7"/>
      <c r="P20" s="7"/>
      <c r="Q20" s="22"/>
      <c r="R20" s="167"/>
      <c r="S20" s="210">
        <f t="shared" ref="S20:S53" si="52">1/IF(AG20="EC",12,1)*SUM(U20:U20)</f>
        <v>1</v>
      </c>
      <c r="T20" s="192" t="str">
        <f t="shared" ref="T20:T51" si="53">IF(ISEVEN(LEFT(AD20,4)),"Southbound","NorthBound")</f>
        <v>Southbound</v>
      </c>
      <c r="U20" s="192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3" t="str">
        <f t="shared" si="0"/>
        <v>https://d0f6bd738d7f1b3e5a7ca70fe4ff75f0.us-east-1.aws.found.io/app/kibana#/discover/Steve-Slow-Train-Analysis-(2080s-and-2083s)?_g=(refreshInterval:(display:Off,pause:!f,section:0,value:0),time:(from:'2017-09-02T04:10:35-0600',mode:absolute,to:'2017-09-02T07:06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0" s="194" t="str">
        <f>IF(AA20&lt;VLOOKUP(AG20,Variables!$AC$3:$AD$8,2,FALSE),"Y","N")</f>
        <v>N</v>
      </c>
      <c r="X20" s="194">
        <f t="shared" si="26"/>
        <v>1</v>
      </c>
      <c r="Y20" s="194">
        <f t="shared" ref="Y20:Y45" si="54">RIGHT(D20,LEN(D20)-4)/10000</f>
        <v>23.305299999999999</v>
      </c>
      <c r="Z20" s="194">
        <f t="shared" ref="Z20:Z45" si="55">RIGHT(H20,LEN(H20)-4)/10000</f>
        <v>1.6E-2</v>
      </c>
      <c r="AA20" s="194">
        <f t="shared" ref="AA20:AA51" si="56">ABS(Z20-Y20)</f>
        <v>23.289300000000001</v>
      </c>
      <c r="AB20" s="54" t="e">
        <f>VLOOKUP(A20,Enforcements!$C$7:$K$11,8,0)</f>
        <v>#N/A</v>
      </c>
      <c r="AC20" s="51" t="e">
        <f>VLOOKUP(A20,Enforcements!$C$7:$E$11,3,0)</f>
        <v>#N/A</v>
      </c>
      <c r="AD20" s="203">
        <f t="shared" ref="AD20:AD51" si="57">VALUE(LEFT(A20,LEN(A20)-3))</f>
        <v>108</v>
      </c>
      <c r="AE20" s="77" t="str">
        <f t="shared" si="1"/>
        <v>aws s3 cp s3://rtdc.mdm.uploadarchive.raw/RTDC4055/ "%USERPROFILE%\AppData\Local\Temp\OnboardLogs"\RTDC4055\2017-09-02 --exclude "*" --recursive --include "*20170902*" &amp; "%USERPROFILE%\Documents\GitHub\mrs-test-scripts\Headless Mode &amp; Sideloading\WalkAndUnGZ.bat" "%USERPROFILE%\AppData\Local\Temp\OnboardLogs"\RTDC4055\2017-09-02 &amp; aws s3 cp s3://rtdc.mdm.uploadarchive.raw/RTDC4055/ "%USERPROFILE%\AppData\Local\Temp\OnboardLogs"\RTDC4055\2017-09-03 --exclude "*" --recursive --include "*20170903*" &amp; "%USERPROFILE%\Documents\GitHub\mrs-test-scripts\Headless Mode &amp; Sideloading\WalkAndUnGZ.bat" "%USERPROFILE%\AppData\Local\Temp\OnboardLogs"\RTDC4055\2017-09-03</v>
      </c>
      <c r="AF20" s="74" t="str">
        <f t="shared" si="2"/>
        <v>"C:\Program Files (x86)\AstroGrep\AstroGrep.exe" /e /r /s /spath="%USERPROFILE%\AppData\Local\Temp\OnboardLogs" /stypes="app*4055*20170902*" /stext=" 12:.+((SYSTEM_STATE.+slice.+state.+changed )|(ment ac)|(multiple cpu faults)|(system.+state.+changed )|(\[timeout)|(PRM\|1\|D)|(kpr)|(kdp)|(train st.+moving)|(\|lc)|(penalty))"</v>
      </c>
      <c r="AG20" s="206" t="str">
        <f t="shared" ref="AG20:AG51" si="58">DetSubdiv(A20)</f>
        <v>EC</v>
      </c>
      <c r="AH20" s="78" t="str">
        <f t="shared" si="36"/>
        <v>"%USERPROFILE%\Documents\GitHub\eaglep3\Utilities\RefineRTDCRunTimes.py" --tripid 108-02 --locoid 4055 --swversion DE.1.0.9.0 --startMP 204:233053 --initTime 2017-09-02T05:10:35 --startdatetime 2017-09-02T05:27:19 --delay 129 --endMP 204:160 --enddatetime 2017-09-02T06:06:54 --enforcementcount 0 &gt;&gt;C:\Users\stu\Documents\GitHub\eaglep3-reporting\EC\2017-09-02-refined-times.txt</v>
      </c>
      <c r="AI20" s="96" t="str">
        <f t="shared" si="37"/>
        <v>echo {"issue":{"subject":"","project_id":79,"tracker_id":40,"status_id":1,"priority_id":2,"assigned_to_id":338,"start_date":"2017-09-02","description":"","custom_fields":[{"id":1,"name":"Subdivision","value":"EC"},{"id":4,"name":"Milepost","value":"0.016"},{"id":17,"name":"Train ID","value":"108-02"},{"id":16,"name":"Locomotive ID","value":"4055"},{"id":130,"name":"Impact","value":""},{"id":150,"name":"Time of Event (Mountain Time)","value":"06:06:54"},{"id":151,"name":"Denver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38"/>
        <v>start /low /b %USERPROFILE%\Documents\GitHub\eaglep3\Utilities\DownloadLogsFromS3.py --loco 4055 --day 2017-09-02</v>
      </c>
      <c r="AN20" s="151" t="str">
        <f t="shared" si="39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12:06:54"},{"id":29,"name":"Sharepoint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603</v>
      </c>
      <c r="B21" s="7">
        <v>4010</v>
      </c>
      <c r="C21" s="21" t="s">
        <v>197</v>
      </c>
      <c r="D21" s="21" t="s">
        <v>363</v>
      </c>
      <c r="E21" s="13">
        <v>42980.194803240738</v>
      </c>
      <c r="F21" s="13">
        <v>42980.19809027778</v>
      </c>
      <c r="G21" s="7">
        <v>69</v>
      </c>
      <c r="H21" s="21" t="s">
        <v>783</v>
      </c>
      <c r="I21" s="13">
        <v>42980.221909722219</v>
      </c>
      <c r="J21" s="7">
        <v>0</v>
      </c>
      <c r="K21" s="89" t="str">
        <f t="shared" si="49"/>
        <v>4009/4010</v>
      </c>
      <c r="L21" s="214" t="str">
        <f>VLOOKUP(A21,'Trips&amp;Operators'!$C$1:$G$99911,5,FALSE)</f>
        <v>LALONDE GREGORY</v>
      </c>
      <c r="M21" s="6">
        <f t="shared" si="50"/>
        <v>2.381944443914108E-2</v>
      </c>
      <c r="N21" s="7">
        <f t="shared" si="51"/>
        <v>34.299999992363155</v>
      </c>
      <c r="O21" s="7"/>
      <c r="P21" s="7"/>
      <c r="Q21" s="22"/>
      <c r="R21" s="167"/>
      <c r="S21" s="210">
        <f t="shared" si="52"/>
        <v>1</v>
      </c>
      <c r="T21" s="192" t="str">
        <f t="shared" si="53"/>
        <v>NorthBound</v>
      </c>
      <c r="U21" s="192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3" t="str">
        <f t="shared" si="0"/>
        <v>https://d0f6bd738d7f1b3e5a7ca70fe4ff75f0.us-east-1.aws.found.io/app/kibana#/discover/Steve-Slow-Train-Analysis-(2080s-and-2083s)?_g=(refreshInterval:(display:Off,pause:!f,section:0,value:0),time:(from:'2017-09-02T03:40:31-0600',mode:absolute,to:'2017-09-02T06:19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1" s="194" t="str">
        <f>IF(AA21&lt;VLOOKUP(AG21,Variables!$AC$3:$AD$8,2,FALSE),"Y","N")</f>
        <v>N</v>
      </c>
      <c r="X21" s="194">
        <f t="shared" si="26"/>
        <v>1</v>
      </c>
      <c r="Y21" s="194">
        <f t="shared" si="54"/>
        <v>4.58E-2</v>
      </c>
      <c r="Z21" s="194">
        <f t="shared" si="55"/>
        <v>23.332999999999998</v>
      </c>
      <c r="AA21" s="194">
        <f t="shared" si="56"/>
        <v>23.287199999999999</v>
      </c>
      <c r="AB21" s="54" t="e">
        <f>VLOOKUP(A21,Enforcements!$C$7:$K$11,8,0)</f>
        <v>#N/A</v>
      </c>
      <c r="AC21" s="51" t="e">
        <f>VLOOKUP(A21,Enforcements!$C$7:$E$11,3,0)</f>
        <v>#N/A</v>
      </c>
      <c r="AD21" s="203">
        <f t="shared" si="57"/>
        <v>109</v>
      </c>
      <c r="AE21" s="77" t="str">
        <f t="shared" si="1"/>
        <v>aws s3 cp s3://rtdc.mdm.uploadarchive.raw/RTDC4010/ "%USERPROFILE%\AppData\Local\Temp\OnboardLogs"\RTDC4010\2017-09-02 --exclude "*" --recursive --include "*20170902*" &amp; "%USERPROFILE%\Documents\GitHub\mrs-test-scripts\Headless Mode &amp; Sideloading\WalkAndUnGZ.bat" "%USERPROFILE%\AppData\Local\Temp\OnboardLogs"\RTDC4010\2017-09-02 &amp; aws s3 cp s3://rtdc.mdm.uploadarchive.raw/RTDC4010/ "%USERPROFILE%\AppData\Local\Temp\OnboardLogs"\RTDC4010\2017-09-03 --exclude "*" --recursive --include "*20170903*" &amp; "%USERPROFILE%\Documents\GitHub\mrs-test-scripts\Headless Mode &amp; Sideloading\WalkAndUnGZ.bat" "%USERPROFILE%\AppData\Local\Temp\OnboardLogs"\RTDC4010\2017-09-03</v>
      </c>
      <c r="AF21" s="74" t="str">
        <f t="shared" si="2"/>
        <v>"C:\Program Files (x86)\AstroGrep\AstroGrep.exe" /e /r /s /spath="%USERPROFILE%\AppData\Local\Temp\OnboardLogs" /stypes="app*4010*20170902*" /stext=" 11:.+((SYSTEM_STATE.+slice.+state.+changed )|(ment ac)|(multiple cpu faults)|(system.+state.+changed )|(\[timeout)|(PRM\|1\|D)|(kpr)|(kdp)|(train st.+moving)|(\|lc)|(penalty))"</v>
      </c>
      <c r="AG21" s="206" t="str">
        <f t="shared" si="58"/>
        <v>EC</v>
      </c>
      <c r="AH21" s="78" t="str">
        <f t="shared" si="36"/>
        <v>"%USERPROFILE%\Documents\GitHub\eaglep3\Utilities\RefineRTDCRunTimes.py" --tripid 109-02 --locoid 4010 --swversion DE.1.0.9.0 --startMP 204:458 --initTime 2017-09-02T04:40:31 --startdatetime 2017-09-02T04:45:15 --delay 69 --endMP 204:233330 --enddatetime 2017-09-02T05:19:33 --enforcementcount 0 &gt;&gt;C:\Users\stu\Documents\GitHub\eaglep3-reporting\EC\2017-09-02-refined-times.txt</v>
      </c>
      <c r="AI21" s="96" t="str">
        <f t="shared" si="37"/>
        <v>echo {"issue":{"subject":"","project_id":79,"tracker_id":40,"status_id":1,"priority_id":2,"assigned_to_id":338,"start_date":"2017-09-02","description":"","custom_fields":[{"id":1,"name":"Subdivision","value":"EC"},{"id":4,"name":"Milepost","value":"23.333"},{"id":17,"name":"Train ID","value":"109-02"},{"id":16,"name":"Locomotive ID","value":"4010"},{"id":130,"name":"Impact","value":""},{"id":150,"name":"Time of Event (Mountain Time)","value":"05:19:33"},{"id":151,"name":"Denver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38"/>
        <v>start /low /b %USERPROFILE%\Documents\GitHub\eaglep3\Utilities\DownloadLogsFromS3.py --loco 4010 --day 2017-09-02</v>
      </c>
      <c r="AN21" s="151" t="str">
        <f t="shared" si="39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11:19:33"},{"id":29,"name":"Sharepoint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612</v>
      </c>
      <c r="B22" s="7">
        <v>4009</v>
      </c>
      <c r="C22" s="21" t="s">
        <v>197</v>
      </c>
      <c r="D22" s="21" t="s">
        <v>784</v>
      </c>
      <c r="E22" s="13">
        <v>42980.223252314812</v>
      </c>
      <c r="F22" s="13">
        <v>42980.237650462965</v>
      </c>
      <c r="G22" s="7">
        <v>70</v>
      </c>
      <c r="H22" s="21" t="s">
        <v>364</v>
      </c>
      <c r="I22" s="13">
        <v>42980.262650462966</v>
      </c>
      <c r="J22" s="7">
        <v>0</v>
      </c>
      <c r="K22" s="89" t="str">
        <f t="shared" si="49"/>
        <v>4009/4010</v>
      </c>
      <c r="L22" s="214" t="str">
        <f>VLOOKUP(A22,'Trips&amp;Operators'!$C$1:$G$99911,5,FALSE)</f>
        <v>LALONDE GREGORY</v>
      </c>
      <c r="M22" s="6">
        <f t="shared" si="50"/>
        <v>2.5000000001455192E-2</v>
      </c>
      <c r="N22" s="7">
        <f t="shared" si="51"/>
        <v>36.000000002095476</v>
      </c>
      <c r="O22" s="7"/>
      <c r="P22" s="7"/>
      <c r="Q22" s="22"/>
      <c r="R22" s="167"/>
      <c r="S22" s="210">
        <f t="shared" si="52"/>
        <v>1</v>
      </c>
      <c r="T22" s="192" t="str">
        <f t="shared" si="53"/>
        <v>Southbound</v>
      </c>
      <c r="U22" s="192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3" t="str">
        <f t="shared" si="0"/>
        <v>https://d0f6bd738d7f1b3e5a7ca70fe4ff75f0.us-east-1.aws.found.io/app/kibana#/discover/Steve-Slow-Train-Analysis-(2080s-and-2083s)?_g=(refreshInterval:(display:Off,pause:!f,section:0,value:0),time:(from:'2017-09-02T04:21:29-0600',mode:absolute,to:'2017-09-02T07:18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2" s="194" t="str">
        <f>IF(AA22&lt;VLOOKUP(AG22,Variables!$AC$3:$AD$8,2,FALSE),"Y","N")</f>
        <v>N</v>
      </c>
      <c r="X22" s="194">
        <f t="shared" ref="X22:X46" si="59">VALUE(LEFT(AD22,4))-VALUE(LEFT(AD21,4))</f>
        <v>1</v>
      </c>
      <c r="Y22" s="194">
        <f t="shared" si="54"/>
        <v>23.3019</v>
      </c>
      <c r="Z22" s="194">
        <f t="shared" si="55"/>
        <v>1.52E-2</v>
      </c>
      <c r="AA22" s="194">
        <f t="shared" si="56"/>
        <v>23.2867</v>
      </c>
      <c r="AB22" s="54" t="e">
        <f>VLOOKUP(A22,Enforcements!$C$7:$K$11,8,0)</f>
        <v>#N/A</v>
      </c>
      <c r="AC22" s="51" t="e">
        <f>VLOOKUP(A22,Enforcements!$C$7:$E$11,3,0)</f>
        <v>#N/A</v>
      </c>
      <c r="AD22" s="203">
        <f t="shared" si="57"/>
        <v>110</v>
      </c>
      <c r="AE22" s="77" t="str">
        <f t="shared" si="1"/>
        <v>aws s3 cp s3://rtdc.mdm.uploadarchive.raw/RTDC4009/ "%USERPROFILE%\AppData\Local\Temp\OnboardLogs"\RTDC4009\2017-09-02 --exclude "*" --recursive --include "*20170902*" &amp; "%USERPROFILE%\Documents\GitHub\mrs-test-scripts\Headless Mode &amp; Sideloading\WalkAndUnGZ.bat" "%USERPROFILE%\AppData\Local\Temp\OnboardLogs"\RTDC4009\2017-09-02 &amp; aws s3 cp s3://rtdc.mdm.uploadarchive.raw/RTDC4009/ "%USERPROFILE%\AppData\Local\Temp\OnboardLogs"\RTDC4009\2017-09-03 --exclude "*" --recursive --include "*20170903*" &amp; "%USERPROFILE%\Documents\GitHub\mrs-test-scripts\Headless Mode &amp; Sideloading\WalkAndUnGZ.bat" "%USERPROFILE%\AppData\Local\Temp\OnboardLogs"\RTDC4009\2017-09-03</v>
      </c>
      <c r="AF22" s="74" t="str">
        <f t="shared" si="2"/>
        <v>"C:\Program Files (x86)\AstroGrep\AstroGrep.exe" /e /r /s /spath="%USERPROFILE%\AppData\Local\Temp\OnboardLogs" /stypes="app*4009*20170902*" /stext=" 12:.+((SYSTEM_STATE.+slice.+state.+changed )|(ment ac)|(multiple cpu faults)|(system.+state.+changed )|(\[timeout)|(PRM\|1\|D)|(kpr)|(kdp)|(train st.+moving)|(\|lc)|(penalty))"</v>
      </c>
      <c r="AG22" s="206" t="str">
        <f t="shared" si="58"/>
        <v>EC</v>
      </c>
      <c r="AH22" s="78" t="str">
        <f t="shared" si="36"/>
        <v>"%USERPROFILE%\Documents\GitHub\eaglep3\Utilities\RefineRTDCRunTimes.py" --tripid 110-02 --locoid 4009 --swversion DE.1.0.9.0 --startMP 204:233019 --initTime 2017-09-02T05:21:29 --startdatetime 2017-09-02T05:42:13 --delay 70 --endMP 204:152 --enddatetime 2017-09-02T06:18:13 --enforcementcount 0 &gt;&gt;C:\Users\stu\Documents\GitHub\eaglep3-reporting\EC\2017-09-02-refined-times.txt</v>
      </c>
      <c r="AI22" s="96" t="str">
        <f t="shared" si="37"/>
        <v>echo {"issue":{"subject":"","project_id":79,"tracker_id":40,"status_id":1,"priority_id":2,"assigned_to_id":338,"start_date":"2017-09-02","description":"","custom_fields":[{"id":1,"name":"Subdivision","value":"EC"},{"id":4,"name":"Milepost","value":"0.0152"},{"id":17,"name":"Train ID","value":"110-02"},{"id":16,"name":"Locomotive ID","value":"4009"},{"id":130,"name":"Impact","value":""},{"id":150,"name":"Time of Event (Mountain Time)","value":"06:18:13"},{"id":151,"name":"Denver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38"/>
        <v>start /low /b %USERPROFILE%\Documents\GitHub\eaglep3\Utilities\DownloadLogsFromS3.py --loco 4009 --day 2017-09-02</v>
      </c>
      <c r="AN22" s="151" t="str">
        <f t="shared" si="39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12:18:13"},{"id":29,"name":"Sharepoint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605</v>
      </c>
      <c r="B23" s="7">
        <v>4066</v>
      </c>
      <c r="C23" s="21" t="s">
        <v>197</v>
      </c>
      <c r="D23" s="21" t="s">
        <v>365</v>
      </c>
      <c r="E23" s="13">
        <v>42980.20590277778</v>
      </c>
      <c r="F23" s="13">
        <v>42980.208807870367</v>
      </c>
      <c r="G23" s="7">
        <v>77</v>
      </c>
      <c r="H23" s="21" t="s">
        <v>785</v>
      </c>
      <c r="I23" s="13">
        <v>42980.23746527778</v>
      </c>
      <c r="J23" s="7">
        <v>0</v>
      </c>
      <c r="K23" s="89" t="str">
        <f t="shared" si="49"/>
        <v>4065/4066</v>
      </c>
      <c r="L23" s="214" t="str">
        <f>VLOOKUP(A23,'Trips&amp;Operators'!$C$1:$G$99911,5,FALSE)</f>
        <v>THOMPSON LESTER</v>
      </c>
      <c r="M23" s="6">
        <f t="shared" si="50"/>
        <v>2.8657407412538305E-2</v>
      </c>
      <c r="N23" s="7">
        <f t="shared" si="51"/>
        <v>41.266666674055159</v>
      </c>
      <c r="O23" s="7"/>
      <c r="P23" s="7"/>
      <c r="Q23" s="22"/>
      <c r="R23" s="167"/>
      <c r="S23" s="210">
        <f t="shared" si="52"/>
        <v>1</v>
      </c>
      <c r="T23" s="192" t="str">
        <f t="shared" si="53"/>
        <v>NorthBound</v>
      </c>
      <c r="U23" s="192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3" t="str">
        <f t="shared" si="0"/>
        <v>https://d0f6bd738d7f1b3e5a7ca70fe4ff75f0.us-east-1.aws.found.io/app/kibana#/discover/Steve-Slow-Train-Analysis-(2080s-and-2083s)?_g=(refreshInterval:(display:Off,pause:!f,section:0,value:0),time:(from:'2017-09-02T03:56:30-0600',mode:absolute,to:'2017-09-02T06:41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3" s="194" t="str">
        <f>IF(AA23&lt;VLOOKUP(AG23,Variables!$AC$3:$AD$8,2,FALSE),"Y","N")</f>
        <v>N</v>
      </c>
      <c r="X23" s="194">
        <f t="shared" si="59"/>
        <v>1</v>
      </c>
      <c r="Y23" s="194">
        <f t="shared" si="54"/>
        <v>4.4900000000000002E-2</v>
      </c>
      <c r="Z23" s="194">
        <f t="shared" si="55"/>
        <v>23.3308</v>
      </c>
      <c r="AA23" s="194">
        <f t="shared" si="56"/>
        <v>23.285900000000002</v>
      </c>
      <c r="AB23" s="54" t="e">
        <f>VLOOKUP(A23,Enforcements!$C$7:$K$11,8,0)</f>
        <v>#N/A</v>
      </c>
      <c r="AC23" s="51" t="e">
        <f>VLOOKUP(A23,Enforcements!$C$7:$E$11,3,0)</f>
        <v>#N/A</v>
      </c>
      <c r="AD23" s="203">
        <f t="shared" si="57"/>
        <v>111</v>
      </c>
      <c r="AE23" s="77" t="str">
        <f t="shared" si="1"/>
        <v>aws s3 cp s3://rtdc.mdm.uploadarchive.raw/RTDC4066/ "%USERPROFILE%\AppData\Local\Temp\OnboardLogs"\RTDC4066\2017-09-02 --exclude "*" --recursive --include "*20170902*" &amp; "%USERPROFILE%\Documents\GitHub\mrs-test-scripts\Headless Mode &amp; Sideloading\WalkAndUnGZ.bat" "%USERPROFILE%\AppData\Local\Temp\OnboardLogs"\RTDC4066\2017-09-02 &amp; aws s3 cp s3://rtdc.mdm.uploadarchive.raw/RTDC4066/ "%USERPROFILE%\AppData\Local\Temp\OnboardLogs"\RTDC4066\2017-09-03 --exclude "*" --recursive --include "*20170903*" &amp; "%USERPROFILE%\Documents\GitHub\mrs-test-scripts\Headless Mode &amp; Sideloading\WalkAndUnGZ.bat" "%USERPROFILE%\AppData\Local\Temp\OnboardLogs"\RTDC4066\2017-09-03</v>
      </c>
      <c r="AF23" s="74" t="str">
        <f t="shared" si="2"/>
        <v>"C:\Program Files (x86)\AstroGrep\AstroGrep.exe" /e /r /s /spath="%USERPROFILE%\AppData\Local\Temp\OnboardLogs" /stypes="app*4066*20170902*" /stext=" 11:.+((SYSTEM_STATE.+slice.+state.+changed )|(ment ac)|(multiple cpu faults)|(system.+state.+changed )|(\[timeout)|(PRM\|1\|D)|(kpr)|(kdp)|(train st.+moving)|(\|lc)|(penalty))"</v>
      </c>
      <c r="AG23" s="206" t="str">
        <f t="shared" si="58"/>
        <v>EC</v>
      </c>
      <c r="AH23" s="78" t="str">
        <f t="shared" si="36"/>
        <v>"%USERPROFILE%\Documents\GitHub\eaglep3\Utilities\RefineRTDCRunTimes.py" --tripid 111-02 --locoid 4066 --swversion DE.1.0.9.0 --startMP 204:449 --initTime 2017-09-02T04:56:30 --startdatetime 2017-09-02T05:00:41 --delay 77 --endMP 204:233308 --enddatetime 2017-09-02T05:41:57 --enforcementcount 0 &gt;&gt;C:\Users\stu\Documents\GitHub\eaglep3-reporting\EC\2017-09-02-refined-times.txt</v>
      </c>
      <c r="AI23" s="96" t="str">
        <f t="shared" si="37"/>
        <v>echo {"issue":{"subject":"","project_id":79,"tracker_id":40,"status_id":1,"priority_id":2,"assigned_to_id":338,"start_date":"2017-09-02","description":"","custom_fields":[{"id":1,"name":"Subdivision","value":"EC"},{"id":4,"name":"Milepost","value":"23.3308"},{"id":17,"name":"Train ID","value":"111-02"},{"id":16,"name":"Locomotive ID","value":"4066"},{"id":130,"name":"Impact","value":""},{"id":150,"name":"Time of Event (Mountain Time)","value":"05:41:57"},{"id":151,"name":"Denver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38"/>
        <v>start /low /b %USERPROFILE%\Documents\GitHub\eaglep3\Utilities\DownloadLogsFromS3.py --loco 4066 --day 2017-09-02</v>
      </c>
      <c r="AN23" s="151" t="str">
        <f t="shared" si="39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11:41:57"},{"id":29,"name":"Sharepoint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617</v>
      </c>
      <c r="B24" s="7">
        <v>4065</v>
      </c>
      <c r="C24" s="21" t="s">
        <v>197</v>
      </c>
      <c r="D24" s="21" t="s">
        <v>422</v>
      </c>
      <c r="E24" s="13">
        <v>42980.246041666665</v>
      </c>
      <c r="F24" s="13">
        <v>42980.248298611114</v>
      </c>
      <c r="G24" s="7">
        <v>88</v>
      </c>
      <c r="H24" s="21" t="s">
        <v>371</v>
      </c>
      <c r="I24" s="13">
        <v>42980.276608796295</v>
      </c>
      <c r="J24" s="7">
        <v>0</v>
      </c>
      <c r="K24" s="89" t="str">
        <f t="shared" si="49"/>
        <v>4065/4066</v>
      </c>
      <c r="L24" s="214" t="str">
        <f>VLOOKUP(A24,'Trips&amp;Operators'!$C$1:$G$99911,5,FALSE)</f>
        <v>THOMPSON LESTER</v>
      </c>
      <c r="M24" s="6">
        <f t="shared" si="50"/>
        <v>2.8310185181908309E-2</v>
      </c>
      <c r="N24" s="7">
        <f t="shared" si="51"/>
        <v>40.766666661947966</v>
      </c>
      <c r="O24" s="7"/>
      <c r="P24" s="7"/>
      <c r="Q24" s="22"/>
      <c r="R24" s="167"/>
      <c r="S24" s="210">
        <f t="shared" si="52"/>
        <v>1</v>
      </c>
      <c r="T24" s="192" t="str">
        <f t="shared" si="53"/>
        <v>Southbound</v>
      </c>
      <c r="U24" s="192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3" t="str">
        <f t="shared" si="0"/>
        <v>https://d0f6bd738d7f1b3e5a7ca70fe4ff75f0.us-east-1.aws.found.io/app/kibana#/discover/Steve-Slow-Train-Analysis-(2080s-and-2083s)?_g=(refreshInterval:(display:Off,pause:!f,section:0,value:0),time:(from:'2017-09-02T04:54:18-0600',mode:absolute,to:'2017-09-02T07:38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4" s="194" t="str">
        <f>IF(AA24&lt;VLOOKUP(AG24,Variables!$AC$3:$AD$8,2,FALSE),"Y","N")</f>
        <v>N</v>
      </c>
      <c r="X24" s="194">
        <f t="shared" si="59"/>
        <v>1</v>
      </c>
      <c r="Y24" s="194">
        <f t="shared" si="54"/>
        <v>23.298300000000001</v>
      </c>
      <c r="Z24" s="194">
        <f t="shared" si="55"/>
        <v>1.4500000000000001E-2</v>
      </c>
      <c r="AA24" s="194">
        <f t="shared" si="56"/>
        <v>23.283799999999999</v>
      </c>
      <c r="AB24" s="54" t="e">
        <f>VLOOKUP(A24,Enforcements!$C$7:$K$11,8,0)</f>
        <v>#N/A</v>
      </c>
      <c r="AC24" s="51" t="e">
        <f>VLOOKUP(A24,Enforcements!$C$7:$E$11,3,0)</f>
        <v>#N/A</v>
      </c>
      <c r="AD24" s="203">
        <f t="shared" si="57"/>
        <v>112</v>
      </c>
      <c r="AE24" s="77" t="str">
        <f t="shared" si="1"/>
        <v>aws s3 cp s3://rtdc.mdm.uploadarchive.raw/RTDC4065/ "%USERPROFILE%\AppData\Local\Temp\OnboardLogs"\RTDC4065\2017-09-02 --exclude "*" --recursive --include "*20170902*" &amp; "%USERPROFILE%\Documents\GitHub\mrs-test-scripts\Headless Mode &amp; Sideloading\WalkAndUnGZ.bat" "%USERPROFILE%\AppData\Local\Temp\OnboardLogs"\RTDC4065\2017-09-02 &amp; aws s3 cp s3://rtdc.mdm.uploadarchive.raw/RTDC4065/ "%USERPROFILE%\AppData\Local\Temp\OnboardLogs"\RTDC4065\2017-09-03 --exclude "*" --recursive --include "*20170903*" &amp; "%USERPROFILE%\Documents\GitHub\mrs-test-scripts\Headless Mode &amp; Sideloading\WalkAndUnGZ.bat" "%USERPROFILE%\AppData\Local\Temp\OnboardLogs"\RTDC4065\2017-09-03</v>
      </c>
      <c r="AF24" s="74" t="str">
        <f t="shared" si="2"/>
        <v>"C:\Program Files (x86)\AstroGrep\AstroGrep.exe" /e /r /s /spath="%USERPROFILE%\AppData\Local\Temp\OnboardLogs" /stypes="app*4065*20170902*" /stext=" 12:.+((SYSTEM_STATE.+slice.+state.+changed )|(ment ac)|(multiple cpu faults)|(system.+state.+changed )|(\[timeout)|(PRM\|1\|D)|(kpr)|(kdp)|(train st.+moving)|(\|lc)|(penalty))"</v>
      </c>
      <c r="AG24" s="206" t="str">
        <f t="shared" si="58"/>
        <v>EC</v>
      </c>
      <c r="AH24" s="78" t="str">
        <f t="shared" si="36"/>
        <v>"%USERPROFILE%\Documents\GitHub\eaglep3\Utilities\RefineRTDCRunTimes.py" --tripid 112-02 --locoid 4065 --swversion DE.1.0.9.0 --startMP 204:232983 --initTime 2017-09-02T05:54:18 --startdatetime 2017-09-02T05:57:33 --delay 88 --endMP 204:145 --enddatetime 2017-09-02T06:38:19 --enforcementcount 0 &gt;&gt;C:\Users\stu\Documents\GitHub\eaglep3-reporting\EC\2017-09-02-refined-times.txt</v>
      </c>
      <c r="AI24" s="96" t="str">
        <f t="shared" si="37"/>
        <v>echo {"issue":{"subject":"","project_id":79,"tracker_id":40,"status_id":1,"priority_id":2,"assigned_to_id":338,"start_date":"2017-09-02","description":"","custom_fields":[{"id":1,"name":"Subdivision","value":"EC"},{"id":4,"name":"Milepost","value":"0.0145"},{"id":17,"name":"Train ID","value":"112-02"},{"id":16,"name":"Locomotive ID","value":"4065"},{"id":130,"name":"Impact","value":""},{"id":150,"name":"Time of Event (Mountain Time)","value":"06:38:19"},{"id":151,"name":"Denver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38"/>
        <v>start /low /b %USERPROFILE%\Documents\GitHub\eaglep3\Utilities\DownloadLogsFromS3.py --loco 4065 --day 2017-09-02</v>
      </c>
      <c r="AN24" s="151" t="str">
        <f t="shared" si="39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12:38:19"},{"id":29,"name":"Sharepoint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606</v>
      </c>
      <c r="B25" s="7">
        <v>4042</v>
      </c>
      <c r="C25" s="21" t="s">
        <v>197</v>
      </c>
      <c r="D25" s="21" t="s">
        <v>786</v>
      </c>
      <c r="E25" s="13">
        <v>42980.212071759262</v>
      </c>
      <c r="F25" s="13">
        <v>42980.218865740739</v>
      </c>
      <c r="G25" s="7">
        <v>84</v>
      </c>
      <c r="H25" s="21" t="s">
        <v>433</v>
      </c>
      <c r="I25" s="13">
        <v>42980.243587962963</v>
      </c>
      <c r="J25" s="7">
        <v>0</v>
      </c>
      <c r="K25" s="89" t="str">
        <f t="shared" si="49"/>
        <v>4041/4042</v>
      </c>
      <c r="L25" s="214" t="str">
        <f>VLOOKUP(A25,'Trips&amp;Operators'!$C$1:$G$99911,5,FALSE)</f>
        <v>MACDONALD THOMAS</v>
      </c>
      <c r="M25" s="6">
        <f t="shared" si="50"/>
        <v>2.4722222224227153E-2</v>
      </c>
      <c r="N25" s="7">
        <f t="shared" si="51"/>
        <v>35.6000000028871</v>
      </c>
      <c r="O25" s="7"/>
      <c r="P25" s="7"/>
      <c r="Q25" s="22"/>
      <c r="R25" s="167"/>
      <c r="S25" s="210">
        <f t="shared" si="52"/>
        <v>1</v>
      </c>
      <c r="T25" s="192" t="str">
        <f t="shared" si="53"/>
        <v>NorthBound</v>
      </c>
      <c r="U25" s="192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3" t="str">
        <f t="shared" si="0"/>
        <v>https://d0f6bd738d7f1b3e5a7ca70fe4ff75f0.us-east-1.aws.found.io/app/kibana#/discover/Steve-Slow-Train-Analysis-(2080s-and-2083s)?_g=(refreshInterval:(display:Off,pause:!f,section:0,value:0),time:(from:'2017-09-02T04:05:23-0600',mode:absolute,to:'2017-09-02T06:50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5" s="194" t="str">
        <f>IF(AA25&lt;VLOOKUP(AG25,Variables!$AC$3:$AD$8,2,FALSE),"Y","N")</f>
        <v>N</v>
      </c>
      <c r="X25" s="194">
        <f t="shared" si="59"/>
        <v>1</v>
      </c>
      <c r="Y25" s="194">
        <f t="shared" si="54"/>
        <v>4.8399999999999999E-2</v>
      </c>
      <c r="Z25" s="194">
        <f t="shared" si="55"/>
        <v>23.3291</v>
      </c>
      <c r="AA25" s="194">
        <f t="shared" si="56"/>
        <v>23.2807</v>
      </c>
      <c r="AB25" s="54" t="e">
        <f>VLOOKUP(A25,Enforcements!$C$7:$K$11,8,0)</f>
        <v>#N/A</v>
      </c>
      <c r="AC25" s="51" t="e">
        <f>VLOOKUP(A25,Enforcements!$C$7:$E$11,3,0)</f>
        <v>#N/A</v>
      </c>
      <c r="AD25" s="203">
        <f t="shared" si="57"/>
        <v>113</v>
      </c>
      <c r="AE25" s="77" t="str">
        <f t="shared" si="1"/>
        <v>aws s3 cp s3://rtdc.mdm.uploadarchive.raw/RTDC4042/ "%USERPROFILE%\AppData\Local\Temp\OnboardLogs"\RTDC4042\2017-09-02 --exclude "*" --recursive --include "*20170902*" &amp; "%USERPROFILE%\Documents\GitHub\mrs-test-scripts\Headless Mode &amp; Sideloading\WalkAndUnGZ.bat" "%USERPROFILE%\AppData\Local\Temp\OnboardLogs"\RTDC4042\2017-09-02 &amp; aws s3 cp s3://rtdc.mdm.uploadarchive.raw/RTDC4042/ "%USERPROFILE%\AppData\Local\Temp\OnboardLogs"\RTDC4042\2017-09-03 --exclude "*" --recursive --include "*20170903*" &amp; "%USERPROFILE%\Documents\GitHub\mrs-test-scripts\Headless Mode &amp; Sideloading\WalkAndUnGZ.bat" "%USERPROFILE%\AppData\Local\Temp\OnboardLogs"\RTDC4042\2017-09-03</v>
      </c>
      <c r="AF25" s="74" t="str">
        <f t="shared" si="2"/>
        <v>"C:\Program Files (x86)\AstroGrep\AstroGrep.exe" /e /r /s /spath="%USERPROFILE%\AppData\Local\Temp\OnboardLogs" /stypes="app*4042*20170902*" /stext=" 11:.+((SYSTEM_STATE.+slice.+state.+changed )|(ment ac)|(multiple cpu faults)|(system.+state.+changed )|(\[timeout)|(PRM\|1\|D)|(kpr)|(kdp)|(train st.+moving)|(\|lc)|(penalty))"</v>
      </c>
      <c r="AG25" s="206" t="str">
        <f t="shared" si="58"/>
        <v>EC</v>
      </c>
      <c r="AH25" s="78" t="str">
        <f t="shared" si="36"/>
        <v>"%USERPROFILE%\Documents\GitHub\eaglep3\Utilities\RefineRTDCRunTimes.py" --tripid 113-02 --locoid 4042 --swversion DE.1.0.9.0 --startMP 204:484 --initTime 2017-09-02T05:05:23 --startdatetime 2017-09-02T05:15:10 --delay 84 --endMP 204:233291 --enddatetime 2017-09-02T05:50:46 --enforcementcount 0 &gt;&gt;C:\Users\stu\Documents\GitHub\eaglep3-reporting\EC\2017-09-02-refined-times.txt</v>
      </c>
      <c r="AI25" s="96" t="str">
        <f t="shared" si="37"/>
        <v>echo {"issue":{"subject":"","project_id":79,"tracker_id":40,"status_id":1,"priority_id":2,"assigned_to_id":338,"start_date":"2017-09-02","description":"","custom_fields":[{"id":1,"name":"Subdivision","value":"EC"},{"id":4,"name":"Milepost","value":"23.3291"},{"id":17,"name":"Train ID","value":"113-02"},{"id":16,"name":"Locomotive ID","value":"4042"},{"id":130,"name":"Impact","value":""},{"id":150,"name":"Time of Event (Mountain Time)","value":"05:50:46"},{"id":151,"name":"Denver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38"/>
        <v>start /low /b %USERPROFILE%\Documents\GitHub\eaglep3\Utilities\DownloadLogsFromS3.py --loco 4042 --day 2017-09-02</v>
      </c>
      <c r="AN25" s="151" t="str">
        <f t="shared" si="39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11:50:46"},{"id":29,"name":"Sharepoint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620</v>
      </c>
      <c r="B26" s="7">
        <v>4041</v>
      </c>
      <c r="C26" s="21" t="s">
        <v>197</v>
      </c>
      <c r="D26" s="21" t="s">
        <v>388</v>
      </c>
      <c r="E26" s="13">
        <v>42980.255185185182</v>
      </c>
      <c r="F26" s="13">
        <v>42980.258611111109</v>
      </c>
      <c r="G26" s="7">
        <v>50</v>
      </c>
      <c r="H26" s="21" t="s">
        <v>340</v>
      </c>
      <c r="I26" s="13">
        <v>42980.285451388889</v>
      </c>
      <c r="J26" s="7">
        <v>0</v>
      </c>
      <c r="K26" s="89" t="str">
        <f t="shared" si="49"/>
        <v>4041/4042</v>
      </c>
      <c r="L26" s="214" t="str">
        <f>VLOOKUP(A26,'Trips&amp;Operators'!$C$1:$G$99911,5,FALSE)</f>
        <v>MACDONALD THOMAS</v>
      </c>
      <c r="M26" s="6">
        <f t="shared" si="50"/>
        <v>2.6840277780138422E-2</v>
      </c>
      <c r="N26" s="7">
        <f t="shared" si="51"/>
        <v>38.650000003399327</v>
      </c>
      <c r="O26" s="7"/>
      <c r="P26" s="7"/>
      <c r="Q26" s="22"/>
      <c r="R26" s="167"/>
      <c r="S26" s="210">
        <f t="shared" si="52"/>
        <v>1</v>
      </c>
      <c r="T26" s="192" t="str">
        <f t="shared" si="53"/>
        <v>Southbound</v>
      </c>
      <c r="U26" s="192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3" t="str">
        <f t="shared" si="0"/>
        <v>https://d0f6bd738d7f1b3e5a7ca70fe4ff75f0.us-east-1.aws.found.io/app/kibana#/discover/Steve-Slow-Train-Analysis-(2080s-and-2083s)?_g=(refreshInterval:(display:Off,pause:!f,section:0,value:0),time:(from:'2017-09-02T05:07:28-0600',mode:absolute,to:'2017-09-02T07:51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6" s="194" t="str">
        <f>IF(AA26&lt;VLOOKUP(AG26,Variables!$AC$3:$AD$8,2,FALSE),"Y","N")</f>
        <v>N</v>
      </c>
      <c r="X26" s="194">
        <f t="shared" si="59"/>
        <v>1</v>
      </c>
      <c r="Y26" s="194">
        <f t="shared" si="54"/>
        <v>23.297999999999998</v>
      </c>
      <c r="Z26" s="194">
        <f t="shared" si="55"/>
        <v>1.43E-2</v>
      </c>
      <c r="AA26" s="194">
        <f t="shared" si="56"/>
        <v>23.2837</v>
      </c>
      <c r="AB26" s="54" t="e">
        <f>VLOOKUP(A26,Enforcements!$C$7:$K$11,8,0)</f>
        <v>#N/A</v>
      </c>
      <c r="AC26" s="51" t="e">
        <f>VLOOKUP(A26,Enforcements!$C$7:$E$11,3,0)</f>
        <v>#N/A</v>
      </c>
      <c r="AD26" s="203">
        <f t="shared" si="57"/>
        <v>114</v>
      </c>
      <c r="AE26" s="77" t="str">
        <f t="shared" si="1"/>
        <v>aws s3 cp s3://rtdc.mdm.uploadarchive.raw/RTDC4041/ "%USERPROFILE%\AppData\Local\Temp\OnboardLogs"\RTDC4041\2017-09-02 --exclude "*" --recursive --include "*20170902*" &amp; "%USERPROFILE%\Documents\GitHub\mrs-test-scripts\Headless Mode &amp; Sideloading\WalkAndUnGZ.bat" "%USERPROFILE%\AppData\Local\Temp\OnboardLogs"\RTDC4041\2017-09-02 &amp; aws s3 cp s3://rtdc.mdm.uploadarchive.raw/RTDC4041/ "%USERPROFILE%\AppData\Local\Temp\OnboardLogs"\RTDC4041\2017-09-03 --exclude "*" --recursive --include "*20170903*" &amp; "%USERPROFILE%\Documents\GitHub\mrs-test-scripts\Headless Mode &amp; Sideloading\WalkAndUnGZ.bat" "%USERPROFILE%\AppData\Local\Temp\OnboardLogs"\RTDC4041\2017-09-03</v>
      </c>
      <c r="AF26" s="74" t="str">
        <f t="shared" si="2"/>
        <v>"C:\Program Files (x86)\AstroGrep\AstroGrep.exe" /e /r /s /spath="%USERPROFILE%\AppData\Local\Temp\OnboardLogs" /stypes="app*4041*20170902*" /stext=" 12:.+((SYSTEM_STATE.+slice.+state.+changed )|(ment ac)|(multiple cpu faults)|(system.+state.+changed )|(\[timeout)|(PRM\|1\|D)|(kpr)|(kdp)|(train st.+moving)|(\|lc)|(penalty))"</v>
      </c>
      <c r="AG26" s="206" t="str">
        <f t="shared" si="58"/>
        <v>EC</v>
      </c>
      <c r="AH26" s="78" t="str">
        <f t="shared" si="36"/>
        <v>"%USERPROFILE%\Documents\GitHub\eaglep3\Utilities\RefineRTDCRunTimes.py" --tripid 114-02 --locoid 4041 --swversion DE.1.0.9.0 --startMP 204:232980 --initTime 2017-09-02T06:07:28 --startdatetime 2017-09-02T06:12:24 --delay 50 --endMP 204:143 --enddatetime 2017-09-02T06:51:03 --enforcementcount 0 &gt;&gt;C:\Users\stu\Documents\GitHub\eaglep3-reporting\EC\2017-09-02-refined-times.txt</v>
      </c>
      <c r="AI26" s="96" t="str">
        <f t="shared" si="37"/>
        <v>echo {"issue":{"subject":"","project_id":79,"tracker_id":40,"status_id":1,"priority_id":2,"assigned_to_id":338,"start_date":"2017-09-02","description":"","custom_fields":[{"id":1,"name":"Subdivision","value":"EC"},{"id":4,"name":"Milepost","value":"0.0143"},{"id":17,"name":"Train ID","value":"114-02"},{"id":16,"name":"Locomotive ID","value":"4041"},{"id":130,"name":"Impact","value":""},{"id":150,"name":"Time of Event (Mountain Time)","value":"06:51:03"},{"id":151,"name":"Denver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38"/>
        <v>start /low /b %USERPROFILE%\Documents\GitHub\eaglep3\Utilities\DownloadLogsFromS3.py --loco 4041 --day 2017-09-02</v>
      </c>
      <c r="AN26" s="151" t="str">
        <f t="shared" si="39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12:51:03"},{"id":29,"name":"Sharepoint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614</v>
      </c>
      <c r="B27" s="7">
        <v>4032</v>
      </c>
      <c r="C27" s="21" t="s">
        <v>197</v>
      </c>
      <c r="D27" s="21" t="s">
        <v>381</v>
      </c>
      <c r="E27" s="13">
        <v>42980.227349537039</v>
      </c>
      <c r="F27" s="13">
        <v>42980.229409722226</v>
      </c>
      <c r="G27" s="7">
        <v>55</v>
      </c>
      <c r="H27" s="21" t="s">
        <v>398</v>
      </c>
      <c r="I27" s="13">
        <v>42980.255127314813</v>
      </c>
      <c r="J27" s="7">
        <v>0</v>
      </c>
      <c r="K27" s="89" t="str">
        <f t="shared" si="49"/>
        <v>4031/4032</v>
      </c>
      <c r="L27" s="214" t="str">
        <f>VLOOKUP(A27,'Trips&amp;Operators'!$C$1:$G$99911,5,FALSE)</f>
        <v>MAELZER KURT</v>
      </c>
      <c r="M27" s="6">
        <f t="shared" si="50"/>
        <v>2.5717592587170657E-2</v>
      </c>
      <c r="N27" s="7">
        <f t="shared" si="51"/>
        <v>37.033333325525746</v>
      </c>
      <c r="O27" s="7"/>
      <c r="P27" s="7"/>
      <c r="Q27" s="22"/>
      <c r="R27" s="167"/>
      <c r="S27" s="210">
        <f t="shared" si="52"/>
        <v>1</v>
      </c>
      <c r="T27" s="192" t="str">
        <f t="shared" si="53"/>
        <v>NorthBound</v>
      </c>
      <c r="U27" s="192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3" t="str">
        <f t="shared" si="0"/>
        <v>https://d0f6bd738d7f1b3e5a7ca70fe4ff75f0.us-east-1.aws.found.io/app/kibana#/discover/Steve-Slow-Train-Analysis-(2080s-and-2083s)?_g=(refreshInterval:(display:Off,pause:!f,section:0,value:0),time:(from:'2017-09-02T04:27:23-0600',mode:absolute,to:'2017-09-02T07:07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7" s="194" t="str">
        <f>IF(AA27&lt;VLOOKUP(AG27,Variables!$AC$3:$AD$8,2,FALSE),"Y","N")</f>
        <v>N</v>
      </c>
      <c r="X27" s="194">
        <f t="shared" si="59"/>
        <v>1</v>
      </c>
      <c r="Y27" s="194">
        <f t="shared" si="54"/>
        <v>4.6699999999999998E-2</v>
      </c>
      <c r="Z27" s="194">
        <f t="shared" si="55"/>
        <v>23.3306</v>
      </c>
      <c r="AA27" s="194">
        <f t="shared" si="56"/>
        <v>23.283899999999999</v>
      </c>
      <c r="AB27" s="54" t="e">
        <f>VLOOKUP(A27,Enforcements!$C$7:$K$11,8,0)</f>
        <v>#N/A</v>
      </c>
      <c r="AC27" s="51" t="e">
        <f>VLOOKUP(A27,Enforcements!$C$7:$E$11,3,0)</f>
        <v>#N/A</v>
      </c>
      <c r="AD27" s="203">
        <f t="shared" si="57"/>
        <v>115</v>
      </c>
      <c r="AE27" s="77" t="str">
        <f t="shared" si="1"/>
        <v>aws s3 cp s3://rtdc.mdm.uploadarchive.raw/RTDC4032/ "%USERPROFILE%\AppData\Local\Temp\OnboardLogs"\RTDC4032\2017-09-02 --exclude "*" --recursive --include "*20170902*" &amp; "%USERPROFILE%\Documents\GitHub\mrs-test-scripts\Headless Mode &amp; Sideloading\WalkAndUnGZ.bat" "%USERPROFILE%\AppData\Local\Temp\OnboardLogs"\RTDC4032\2017-09-02 &amp; aws s3 cp s3://rtdc.mdm.uploadarchive.raw/RTDC4032/ "%USERPROFILE%\AppData\Local\Temp\OnboardLogs"\RTDC4032\2017-09-03 --exclude "*" --recursive --include "*20170903*" &amp; "%USERPROFILE%\Documents\GitHub\mrs-test-scripts\Headless Mode &amp; Sideloading\WalkAndUnGZ.bat" "%USERPROFILE%\AppData\Local\Temp\OnboardLogs"\RTDC4032\2017-09-03</v>
      </c>
      <c r="AF27" s="74" t="str">
        <f t="shared" si="2"/>
        <v>"C:\Program Files (x86)\AstroGrep\AstroGrep.exe" /e /r /s /spath="%USERPROFILE%\AppData\Local\Temp\OnboardLogs" /stypes="app*4032*20170902*" /stext=" 12:.+((SYSTEM_STATE.+slice.+state.+changed )|(ment ac)|(multiple cpu faults)|(system.+state.+changed )|(\[timeout)|(PRM\|1\|D)|(kpr)|(kdp)|(train st.+moving)|(\|lc)|(penalty))"</v>
      </c>
      <c r="AG27" s="206" t="str">
        <f t="shared" si="58"/>
        <v>EC</v>
      </c>
      <c r="AH27" s="78" t="str">
        <f t="shared" si="36"/>
        <v>"%USERPROFILE%\Documents\GitHub\eaglep3\Utilities\RefineRTDCRunTimes.py" --tripid 115-02 --locoid 4032 --swversion DE.1.0.9.0 --startMP 204:467 --initTime 2017-09-02T05:27:23 --startdatetime 2017-09-02T05:30:21 --delay 55 --endMP 204:233306 --enddatetime 2017-09-02T06:07:23 --enforcementcount 0 &gt;&gt;C:\Users\stu\Documents\GitHub\eaglep3-reporting\EC\2017-09-02-refined-times.txt</v>
      </c>
      <c r="AI27" s="96" t="str">
        <f t="shared" si="37"/>
        <v>echo {"issue":{"subject":"","project_id":79,"tracker_id":40,"status_id":1,"priority_id":2,"assigned_to_id":338,"start_date":"2017-09-02","description":"","custom_fields":[{"id":1,"name":"Subdivision","value":"EC"},{"id":4,"name":"Milepost","value":"23.3306"},{"id":17,"name":"Train ID","value":"115-02"},{"id":16,"name":"Locomotive ID","value":"4032"},{"id":130,"name":"Impact","value":""},{"id":150,"name":"Time of Event (Mountain Time)","value":"06:07:23"},{"id":151,"name":"Denver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38"/>
        <v>start /low /b %USERPROFILE%\Documents\GitHub\eaglep3\Utilities\DownloadLogsFromS3.py --loco 4032 --day 2017-09-02</v>
      </c>
      <c r="AN27" s="151" t="str">
        <f t="shared" si="39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12:07:23"},{"id":29,"name":"Sharepoint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621</v>
      </c>
      <c r="B28" s="7">
        <v>4031</v>
      </c>
      <c r="C28" s="21" t="s">
        <v>197</v>
      </c>
      <c r="D28" s="21" t="s">
        <v>487</v>
      </c>
      <c r="E28" s="13">
        <v>42980.26222222222</v>
      </c>
      <c r="F28" s="13">
        <v>42980.268923611111</v>
      </c>
      <c r="G28" s="7">
        <v>62</v>
      </c>
      <c r="H28" s="21" t="s">
        <v>371</v>
      </c>
      <c r="I28" s="13">
        <v>42980.296747685185</v>
      </c>
      <c r="J28" s="7">
        <v>0</v>
      </c>
      <c r="K28" s="89" t="str">
        <f t="shared" si="49"/>
        <v>4031/4032</v>
      </c>
      <c r="L28" s="214" t="str">
        <f>VLOOKUP(A28,'Trips&amp;Operators'!$C$1:$G$99911,5,FALSE)</f>
        <v>MAELZER KURT</v>
      </c>
      <c r="M28" s="6">
        <f t="shared" si="50"/>
        <v>2.7824074073578231E-2</v>
      </c>
      <c r="N28" s="7">
        <f t="shared" si="51"/>
        <v>40.066666665952653</v>
      </c>
      <c r="O28" s="7"/>
      <c r="P28" s="7"/>
      <c r="Q28" s="22"/>
      <c r="R28" s="167"/>
      <c r="S28" s="210">
        <f t="shared" si="52"/>
        <v>1</v>
      </c>
      <c r="T28" s="192" t="str">
        <f t="shared" si="53"/>
        <v>Southbound</v>
      </c>
      <c r="U28" s="192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3" t="str">
        <f t="shared" si="0"/>
        <v>https://d0f6bd738d7f1b3e5a7ca70fe4ff75f0.us-east-1.aws.found.io/app/kibana#/discover/Steve-Slow-Train-Analysis-(2080s-and-2083s)?_g=(refreshInterval:(display:Off,pause:!f,section:0,value:0),time:(from:'2017-09-02T05:17:36-0600',mode:absolute,to:'2017-09-02T08:07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8" s="194" t="str">
        <f>IF(AA28&lt;VLOOKUP(AG28,Variables!$AC$3:$AD$8,2,FALSE),"Y","N")</f>
        <v>N</v>
      </c>
      <c r="X28" s="194">
        <f t="shared" si="59"/>
        <v>1</v>
      </c>
      <c r="Y28" s="194">
        <f t="shared" si="54"/>
        <v>23.3004</v>
      </c>
      <c r="Z28" s="194">
        <f t="shared" si="55"/>
        <v>1.4500000000000001E-2</v>
      </c>
      <c r="AA28" s="194">
        <f t="shared" si="56"/>
        <v>23.285899999999998</v>
      </c>
      <c r="AB28" s="54" t="e">
        <f>VLOOKUP(A28,Enforcements!$C$7:$K$11,8,0)</f>
        <v>#N/A</v>
      </c>
      <c r="AC28" s="51" t="e">
        <f>VLOOKUP(A28,Enforcements!$C$7:$E$11,3,0)</f>
        <v>#N/A</v>
      </c>
      <c r="AD28" s="203">
        <f t="shared" si="57"/>
        <v>116</v>
      </c>
      <c r="AE28" s="77" t="str">
        <f t="shared" si="1"/>
        <v>aws s3 cp s3://rtdc.mdm.uploadarchive.raw/RTDC4031/ "%USERPROFILE%\AppData\Local\Temp\OnboardLogs"\RTDC4031\2017-09-02 --exclude "*" --recursive --include "*20170902*" &amp; "%USERPROFILE%\Documents\GitHub\mrs-test-scripts\Headless Mode &amp; Sideloading\WalkAndUnGZ.bat" "%USERPROFILE%\AppData\Local\Temp\OnboardLogs"\RTDC4031\2017-09-02 &amp; aws s3 cp s3://rtdc.mdm.uploadarchive.raw/RTDC4031/ "%USERPROFILE%\AppData\Local\Temp\OnboardLogs"\RTDC4031\2017-09-03 --exclude "*" --recursive --include "*20170903*" &amp; "%USERPROFILE%\Documents\GitHub\mrs-test-scripts\Headless Mode &amp; Sideloading\WalkAndUnGZ.bat" "%USERPROFILE%\AppData\Local\Temp\OnboardLogs"\RTDC4031\2017-09-03</v>
      </c>
      <c r="AF28" s="74" t="str">
        <f t="shared" si="2"/>
        <v>"C:\Program Files (x86)\AstroGrep\AstroGrep.exe" /e /r /s /spath="%USERPROFILE%\AppData\Local\Temp\OnboardLogs" /stypes="app*4031*20170902*" /stext=" 13:.+((SYSTEM_STATE.+slice.+state.+changed )|(ment ac)|(multiple cpu faults)|(system.+state.+changed )|(\[timeout)|(PRM\|1\|D)|(kpr)|(kdp)|(train st.+moving)|(\|lc)|(penalty))"</v>
      </c>
      <c r="AG28" s="206" t="str">
        <f t="shared" si="58"/>
        <v>EC</v>
      </c>
      <c r="AH28" s="78" t="str">
        <f t="shared" si="36"/>
        <v>"%USERPROFILE%\Documents\GitHub\eaglep3\Utilities\RefineRTDCRunTimes.py" --tripid 116-02 --locoid 4031 --swversion DE.1.0.9.0 --startMP 204:233004 --initTime 2017-09-02T06:17:36 --startdatetime 2017-09-02T06:27:15 --delay 62 --endMP 204:145 --enddatetime 2017-09-02T07:07:19 --enforcementcount 0 &gt;&gt;C:\Users\stu\Documents\GitHub\eaglep3-reporting\EC\2017-09-02-refined-times.txt</v>
      </c>
      <c r="AI28" s="96" t="str">
        <f t="shared" si="37"/>
        <v>echo {"issue":{"subject":"","project_id":79,"tracker_id":40,"status_id":1,"priority_id":2,"assigned_to_id":338,"start_date":"2017-09-02","description":"","custom_fields":[{"id":1,"name":"Subdivision","value":"EC"},{"id":4,"name":"Milepost","value":"0.0145"},{"id":17,"name":"Train ID","value":"116-02"},{"id":16,"name":"Locomotive ID","value":"4031"},{"id":130,"name":"Impact","value":""},{"id":150,"name":"Time of Event (Mountain Time)","value":"07:07:19"},{"id":151,"name":"Denver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38"/>
        <v>start /low /b %USERPROFILE%\Documents\GitHub\eaglep3\Utilities\DownloadLogsFromS3.py --loco 4031 --day 2017-09-02</v>
      </c>
      <c r="AN28" s="151" t="str">
        <f t="shared" si="39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13:07:19"},{"id":29,"name":"Sharepoint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616</v>
      </c>
      <c r="B29" s="7">
        <v>4052</v>
      </c>
      <c r="C29" s="21" t="s">
        <v>197</v>
      </c>
      <c r="D29" s="21" t="s">
        <v>787</v>
      </c>
      <c r="E29" s="13">
        <v>42980.236828703702</v>
      </c>
      <c r="F29" s="13">
        <v>42980.239745370367</v>
      </c>
      <c r="G29" s="7">
        <v>78</v>
      </c>
      <c r="H29" s="21" t="s">
        <v>533</v>
      </c>
      <c r="I29" s="13">
        <v>42980.264409722222</v>
      </c>
      <c r="J29" s="7">
        <v>0</v>
      </c>
      <c r="K29" s="89" t="str">
        <f t="shared" si="49"/>
        <v>4051/4052</v>
      </c>
      <c r="L29" s="214" t="str">
        <f>VLOOKUP(A29,'Trips&amp;Operators'!$C$1:$G$99911,5,FALSE)</f>
        <v>MOSES BRADLEY</v>
      </c>
      <c r="M29" s="6">
        <f t="shared" si="50"/>
        <v>2.4664351854880806E-2</v>
      </c>
      <c r="N29" s="7">
        <f t="shared" si="51"/>
        <v>35.516666671028361</v>
      </c>
      <c r="O29" s="7"/>
      <c r="P29" s="7"/>
      <c r="Q29" s="22"/>
      <c r="R29" s="167"/>
      <c r="S29" s="210">
        <f t="shared" si="52"/>
        <v>1</v>
      </c>
      <c r="T29" s="192" t="str">
        <f t="shared" si="53"/>
        <v>NorthBound</v>
      </c>
      <c r="U29" s="192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3" t="str">
        <f t="shared" si="0"/>
        <v>https://d0f6bd738d7f1b3e5a7ca70fe4ff75f0.us-east-1.aws.found.io/app/kibana#/discover/Steve-Slow-Train-Analysis-(2080s-and-2083s)?_g=(refreshInterval:(display:Off,pause:!f,section:0,value:0),time:(from:'2017-09-02T04:41:02-0600',mode:absolute,to:'2017-09-02T07:20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9" s="194" t="str">
        <f>IF(AA29&lt;VLOOKUP(AG29,Variables!$AC$3:$AD$8,2,FALSE),"Y","N")</f>
        <v>N</v>
      </c>
      <c r="X29" s="194">
        <f t="shared" si="59"/>
        <v>1</v>
      </c>
      <c r="Y29" s="194">
        <f t="shared" si="54"/>
        <v>4.9700000000000001E-2</v>
      </c>
      <c r="Z29" s="194">
        <f t="shared" si="55"/>
        <v>23.331199999999999</v>
      </c>
      <c r="AA29" s="194">
        <f t="shared" si="56"/>
        <v>23.281499999999998</v>
      </c>
      <c r="AB29" s="54" t="e">
        <f>VLOOKUP(A29,Enforcements!$C$7:$K$11,8,0)</f>
        <v>#N/A</v>
      </c>
      <c r="AC29" s="51" t="e">
        <f>VLOOKUP(A29,Enforcements!$C$7:$E$11,3,0)</f>
        <v>#N/A</v>
      </c>
      <c r="AD29" s="203">
        <f t="shared" si="57"/>
        <v>117</v>
      </c>
      <c r="AE29" s="77" t="str">
        <f t="shared" si="1"/>
        <v>aws s3 cp s3://rtdc.mdm.uploadarchive.raw/RTDC4052/ "%USERPROFILE%\AppData\Local\Temp\OnboardLogs"\RTDC4052\2017-09-02 --exclude "*" --recursive --include "*20170902*" &amp; "%USERPROFILE%\Documents\GitHub\mrs-test-scripts\Headless Mode &amp; Sideloading\WalkAndUnGZ.bat" "%USERPROFILE%\AppData\Local\Temp\OnboardLogs"\RTDC4052\2017-09-02 &amp; aws s3 cp s3://rtdc.mdm.uploadarchive.raw/RTDC4052/ "%USERPROFILE%\AppData\Local\Temp\OnboardLogs"\RTDC4052\2017-09-03 --exclude "*" --recursive --include "*20170903*" &amp; "%USERPROFILE%\Documents\GitHub\mrs-test-scripts\Headless Mode &amp; Sideloading\WalkAndUnGZ.bat" "%USERPROFILE%\AppData\Local\Temp\OnboardLogs"\RTDC4052\2017-09-03</v>
      </c>
      <c r="AF29" s="74" t="str">
        <f t="shared" si="2"/>
        <v>"C:\Program Files (x86)\AstroGrep\AstroGrep.exe" /e /r /s /spath="%USERPROFILE%\AppData\Local\Temp\OnboardLogs" /stypes="app*4052*20170902*" /stext=" 12:.+((SYSTEM_STATE.+slice.+state.+changed )|(ment ac)|(multiple cpu faults)|(system.+state.+changed )|(\[timeout)|(PRM\|1\|D)|(kpr)|(kdp)|(train st.+moving)|(\|lc)|(penalty))"</v>
      </c>
      <c r="AG29" s="206" t="str">
        <f t="shared" si="58"/>
        <v>EC</v>
      </c>
      <c r="AH29" s="78" t="str">
        <f t="shared" si="36"/>
        <v>"%USERPROFILE%\Documents\GitHub\eaglep3\Utilities\RefineRTDCRunTimes.py" --tripid 117-02 --locoid 4052 --swversion DE.1.0.9.0 --startMP 204:497 --initTime 2017-09-02T05:41:02 --startdatetime 2017-09-02T05:45:14 --delay 78 --endMP 204:233312 --enddatetime 2017-09-02T06:20:45 --enforcementcount 0 &gt;&gt;C:\Users\stu\Documents\GitHub\eaglep3-reporting\EC\2017-09-02-refined-times.txt</v>
      </c>
      <c r="AI29" s="96" t="str">
        <f t="shared" si="37"/>
        <v>echo {"issue":{"subject":"","project_id":79,"tracker_id":40,"status_id":1,"priority_id":2,"assigned_to_id":338,"start_date":"2017-09-02","description":"","custom_fields":[{"id":1,"name":"Subdivision","value":"EC"},{"id":4,"name":"Milepost","value":"23.3312"},{"id":17,"name":"Train ID","value":"117-02"},{"id":16,"name":"Locomotive ID","value":"4052"},{"id":130,"name":"Impact","value":""},{"id":150,"name":"Time of Event (Mountain Time)","value":"06:20:45"},{"id":151,"name":"Denver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38"/>
        <v>start /low /b %USERPROFILE%\Documents\GitHub\eaglep3\Utilities\DownloadLogsFromS3.py --loco 4052 --day 2017-09-02</v>
      </c>
      <c r="AN29" s="151" t="str">
        <f t="shared" si="39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12:20:45"},{"id":29,"name":"Sharepoint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624</v>
      </c>
      <c r="B30" s="7">
        <v>4051</v>
      </c>
      <c r="C30" s="21" t="s">
        <v>197</v>
      </c>
      <c r="D30" s="21" t="s">
        <v>545</v>
      </c>
      <c r="E30" s="13">
        <v>42980.274212962962</v>
      </c>
      <c r="F30" s="13">
        <v>42980.279409722221</v>
      </c>
      <c r="G30" s="7">
        <v>108</v>
      </c>
      <c r="H30" s="21" t="s">
        <v>340</v>
      </c>
      <c r="I30" s="13">
        <v>42980.307754629626</v>
      </c>
      <c r="J30" s="7">
        <v>0</v>
      </c>
      <c r="K30" s="89" t="str">
        <f t="shared" si="49"/>
        <v>4051/4052</v>
      </c>
      <c r="L30" s="214" t="str">
        <f>VLOOKUP(A30,'Trips&amp;Operators'!$C$1:$G$99911,5,FALSE)</f>
        <v>MOSES BRADLEY</v>
      </c>
      <c r="M30" s="6">
        <f t="shared" si="50"/>
        <v>2.8344907404971309E-2</v>
      </c>
      <c r="N30" s="7">
        <f t="shared" si="51"/>
        <v>40.816666663158685</v>
      </c>
      <c r="O30" s="7"/>
      <c r="P30" s="7"/>
      <c r="Q30" s="22"/>
      <c r="R30" s="167"/>
      <c r="S30" s="210">
        <f t="shared" si="52"/>
        <v>1</v>
      </c>
      <c r="T30" s="192" t="str">
        <f t="shared" si="53"/>
        <v>Southbound</v>
      </c>
      <c r="U30" s="192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3" t="str">
        <f t="shared" si="0"/>
        <v>https://d0f6bd738d7f1b3e5a7ca70fe4ff75f0.us-east-1.aws.found.io/app/kibana#/discover/Steve-Slow-Train-Analysis-(2080s-and-2083s)?_g=(refreshInterval:(display:Off,pause:!f,section:0,value:0),time:(from:'2017-09-02T05:34:52-0600',mode:absolute,to:'2017-09-02T08:23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30" s="194" t="str">
        <f>IF(AA30&lt;VLOOKUP(AG30,Variables!$AC$3:$AD$8,2,FALSE),"Y","N")</f>
        <v>N</v>
      </c>
      <c r="X30" s="194">
        <f t="shared" si="59"/>
        <v>1</v>
      </c>
      <c r="Y30" s="194">
        <f t="shared" si="54"/>
        <v>23.298999999999999</v>
      </c>
      <c r="Z30" s="194">
        <f t="shared" si="55"/>
        <v>1.43E-2</v>
      </c>
      <c r="AA30" s="194">
        <f t="shared" si="56"/>
        <v>23.284700000000001</v>
      </c>
      <c r="AB30" s="54" t="e">
        <f>VLOOKUP(A30,Enforcements!$C$7:$K$11,8,0)</f>
        <v>#N/A</v>
      </c>
      <c r="AC30" s="51" t="e">
        <f>VLOOKUP(A30,Enforcements!$C$7:$E$11,3,0)</f>
        <v>#N/A</v>
      </c>
      <c r="AD30" s="203">
        <f t="shared" si="57"/>
        <v>118</v>
      </c>
      <c r="AE30" s="77" t="str">
        <f t="shared" si="1"/>
        <v>aws s3 cp s3://rtdc.mdm.uploadarchive.raw/RTDC4051/ "%USERPROFILE%\AppData\Local\Temp\OnboardLogs"\RTDC4051\2017-09-02 --exclude "*" --recursive --include "*20170902*" &amp; "%USERPROFILE%\Documents\GitHub\mrs-test-scripts\Headless Mode &amp; Sideloading\WalkAndUnGZ.bat" "%USERPROFILE%\AppData\Local\Temp\OnboardLogs"\RTDC4051\2017-09-02 &amp; aws s3 cp s3://rtdc.mdm.uploadarchive.raw/RTDC4051/ "%USERPROFILE%\AppData\Local\Temp\OnboardLogs"\RTDC4051\2017-09-03 --exclude "*" --recursive --include "*20170903*" &amp; "%USERPROFILE%\Documents\GitHub\mrs-test-scripts\Headless Mode &amp; Sideloading\WalkAndUnGZ.bat" "%USERPROFILE%\AppData\Local\Temp\OnboardLogs"\RTDC4051\2017-09-03</v>
      </c>
      <c r="AF30" s="74" t="str">
        <f t="shared" si="2"/>
        <v>"C:\Program Files (x86)\AstroGrep\AstroGrep.exe" /e /r /s /spath="%USERPROFILE%\AppData\Local\Temp\OnboardLogs" /stypes="app*4051*20170902*" /stext=" 13:.+((SYSTEM_STATE.+slice.+state.+changed )|(ment ac)|(multiple cpu faults)|(system.+state.+changed )|(\[timeout)|(PRM\|1\|D)|(kpr)|(kdp)|(train st.+moving)|(\|lc)|(penalty))"</v>
      </c>
      <c r="AG30" s="206" t="str">
        <f t="shared" si="58"/>
        <v>EC</v>
      </c>
      <c r="AH30" s="78" t="str">
        <f t="shared" si="36"/>
        <v>"%USERPROFILE%\Documents\GitHub\eaglep3\Utilities\RefineRTDCRunTimes.py" --tripid 118-02 --locoid 4051 --swversion DE.1.0.9.0 --startMP 204:232990 --initTime 2017-09-02T06:34:52 --startdatetime 2017-09-02T06:42:21 --delay 108 --endMP 204:143 --enddatetime 2017-09-02T07:23:10 --enforcementcount 0 &gt;&gt;C:\Users\stu\Documents\GitHub\eaglep3-reporting\EC\2017-09-02-refined-times.txt</v>
      </c>
      <c r="AI30" s="96" t="str">
        <f t="shared" si="37"/>
        <v>echo {"issue":{"subject":"","project_id":79,"tracker_id":40,"status_id":1,"priority_id":2,"assigned_to_id":338,"start_date":"2017-09-02","description":"","custom_fields":[{"id":1,"name":"Subdivision","value":"EC"},{"id":4,"name":"Milepost","value":"0.0143"},{"id":17,"name":"Train ID","value":"118-02"},{"id":16,"name":"Locomotive ID","value":"4051"},{"id":130,"name":"Impact","value":""},{"id":150,"name":"Time of Event (Mountain Time)","value":"07:23:10"},{"id":151,"name":"Denver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38"/>
        <v>start /low /b %USERPROFILE%\Documents\GitHub\eaglep3\Utilities\DownloadLogsFromS3.py --loco 4051 --day 2017-09-02</v>
      </c>
      <c r="AN30" s="151" t="str">
        <f t="shared" si="39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13:23:10"},{"id":29,"name":"Sharepoint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618</v>
      </c>
      <c r="B31" s="7">
        <v>4028</v>
      </c>
      <c r="C31" s="21" t="s">
        <v>197</v>
      </c>
      <c r="D31" s="21" t="s">
        <v>365</v>
      </c>
      <c r="E31" s="13">
        <v>42980.246874999997</v>
      </c>
      <c r="F31" s="13">
        <v>42980.250289351854</v>
      </c>
      <c r="G31" s="7">
        <v>69</v>
      </c>
      <c r="H31" s="21" t="s">
        <v>788</v>
      </c>
      <c r="I31" s="13">
        <v>42980.27684027778</v>
      </c>
      <c r="J31" s="7">
        <v>0</v>
      </c>
      <c r="K31" s="89" t="str">
        <f t="shared" si="49"/>
        <v>4027/4028</v>
      </c>
      <c r="L31" s="214" t="str">
        <f>VLOOKUP(A31,'Trips&amp;Operators'!$C$1:$G$99911,5,FALSE)</f>
        <v>DAVIS WENDY</v>
      </c>
      <c r="M31" s="6">
        <f t="shared" si="50"/>
        <v>2.6550925926130731E-2</v>
      </c>
      <c r="N31" s="7">
        <f t="shared" si="51"/>
        <v>38.233333333628252</v>
      </c>
      <c r="O31" s="7"/>
      <c r="P31" s="7"/>
      <c r="Q31" s="22"/>
      <c r="R31" s="167"/>
      <c r="S31" s="210">
        <f t="shared" si="52"/>
        <v>1</v>
      </c>
      <c r="T31" s="192" t="str">
        <f t="shared" si="53"/>
        <v>NorthBound</v>
      </c>
      <c r="U31" s="192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3" t="str">
        <f t="shared" si="0"/>
        <v>https://d0f6bd738d7f1b3e5a7ca70fe4ff75f0.us-east-1.aws.found.io/app/kibana#/discover/Steve-Slow-Train-Analysis-(2080s-and-2083s)?_g=(refreshInterval:(display:Off,pause:!f,section:0,value:0),time:(from:'2017-09-02T04:55:30-0600',mode:absolute,to:'2017-09-02T07:38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31" s="194" t="str">
        <f>IF(AA31&lt;VLOOKUP(AG31,Variables!$AC$3:$AD$8,2,FALSE),"Y","N")</f>
        <v>N</v>
      </c>
      <c r="X31" s="194">
        <f t="shared" si="59"/>
        <v>1</v>
      </c>
      <c r="Y31" s="194">
        <f t="shared" si="54"/>
        <v>4.4900000000000002E-2</v>
      </c>
      <c r="Z31" s="194">
        <f t="shared" si="55"/>
        <v>23.331</v>
      </c>
      <c r="AA31" s="194">
        <f t="shared" si="56"/>
        <v>23.286100000000001</v>
      </c>
      <c r="AB31" s="54" t="e">
        <f>VLOOKUP(A31,Enforcements!$C$7:$K$11,8,0)</f>
        <v>#N/A</v>
      </c>
      <c r="AC31" s="51" t="e">
        <f>VLOOKUP(A31,Enforcements!$C$7:$E$11,3,0)</f>
        <v>#N/A</v>
      </c>
      <c r="AD31" s="203">
        <f t="shared" si="57"/>
        <v>119</v>
      </c>
      <c r="AE31" s="77" t="str">
        <f t="shared" si="1"/>
        <v>aws s3 cp s3://rtdc.mdm.uploadarchive.raw/RTDC4028/ "%USERPROFILE%\AppData\Local\Temp\OnboardLogs"\RTDC4028\2017-09-02 --exclude "*" --recursive --include "*20170902*" &amp; "%USERPROFILE%\Documents\GitHub\mrs-test-scripts\Headless Mode &amp; Sideloading\WalkAndUnGZ.bat" "%USERPROFILE%\AppData\Local\Temp\OnboardLogs"\RTDC4028\2017-09-02 &amp; aws s3 cp s3://rtdc.mdm.uploadarchive.raw/RTDC4028/ "%USERPROFILE%\AppData\Local\Temp\OnboardLogs"\RTDC4028\2017-09-03 --exclude "*" --recursive --include "*20170903*" &amp; "%USERPROFILE%\Documents\GitHub\mrs-test-scripts\Headless Mode &amp; Sideloading\WalkAndUnGZ.bat" "%USERPROFILE%\AppData\Local\Temp\OnboardLogs"\RTDC4028\2017-09-03</v>
      </c>
      <c r="AF31" s="74" t="str">
        <f t="shared" si="2"/>
        <v>"C:\Program Files (x86)\AstroGrep\AstroGrep.exe" /e /r /s /spath="%USERPROFILE%\AppData\Local\Temp\OnboardLogs" /stypes="app*4028*20170902*" /stext=" 12:.+((SYSTEM_STATE.+slice.+state.+changed )|(ment ac)|(multiple cpu faults)|(system.+state.+changed )|(\[timeout)|(PRM\|1\|D)|(kpr)|(kdp)|(train st.+moving)|(\|lc)|(penalty))"</v>
      </c>
      <c r="AG31" s="206" t="str">
        <f t="shared" si="58"/>
        <v>EC</v>
      </c>
      <c r="AH31" s="78" t="str">
        <f t="shared" si="36"/>
        <v>"%USERPROFILE%\Documents\GitHub\eaglep3\Utilities\RefineRTDCRunTimes.py" --tripid 119-02 --locoid 4028 --swversion DE.1.0.9.0 --startMP 204:449 --initTime 2017-09-02T05:55:30 --startdatetime 2017-09-02T06:00:25 --delay 69 --endMP 204:233310 --enddatetime 2017-09-02T06:38:39 --enforcementcount 0 &gt;&gt;C:\Users\stu\Documents\GitHub\eaglep3-reporting\EC\2017-09-02-refined-times.txt</v>
      </c>
      <c r="AI31" s="96" t="str">
        <f t="shared" si="37"/>
        <v>echo {"issue":{"subject":"","project_id":79,"tracker_id":40,"status_id":1,"priority_id":2,"assigned_to_id":338,"start_date":"2017-09-02","description":"","custom_fields":[{"id":1,"name":"Subdivision","value":"EC"},{"id":4,"name":"Milepost","value":"23.331"},{"id":17,"name":"Train ID","value":"119-02"},{"id":16,"name":"Locomotive ID","value":"4028"},{"id":130,"name":"Impact","value":""},{"id":150,"name":"Time of Event (Mountain Time)","value":"06:38:39"},{"id":151,"name":"Denver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38"/>
        <v>start /low /b %USERPROFILE%\Documents\GitHub\eaglep3\Utilities\DownloadLogsFromS3.py --loco 4028 --day 2017-09-02</v>
      </c>
      <c r="AN31" s="151" t="str">
        <f t="shared" si="39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12:38:39"},{"id":29,"name":"Sharepoint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625</v>
      </c>
      <c r="B32" s="7">
        <v>4027</v>
      </c>
      <c r="C32" s="21" t="s">
        <v>197</v>
      </c>
      <c r="D32" s="21" t="s">
        <v>534</v>
      </c>
      <c r="E32" s="13">
        <v>42980.27815972222</v>
      </c>
      <c r="F32" s="13">
        <v>42980.289768518516</v>
      </c>
      <c r="G32" s="7">
        <v>66</v>
      </c>
      <c r="H32" s="21" t="s">
        <v>483</v>
      </c>
      <c r="I32" s="13">
        <v>42980.31627314815</v>
      </c>
      <c r="J32" s="7">
        <v>0</v>
      </c>
      <c r="K32" s="89" t="str">
        <f t="shared" si="49"/>
        <v>4027/4028</v>
      </c>
      <c r="L32" s="214" t="str">
        <f>VLOOKUP(A32,'Trips&amp;Operators'!$C$1:$G$99911,5,FALSE)</f>
        <v>DAVIS WENDY</v>
      </c>
      <c r="M32" s="6">
        <f t="shared" si="50"/>
        <v>2.6504629633564036E-2</v>
      </c>
      <c r="N32" s="7">
        <f t="shared" si="51"/>
        <v>38.166666672332212</v>
      </c>
      <c r="O32" s="7"/>
      <c r="P32" s="7"/>
      <c r="Q32" s="22"/>
      <c r="R32" s="167"/>
      <c r="S32" s="210">
        <f t="shared" si="52"/>
        <v>1</v>
      </c>
      <c r="T32" s="192" t="str">
        <f t="shared" si="53"/>
        <v>Southbound</v>
      </c>
      <c r="U32" s="192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3" t="str">
        <f t="shared" si="0"/>
        <v>https://d0f6bd738d7f1b3e5a7ca70fe4ff75f0.us-east-1.aws.found.io/app/kibana#/discover/Steve-Slow-Train-Analysis-(2080s-and-2083s)?_g=(refreshInterval:(display:Off,pause:!f,section:0,value:0),time:(from:'2017-09-02T05:40:33-0600',mode:absolute,to:'2017-09-02T08:35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32" s="194" t="str">
        <f>IF(AA32&lt;VLOOKUP(AG32,Variables!$AC$3:$AD$8,2,FALSE),"Y","N")</f>
        <v>N</v>
      </c>
      <c r="X32" s="194">
        <f t="shared" si="59"/>
        <v>1</v>
      </c>
      <c r="Y32" s="194">
        <f t="shared" si="54"/>
        <v>23.299399999999999</v>
      </c>
      <c r="Z32" s="194">
        <f t="shared" si="55"/>
        <v>1.5800000000000002E-2</v>
      </c>
      <c r="AA32" s="194">
        <f t="shared" si="56"/>
        <v>23.2836</v>
      </c>
      <c r="AB32" s="54" t="e">
        <f>VLOOKUP(A32,Enforcements!$C$7:$K$11,8,0)</f>
        <v>#N/A</v>
      </c>
      <c r="AC32" s="51" t="e">
        <f>VLOOKUP(A32,Enforcements!$C$7:$E$11,3,0)</f>
        <v>#N/A</v>
      </c>
      <c r="AD32" s="203">
        <f t="shared" si="57"/>
        <v>120</v>
      </c>
      <c r="AE32" s="77" t="str">
        <f t="shared" si="1"/>
        <v>aws s3 cp s3://rtdc.mdm.uploadarchive.raw/RTDC4027/ "%USERPROFILE%\AppData\Local\Temp\OnboardLogs"\RTDC4027\2017-09-02 --exclude "*" --recursive --include "*20170902*" &amp; "%USERPROFILE%\Documents\GitHub\mrs-test-scripts\Headless Mode &amp; Sideloading\WalkAndUnGZ.bat" "%USERPROFILE%\AppData\Local\Temp\OnboardLogs"\RTDC4027\2017-09-02 &amp; aws s3 cp s3://rtdc.mdm.uploadarchive.raw/RTDC4027/ "%USERPROFILE%\AppData\Local\Temp\OnboardLogs"\RTDC4027\2017-09-03 --exclude "*" --recursive --include "*20170903*" &amp; "%USERPROFILE%\Documents\GitHub\mrs-test-scripts\Headless Mode &amp; Sideloading\WalkAndUnGZ.bat" "%USERPROFILE%\AppData\Local\Temp\OnboardLogs"\RTDC4027\2017-09-03</v>
      </c>
      <c r="AF32" s="74" t="str">
        <f t="shared" si="2"/>
        <v>"C:\Program Files (x86)\AstroGrep\AstroGrep.exe" /e /r /s /spath="%USERPROFILE%\AppData\Local\Temp\OnboardLogs" /stypes="app*4027*20170902*" /stext=" 13:.+((SYSTEM_STATE.+slice.+state.+changed )|(ment ac)|(multiple cpu faults)|(system.+state.+changed )|(\[timeout)|(PRM\|1\|D)|(kpr)|(kdp)|(train st.+moving)|(\|lc)|(penalty))"</v>
      </c>
      <c r="AG32" s="206" t="str">
        <f t="shared" si="58"/>
        <v>EC</v>
      </c>
      <c r="AH32" s="78" t="str">
        <f t="shared" si="36"/>
        <v>"%USERPROFILE%\Documents\GitHub\eaglep3\Utilities\RefineRTDCRunTimes.py" --tripid 120-02 --locoid 4027 --swversion DE.1.0.9.0 --startMP 204:232994 --initTime 2017-09-02T06:40:33 --startdatetime 2017-09-02T06:57:16 --delay 66 --endMP 204:158 --enddatetime 2017-09-02T07:35:26 --enforcementcount 0 &gt;&gt;C:\Users\stu\Documents\GitHub\eaglep3-reporting\EC\2017-09-02-refined-times.txt</v>
      </c>
      <c r="AI32" s="96" t="str">
        <f t="shared" si="37"/>
        <v>echo {"issue":{"subject":"","project_id":79,"tracker_id":40,"status_id":1,"priority_id":2,"assigned_to_id":338,"start_date":"2017-09-02","description":"","custom_fields":[{"id":1,"name":"Subdivision","value":"EC"},{"id":4,"name":"Milepost","value":"0.0158"},{"id":17,"name":"Train ID","value":"120-02"},{"id":16,"name":"Locomotive ID","value":"4027"},{"id":130,"name":"Impact","value":""},{"id":150,"name":"Time of Event (Mountain Time)","value":"07:35:26"},{"id":151,"name":"Denver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38"/>
        <v>start /low /b %USERPROFILE%\Documents\GitHub\eaglep3\Utilities\DownloadLogsFromS3.py --loco 4027 --day 2017-09-02</v>
      </c>
      <c r="AN32" s="151" t="str">
        <f t="shared" si="39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13:35:26"},{"id":29,"name":"Sharepoint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622</v>
      </c>
      <c r="B33" s="7">
        <v>4056</v>
      </c>
      <c r="C33" s="21" t="s">
        <v>197</v>
      </c>
      <c r="D33" s="21" t="s">
        <v>789</v>
      </c>
      <c r="E33" s="13">
        <v>42980.2659375</v>
      </c>
      <c r="F33" s="13">
        <v>42980.267835648148</v>
      </c>
      <c r="G33" s="7">
        <v>103</v>
      </c>
      <c r="H33" s="21" t="s">
        <v>790</v>
      </c>
      <c r="I33" s="13">
        <v>42980.288854166669</v>
      </c>
      <c r="J33" s="7">
        <v>0</v>
      </c>
      <c r="K33" s="89" t="str">
        <f t="shared" si="49"/>
        <v>4055/4056</v>
      </c>
      <c r="L33" s="214" t="str">
        <f>VLOOKUP(A33,'Trips&amp;Operators'!$C$1:$G$99911,5,FALSE)</f>
        <v>GEBRETEKLE DAGNEW</v>
      </c>
      <c r="M33" s="6">
        <f t="shared" si="50"/>
        <v>2.1018518520577345E-2</v>
      </c>
      <c r="N33" s="7"/>
      <c r="O33" s="7"/>
      <c r="P33" s="7">
        <f>24*60*SUM($M33:$M33)</f>
        <v>30.266666669631377</v>
      </c>
      <c r="Q33" s="22"/>
      <c r="R33" s="167" t="s">
        <v>955</v>
      </c>
      <c r="S33" s="210">
        <f t="shared" si="52"/>
        <v>1</v>
      </c>
      <c r="T33" s="192" t="str">
        <f t="shared" si="53"/>
        <v>NorthBound</v>
      </c>
      <c r="U33" s="192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3" t="str">
        <f t="shared" si="0"/>
        <v>https://d0f6bd738d7f1b3e5a7ca70fe4ff75f0.us-east-1.aws.found.io/app/kibana#/discover/Steve-Slow-Train-Analysis-(2080s-and-2083s)?_g=(refreshInterval:(display:Off,pause:!f,section:0,value:0),time:(from:'2017-09-02T05:22:57-0600',mode:absolute,to:'2017-09-02T07:55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33" s="194" t="str">
        <f>IF(AA33&lt;VLOOKUP(AG33,Variables!$AC$3:$AD$8,2,FALSE),"Y","N")</f>
        <v>Y</v>
      </c>
      <c r="X33" s="194">
        <f t="shared" si="59"/>
        <v>1</v>
      </c>
      <c r="Y33" s="194">
        <f t="shared" si="54"/>
        <v>1.9126000000000001</v>
      </c>
      <c r="Z33" s="194">
        <f t="shared" si="55"/>
        <v>23.328199999999999</v>
      </c>
      <c r="AA33" s="194">
        <f t="shared" si="56"/>
        <v>21.415599999999998</v>
      </c>
      <c r="AB33" s="54" t="e">
        <f>VLOOKUP(A33,Enforcements!$C$7:$K$11,8,0)</f>
        <v>#N/A</v>
      </c>
      <c r="AC33" s="51" t="e">
        <f>VLOOKUP(A33,Enforcements!$C$7:$E$11,3,0)</f>
        <v>#N/A</v>
      </c>
      <c r="AD33" s="203">
        <f t="shared" si="57"/>
        <v>121</v>
      </c>
      <c r="AE33" s="77" t="str">
        <f t="shared" si="1"/>
        <v>aws s3 cp s3://rtdc.mdm.uploadarchive.raw/RTDC4056/ "%USERPROFILE%\AppData\Local\Temp\OnboardLogs"\RTDC4056\2017-09-02 --exclude "*" --recursive --include "*20170902*" &amp; "%USERPROFILE%\Documents\GitHub\mrs-test-scripts\Headless Mode &amp; Sideloading\WalkAndUnGZ.bat" "%USERPROFILE%\AppData\Local\Temp\OnboardLogs"\RTDC4056\2017-09-02 &amp; aws s3 cp s3://rtdc.mdm.uploadarchive.raw/RTDC4056/ "%USERPROFILE%\AppData\Local\Temp\OnboardLogs"\RTDC4056\2017-09-03 --exclude "*" --recursive --include "*20170903*" &amp; "%USERPROFILE%\Documents\GitHub\mrs-test-scripts\Headless Mode &amp; Sideloading\WalkAndUnGZ.bat" "%USERPROFILE%\AppData\Local\Temp\OnboardLogs"\RTDC4056\2017-09-03</v>
      </c>
      <c r="AF33" s="74" t="str">
        <f t="shared" si="2"/>
        <v>"C:\Program Files (x86)\AstroGrep\AstroGrep.exe" /e /r /s /spath="%USERPROFILE%\AppData\Local\Temp\OnboardLogs" /stypes="app*4056*20170902*" /stext=" 12:.+((SYSTEM_STATE.+slice.+state.+changed )|(ment ac)|(multiple cpu faults)|(system.+state.+changed )|(\[timeout)|(PRM\|1\|D)|(kpr)|(kdp)|(train st.+moving)|(\|lc)|(penalty))"</v>
      </c>
      <c r="AG33" s="206" t="str">
        <f t="shared" si="58"/>
        <v>EC</v>
      </c>
      <c r="AH33" s="78" t="str">
        <f t="shared" si="36"/>
        <v>"%USERPROFILE%\Documents\GitHub\eaglep3\Utilities\RefineRTDCRunTimes.py" --tripid 121-02 --locoid 4056 --swversion DE.1.0.9.0 --startMP 204:19126 --initTime 2017-09-02T06:22:57 --startdatetime 2017-09-02T06:25:41 --delay 103 --endMP 204:233282 --enddatetime 2017-09-02T06:55:57 --enforcementcount 0 &gt;&gt;C:\Users\stu\Documents\GitHub\eaglep3-reporting\EC\2017-09-02-refined-times.txt</v>
      </c>
      <c r="AI33" s="96" t="str">
        <f t="shared" si="37"/>
        <v>echo {"issue":{"subject":"Extended Onboard Wi-MAX outage","project_id":79,"tracker_id":40,"status_id":1,"priority_id":2,"assigned_to_id":338,"start_date":"2017-09-02","description":"","custom_fields":[{"id":1,"name":"Subdivision","value":"EC"},{"id":4,"name":"Milepost","value":"23.3282"},{"id":17,"name":"Train ID","value":"121-02"},{"id":16,"name":"Locomotive ID","value":"4056"},{"id":130,"name":"Impact","value":""},{"id":150,"name":"Time of Event (Mountain Time)","value":"06:55:57"},{"id":151,"name":"Denver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38"/>
        <v>start /low /b %USERPROFILE%\Documents\GitHub\eaglep3\Utilities\DownloadLogsFromS3.py --loco 4056 --day 2017-09-02</v>
      </c>
      <c r="AN33" s="151" t="str">
        <f t="shared" si="39"/>
        <v>echo {"issue":{"subject":"Extended Onboard Wi-MAX outage","project_id":30,"tracker_id":4,"status_id":1,"priority_id":1,"assigned_to_id":10,"start_date":"2017-09-02","description":"","custom_fields":[{"id":30,"name":"Category","value":"Issue"},{"id":3,"name":"Functional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12:55:57"},{"id":29,"name":"Sharepoint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627</v>
      </c>
      <c r="B34" s="7">
        <v>4055</v>
      </c>
      <c r="C34" s="21" t="s">
        <v>197</v>
      </c>
      <c r="D34" s="21" t="s">
        <v>791</v>
      </c>
      <c r="E34" s="13">
        <v>42980.290347222224</v>
      </c>
      <c r="F34" s="13">
        <v>42980.300196759257</v>
      </c>
      <c r="G34" s="7">
        <v>52</v>
      </c>
      <c r="H34" s="21" t="s">
        <v>400</v>
      </c>
      <c r="I34" s="13">
        <v>42980.326284722221</v>
      </c>
      <c r="J34" s="7">
        <v>0</v>
      </c>
      <c r="K34" s="89" t="str">
        <f t="shared" si="49"/>
        <v>4055/4056</v>
      </c>
      <c r="L34" s="214" t="str">
        <f>VLOOKUP(A34,'Trips&amp;Operators'!$C$1:$G$99911,5,FALSE)</f>
        <v>GEBRETEKLE DAGNEW</v>
      </c>
      <c r="M34" s="6">
        <f t="shared" si="50"/>
        <v>2.6087962964083999E-2</v>
      </c>
      <c r="N34" s="7">
        <f t="shared" ref="N34:N52" si="60">24*60*SUM($M34:$M34)</f>
        <v>37.566666668280959</v>
      </c>
      <c r="O34" s="7"/>
      <c r="P34" s="7"/>
      <c r="Q34" s="22"/>
      <c r="R34" s="167"/>
      <c r="S34" s="210">
        <f t="shared" si="52"/>
        <v>1</v>
      </c>
      <c r="T34" s="192" t="str">
        <f t="shared" si="53"/>
        <v>Southbound</v>
      </c>
      <c r="U34" s="192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3" t="str">
        <f t="shared" si="0"/>
        <v>https://d0f6bd738d7f1b3e5a7ca70fe4ff75f0.us-east-1.aws.found.io/app/kibana#/discover/Steve-Slow-Train-Analysis-(2080s-and-2083s)?_g=(refreshInterval:(display:Off,pause:!f,section:0,value:0),time:(from:'2017-09-02T05:58:06-0600',mode:absolute,to:'2017-09-02T08:49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34" s="194" t="str">
        <f>IF(AA34&lt;VLOOKUP(AG34,Variables!$AC$3:$AD$8,2,FALSE),"Y","N")</f>
        <v>N</v>
      </c>
      <c r="X34" s="194">
        <f t="shared" si="59"/>
        <v>1</v>
      </c>
      <c r="Y34" s="194">
        <f t="shared" si="54"/>
        <v>23.295300000000001</v>
      </c>
      <c r="Z34" s="194">
        <f t="shared" si="55"/>
        <v>1.61E-2</v>
      </c>
      <c r="AA34" s="194">
        <f t="shared" si="56"/>
        <v>23.279199999999999</v>
      </c>
      <c r="AB34" s="54" t="e">
        <f>VLOOKUP(A34,Enforcements!$C$7:$K$11,8,0)</f>
        <v>#N/A</v>
      </c>
      <c r="AC34" s="51" t="e">
        <f>VLOOKUP(A34,Enforcements!$C$7:$E$11,3,0)</f>
        <v>#N/A</v>
      </c>
      <c r="AD34" s="203">
        <f t="shared" si="57"/>
        <v>122</v>
      </c>
      <c r="AE34" s="77" t="str">
        <f t="shared" si="1"/>
        <v>aws s3 cp s3://rtdc.mdm.uploadarchive.raw/RTDC4055/ "%USERPROFILE%\AppData\Local\Temp\OnboardLogs"\RTDC4055\2017-09-02 --exclude "*" --recursive --include "*20170902*" &amp; "%USERPROFILE%\Documents\GitHub\mrs-test-scripts\Headless Mode &amp; Sideloading\WalkAndUnGZ.bat" "%USERPROFILE%\AppData\Local\Temp\OnboardLogs"\RTDC4055\2017-09-02 &amp; aws s3 cp s3://rtdc.mdm.uploadarchive.raw/RTDC4055/ "%USERPROFILE%\AppData\Local\Temp\OnboardLogs"\RTDC4055\2017-09-03 --exclude "*" --recursive --include "*20170903*" &amp; "%USERPROFILE%\Documents\GitHub\mrs-test-scripts\Headless Mode &amp; Sideloading\WalkAndUnGZ.bat" "%USERPROFILE%\AppData\Local\Temp\OnboardLogs"\RTDC4055\2017-09-03</v>
      </c>
      <c r="AF34" s="74" t="str">
        <f t="shared" si="2"/>
        <v>"C:\Program Files (x86)\AstroGrep\AstroGrep.exe" /e /r /s /spath="%USERPROFILE%\AppData\Local\Temp\OnboardLogs" /stypes="app*4055*20170902*" /stext=" 13:.+((SYSTEM_STATE.+slice.+state.+changed )|(ment ac)|(multiple cpu faults)|(system.+state.+changed )|(\[timeout)|(PRM\|1\|D)|(kpr)|(kdp)|(train st.+moving)|(\|lc)|(penalty))"</v>
      </c>
      <c r="AG34" s="206" t="str">
        <f t="shared" si="58"/>
        <v>EC</v>
      </c>
      <c r="AH34" s="78" t="str">
        <f t="shared" si="36"/>
        <v>"%USERPROFILE%\Documents\GitHub\eaglep3\Utilities\RefineRTDCRunTimes.py" --tripid 122-02 --locoid 4055 --swversion DE.1.0.9.0 --startMP 204:232953 --initTime 2017-09-02T06:58:06 --startdatetime 2017-09-02T07:12:17 --delay 52 --endMP 204:161 --enddatetime 2017-09-02T07:49:51 --enforcementcount 0 &gt;&gt;C:\Users\stu\Documents\GitHub\eaglep3-reporting\EC\2017-09-02-refined-times.txt</v>
      </c>
      <c r="AI34" s="96" t="str">
        <f t="shared" si="37"/>
        <v>echo {"issue":{"subject":"","project_id":79,"tracker_id":40,"status_id":1,"priority_id":2,"assigned_to_id":338,"start_date":"2017-09-02","description":"","custom_fields":[{"id":1,"name":"Subdivision","value":"EC"},{"id":4,"name":"Milepost","value":"0.0161"},{"id":17,"name":"Train ID","value":"122-02"},{"id":16,"name":"Locomotive ID","value":"4055"},{"id":130,"name":"Impact","value":""},{"id":150,"name":"Time of Event (Mountain Time)","value":"07:49:51"},{"id":151,"name":"Denver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38"/>
        <v>start /low /b %USERPROFILE%\Documents\GitHub\eaglep3\Utilities\DownloadLogsFromS3.py --loco 4055 --day 2017-09-02</v>
      </c>
      <c r="AN34" s="151" t="str">
        <f t="shared" si="39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13:49:51"},{"id":29,"name":"Sharepoint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623</v>
      </c>
      <c r="B35" s="7">
        <v>4010</v>
      </c>
      <c r="C35" s="21" t="s">
        <v>197</v>
      </c>
      <c r="D35" s="21" t="s">
        <v>341</v>
      </c>
      <c r="E35" s="13">
        <v>42980.268125000002</v>
      </c>
      <c r="F35" s="13">
        <v>42980.271053240744</v>
      </c>
      <c r="G35" s="7">
        <v>57</v>
      </c>
      <c r="H35" s="21" t="s">
        <v>401</v>
      </c>
      <c r="I35" s="13">
        <v>42980.296400462961</v>
      </c>
      <c r="J35" s="7">
        <v>0</v>
      </c>
      <c r="K35" s="89" t="str">
        <f t="shared" si="49"/>
        <v>4009/4010</v>
      </c>
      <c r="L35" s="214" t="str">
        <f>VLOOKUP(A35,'Trips&amp;Operators'!$C$1:$G$99911,5,FALSE)</f>
        <v>HUFFSMITH MONTY</v>
      </c>
      <c r="M35" s="6">
        <f t="shared" si="50"/>
        <v>2.5347222217533272E-2</v>
      </c>
      <c r="N35" s="7">
        <f t="shared" si="60"/>
        <v>36.499999993247911</v>
      </c>
      <c r="O35" s="7"/>
      <c r="P35" s="7"/>
      <c r="Q35" s="22"/>
      <c r="R35" s="167"/>
      <c r="S35" s="210">
        <f t="shared" si="52"/>
        <v>1</v>
      </c>
      <c r="T35" s="192" t="str">
        <f t="shared" si="53"/>
        <v>NorthBound</v>
      </c>
      <c r="U35" s="192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3" t="str">
        <f t="shared" si="0"/>
        <v>https://d0f6bd738d7f1b3e5a7ca70fe4ff75f0.us-east-1.aws.found.io/app/kibana#/discover/Steve-Slow-Train-Analysis-(2080s-and-2083s)?_g=(refreshInterval:(display:Off,pause:!f,section:0,value:0),time:(from:'2017-09-02T05:26:06-0600',mode:absolute,to:'2017-09-02T08:06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35" s="194" t="str">
        <f>IF(AA35&lt;VLOOKUP(AG35,Variables!$AC$3:$AD$8,2,FALSE),"Y","N")</f>
        <v>N</v>
      </c>
      <c r="X35" s="194">
        <f t="shared" si="59"/>
        <v>1</v>
      </c>
      <c r="Y35" s="194">
        <f t="shared" si="54"/>
        <v>4.5100000000000001E-2</v>
      </c>
      <c r="Z35" s="194">
        <f t="shared" si="55"/>
        <v>23.3323</v>
      </c>
      <c r="AA35" s="194">
        <f t="shared" si="56"/>
        <v>23.287199999999999</v>
      </c>
      <c r="AB35" s="54" t="e">
        <f>VLOOKUP(A35,Enforcements!$C$7:$K$11,8,0)</f>
        <v>#N/A</v>
      </c>
      <c r="AC35" s="51" t="e">
        <f>VLOOKUP(A35,Enforcements!$C$7:$E$11,3,0)</f>
        <v>#N/A</v>
      </c>
      <c r="AD35" s="203">
        <f t="shared" si="57"/>
        <v>123</v>
      </c>
      <c r="AE35" s="77" t="str">
        <f t="shared" si="1"/>
        <v>aws s3 cp s3://rtdc.mdm.uploadarchive.raw/RTDC4010/ "%USERPROFILE%\AppData\Local\Temp\OnboardLogs"\RTDC4010\2017-09-02 --exclude "*" --recursive --include "*20170902*" &amp; "%USERPROFILE%\Documents\GitHub\mrs-test-scripts\Headless Mode &amp; Sideloading\WalkAndUnGZ.bat" "%USERPROFILE%\AppData\Local\Temp\OnboardLogs"\RTDC4010\2017-09-02 &amp; aws s3 cp s3://rtdc.mdm.uploadarchive.raw/RTDC4010/ "%USERPROFILE%\AppData\Local\Temp\OnboardLogs"\RTDC4010\2017-09-03 --exclude "*" --recursive --include "*20170903*" &amp; "%USERPROFILE%\Documents\GitHub\mrs-test-scripts\Headless Mode &amp; Sideloading\WalkAndUnGZ.bat" "%USERPROFILE%\AppData\Local\Temp\OnboardLogs"\RTDC4010\2017-09-03</v>
      </c>
      <c r="AF35" s="74" t="str">
        <f t="shared" si="2"/>
        <v>"C:\Program Files (x86)\AstroGrep\AstroGrep.exe" /e /r /s /spath="%USERPROFILE%\AppData\Local\Temp\OnboardLogs" /stypes="app*4010*20170902*" /stext=" 13:.+((SYSTEM_STATE.+slice.+state.+changed )|(ment ac)|(multiple cpu faults)|(system.+state.+changed )|(\[timeout)|(PRM\|1\|D)|(kpr)|(kdp)|(train st.+moving)|(\|lc)|(penalty))"</v>
      </c>
      <c r="AG35" s="206" t="str">
        <f t="shared" si="58"/>
        <v>EC</v>
      </c>
      <c r="AH35" s="78" t="str">
        <f t="shared" si="36"/>
        <v>"%USERPROFILE%\Documents\GitHub\eaglep3\Utilities\RefineRTDCRunTimes.py" --tripid 123-02 --locoid 4010 --swversion DE.1.0.9.0 --startMP 204:451 --initTime 2017-09-02T06:26:06 --startdatetime 2017-09-02T06:30:19 --delay 57 --endMP 204:233323 --enddatetime 2017-09-02T07:06:49 --enforcementcount 0 &gt;&gt;C:\Users\stu\Documents\GitHub\eaglep3-reporting\EC\2017-09-02-refined-times.txt</v>
      </c>
      <c r="AI35" s="96" t="str">
        <f t="shared" si="37"/>
        <v>echo {"issue":{"subject":"","project_id":79,"tracker_id":40,"status_id":1,"priority_id":2,"assigned_to_id":338,"start_date":"2017-09-02","description":"","custom_fields":[{"id":1,"name":"Subdivision","value":"EC"},{"id":4,"name":"Milepost","value":"23.3323"},{"id":17,"name":"Train ID","value":"123-02"},{"id":16,"name":"Locomotive ID","value":"4010"},{"id":130,"name":"Impact","value":""},{"id":150,"name":"Time of Event (Mountain Time)","value":"07:06:49"},{"id":151,"name":"Denver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38"/>
        <v>start /low /b %USERPROFILE%\Documents\GitHub\eaglep3\Utilities\DownloadLogsFromS3.py --loco 4010 --day 2017-09-02</v>
      </c>
      <c r="AN35" s="151" t="str">
        <f t="shared" si="39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13:06:49"},{"id":29,"name":"Sharepoint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630</v>
      </c>
      <c r="B36" s="7">
        <v>4009</v>
      </c>
      <c r="C36" s="21" t="s">
        <v>197</v>
      </c>
      <c r="D36" s="21" t="s">
        <v>792</v>
      </c>
      <c r="E36" s="13">
        <v>42980.306122685186</v>
      </c>
      <c r="F36" s="13">
        <v>42980.310624999998</v>
      </c>
      <c r="G36" s="7">
        <v>61</v>
      </c>
      <c r="H36" s="21" t="s">
        <v>793</v>
      </c>
      <c r="I36" s="13">
        <v>42980.337222222224</v>
      </c>
      <c r="J36" s="7">
        <v>0</v>
      </c>
      <c r="K36" s="89" t="str">
        <f t="shared" si="49"/>
        <v>4009/4010</v>
      </c>
      <c r="L36" s="214" t="str">
        <f>VLOOKUP(A36,'Trips&amp;Operators'!$C$1:$G$99911,5,FALSE)</f>
        <v>HUFFSMITH MONTY</v>
      </c>
      <c r="M36" s="6">
        <f t="shared" si="50"/>
        <v>2.6597222225973383E-2</v>
      </c>
      <c r="N36" s="7">
        <f t="shared" si="60"/>
        <v>38.300000005401671</v>
      </c>
      <c r="O36" s="7"/>
      <c r="P36" s="7"/>
      <c r="Q36" s="22"/>
      <c r="R36" s="167"/>
      <c r="S36" s="210">
        <f t="shared" si="52"/>
        <v>1</v>
      </c>
      <c r="T36" s="192" t="str">
        <f t="shared" si="53"/>
        <v>Southbound</v>
      </c>
      <c r="U36" s="192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3" t="str">
        <f t="shared" si="0"/>
        <v>https://d0f6bd738d7f1b3e5a7ca70fe4ff75f0.us-east-1.aws.found.io/app/kibana#/discover/Steve-Slow-Train-Analysis-(2080s-and-2083s)?_g=(refreshInterval:(display:Off,pause:!f,section:0,value:0),time:(from:'2017-09-02T06:20:49-0600',mode:absolute,to:'2017-09-02T09:05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36" s="194" t="str">
        <f>IF(AA36&lt;VLOOKUP(AG36,Variables!$AC$3:$AD$8,2,FALSE),"Y","N")</f>
        <v>N</v>
      </c>
      <c r="X36" s="194">
        <f t="shared" si="59"/>
        <v>1</v>
      </c>
      <c r="Y36" s="194">
        <f t="shared" si="54"/>
        <v>23.3002</v>
      </c>
      <c r="Z36" s="194">
        <f t="shared" si="55"/>
        <v>1.34E-2</v>
      </c>
      <c r="AA36" s="194">
        <f t="shared" si="56"/>
        <v>23.286799999999999</v>
      </c>
      <c r="AB36" s="54" t="e">
        <f>VLOOKUP(A36,Enforcements!$C$7:$K$11,8,0)</f>
        <v>#N/A</v>
      </c>
      <c r="AC36" s="51" t="e">
        <f>VLOOKUP(A36,Enforcements!$C$7:$E$11,3,0)</f>
        <v>#N/A</v>
      </c>
      <c r="AD36" s="203">
        <f t="shared" si="57"/>
        <v>124</v>
      </c>
      <c r="AE36" s="77" t="str">
        <f t="shared" si="1"/>
        <v>aws s3 cp s3://rtdc.mdm.uploadarchive.raw/RTDC4009/ "%USERPROFILE%\AppData\Local\Temp\OnboardLogs"\RTDC4009\2017-09-02 --exclude "*" --recursive --include "*20170902*" &amp; "%USERPROFILE%\Documents\GitHub\mrs-test-scripts\Headless Mode &amp; Sideloading\WalkAndUnGZ.bat" "%USERPROFILE%\AppData\Local\Temp\OnboardLogs"\RTDC4009\2017-09-02 &amp; aws s3 cp s3://rtdc.mdm.uploadarchive.raw/RTDC4009/ "%USERPROFILE%\AppData\Local\Temp\OnboardLogs"\RTDC4009\2017-09-03 --exclude "*" --recursive --include "*20170903*" &amp; "%USERPROFILE%\Documents\GitHub\mrs-test-scripts\Headless Mode &amp; Sideloading\WalkAndUnGZ.bat" "%USERPROFILE%\AppData\Local\Temp\OnboardLogs"\RTDC4009\2017-09-03</v>
      </c>
      <c r="AF36" s="74" t="str">
        <f t="shared" si="2"/>
        <v>"C:\Program Files (x86)\AstroGrep\AstroGrep.exe" /e /r /s /spath="%USERPROFILE%\AppData\Local\Temp\OnboardLogs" /stypes="app*4009*20170902*" /stext=" 14:.+((SYSTEM_STATE.+slice.+state.+changed )|(ment ac)|(multiple cpu faults)|(system.+state.+changed )|(\[timeout)|(PRM\|1\|D)|(kpr)|(kdp)|(train st.+moving)|(\|lc)|(penalty))"</v>
      </c>
      <c r="AG36" s="206" t="str">
        <f t="shared" si="58"/>
        <v>EC</v>
      </c>
      <c r="AH36" s="78" t="str">
        <f t="shared" si="36"/>
        <v>"%USERPROFILE%\Documents\GitHub\eaglep3\Utilities\RefineRTDCRunTimes.py" --tripid 124-02 --locoid 4009 --swversion DE.1.0.9.0 --startMP 204:233002 --initTime 2017-09-02T07:20:49 --startdatetime 2017-09-02T07:27:18 --delay 61 --endMP 204:134 --enddatetime 2017-09-02T08:05:36 --enforcementcount 0 &gt;&gt;C:\Users\stu\Documents\GitHub\eaglep3-reporting\EC\2017-09-02-refined-times.txt</v>
      </c>
      <c r="AI36" s="96" t="str">
        <f t="shared" si="37"/>
        <v>echo {"issue":{"subject":"","project_id":79,"tracker_id":40,"status_id":1,"priority_id":2,"assigned_to_id":338,"start_date":"2017-09-02","description":"","custom_fields":[{"id":1,"name":"Subdivision","value":"EC"},{"id":4,"name":"Milepost","value":"0.0134"},{"id":17,"name":"Train ID","value":"124-02"},{"id":16,"name":"Locomotive ID","value":"4009"},{"id":130,"name":"Impact","value":""},{"id":150,"name":"Time of Event (Mountain Time)","value":"08:05:36"},{"id":151,"name":"Denver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38"/>
        <v>start /low /b %USERPROFILE%\Documents\GitHub\eaglep3\Utilities\DownloadLogsFromS3.py --loco 4009 --day 2017-09-02</v>
      </c>
      <c r="AN36" s="151" t="str">
        <f t="shared" si="39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14:05:36"},{"id":29,"name":"Sharepoint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626</v>
      </c>
      <c r="B37" s="7">
        <v>4066</v>
      </c>
      <c r="C37" s="21" t="s">
        <v>197</v>
      </c>
      <c r="D37" s="21" t="s">
        <v>452</v>
      </c>
      <c r="E37" s="13">
        <v>42980.278414351851</v>
      </c>
      <c r="F37" s="13">
        <v>42980.281678240739</v>
      </c>
      <c r="G37" s="7">
        <v>54</v>
      </c>
      <c r="H37" s="21" t="s">
        <v>794</v>
      </c>
      <c r="I37" s="13">
        <v>42980.307800925926</v>
      </c>
      <c r="J37" s="7">
        <v>0</v>
      </c>
      <c r="K37" s="89" t="str">
        <f t="shared" si="49"/>
        <v>4065/4066</v>
      </c>
      <c r="L37" s="214" t="str">
        <f>VLOOKUP(A37,'Trips&amp;Operators'!$C$1:$G$99911,5,FALSE)</f>
        <v>THOMPSON LESTER</v>
      </c>
      <c r="M37" s="6">
        <f t="shared" si="50"/>
        <v>2.6122685187146999E-2</v>
      </c>
      <c r="N37" s="7">
        <f t="shared" si="60"/>
        <v>37.616666669491678</v>
      </c>
      <c r="O37" s="7"/>
      <c r="P37" s="7"/>
      <c r="Q37" s="22"/>
      <c r="R37" s="167"/>
      <c r="S37" s="210">
        <f t="shared" si="52"/>
        <v>1</v>
      </c>
      <c r="T37" s="192" t="str">
        <f t="shared" si="53"/>
        <v>NorthBound</v>
      </c>
      <c r="U37" s="192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3" t="str">
        <f t="shared" si="0"/>
        <v>https://d0f6bd738d7f1b3e5a7ca70fe4ff75f0.us-east-1.aws.found.io/app/kibana#/discover/Steve-Slow-Train-Analysis-(2080s-and-2083s)?_g=(refreshInterval:(display:Off,pause:!f,section:0,value:0),time:(from:'2017-09-02T05:40:55-0600',mode:absolute,to:'2017-09-02T08:23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37" s="194" t="str">
        <f>IF(AA37&lt;VLOOKUP(AG37,Variables!$AC$3:$AD$8,2,FALSE),"Y","N")</f>
        <v>N</v>
      </c>
      <c r="X37" s="194">
        <f t="shared" si="59"/>
        <v>1</v>
      </c>
      <c r="Y37" s="194">
        <f t="shared" si="54"/>
        <v>4.5999999999999999E-2</v>
      </c>
      <c r="Z37" s="194">
        <f t="shared" si="55"/>
        <v>23.331099999999999</v>
      </c>
      <c r="AA37" s="194">
        <f t="shared" si="56"/>
        <v>23.2851</v>
      </c>
      <c r="AB37" s="54" t="e">
        <f>VLOOKUP(A37,Enforcements!$C$7:$K$11,8,0)</f>
        <v>#N/A</v>
      </c>
      <c r="AC37" s="51" t="e">
        <f>VLOOKUP(A37,Enforcements!$C$7:$E$11,3,0)</f>
        <v>#N/A</v>
      </c>
      <c r="AD37" s="203">
        <f t="shared" si="57"/>
        <v>125</v>
      </c>
      <c r="AE37" s="77" t="str">
        <f t="shared" si="1"/>
        <v>aws s3 cp s3://rtdc.mdm.uploadarchive.raw/RTDC4066/ "%USERPROFILE%\AppData\Local\Temp\OnboardLogs"\RTDC4066\2017-09-02 --exclude "*" --recursive --include "*20170902*" &amp; "%USERPROFILE%\Documents\GitHub\mrs-test-scripts\Headless Mode &amp; Sideloading\WalkAndUnGZ.bat" "%USERPROFILE%\AppData\Local\Temp\OnboardLogs"\RTDC4066\2017-09-02 &amp; aws s3 cp s3://rtdc.mdm.uploadarchive.raw/RTDC4066/ "%USERPROFILE%\AppData\Local\Temp\OnboardLogs"\RTDC4066\2017-09-03 --exclude "*" --recursive --include "*20170903*" &amp; "%USERPROFILE%\Documents\GitHub\mrs-test-scripts\Headless Mode &amp; Sideloading\WalkAndUnGZ.bat" "%USERPROFILE%\AppData\Local\Temp\OnboardLogs"\RTDC4066\2017-09-03</v>
      </c>
      <c r="AF37" s="74" t="str">
        <f t="shared" si="2"/>
        <v>"C:\Program Files (x86)\AstroGrep\AstroGrep.exe" /e /r /s /spath="%USERPROFILE%\AppData\Local\Temp\OnboardLogs" /stypes="app*4066*20170902*" /stext=" 13:.+((SYSTEM_STATE.+slice.+state.+changed )|(ment ac)|(multiple cpu faults)|(system.+state.+changed )|(\[timeout)|(PRM\|1\|D)|(kpr)|(kdp)|(train st.+moving)|(\|lc)|(penalty))"</v>
      </c>
      <c r="AG37" s="206" t="str">
        <f t="shared" si="58"/>
        <v>EC</v>
      </c>
      <c r="AH37" s="78" t="str">
        <f t="shared" si="36"/>
        <v>"%USERPROFILE%\Documents\GitHub\eaglep3\Utilities\RefineRTDCRunTimes.py" --tripid 125-02 --locoid 4066 --swversion DE.1.0.9.0 --startMP 204:460 --initTime 2017-09-02T06:40:55 --startdatetime 2017-09-02T06:45:37 --delay 54 --endMP 204:233311 --enddatetime 2017-09-02T07:23:14 --enforcementcount 0 &gt;&gt;C:\Users\stu\Documents\GitHub\eaglep3-reporting\EC\2017-09-02-refined-times.txt</v>
      </c>
      <c r="AI37" s="96" t="str">
        <f t="shared" si="37"/>
        <v>echo {"issue":{"subject":"","project_id":79,"tracker_id":40,"status_id":1,"priority_id":2,"assigned_to_id":338,"start_date":"2017-09-02","description":"","custom_fields":[{"id":1,"name":"Subdivision","value":"EC"},{"id":4,"name":"Milepost","value":"23.3311"},{"id":17,"name":"Train ID","value":"125-02"},{"id":16,"name":"Locomotive ID","value":"4066"},{"id":130,"name":"Impact","value":""},{"id":150,"name":"Time of Event (Mountain Time)","value":"07:23:14"},{"id":151,"name":"Denver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38"/>
        <v>start /low /b %USERPROFILE%\Documents\GitHub\eaglep3\Utilities\DownloadLogsFromS3.py --loco 4066 --day 2017-09-02</v>
      </c>
      <c r="AN37" s="151" t="str">
        <f t="shared" si="39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13:23:14"},{"id":29,"name":"Sharepoint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565</v>
      </c>
      <c r="B38" s="7">
        <v>4065</v>
      </c>
      <c r="C38" s="21" t="s">
        <v>197</v>
      </c>
      <c r="D38" s="21" t="s">
        <v>432</v>
      </c>
      <c r="E38" s="13">
        <v>42980.320243055554</v>
      </c>
      <c r="F38" s="13">
        <v>42980.321828703702</v>
      </c>
      <c r="G38" s="7">
        <v>64</v>
      </c>
      <c r="H38" s="21" t="s">
        <v>339</v>
      </c>
      <c r="I38" s="13">
        <v>42980.351238425923</v>
      </c>
      <c r="J38" s="7">
        <v>0</v>
      </c>
      <c r="K38" s="89" t="str">
        <f t="shared" si="49"/>
        <v>4065/4066</v>
      </c>
      <c r="L38" s="214" t="str">
        <f>VLOOKUP(A38,'Trips&amp;Operators'!$C$1:$G$99911,5,FALSE)</f>
        <v>THOMPSON LESTER</v>
      </c>
      <c r="M38" s="6">
        <f t="shared" si="50"/>
        <v>2.940972222131677E-2</v>
      </c>
      <c r="N38" s="7">
        <f t="shared" si="60"/>
        <v>42.349999998696148</v>
      </c>
      <c r="O38" s="7"/>
      <c r="P38" s="7"/>
      <c r="Q38" s="22"/>
      <c r="R38" s="167"/>
      <c r="S38" s="210">
        <f t="shared" si="52"/>
        <v>1</v>
      </c>
      <c r="T38" s="192" t="str">
        <f t="shared" si="53"/>
        <v>Southbound</v>
      </c>
      <c r="U38" s="192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3" t="str">
        <f t="shared" si="0"/>
        <v>https://d0f6bd738d7f1b3e5a7ca70fe4ff75f0.us-east-1.aws.found.io/app/kibana#/discover/Steve-Slow-Train-Analysis-(2080s-and-2083s)?_g=(refreshInterval:(display:Off,pause:!f,section:0,value:0),time:(from:'2017-09-02T06:41:09-0600',mode:absolute,to:'2017-09-02T09:25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38" s="194" t="str">
        <f>IF(AA38&lt;VLOOKUP(AG38,Variables!$AC$3:$AD$8,2,FALSE),"Y","N")</f>
        <v>N</v>
      </c>
      <c r="X38" s="194">
        <f t="shared" si="59"/>
        <v>1</v>
      </c>
      <c r="Y38" s="194">
        <f t="shared" si="54"/>
        <v>23.298200000000001</v>
      </c>
      <c r="Z38" s="194">
        <f t="shared" si="55"/>
        <v>1.49E-2</v>
      </c>
      <c r="AA38" s="194">
        <f t="shared" si="56"/>
        <v>23.283300000000001</v>
      </c>
      <c r="AB38" s="54" t="e">
        <f>VLOOKUP(A38,Enforcements!$C$7:$K$11,8,0)</f>
        <v>#N/A</v>
      </c>
      <c r="AC38" s="51" t="e">
        <f>VLOOKUP(A38,Enforcements!$C$7:$E$11,3,0)</f>
        <v>#N/A</v>
      </c>
      <c r="AD38" s="203">
        <f t="shared" si="57"/>
        <v>126</v>
      </c>
      <c r="AE38" s="77" t="str">
        <f t="shared" si="1"/>
        <v>aws s3 cp s3://rtdc.mdm.uploadarchive.raw/RTDC4065/ "%USERPROFILE%\AppData\Local\Temp\OnboardLogs"\RTDC4065\2017-09-02 --exclude "*" --recursive --include "*20170902*" &amp; "%USERPROFILE%\Documents\GitHub\mrs-test-scripts\Headless Mode &amp; Sideloading\WalkAndUnGZ.bat" "%USERPROFILE%\AppData\Local\Temp\OnboardLogs"\RTDC4065\2017-09-02 &amp; aws s3 cp s3://rtdc.mdm.uploadarchive.raw/RTDC4065/ "%USERPROFILE%\AppData\Local\Temp\OnboardLogs"\RTDC4065\2017-09-03 --exclude "*" --recursive --include "*20170903*" &amp; "%USERPROFILE%\Documents\GitHub\mrs-test-scripts\Headless Mode &amp; Sideloading\WalkAndUnGZ.bat" "%USERPROFILE%\AppData\Local\Temp\OnboardLogs"\RTDC4065\2017-09-03</v>
      </c>
      <c r="AF38" s="74" t="str">
        <f t="shared" si="2"/>
        <v>"C:\Program Files (x86)\AstroGrep\AstroGrep.exe" /e /r /s /spath="%USERPROFILE%\AppData\Local\Temp\OnboardLogs" /stypes="app*4065*20170902*" /stext=" 14:.+((SYSTEM_STATE.+slice.+state.+changed )|(ment ac)|(multiple cpu faults)|(system.+state.+changed )|(\[timeout)|(PRM\|1\|D)|(kpr)|(kdp)|(train st.+moving)|(\|lc)|(penalty))"</v>
      </c>
      <c r="AG38" s="206" t="str">
        <f t="shared" si="58"/>
        <v>EC</v>
      </c>
      <c r="AH38" s="78" t="str">
        <f t="shared" si="36"/>
        <v>"%USERPROFILE%\Documents\GitHub\eaglep3\Utilities\RefineRTDCRunTimes.py" --tripid 126-02 --locoid 4065 --swversion DE.1.0.9.0 --startMP 204:232982 --initTime 2017-09-02T07:41:09 --startdatetime 2017-09-02T07:43:26 --delay 64 --endMP 204:149 --enddatetime 2017-09-02T08:25:47 --enforcementcount 0 &gt;&gt;C:\Users\stu\Documents\GitHub\eaglep3-reporting\EC\2017-09-02-refined-times.txt</v>
      </c>
      <c r="AI38" s="96" t="str">
        <f t="shared" si="37"/>
        <v>echo {"issue":{"subject":"","project_id":79,"tracker_id":40,"status_id":1,"priority_id":2,"assigned_to_id":338,"start_date":"2017-09-02","description":"","custom_fields":[{"id":1,"name":"Subdivision","value":"EC"},{"id":4,"name":"Milepost","value":"0.0149"},{"id":17,"name":"Train ID","value":"126-02"},{"id":16,"name":"Locomotive ID","value":"4065"},{"id":130,"name":"Impact","value":""},{"id":150,"name":"Time of Event (Mountain Time)","value":"08:25:47"},{"id":151,"name":"Denver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38"/>
        <v>start /low /b %USERPROFILE%\Documents\GitHub\eaglep3\Utilities\DownloadLogsFromS3.py --loco 4065 --day 2017-09-02</v>
      </c>
      <c r="AN38" s="151" t="str">
        <f t="shared" si="39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14:25:47"},{"id":29,"name":"Sharepoint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628</v>
      </c>
      <c r="B39" s="7">
        <v>4042</v>
      </c>
      <c r="C39" s="21" t="s">
        <v>197</v>
      </c>
      <c r="D39" s="21" t="s">
        <v>337</v>
      </c>
      <c r="E39" s="13">
        <v>42980.289467592593</v>
      </c>
      <c r="F39" s="13">
        <v>42980.292407407411</v>
      </c>
      <c r="G39" s="7">
        <v>215</v>
      </c>
      <c r="H39" s="21" t="s">
        <v>785</v>
      </c>
      <c r="I39" s="13">
        <v>42980.317164351851</v>
      </c>
      <c r="J39" s="7">
        <v>0</v>
      </c>
      <c r="K39" s="89" t="str">
        <f t="shared" si="49"/>
        <v>4041/4042</v>
      </c>
      <c r="L39" s="214" t="str">
        <f>VLOOKUP(A39,'Trips&amp;Operators'!$C$1:$G$99911,5,FALSE)</f>
        <v>MACDONALD THOMAS</v>
      </c>
      <c r="M39" s="6">
        <f t="shared" si="50"/>
        <v>2.4756944440014195E-2</v>
      </c>
      <c r="N39" s="7">
        <f t="shared" si="60"/>
        <v>35.64999999362044</v>
      </c>
      <c r="O39" s="7"/>
      <c r="P39" s="7"/>
      <c r="Q39" s="22"/>
      <c r="R39" s="167"/>
      <c r="S39" s="210">
        <f t="shared" si="52"/>
        <v>1</v>
      </c>
      <c r="T39" s="192" t="str">
        <f t="shared" si="53"/>
        <v>NorthBound</v>
      </c>
      <c r="U39" s="192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3" t="str">
        <f t="shared" si="0"/>
        <v>https://d0f6bd738d7f1b3e5a7ca70fe4ff75f0.us-east-1.aws.found.io/app/kibana#/discover/Steve-Slow-Train-Analysis-(2080s-and-2083s)?_g=(refreshInterval:(display:Off,pause:!f,section:0,value:0),time:(from:'2017-09-02T05:56:50-0600',mode:absolute,to:'2017-09-02T08:36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39" s="194" t="str">
        <f>IF(AA39&lt;VLOOKUP(AG39,Variables!$AC$3:$AD$8,2,FALSE),"Y","N")</f>
        <v>N</v>
      </c>
      <c r="X39" s="194">
        <f t="shared" si="59"/>
        <v>1</v>
      </c>
      <c r="Y39" s="194">
        <f t="shared" si="54"/>
        <v>4.4600000000000001E-2</v>
      </c>
      <c r="Z39" s="194">
        <f t="shared" si="55"/>
        <v>23.3308</v>
      </c>
      <c r="AA39" s="194">
        <f t="shared" si="56"/>
        <v>23.286200000000001</v>
      </c>
      <c r="AB39" s="54" t="e">
        <f>VLOOKUP(A39,Enforcements!$C$7:$K$11,8,0)</f>
        <v>#N/A</v>
      </c>
      <c r="AC39" s="51" t="e">
        <f>VLOOKUP(A39,Enforcements!$C$7:$E$11,3,0)</f>
        <v>#N/A</v>
      </c>
      <c r="AD39" s="203">
        <f t="shared" si="57"/>
        <v>127</v>
      </c>
      <c r="AE39" s="77" t="str">
        <f t="shared" si="1"/>
        <v>aws s3 cp s3://rtdc.mdm.uploadarchive.raw/RTDC4042/ "%USERPROFILE%\AppData\Local\Temp\OnboardLogs"\RTDC4042\2017-09-02 --exclude "*" --recursive --include "*20170902*" &amp; "%USERPROFILE%\Documents\GitHub\mrs-test-scripts\Headless Mode &amp; Sideloading\WalkAndUnGZ.bat" "%USERPROFILE%\AppData\Local\Temp\OnboardLogs"\RTDC4042\2017-09-02 &amp; aws s3 cp s3://rtdc.mdm.uploadarchive.raw/RTDC4042/ "%USERPROFILE%\AppData\Local\Temp\OnboardLogs"\RTDC4042\2017-09-03 --exclude "*" --recursive --include "*20170903*" &amp; "%USERPROFILE%\Documents\GitHub\mrs-test-scripts\Headless Mode &amp; Sideloading\WalkAndUnGZ.bat" "%USERPROFILE%\AppData\Local\Temp\OnboardLogs"\RTDC4042\2017-09-03</v>
      </c>
      <c r="AF39" s="74" t="str">
        <f t="shared" si="2"/>
        <v>"C:\Program Files (x86)\AstroGrep\AstroGrep.exe" /e /r /s /spath="%USERPROFILE%\AppData\Local\Temp\OnboardLogs" /stypes="app*4042*20170902*" /stext=" 13:.+((SYSTEM_STATE.+slice.+state.+changed )|(ment ac)|(multiple cpu faults)|(system.+state.+changed )|(\[timeout)|(PRM\|1\|D)|(kpr)|(kdp)|(train st.+moving)|(\|lc)|(penalty))"</v>
      </c>
      <c r="AG39" s="206" t="str">
        <f t="shared" si="58"/>
        <v>EC</v>
      </c>
      <c r="AH39" s="78" t="str">
        <f t="shared" si="36"/>
        <v>"%USERPROFILE%\Documents\GitHub\eaglep3\Utilities\RefineRTDCRunTimes.py" --tripid 127-02 --locoid 4042 --swversion DE.1.0.9.0 --startMP 204:446 --initTime 2017-09-02T06:56:50 --startdatetime 2017-09-02T07:01:04 --delay 215 --endMP 204:233308 --enddatetime 2017-09-02T07:36:43 --enforcementcount 0 &gt;&gt;C:\Users\stu\Documents\GitHub\eaglep3-reporting\EC\2017-09-02-refined-times.txt</v>
      </c>
      <c r="AI39" s="96" t="str">
        <f t="shared" si="37"/>
        <v>echo {"issue":{"subject":"","project_id":79,"tracker_id":40,"status_id":1,"priority_id":2,"assigned_to_id":338,"start_date":"2017-09-02","description":"","custom_fields":[{"id":1,"name":"Subdivision","value":"EC"},{"id":4,"name":"Milepost","value":"23.3308"},{"id":17,"name":"Train ID","value":"127-02"},{"id":16,"name":"Locomotive ID","value":"4042"},{"id":130,"name":"Impact","value":""},{"id":150,"name":"Time of Event (Mountain Time)","value":"07:36:43"},{"id":151,"name":"Denver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38"/>
        <v>start /low /b %USERPROFILE%\Documents\GitHub\eaglep3\Utilities\DownloadLogsFromS3.py --loco 4042 --day 2017-09-02</v>
      </c>
      <c r="AN39" s="151" t="str">
        <f t="shared" si="39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13:36:43"},{"id":29,"name":"Sharepoint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634</v>
      </c>
      <c r="B40" s="7">
        <v>4041</v>
      </c>
      <c r="C40" s="21" t="s">
        <v>197</v>
      </c>
      <c r="D40" s="21" t="s">
        <v>485</v>
      </c>
      <c r="E40" s="13">
        <v>42980.32916666667</v>
      </c>
      <c r="F40" s="13">
        <v>42980.331793981481</v>
      </c>
      <c r="G40" s="7">
        <v>103</v>
      </c>
      <c r="H40" s="21" t="s">
        <v>364</v>
      </c>
      <c r="I40" s="13">
        <v>42980.358356481483</v>
      </c>
      <c r="J40" s="7">
        <v>0</v>
      </c>
      <c r="K40" s="89" t="str">
        <f t="shared" si="49"/>
        <v>4041/4042</v>
      </c>
      <c r="L40" s="214" t="str">
        <f>VLOOKUP(A40,'Trips&amp;Operators'!$C$1:$G$99911,5,FALSE)</f>
        <v>MACDONALD THOMAS</v>
      </c>
      <c r="M40" s="6">
        <f t="shared" si="50"/>
        <v>2.6562500002910383E-2</v>
      </c>
      <c r="N40" s="7">
        <f t="shared" si="60"/>
        <v>38.250000004190952</v>
      </c>
      <c r="O40" s="7"/>
      <c r="P40" s="7"/>
      <c r="Q40" s="22"/>
      <c r="R40" s="167"/>
      <c r="S40" s="210">
        <f t="shared" si="52"/>
        <v>1</v>
      </c>
      <c r="T40" s="192" t="str">
        <f t="shared" si="53"/>
        <v>Southbound</v>
      </c>
      <c r="U40" s="192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3" t="str">
        <f t="shared" si="0"/>
        <v>https://d0f6bd738d7f1b3e5a7ca70fe4ff75f0.us-east-1.aws.found.io/app/kibana#/discover/Steve-Slow-Train-Analysis-(2080s-and-2083s)?_g=(refreshInterval:(display:Off,pause:!f,section:0,value:0),time:(from:'2017-09-02T06:54:00-0600',mode:absolute,to:'2017-09-02T09:36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40" s="194" t="str">
        <f>IF(AA40&lt;VLOOKUP(AG40,Variables!$AC$3:$AD$8,2,FALSE),"Y","N")</f>
        <v>N</v>
      </c>
      <c r="X40" s="194">
        <f t="shared" si="59"/>
        <v>1</v>
      </c>
      <c r="Y40" s="194">
        <f t="shared" si="54"/>
        <v>23.2987</v>
      </c>
      <c r="Z40" s="194">
        <f t="shared" si="55"/>
        <v>1.52E-2</v>
      </c>
      <c r="AA40" s="194">
        <f t="shared" si="56"/>
        <v>23.2835</v>
      </c>
      <c r="AB40" s="54" t="e">
        <f>VLOOKUP(A40,Enforcements!$C$7:$K$11,8,0)</f>
        <v>#N/A</v>
      </c>
      <c r="AC40" s="51" t="e">
        <f>VLOOKUP(A40,Enforcements!$C$7:$E$11,3,0)</f>
        <v>#N/A</v>
      </c>
      <c r="AD40" s="203">
        <f t="shared" si="57"/>
        <v>128</v>
      </c>
      <c r="AE40" s="77" t="str">
        <f t="shared" si="1"/>
        <v>aws s3 cp s3://rtdc.mdm.uploadarchive.raw/RTDC4041/ "%USERPROFILE%\AppData\Local\Temp\OnboardLogs"\RTDC4041\2017-09-02 --exclude "*" --recursive --include "*20170902*" &amp; "%USERPROFILE%\Documents\GitHub\mrs-test-scripts\Headless Mode &amp; Sideloading\WalkAndUnGZ.bat" "%USERPROFILE%\AppData\Local\Temp\OnboardLogs"\RTDC4041\2017-09-02 &amp; aws s3 cp s3://rtdc.mdm.uploadarchive.raw/RTDC4041/ "%USERPROFILE%\AppData\Local\Temp\OnboardLogs"\RTDC4041\2017-09-03 --exclude "*" --recursive --include "*20170903*" &amp; "%USERPROFILE%\Documents\GitHub\mrs-test-scripts\Headless Mode &amp; Sideloading\WalkAndUnGZ.bat" "%USERPROFILE%\AppData\Local\Temp\OnboardLogs"\RTDC4041\2017-09-03</v>
      </c>
      <c r="AF40" s="74" t="str">
        <f t="shared" si="2"/>
        <v>"C:\Program Files (x86)\AstroGrep\AstroGrep.exe" /e /r /s /spath="%USERPROFILE%\AppData\Local\Temp\OnboardLogs" /stypes="app*4041*20170902*" /stext=" 14:.+((SYSTEM_STATE.+slice.+state.+changed )|(ment ac)|(multiple cpu faults)|(system.+state.+changed )|(\[timeout)|(PRM\|1\|D)|(kpr)|(kdp)|(train st.+moving)|(\|lc)|(penalty))"</v>
      </c>
      <c r="AG40" s="206" t="str">
        <f t="shared" si="58"/>
        <v>EC</v>
      </c>
      <c r="AH40" s="78" t="str">
        <f t="shared" si="36"/>
        <v>"%USERPROFILE%\Documents\GitHub\eaglep3\Utilities\RefineRTDCRunTimes.py" --tripid 128-02 --locoid 4041 --swversion DE.1.0.9.0 --startMP 204:232987 --initTime 2017-09-02T07:54:00 --startdatetime 2017-09-02T07:57:47 --delay 103 --endMP 204:152 --enddatetime 2017-09-02T08:36:02 --enforcementcount 0 &gt;&gt;C:\Users\stu\Documents\GitHub\eaglep3-reporting\EC\2017-09-02-refined-times.txt</v>
      </c>
      <c r="AI40" s="96" t="str">
        <f t="shared" si="37"/>
        <v>echo {"issue":{"subject":"","project_id":79,"tracker_id":40,"status_id":1,"priority_id":2,"assigned_to_id":338,"start_date":"2017-09-02","description":"","custom_fields":[{"id":1,"name":"Subdivision","value":"EC"},{"id":4,"name":"Milepost","value":"0.0152"},{"id":17,"name":"Train ID","value":"128-02"},{"id":16,"name":"Locomotive ID","value":"4041"},{"id":130,"name":"Impact","value":""},{"id":150,"name":"Time of Event (Mountain Time)","value":"08:36:02"},{"id":151,"name":"Denver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38"/>
        <v>start /low /b %USERPROFILE%\Documents\GitHub\eaglep3\Utilities\DownloadLogsFromS3.py --loco 4041 --day 2017-09-02</v>
      </c>
      <c r="AN40" s="151" t="str">
        <f t="shared" si="39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14:36:02"},{"id":29,"name":"Sharepoint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629</v>
      </c>
      <c r="B41" s="7">
        <v>4032</v>
      </c>
      <c r="C41" s="21" t="s">
        <v>197</v>
      </c>
      <c r="D41" s="21" t="s">
        <v>376</v>
      </c>
      <c r="E41" s="13">
        <v>42980.298993055556</v>
      </c>
      <c r="F41" s="13">
        <v>42980.30232638889</v>
      </c>
      <c r="G41" s="7">
        <v>49</v>
      </c>
      <c r="H41" s="21" t="s">
        <v>547</v>
      </c>
      <c r="I41" s="13">
        <v>42980.326435185183</v>
      </c>
      <c r="J41" s="7">
        <v>0</v>
      </c>
      <c r="K41" s="89" t="str">
        <f t="shared" si="49"/>
        <v>4031/4032</v>
      </c>
      <c r="L41" s="214" t="str">
        <f>VLOOKUP(A41,'Trips&amp;Operators'!$C$1:$G$99911,5,FALSE)</f>
        <v>MAELZER KURT</v>
      </c>
      <c r="M41" s="6">
        <f t="shared" si="50"/>
        <v>2.4108796293148771E-2</v>
      </c>
      <c r="N41" s="7">
        <f t="shared" si="60"/>
        <v>34.71666666213423</v>
      </c>
      <c r="O41" s="7"/>
      <c r="P41" s="7"/>
      <c r="Q41" s="22"/>
      <c r="R41" s="167"/>
      <c r="S41" s="210">
        <f t="shared" si="52"/>
        <v>1</v>
      </c>
      <c r="T41" s="192" t="str">
        <f t="shared" si="53"/>
        <v>NorthBound</v>
      </c>
      <c r="U41" s="192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3" t="str">
        <f t="shared" si="0"/>
        <v>https://d0f6bd738d7f1b3e5a7ca70fe4ff75f0.us-east-1.aws.found.io/app/kibana#/discover/Steve-Slow-Train-Analysis-(2080s-and-2083s)?_g=(refreshInterval:(display:Off,pause:!f,section:0,value:0),time:(from:'2017-09-02T06:10:33-0600',mode:absolute,to:'2017-09-02T08:50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41" s="194" t="str">
        <f>IF(AA41&lt;VLOOKUP(AG41,Variables!$AC$3:$AD$8,2,FALSE),"Y","N")</f>
        <v>N</v>
      </c>
      <c r="X41" s="194">
        <f t="shared" si="59"/>
        <v>1</v>
      </c>
      <c r="Y41" s="194">
        <f t="shared" si="54"/>
        <v>4.4400000000000002E-2</v>
      </c>
      <c r="Z41" s="194">
        <f t="shared" si="55"/>
        <v>23.328600000000002</v>
      </c>
      <c r="AA41" s="194">
        <f t="shared" si="56"/>
        <v>23.284200000000002</v>
      </c>
      <c r="AB41" s="54" t="e">
        <f>VLOOKUP(A41,Enforcements!$C$7:$K$11,8,0)</f>
        <v>#N/A</v>
      </c>
      <c r="AC41" s="51" t="e">
        <f>VLOOKUP(A41,Enforcements!$C$7:$E$11,3,0)</f>
        <v>#N/A</v>
      </c>
      <c r="AD41" s="203">
        <f t="shared" si="57"/>
        <v>129</v>
      </c>
      <c r="AE41" s="77" t="str">
        <f t="shared" si="1"/>
        <v>aws s3 cp s3://rtdc.mdm.uploadarchive.raw/RTDC4032/ "%USERPROFILE%\AppData\Local\Temp\OnboardLogs"\RTDC4032\2017-09-02 --exclude "*" --recursive --include "*20170902*" &amp; "%USERPROFILE%\Documents\GitHub\mrs-test-scripts\Headless Mode &amp; Sideloading\WalkAndUnGZ.bat" "%USERPROFILE%\AppData\Local\Temp\OnboardLogs"\RTDC4032\2017-09-02 &amp; aws s3 cp s3://rtdc.mdm.uploadarchive.raw/RTDC4032/ "%USERPROFILE%\AppData\Local\Temp\OnboardLogs"\RTDC4032\2017-09-03 --exclude "*" --recursive --include "*20170903*" &amp; "%USERPROFILE%\Documents\GitHub\mrs-test-scripts\Headless Mode &amp; Sideloading\WalkAndUnGZ.bat" "%USERPROFILE%\AppData\Local\Temp\OnboardLogs"\RTDC4032\2017-09-03</v>
      </c>
      <c r="AF41" s="74" t="str">
        <f t="shared" si="2"/>
        <v>"C:\Program Files (x86)\AstroGrep\AstroGrep.exe" /e /r /s /spath="%USERPROFILE%\AppData\Local\Temp\OnboardLogs" /stypes="app*4032*20170902*" /stext=" 13:.+((SYSTEM_STATE.+slice.+state.+changed )|(ment ac)|(multiple cpu faults)|(system.+state.+changed )|(\[timeout)|(PRM\|1\|D)|(kpr)|(kdp)|(train st.+moving)|(\|lc)|(penalty))"</v>
      </c>
      <c r="AG41" s="206" t="str">
        <f t="shared" si="58"/>
        <v>EC</v>
      </c>
      <c r="AH41" s="78" t="str">
        <f t="shared" si="36"/>
        <v>"%USERPROFILE%\Documents\GitHub\eaglep3\Utilities\RefineRTDCRunTimes.py" --tripid 129-02 --locoid 4032 --swversion DE.1.0.9.0 --startMP 204:444 --initTime 2017-09-02T07:10:33 --startdatetime 2017-09-02T07:15:21 --delay 49 --endMP 204:233286 --enddatetime 2017-09-02T07:50:04 --enforcementcount 0 &gt;&gt;C:\Users\stu\Documents\GitHub\eaglep3-reporting\EC\2017-09-02-refined-times.txt</v>
      </c>
      <c r="AI41" s="96" t="str">
        <f t="shared" si="37"/>
        <v>echo {"issue":{"subject":"","project_id":79,"tracker_id":40,"status_id":1,"priority_id":2,"assigned_to_id":338,"start_date":"2017-09-02","description":"","custom_fields":[{"id":1,"name":"Subdivision","value":"EC"},{"id":4,"name":"Milepost","value":"23.3286"},{"id":17,"name":"Train ID","value":"129-02"},{"id":16,"name":"Locomotive ID","value":"4032"},{"id":130,"name":"Impact","value":""},{"id":150,"name":"Time of Event (Mountain Time)","value":"07:50:04"},{"id":151,"name":"Denver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38"/>
        <v>start /low /b %USERPROFILE%\Documents\GitHub\eaglep3\Utilities\DownloadLogsFromS3.py --loco 4032 --day 2017-09-02</v>
      </c>
      <c r="AN41" s="151" t="str">
        <f t="shared" si="39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13:50:04"},{"id":29,"name":"Sharepoint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635</v>
      </c>
      <c r="B42" s="7">
        <v>4031</v>
      </c>
      <c r="C42" s="21" t="s">
        <v>197</v>
      </c>
      <c r="D42" s="21" t="s">
        <v>486</v>
      </c>
      <c r="E42" s="13">
        <v>42980.331550925926</v>
      </c>
      <c r="F42" s="13">
        <v>42980.341828703706</v>
      </c>
      <c r="G42" s="7">
        <v>347</v>
      </c>
      <c r="H42" s="21" t="s">
        <v>344</v>
      </c>
      <c r="I42" s="13">
        <v>42980.368148148147</v>
      </c>
      <c r="J42" s="7">
        <v>0</v>
      </c>
      <c r="K42" s="89" t="str">
        <f t="shared" si="49"/>
        <v>4031/4032</v>
      </c>
      <c r="L42" s="214" t="str">
        <f>VLOOKUP(A42,'Trips&amp;Operators'!$C$1:$G$99911,5,FALSE)</f>
        <v>MAELZER KURT</v>
      </c>
      <c r="M42" s="6">
        <f t="shared" si="50"/>
        <v>2.6319444441469386E-2</v>
      </c>
      <c r="N42" s="7">
        <f t="shared" si="60"/>
        <v>37.899999995715916</v>
      </c>
      <c r="O42" s="7"/>
      <c r="P42" s="7"/>
      <c r="Q42" s="22"/>
      <c r="R42" s="167"/>
      <c r="S42" s="210">
        <f t="shared" si="52"/>
        <v>1</v>
      </c>
      <c r="T42" s="192" t="str">
        <f t="shared" si="53"/>
        <v>Southbound</v>
      </c>
      <c r="U42" s="192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3" t="str">
        <f t="shared" si="0"/>
        <v>https://d0f6bd738d7f1b3e5a7ca70fe4ff75f0.us-east-1.aws.found.io/app/kibana#/discover/Steve-Slow-Train-Analysis-(2080s-and-2083s)?_g=(refreshInterval:(display:Off,pause:!f,section:0,value:0),time:(from:'2017-09-02T06:57:26-0600',mode:absolute,to:'2017-09-02T09:50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42" s="194" t="str">
        <f>IF(AA42&lt;VLOOKUP(AG42,Variables!$AC$3:$AD$8,2,FALSE),"Y","N")</f>
        <v>N</v>
      </c>
      <c r="X42" s="194">
        <f t="shared" si="59"/>
        <v>1</v>
      </c>
      <c r="Y42" s="194">
        <f t="shared" si="54"/>
        <v>23.298400000000001</v>
      </c>
      <c r="Z42" s="194">
        <f t="shared" si="55"/>
        <v>1.41E-2</v>
      </c>
      <c r="AA42" s="194">
        <f t="shared" si="56"/>
        <v>23.284300000000002</v>
      </c>
      <c r="AB42" s="54" t="e">
        <f>VLOOKUP(A42,Enforcements!$C$7:$K$11,8,0)</f>
        <v>#N/A</v>
      </c>
      <c r="AC42" s="51" t="e">
        <f>VLOOKUP(A42,Enforcements!$C$7:$E$11,3,0)</f>
        <v>#N/A</v>
      </c>
      <c r="AD42" s="203">
        <f t="shared" si="57"/>
        <v>130</v>
      </c>
      <c r="AE42" s="77" t="str">
        <f t="shared" si="1"/>
        <v>aws s3 cp s3://rtdc.mdm.uploadarchive.raw/RTDC4031/ "%USERPROFILE%\AppData\Local\Temp\OnboardLogs"\RTDC4031\2017-09-02 --exclude "*" --recursive --include "*20170902*" &amp; "%USERPROFILE%\Documents\GitHub\mrs-test-scripts\Headless Mode &amp; Sideloading\WalkAndUnGZ.bat" "%USERPROFILE%\AppData\Local\Temp\OnboardLogs"\RTDC4031\2017-09-02 &amp; aws s3 cp s3://rtdc.mdm.uploadarchive.raw/RTDC4031/ "%USERPROFILE%\AppData\Local\Temp\OnboardLogs"\RTDC4031\2017-09-03 --exclude "*" --recursive --include "*20170903*" &amp; "%USERPROFILE%\Documents\GitHub\mrs-test-scripts\Headless Mode &amp; Sideloading\WalkAndUnGZ.bat" "%USERPROFILE%\AppData\Local\Temp\OnboardLogs"\RTDC4031\2017-09-03</v>
      </c>
      <c r="AF42" s="74" t="str">
        <f t="shared" si="2"/>
        <v>"C:\Program Files (x86)\AstroGrep\AstroGrep.exe" /e /r /s /spath="%USERPROFILE%\AppData\Local\Temp\OnboardLogs" /stypes="app*4031*20170902*" /stext=" 14:.+((SYSTEM_STATE.+slice.+state.+changed )|(ment ac)|(multiple cpu faults)|(system.+state.+changed )|(\[timeout)|(PRM\|1\|D)|(kpr)|(kdp)|(train st.+moving)|(\|lc)|(penalty))"</v>
      </c>
      <c r="AG42" s="206" t="str">
        <f t="shared" si="58"/>
        <v>EC</v>
      </c>
      <c r="AH42" s="78" t="str">
        <f t="shared" si="36"/>
        <v>"%USERPROFILE%\Documents\GitHub\eaglep3\Utilities\RefineRTDCRunTimes.py" --tripid 130-02 --locoid 4031 --swversion DE.1.0.9.0 --startMP 204:232984 --initTime 2017-09-02T07:57:26 --startdatetime 2017-09-02T08:12:14 --delay 347 --endMP 204:141 --enddatetime 2017-09-02T08:50:08 --enforcementcount 0 &gt;&gt;C:\Users\stu\Documents\GitHub\eaglep3-reporting\EC\2017-09-02-refined-times.txt</v>
      </c>
      <c r="AI42" s="96" t="str">
        <f t="shared" si="37"/>
        <v>echo {"issue":{"subject":"","project_id":79,"tracker_id":40,"status_id":1,"priority_id":2,"assigned_to_id":338,"start_date":"2017-09-02","description":"","custom_fields":[{"id":1,"name":"Subdivision","value":"EC"},{"id":4,"name":"Milepost","value":"0.0141"},{"id":17,"name":"Train ID","value":"130-02"},{"id":16,"name":"Locomotive ID","value":"4031"},{"id":130,"name":"Impact","value":""},{"id":150,"name":"Time of Event (Mountain Time)","value":"08:50:08"},{"id":151,"name":"Denver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38"/>
        <v>start /low /b %USERPROFILE%\Documents\GitHub\eaglep3\Utilities\DownloadLogsFromS3.py --loco 4031 --day 2017-09-02</v>
      </c>
      <c r="AN42" s="151" t="str">
        <f t="shared" si="39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14:50:08"},{"id":29,"name":"Sharepoint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631</v>
      </c>
      <c r="B43" s="7">
        <v>4052</v>
      </c>
      <c r="C43" s="21" t="s">
        <v>197</v>
      </c>
      <c r="D43" s="21" t="s">
        <v>363</v>
      </c>
      <c r="E43" s="13">
        <v>42980.309259259258</v>
      </c>
      <c r="F43" s="13">
        <v>42980.312731481485</v>
      </c>
      <c r="G43" s="7">
        <v>71</v>
      </c>
      <c r="H43" s="21" t="s">
        <v>451</v>
      </c>
      <c r="I43" s="13">
        <v>42980.338576388887</v>
      </c>
      <c r="J43" s="7">
        <v>0</v>
      </c>
      <c r="K43" s="89" t="str">
        <f t="shared" si="49"/>
        <v>4051/4052</v>
      </c>
      <c r="L43" s="214" t="str">
        <f>VLOOKUP(A43,'Trips&amp;Operators'!$C$1:$G$99911,5,FALSE)</f>
        <v>WILLIAMS DONTE</v>
      </c>
      <c r="M43" s="6">
        <f t="shared" si="50"/>
        <v>2.5844907402643003E-2</v>
      </c>
      <c r="N43" s="7">
        <f t="shared" si="60"/>
        <v>37.216666659805924</v>
      </c>
      <c r="O43" s="7"/>
      <c r="P43" s="7"/>
      <c r="Q43" s="22"/>
      <c r="R43" s="167"/>
      <c r="S43" s="210">
        <f t="shared" si="52"/>
        <v>1</v>
      </c>
      <c r="T43" s="192" t="str">
        <f t="shared" si="53"/>
        <v>NorthBound</v>
      </c>
      <c r="U43" s="192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3" t="str">
        <f t="shared" si="0"/>
        <v>https://d0f6bd738d7f1b3e5a7ca70fe4ff75f0.us-east-1.aws.found.io/app/kibana#/discover/Steve-Slow-Train-Analysis-(2080s-and-2083s)?_g=(refreshInterval:(display:Off,pause:!f,section:0,value:0),time:(from:'2017-09-02T06:25:20-0600',mode:absolute,to:'2017-09-02T09:07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43" s="194" t="str">
        <f>IF(AA43&lt;VLOOKUP(AG43,Variables!$AC$3:$AD$8,2,FALSE),"Y","N")</f>
        <v>N</v>
      </c>
      <c r="X43" s="194">
        <f t="shared" si="59"/>
        <v>1</v>
      </c>
      <c r="Y43" s="194">
        <f t="shared" si="54"/>
        <v>4.58E-2</v>
      </c>
      <c r="Z43" s="194">
        <f t="shared" si="55"/>
        <v>23.3278</v>
      </c>
      <c r="AA43" s="194">
        <f t="shared" si="56"/>
        <v>23.282</v>
      </c>
      <c r="AB43" s="54" t="e">
        <f>VLOOKUP(A43,Enforcements!$C$7:$K$11,8,0)</f>
        <v>#N/A</v>
      </c>
      <c r="AC43" s="51" t="e">
        <f>VLOOKUP(A43,Enforcements!$C$7:$E$11,3,0)</f>
        <v>#N/A</v>
      </c>
      <c r="AD43" s="203">
        <f t="shared" si="57"/>
        <v>131</v>
      </c>
      <c r="AE43" s="77" t="str">
        <f t="shared" si="1"/>
        <v>aws s3 cp s3://rtdc.mdm.uploadarchive.raw/RTDC4052/ "%USERPROFILE%\AppData\Local\Temp\OnboardLogs"\RTDC4052\2017-09-02 --exclude "*" --recursive --include "*20170902*" &amp; "%USERPROFILE%\Documents\GitHub\mrs-test-scripts\Headless Mode &amp; Sideloading\WalkAndUnGZ.bat" "%USERPROFILE%\AppData\Local\Temp\OnboardLogs"\RTDC4052\2017-09-02 &amp; aws s3 cp s3://rtdc.mdm.uploadarchive.raw/RTDC4052/ "%USERPROFILE%\AppData\Local\Temp\OnboardLogs"\RTDC4052\2017-09-03 --exclude "*" --recursive --include "*20170903*" &amp; "%USERPROFILE%\Documents\GitHub\mrs-test-scripts\Headless Mode &amp; Sideloading\WalkAndUnGZ.bat" "%USERPROFILE%\AppData\Local\Temp\OnboardLogs"\RTDC4052\2017-09-03</v>
      </c>
      <c r="AF43" s="74" t="str">
        <f t="shared" si="2"/>
        <v>"C:\Program Files (x86)\AstroGrep\AstroGrep.exe" /e /r /s /spath="%USERPROFILE%\AppData\Local\Temp\OnboardLogs" /stypes="app*4052*20170902*" /stext=" 14:.+((SYSTEM_STATE.+slice.+state.+changed )|(ment ac)|(multiple cpu faults)|(system.+state.+changed )|(\[timeout)|(PRM\|1\|D)|(kpr)|(kdp)|(train st.+moving)|(\|lc)|(penalty))"</v>
      </c>
      <c r="AG43" s="206" t="str">
        <f t="shared" si="58"/>
        <v>EC</v>
      </c>
      <c r="AH43" s="78" t="str">
        <f t="shared" si="36"/>
        <v>"%USERPROFILE%\Documents\GitHub\eaglep3\Utilities\RefineRTDCRunTimes.py" --tripid 131-02 --locoid 4052 --swversion DE.1.0.9.0 --startMP 204:458 --initTime 2017-09-02T07:25:20 --startdatetime 2017-09-02T07:30:20 --delay 71 --endMP 204:233278 --enddatetime 2017-09-02T08:07:33 --enforcementcount 0 &gt;&gt;C:\Users\stu\Documents\GitHub\eaglep3-reporting\EC\2017-09-02-refined-times.txt</v>
      </c>
      <c r="AI43" s="96" t="str">
        <f t="shared" si="37"/>
        <v>echo {"issue":{"subject":"","project_id":79,"tracker_id":40,"status_id":1,"priority_id":2,"assigned_to_id":338,"start_date":"2017-09-02","description":"","custom_fields":[{"id":1,"name":"Subdivision","value":"EC"},{"id":4,"name":"Milepost","value":"23.3278"},{"id":17,"name":"Train ID","value":"131-02"},{"id":16,"name":"Locomotive ID","value":"4052"},{"id":130,"name":"Impact","value":""},{"id":150,"name":"Time of Event (Mountain Time)","value":"08:07:33"},{"id":151,"name":"Denver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38"/>
        <v>start /low /b %USERPROFILE%\Documents\GitHub\eaglep3\Utilities\DownloadLogsFromS3.py --loco 4052 --day 2017-09-02</v>
      </c>
      <c r="AN43" s="151" t="str">
        <f t="shared" si="39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14:07:33"},{"id":29,"name":"Sharepoint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637</v>
      </c>
      <c r="B44" s="7">
        <v>4051</v>
      </c>
      <c r="C44" s="21" t="s">
        <v>197</v>
      </c>
      <c r="D44" s="21" t="s">
        <v>544</v>
      </c>
      <c r="E44" s="13">
        <v>42980.348101851851</v>
      </c>
      <c r="F44" s="13">
        <v>42980.352314814816</v>
      </c>
      <c r="G44" s="7">
        <v>175</v>
      </c>
      <c r="H44" s="21" t="s">
        <v>430</v>
      </c>
      <c r="I44" s="13">
        <v>42980.380891203706</v>
      </c>
      <c r="J44" s="7">
        <v>0</v>
      </c>
      <c r="K44" s="89" t="str">
        <f t="shared" si="49"/>
        <v>4051/4052</v>
      </c>
      <c r="L44" s="214" t="str">
        <f>VLOOKUP(A44,'Trips&amp;Operators'!$C$1:$G$99911,5,FALSE)</f>
        <v>WILLIAMS DONTE</v>
      </c>
      <c r="M44" s="6">
        <f t="shared" si="50"/>
        <v>2.8576388889632653E-2</v>
      </c>
      <c r="N44" s="7">
        <f t="shared" si="60"/>
        <v>41.150000001071021</v>
      </c>
      <c r="O44" s="7"/>
      <c r="P44" s="7"/>
      <c r="Q44" s="22"/>
      <c r="R44" s="167"/>
      <c r="S44" s="210">
        <f t="shared" si="52"/>
        <v>1</v>
      </c>
      <c r="T44" s="192" t="str">
        <f t="shared" si="53"/>
        <v>Southbound</v>
      </c>
      <c r="U44" s="192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3" t="str">
        <f t="shared" si="0"/>
        <v>https://d0f6bd738d7f1b3e5a7ca70fe4ff75f0.us-east-1.aws.found.io/app/kibana#/discover/Steve-Slow-Train-Analysis-(2080s-and-2083s)?_g=(refreshInterval:(display:Off,pause:!f,section:0,value:0),time:(from:'2017-09-02T07:21:16-0600',mode:absolute,to:'2017-09-02T10:08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44" s="194" t="str">
        <f>IF(AA44&lt;VLOOKUP(AG44,Variables!$AC$3:$AD$8,2,FALSE),"Y","N")</f>
        <v>N</v>
      </c>
      <c r="X44" s="194">
        <f t="shared" si="59"/>
        <v>1</v>
      </c>
      <c r="Y44" s="194">
        <f t="shared" si="54"/>
        <v>23.300799999999999</v>
      </c>
      <c r="Z44" s="194">
        <f t="shared" si="55"/>
        <v>1.67E-2</v>
      </c>
      <c r="AA44" s="194">
        <f t="shared" si="56"/>
        <v>23.284099999999999</v>
      </c>
      <c r="AB44" s="54" t="e">
        <f>VLOOKUP(A44,Enforcements!$C$7:$K$11,8,0)</f>
        <v>#N/A</v>
      </c>
      <c r="AC44" s="51" t="e">
        <f>VLOOKUP(A44,Enforcements!$C$7:$E$11,3,0)</f>
        <v>#N/A</v>
      </c>
      <c r="AD44" s="203">
        <f t="shared" si="57"/>
        <v>132</v>
      </c>
      <c r="AE44" s="77" t="str">
        <f t="shared" si="1"/>
        <v>aws s3 cp s3://rtdc.mdm.uploadarchive.raw/RTDC4051/ "%USERPROFILE%\AppData\Local\Temp\OnboardLogs"\RTDC4051\2017-09-02 --exclude "*" --recursive --include "*20170902*" &amp; "%USERPROFILE%\Documents\GitHub\mrs-test-scripts\Headless Mode &amp; Sideloading\WalkAndUnGZ.bat" "%USERPROFILE%\AppData\Local\Temp\OnboardLogs"\RTDC4051\2017-09-02 &amp; aws s3 cp s3://rtdc.mdm.uploadarchive.raw/RTDC4051/ "%USERPROFILE%\AppData\Local\Temp\OnboardLogs"\RTDC4051\2017-09-03 --exclude "*" --recursive --include "*20170903*" &amp; "%USERPROFILE%\Documents\GitHub\mrs-test-scripts\Headless Mode &amp; Sideloading\WalkAndUnGZ.bat" "%USERPROFILE%\AppData\Local\Temp\OnboardLogs"\RTDC4051\2017-09-03</v>
      </c>
      <c r="AF44" s="74" t="str">
        <f t="shared" si="2"/>
        <v>"C:\Program Files (x86)\AstroGrep\AstroGrep.exe" /e /r /s /spath="%USERPROFILE%\AppData\Local\Temp\OnboardLogs" /stypes="app*4051*20170902*" /stext=" 15:.+((SYSTEM_STATE.+slice.+state.+changed )|(ment ac)|(multiple cpu faults)|(system.+state.+changed )|(\[timeout)|(PRM\|1\|D)|(kpr)|(kdp)|(train st.+moving)|(\|lc)|(penalty))"</v>
      </c>
      <c r="AG44" s="206" t="str">
        <f t="shared" si="58"/>
        <v>EC</v>
      </c>
      <c r="AH44" s="78" t="str">
        <f t="shared" si="36"/>
        <v>"%USERPROFILE%\Documents\GitHub\eaglep3\Utilities\RefineRTDCRunTimes.py" --tripid 132-02 --locoid 4051 --swversion DE.1.0.9.0 --startMP 204:233008 --initTime 2017-09-02T08:21:16 --startdatetime 2017-09-02T08:27:20 --delay 175 --endMP 204:167 --enddatetime 2017-09-02T09:08:29 --enforcementcount 0 &gt;&gt;C:\Users\stu\Documents\GitHub\eaglep3-reporting\EC\2017-09-02-refined-times.txt</v>
      </c>
      <c r="AI44" s="96" t="str">
        <f t="shared" si="37"/>
        <v>echo {"issue":{"subject":"","project_id":79,"tracker_id":40,"status_id":1,"priority_id":2,"assigned_to_id":338,"start_date":"2017-09-02","description":"","custom_fields":[{"id":1,"name":"Subdivision","value":"EC"},{"id":4,"name":"Milepost","value":"0.0167"},{"id":17,"name":"Train ID","value":"132-02"},{"id":16,"name":"Locomotive ID","value":"4051"},{"id":130,"name":"Impact","value":""},{"id":150,"name":"Time of Event (Mountain Time)","value":"09:08:29"},{"id":151,"name":"Denver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38"/>
        <v>start /low /b %USERPROFILE%\Documents\GitHub\eaglep3\Utilities\DownloadLogsFromS3.py --loco 4051 --day 2017-09-02</v>
      </c>
      <c r="AN44" s="151" t="str">
        <f t="shared" si="39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15:08:29"},{"id":29,"name":"Sharepoint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632</v>
      </c>
      <c r="B45" s="7">
        <v>4028</v>
      </c>
      <c r="C45" s="21" t="s">
        <v>197</v>
      </c>
      <c r="D45" s="21" t="s">
        <v>786</v>
      </c>
      <c r="E45" s="13">
        <v>42980.317789351851</v>
      </c>
      <c r="F45" s="13">
        <v>42980.323067129626</v>
      </c>
      <c r="G45" s="7">
        <v>60</v>
      </c>
      <c r="H45" s="21" t="s">
        <v>433</v>
      </c>
      <c r="I45" s="13">
        <v>42980.35229166667</v>
      </c>
      <c r="J45" s="7">
        <v>0</v>
      </c>
      <c r="K45" s="89" t="str">
        <f t="shared" si="49"/>
        <v>4027/4028</v>
      </c>
      <c r="L45" s="214" t="str">
        <f>VLOOKUP(A45,'Trips&amp;Operators'!$C$1:$G$99911,5,FALSE)</f>
        <v>DAVIS WENDY</v>
      </c>
      <c r="M45" s="6">
        <f t="shared" si="50"/>
        <v>2.9224537043774035E-2</v>
      </c>
      <c r="N45" s="7">
        <f t="shared" si="60"/>
        <v>42.08333334303461</v>
      </c>
      <c r="O45" s="7"/>
      <c r="P45" s="7"/>
      <c r="Q45" s="22"/>
      <c r="R45" s="167"/>
      <c r="S45" s="210">
        <f t="shared" si="52"/>
        <v>1</v>
      </c>
      <c r="T45" s="192" t="str">
        <f t="shared" si="53"/>
        <v>NorthBound</v>
      </c>
      <c r="U45" s="192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3" t="str">
        <f t="shared" si="0"/>
        <v>https://d0f6bd738d7f1b3e5a7ca70fe4ff75f0.us-east-1.aws.found.io/app/kibana#/discover/Steve-Slow-Train-Analysis-(2080s-and-2083s)?_g=(refreshInterval:(display:Off,pause:!f,section:0,value:0),time:(from:'2017-09-02T06:37:37-0600',mode:absolute,to:'2017-09-02T09:27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5" s="194" t="str">
        <f>IF(AA45&lt;VLOOKUP(AG45,Variables!$AC$3:$AD$8,2,FALSE),"Y","N")</f>
        <v>N</v>
      </c>
      <c r="X45" s="194">
        <f t="shared" si="59"/>
        <v>1</v>
      </c>
      <c r="Y45" s="194">
        <f t="shared" si="54"/>
        <v>4.8399999999999999E-2</v>
      </c>
      <c r="Z45" s="194">
        <f t="shared" si="55"/>
        <v>23.3291</v>
      </c>
      <c r="AA45" s="194">
        <f t="shared" si="56"/>
        <v>23.2807</v>
      </c>
      <c r="AB45" s="54" t="e">
        <f>VLOOKUP(A45,Enforcements!$C$7:$K$11,8,0)</f>
        <v>#N/A</v>
      </c>
      <c r="AC45" s="51" t="e">
        <f>VLOOKUP(A45,Enforcements!$C$7:$E$11,3,0)</f>
        <v>#N/A</v>
      </c>
      <c r="AD45" s="203">
        <f t="shared" si="57"/>
        <v>133</v>
      </c>
      <c r="AE45" s="77" t="str">
        <f t="shared" si="1"/>
        <v>aws s3 cp s3://rtdc.mdm.uploadarchive.raw/RTDC4028/ "%USERPROFILE%\AppData\Local\Temp\OnboardLogs"\RTDC4028\2017-09-02 --exclude "*" --recursive --include "*20170902*" &amp; "%USERPROFILE%\Documents\GitHub\mrs-test-scripts\Headless Mode &amp; Sideloading\WalkAndUnGZ.bat" "%USERPROFILE%\AppData\Local\Temp\OnboardLogs"\RTDC4028\2017-09-02 &amp; aws s3 cp s3://rtdc.mdm.uploadarchive.raw/RTDC4028/ "%USERPROFILE%\AppData\Local\Temp\OnboardLogs"\RTDC4028\2017-09-03 --exclude "*" --recursive --include "*20170903*" &amp; "%USERPROFILE%\Documents\GitHub\mrs-test-scripts\Headless Mode &amp; Sideloading\WalkAndUnGZ.bat" "%USERPROFILE%\AppData\Local\Temp\OnboardLogs"\RTDC4028\2017-09-03</v>
      </c>
      <c r="AF45" s="74" t="str">
        <f t="shared" si="2"/>
        <v>"C:\Program Files (x86)\AstroGrep\AstroGrep.exe" /e /r /s /spath="%USERPROFILE%\AppData\Local\Temp\OnboardLogs" /stypes="app*4028*20170902*" /stext=" 14:.+((SYSTEM_STATE.+slice.+state.+changed )|(ment ac)|(multiple cpu faults)|(system.+state.+changed )|(\[timeout)|(PRM\|1\|D)|(kpr)|(kdp)|(train st.+moving)|(\|lc)|(penalty))"</v>
      </c>
      <c r="AG45" s="206" t="str">
        <f t="shared" si="58"/>
        <v>EC</v>
      </c>
      <c r="AH45" s="78" t="str">
        <f t="shared" si="36"/>
        <v>"%USERPROFILE%\Documents\GitHub\eaglep3\Utilities\RefineRTDCRunTimes.py" --tripid 133-02 --locoid 4028 --swversion DE.1.0.9.0 --startMP 204:484 --initTime 2017-09-02T07:37:37 --startdatetime 2017-09-02T07:45:13 --delay 60 --endMP 204:233291 --enddatetime 2017-09-02T08:27:18 --enforcementcount 0 &gt;&gt;C:\Users\stu\Documents\GitHub\eaglep3-reporting\EC\2017-09-02-refined-times.txt</v>
      </c>
      <c r="AI45" s="96" t="str">
        <f t="shared" si="37"/>
        <v>echo {"issue":{"subject":"","project_id":79,"tracker_id":40,"status_id":1,"priority_id":2,"assigned_to_id":338,"start_date":"2017-09-02","description":"","custom_fields":[{"id":1,"name":"Subdivision","value":"EC"},{"id":4,"name":"Milepost","value":"23.3291"},{"id":17,"name":"Train ID","value":"133-02"},{"id":16,"name":"Locomotive ID","value":"4028"},{"id":130,"name":"Impact","value":""},{"id":150,"name":"Time of Event (Mountain Time)","value":"08:27:18"},{"id":151,"name":"Denver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38"/>
        <v>start /low /b %USERPROFILE%\Documents\GitHub\eaglep3\Utilities\DownloadLogsFromS3.py --loco 4028 --day 2017-09-02</v>
      </c>
      <c r="AN45" s="151" t="str">
        <f t="shared" si="39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14:27:18"},{"id":29,"name":"Sharepoint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568</v>
      </c>
      <c r="B46" s="7">
        <v>4027</v>
      </c>
      <c r="C46" s="21" t="s">
        <v>197</v>
      </c>
      <c r="D46" s="21" t="s">
        <v>786</v>
      </c>
      <c r="E46" s="13">
        <v>42980.317789351851</v>
      </c>
      <c r="F46" s="13">
        <v>42980.362638888888</v>
      </c>
      <c r="G46" s="7">
        <v>60</v>
      </c>
      <c r="H46" s="21" t="s">
        <v>433</v>
      </c>
      <c r="I46" s="13">
        <v>42980.389618055553</v>
      </c>
      <c r="J46" s="7">
        <v>0</v>
      </c>
      <c r="K46" s="89" t="str">
        <f t="shared" si="49"/>
        <v>4027/4028</v>
      </c>
      <c r="L46" s="214" t="str">
        <f>VLOOKUP(A46,'Trips&amp;Operators'!$C$1:$G$99911,5,FALSE)</f>
        <v>DAVIS WENDY</v>
      </c>
      <c r="M46" s="6">
        <f t="shared" si="50"/>
        <v>2.6979166665114462E-2</v>
      </c>
      <c r="N46" s="7">
        <f t="shared" si="60"/>
        <v>38.849999997764826</v>
      </c>
      <c r="O46" s="7"/>
      <c r="P46" s="7"/>
      <c r="Q46" s="22"/>
      <c r="R46" s="167"/>
      <c r="S46" s="210">
        <f t="shared" si="52"/>
        <v>1</v>
      </c>
      <c r="T46" s="192" t="str">
        <f t="shared" si="53"/>
        <v>Southbound</v>
      </c>
      <c r="U46" s="192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3" t="str">
        <f t="shared" si="0"/>
        <v>https://d0f6bd738d7f1b3e5a7ca70fe4ff75f0.us-east-1.aws.found.io/app/kibana#/discover/Steve-Slow-Train-Analysis-(2080s-and-2083s)?_g=(refreshInterval:(display:Off,pause:!f,section:0,value:0),time:(from:'2017-09-02T06:37:37-0600',mode:absolute,to:'2017-09-02T10:21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6" s="194" t="str">
        <f>IF(AA46&lt;VLOOKUP(AG46,Variables!$AC$3:$AD$8,2,FALSE),"Y","N")</f>
        <v>N</v>
      </c>
      <c r="X46" s="194">
        <f t="shared" si="59"/>
        <v>1</v>
      </c>
      <c r="Y46" s="194">
        <v>23.300799999999999</v>
      </c>
      <c r="Z46" s="194">
        <v>1.67E-2</v>
      </c>
      <c r="AA46" s="194">
        <f t="shared" si="56"/>
        <v>23.284099999999999</v>
      </c>
      <c r="AB46" s="54" t="e">
        <f>VLOOKUP(A46,Enforcements!$C$7:$K$11,8,0)</f>
        <v>#N/A</v>
      </c>
      <c r="AC46" s="51" t="e">
        <f>VLOOKUP(A46,Enforcements!$C$7:$E$11,3,0)</f>
        <v>#N/A</v>
      </c>
      <c r="AD46" s="203">
        <f t="shared" si="57"/>
        <v>134</v>
      </c>
      <c r="AE46" s="77" t="str">
        <f t="shared" si="1"/>
        <v>aws s3 cp s3://rtdc.mdm.uploadarchive.raw/RTDC4027/ "%USERPROFILE%\AppData\Local\Temp\OnboardLogs"\RTDC4027\2017-09-02 --exclude "*" --recursive --include "*20170902*" &amp; "%USERPROFILE%\Documents\GitHub\mrs-test-scripts\Headless Mode &amp; Sideloading\WalkAndUnGZ.bat" "%USERPROFILE%\AppData\Local\Temp\OnboardLogs"\RTDC4027\2017-09-02 &amp; aws s3 cp s3://rtdc.mdm.uploadarchive.raw/RTDC4027/ "%USERPROFILE%\AppData\Local\Temp\OnboardLogs"\RTDC4027\2017-09-03 --exclude "*" --recursive --include "*20170903*" &amp; "%USERPROFILE%\Documents\GitHub\mrs-test-scripts\Headless Mode &amp; Sideloading\WalkAndUnGZ.bat" "%USERPROFILE%\AppData\Local\Temp\OnboardLogs"\RTDC4027\2017-09-03</v>
      </c>
      <c r="AF46" s="74" t="str">
        <f t="shared" si="2"/>
        <v>"C:\Program Files (x86)\AstroGrep\AstroGrep.exe" /e /r /s /spath="%USERPROFILE%\AppData\Local\Temp\OnboardLogs" /stypes="app*4027*20170902*" /stext=" 15:.+((SYSTEM_STATE.+slice.+state.+changed )|(ment ac)|(multiple cpu faults)|(system.+state.+changed )|(\[timeout)|(PRM\|1\|D)|(kpr)|(kdp)|(train st.+moving)|(\|lc)|(penalty))"</v>
      </c>
      <c r="AG46" s="206" t="str">
        <f t="shared" si="58"/>
        <v>EC</v>
      </c>
      <c r="AH46" s="78" t="str">
        <f t="shared" ref="AH46" si="61">refinertdcruntimes&amp;" --tripid "&amp;A46&amp;" --locoid "&amp;B46&amp;" --swversion "&amp;C46&amp;" --startMP "&amp;D46&amp;" --initTime "&amp;TEXT(E46,"yyyy-mm-ddTHH:MM:SS")&amp;" --startdatetime "&amp;TEXT(F46,"yyyy-mm-ddTHH:MM:SS")&amp;" --delay "&amp;G46&amp;" --endMP "&amp;H46&amp;" --enddatetime "&amp;TEXT(I46,"yyyy-mm-ddTHH:MM:SS")&amp;" --enforcementcount "&amp;J46&amp;IF(outputrefinedruntimes," &gt;&gt;"&amp;RefinedRTDCRunTimesOutputFile,"")</f>
        <v>"%USERPROFILE%\Documents\GitHub\eaglep3\Utilities\RefineRTDCRunTimes.py" --tripid 134-02 --locoid 4027 --swversion DE.1.0.9.0 --startMP 204:484 --initTime 2017-09-02T07:37:37 --startdatetime 2017-09-02T08:42:12 --delay 60 --endMP 204:233291 --enddatetime 2017-09-02T09:21:03 --enforcementcount 0 &gt;&gt;C:\Users\stu\Documents\GitHub\eaglep3-reporting\EC\2017-09-02-refined-times.txt</v>
      </c>
      <c r="AI46" s="96" t="str">
        <f t="shared" ref="AI46" si="62">"echo {""issue"":{""subject"":"""&amp;R46&amp;""",""project_id"":79,""tracker_id"":40,""status_id"":"&amp;redmine_status&amp;",""priority_id"":"&amp;redmine_priority&amp;",""assigned_to_id"":"&amp;redmine_assignee&amp;",""start_date"":"""&amp;TEXT(I46,"YYYY-mm-dd")&amp;""",""description"":"""&amp;AJ46&amp;""",""custom_fields"":[{""id"":1,""name"":""Subdivision"",""value"":"""&amp;AG46&amp;"""},{""id"":4,""name"":""Milepost"",""value"":"""&amp;Z46&amp;"""},{""id"":17,""name"":""Train ID"",""value"":"""&amp;A46&amp;"""},{""id"":16,""name"":""Locomotive ID"",""value"":"""&amp;B46&amp;"""},{""id"":130,""name"":""Impact"",""value"":"""&amp;AK46&amp;"""},{""id"":150,""name"":""Time of Event (Mountain Time)"",""value"":"""&amp;TEXT(I46,"hh:mm:ss")&amp;"""},{""id"":151,""name"":""Denver Issue ID"",""value"":"""&amp;"""},{""id"":178,""name"":""Operational Impact"",""value"":"""&amp;redmine_op_impact&amp;"""},{""id"":179,""name"":""Denver Segment Assigned"",""value"":"""&amp;AL46&amp;"""}]}}"&amp;"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{"issue":{"subject":"","project_id":79,"tracker_id":40,"status_id":1,"priority_id":2,"assigned_to_id":338,"start_date":"2017-09-02","description":"","custom_fields":[{"id":1,"name":"Subdivision","value":"EC"},{"id":4,"name":"Milepost","value":"0.0167"},{"id":17,"name":"Train ID","value":"134-02"},{"id":16,"name":"Locomotive ID","value":"4027"},{"id":130,"name":"Impact","value":""},{"id":150,"name":"Time of Event (Mountain Time)","value":"09:21:03"},{"id":151,"name":"Denver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ref="AM46" si="63">"start /low /b "&amp;dls3logs&amp;" --loco "&amp;B46&amp;" --day "&amp;TEXT(F46,"YYYY-MM-DD")</f>
        <v>start /low /b %USERPROFILE%\Documents\GitHub\eaglep3\Utilities\DownloadLogsFromS3.py --loco 4027 --day 2017-09-02</v>
      </c>
      <c r="AN46" s="151" t="str">
        <f t="shared" ref="AN46" si="64">"echo {""issue"":{""subject"":"""&amp;R46&amp;""",""project_id"":30,""tracker_id"":4,""status_id"":"&amp;redmine_status_wcr&amp;",""priority_id"":"&amp;redmine_priority_wcr&amp;",""assigned_to_id"":"&amp;redmine_assignee_wcr&amp;",""start_date"":"""&amp;TEXT(I46-utc_offset/24,"YYYY-mm-dd")&amp;""",""description"":"""&amp;AJ46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ID"",""value"":"""&amp;B46&amp;"""},{""id"":20,""name"":""RR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UTC"",""value"":"""&amp;TEXT(I46-utc_offset/24,"YYYY-MM-DD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15:21:03"},{"id":29,"name":"Sharepoint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20"/>
      <c r="AP46" s="20"/>
      <c r="AQ46" s="20"/>
      <c r="AR46" s="20"/>
      <c r="AS46" s="20"/>
      <c r="AT46" s="20"/>
      <c r="AU46" s="20"/>
      <c r="AV46" s="20"/>
      <c r="AW46" s="20"/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20"/>
      <c r="BI46" s="20"/>
      <c r="BJ46" s="20"/>
      <c r="BK46" s="20"/>
      <c r="BL46" s="20"/>
      <c r="BM46" s="20"/>
      <c r="BN46" s="20"/>
      <c r="BO46" s="20"/>
      <c r="BP46" s="20"/>
      <c r="BQ46" s="20"/>
      <c r="BR46" s="20"/>
      <c r="BS46" s="20"/>
      <c r="BT46" s="20"/>
      <c r="BU46" s="20"/>
      <c r="BV46" s="20"/>
      <c r="BW46" s="20"/>
      <c r="BX46" s="20"/>
      <c r="BY46" s="20"/>
      <c r="BZ46" s="20"/>
      <c r="CA46" s="20"/>
      <c r="CB46" s="20"/>
      <c r="CC46" s="20"/>
      <c r="CD46" s="20"/>
      <c r="CE46" s="20"/>
      <c r="CF46" s="20"/>
      <c r="CG46" s="20"/>
      <c r="CH46" s="20"/>
      <c r="CI46" s="20"/>
      <c r="CJ46" s="20"/>
      <c r="CK46" s="20"/>
      <c r="CL46" s="20"/>
      <c r="CM46" s="20"/>
    </row>
    <row r="47" spans="1:91" s="1" customFormat="1" x14ac:dyDescent="0.25">
      <c r="A47" s="32" t="s">
        <v>633</v>
      </c>
      <c r="B47" s="7">
        <v>4056</v>
      </c>
      <c r="C47" s="21" t="s">
        <v>197</v>
      </c>
      <c r="D47" s="21" t="s">
        <v>366</v>
      </c>
      <c r="E47" s="13">
        <v>42980.328425925924</v>
      </c>
      <c r="F47" s="13">
        <v>42980.333495370367</v>
      </c>
      <c r="G47" s="7">
        <v>57</v>
      </c>
      <c r="H47" s="21" t="s">
        <v>538</v>
      </c>
      <c r="I47" s="13">
        <v>42980.358020833337</v>
      </c>
      <c r="J47" s="7">
        <v>0</v>
      </c>
      <c r="K47" s="89" t="str">
        <f t="shared" si="49"/>
        <v>4055/4056</v>
      </c>
      <c r="L47" s="214" t="str">
        <f>VLOOKUP(A47,'Trips&amp;Operators'!$C$1:$G$99911,5,FALSE)</f>
        <v>GEBRETEKLE DAGNEW</v>
      </c>
      <c r="M47" s="6">
        <f t="shared" si="50"/>
        <v>2.4525462969904765E-2</v>
      </c>
      <c r="N47" s="7">
        <f t="shared" si="60"/>
        <v>35.316666676662862</v>
      </c>
      <c r="O47" s="7"/>
      <c r="P47" s="7"/>
      <c r="Q47" s="22"/>
      <c r="R47" s="167"/>
      <c r="S47" s="210">
        <f t="shared" si="52"/>
        <v>1</v>
      </c>
      <c r="T47" s="192" t="str">
        <f t="shared" si="53"/>
        <v>NorthBound</v>
      </c>
      <c r="U47" s="192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3" t="str">
        <f t="shared" si="0"/>
        <v>https://d0f6bd738d7f1b3e5a7ca70fe4ff75f0.us-east-1.aws.found.io/app/kibana#/discover/Steve-Slow-Train-Analysis-(2080s-and-2083s)?_g=(refreshInterval:(display:Off,pause:!f,section:0,value:0),time:(from:'2017-09-02T06:52:56-0600',mode:absolute,to:'2017-09-02T09:35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47" s="194" t="str">
        <f>IF(AA47&lt;VLOOKUP(AG47,Variables!$AC$3:$AD$8,2,FALSE),"Y","N")</f>
        <v>N</v>
      </c>
      <c r="X47" s="194">
        <f t="shared" ref="X47:X48" si="65">VALUE(LEFT(AD47,4))-VALUE(LEFT(AD46,4))</f>
        <v>1</v>
      </c>
      <c r="Y47" s="194">
        <f t="shared" ref="Y47:Y78" si="66">RIGHT(D47,LEN(D47)-4)/10000</f>
        <v>4.5699999999999998E-2</v>
      </c>
      <c r="Z47" s="194">
        <f t="shared" ref="Z47:Z78" si="67">RIGHT(H47,LEN(H47)-4)/10000</f>
        <v>23.330200000000001</v>
      </c>
      <c r="AA47" s="194">
        <f t="shared" si="56"/>
        <v>23.284500000000001</v>
      </c>
      <c r="AB47" s="54" t="e">
        <f>VLOOKUP(A47,Enforcements!$C$7:$K$11,8,0)</f>
        <v>#N/A</v>
      </c>
      <c r="AC47" s="51" t="e">
        <f>VLOOKUP(A47,Enforcements!$C$7:$E$11,3,0)</f>
        <v>#N/A</v>
      </c>
      <c r="AD47" s="203">
        <f t="shared" si="57"/>
        <v>135</v>
      </c>
      <c r="AE47" s="77" t="str">
        <f t="shared" si="1"/>
        <v>aws s3 cp s3://rtdc.mdm.uploadarchive.raw/RTDC4056/ "%USERPROFILE%\AppData\Local\Temp\OnboardLogs"\RTDC4056\2017-09-02 --exclude "*" --recursive --include "*20170902*" &amp; "%USERPROFILE%\Documents\GitHub\mrs-test-scripts\Headless Mode &amp; Sideloading\WalkAndUnGZ.bat" "%USERPROFILE%\AppData\Local\Temp\OnboardLogs"\RTDC4056\2017-09-02 &amp; aws s3 cp s3://rtdc.mdm.uploadarchive.raw/RTDC4056/ "%USERPROFILE%\AppData\Local\Temp\OnboardLogs"\RTDC4056\2017-09-03 --exclude "*" --recursive --include "*20170903*" &amp; "%USERPROFILE%\Documents\GitHub\mrs-test-scripts\Headless Mode &amp; Sideloading\WalkAndUnGZ.bat" "%USERPROFILE%\AppData\Local\Temp\OnboardLogs"\RTDC4056\2017-09-03</v>
      </c>
      <c r="AF47" s="74" t="str">
        <f t="shared" si="2"/>
        <v>"C:\Program Files (x86)\AstroGrep\AstroGrep.exe" /e /r /s /spath="%USERPROFILE%\AppData\Local\Temp\OnboardLogs" /stypes="app*4056*20170902*" /stext=" 14:.+((SYSTEM_STATE.+slice.+state.+changed )|(ment ac)|(multiple cpu faults)|(system.+state.+changed )|(\[timeout)|(PRM\|1\|D)|(kpr)|(kdp)|(train st.+moving)|(\|lc)|(penalty))"</v>
      </c>
      <c r="AG47" s="206" t="str">
        <f t="shared" si="58"/>
        <v>EC</v>
      </c>
      <c r="AH47" s="78" t="str">
        <f t="shared" si="36"/>
        <v>"%USERPROFILE%\Documents\GitHub\eaglep3\Utilities\RefineRTDCRunTimes.py" --tripid 135-02 --locoid 4056 --swversion DE.1.0.9.0 --startMP 204:457 --initTime 2017-09-02T07:52:56 --startdatetime 2017-09-02T08:00:14 --delay 57 --endMP 204:233302 --enddatetime 2017-09-02T08:35:33 --enforcementcount 0 &gt;&gt;C:\Users\stu\Documents\GitHub\eaglep3-reporting\EC\2017-09-02-refined-times.txt</v>
      </c>
      <c r="AI47" s="96" t="str">
        <f t="shared" si="37"/>
        <v>echo {"issue":{"subject":"","project_id":79,"tracker_id":40,"status_id":1,"priority_id":2,"assigned_to_id":338,"start_date":"2017-09-02","description":"","custom_fields":[{"id":1,"name":"Subdivision","value":"EC"},{"id":4,"name":"Milepost","value":"23.3302"},{"id":17,"name":"Train ID","value":"135-02"},{"id":16,"name":"Locomotive ID","value":"4056"},{"id":130,"name":"Impact","value":""},{"id":150,"name":"Time of Event (Mountain Time)","value":"08:35:33"},{"id":151,"name":"Denver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38"/>
        <v>start /low /b %USERPROFILE%\Documents\GitHub\eaglep3\Utilities\DownloadLogsFromS3.py --loco 4056 --day 2017-09-02</v>
      </c>
      <c r="AN47" s="151" t="str">
        <f t="shared" si="39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14:35:33"},{"id":29,"name":"Sharepoint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639</v>
      </c>
      <c r="B48" s="7">
        <v>4055</v>
      </c>
      <c r="C48" s="21" t="s">
        <v>197</v>
      </c>
      <c r="D48" s="21" t="s">
        <v>427</v>
      </c>
      <c r="E48" s="13">
        <v>42980.359166666669</v>
      </c>
      <c r="F48" s="13">
        <v>42980.373402777775</v>
      </c>
      <c r="G48" s="7">
        <v>49</v>
      </c>
      <c r="H48" s="21" t="s">
        <v>380</v>
      </c>
      <c r="I48" s="13">
        <v>42980.401192129626</v>
      </c>
      <c r="J48" s="7">
        <v>0</v>
      </c>
      <c r="K48" s="89" t="str">
        <f t="shared" si="49"/>
        <v>4055/4056</v>
      </c>
      <c r="L48" s="214" t="str">
        <f>VLOOKUP(A48,'Trips&amp;Operators'!$C$1:$G$99911,5,FALSE)</f>
        <v>GEBRETEKLE DAGNEW</v>
      </c>
      <c r="M48" s="6">
        <f t="shared" si="50"/>
        <v>2.7789351850515231E-2</v>
      </c>
      <c r="N48" s="7">
        <f t="shared" si="60"/>
        <v>40.016666664741933</v>
      </c>
      <c r="O48" s="7"/>
      <c r="P48" s="7"/>
      <c r="Q48" s="22"/>
      <c r="R48" s="167"/>
      <c r="S48" s="210">
        <f t="shared" si="52"/>
        <v>1</v>
      </c>
      <c r="T48" s="192" t="str">
        <f t="shared" si="53"/>
        <v>Southbound</v>
      </c>
      <c r="U48" s="192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3" t="str">
        <f t="shared" si="0"/>
        <v>https://d0f6bd738d7f1b3e5a7ca70fe4ff75f0.us-east-1.aws.found.io/app/kibana#/discover/Steve-Slow-Train-Analysis-(2080s-and-2083s)?_g=(refreshInterval:(display:Off,pause:!f,section:0,value:0),time:(from:'2017-09-02T07:37:12-0600',mode:absolute,to:'2017-09-02T10:37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48" s="194" t="str">
        <f>IF(AA48&lt;VLOOKUP(AG48,Variables!$AC$3:$AD$8,2,FALSE),"Y","N")</f>
        <v>N</v>
      </c>
      <c r="X48" s="194">
        <f t="shared" si="65"/>
        <v>1</v>
      </c>
      <c r="Y48" s="194">
        <f t="shared" si="66"/>
        <v>23.299299999999999</v>
      </c>
      <c r="Z48" s="194">
        <f t="shared" si="67"/>
        <v>1.5599999999999999E-2</v>
      </c>
      <c r="AA48" s="194">
        <f t="shared" si="56"/>
        <v>23.2837</v>
      </c>
      <c r="AB48" s="54" t="e">
        <f>VLOOKUP(A48,Enforcements!$C$7:$K$11,8,0)</f>
        <v>#N/A</v>
      </c>
      <c r="AC48" s="51" t="e">
        <f>VLOOKUP(A48,Enforcements!$C$7:$E$11,3,0)</f>
        <v>#N/A</v>
      </c>
      <c r="AD48" s="203">
        <f t="shared" si="57"/>
        <v>136</v>
      </c>
      <c r="AE48" s="77" t="str">
        <f t="shared" si="1"/>
        <v>aws s3 cp s3://rtdc.mdm.uploadarchive.raw/RTDC4055/ "%USERPROFILE%\AppData\Local\Temp\OnboardLogs"\RTDC4055\2017-09-02 --exclude "*" --recursive --include "*20170902*" &amp; "%USERPROFILE%\Documents\GitHub\mrs-test-scripts\Headless Mode &amp; Sideloading\WalkAndUnGZ.bat" "%USERPROFILE%\AppData\Local\Temp\OnboardLogs"\RTDC4055\2017-09-02 &amp; aws s3 cp s3://rtdc.mdm.uploadarchive.raw/RTDC4055/ "%USERPROFILE%\AppData\Local\Temp\OnboardLogs"\RTDC4055\2017-09-03 --exclude "*" --recursive --include "*20170903*" &amp; "%USERPROFILE%\Documents\GitHub\mrs-test-scripts\Headless Mode &amp; Sideloading\WalkAndUnGZ.bat" "%USERPROFILE%\AppData\Local\Temp\OnboardLogs"\RTDC4055\2017-09-03</v>
      </c>
      <c r="AF48" s="74" t="str">
        <f t="shared" si="2"/>
        <v>"C:\Program Files (x86)\AstroGrep\AstroGrep.exe" /e /r /s /spath="%USERPROFILE%\AppData\Local\Temp\OnboardLogs" /stypes="app*4055*20170902*" /stext=" 15:.+((SYSTEM_STATE.+slice.+state.+changed )|(ment ac)|(multiple cpu faults)|(system.+state.+changed )|(\[timeout)|(PRM\|1\|D)|(kpr)|(kdp)|(train st.+moving)|(\|lc)|(penalty))"</v>
      </c>
      <c r="AG48" s="206" t="str">
        <f t="shared" si="58"/>
        <v>EC</v>
      </c>
      <c r="AH48" s="78" t="str">
        <f t="shared" si="36"/>
        <v>"%USERPROFILE%\Documents\GitHub\eaglep3\Utilities\RefineRTDCRunTimes.py" --tripid 136-02 --locoid 4055 --swversion DE.1.0.9.0 --startMP 204:232993 --initTime 2017-09-02T08:37:12 --startdatetime 2017-09-02T08:57:42 --delay 49 --endMP 204:156 --enddatetime 2017-09-02T09:37:43 --enforcementcount 0 &gt;&gt;C:\Users\stu\Documents\GitHub\eaglep3-reporting\EC\2017-09-02-refined-times.txt</v>
      </c>
      <c r="AI48" s="96" t="str">
        <f t="shared" si="37"/>
        <v>echo {"issue":{"subject":"","project_id":79,"tracker_id":40,"status_id":1,"priority_id":2,"assigned_to_id":338,"start_date":"2017-09-02","description":"","custom_fields":[{"id":1,"name":"Subdivision","value":"EC"},{"id":4,"name":"Milepost","value":"0.0156"},{"id":17,"name":"Train ID","value":"136-02"},{"id":16,"name":"Locomotive ID","value":"4055"},{"id":130,"name":"Impact","value":""},{"id":150,"name":"Time of Event (Mountain Time)","value":"09:37:43"},{"id":151,"name":"Denver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38"/>
        <v>start /low /b %USERPROFILE%\Documents\GitHub\eaglep3\Utilities\DownloadLogsFromS3.py --loco 4055 --day 2017-09-02</v>
      </c>
      <c r="AN48" s="151" t="str">
        <f t="shared" si="39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15:37:43"},{"id":29,"name":"Sharepoint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636</v>
      </c>
      <c r="B49" s="7">
        <v>4010</v>
      </c>
      <c r="C49" s="21" t="s">
        <v>197</v>
      </c>
      <c r="D49" s="21" t="s">
        <v>795</v>
      </c>
      <c r="E49" s="13">
        <v>42980.33929398148</v>
      </c>
      <c r="F49" s="13">
        <v>42980.343946759262</v>
      </c>
      <c r="G49" s="7">
        <v>90</v>
      </c>
      <c r="H49" s="21" t="s">
        <v>796</v>
      </c>
      <c r="I49" s="13">
        <v>42980.369097222225</v>
      </c>
      <c r="J49" s="7">
        <v>0</v>
      </c>
      <c r="K49" s="89" t="str">
        <f t="shared" si="49"/>
        <v>4009/4010</v>
      </c>
      <c r="L49" s="214" t="str">
        <f>VLOOKUP(A49,'Trips&amp;Operators'!$C$1:$G$99911,5,FALSE)</f>
        <v>LALONDE GREGORY</v>
      </c>
      <c r="M49" s="6">
        <f t="shared" si="50"/>
        <v>2.5150462963210884E-2</v>
      </c>
      <c r="N49" s="7">
        <f t="shared" si="60"/>
        <v>36.216666667023674</v>
      </c>
      <c r="O49" s="7"/>
      <c r="P49" s="7"/>
      <c r="Q49" s="22"/>
      <c r="R49" s="167"/>
      <c r="S49" s="210">
        <f t="shared" si="52"/>
        <v>1</v>
      </c>
      <c r="T49" s="192" t="str">
        <f t="shared" si="53"/>
        <v>NorthBound</v>
      </c>
      <c r="U49" s="192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3" t="str">
        <f t="shared" si="0"/>
        <v>https://d0f6bd738d7f1b3e5a7ca70fe4ff75f0.us-east-1.aws.found.io/app/kibana#/discover/Steve-Slow-Train-Analysis-(2080s-and-2083s)?_g=(refreshInterval:(display:Off,pause:!f,section:0,value:0),time:(from:'2017-09-02T07:08:35-0600',mode:absolute,to:'2017-09-02T09:51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49" s="194" t="str">
        <f>IF(AA49&lt;VLOOKUP(AG49,Variables!$AC$3:$AD$8,2,FALSE),"Y","N")</f>
        <v>N</v>
      </c>
      <c r="X49" s="194">
        <f t="shared" ref="X49:X71" si="68">VALUE(LEFT(AD49,4))-VALUE(LEFT(AD48,4))</f>
        <v>1</v>
      </c>
      <c r="Y49" s="194">
        <f t="shared" si="66"/>
        <v>4.0399999999999998E-2</v>
      </c>
      <c r="Z49" s="194">
        <f t="shared" si="67"/>
        <v>23.3324</v>
      </c>
      <c r="AA49" s="194">
        <f t="shared" si="56"/>
        <v>23.291999999999998</v>
      </c>
      <c r="AB49" s="54" t="e">
        <f>VLOOKUP(A49,Enforcements!$C$7:$K$11,8,0)</f>
        <v>#N/A</v>
      </c>
      <c r="AC49" s="51" t="e">
        <f>VLOOKUP(A49,Enforcements!$C$7:$E$11,3,0)</f>
        <v>#N/A</v>
      </c>
      <c r="AD49" s="203">
        <f t="shared" si="57"/>
        <v>137</v>
      </c>
      <c r="AE49" s="77" t="str">
        <f t="shared" si="1"/>
        <v>aws s3 cp s3://rtdc.mdm.uploadarchive.raw/RTDC4010/ "%USERPROFILE%\AppData\Local\Temp\OnboardLogs"\RTDC4010\2017-09-02 --exclude "*" --recursive --include "*20170902*" &amp; "%USERPROFILE%\Documents\GitHub\mrs-test-scripts\Headless Mode &amp; Sideloading\WalkAndUnGZ.bat" "%USERPROFILE%\AppData\Local\Temp\OnboardLogs"\RTDC4010\2017-09-02 &amp; aws s3 cp s3://rtdc.mdm.uploadarchive.raw/RTDC4010/ "%USERPROFILE%\AppData\Local\Temp\OnboardLogs"\RTDC4010\2017-09-03 --exclude "*" --recursive --include "*20170903*" &amp; "%USERPROFILE%\Documents\GitHub\mrs-test-scripts\Headless Mode &amp; Sideloading\WalkAndUnGZ.bat" "%USERPROFILE%\AppData\Local\Temp\OnboardLogs"\RTDC4010\2017-09-03</v>
      </c>
      <c r="AF49" s="74" t="str">
        <f t="shared" si="2"/>
        <v>"C:\Program Files (x86)\AstroGrep\AstroGrep.exe" /e /r /s /spath="%USERPROFILE%\AppData\Local\Temp\OnboardLogs" /stypes="app*4010*20170902*" /stext=" 14:.+((SYSTEM_STATE.+slice.+state.+changed )|(ment ac)|(multiple cpu faults)|(system.+state.+changed )|(\[timeout)|(PRM\|1\|D)|(kpr)|(kdp)|(train st.+moving)|(\|lc)|(penalty))"</v>
      </c>
      <c r="AG49" s="206" t="str">
        <f t="shared" si="58"/>
        <v>EC</v>
      </c>
      <c r="AH49" s="78" t="str">
        <f t="shared" si="36"/>
        <v>"%USERPROFILE%\Documents\GitHub\eaglep3\Utilities\RefineRTDCRunTimes.py" --tripid 137-02 --locoid 4010 --swversion DE.1.0.9.0 --startMP 204:404 --initTime 2017-09-02T08:08:35 --startdatetime 2017-09-02T08:15:17 --delay 90 --endMP 204:233324 --enddatetime 2017-09-02T08:51:30 --enforcementcount 0 &gt;&gt;C:\Users\stu\Documents\GitHub\eaglep3-reporting\EC\2017-09-02-refined-times.txt</v>
      </c>
      <c r="AI49" s="96" t="str">
        <f t="shared" si="37"/>
        <v>echo {"issue":{"subject":"","project_id":79,"tracker_id":40,"status_id":1,"priority_id":2,"assigned_to_id":338,"start_date":"2017-09-02","description":"","custom_fields":[{"id":1,"name":"Subdivision","value":"EC"},{"id":4,"name":"Milepost","value":"23.3324"},{"id":17,"name":"Train ID","value":"137-02"},{"id":16,"name":"Locomotive ID","value":"4010"},{"id":130,"name":"Impact","value":""},{"id":150,"name":"Time of Event (Mountain Time)","value":"08:51:30"},{"id":151,"name":"Denver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38"/>
        <v>start /low /b %USERPROFILE%\Documents\GitHub\eaglep3\Utilities\DownloadLogsFromS3.py --loco 4010 --day 2017-09-02</v>
      </c>
      <c r="AN49" s="151" t="str">
        <f t="shared" si="39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14:51:30"},{"id":29,"name":"Sharepoint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642</v>
      </c>
      <c r="B50" s="7">
        <v>4009</v>
      </c>
      <c r="C50" s="21" t="s">
        <v>197</v>
      </c>
      <c r="D50" s="21" t="s">
        <v>351</v>
      </c>
      <c r="E50" s="13">
        <v>42980.37023148148</v>
      </c>
      <c r="F50" s="13">
        <v>42980.383587962962</v>
      </c>
      <c r="G50" s="7">
        <v>63</v>
      </c>
      <c r="H50" s="21" t="s">
        <v>338</v>
      </c>
      <c r="I50" s="13">
        <v>42980.409444444442</v>
      </c>
      <c r="J50" s="7">
        <v>0</v>
      </c>
      <c r="K50" s="89" t="str">
        <f t="shared" si="49"/>
        <v>4009/4010</v>
      </c>
      <c r="L50" s="214" t="str">
        <f>VLOOKUP(A50,'Trips&amp;Operators'!$C$1:$G$99911,5,FALSE)</f>
        <v>LALONDE GREGORY</v>
      </c>
      <c r="M50" s="6">
        <f t="shared" si="50"/>
        <v>2.5856481479422655E-2</v>
      </c>
      <c r="N50" s="7">
        <f t="shared" si="60"/>
        <v>37.233333330368623</v>
      </c>
      <c r="O50" s="7"/>
      <c r="P50" s="7"/>
      <c r="Q50" s="22"/>
      <c r="R50" s="167"/>
      <c r="S50" s="210">
        <f t="shared" si="52"/>
        <v>1</v>
      </c>
      <c r="T50" s="192" t="str">
        <f t="shared" si="53"/>
        <v>Southbound</v>
      </c>
      <c r="U50" s="192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3" t="str">
        <f t="shared" si="0"/>
        <v>https://d0f6bd738d7f1b3e5a7ca70fe4ff75f0.us-east-1.aws.found.io/app/kibana#/discover/Steve-Slow-Train-Analysis-(2080s-and-2083s)?_g=(refreshInterval:(display:Off,pause:!f,section:0,value:0),time:(from:'2017-09-02T07:53:08-0600',mode:absolute,to:'2017-09-02T10:49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50" s="194" t="str">
        <f>IF(AA50&lt;VLOOKUP(AG50,Variables!$AC$3:$AD$8,2,FALSE),"Y","N")</f>
        <v>N</v>
      </c>
      <c r="X50" s="194">
        <f t="shared" si="68"/>
        <v>1</v>
      </c>
      <c r="Y50" s="194">
        <f t="shared" si="66"/>
        <v>23.299600000000002</v>
      </c>
      <c r="Z50" s="194">
        <f t="shared" si="67"/>
        <v>1.4999999999999999E-2</v>
      </c>
      <c r="AA50" s="194">
        <f t="shared" si="56"/>
        <v>23.284600000000001</v>
      </c>
      <c r="AB50" s="54" t="e">
        <f>VLOOKUP(A50,Enforcements!$C$7:$K$11,8,0)</f>
        <v>#N/A</v>
      </c>
      <c r="AC50" s="51" t="e">
        <f>VLOOKUP(A50,Enforcements!$C$7:$E$11,3,0)</f>
        <v>#N/A</v>
      </c>
      <c r="AD50" s="203">
        <f t="shared" si="57"/>
        <v>138</v>
      </c>
      <c r="AE50" s="77" t="str">
        <f t="shared" si="1"/>
        <v>aws s3 cp s3://rtdc.mdm.uploadarchive.raw/RTDC4009/ "%USERPROFILE%\AppData\Local\Temp\OnboardLogs"\RTDC4009\2017-09-02 --exclude "*" --recursive --include "*20170902*" &amp; "%USERPROFILE%\Documents\GitHub\mrs-test-scripts\Headless Mode &amp; Sideloading\WalkAndUnGZ.bat" "%USERPROFILE%\AppData\Local\Temp\OnboardLogs"\RTDC4009\2017-09-02 &amp; aws s3 cp s3://rtdc.mdm.uploadarchive.raw/RTDC4009/ "%USERPROFILE%\AppData\Local\Temp\OnboardLogs"\RTDC4009\2017-09-03 --exclude "*" --recursive --include "*20170903*" &amp; "%USERPROFILE%\Documents\GitHub\mrs-test-scripts\Headless Mode &amp; Sideloading\WalkAndUnGZ.bat" "%USERPROFILE%\AppData\Local\Temp\OnboardLogs"\RTDC4009\2017-09-03</v>
      </c>
      <c r="AF50" s="74" t="str">
        <f t="shared" si="2"/>
        <v>"C:\Program Files (x86)\AstroGrep\AstroGrep.exe" /e /r /s /spath="%USERPROFILE%\AppData\Local\Temp\OnboardLogs" /stypes="app*4009*20170902*" /stext=" 15:.+((SYSTEM_STATE.+slice.+state.+changed )|(ment ac)|(multiple cpu faults)|(system.+state.+changed )|(\[timeout)|(PRM\|1\|D)|(kpr)|(kdp)|(train st.+moving)|(\|lc)|(penalty))"</v>
      </c>
      <c r="AG50" s="206" t="str">
        <f t="shared" si="58"/>
        <v>EC</v>
      </c>
      <c r="AH50" s="78" t="str">
        <f t="shared" si="36"/>
        <v>"%USERPROFILE%\Documents\GitHub\eaglep3\Utilities\RefineRTDCRunTimes.py" --tripid 138-02 --locoid 4009 --swversion DE.1.0.9.0 --startMP 204:232996 --initTime 2017-09-02T08:53:08 --startdatetime 2017-09-02T09:12:22 --delay 63 --endMP 204:150 --enddatetime 2017-09-02T09:49:36 --enforcementcount 0 &gt;&gt;C:\Users\stu\Documents\GitHub\eaglep3-reporting\EC\2017-09-02-refined-times.txt</v>
      </c>
      <c r="AI50" s="96" t="str">
        <f t="shared" si="37"/>
        <v>echo {"issue":{"subject":"","project_id":79,"tracker_id":40,"status_id":1,"priority_id":2,"assigned_to_id":338,"start_date":"2017-09-02","description":"","custom_fields":[{"id":1,"name":"Subdivision","value":"EC"},{"id":4,"name":"Milepost","value":"0.015"},{"id":17,"name":"Train ID","value":"138-02"},{"id":16,"name":"Locomotive ID","value":"4009"},{"id":130,"name":"Impact","value":""},{"id":150,"name":"Time of Event (Mountain Time)","value":"09:49:36"},{"id":151,"name":"Denver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38"/>
        <v>start /low /b %USERPROFILE%\Documents\GitHub\eaglep3\Utilities\DownloadLogsFromS3.py --loco 4009 --day 2017-09-02</v>
      </c>
      <c r="AN50" s="151" t="str">
        <f t="shared" si="39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15:49:36"},{"id":29,"name":"Sharepoint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638</v>
      </c>
      <c r="B51" s="7">
        <v>4066</v>
      </c>
      <c r="C51" s="21" t="s">
        <v>197</v>
      </c>
      <c r="D51" s="21" t="s">
        <v>342</v>
      </c>
      <c r="E51" s="13">
        <v>42980.35297453704</v>
      </c>
      <c r="F51" s="13">
        <v>42980.354699074072</v>
      </c>
      <c r="G51" s="7">
        <v>69</v>
      </c>
      <c r="H51" s="21" t="s">
        <v>398</v>
      </c>
      <c r="I51" s="13">
        <v>42980.382430555554</v>
      </c>
      <c r="J51" s="7">
        <v>0</v>
      </c>
      <c r="K51" s="89" t="str">
        <f t="shared" si="49"/>
        <v>4065/4066</v>
      </c>
      <c r="L51" s="214" t="str">
        <f>VLOOKUP(A51,'Trips&amp;Operators'!$C$1:$G$99911,5,FALSE)</f>
        <v>THOMPSON LESTER</v>
      </c>
      <c r="M51" s="6">
        <f t="shared" si="50"/>
        <v>2.7731481481168885E-2</v>
      </c>
      <c r="N51" s="7">
        <f t="shared" si="60"/>
        <v>39.933333332883194</v>
      </c>
      <c r="O51" s="7"/>
      <c r="P51" s="7"/>
      <c r="Q51" s="22"/>
      <c r="R51" s="167"/>
      <c r="S51" s="210">
        <f t="shared" si="52"/>
        <v>1</v>
      </c>
      <c r="T51" s="192" t="str">
        <f t="shared" si="53"/>
        <v>NorthBound</v>
      </c>
      <c r="U51" s="192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3" t="str">
        <f t="shared" si="0"/>
        <v>https://d0f6bd738d7f1b3e5a7ca70fe4ff75f0.us-east-1.aws.found.io/app/kibana#/discover/Steve-Slow-Train-Analysis-(2080s-and-2083s)?_g=(refreshInterval:(display:Off,pause:!f,section:0,value:0),time:(from:'2017-09-02T07:28:17-0600',mode:absolute,to:'2017-09-02T10:10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51" s="194" t="str">
        <f>IF(AA51&lt;VLOOKUP(AG51,Variables!$AC$3:$AD$8,2,FALSE),"Y","N")</f>
        <v>N</v>
      </c>
      <c r="X51" s="194">
        <f t="shared" si="68"/>
        <v>1</v>
      </c>
      <c r="Y51" s="194">
        <f t="shared" si="66"/>
        <v>4.53E-2</v>
      </c>
      <c r="Z51" s="194">
        <f t="shared" si="67"/>
        <v>23.3306</v>
      </c>
      <c r="AA51" s="194">
        <f t="shared" si="56"/>
        <v>23.285299999999999</v>
      </c>
      <c r="AB51" s="54" t="e">
        <f>VLOOKUP(A51,Enforcements!$C$7:$K$11,8,0)</f>
        <v>#N/A</v>
      </c>
      <c r="AC51" s="51" t="e">
        <f>VLOOKUP(A51,Enforcements!$C$7:$E$11,3,0)</f>
        <v>#N/A</v>
      </c>
      <c r="AD51" s="203">
        <f t="shared" si="57"/>
        <v>139</v>
      </c>
      <c r="AE51" s="77" t="str">
        <f t="shared" si="1"/>
        <v>aws s3 cp s3://rtdc.mdm.uploadarchive.raw/RTDC4066/ "%USERPROFILE%\AppData\Local\Temp\OnboardLogs"\RTDC4066\2017-09-02 --exclude "*" --recursive --include "*20170902*" &amp; "%USERPROFILE%\Documents\GitHub\mrs-test-scripts\Headless Mode &amp; Sideloading\WalkAndUnGZ.bat" "%USERPROFILE%\AppData\Local\Temp\OnboardLogs"\RTDC4066\2017-09-02 &amp; aws s3 cp s3://rtdc.mdm.uploadarchive.raw/RTDC4066/ "%USERPROFILE%\AppData\Local\Temp\OnboardLogs"\RTDC4066\2017-09-03 --exclude "*" --recursive --include "*20170903*" &amp; "%USERPROFILE%\Documents\GitHub\mrs-test-scripts\Headless Mode &amp; Sideloading\WalkAndUnGZ.bat" "%USERPROFILE%\AppData\Local\Temp\OnboardLogs"\RTDC4066\2017-09-03</v>
      </c>
      <c r="AF51" s="74" t="str">
        <f t="shared" si="2"/>
        <v>"C:\Program Files (x86)\AstroGrep\AstroGrep.exe" /e /r /s /spath="%USERPROFILE%\AppData\Local\Temp\OnboardLogs" /stypes="app*4066*20170902*" /stext=" 15:.+((SYSTEM_STATE.+slice.+state.+changed )|(ment ac)|(multiple cpu faults)|(system.+state.+changed )|(\[timeout)|(PRM\|1\|D)|(kpr)|(kdp)|(train st.+moving)|(\|lc)|(penalty))"</v>
      </c>
      <c r="AG51" s="206" t="str">
        <f t="shared" si="58"/>
        <v>EC</v>
      </c>
      <c r="AH51" s="78" t="str">
        <f t="shared" si="36"/>
        <v>"%USERPROFILE%\Documents\GitHub\eaglep3\Utilities\RefineRTDCRunTimes.py" --tripid 139-02 --locoid 4066 --swversion DE.1.0.9.0 --startMP 204:453 --initTime 2017-09-02T08:28:17 --startdatetime 2017-09-02T08:30:46 --delay 69 --endMP 204:233306 --enddatetime 2017-09-02T09:10:42 --enforcementcount 0 &gt;&gt;C:\Users\stu\Documents\GitHub\eaglep3-reporting\EC\2017-09-02-refined-times.txt</v>
      </c>
      <c r="AI51" s="96" t="str">
        <f t="shared" si="37"/>
        <v>echo {"issue":{"subject":"","project_id":79,"tracker_id":40,"status_id":1,"priority_id":2,"assigned_to_id":338,"start_date":"2017-09-02","description":"","custom_fields":[{"id":1,"name":"Subdivision","value":"EC"},{"id":4,"name":"Milepost","value":"23.3306"},{"id":17,"name":"Train ID","value":"139-02"},{"id":16,"name":"Locomotive ID","value":"4066"},{"id":130,"name":"Impact","value":""},{"id":150,"name":"Time of Event (Mountain Time)","value":"09:10:42"},{"id":151,"name":"Denver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38"/>
        <v>start /low /b %USERPROFILE%\Documents\GitHub\eaglep3\Utilities\DownloadLogsFromS3.py --loco 4066 --day 2017-09-02</v>
      </c>
      <c r="AN51" s="151" t="str">
        <f t="shared" si="39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15:10:42"},{"id":29,"name":"Sharepoint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646</v>
      </c>
      <c r="B52" s="7">
        <v>4065</v>
      </c>
      <c r="C52" s="21" t="s">
        <v>197</v>
      </c>
      <c r="D52" s="21" t="s">
        <v>530</v>
      </c>
      <c r="E52" s="13">
        <v>42980.392453703702</v>
      </c>
      <c r="F52" s="13">
        <v>42980.394050925926</v>
      </c>
      <c r="G52" s="7">
        <v>61</v>
      </c>
      <c r="H52" s="21" t="s">
        <v>345</v>
      </c>
      <c r="I52" s="13">
        <v>42980.421446759261</v>
      </c>
      <c r="J52" s="7">
        <v>0</v>
      </c>
      <c r="K52" s="89" t="str">
        <f t="shared" ref="K52:K83" si="69">IF(ISEVEN(B52),(B52-1)&amp;"/"&amp;B52,B52&amp;"/"&amp;(B52+1))</f>
        <v>4065/4066</v>
      </c>
      <c r="L52" s="214" t="str">
        <f>VLOOKUP(A52,'Trips&amp;Operators'!$C$1:$G$99911,5,FALSE)</f>
        <v>THOMPSON LESTER</v>
      </c>
      <c r="M52" s="6">
        <f t="shared" ref="M52:M83" si="70">I52-F52</f>
        <v>2.7395833334594499E-2</v>
      </c>
      <c r="N52" s="7">
        <f t="shared" si="60"/>
        <v>39.450000001816079</v>
      </c>
      <c r="O52" s="7"/>
      <c r="P52" s="7"/>
      <c r="Q52" s="22"/>
      <c r="R52" s="167" t="s">
        <v>971</v>
      </c>
      <c r="S52" s="210">
        <f t="shared" si="52"/>
        <v>1</v>
      </c>
      <c r="T52" s="192" t="str">
        <f t="shared" ref="T52:T83" si="71">IF(ISEVEN(LEFT(AD52,4)),"Southbound","NorthBound")</f>
        <v>Southbound</v>
      </c>
      <c r="U52" s="192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3" t="str">
        <f t="shared" si="0"/>
        <v>https://d0f6bd738d7f1b3e5a7ca70fe4ff75f0.us-east-1.aws.found.io/app/kibana#/discover/Steve-Slow-Train-Analysis-(2080s-and-2083s)?_g=(refreshInterval:(display:Off,pause:!f,section:0,value:0),time:(from:'2017-09-02T08:25:08-0600',mode:absolute,to:'2017-09-02T11:06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52" s="194" t="str">
        <f>IF(AA52&lt;VLOOKUP(AG52,Variables!$AC$3:$AD$8,2,FALSE),"Y","N")</f>
        <v>N</v>
      </c>
      <c r="X52" s="194">
        <f t="shared" si="68"/>
        <v>1</v>
      </c>
      <c r="Y52" s="194">
        <f t="shared" si="66"/>
        <v>23.296399999999998</v>
      </c>
      <c r="Z52" s="194">
        <f t="shared" si="67"/>
        <v>1.47E-2</v>
      </c>
      <c r="AA52" s="194">
        <f t="shared" ref="AA52:AA83" si="72">ABS(Z52-Y52)</f>
        <v>23.281699999999997</v>
      </c>
      <c r="AB52" s="54" t="e">
        <f>VLOOKUP(A52,Enforcements!$C$7:$K$11,8,0)</f>
        <v>#N/A</v>
      </c>
      <c r="AC52" s="51" t="e">
        <f>VLOOKUP(A52,Enforcements!$C$7:$E$11,3,0)</f>
        <v>#N/A</v>
      </c>
      <c r="AD52" s="203">
        <f t="shared" ref="AD52:AD83" si="73">VALUE(LEFT(A52,LEN(A52)-3))</f>
        <v>140</v>
      </c>
      <c r="AE52" s="77" t="str">
        <f t="shared" si="1"/>
        <v>aws s3 cp s3://rtdc.mdm.uploadarchive.raw/RTDC4065/ "%USERPROFILE%\AppData\Local\Temp\OnboardLogs"\RTDC4065\2017-09-02 --exclude "*" --recursive --include "*20170902*" &amp; "%USERPROFILE%\Documents\GitHub\mrs-test-scripts\Headless Mode &amp; Sideloading\WalkAndUnGZ.bat" "%USERPROFILE%\AppData\Local\Temp\OnboardLogs"\RTDC4065\2017-09-02 &amp; aws s3 cp s3://rtdc.mdm.uploadarchive.raw/RTDC4065/ "%USERPROFILE%\AppData\Local\Temp\OnboardLogs"\RTDC4065\2017-09-03 --exclude "*" --recursive --include "*20170903*" &amp; "%USERPROFILE%\Documents\GitHub\mrs-test-scripts\Headless Mode &amp; Sideloading\WalkAndUnGZ.bat" "%USERPROFILE%\AppData\Local\Temp\OnboardLogs"\RTDC4065\2017-09-03</v>
      </c>
      <c r="AF52" s="74" t="str">
        <f t="shared" si="2"/>
        <v>"C:\Program Files (x86)\AstroGrep\AstroGrep.exe" /e /r /s /spath="%USERPROFILE%\AppData\Local\Temp\OnboardLogs" /stypes="app*4065*20170902*" /stext=" 16:.+((SYSTEM_STATE.+slice.+state.+changed )|(ment ac)|(multiple cpu faults)|(system.+state.+changed )|(\[timeout)|(PRM\|1\|D)|(kpr)|(kdp)|(train st.+moving)|(\|lc)|(penalty))"</v>
      </c>
      <c r="AG52" s="206" t="str">
        <f t="shared" ref="AG52:AG83" si="74">DetSubdiv(A52)</f>
        <v>EC</v>
      </c>
      <c r="AH52" s="78" t="str">
        <f t="shared" si="36"/>
        <v>"%USERPROFILE%\Documents\GitHub\eaglep3\Utilities\RefineRTDCRunTimes.py" --tripid 140-02 --locoid 4065 --swversion DE.1.0.9.0 --startMP 204:232964 --initTime 2017-09-02T09:25:08 --startdatetime 2017-09-02T09:27:26 --delay 61 --endMP 204:147 --enddatetime 2017-09-02T10:06:53 --enforcementcount 0 &gt;&gt;C:\Users\stu\Documents\GitHub\eaglep3-reporting\EC\2017-09-02-refined-times.txt</v>
      </c>
      <c r="AI52" s="96" t="str">
        <f t="shared" si="37"/>
        <v>echo {"issue":{"subject":"Minor onboard in-route failure caused unhealthy banner at York","project_id":79,"tracker_id":40,"status_id":1,"priority_id":2,"assigned_to_id":338,"start_date":"2017-09-02","description":"","custom_fields":[{"id":1,"name":"Subdivision","value":"EC"},{"id":4,"name":"Milepost","value":"0.0147"},{"id":17,"name":"Train ID","value":"140-02"},{"id":16,"name":"Locomotive ID","value":"4065"},{"id":130,"name":"Impact","value":""},{"id":150,"name":"Time of Event (Mountain Time)","value":"10:06:53"},{"id":151,"name":"Denver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38"/>
        <v>start /low /b %USERPROFILE%\Documents\GitHub\eaglep3\Utilities\DownloadLogsFromS3.py --loco 4065 --day 2017-09-02</v>
      </c>
      <c r="AN52" s="151" t="str">
        <f t="shared" si="39"/>
        <v>echo {"issue":{"subject":"Minor onboard in-route failure caused unhealthy banner at York","project_id":30,"tracker_id":4,"status_id":1,"priority_id":1,"assigned_to_id":10,"start_date":"2017-09-02","description":"","custom_fields":[{"id":30,"name":"Category","value":"Issue"},{"id":3,"name":"Functional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16:06:53"},{"id":29,"name":"Sharepoint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640</v>
      </c>
      <c r="B53" s="7">
        <v>4042</v>
      </c>
      <c r="C53" s="21" t="s">
        <v>197</v>
      </c>
      <c r="D53" s="21" t="s">
        <v>797</v>
      </c>
      <c r="E53" s="13">
        <v>42980.368518518517</v>
      </c>
      <c r="F53" s="13">
        <v>42980.369756944441</v>
      </c>
      <c r="G53" s="7">
        <v>73</v>
      </c>
      <c r="H53" s="21" t="s">
        <v>798</v>
      </c>
      <c r="I53" s="13">
        <v>42980.390636574077</v>
      </c>
      <c r="J53" s="7">
        <v>0</v>
      </c>
      <c r="K53" s="89" t="str">
        <f t="shared" si="69"/>
        <v>4041/4042</v>
      </c>
      <c r="L53" s="214" t="str">
        <f>VLOOKUP(A53,'Trips&amp;Operators'!$C$1:$G$99911,5,FALSE)</f>
        <v>MACDONALD THOMAS</v>
      </c>
      <c r="M53" s="6">
        <f t="shared" si="70"/>
        <v>2.0879629635601304E-2</v>
      </c>
      <c r="N53" s="7"/>
      <c r="O53" s="7"/>
      <c r="P53" s="7">
        <f>24*60*SUM($M53:$M53)</f>
        <v>30.066666675265878</v>
      </c>
      <c r="Q53" s="22"/>
      <c r="R53" s="167" t="s">
        <v>956</v>
      </c>
      <c r="S53" s="210">
        <f t="shared" si="52"/>
        <v>1</v>
      </c>
      <c r="T53" s="192" t="str">
        <f t="shared" si="71"/>
        <v>NorthBound</v>
      </c>
      <c r="U53" s="192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3" t="str">
        <f t="shared" si="0"/>
        <v>https://d0f6bd738d7f1b3e5a7ca70fe4ff75f0.us-east-1.aws.found.io/app/kibana#/discover/Steve-Slow-Train-Analysis-(2080s-and-2083s)?_g=(refreshInterval:(display:Off,pause:!f,section:0,value:0),time:(from:'2017-09-02T07:50:40-0600',mode:absolute,to:'2017-09-02T10:22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53" s="194" t="str">
        <f>IF(AA53&lt;VLOOKUP(AG53,Variables!$AC$3:$AD$8,2,FALSE),"Y","N")</f>
        <v>Y</v>
      </c>
      <c r="X53" s="194">
        <f t="shared" si="68"/>
        <v>1</v>
      </c>
      <c r="Y53" s="194">
        <f t="shared" si="66"/>
        <v>1.9120999999999999</v>
      </c>
      <c r="Z53" s="194">
        <f t="shared" si="67"/>
        <v>23.323</v>
      </c>
      <c r="AA53" s="194">
        <f t="shared" si="72"/>
        <v>21.410900000000002</v>
      </c>
      <c r="AB53" s="54" t="e">
        <f>VLOOKUP(A53,Enforcements!$C$7:$K$11,8,0)</f>
        <v>#N/A</v>
      </c>
      <c r="AC53" s="51" t="e">
        <f>VLOOKUP(A53,Enforcements!$C$7:$E$11,3,0)</f>
        <v>#N/A</v>
      </c>
      <c r="AD53" s="203">
        <f t="shared" si="73"/>
        <v>141</v>
      </c>
      <c r="AE53" s="77" t="str">
        <f t="shared" si="1"/>
        <v>aws s3 cp s3://rtdc.mdm.uploadarchive.raw/RTDC4042/ "%USERPROFILE%\AppData\Local\Temp\OnboardLogs"\RTDC4042\2017-09-02 --exclude "*" --recursive --include "*20170902*" &amp; "%USERPROFILE%\Documents\GitHub\mrs-test-scripts\Headless Mode &amp; Sideloading\WalkAndUnGZ.bat" "%USERPROFILE%\AppData\Local\Temp\OnboardLogs"\RTDC4042\2017-09-02 &amp; aws s3 cp s3://rtdc.mdm.uploadarchive.raw/RTDC4042/ "%USERPROFILE%\AppData\Local\Temp\OnboardLogs"\RTDC4042\2017-09-03 --exclude "*" --recursive --include "*20170903*" &amp; "%USERPROFILE%\Documents\GitHub\mrs-test-scripts\Headless Mode &amp; Sideloading\WalkAndUnGZ.bat" "%USERPROFILE%\AppData\Local\Temp\OnboardLogs"\RTDC4042\2017-09-03</v>
      </c>
      <c r="AF53" s="74" t="str">
        <f t="shared" si="2"/>
        <v>"C:\Program Files (x86)\AstroGrep\AstroGrep.exe" /e /r /s /spath="%USERPROFILE%\AppData\Local\Temp\OnboardLogs" /stypes="app*4042*20170902*" /stext=" 15:.+((SYSTEM_STATE.+slice.+state.+changed )|(ment ac)|(multiple cpu faults)|(system.+state.+changed )|(\[timeout)|(PRM\|1\|D)|(kpr)|(kdp)|(train st.+moving)|(\|lc)|(penalty))"</v>
      </c>
      <c r="AG53" s="206" t="str">
        <f t="shared" si="74"/>
        <v>EC</v>
      </c>
      <c r="AH53" s="78" t="str">
        <f t="shared" si="36"/>
        <v>"%USERPROFILE%\Documents\GitHub\eaglep3\Utilities\RefineRTDCRunTimes.py" --tripid 141-02 --locoid 4042 --swversion DE.1.0.9.0 --startMP 204:19121 --initTime 2017-09-02T08:50:40 --startdatetime 2017-09-02T08:52:27 --delay 73 --endMP 204:233230 --enddatetime 2017-09-02T09:22:31 --enforcementcount 0 &gt;&gt;C:\Users\stu\Documents\GitHub\eaglep3-reporting\EC\2017-09-02-refined-times.txt</v>
      </c>
      <c r="AI53" s="96" t="str">
        <f t="shared" si="37"/>
        <v>echo {"issue":{"subject":"Onboard in-route failure","project_id":79,"tracker_id":40,"status_id":1,"priority_id":2,"assigned_to_id":338,"start_date":"2017-09-02","description":"","custom_fields":[{"id":1,"name":"Subdivision","value":"EC"},{"id":4,"name":"Milepost","value":"23.323"},{"id":17,"name":"Train ID","value":"141-02"},{"id":16,"name":"Locomotive ID","value":"4042"},{"id":130,"name":"Impact","value":""},{"id":150,"name":"Time of Event (Mountain Time)","value":"09:22:31"},{"id":151,"name":"Denver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38"/>
        <v>start /low /b %USERPROFILE%\Documents\GitHub\eaglep3\Utilities\DownloadLogsFromS3.py --loco 4042 --day 2017-09-02</v>
      </c>
      <c r="AN53" s="151" t="str">
        <f t="shared" si="39"/>
        <v>echo {"issue":{"subject":"Onboard in-route failure","project_id":30,"tracker_id":4,"status_id":1,"priority_id":1,"assigned_to_id":10,"start_date":"2017-09-02","description":"","custom_fields":[{"id":30,"name":"Category","value":"Issue"},{"id":3,"name":"Functional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15:22:31"},{"id":29,"name":"Sharepoint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640</v>
      </c>
      <c r="B54" s="7">
        <v>4042</v>
      </c>
      <c r="C54" s="21" t="s">
        <v>197</v>
      </c>
      <c r="D54" s="21" t="s">
        <v>797</v>
      </c>
      <c r="E54" s="13">
        <v>42980.362407407411</v>
      </c>
      <c r="F54" s="13">
        <v>42980.369756944441</v>
      </c>
      <c r="G54" s="7">
        <v>51</v>
      </c>
      <c r="H54" s="21" t="s">
        <v>798</v>
      </c>
      <c r="I54" s="13">
        <v>42980.390636574077</v>
      </c>
      <c r="J54" s="7">
        <v>0</v>
      </c>
      <c r="K54" s="89" t="str">
        <f t="shared" si="69"/>
        <v>4041/4042</v>
      </c>
      <c r="L54" s="214" t="str">
        <f>VLOOKUP(A54,'Trips&amp;Operators'!$C$1:$G$99911,5,FALSE)</f>
        <v>MACDONALD THOMAS</v>
      </c>
      <c r="M54" s="6">
        <f t="shared" si="70"/>
        <v>2.0879629635601304E-2</v>
      </c>
      <c r="N54" s="7"/>
      <c r="O54" s="7"/>
      <c r="P54" s="7"/>
      <c r="Q54" s="22"/>
      <c r="R54" s="167"/>
      <c r="S54" s="210"/>
      <c r="T54" s="192" t="str">
        <f t="shared" si="71"/>
        <v>NorthBound</v>
      </c>
      <c r="U54" s="192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3" t="str">
        <f t="shared" si="0"/>
        <v>https://d0f6bd738d7f1b3e5a7ca70fe4ff75f0.us-east-1.aws.found.io/app/kibana#/discover/Steve-Slow-Train-Analysis-(2080s-and-2083s)?_g=(refreshInterval:(display:Off,pause:!f,section:0,value:0),time:(from:'2017-09-02T07:41:52-0600',mode:absolute,to:'2017-09-02T10:22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54" s="194" t="str">
        <f>IF(AA54&lt;VLOOKUP(AG54,Variables!$AC$3:$AD$8,2,FALSE),"Y","N")</f>
        <v>Y</v>
      </c>
      <c r="X54" s="194">
        <f t="shared" si="68"/>
        <v>0</v>
      </c>
      <c r="Y54" s="194">
        <f t="shared" si="66"/>
        <v>1.9120999999999999</v>
      </c>
      <c r="Z54" s="194">
        <f t="shared" si="67"/>
        <v>23.323</v>
      </c>
      <c r="AA54" s="194">
        <f t="shared" si="72"/>
        <v>21.410900000000002</v>
      </c>
      <c r="AB54" s="54" t="e">
        <f>VLOOKUP(A54,Enforcements!$C$7:$K$11,8,0)</f>
        <v>#N/A</v>
      </c>
      <c r="AC54" s="51" t="e">
        <f>VLOOKUP(A54,Enforcements!$C$7:$E$11,3,0)</f>
        <v>#N/A</v>
      </c>
      <c r="AD54" s="203">
        <f t="shared" si="73"/>
        <v>141</v>
      </c>
      <c r="AE54" s="77" t="str">
        <f t="shared" si="1"/>
        <v>aws s3 cp s3://rtdc.mdm.uploadarchive.raw/RTDC4042/ "%USERPROFILE%\AppData\Local\Temp\OnboardLogs"\RTDC4042\2017-09-02 --exclude "*" --recursive --include "*20170902*" &amp; "%USERPROFILE%\Documents\GitHub\mrs-test-scripts\Headless Mode &amp; Sideloading\WalkAndUnGZ.bat" "%USERPROFILE%\AppData\Local\Temp\OnboardLogs"\RTDC4042\2017-09-02 &amp; aws s3 cp s3://rtdc.mdm.uploadarchive.raw/RTDC4042/ "%USERPROFILE%\AppData\Local\Temp\OnboardLogs"\RTDC4042\2017-09-03 --exclude "*" --recursive --include "*20170903*" &amp; "%USERPROFILE%\Documents\GitHub\mrs-test-scripts\Headless Mode &amp; Sideloading\WalkAndUnGZ.bat" "%USERPROFILE%\AppData\Local\Temp\OnboardLogs"\RTDC4042\2017-09-03</v>
      </c>
      <c r="AF54" s="74" t="str">
        <f t="shared" si="2"/>
        <v>"C:\Program Files (x86)\AstroGrep\AstroGrep.exe" /e /r /s /spath="%USERPROFILE%\AppData\Local\Temp\OnboardLogs" /stypes="app*4042*20170902*" /stext=" 15:.+((SYSTEM_STATE.+slice.+state.+changed )|(ment ac)|(multiple cpu faults)|(system.+state.+changed )|(\[timeout)|(PRM\|1\|D)|(kpr)|(kdp)|(train st.+moving)|(\|lc)|(penalty))"</v>
      </c>
      <c r="AG54" s="206" t="str">
        <f t="shared" si="74"/>
        <v>EC</v>
      </c>
      <c r="AH54" s="78" t="str">
        <f t="shared" si="36"/>
        <v>"%USERPROFILE%\Documents\GitHub\eaglep3\Utilities\RefineRTDCRunTimes.py" --tripid 141-02 --locoid 4042 --swversion DE.1.0.9.0 --startMP 204:19121 --initTime 2017-09-02T08:41:52 --startdatetime 2017-09-02T08:52:27 --delay 51 --endMP 204:233230 --enddatetime 2017-09-02T09:22:31 --enforcementcount 0 &gt;&gt;C:\Users\stu\Documents\GitHub\eaglep3-reporting\EC\2017-09-02-refined-times.txt</v>
      </c>
      <c r="AI54" s="96" t="str">
        <f t="shared" si="37"/>
        <v>echo {"issue":{"subject":"","project_id":79,"tracker_id":40,"status_id":1,"priority_id":2,"assigned_to_id":338,"start_date":"2017-09-02","description":"","custom_fields":[{"id":1,"name":"Subdivision","value":"EC"},{"id":4,"name":"Milepost","value":"23.323"},{"id":17,"name":"Train ID","value":"141-02"},{"id":16,"name":"Locomotive ID","value":"4042"},{"id":130,"name":"Impact","value":""},{"id":150,"name":"Time of Event (Mountain Time)","value":"09:22:31"},{"id":151,"name":"Denver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38"/>
        <v>start /low /b %USERPROFILE%\Documents\GitHub\eaglep3\Utilities\DownloadLogsFromS3.py --loco 4042 --day 2017-09-02</v>
      </c>
      <c r="AN54" s="151" t="str">
        <f t="shared" si="39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15:22:31"},{"id":29,"name":"Sharepoint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569</v>
      </c>
      <c r="B55" s="7">
        <v>4041</v>
      </c>
      <c r="C55" s="21" t="s">
        <v>197</v>
      </c>
      <c r="D55" s="21" t="s">
        <v>799</v>
      </c>
      <c r="E55" s="13">
        <v>42980.402557870373</v>
      </c>
      <c r="F55" s="13">
        <v>42980.404421296298</v>
      </c>
      <c r="G55" s="7">
        <v>55</v>
      </c>
      <c r="H55" s="21" t="s">
        <v>400</v>
      </c>
      <c r="I55" s="13">
        <v>42980.430925925924</v>
      </c>
      <c r="J55" s="7">
        <v>0</v>
      </c>
      <c r="K55" s="89" t="str">
        <f t="shared" si="69"/>
        <v>4041/4042</v>
      </c>
      <c r="L55" s="214" t="str">
        <f>VLOOKUP(A55,'Trips&amp;Operators'!$C$1:$G$99911,5,FALSE)</f>
        <v>MACDONALD THOMAS</v>
      </c>
      <c r="M55" s="6">
        <f t="shared" si="70"/>
        <v>2.6504629626288079E-2</v>
      </c>
      <c r="N55" s="7">
        <f t="shared" ref="N55:N71" si="75">24*60*SUM($M55:$M55)</f>
        <v>38.166666661854833</v>
      </c>
      <c r="O55" s="7"/>
      <c r="P55" s="7"/>
      <c r="Q55" s="22"/>
      <c r="R55" s="167"/>
      <c r="S55" s="210">
        <f t="shared" ref="S55:S93" si="76">1/IF(AG55="EC",12,1)*SUM(U55:U55)</f>
        <v>1</v>
      </c>
      <c r="T55" s="192" t="str">
        <f t="shared" si="71"/>
        <v>Southbound</v>
      </c>
      <c r="U55" s="192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3" t="str">
        <f t="shared" si="0"/>
        <v>https://d0f6bd738d7f1b3e5a7ca70fe4ff75f0.us-east-1.aws.found.io/app/kibana#/discover/Steve-Slow-Train-Analysis-(2080s-and-2083s)?_g=(refreshInterval:(display:Off,pause:!f,section:0,value:0),time:(from:'2017-09-02T08:39:41-0600',mode:absolute,to:'2017-09-02T11:20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5" s="194" t="str">
        <f>IF(AA55&lt;VLOOKUP(AG55,Variables!$AC$3:$AD$8,2,FALSE),"Y","N")</f>
        <v>N</v>
      </c>
      <c r="X55" s="194">
        <f t="shared" si="68"/>
        <v>1</v>
      </c>
      <c r="Y55" s="194">
        <f t="shared" si="66"/>
        <v>23.2911</v>
      </c>
      <c r="Z55" s="194">
        <f t="shared" si="67"/>
        <v>1.61E-2</v>
      </c>
      <c r="AA55" s="194">
        <f t="shared" si="72"/>
        <v>23.274999999999999</v>
      </c>
      <c r="AB55" s="54" t="e">
        <f>VLOOKUP(A55,Enforcements!$C$7:$K$11,8,0)</f>
        <v>#N/A</v>
      </c>
      <c r="AC55" s="51" t="e">
        <f>VLOOKUP(A55,Enforcements!$C$7:$E$11,3,0)</f>
        <v>#N/A</v>
      </c>
      <c r="AD55" s="203">
        <f t="shared" si="73"/>
        <v>142</v>
      </c>
      <c r="AE55" s="77" t="str">
        <f t="shared" si="1"/>
        <v>aws s3 cp s3://rtdc.mdm.uploadarchive.raw/RTDC4041/ "%USERPROFILE%\AppData\Local\Temp\OnboardLogs"\RTDC4041\2017-09-02 --exclude "*" --recursive --include "*20170902*" &amp; "%USERPROFILE%\Documents\GitHub\mrs-test-scripts\Headless Mode &amp; Sideloading\WalkAndUnGZ.bat" "%USERPROFILE%\AppData\Local\Temp\OnboardLogs"\RTDC4041\2017-09-02 &amp; aws s3 cp s3://rtdc.mdm.uploadarchive.raw/RTDC4041/ "%USERPROFILE%\AppData\Local\Temp\OnboardLogs"\RTDC4041\2017-09-03 --exclude "*" --recursive --include "*20170903*" &amp; "%USERPROFILE%\Documents\GitHub\mrs-test-scripts\Headless Mode &amp; Sideloading\WalkAndUnGZ.bat" "%USERPROFILE%\AppData\Local\Temp\OnboardLogs"\RTDC4041\2017-09-03</v>
      </c>
      <c r="AF55" s="74" t="str">
        <f t="shared" si="2"/>
        <v>"C:\Program Files (x86)\AstroGrep\AstroGrep.exe" /e /r /s /spath="%USERPROFILE%\AppData\Local\Temp\OnboardLogs" /stypes="app*4041*20170902*" /stext=" 16:.+((SYSTEM_STATE.+slice.+state.+changed )|(ment ac)|(multiple cpu faults)|(system.+state.+changed )|(\[timeout)|(PRM\|1\|D)|(kpr)|(kdp)|(train st.+moving)|(\|lc)|(penalty))"</v>
      </c>
      <c r="AG55" s="206" t="str">
        <f t="shared" si="74"/>
        <v>EC</v>
      </c>
      <c r="AH55" s="78" t="str">
        <f t="shared" si="36"/>
        <v>"%USERPROFILE%\Documents\GitHub\eaglep3\Utilities\RefineRTDCRunTimes.py" --tripid 142-02 --locoid 4041 --swversion DE.1.0.9.0 --startMP 204:232911 --initTime 2017-09-02T09:39:41 --startdatetime 2017-09-02T09:42:22 --delay 55 --endMP 204:161 --enddatetime 2017-09-02T10:20:32 --enforcementcount 0 &gt;&gt;C:\Users\stu\Documents\GitHub\eaglep3-reporting\EC\2017-09-02-refined-times.txt</v>
      </c>
      <c r="AI55" s="96" t="str">
        <f t="shared" si="37"/>
        <v>echo {"issue":{"subject":"","project_id":79,"tracker_id":40,"status_id":1,"priority_id":2,"assigned_to_id":338,"start_date":"2017-09-02","description":"","custom_fields":[{"id":1,"name":"Subdivision","value":"EC"},{"id":4,"name":"Milepost","value":"0.0161"},{"id":17,"name":"Train ID","value":"142-02"},{"id":16,"name":"Locomotive ID","value":"4041"},{"id":130,"name":"Impact","value":""},{"id":150,"name":"Time of Event (Mountain Time)","value":"10:20:32"},{"id":151,"name":"Denver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38"/>
        <v>start /low /b %USERPROFILE%\Documents\GitHub\eaglep3\Utilities\DownloadLogsFromS3.py --loco 4041 --day 2017-09-02</v>
      </c>
      <c r="AN55" s="151" t="str">
        <f t="shared" si="39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16:20:32"},{"id":29,"name":"Sharepoint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641</v>
      </c>
      <c r="B56" s="7">
        <v>4032</v>
      </c>
      <c r="C56" s="21" t="s">
        <v>197</v>
      </c>
      <c r="D56" s="21" t="s">
        <v>341</v>
      </c>
      <c r="E56" s="13">
        <v>42980.36991898148</v>
      </c>
      <c r="F56" s="13">
        <v>42980.375474537039</v>
      </c>
      <c r="G56" s="7">
        <v>54</v>
      </c>
      <c r="H56" s="21" t="s">
        <v>541</v>
      </c>
      <c r="I56" s="13">
        <v>42980.400381944448</v>
      </c>
      <c r="J56" s="7">
        <v>0</v>
      </c>
      <c r="K56" s="89" t="str">
        <f t="shared" si="69"/>
        <v>4031/4032</v>
      </c>
      <c r="L56" s="214" t="str">
        <f>VLOOKUP(A56,'Trips&amp;Operators'!$C$1:$G$99911,5,FALSE)</f>
        <v>MAELZER KURT</v>
      </c>
      <c r="M56" s="6">
        <f t="shared" si="70"/>
        <v>2.4907407409045845E-2</v>
      </c>
      <c r="N56" s="7">
        <f t="shared" si="75"/>
        <v>35.866666669026017</v>
      </c>
      <c r="O56" s="7"/>
      <c r="P56" s="7"/>
      <c r="Q56" s="22"/>
      <c r="R56" s="167"/>
      <c r="S56" s="210">
        <f t="shared" si="76"/>
        <v>1</v>
      </c>
      <c r="T56" s="192" t="str">
        <f t="shared" si="71"/>
        <v>NorthBound</v>
      </c>
      <c r="U56" s="192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3" t="str">
        <f t="shared" si="0"/>
        <v>https://d0f6bd738d7f1b3e5a7ca70fe4ff75f0.us-east-1.aws.found.io/app/kibana#/discover/Steve-Slow-Train-Analysis-(2080s-and-2083s)?_g=(refreshInterval:(display:Off,pause:!f,section:0,value:0),time:(from:'2017-09-02T07:52:41-0600',mode:absolute,to:'2017-09-02T10:36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56" s="194" t="str">
        <f>IF(AA56&lt;VLOOKUP(AG56,Variables!$AC$3:$AD$8,2,FALSE),"Y","N")</f>
        <v>N</v>
      </c>
      <c r="X56" s="194">
        <f t="shared" si="68"/>
        <v>1</v>
      </c>
      <c r="Y56" s="194">
        <f t="shared" si="66"/>
        <v>4.5100000000000001E-2</v>
      </c>
      <c r="Z56" s="194">
        <f t="shared" si="67"/>
        <v>23.331900000000001</v>
      </c>
      <c r="AA56" s="194">
        <f t="shared" si="72"/>
        <v>23.286799999999999</v>
      </c>
      <c r="AB56" s="54" t="e">
        <f>VLOOKUP(A56,Enforcements!$C$7:$K$11,8,0)</f>
        <v>#N/A</v>
      </c>
      <c r="AC56" s="51" t="e">
        <f>VLOOKUP(A56,Enforcements!$C$7:$E$11,3,0)</f>
        <v>#N/A</v>
      </c>
      <c r="AD56" s="203">
        <f t="shared" si="73"/>
        <v>143</v>
      </c>
      <c r="AE56" s="77" t="str">
        <f t="shared" si="1"/>
        <v>aws s3 cp s3://rtdc.mdm.uploadarchive.raw/RTDC4032/ "%USERPROFILE%\AppData\Local\Temp\OnboardLogs"\RTDC4032\2017-09-02 --exclude "*" --recursive --include "*20170902*" &amp; "%USERPROFILE%\Documents\GitHub\mrs-test-scripts\Headless Mode &amp; Sideloading\WalkAndUnGZ.bat" "%USERPROFILE%\AppData\Local\Temp\OnboardLogs"\RTDC4032\2017-09-02 &amp; aws s3 cp s3://rtdc.mdm.uploadarchive.raw/RTDC4032/ "%USERPROFILE%\AppData\Local\Temp\OnboardLogs"\RTDC4032\2017-09-03 --exclude "*" --recursive --include "*20170903*" &amp; "%USERPROFILE%\Documents\GitHub\mrs-test-scripts\Headless Mode &amp; Sideloading\WalkAndUnGZ.bat" "%USERPROFILE%\AppData\Local\Temp\OnboardLogs"\RTDC4032\2017-09-03</v>
      </c>
      <c r="AF56" s="74" t="str">
        <f t="shared" si="2"/>
        <v>"C:\Program Files (x86)\AstroGrep\AstroGrep.exe" /e /r /s /spath="%USERPROFILE%\AppData\Local\Temp\OnboardLogs" /stypes="app*4032*20170902*" /stext=" 15:.+((SYSTEM_STATE.+slice.+state.+changed )|(ment ac)|(multiple cpu faults)|(system.+state.+changed )|(\[timeout)|(PRM\|1\|D)|(kpr)|(kdp)|(train st.+moving)|(\|lc)|(penalty))"</v>
      </c>
      <c r="AG56" s="206" t="str">
        <f t="shared" si="74"/>
        <v>EC</v>
      </c>
      <c r="AH56" s="78" t="str">
        <f t="shared" si="36"/>
        <v>"%USERPROFILE%\Documents\GitHub\eaglep3\Utilities\RefineRTDCRunTimes.py" --tripid 143-02 --locoid 4032 --swversion DE.1.0.9.0 --startMP 204:451 --initTime 2017-09-02T08:52:41 --startdatetime 2017-09-02T09:00:41 --delay 54 --endMP 204:233319 --enddatetime 2017-09-02T09:36:33 --enforcementcount 0 &gt;&gt;C:\Users\stu\Documents\GitHub\eaglep3-reporting\EC\2017-09-02-refined-times.txt</v>
      </c>
      <c r="AI56" s="96" t="str">
        <f t="shared" si="37"/>
        <v>echo {"issue":{"subject":"","project_id":79,"tracker_id":40,"status_id":1,"priority_id":2,"assigned_to_id":338,"start_date":"2017-09-02","description":"","custom_fields":[{"id":1,"name":"Subdivision","value":"EC"},{"id":4,"name":"Milepost","value":"23.3319"},{"id":17,"name":"Train ID","value":"143-02"},{"id":16,"name":"Locomotive ID","value":"4032"},{"id":130,"name":"Impact","value":""},{"id":150,"name":"Time of Event (Mountain Time)","value":"09:36:33"},{"id":151,"name":"Denver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38"/>
        <v>start /low /b %USERPROFILE%\Documents\GitHub\eaglep3\Utilities\DownloadLogsFromS3.py --loco 4032 --day 2017-09-02</v>
      </c>
      <c r="AN56" s="151" t="str">
        <f t="shared" si="39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15:36:33"},{"id":29,"name":"Sharepoint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649</v>
      </c>
      <c r="B57" s="7">
        <v>4031</v>
      </c>
      <c r="C57" s="21" t="s">
        <v>197</v>
      </c>
      <c r="D57" s="21" t="s">
        <v>351</v>
      </c>
      <c r="E57" s="13">
        <v>42980.410381944443</v>
      </c>
      <c r="F57" s="13">
        <v>42980.414942129632</v>
      </c>
      <c r="G57" s="7">
        <v>77</v>
      </c>
      <c r="H57" s="21" t="s">
        <v>391</v>
      </c>
      <c r="I57" s="13">
        <v>42980.440972222219</v>
      </c>
      <c r="J57" s="7">
        <v>0</v>
      </c>
      <c r="K57" s="89" t="str">
        <f t="shared" si="69"/>
        <v>4031/4032</v>
      </c>
      <c r="L57" s="214" t="str">
        <f>VLOOKUP(A57,'Trips&amp;Operators'!$C$1:$G$99911,5,FALSE)</f>
        <v>MAELZER KURT</v>
      </c>
      <c r="M57" s="6">
        <f t="shared" si="70"/>
        <v>2.6030092587461695E-2</v>
      </c>
      <c r="N57" s="7">
        <f t="shared" si="75"/>
        <v>37.483333325944841</v>
      </c>
      <c r="O57" s="7"/>
      <c r="P57" s="7"/>
      <c r="Q57" s="22"/>
      <c r="R57" s="167"/>
      <c r="S57" s="210">
        <f t="shared" si="76"/>
        <v>1</v>
      </c>
      <c r="T57" s="192" t="str">
        <f t="shared" si="71"/>
        <v>Southbound</v>
      </c>
      <c r="U57" s="192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3" t="str">
        <f t="shared" si="0"/>
        <v>https://d0f6bd738d7f1b3e5a7ca70fe4ff75f0.us-east-1.aws.found.io/app/kibana#/discover/Steve-Slow-Train-Analysis-(2080s-and-2083s)?_g=(refreshInterval:(display:Off,pause:!f,section:0,value:0),time:(from:'2017-09-02T08:50:57-0600',mode:absolute,to:'2017-09-02T11:35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57" s="194" t="str">
        <f>IF(AA57&lt;VLOOKUP(AG57,Variables!$AC$3:$AD$8,2,FALSE),"Y","N")</f>
        <v>N</v>
      </c>
      <c r="X57" s="194">
        <f t="shared" si="68"/>
        <v>1</v>
      </c>
      <c r="Y57" s="194">
        <f t="shared" si="66"/>
        <v>23.299600000000002</v>
      </c>
      <c r="Z57" s="194">
        <f t="shared" si="67"/>
        <v>1.3899999999999999E-2</v>
      </c>
      <c r="AA57" s="194">
        <f t="shared" si="72"/>
        <v>23.285700000000002</v>
      </c>
      <c r="AB57" s="54" t="e">
        <f>VLOOKUP(A57,Enforcements!$C$7:$K$11,8,0)</f>
        <v>#N/A</v>
      </c>
      <c r="AC57" s="51" t="e">
        <f>VLOOKUP(A57,Enforcements!$C$7:$E$11,3,0)</f>
        <v>#N/A</v>
      </c>
      <c r="AD57" s="203">
        <f t="shared" si="73"/>
        <v>144</v>
      </c>
      <c r="AE57" s="77" t="str">
        <f t="shared" si="1"/>
        <v>aws s3 cp s3://rtdc.mdm.uploadarchive.raw/RTDC4031/ "%USERPROFILE%\AppData\Local\Temp\OnboardLogs"\RTDC4031\2017-09-02 --exclude "*" --recursive --include "*20170902*" &amp; "%USERPROFILE%\Documents\GitHub\mrs-test-scripts\Headless Mode &amp; Sideloading\WalkAndUnGZ.bat" "%USERPROFILE%\AppData\Local\Temp\OnboardLogs"\RTDC4031\2017-09-02 &amp; aws s3 cp s3://rtdc.mdm.uploadarchive.raw/RTDC4031/ "%USERPROFILE%\AppData\Local\Temp\OnboardLogs"\RTDC4031\2017-09-03 --exclude "*" --recursive --include "*20170903*" &amp; "%USERPROFILE%\Documents\GitHub\mrs-test-scripts\Headless Mode &amp; Sideloading\WalkAndUnGZ.bat" "%USERPROFILE%\AppData\Local\Temp\OnboardLogs"\RTDC4031\2017-09-03</v>
      </c>
      <c r="AF57" s="74" t="str">
        <f t="shared" si="2"/>
        <v>"C:\Program Files (x86)\AstroGrep\AstroGrep.exe" /e /r /s /spath="%USERPROFILE%\AppData\Local\Temp\OnboardLogs" /stypes="app*4031*20170902*" /stext=" 16:.+((SYSTEM_STATE.+slice.+state.+changed )|(ment ac)|(multiple cpu faults)|(system.+state.+changed )|(\[timeout)|(PRM\|1\|D)|(kpr)|(kdp)|(train st.+moving)|(\|lc)|(penalty))"</v>
      </c>
      <c r="AG57" s="206" t="str">
        <f t="shared" si="74"/>
        <v>EC</v>
      </c>
      <c r="AH57" s="78" t="str">
        <f t="shared" si="36"/>
        <v>"%USERPROFILE%\Documents\GitHub\eaglep3\Utilities\RefineRTDCRunTimes.py" --tripid 144-02 --locoid 4031 --swversion DE.1.0.9.0 --startMP 204:232996 --initTime 2017-09-02T09:50:57 --startdatetime 2017-09-02T09:57:31 --delay 77 --endMP 204:139 --enddatetime 2017-09-02T10:35:00 --enforcementcount 0 &gt;&gt;C:\Users\stu\Documents\GitHub\eaglep3-reporting\EC\2017-09-02-refined-times.txt</v>
      </c>
      <c r="AI57" s="96" t="str">
        <f t="shared" si="37"/>
        <v>echo {"issue":{"subject":"","project_id":79,"tracker_id":40,"status_id":1,"priority_id":2,"assigned_to_id":338,"start_date":"2017-09-02","description":"","custom_fields":[{"id":1,"name":"Subdivision","value":"EC"},{"id":4,"name":"Milepost","value":"0.0139"},{"id":17,"name":"Train ID","value":"144-02"},{"id":16,"name":"Locomotive ID","value":"4031"},{"id":130,"name":"Impact","value":""},{"id":150,"name":"Time of Event (Mountain Time)","value":"10:35:00"},{"id":151,"name":"Denver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38"/>
        <v>start /low /b %USERPROFILE%\Documents\GitHub\eaglep3\Utilities\DownloadLogsFromS3.py --loco 4031 --day 2017-09-02</v>
      </c>
      <c r="AN57" s="151" t="str">
        <f t="shared" si="39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16:35:00"},{"id":29,"name":"Sharepoint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644</v>
      </c>
      <c r="B58" s="7">
        <v>4052</v>
      </c>
      <c r="C58" s="21" t="s">
        <v>197</v>
      </c>
      <c r="D58" s="21" t="s">
        <v>363</v>
      </c>
      <c r="E58" s="13">
        <v>42980.382916666669</v>
      </c>
      <c r="F58" s="13">
        <v>42980.385578703703</v>
      </c>
      <c r="G58" s="7">
        <v>58</v>
      </c>
      <c r="H58" s="21" t="s">
        <v>433</v>
      </c>
      <c r="I58" s="13">
        <v>42980.411145833335</v>
      </c>
      <c r="J58" s="7">
        <v>0</v>
      </c>
      <c r="K58" s="89" t="str">
        <f t="shared" si="69"/>
        <v>4051/4052</v>
      </c>
      <c r="L58" s="214" t="str">
        <f>VLOOKUP(A58,'Trips&amp;Operators'!$C$1:$G$99911,5,FALSE)</f>
        <v>WILLIAMS DONTE</v>
      </c>
      <c r="M58" s="6">
        <f t="shared" si="70"/>
        <v>2.5567129632690921E-2</v>
      </c>
      <c r="N58" s="7">
        <f t="shared" si="75"/>
        <v>36.816666671074927</v>
      </c>
      <c r="O58" s="7"/>
      <c r="P58" s="7"/>
      <c r="Q58" s="22"/>
      <c r="R58" s="167"/>
      <c r="S58" s="210">
        <f t="shared" si="76"/>
        <v>1</v>
      </c>
      <c r="T58" s="192" t="str">
        <f t="shared" si="71"/>
        <v>NorthBound</v>
      </c>
      <c r="U58" s="192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3" t="str">
        <f t="shared" si="0"/>
        <v>https://d0f6bd738d7f1b3e5a7ca70fe4ff75f0.us-east-1.aws.found.io/app/kibana#/discover/Steve-Slow-Train-Analysis-(2080s-and-2083s)?_g=(refreshInterval:(display:Off,pause:!f,section:0,value:0),time:(from:'2017-09-02T08:11:24-0600',mode:absolute,to:'2017-09-02T10:52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58" s="194" t="str">
        <f>IF(AA58&lt;VLOOKUP(AG58,Variables!$AC$3:$AD$8,2,FALSE),"Y","N")</f>
        <v>N</v>
      </c>
      <c r="X58" s="194">
        <f t="shared" si="68"/>
        <v>1</v>
      </c>
      <c r="Y58" s="194">
        <f t="shared" si="66"/>
        <v>4.58E-2</v>
      </c>
      <c r="Z58" s="194">
        <f t="shared" si="67"/>
        <v>23.3291</v>
      </c>
      <c r="AA58" s="194">
        <f t="shared" si="72"/>
        <v>23.283300000000001</v>
      </c>
      <c r="AB58" s="54" t="e">
        <f>VLOOKUP(A58,Enforcements!$C$7:$K$11,8,0)</f>
        <v>#N/A</v>
      </c>
      <c r="AC58" s="51" t="e">
        <f>VLOOKUP(A58,Enforcements!$C$7:$E$11,3,0)</f>
        <v>#N/A</v>
      </c>
      <c r="AD58" s="203">
        <f t="shared" si="73"/>
        <v>145</v>
      </c>
      <c r="AE58" s="77" t="str">
        <f t="shared" si="1"/>
        <v>aws s3 cp s3://rtdc.mdm.uploadarchive.raw/RTDC4052/ "%USERPROFILE%\AppData\Local\Temp\OnboardLogs"\RTDC4052\2017-09-02 --exclude "*" --recursive --include "*20170902*" &amp; "%USERPROFILE%\Documents\GitHub\mrs-test-scripts\Headless Mode &amp; Sideloading\WalkAndUnGZ.bat" "%USERPROFILE%\AppData\Local\Temp\OnboardLogs"\RTDC4052\2017-09-02 &amp; aws s3 cp s3://rtdc.mdm.uploadarchive.raw/RTDC4052/ "%USERPROFILE%\AppData\Local\Temp\OnboardLogs"\RTDC4052\2017-09-03 --exclude "*" --recursive --include "*20170903*" &amp; "%USERPROFILE%\Documents\GitHub\mrs-test-scripts\Headless Mode &amp; Sideloading\WalkAndUnGZ.bat" "%USERPROFILE%\AppData\Local\Temp\OnboardLogs"\RTDC4052\2017-09-03</v>
      </c>
      <c r="AF58" s="74" t="str">
        <f t="shared" si="2"/>
        <v>"C:\Program Files (x86)\AstroGrep\AstroGrep.exe" /e /r /s /spath="%USERPROFILE%\AppData\Local\Temp\OnboardLogs" /stypes="app*4052*20170902*" /stext=" 15:.+((SYSTEM_STATE.+slice.+state.+changed )|(ment ac)|(multiple cpu faults)|(system.+state.+changed )|(\[timeout)|(PRM\|1\|D)|(kpr)|(kdp)|(train st.+moving)|(\|lc)|(penalty))"</v>
      </c>
      <c r="AG58" s="206" t="str">
        <f t="shared" si="74"/>
        <v>EC</v>
      </c>
      <c r="AH58" s="78" t="str">
        <f t="shared" si="36"/>
        <v>"%USERPROFILE%\Documents\GitHub\eaglep3\Utilities\RefineRTDCRunTimes.py" --tripid 145-02 --locoid 4052 --swversion DE.1.0.9.0 --startMP 204:458 --initTime 2017-09-02T09:11:24 --startdatetime 2017-09-02T09:15:14 --delay 58 --endMP 204:233291 --enddatetime 2017-09-02T09:52:03 --enforcementcount 0 &gt;&gt;C:\Users\stu\Documents\GitHub\eaglep3-reporting\EC\2017-09-02-refined-times.txt</v>
      </c>
      <c r="AI58" s="96" t="str">
        <f t="shared" si="37"/>
        <v>echo {"issue":{"subject":"","project_id":79,"tracker_id":40,"status_id":1,"priority_id":2,"assigned_to_id":338,"start_date":"2017-09-02","description":"","custom_fields":[{"id":1,"name":"Subdivision","value":"EC"},{"id":4,"name":"Milepost","value":"23.3291"},{"id":17,"name":"Train ID","value":"145-02"},{"id":16,"name":"Locomotive ID","value":"4052"},{"id":130,"name":"Impact","value":""},{"id":150,"name":"Time of Event (Mountain Time)","value":"09:52:03"},{"id":151,"name":"Denver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38"/>
        <v>start /low /b %USERPROFILE%\Documents\GitHub\eaglep3\Utilities\DownloadLogsFromS3.py --loco 4052 --day 2017-09-02</v>
      </c>
      <c r="AN58" s="151" t="str">
        <f t="shared" si="39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15:52:03"},{"id":29,"name":"Sharepoint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652</v>
      </c>
      <c r="B59" s="7">
        <v>4051</v>
      </c>
      <c r="C59" s="21" t="s">
        <v>197</v>
      </c>
      <c r="D59" s="21" t="s">
        <v>800</v>
      </c>
      <c r="E59" s="13">
        <v>42980.420428240737</v>
      </c>
      <c r="F59" s="13">
        <v>42980.425173611111</v>
      </c>
      <c r="G59" s="7">
        <v>74</v>
      </c>
      <c r="H59" s="21" t="s">
        <v>364</v>
      </c>
      <c r="I59" s="13">
        <v>42980.451770833337</v>
      </c>
      <c r="J59" s="7">
        <v>0</v>
      </c>
      <c r="K59" s="89" t="str">
        <f t="shared" si="69"/>
        <v>4051/4052</v>
      </c>
      <c r="L59" s="214" t="str">
        <f>VLOOKUP(A59,'Trips&amp;Operators'!$C$1:$G$99911,5,FALSE)</f>
        <v>WILLIAMS DONTE</v>
      </c>
      <c r="M59" s="6">
        <f t="shared" si="70"/>
        <v>2.6597222225973383E-2</v>
      </c>
      <c r="N59" s="7">
        <f t="shared" si="75"/>
        <v>38.300000005401671</v>
      </c>
      <c r="O59" s="7"/>
      <c r="P59" s="7"/>
      <c r="Q59" s="22"/>
      <c r="R59" s="167"/>
      <c r="S59" s="210">
        <f t="shared" si="76"/>
        <v>1</v>
      </c>
      <c r="T59" s="192" t="str">
        <f t="shared" si="71"/>
        <v>Southbound</v>
      </c>
      <c r="U59" s="192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3" t="str">
        <f t="shared" si="0"/>
        <v>https://d0f6bd738d7f1b3e5a7ca70fe4ff75f0.us-east-1.aws.found.io/app/kibana#/discover/Steve-Slow-Train-Analysis-(2080s-and-2083s)?_g=(refreshInterval:(display:Off,pause:!f,section:0,value:0),time:(from:'2017-09-02T09:05:25-0600',mode:absolute,to:'2017-09-02T11:50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59" s="194" t="str">
        <f>IF(AA59&lt;VLOOKUP(AG59,Variables!$AC$3:$AD$8,2,FALSE),"Y","N")</f>
        <v>N</v>
      </c>
      <c r="X59" s="194">
        <f t="shared" si="68"/>
        <v>1</v>
      </c>
      <c r="Y59" s="194">
        <f t="shared" si="66"/>
        <v>23.2957</v>
      </c>
      <c r="Z59" s="194">
        <f t="shared" si="67"/>
        <v>1.52E-2</v>
      </c>
      <c r="AA59" s="194">
        <f t="shared" si="72"/>
        <v>23.2805</v>
      </c>
      <c r="AB59" s="54" t="e">
        <f>VLOOKUP(A59,Enforcements!$C$7:$K$11,8,0)</f>
        <v>#N/A</v>
      </c>
      <c r="AC59" s="51" t="e">
        <f>VLOOKUP(A59,Enforcements!$C$7:$E$11,3,0)</f>
        <v>#N/A</v>
      </c>
      <c r="AD59" s="203">
        <f t="shared" si="73"/>
        <v>146</v>
      </c>
      <c r="AE59" s="77" t="str">
        <f t="shared" si="1"/>
        <v>aws s3 cp s3://rtdc.mdm.uploadarchive.raw/RTDC4051/ "%USERPROFILE%\AppData\Local\Temp\OnboardLogs"\RTDC4051\2017-09-02 --exclude "*" --recursive --include "*20170902*" &amp; "%USERPROFILE%\Documents\GitHub\mrs-test-scripts\Headless Mode &amp; Sideloading\WalkAndUnGZ.bat" "%USERPROFILE%\AppData\Local\Temp\OnboardLogs"\RTDC4051\2017-09-02 &amp; aws s3 cp s3://rtdc.mdm.uploadarchive.raw/RTDC4051/ "%USERPROFILE%\AppData\Local\Temp\OnboardLogs"\RTDC4051\2017-09-03 --exclude "*" --recursive --include "*20170903*" &amp; "%USERPROFILE%\Documents\GitHub\mrs-test-scripts\Headless Mode &amp; Sideloading\WalkAndUnGZ.bat" "%USERPROFILE%\AppData\Local\Temp\OnboardLogs"\RTDC4051\2017-09-03</v>
      </c>
      <c r="AF59" s="74" t="str">
        <f t="shared" si="2"/>
        <v>"C:\Program Files (x86)\AstroGrep\AstroGrep.exe" /e /r /s /spath="%USERPROFILE%\AppData\Local\Temp\OnboardLogs" /stypes="app*4051*20170902*" /stext=" 16:.+((SYSTEM_STATE.+slice.+state.+changed )|(ment ac)|(multiple cpu faults)|(system.+state.+changed )|(\[timeout)|(PRM\|1\|D)|(kpr)|(kdp)|(train st.+moving)|(\|lc)|(penalty))"</v>
      </c>
      <c r="AG59" s="206" t="str">
        <f t="shared" si="74"/>
        <v>EC</v>
      </c>
      <c r="AH59" s="78" t="str">
        <f t="shared" si="36"/>
        <v>"%USERPROFILE%\Documents\GitHub\eaglep3\Utilities\RefineRTDCRunTimes.py" --tripid 146-02 --locoid 4051 --swversion DE.1.0.9.0 --startMP 204:232957 --initTime 2017-09-02T10:05:25 --startdatetime 2017-09-02T10:12:15 --delay 74 --endMP 204:152 --enddatetime 2017-09-02T10:50:33 --enforcementcount 0 &gt;&gt;C:\Users\stu\Documents\GitHub\eaglep3-reporting\EC\2017-09-02-refined-times.txt</v>
      </c>
      <c r="AI59" s="96" t="str">
        <f t="shared" si="37"/>
        <v>echo {"issue":{"subject":"","project_id":79,"tracker_id":40,"status_id":1,"priority_id":2,"assigned_to_id":338,"start_date":"2017-09-02","description":"","custom_fields":[{"id":1,"name":"Subdivision","value":"EC"},{"id":4,"name":"Milepost","value":"0.0152"},{"id":17,"name":"Train ID","value":"146-02"},{"id":16,"name":"Locomotive ID","value":"4051"},{"id":130,"name":"Impact","value":""},{"id":150,"name":"Time of Event (Mountain Time)","value":"10:50:33"},{"id":151,"name":"Denver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38"/>
        <v>start /low /b %USERPROFILE%\Documents\GitHub\eaglep3\Utilities\DownloadLogsFromS3.py --loco 4051 --day 2017-09-02</v>
      </c>
      <c r="AN59" s="151" t="str">
        <f t="shared" si="39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16:50:33"},{"id":29,"name":"Sharepoint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645</v>
      </c>
      <c r="B60" s="7">
        <v>4028</v>
      </c>
      <c r="C60" s="21" t="s">
        <v>197</v>
      </c>
      <c r="D60" s="21" t="s">
        <v>369</v>
      </c>
      <c r="E60" s="13">
        <v>42980.391747685186</v>
      </c>
      <c r="F60" s="13">
        <v>42980.395995370367</v>
      </c>
      <c r="G60" s="7">
        <v>70</v>
      </c>
      <c r="H60" s="21" t="s">
        <v>398</v>
      </c>
      <c r="I60" s="13">
        <v>42980.422037037039</v>
      </c>
      <c r="J60" s="7">
        <v>0</v>
      </c>
      <c r="K60" s="89" t="str">
        <f t="shared" si="69"/>
        <v>4027/4028</v>
      </c>
      <c r="L60" s="214" t="str">
        <f>VLOOKUP(A60,'Trips&amp;Operators'!$C$1:$G$99911,5,FALSE)</f>
        <v>DAVIS WENDY</v>
      </c>
      <c r="M60" s="6">
        <f t="shared" si="70"/>
        <v>2.6041666671517305E-2</v>
      </c>
      <c r="N60" s="7">
        <f t="shared" si="75"/>
        <v>37.500000006984919</v>
      </c>
      <c r="O60" s="7"/>
      <c r="P60" s="7"/>
      <c r="Q60" s="22"/>
      <c r="R60" s="167"/>
      <c r="S60" s="210">
        <f t="shared" si="76"/>
        <v>1</v>
      </c>
      <c r="T60" s="192" t="str">
        <f t="shared" si="71"/>
        <v>NorthBound</v>
      </c>
      <c r="U60" s="192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3" t="str">
        <f t="shared" si="0"/>
        <v>https://d0f6bd738d7f1b3e5a7ca70fe4ff75f0.us-east-1.aws.found.io/app/kibana#/discover/Steve-Slow-Train-Analysis-(2080s-and-2083s)?_g=(refreshInterval:(display:Off,pause:!f,section:0,value:0),time:(from:'2017-09-02T08:24:07-0600',mode:absolute,to:'2017-09-02T11:07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60" s="194" t="str">
        <f>IF(AA60&lt;VLOOKUP(AG60,Variables!$AC$3:$AD$8,2,FALSE),"Y","N")</f>
        <v>N</v>
      </c>
      <c r="X60" s="194">
        <f t="shared" si="68"/>
        <v>1</v>
      </c>
      <c r="Y60" s="194">
        <f t="shared" si="66"/>
        <v>4.6399999999999997E-2</v>
      </c>
      <c r="Z60" s="194">
        <f t="shared" si="67"/>
        <v>23.3306</v>
      </c>
      <c r="AA60" s="194">
        <f t="shared" si="72"/>
        <v>23.284200000000002</v>
      </c>
      <c r="AB60" s="54" t="e">
        <f>VLOOKUP(A60,Enforcements!$C$7:$K$11,8,0)</f>
        <v>#N/A</v>
      </c>
      <c r="AC60" s="51" t="e">
        <f>VLOOKUP(A60,Enforcements!$C$7:$E$11,3,0)</f>
        <v>#N/A</v>
      </c>
      <c r="AD60" s="203">
        <f t="shared" si="73"/>
        <v>147</v>
      </c>
      <c r="AE60" s="77" t="str">
        <f t="shared" si="1"/>
        <v>aws s3 cp s3://rtdc.mdm.uploadarchive.raw/RTDC4028/ "%USERPROFILE%\AppData\Local\Temp\OnboardLogs"\RTDC4028\2017-09-02 --exclude "*" --recursive --include "*20170902*" &amp; "%USERPROFILE%\Documents\GitHub\mrs-test-scripts\Headless Mode &amp; Sideloading\WalkAndUnGZ.bat" "%USERPROFILE%\AppData\Local\Temp\OnboardLogs"\RTDC4028\2017-09-02 &amp; aws s3 cp s3://rtdc.mdm.uploadarchive.raw/RTDC4028/ "%USERPROFILE%\AppData\Local\Temp\OnboardLogs"\RTDC4028\2017-09-03 --exclude "*" --recursive --include "*20170903*" &amp; "%USERPROFILE%\Documents\GitHub\mrs-test-scripts\Headless Mode &amp; Sideloading\WalkAndUnGZ.bat" "%USERPROFILE%\AppData\Local\Temp\OnboardLogs"\RTDC4028\2017-09-03</v>
      </c>
      <c r="AF60" s="74" t="str">
        <f t="shared" si="2"/>
        <v>"C:\Program Files (x86)\AstroGrep\AstroGrep.exe" /e /r /s /spath="%USERPROFILE%\AppData\Local\Temp\OnboardLogs" /stypes="app*4028*20170902*" /stext=" 16:.+((SYSTEM_STATE.+slice.+state.+changed )|(ment ac)|(multiple cpu faults)|(system.+state.+changed )|(\[timeout)|(PRM\|1\|D)|(kpr)|(kdp)|(train st.+moving)|(\|lc)|(penalty))"</v>
      </c>
      <c r="AG60" s="206" t="str">
        <f t="shared" si="74"/>
        <v>EC</v>
      </c>
      <c r="AH60" s="78" t="str">
        <f t="shared" si="36"/>
        <v>"%USERPROFILE%\Documents\GitHub\eaglep3\Utilities\RefineRTDCRunTimes.py" --tripid 147-02 --locoid 4028 --swversion DE.1.0.9.0 --startMP 204:464 --initTime 2017-09-02T09:24:07 --startdatetime 2017-09-02T09:30:14 --delay 70 --endMP 204:233306 --enddatetime 2017-09-02T10:07:44 --enforcementcount 0 &gt;&gt;C:\Users\stu\Documents\GitHub\eaglep3-reporting\EC\2017-09-02-refined-times.txt</v>
      </c>
      <c r="AI60" s="96" t="str">
        <f t="shared" si="37"/>
        <v>echo {"issue":{"subject":"","project_id":79,"tracker_id":40,"status_id":1,"priority_id":2,"assigned_to_id":338,"start_date":"2017-09-02","description":"","custom_fields":[{"id":1,"name":"Subdivision","value":"EC"},{"id":4,"name":"Milepost","value":"23.3306"},{"id":17,"name":"Train ID","value":"147-02"},{"id":16,"name":"Locomotive ID","value":"4028"},{"id":130,"name":"Impact","value":""},{"id":150,"name":"Time of Event (Mountain Time)","value":"10:07:44"},{"id":151,"name":"Denver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38"/>
        <v>start /low /b %USERPROFILE%\Documents\GitHub\eaglep3\Utilities\DownloadLogsFromS3.py --loco 4028 --day 2017-09-02</v>
      </c>
      <c r="AN60" s="151" t="str">
        <f t="shared" si="39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16:07:44"},{"id":29,"name":"Sharepoint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656</v>
      </c>
      <c r="B61" s="7">
        <v>4027</v>
      </c>
      <c r="C61" s="21" t="s">
        <v>197</v>
      </c>
      <c r="D61" s="21" t="s">
        <v>801</v>
      </c>
      <c r="E61" s="13">
        <v>42980.431793981479</v>
      </c>
      <c r="F61" s="13">
        <v>42980.435601851852</v>
      </c>
      <c r="G61" s="7">
        <v>63</v>
      </c>
      <c r="H61" s="21" t="s">
        <v>380</v>
      </c>
      <c r="I61" s="13">
        <v>42980.46166666667</v>
      </c>
      <c r="J61" s="7">
        <v>0</v>
      </c>
      <c r="K61" s="89" t="str">
        <f t="shared" si="69"/>
        <v>4027/4028</v>
      </c>
      <c r="L61" s="214" t="str">
        <f>VLOOKUP(A61,'Trips&amp;Operators'!$C$1:$G$99911,5,FALSE)</f>
        <v>DAVIS WENDY</v>
      </c>
      <c r="M61" s="6">
        <f t="shared" si="70"/>
        <v>2.6064814817800652E-2</v>
      </c>
      <c r="N61" s="7">
        <f t="shared" si="75"/>
        <v>37.533333337632939</v>
      </c>
      <c r="O61" s="7"/>
      <c r="P61" s="7"/>
      <c r="Q61" s="22"/>
      <c r="R61" s="167"/>
      <c r="S61" s="210">
        <f t="shared" si="76"/>
        <v>1</v>
      </c>
      <c r="T61" s="192" t="str">
        <f t="shared" si="71"/>
        <v>Southbound</v>
      </c>
      <c r="U61" s="192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3" t="str">
        <f t="shared" si="0"/>
        <v>https://d0f6bd738d7f1b3e5a7ca70fe4ff75f0.us-east-1.aws.found.io/app/kibana#/discover/Steve-Slow-Train-Analysis-(2080s-and-2083s)?_g=(refreshInterval:(display:Off,pause:!f,section:0,value:0),time:(from:'2017-09-02T09:21:47-0600',mode:absolute,to:'2017-09-02T12:04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1" s="194" t="str">
        <f>IF(AA61&lt;VLOOKUP(AG61,Variables!$AC$3:$AD$8,2,FALSE),"Y","N")</f>
        <v>N</v>
      </c>
      <c r="X61" s="194">
        <f t="shared" si="68"/>
        <v>1</v>
      </c>
      <c r="Y61" s="194">
        <f t="shared" si="66"/>
        <v>23.298500000000001</v>
      </c>
      <c r="Z61" s="194">
        <f t="shared" si="67"/>
        <v>1.5599999999999999E-2</v>
      </c>
      <c r="AA61" s="194">
        <f t="shared" si="72"/>
        <v>23.282900000000001</v>
      </c>
      <c r="AB61" s="54" t="e">
        <f>VLOOKUP(A61,Enforcements!$C$7:$K$11,8,0)</f>
        <v>#N/A</v>
      </c>
      <c r="AC61" s="51" t="e">
        <f>VLOOKUP(A61,Enforcements!$C$7:$E$11,3,0)</f>
        <v>#N/A</v>
      </c>
      <c r="AD61" s="203">
        <f t="shared" si="73"/>
        <v>148</v>
      </c>
      <c r="AE61" s="77" t="str">
        <f t="shared" si="1"/>
        <v>aws s3 cp s3://rtdc.mdm.uploadarchive.raw/RTDC4027/ "%USERPROFILE%\AppData\Local\Temp\OnboardLogs"\RTDC4027\2017-09-02 --exclude "*" --recursive --include "*20170902*" &amp; "%USERPROFILE%\Documents\GitHub\mrs-test-scripts\Headless Mode &amp; Sideloading\WalkAndUnGZ.bat" "%USERPROFILE%\AppData\Local\Temp\OnboardLogs"\RTDC4027\2017-09-02 &amp; aws s3 cp s3://rtdc.mdm.uploadarchive.raw/RTDC4027/ "%USERPROFILE%\AppData\Local\Temp\OnboardLogs"\RTDC4027\2017-09-03 --exclude "*" --recursive --include "*20170903*" &amp; "%USERPROFILE%\Documents\GitHub\mrs-test-scripts\Headless Mode &amp; Sideloading\WalkAndUnGZ.bat" "%USERPROFILE%\AppData\Local\Temp\OnboardLogs"\RTDC4027\2017-09-03</v>
      </c>
      <c r="AF61" s="74" t="str">
        <f t="shared" si="2"/>
        <v>"C:\Program Files (x86)\AstroGrep\AstroGrep.exe" /e /r /s /spath="%USERPROFILE%\AppData\Local\Temp\OnboardLogs" /stypes="app*4027*20170902*" /stext=" 17:.+((SYSTEM_STATE.+slice.+state.+changed )|(ment ac)|(multiple cpu faults)|(system.+state.+changed )|(\[timeout)|(PRM\|1\|D)|(kpr)|(kdp)|(train st.+moving)|(\|lc)|(penalty))"</v>
      </c>
      <c r="AG61" s="206" t="str">
        <f t="shared" si="74"/>
        <v>EC</v>
      </c>
      <c r="AH61" s="78" t="str">
        <f t="shared" si="36"/>
        <v>"%USERPROFILE%\Documents\GitHub\eaglep3\Utilities\RefineRTDCRunTimes.py" --tripid 148-02 --locoid 4027 --swversion DE.1.0.9.0 --startMP 204:232985 --initTime 2017-09-02T10:21:47 --startdatetime 2017-09-02T10:27:16 --delay 63 --endMP 204:156 --enddatetime 2017-09-02T11:04:48 --enforcementcount 0 &gt;&gt;C:\Users\stu\Documents\GitHub\eaglep3-reporting\EC\2017-09-02-refined-times.txt</v>
      </c>
      <c r="AI61" s="96" t="str">
        <f t="shared" si="37"/>
        <v>echo {"issue":{"subject":"","project_id":79,"tracker_id":40,"status_id":1,"priority_id":2,"assigned_to_id":338,"start_date":"2017-09-02","description":"","custom_fields":[{"id":1,"name":"Subdivision","value":"EC"},{"id":4,"name":"Milepost","value":"0.0156"},{"id":17,"name":"Train ID","value":"148-02"},{"id":16,"name":"Locomotive ID","value":"4027"},{"id":130,"name":"Impact","value":""},{"id":150,"name":"Time of Event (Mountain Time)","value":"11:04:48"},{"id":151,"name":"Denver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38"/>
        <v>start /low /b %USERPROFILE%\Documents\GitHub\eaglep3\Utilities\DownloadLogsFromS3.py --loco 4027 --day 2017-09-02</v>
      </c>
      <c r="AN61" s="151" t="str">
        <f t="shared" si="39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17:04:48"},{"id":29,"name":"Sharepoint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648</v>
      </c>
      <c r="B62" s="7">
        <v>4056</v>
      </c>
      <c r="C62" s="21" t="s">
        <v>197</v>
      </c>
      <c r="D62" s="21" t="s">
        <v>434</v>
      </c>
      <c r="E62" s="13">
        <v>42980.403067129628</v>
      </c>
      <c r="F62" s="13">
        <v>42980.406493055554</v>
      </c>
      <c r="G62" s="7">
        <v>57</v>
      </c>
      <c r="H62" s="21" t="s">
        <v>790</v>
      </c>
      <c r="I62" s="13">
        <v>42980.430127314816</v>
      </c>
      <c r="J62" s="7">
        <v>0</v>
      </c>
      <c r="K62" s="89" t="str">
        <f t="shared" si="69"/>
        <v>4055/4056</v>
      </c>
      <c r="L62" s="214" t="str">
        <f>VLOOKUP(A62,'Trips&amp;Operators'!$C$1:$G$99911,5,FALSE)</f>
        <v>GEBRETEKLE DAGNEW</v>
      </c>
      <c r="M62" s="6">
        <f t="shared" si="70"/>
        <v>2.3634259261598345E-2</v>
      </c>
      <c r="N62" s="7">
        <f t="shared" si="75"/>
        <v>34.033333336701617</v>
      </c>
      <c r="O62" s="7"/>
      <c r="P62" s="7"/>
      <c r="Q62" s="22"/>
      <c r="R62" s="167"/>
      <c r="S62" s="210">
        <f t="shared" si="76"/>
        <v>1</v>
      </c>
      <c r="T62" s="192" t="str">
        <f t="shared" si="71"/>
        <v>NorthBound</v>
      </c>
      <c r="U62" s="192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3" t="str">
        <f t="shared" si="0"/>
        <v>https://d0f6bd738d7f1b3e5a7ca70fe4ff75f0.us-east-1.aws.found.io/app/kibana#/discover/Steve-Slow-Train-Analysis-(2080s-and-2083s)?_g=(refreshInterval:(display:Off,pause:!f,section:0,value:0),time:(from:'2017-09-02T08:40:25-0600',mode:absolute,to:'2017-09-02T11:19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62" s="194" t="str">
        <f>IF(AA62&lt;VLOOKUP(AG62,Variables!$AC$3:$AD$8,2,FALSE),"Y","N")</f>
        <v>N</v>
      </c>
      <c r="X62" s="194">
        <f t="shared" si="68"/>
        <v>1</v>
      </c>
      <c r="Y62" s="194">
        <f t="shared" si="66"/>
        <v>4.3700000000000003E-2</v>
      </c>
      <c r="Z62" s="194">
        <f t="shared" si="67"/>
        <v>23.328199999999999</v>
      </c>
      <c r="AA62" s="194">
        <f t="shared" si="72"/>
        <v>23.284499999999998</v>
      </c>
      <c r="AB62" s="54" t="e">
        <f>VLOOKUP(A62,Enforcements!$C$7:$K$11,8,0)</f>
        <v>#N/A</v>
      </c>
      <c r="AC62" s="51" t="e">
        <f>VLOOKUP(A62,Enforcements!$C$7:$E$11,3,0)</f>
        <v>#N/A</v>
      </c>
      <c r="AD62" s="203">
        <f t="shared" si="73"/>
        <v>149</v>
      </c>
      <c r="AE62" s="77" t="str">
        <f t="shared" si="1"/>
        <v>aws s3 cp s3://rtdc.mdm.uploadarchive.raw/RTDC4056/ "%USERPROFILE%\AppData\Local\Temp\OnboardLogs"\RTDC4056\2017-09-02 --exclude "*" --recursive --include "*20170902*" &amp; "%USERPROFILE%\Documents\GitHub\mrs-test-scripts\Headless Mode &amp; Sideloading\WalkAndUnGZ.bat" "%USERPROFILE%\AppData\Local\Temp\OnboardLogs"\RTDC4056\2017-09-02 &amp; aws s3 cp s3://rtdc.mdm.uploadarchive.raw/RTDC4056/ "%USERPROFILE%\AppData\Local\Temp\OnboardLogs"\RTDC4056\2017-09-03 --exclude "*" --recursive --include "*20170903*" &amp; "%USERPROFILE%\Documents\GitHub\mrs-test-scripts\Headless Mode &amp; Sideloading\WalkAndUnGZ.bat" "%USERPROFILE%\AppData\Local\Temp\OnboardLogs"\RTDC4056\2017-09-03</v>
      </c>
      <c r="AF62" s="74" t="str">
        <f t="shared" si="2"/>
        <v>"C:\Program Files (x86)\AstroGrep\AstroGrep.exe" /e /r /s /spath="%USERPROFILE%\AppData\Local\Temp\OnboardLogs" /stypes="app*4056*20170902*" /stext=" 16:.+((SYSTEM_STATE.+slice.+state.+changed )|(ment ac)|(multiple cpu faults)|(system.+state.+changed )|(\[timeout)|(PRM\|1\|D)|(kpr)|(kdp)|(train st.+moving)|(\|lc)|(penalty))"</v>
      </c>
      <c r="AG62" s="206" t="str">
        <f t="shared" si="74"/>
        <v>EC</v>
      </c>
      <c r="AH62" s="78" t="str">
        <f t="shared" si="36"/>
        <v>"%USERPROFILE%\Documents\GitHub\eaglep3\Utilities\RefineRTDCRunTimes.py" --tripid 149-02 --locoid 4056 --swversion DE.1.0.9.0 --startMP 204:437 --initTime 2017-09-02T09:40:25 --startdatetime 2017-09-02T09:45:21 --delay 57 --endMP 204:233282 --enddatetime 2017-09-02T10:19:23 --enforcementcount 0 &gt;&gt;C:\Users\stu\Documents\GitHub\eaglep3-reporting\EC\2017-09-02-refined-times.txt</v>
      </c>
      <c r="AI62" s="96" t="str">
        <f t="shared" si="37"/>
        <v>echo {"issue":{"subject":"","project_id":79,"tracker_id":40,"status_id":1,"priority_id":2,"assigned_to_id":338,"start_date":"2017-09-02","description":"","custom_fields":[{"id":1,"name":"Subdivision","value":"EC"},{"id":4,"name":"Milepost","value":"23.3282"},{"id":17,"name":"Train ID","value":"149-02"},{"id":16,"name":"Locomotive ID","value":"4056"},{"id":130,"name":"Impact","value":""},{"id":150,"name":"Time of Event (Mountain Time)","value":"10:19:23"},{"id":151,"name":"Denver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38"/>
        <v>start /low /b %USERPROFILE%\Documents\GitHub\eaglep3\Utilities\DownloadLogsFromS3.py --loco 4056 --day 2017-09-02</v>
      </c>
      <c r="AN62" s="151" t="str">
        <f t="shared" si="39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16:19:23"},{"id":29,"name":"Sharepoint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570</v>
      </c>
      <c r="B63" s="7">
        <v>4055</v>
      </c>
      <c r="C63" s="21" t="s">
        <v>197</v>
      </c>
      <c r="D63" s="21" t="s">
        <v>537</v>
      </c>
      <c r="E63" s="13">
        <v>42980.431504629632</v>
      </c>
      <c r="F63" s="13">
        <v>42980.446053240739</v>
      </c>
      <c r="G63" s="7">
        <v>47</v>
      </c>
      <c r="H63" s="21" t="s">
        <v>338</v>
      </c>
      <c r="I63" s="13">
        <v>42980.47283564815</v>
      </c>
      <c r="J63" s="7">
        <v>0</v>
      </c>
      <c r="K63" s="89" t="str">
        <f t="shared" si="69"/>
        <v>4055/4056</v>
      </c>
      <c r="L63" s="214" t="str">
        <f>VLOOKUP(A63,'Trips&amp;Operators'!$C$1:$G$99911,5,FALSE)</f>
        <v>GEBRETEKLE DAGNEW</v>
      </c>
      <c r="M63" s="6">
        <f t="shared" si="70"/>
        <v>2.6782407410792075E-2</v>
      </c>
      <c r="N63" s="7">
        <f t="shared" si="75"/>
        <v>38.566666671540588</v>
      </c>
      <c r="O63" s="7"/>
      <c r="P63" s="7"/>
      <c r="Q63" s="22"/>
      <c r="R63" s="167"/>
      <c r="S63" s="210">
        <f t="shared" si="76"/>
        <v>1</v>
      </c>
      <c r="T63" s="192" t="str">
        <f t="shared" si="71"/>
        <v>Southbound</v>
      </c>
      <c r="U63" s="192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3" t="str">
        <f t="shared" si="0"/>
        <v>https://d0f6bd738d7f1b3e5a7ca70fe4ff75f0.us-east-1.aws.found.io/app/kibana#/discover/Steve-Slow-Train-Analysis-(2080s-and-2083s)?_g=(refreshInterval:(display:Off,pause:!f,section:0,value:0),time:(from:'2017-09-02T09:21:22-0600',mode:absolute,to:'2017-09-02T12:20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63" s="194" t="str">
        <f>IF(AA63&lt;VLOOKUP(AG63,Variables!$AC$3:$AD$8,2,FALSE),"Y","N")</f>
        <v>N</v>
      </c>
      <c r="X63" s="194">
        <f t="shared" si="68"/>
        <v>1</v>
      </c>
      <c r="Y63" s="194">
        <f t="shared" si="66"/>
        <v>23.297499999999999</v>
      </c>
      <c r="Z63" s="194">
        <f t="shared" si="67"/>
        <v>1.4999999999999999E-2</v>
      </c>
      <c r="AA63" s="194">
        <f t="shared" si="72"/>
        <v>23.282499999999999</v>
      </c>
      <c r="AB63" s="54" t="e">
        <f>VLOOKUP(A63,Enforcements!$C$7:$K$11,8,0)</f>
        <v>#N/A</v>
      </c>
      <c r="AC63" s="51" t="e">
        <f>VLOOKUP(A63,Enforcements!$C$7:$E$11,3,0)</f>
        <v>#N/A</v>
      </c>
      <c r="AD63" s="203">
        <f t="shared" si="73"/>
        <v>150</v>
      </c>
      <c r="AE63" s="77" t="str">
        <f t="shared" si="1"/>
        <v>aws s3 cp s3://rtdc.mdm.uploadarchive.raw/RTDC4055/ "%USERPROFILE%\AppData\Local\Temp\OnboardLogs"\RTDC4055\2017-09-02 --exclude "*" --recursive --include "*20170902*" &amp; "%USERPROFILE%\Documents\GitHub\mrs-test-scripts\Headless Mode &amp; Sideloading\WalkAndUnGZ.bat" "%USERPROFILE%\AppData\Local\Temp\OnboardLogs"\RTDC4055\2017-09-02 &amp; aws s3 cp s3://rtdc.mdm.uploadarchive.raw/RTDC4055/ "%USERPROFILE%\AppData\Local\Temp\OnboardLogs"\RTDC4055\2017-09-03 --exclude "*" --recursive --include "*20170903*" &amp; "%USERPROFILE%\Documents\GitHub\mrs-test-scripts\Headless Mode &amp; Sideloading\WalkAndUnGZ.bat" "%USERPROFILE%\AppData\Local\Temp\OnboardLogs"\RTDC4055\2017-09-03</v>
      </c>
      <c r="AF63" s="74" t="str">
        <f t="shared" si="2"/>
        <v>"C:\Program Files (x86)\AstroGrep\AstroGrep.exe" /e /r /s /spath="%USERPROFILE%\AppData\Local\Temp\OnboardLogs" /stypes="app*4055*20170902*" /stext=" 17:.+((SYSTEM_STATE.+slice.+state.+changed )|(ment ac)|(multiple cpu faults)|(system.+state.+changed )|(\[timeout)|(PRM\|1\|D)|(kpr)|(kdp)|(train st.+moving)|(\|lc)|(penalty))"</v>
      </c>
      <c r="AG63" s="206" t="str">
        <f t="shared" si="74"/>
        <v>EC</v>
      </c>
      <c r="AH63" s="78" t="str">
        <f t="shared" si="36"/>
        <v>"%USERPROFILE%\Documents\GitHub\eaglep3\Utilities\RefineRTDCRunTimes.py" --tripid 150-02 --locoid 4055 --swversion DE.1.0.9.0 --startMP 204:232975 --initTime 2017-09-02T10:21:22 --startdatetime 2017-09-02T10:42:19 --delay 47 --endMP 204:150 --enddatetime 2017-09-02T11:20:53 --enforcementcount 0 &gt;&gt;C:\Users\stu\Documents\GitHub\eaglep3-reporting\EC\2017-09-02-refined-times.txt</v>
      </c>
      <c r="AI63" s="96" t="str">
        <f t="shared" si="37"/>
        <v>echo {"issue":{"subject":"","project_id":79,"tracker_id":40,"status_id":1,"priority_id":2,"assigned_to_id":338,"start_date":"2017-09-02","description":"","custom_fields":[{"id":1,"name":"Subdivision","value":"EC"},{"id":4,"name":"Milepost","value":"0.015"},{"id":17,"name":"Train ID","value":"150-02"},{"id":16,"name":"Locomotive ID","value":"4055"},{"id":130,"name":"Impact","value":""},{"id":150,"name":"Time of Event (Mountain Time)","value":"11:20:53"},{"id":151,"name":"Denver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38"/>
        <v>start /low /b %USERPROFILE%\Documents\GitHub\eaglep3\Utilities\DownloadLogsFromS3.py --loco 4055 --day 2017-09-02</v>
      </c>
      <c r="AN63" s="151" t="str">
        <f t="shared" si="39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17:20:53"},{"id":29,"name":"Sharepoint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650</v>
      </c>
      <c r="B64" s="7">
        <v>4010</v>
      </c>
      <c r="C64" s="21" t="s">
        <v>197</v>
      </c>
      <c r="D64" s="21" t="s">
        <v>376</v>
      </c>
      <c r="E64" s="13">
        <v>42980.412986111114</v>
      </c>
      <c r="F64" s="13">
        <v>42980.417303240742</v>
      </c>
      <c r="G64" s="7">
        <v>51</v>
      </c>
      <c r="H64" s="21" t="s">
        <v>802</v>
      </c>
      <c r="I64" s="13">
        <v>42980.44159722222</v>
      </c>
      <c r="J64" s="7">
        <v>0</v>
      </c>
      <c r="K64" s="89" t="str">
        <f t="shared" si="69"/>
        <v>4009/4010</v>
      </c>
      <c r="L64" s="214" t="str">
        <f>VLOOKUP(A64,'Trips&amp;Operators'!$C$1:$G$99911,5,FALSE)</f>
        <v>LALONDE GREGORY</v>
      </c>
      <c r="M64" s="6">
        <f t="shared" si="70"/>
        <v>2.4293981477967463E-2</v>
      </c>
      <c r="N64" s="7">
        <f t="shared" si="75"/>
        <v>34.983333328273147</v>
      </c>
      <c r="O64" s="7"/>
      <c r="P64" s="7"/>
      <c r="Q64" s="22"/>
      <c r="R64" s="167"/>
      <c r="S64" s="210">
        <f t="shared" si="76"/>
        <v>1</v>
      </c>
      <c r="T64" s="192" t="str">
        <f t="shared" si="71"/>
        <v>NorthBound</v>
      </c>
      <c r="U64" s="192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3" t="str">
        <f t="shared" si="0"/>
        <v>https://d0f6bd738d7f1b3e5a7ca70fe4ff75f0.us-east-1.aws.found.io/app/kibana#/discover/Steve-Slow-Train-Analysis-(2080s-and-2083s)?_g=(refreshInterval:(display:Off,pause:!f,section:0,value:0),time:(from:'2017-09-02T08:54:42-0600',mode:absolute,to:'2017-09-02T11:35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64" s="194" t="str">
        <f>IF(AA64&lt;VLOOKUP(AG64,Variables!$AC$3:$AD$8,2,FALSE),"Y","N")</f>
        <v>N</v>
      </c>
      <c r="X64" s="194">
        <f t="shared" si="68"/>
        <v>1</v>
      </c>
      <c r="Y64" s="194">
        <f t="shared" si="66"/>
        <v>4.4400000000000002E-2</v>
      </c>
      <c r="Z64" s="194">
        <f t="shared" si="67"/>
        <v>23.332899999999999</v>
      </c>
      <c r="AA64" s="194">
        <f t="shared" si="72"/>
        <v>23.288499999999999</v>
      </c>
      <c r="AB64" s="54" t="e">
        <f>VLOOKUP(A64,Enforcements!$C$7:$K$11,8,0)</f>
        <v>#N/A</v>
      </c>
      <c r="AC64" s="51" t="e">
        <f>VLOOKUP(A64,Enforcements!$C$7:$E$11,3,0)</f>
        <v>#N/A</v>
      </c>
      <c r="AD64" s="203">
        <f t="shared" si="73"/>
        <v>151</v>
      </c>
      <c r="AE64" s="77" t="str">
        <f t="shared" si="1"/>
        <v>aws s3 cp s3://rtdc.mdm.uploadarchive.raw/RTDC4010/ "%USERPROFILE%\AppData\Local\Temp\OnboardLogs"\RTDC4010\2017-09-02 --exclude "*" --recursive --include "*20170902*" &amp; "%USERPROFILE%\Documents\GitHub\mrs-test-scripts\Headless Mode &amp; Sideloading\WalkAndUnGZ.bat" "%USERPROFILE%\AppData\Local\Temp\OnboardLogs"\RTDC4010\2017-09-02 &amp; aws s3 cp s3://rtdc.mdm.uploadarchive.raw/RTDC4010/ "%USERPROFILE%\AppData\Local\Temp\OnboardLogs"\RTDC4010\2017-09-03 --exclude "*" --recursive --include "*20170903*" &amp; "%USERPROFILE%\Documents\GitHub\mrs-test-scripts\Headless Mode &amp; Sideloading\WalkAndUnGZ.bat" "%USERPROFILE%\AppData\Local\Temp\OnboardLogs"\RTDC4010\2017-09-03</v>
      </c>
      <c r="AF64" s="74" t="str">
        <f t="shared" si="2"/>
        <v>"C:\Program Files (x86)\AstroGrep\AstroGrep.exe" /e /r /s /spath="%USERPROFILE%\AppData\Local\Temp\OnboardLogs" /stypes="app*4010*20170902*" /stext=" 16:.+((SYSTEM_STATE.+slice.+state.+changed )|(ment ac)|(multiple cpu faults)|(system.+state.+changed )|(\[timeout)|(PRM\|1\|D)|(kpr)|(kdp)|(train st.+moving)|(\|lc)|(penalty))"</v>
      </c>
      <c r="AG64" s="206" t="str">
        <f t="shared" si="74"/>
        <v>EC</v>
      </c>
      <c r="AH64" s="78" t="str">
        <f t="shared" si="36"/>
        <v>"%USERPROFILE%\Documents\GitHub\eaglep3\Utilities\RefineRTDCRunTimes.py" --tripid 151-02 --locoid 4010 --swversion DE.1.0.9.0 --startMP 204:444 --initTime 2017-09-02T09:54:42 --startdatetime 2017-09-02T10:00:55 --delay 51 --endMP 204:233329 --enddatetime 2017-09-02T10:35:54 --enforcementcount 0 &gt;&gt;C:\Users\stu\Documents\GitHub\eaglep3-reporting\EC\2017-09-02-refined-times.txt</v>
      </c>
      <c r="AI64" s="96" t="str">
        <f t="shared" si="37"/>
        <v>echo {"issue":{"subject":"","project_id":79,"tracker_id":40,"status_id":1,"priority_id":2,"assigned_to_id":338,"start_date":"2017-09-02","description":"","custom_fields":[{"id":1,"name":"Subdivision","value":"EC"},{"id":4,"name":"Milepost","value":"23.3329"},{"id":17,"name":"Train ID","value":"151-02"},{"id":16,"name":"Locomotive ID","value":"4010"},{"id":130,"name":"Impact","value":""},{"id":150,"name":"Time of Event (Mountain Time)","value":"10:35:54"},{"id":151,"name":"Denver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38"/>
        <v>start /low /b %USERPROFILE%\Documents\GitHub\eaglep3\Utilities\DownloadLogsFromS3.py --loco 4010 --day 2017-09-02</v>
      </c>
      <c r="AN64" s="151" t="str">
        <f t="shared" si="39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16:35:54"},{"id":29,"name":"Sharepoint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657</v>
      </c>
      <c r="B65" s="7">
        <v>4009</v>
      </c>
      <c r="C65" s="21" t="s">
        <v>197</v>
      </c>
      <c r="D65" s="21" t="s">
        <v>803</v>
      </c>
      <c r="E65" s="13">
        <v>42980.443194444444</v>
      </c>
      <c r="F65" s="13">
        <v>42980.456412037034</v>
      </c>
      <c r="G65" s="7">
        <v>46</v>
      </c>
      <c r="H65" s="21" t="s">
        <v>450</v>
      </c>
      <c r="I65" s="13">
        <v>42980.485914351855</v>
      </c>
      <c r="J65" s="7">
        <v>0</v>
      </c>
      <c r="K65" s="89" t="str">
        <f t="shared" si="69"/>
        <v>4009/4010</v>
      </c>
      <c r="L65" s="214" t="str">
        <f>VLOOKUP(A65,'Trips&amp;Operators'!$C$1:$G$99911,5,FALSE)</f>
        <v>LALONDE GREGORY</v>
      </c>
      <c r="M65" s="6">
        <f t="shared" si="70"/>
        <v>2.9502314821002074E-2</v>
      </c>
      <c r="N65" s="7">
        <f t="shared" si="75"/>
        <v>42.483333342242986</v>
      </c>
      <c r="O65" s="7"/>
      <c r="P65" s="7"/>
      <c r="Q65" s="22"/>
      <c r="R65" s="167"/>
      <c r="S65" s="210">
        <f t="shared" si="76"/>
        <v>1</v>
      </c>
      <c r="T65" s="192" t="str">
        <f t="shared" si="71"/>
        <v>Southbound</v>
      </c>
      <c r="U65" s="192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3" t="str">
        <f t="shared" si="0"/>
        <v>https://d0f6bd738d7f1b3e5a7ca70fe4ff75f0.us-east-1.aws.found.io/app/kibana#/discover/Steve-Slow-Train-Analysis-(2080s-and-2083s)?_g=(refreshInterval:(display:Off,pause:!f,section:0,value:0),time:(from:'2017-09-02T09:38:12-0600',mode:absolute,to:'2017-09-02T12:39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65" s="194" t="str">
        <f>IF(AA65&lt;VLOOKUP(AG65,Variables!$AC$3:$AD$8,2,FALSE),"Y","N")</f>
        <v>N</v>
      </c>
      <c r="X65" s="194">
        <f t="shared" si="68"/>
        <v>1</v>
      </c>
      <c r="Y65" s="194">
        <f t="shared" si="66"/>
        <v>23.301100000000002</v>
      </c>
      <c r="Z65" s="194">
        <f t="shared" si="67"/>
        <v>1.6E-2</v>
      </c>
      <c r="AA65" s="194">
        <f t="shared" si="72"/>
        <v>23.285100000000003</v>
      </c>
      <c r="AB65" s="54" t="e">
        <f>VLOOKUP(A65,Enforcements!$C$7:$K$11,8,0)</f>
        <v>#N/A</v>
      </c>
      <c r="AC65" s="51" t="e">
        <f>VLOOKUP(A65,Enforcements!$C$7:$E$11,3,0)</f>
        <v>#N/A</v>
      </c>
      <c r="AD65" s="203">
        <f t="shared" si="73"/>
        <v>152</v>
      </c>
      <c r="AE65" s="77" t="str">
        <f t="shared" si="1"/>
        <v>aws s3 cp s3://rtdc.mdm.uploadarchive.raw/RTDC4009/ "%USERPROFILE%\AppData\Local\Temp\OnboardLogs"\RTDC4009\2017-09-02 --exclude "*" --recursive --include "*20170902*" &amp; "%USERPROFILE%\Documents\GitHub\mrs-test-scripts\Headless Mode &amp; Sideloading\WalkAndUnGZ.bat" "%USERPROFILE%\AppData\Local\Temp\OnboardLogs"\RTDC4009\2017-09-02 &amp; aws s3 cp s3://rtdc.mdm.uploadarchive.raw/RTDC4009/ "%USERPROFILE%\AppData\Local\Temp\OnboardLogs"\RTDC4009\2017-09-03 --exclude "*" --recursive --include "*20170903*" &amp; "%USERPROFILE%\Documents\GitHub\mrs-test-scripts\Headless Mode &amp; Sideloading\WalkAndUnGZ.bat" "%USERPROFILE%\AppData\Local\Temp\OnboardLogs"\RTDC4009\2017-09-03</v>
      </c>
      <c r="AF65" s="74" t="str">
        <f t="shared" si="2"/>
        <v>"C:\Program Files (x86)\AstroGrep\AstroGrep.exe" /e /r /s /spath="%USERPROFILE%\AppData\Local\Temp\OnboardLogs" /stypes="app*4009*20170902*" /stext=" 17:.+((SYSTEM_STATE.+slice.+state.+changed )|(ment ac)|(multiple cpu faults)|(system.+state.+changed )|(\[timeout)|(PRM\|1\|D)|(kpr)|(kdp)|(train st.+moving)|(\|lc)|(penalty))"</v>
      </c>
      <c r="AG65" s="206" t="str">
        <f t="shared" si="74"/>
        <v>EC</v>
      </c>
      <c r="AH65" s="78" t="str">
        <f t="shared" si="36"/>
        <v>"%USERPROFILE%\Documents\GitHub\eaglep3\Utilities\RefineRTDCRunTimes.py" --tripid 152-02 --locoid 4009 --swversion DE.1.0.9.0 --startMP 204:233011 --initTime 2017-09-02T10:38:12 --startdatetime 2017-09-02T10:57:14 --delay 46 --endMP 204:160 --enddatetime 2017-09-02T11:39:43 --enforcementcount 0 &gt;&gt;C:\Users\stu\Documents\GitHub\eaglep3-reporting\EC\2017-09-02-refined-times.txt</v>
      </c>
      <c r="AI65" s="96" t="str">
        <f t="shared" si="37"/>
        <v>echo {"issue":{"subject":"","project_id":79,"tracker_id":40,"status_id":1,"priority_id":2,"assigned_to_id":338,"start_date":"2017-09-02","description":"","custom_fields":[{"id":1,"name":"Subdivision","value":"EC"},{"id":4,"name":"Milepost","value":"0.016"},{"id":17,"name":"Train ID","value":"152-02"},{"id":16,"name":"Locomotive ID","value":"4009"},{"id":130,"name":"Impact","value":""},{"id":150,"name":"Time of Event (Mountain Time)","value":"11:39:43"},{"id":151,"name":"Denver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38"/>
        <v>start /low /b %USERPROFILE%\Documents\GitHub\eaglep3\Utilities\DownloadLogsFromS3.py --loco 4009 --day 2017-09-02</v>
      </c>
      <c r="AN65" s="151" t="str">
        <f t="shared" si="39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17:39:43"},{"id":29,"name":"Sharepoint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653</v>
      </c>
      <c r="B66" s="7">
        <v>4066</v>
      </c>
      <c r="C66" s="21" t="s">
        <v>197</v>
      </c>
      <c r="D66" s="21" t="s">
        <v>342</v>
      </c>
      <c r="E66" s="13">
        <v>42980.423194444447</v>
      </c>
      <c r="F66" s="13">
        <v>42980.427245370367</v>
      </c>
      <c r="G66" s="7">
        <v>122</v>
      </c>
      <c r="H66" s="21" t="s">
        <v>804</v>
      </c>
      <c r="I66" s="13">
        <v>42980.450983796298</v>
      </c>
      <c r="J66" s="7">
        <v>0</v>
      </c>
      <c r="K66" s="89" t="str">
        <f t="shared" si="69"/>
        <v>4065/4066</v>
      </c>
      <c r="L66" s="214" t="str">
        <f>VLOOKUP(A66,'Trips&amp;Operators'!$C$1:$G$99911,5,FALSE)</f>
        <v>ROMERO CHAD</v>
      </c>
      <c r="M66" s="6">
        <f t="shared" si="70"/>
        <v>2.3738425930787344E-2</v>
      </c>
      <c r="N66" s="7">
        <f t="shared" si="75"/>
        <v>34.183333340333775</v>
      </c>
      <c r="O66" s="7"/>
      <c r="P66" s="7"/>
      <c r="Q66" s="22"/>
      <c r="R66" s="167"/>
      <c r="S66" s="210">
        <f t="shared" si="76"/>
        <v>1</v>
      </c>
      <c r="T66" s="192" t="str">
        <f t="shared" si="71"/>
        <v>NorthBound</v>
      </c>
      <c r="U66" s="192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3" t="str">
        <f t="shared" si="0"/>
        <v>https://d0f6bd738d7f1b3e5a7ca70fe4ff75f0.us-east-1.aws.found.io/app/kibana#/discover/Steve-Slow-Train-Analysis-(2080s-and-2083s)?_g=(refreshInterval:(display:Off,pause:!f,section:0,value:0),time:(from:'2017-09-02T09:09:24-0600',mode:absolute,to:'2017-09-02T11:49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66" s="194" t="str">
        <f>IF(AA66&lt;VLOOKUP(AG66,Variables!$AC$3:$AD$8,2,FALSE),"Y","N")</f>
        <v>N</v>
      </c>
      <c r="X66" s="194">
        <f t="shared" si="68"/>
        <v>1</v>
      </c>
      <c r="Y66" s="194">
        <f t="shared" si="66"/>
        <v>4.53E-2</v>
      </c>
      <c r="Z66" s="194">
        <f t="shared" si="67"/>
        <v>23.337199999999999</v>
      </c>
      <c r="AA66" s="194">
        <f t="shared" si="72"/>
        <v>23.291899999999998</v>
      </c>
      <c r="AB66" s="54" t="e">
        <f>VLOOKUP(A66,Enforcements!$C$7:$K$11,8,0)</f>
        <v>#N/A</v>
      </c>
      <c r="AC66" s="51" t="e">
        <f>VLOOKUP(A66,Enforcements!$C$7:$E$11,3,0)</f>
        <v>#N/A</v>
      </c>
      <c r="AD66" s="203">
        <f t="shared" si="73"/>
        <v>153</v>
      </c>
      <c r="AE66" s="77" t="str">
        <f t="shared" si="1"/>
        <v>aws s3 cp s3://rtdc.mdm.uploadarchive.raw/RTDC4066/ "%USERPROFILE%\AppData\Local\Temp\OnboardLogs"\RTDC4066\2017-09-02 --exclude "*" --recursive --include "*20170902*" &amp; "%USERPROFILE%\Documents\GitHub\mrs-test-scripts\Headless Mode &amp; Sideloading\WalkAndUnGZ.bat" "%USERPROFILE%\AppData\Local\Temp\OnboardLogs"\RTDC4066\2017-09-02 &amp; aws s3 cp s3://rtdc.mdm.uploadarchive.raw/RTDC4066/ "%USERPROFILE%\AppData\Local\Temp\OnboardLogs"\RTDC4066\2017-09-03 --exclude "*" --recursive --include "*20170903*" &amp; "%USERPROFILE%\Documents\GitHub\mrs-test-scripts\Headless Mode &amp; Sideloading\WalkAndUnGZ.bat" "%USERPROFILE%\AppData\Local\Temp\OnboardLogs"\RTDC4066\2017-09-03</v>
      </c>
      <c r="AF66" s="74" t="str">
        <f t="shared" si="2"/>
        <v>"C:\Program Files (x86)\AstroGrep\AstroGrep.exe" /e /r /s /spath="%USERPROFILE%\AppData\Local\Temp\OnboardLogs" /stypes="app*4066*20170902*" /stext=" 16:.+((SYSTEM_STATE.+slice.+state.+changed )|(ment ac)|(multiple cpu faults)|(system.+state.+changed )|(\[timeout)|(PRM\|1\|D)|(kpr)|(kdp)|(train st.+moving)|(\|lc)|(penalty))"</v>
      </c>
      <c r="AG66" s="206" t="str">
        <f t="shared" si="74"/>
        <v>EC</v>
      </c>
      <c r="AH66" s="78" t="str">
        <f t="shared" si="36"/>
        <v>"%USERPROFILE%\Documents\GitHub\eaglep3\Utilities\RefineRTDCRunTimes.py" --tripid 153-02 --locoid 4066 --swversion DE.1.0.9.0 --startMP 204:453 --initTime 2017-09-02T10:09:24 --startdatetime 2017-09-02T10:15:14 --delay 122 --endMP 204:233372 --enddatetime 2017-09-02T10:49:25 --enforcementcount 0 &gt;&gt;C:\Users\stu\Documents\GitHub\eaglep3-reporting\EC\2017-09-02-refined-times.txt</v>
      </c>
      <c r="AI66" s="96" t="str">
        <f t="shared" si="37"/>
        <v>echo {"issue":{"subject":"","project_id":79,"tracker_id":40,"status_id":1,"priority_id":2,"assigned_to_id":338,"start_date":"2017-09-02","description":"","custom_fields":[{"id":1,"name":"Subdivision","value":"EC"},{"id":4,"name":"Milepost","value":"23.3372"},{"id":17,"name":"Train ID","value":"153-02"},{"id":16,"name":"Locomotive ID","value":"4066"},{"id":130,"name":"Impact","value":""},{"id":150,"name":"Time of Event (Mountain Time)","value":"10:49:25"},{"id":151,"name":"Denver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38"/>
        <v>start /low /b %USERPROFILE%\Documents\GitHub\eaglep3\Utilities\DownloadLogsFromS3.py --loco 4066 --day 2017-09-02</v>
      </c>
      <c r="AN66" s="151" t="str">
        <f t="shared" si="39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16:49:25"},{"id":29,"name":"Sharepoint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658</v>
      </c>
      <c r="B67" s="7">
        <v>4065</v>
      </c>
      <c r="C67" s="21" t="s">
        <v>197</v>
      </c>
      <c r="D67" s="21" t="s">
        <v>805</v>
      </c>
      <c r="E67" s="13">
        <v>42980.452187499999</v>
      </c>
      <c r="F67" s="13">
        <v>42980.466851851852</v>
      </c>
      <c r="G67" s="7">
        <v>76</v>
      </c>
      <c r="H67" s="21" t="s">
        <v>371</v>
      </c>
      <c r="I67" s="13">
        <v>42980.493379629632</v>
      </c>
      <c r="J67" s="7">
        <v>0</v>
      </c>
      <c r="K67" s="89" t="str">
        <f t="shared" si="69"/>
        <v>4065/4066</v>
      </c>
      <c r="L67" s="214" t="str">
        <f>VLOOKUP(A67,'Trips&amp;Operators'!$C$1:$G$99911,5,FALSE)</f>
        <v>ROMERO CHAD</v>
      </c>
      <c r="M67" s="6">
        <f t="shared" si="70"/>
        <v>2.6527777779847383E-2</v>
      </c>
      <c r="N67" s="7">
        <f t="shared" si="75"/>
        <v>38.200000002980232</v>
      </c>
      <c r="O67" s="7"/>
      <c r="P67" s="7"/>
      <c r="Q67" s="22"/>
      <c r="R67" s="167"/>
      <c r="S67" s="210">
        <f t="shared" si="76"/>
        <v>1</v>
      </c>
      <c r="T67" s="192" t="str">
        <f t="shared" si="71"/>
        <v>Southbound</v>
      </c>
      <c r="U67" s="192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3" t="str">
        <f t="shared" si="0"/>
        <v>https://d0f6bd738d7f1b3e5a7ca70fe4ff75f0.us-east-1.aws.found.io/app/kibana#/discover/Steve-Slow-Train-Analysis-(2080s-and-2083s)?_g=(refreshInterval:(display:Off,pause:!f,section:0,value:0),time:(from:'2017-09-02T09:51:09-0600',mode:absolute,to:'2017-09-02T12:50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67" s="194" t="str">
        <f>IF(AA67&lt;VLOOKUP(AG67,Variables!$AC$3:$AD$8,2,FALSE),"Y","N")</f>
        <v>N</v>
      </c>
      <c r="X67" s="194">
        <f t="shared" si="68"/>
        <v>1</v>
      </c>
      <c r="Y67" s="194">
        <f t="shared" si="66"/>
        <v>23.3049</v>
      </c>
      <c r="Z67" s="194">
        <f t="shared" si="67"/>
        <v>1.4500000000000001E-2</v>
      </c>
      <c r="AA67" s="194">
        <f t="shared" si="72"/>
        <v>23.290399999999998</v>
      </c>
      <c r="AB67" s="54" t="e">
        <f>VLOOKUP(A67,Enforcements!$C$7:$K$11,8,0)</f>
        <v>#N/A</v>
      </c>
      <c r="AC67" s="51" t="e">
        <f>VLOOKUP(A67,Enforcements!$C$7:$E$11,3,0)</f>
        <v>#N/A</v>
      </c>
      <c r="AD67" s="203">
        <f t="shared" si="73"/>
        <v>154</v>
      </c>
      <c r="AE67" s="77" t="str">
        <f t="shared" si="1"/>
        <v>aws s3 cp s3://rtdc.mdm.uploadarchive.raw/RTDC4065/ "%USERPROFILE%\AppData\Local\Temp\OnboardLogs"\RTDC4065\2017-09-02 --exclude "*" --recursive --include "*20170902*" &amp; "%USERPROFILE%\Documents\GitHub\mrs-test-scripts\Headless Mode &amp; Sideloading\WalkAndUnGZ.bat" "%USERPROFILE%\AppData\Local\Temp\OnboardLogs"\RTDC4065\2017-09-02 &amp; aws s3 cp s3://rtdc.mdm.uploadarchive.raw/RTDC4065/ "%USERPROFILE%\AppData\Local\Temp\OnboardLogs"\RTDC4065\2017-09-03 --exclude "*" --recursive --include "*20170903*" &amp; "%USERPROFILE%\Documents\GitHub\mrs-test-scripts\Headless Mode &amp; Sideloading\WalkAndUnGZ.bat" "%USERPROFILE%\AppData\Local\Temp\OnboardLogs"\RTDC4065\2017-09-03</v>
      </c>
      <c r="AF67" s="74" t="str">
        <f t="shared" si="2"/>
        <v>"C:\Program Files (x86)\AstroGrep\AstroGrep.exe" /e /r /s /spath="%USERPROFILE%\AppData\Local\Temp\OnboardLogs" /stypes="app*4065*20170902*" /stext=" 17:.+((SYSTEM_STATE.+slice.+state.+changed )|(ment ac)|(multiple cpu faults)|(system.+state.+changed )|(\[timeout)|(PRM\|1\|D)|(kpr)|(kdp)|(train st.+moving)|(\|lc)|(penalty))"</v>
      </c>
      <c r="AG67" s="206" t="str">
        <f t="shared" si="74"/>
        <v>EC</v>
      </c>
      <c r="AH67" s="78" t="str">
        <f t="shared" si="36"/>
        <v>"%USERPROFILE%\Documents\GitHub\eaglep3\Utilities\RefineRTDCRunTimes.py" --tripid 154-02 --locoid 4065 --swversion DE.1.0.9.0 --startMP 204:233049 --initTime 2017-09-02T10:51:09 --startdatetime 2017-09-02T11:12:16 --delay 76 --endMP 204:145 --enddatetime 2017-09-02T11:50:28 --enforcementcount 0 &gt;&gt;C:\Users\stu\Documents\GitHub\eaglep3-reporting\EC\2017-09-02-refined-times.txt</v>
      </c>
      <c r="AI67" s="96" t="str">
        <f t="shared" si="37"/>
        <v>echo {"issue":{"subject":"","project_id":79,"tracker_id":40,"status_id":1,"priority_id":2,"assigned_to_id":338,"start_date":"2017-09-02","description":"","custom_fields":[{"id":1,"name":"Subdivision","value":"EC"},{"id":4,"name":"Milepost","value":"0.0145"},{"id":17,"name":"Train ID","value":"154-02"},{"id":16,"name":"Locomotive ID","value":"4065"},{"id":130,"name":"Impact","value":""},{"id":150,"name":"Time of Event (Mountain Time)","value":"11:50:28"},{"id":151,"name":"Denver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38"/>
        <v>start /low /b %USERPROFILE%\Documents\GitHub\eaglep3\Utilities\DownloadLogsFromS3.py --loco 4065 --day 2017-09-02</v>
      </c>
      <c r="AN67" s="151" t="str">
        <f t="shared" si="39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17:50:28"},{"id":29,"name":"Sharepoint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571</v>
      </c>
      <c r="B68" s="7">
        <v>4042</v>
      </c>
      <c r="C68" s="21" t="s">
        <v>197</v>
      </c>
      <c r="D68" s="21" t="s">
        <v>490</v>
      </c>
      <c r="E68" s="13">
        <v>42980.43540509259</v>
      </c>
      <c r="F68" s="13">
        <v>42980.437824074077</v>
      </c>
      <c r="G68" s="7">
        <v>49</v>
      </c>
      <c r="H68" s="21" t="s">
        <v>529</v>
      </c>
      <c r="I68" s="13">
        <v>42980.463263888887</v>
      </c>
      <c r="J68" s="7">
        <v>0</v>
      </c>
      <c r="K68" s="89" t="str">
        <f t="shared" si="69"/>
        <v>4041/4042</v>
      </c>
      <c r="L68" s="214" t="str">
        <f>VLOOKUP(A68,'Trips&amp;Operators'!$C$1:$G$99911,5,FALSE)</f>
        <v>MACDONALD THOMAS</v>
      </c>
      <c r="M68" s="6">
        <f t="shared" si="70"/>
        <v>2.5439814809942618E-2</v>
      </c>
      <c r="N68" s="7">
        <f t="shared" si="75"/>
        <v>36.63333332631737</v>
      </c>
      <c r="O68" s="7"/>
      <c r="P68" s="7"/>
      <c r="Q68" s="22"/>
      <c r="R68" s="167" t="s">
        <v>957</v>
      </c>
      <c r="S68" s="210">
        <f t="shared" si="76"/>
        <v>1</v>
      </c>
      <c r="T68" s="192" t="str">
        <f t="shared" si="71"/>
        <v>NorthBound</v>
      </c>
      <c r="U68" s="192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3" t="str">
        <f t="shared" si="0"/>
        <v>https://d0f6bd738d7f1b3e5a7ca70fe4ff75f0.us-east-1.aws.found.io/app/kibana#/discover/Steve-Slow-Train-Analysis-(2080s-and-2083s)?_g=(refreshInterval:(display:Off,pause:!f,section:0,value:0),time:(from:'2017-09-02T09:26:59-0600',mode:absolute,to:'2017-09-02T12:07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8" s="194" t="str">
        <f>IF(AA68&lt;VLOOKUP(AG68,Variables!$AC$3:$AD$8,2,FALSE),"Y","N")</f>
        <v>N</v>
      </c>
      <c r="X68" s="194">
        <f t="shared" si="68"/>
        <v>1</v>
      </c>
      <c r="Y68" s="194">
        <f t="shared" si="66"/>
        <v>4.7800000000000002E-2</v>
      </c>
      <c r="Z68" s="194">
        <f t="shared" si="67"/>
        <v>23.327200000000001</v>
      </c>
      <c r="AA68" s="194">
        <f t="shared" si="72"/>
        <v>23.279400000000003</v>
      </c>
      <c r="AB68" s="54" t="e">
        <f>VLOOKUP(A68,Enforcements!$C$7:$K$11,8,0)</f>
        <v>#N/A</v>
      </c>
      <c r="AC68" s="51" t="e">
        <f>VLOOKUP(A68,Enforcements!$C$7:$E$11,3,0)</f>
        <v>#N/A</v>
      </c>
      <c r="AD68" s="203">
        <f t="shared" si="73"/>
        <v>155</v>
      </c>
      <c r="AE68" s="77" t="str">
        <f t="shared" si="1"/>
        <v>aws s3 cp s3://rtdc.mdm.uploadarchive.raw/RTDC4042/ "%USERPROFILE%\AppData\Local\Temp\OnboardLogs"\RTDC4042\2017-09-02 --exclude "*" --recursive --include "*20170902*" &amp; "%USERPROFILE%\Documents\GitHub\mrs-test-scripts\Headless Mode &amp; Sideloading\WalkAndUnGZ.bat" "%USERPROFILE%\AppData\Local\Temp\OnboardLogs"\RTDC4042\2017-09-02 &amp; aws s3 cp s3://rtdc.mdm.uploadarchive.raw/RTDC4042/ "%USERPROFILE%\AppData\Local\Temp\OnboardLogs"\RTDC4042\2017-09-03 --exclude "*" --recursive --include "*20170903*" &amp; "%USERPROFILE%\Documents\GitHub\mrs-test-scripts\Headless Mode &amp; Sideloading\WalkAndUnGZ.bat" "%USERPROFILE%\AppData\Local\Temp\OnboardLogs"\RTDC4042\2017-09-03</v>
      </c>
      <c r="AF68" s="74" t="str">
        <f t="shared" si="2"/>
        <v>"C:\Program Files (x86)\AstroGrep\AstroGrep.exe" /e /r /s /spath="%USERPROFILE%\AppData\Local\Temp\OnboardLogs" /stypes="app*4042*20170902*" /stext=" 17:.+((SYSTEM_STATE.+slice.+state.+changed )|(ment ac)|(multiple cpu faults)|(system.+state.+changed )|(\[timeout)|(PRM\|1\|D)|(kpr)|(kdp)|(train st.+moving)|(\|lc)|(penalty))"</v>
      </c>
      <c r="AG68" s="206" t="str">
        <f t="shared" si="74"/>
        <v>EC</v>
      </c>
      <c r="AH68" s="78" t="str">
        <f t="shared" si="36"/>
        <v>"%USERPROFILE%\Documents\GitHub\eaglep3\Utilities\RefineRTDCRunTimes.py" --tripid 155-02 --locoid 4042 --swversion DE.1.0.9.0 --startMP 204:478 --initTime 2017-09-02T10:26:59 --startdatetime 2017-09-02T10:30:28 --delay 49 --endMP 204:233272 --enddatetime 2017-09-02T11:07:06 --enforcementcount 0 &gt;&gt;C:\Users\stu\Documents\GitHub\eaglep3-reporting\EC\2017-09-02-refined-times.txt</v>
      </c>
      <c r="AI68" s="96" t="str">
        <f t="shared" si="37"/>
        <v>echo {"issue":{"subject":"Selected wrong track at first","project_id":79,"tracker_id":40,"status_id":1,"priority_id":2,"assigned_to_id":338,"start_date":"2017-09-02","description":"","custom_fields":[{"id":1,"name":"Subdivision","value":"EC"},{"id":4,"name":"Milepost","value":"23.3272"},{"id":17,"name":"Train ID","value":"155-02"},{"id":16,"name":"Locomotive ID","value":"4042"},{"id":130,"name":"Impact","value":""},{"id":150,"name":"Time of Event (Mountain Time)","value":"11:07:06"},{"id":151,"name":"Denver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38"/>
        <v>start /low /b %USERPROFILE%\Documents\GitHub\eaglep3\Utilities\DownloadLogsFromS3.py --loco 4042 --day 2017-09-02</v>
      </c>
      <c r="AN68" s="151" t="str">
        <f t="shared" si="39"/>
        <v>echo {"issue":{"subject":"Selected wrong track at first","project_id":30,"tracker_id":4,"status_id":1,"priority_id":1,"assigned_to_id":10,"start_date":"2017-09-02","description":"","custom_fields":[{"id":30,"name":"Category","value":"Issue"},{"id":3,"name":"Functional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17:07:06"},{"id":29,"name":"Sharepoint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662</v>
      </c>
      <c r="B69" s="7">
        <v>4041</v>
      </c>
      <c r="C69" s="21" t="s">
        <v>197</v>
      </c>
      <c r="D69" s="21" t="s">
        <v>806</v>
      </c>
      <c r="E69" s="13">
        <v>42980.475775462961</v>
      </c>
      <c r="F69" s="13">
        <v>42980.478275462963</v>
      </c>
      <c r="G69" s="7">
        <v>62</v>
      </c>
      <c r="H69" s="21" t="s">
        <v>400</v>
      </c>
      <c r="I69" s="13">
        <v>42980.50445601852</v>
      </c>
      <c r="J69" s="7">
        <v>0</v>
      </c>
      <c r="K69" s="89" t="str">
        <f t="shared" si="69"/>
        <v>4041/4042</v>
      </c>
      <c r="L69" s="214" t="str">
        <f>VLOOKUP(A69,'Trips&amp;Operators'!$C$1:$G$99911,5,FALSE)</f>
        <v>MACDONALD THOMAS</v>
      </c>
      <c r="M69" s="6">
        <f t="shared" si="70"/>
        <v>2.6180555556493346E-2</v>
      </c>
      <c r="N69" s="7">
        <f t="shared" si="75"/>
        <v>37.700000001350418</v>
      </c>
      <c r="O69" s="7"/>
      <c r="P69" s="7"/>
      <c r="Q69" s="22"/>
      <c r="R69" s="167"/>
      <c r="S69" s="210">
        <f t="shared" si="76"/>
        <v>1</v>
      </c>
      <c r="T69" s="192" t="str">
        <f t="shared" si="71"/>
        <v>Southbound</v>
      </c>
      <c r="U69" s="192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3" t="str">
        <f t="shared" si="0"/>
        <v>https://d0f6bd738d7f1b3e5a7ca70fe4ff75f0.us-east-1.aws.found.io/app/kibana#/discover/Steve-Slow-Train-Analysis-(2080s-and-2083s)?_g=(refreshInterval:(display:Off,pause:!f,section:0,value:0),time:(from:'2017-09-02T10:25:07-0600',mode:absolute,to:'2017-09-02T13:06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9" s="194" t="str">
        <f>IF(AA69&lt;VLOOKUP(AG69,Variables!$AC$3:$AD$8,2,FALSE),"Y","N")</f>
        <v>N</v>
      </c>
      <c r="X69" s="194">
        <f t="shared" si="68"/>
        <v>1</v>
      </c>
      <c r="Y69" s="194">
        <f t="shared" si="66"/>
        <v>23.294899999999998</v>
      </c>
      <c r="Z69" s="194">
        <f t="shared" si="67"/>
        <v>1.61E-2</v>
      </c>
      <c r="AA69" s="194">
        <f t="shared" si="72"/>
        <v>23.278799999999997</v>
      </c>
      <c r="AB69" s="54" t="e">
        <f>VLOOKUP(A69,Enforcements!$C$7:$K$11,8,0)</f>
        <v>#N/A</v>
      </c>
      <c r="AC69" s="51" t="e">
        <f>VLOOKUP(A69,Enforcements!$C$7:$E$11,3,0)</f>
        <v>#N/A</v>
      </c>
      <c r="AD69" s="203">
        <f t="shared" si="73"/>
        <v>156</v>
      </c>
      <c r="AE69" s="77" t="str">
        <f t="shared" si="1"/>
        <v>aws s3 cp s3://rtdc.mdm.uploadarchive.raw/RTDC4041/ "%USERPROFILE%\AppData\Local\Temp\OnboardLogs"\RTDC4041\2017-09-02 --exclude "*" --recursive --include "*20170902*" &amp; "%USERPROFILE%\Documents\GitHub\mrs-test-scripts\Headless Mode &amp; Sideloading\WalkAndUnGZ.bat" "%USERPROFILE%\AppData\Local\Temp\OnboardLogs"\RTDC4041\2017-09-02 &amp; aws s3 cp s3://rtdc.mdm.uploadarchive.raw/RTDC4041/ "%USERPROFILE%\AppData\Local\Temp\OnboardLogs"\RTDC4041\2017-09-03 --exclude "*" --recursive --include "*20170903*" &amp; "%USERPROFILE%\Documents\GitHub\mrs-test-scripts\Headless Mode &amp; Sideloading\WalkAndUnGZ.bat" "%USERPROFILE%\AppData\Local\Temp\OnboardLogs"\RTDC4041\2017-09-03</v>
      </c>
      <c r="AF69" s="74" t="str">
        <f t="shared" si="2"/>
        <v>"C:\Program Files (x86)\AstroGrep\AstroGrep.exe" /e /r /s /spath="%USERPROFILE%\AppData\Local\Temp\OnboardLogs" /stypes="app*4041*20170902*" /stext=" 18:.+((SYSTEM_STATE.+slice.+state.+changed )|(ment ac)|(multiple cpu faults)|(system.+state.+changed )|(\[timeout)|(PRM\|1\|D)|(kpr)|(kdp)|(train st.+moving)|(\|lc)|(penalty))"</v>
      </c>
      <c r="AG69" s="206" t="str">
        <f t="shared" si="74"/>
        <v>EC</v>
      </c>
      <c r="AH69" s="78" t="str">
        <f t="shared" si="36"/>
        <v>"%USERPROFILE%\Documents\GitHub\eaglep3\Utilities\RefineRTDCRunTimes.py" --tripid 156-02 --locoid 4041 --swversion DE.1.0.9.0 --startMP 204:232949 --initTime 2017-09-02T11:25:07 --startdatetime 2017-09-02T11:28:43 --delay 62 --endMP 204:161 --enddatetime 2017-09-02T12:06:25 --enforcementcount 0 &gt;&gt;C:\Users\stu\Documents\GitHub\eaglep3-reporting\EC\2017-09-02-refined-times.txt</v>
      </c>
      <c r="AI69" s="96" t="str">
        <f t="shared" si="37"/>
        <v>echo {"issue":{"subject":"","project_id":79,"tracker_id":40,"status_id":1,"priority_id":2,"assigned_to_id":338,"start_date":"2017-09-02","description":"","custom_fields":[{"id":1,"name":"Subdivision","value":"EC"},{"id":4,"name":"Milepost","value":"0.0161"},{"id":17,"name":"Train ID","value":"156-02"},{"id":16,"name":"Locomotive ID","value":"4041"},{"id":130,"name":"Impact","value":""},{"id":150,"name":"Time of Event (Mountain Time)","value":"12:06:25"},{"id":151,"name":"Denver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38"/>
        <v>start /low /b %USERPROFILE%\Documents\GitHub\eaglep3\Utilities\DownloadLogsFromS3.py --loco 4041 --day 2017-09-02</v>
      </c>
      <c r="AN69" s="151" t="str">
        <f t="shared" si="39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18:06:25"},{"id":29,"name":"Sharepoint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573</v>
      </c>
      <c r="B70" s="7">
        <v>4032</v>
      </c>
      <c r="C70" s="21" t="s">
        <v>197</v>
      </c>
      <c r="D70" s="21" t="s">
        <v>363</v>
      </c>
      <c r="E70" s="13">
        <v>42980.444155092591</v>
      </c>
      <c r="F70" s="13">
        <v>42980.448101851849</v>
      </c>
      <c r="G70" s="7">
        <v>115</v>
      </c>
      <c r="H70" s="21" t="s">
        <v>403</v>
      </c>
      <c r="I70" s="13">
        <v>42980.472777777781</v>
      </c>
      <c r="J70" s="7">
        <v>0</v>
      </c>
      <c r="K70" s="89" t="str">
        <f t="shared" si="69"/>
        <v>4031/4032</v>
      </c>
      <c r="L70" s="214" t="str">
        <f>VLOOKUP(A70,'Trips&amp;Operators'!$C$1:$G$99911,5,FALSE)</f>
        <v>BRUDER RICHARD</v>
      </c>
      <c r="M70" s="6">
        <f t="shared" si="70"/>
        <v>2.4675925931660458E-2</v>
      </c>
      <c r="N70" s="7">
        <f t="shared" si="75"/>
        <v>35.53333334159106</v>
      </c>
      <c r="O70" s="7"/>
      <c r="P70" s="7"/>
      <c r="Q70" s="22"/>
      <c r="R70" s="167"/>
      <c r="S70" s="210">
        <f t="shared" si="76"/>
        <v>1</v>
      </c>
      <c r="T70" s="192" t="str">
        <f t="shared" si="71"/>
        <v>NorthBound</v>
      </c>
      <c r="U70" s="192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3" t="str">
        <f t="shared" si="0"/>
        <v>https://d0f6bd738d7f1b3e5a7ca70fe4ff75f0.us-east-1.aws.found.io/app/kibana#/discover/Steve-Slow-Train-Analysis-(2080s-and-2083s)?_g=(refreshInterval:(display:Off,pause:!f,section:0,value:0),time:(from:'2017-09-02T09:39:35-0600',mode:absolute,to:'2017-09-02T12:20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0" s="194" t="str">
        <f>IF(AA70&lt;VLOOKUP(AG70,Variables!$AC$3:$AD$8,2,FALSE),"Y","N")</f>
        <v>N</v>
      </c>
      <c r="X70" s="194">
        <f t="shared" si="68"/>
        <v>1</v>
      </c>
      <c r="Y70" s="194">
        <f t="shared" si="66"/>
        <v>4.58E-2</v>
      </c>
      <c r="Z70" s="194">
        <f t="shared" si="67"/>
        <v>23.329499999999999</v>
      </c>
      <c r="AA70" s="194">
        <f t="shared" si="72"/>
        <v>23.2837</v>
      </c>
      <c r="AB70" s="54" t="e">
        <f>VLOOKUP(A70,Enforcements!$C$7:$K$11,8,0)</f>
        <v>#N/A</v>
      </c>
      <c r="AC70" s="51" t="e">
        <f>VLOOKUP(A70,Enforcements!$C$7:$E$11,3,0)</f>
        <v>#N/A</v>
      </c>
      <c r="AD70" s="203">
        <f t="shared" si="73"/>
        <v>157</v>
      </c>
      <c r="AE70" s="77" t="str">
        <f t="shared" si="1"/>
        <v>aws s3 cp s3://rtdc.mdm.uploadarchive.raw/RTDC4032/ "%USERPROFILE%\AppData\Local\Temp\OnboardLogs"\RTDC4032\2017-09-02 --exclude "*" --recursive --include "*20170902*" &amp; "%USERPROFILE%\Documents\GitHub\mrs-test-scripts\Headless Mode &amp; Sideloading\WalkAndUnGZ.bat" "%USERPROFILE%\AppData\Local\Temp\OnboardLogs"\RTDC4032\2017-09-02 &amp; aws s3 cp s3://rtdc.mdm.uploadarchive.raw/RTDC4032/ "%USERPROFILE%\AppData\Local\Temp\OnboardLogs"\RTDC4032\2017-09-03 --exclude "*" --recursive --include "*20170903*" &amp; "%USERPROFILE%\Documents\GitHub\mrs-test-scripts\Headless Mode &amp; Sideloading\WalkAndUnGZ.bat" "%USERPROFILE%\AppData\Local\Temp\OnboardLogs"\RTDC4032\2017-09-03</v>
      </c>
      <c r="AF70" s="74" t="str">
        <f t="shared" si="2"/>
        <v>"C:\Program Files (x86)\AstroGrep\AstroGrep.exe" /e /r /s /spath="%USERPROFILE%\AppData\Local\Temp\OnboardLogs" /stypes="app*4032*20170902*" /stext=" 17:.+((SYSTEM_STATE.+slice.+state.+changed )|(ment ac)|(multiple cpu faults)|(system.+state.+changed )|(\[timeout)|(PRM\|1\|D)|(kpr)|(kdp)|(train st.+moving)|(\|lc)|(penalty))"</v>
      </c>
      <c r="AG70" s="206" t="str">
        <f t="shared" si="74"/>
        <v>EC</v>
      </c>
      <c r="AH70" s="78" t="str">
        <f t="shared" si="36"/>
        <v>"%USERPROFILE%\Documents\GitHub\eaglep3\Utilities\RefineRTDCRunTimes.py" --tripid 157-02 --locoid 4032 --swversion DE.1.0.9.0 --startMP 204:458 --initTime 2017-09-02T10:39:35 --startdatetime 2017-09-02T10:45:16 --delay 115 --endMP 204:233295 --enddatetime 2017-09-02T11:20:48 --enforcementcount 0 &gt;&gt;C:\Users\stu\Documents\GitHub\eaglep3-reporting\EC\2017-09-02-refined-times.txt</v>
      </c>
      <c r="AI70" s="96" t="str">
        <f t="shared" si="37"/>
        <v>echo {"issue":{"subject":"","project_id":79,"tracker_id":40,"status_id":1,"priority_id":2,"assigned_to_id":338,"start_date":"2017-09-02","description":"","custom_fields":[{"id":1,"name":"Subdivision","value":"EC"},{"id":4,"name":"Milepost","value":"23.3295"},{"id":17,"name":"Train ID","value":"157-02"},{"id":16,"name":"Locomotive ID","value":"4032"},{"id":130,"name":"Impact","value":""},{"id":150,"name":"Time of Event (Mountain Time)","value":"11:20:48"},{"id":151,"name":"Denver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38"/>
        <v>start /low /b %USERPROFILE%\Documents\GitHub\eaglep3\Utilities\DownloadLogsFromS3.py --loco 4032 --day 2017-09-02</v>
      </c>
      <c r="AN70" s="151" t="str">
        <f t="shared" si="39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17:20:48"},{"id":29,"name":"Sharepoint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664</v>
      </c>
      <c r="B71" s="7">
        <v>4031</v>
      </c>
      <c r="C71" s="21" t="s">
        <v>197</v>
      </c>
      <c r="D71" s="21" t="s">
        <v>388</v>
      </c>
      <c r="E71" s="13">
        <v>42980.484259259261</v>
      </c>
      <c r="F71" s="13">
        <v>42980.487673611111</v>
      </c>
      <c r="G71" s="7">
        <v>86</v>
      </c>
      <c r="H71" s="21" t="s">
        <v>338</v>
      </c>
      <c r="I71" s="13">
        <v>42980.51458333333</v>
      </c>
      <c r="J71" s="7">
        <v>0</v>
      </c>
      <c r="K71" s="89" t="str">
        <f t="shared" si="69"/>
        <v>4031/4032</v>
      </c>
      <c r="L71" s="214" t="str">
        <f>VLOOKUP(A71,'Trips&amp;Operators'!$C$1:$G$99911,5,FALSE)</f>
        <v>BRUDER RICHARD</v>
      </c>
      <c r="M71" s="6">
        <f t="shared" si="70"/>
        <v>2.6909722218988463E-2</v>
      </c>
      <c r="N71" s="7">
        <f t="shared" si="75"/>
        <v>38.749999995343387</v>
      </c>
      <c r="O71" s="7"/>
      <c r="P71" s="7"/>
      <c r="Q71" s="22"/>
      <c r="R71" s="167"/>
      <c r="S71" s="210">
        <f t="shared" si="76"/>
        <v>1</v>
      </c>
      <c r="T71" s="192" t="str">
        <f t="shared" si="71"/>
        <v>Southbound</v>
      </c>
      <c r="U71" s="192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3" t="str">
        <f t="shared" si="0"/>
        <v>https://d0f6bd738d7f1b3e5a7ca70fe4ff75f0.us-east-1.aws.found.io/app/kibana#/discover/Steve-Slow-Train-Analysis-(2080s-and-2083s)?_g=(refreshInterval:(display:Off,pause:!f,section:0,value:0),time:(from:'2017-09-02T10:37:20-0600',mode:absolute,to:'2017-09-02T13:21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1" s="194" t="str">
        <f>IF(AA71&lt;VLOOKUP(AG71,Variables!$AC$3:$AD$8,2,FALSE),"Y","N")</f>
        <v>N</v>
      </c>
      <c r="X71" s="194">
        <f t="shared" si="68"/>
        <v>1</v>
      </c>
      <c r="Y71" s="194">
        <f t="shared" si="66"/>
        <v>23.297999999999998</v>
      </c>
      <c r="Z71" s="194">
        <f t="shared" si="67"/>
        <v>1.4999999999999999E-2</v>
      </c>
      <c r="AA71" s="194">
        <f t="shared" si="72"/>
        <v>23.282999999999998</v>
      </c>
      <c r="AB71" s="54" t="e">
        <f>VLOOKUP(A71,Enforcements!$C$7:$K$11,8,0)</f>
        <v>#N/A</v>
      </c>
      <c r="AC71" s="51" t="e">
        <f>VLOOKUP(A71,Enforcements!$C$7:$E$11,3,0)</f>
        <v>#N/A</v>
      </c>
      <c r="AD71" s="203">
        <f t="shared" si="73"/>
        <v>158</v>
      </c>
      <c r="AE71" s="77" t="str">
        <f t="shared" si="1"/>
        <v>aws s3 cp s3://rtdc.mdm.uploadarchive.raw/RTDC4031/ "%USERPROFILE%\AppData\Local\Temp\OnboardLogs"\RTDC4031\2017-09-02 --exclude "*" --recursive --include "*20170902*" &amp; "%USERPROFILE%\Documents\GitHub\mrs-test-scripts\Headless Mode &amp; Sideloading\WalkAndUnGZ.bat" "%USERPROFILE%\AppData\Local\Temp\OnboardLogs"\RTDC4031\2017-09-02 &amp; aws s3 cp s3://rtdc.mdm.uploadarchive.raw/RTDC4031/ "%USERPROFILE%\AppData\Local\Temp\OnboardLogs"\RTDC4031\2017-09-03 --exclude "*" --recursive --include "*20170903*" &amp; "%USERPROFILE%\Documents\GitHub\mrs-test-scripts\Headless Mode &amp; Sideloading\WalkAndUnGZ.bat" "%USERPROFILE%\AppData\Local\Temp\OnboardLogs"\RTDC4031\2017-09-03</v>
      </c>
      <c r="AF71" s="74" t="str">
        <f t="shared" si="2"/>
        <v>"C:\Program Files (x86)\AstroGrep\AstroGrep.exe" /e /r /s /spath="%USERPROFILE%\AppData\Local\Temp\OnboardLogs" /stypes="app*4031*20170902*" /stext=" 18:.+((SYSTEM_STATE.+slice.+state.+changed )|(ment ac)|(multiple cpu faults)|(system.+state.+changed )|(\[timeout)|(PRM\|1\|D)|(kpr)|(kdp)|(train st.+moving)|(\|lc)|(penalty))"</v>
      </c>
      <c r="AG71" s="206" t="str">
        <f t="shared" si="74"/>
        <v>EC</v>
      </c>
      <c r="AH71" s="78" t="str">
        <f t="shared" si="36"/>
        <v>"%USERPROFILE%\Documents\GitHub\eaglep3\Utilities\RefineRTDCRunTimes.py" --tripid 158-02 --locoid 4031 --swversion DE.1.0.9.0 --startMP 204:232980 --initTime 2017-09-02T11:37:20 --startdatetime 2017-09-02T11:42:15 --delay 86 --endMP 204:150 --enddatetime 2017-09-02T12:21:00 --enforcementcount 0 &gt;&gt;C:\Users\stu\Documents\GitHub\eaglep3-reporting\EC\2017-09-02-refined-times.txt</v>
      </c>
      <c r="AI71" s="96" t="str">
        <f t="shared" si="37"/>
        <v>echo {"issue":{"subject":"","project_id":79,"tracker_id":40,"status_id":1,"priority_id":2,"assigned_to_id":338,"start_date":"2017-09-02","description":"","custom_fields":[{"id":1,"name":"Subdivision","value":"EC"},{"id":4,"name":"Milepost","value":"0.015"},{"id":17,"name":"Train ID","value":"158-02"},{"id":16,"name":"Locomotive ID","value":"4031"},{"id":130,"name":"Impact","value":""},{"id":150,"name":"Time of Event (Mountain Time)","value":"12:21:00"},{"id":151,"name":"Denver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38"/>
        <v>start /low /b %USERPROFILE%\Documents\GitHub\eaglep3\Utilities\DownloadLogsFromS3.py --loco 4031 --day 2017-09-02</v>
      </c>
      <c r="AN71" s="151" t="str">
        <f t="shared" si="39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18:21:00"},{"id":29,"name":"Sharepoint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659</v>
      </c>
      <c r="B72" s="7">
        <v>4052</v>
      </c>
      <c r="C72" s="21" t="s">
        <v>197</v>
      </c>
      <c r="D72" s="21" t="s">
        <v>341</v>
      </c>
      <c r="E72" s="13">
        <v>42980.454050925924</v>
      </c>
      <c r="F72" s="13">
        <v>42980.458553240744</v>
      </c>
      <c r="G72" s="7">
        <v>58</v>
      </c>
      <c r="H72" s="21" t="s">
        <v>807</v>
      </c>
      <c r="I72" s="13">
        <v>42980.484756944446</v>
      </c>
      <c r="J72" s="7">
        <v>0</v>
      </c>
      <c r="K72" s="89" t="str">
        <f t="shared" si="69"/>
        <v>4051/4052</v>
      </c>
      <c r="L72" s="214" t="str">
        <f>VLOOKUP(A72,'Trips&amp;Operators'!$C$1:$G$99911,5,FALSE)</f>
        <v>WILLIAMS DONTE</v>
      </c>
      <c r="M72" s="6">
        <f t="shared" si="70"/>
        <v>2.6203703702776693E-2</v>
      </c>
      <c r="N72" s="7"/>
      <c r="O72" s="7"/>
      <c r="P72" s="7">
        <f>24*60*SUM($M72:$M72)</f>
        <v>37.733333331998438</v>
      </c>
      <c r="Q72" s="22"/>
      <c r="R72" s="167" t="s">
        <v>958</v>
      </c>
      <c r="S72" s="210">
        <f t="shared" si="76"/>
        <v>0.75</v>
      </c>
      <c r="T72" s="192" t="str">
        <f t="shared" si="71"/>
        <v>NorthBound</v>
      </c>
      <c r="U72" s="192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9</v>
      </c>
      <c r="V72" s="193" t="str">
        <f t="shared" si="0"/>
        <v>https://d0f6bd738d7f1b3e5a7ca70fe4ff75f0.us-east-1.aws.found.io/app/kibana#/discover/Steve-Slow-Train-Analysis-(2080s-and-2083s)?_g=(refreshInterval:(display:Off,pause:!f,section:0,value:0),time:(from:'2017-09-02T09:53:50-0600',mode:absolute,to:'2017-09-02T12:38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72" s="194" t="str">
        <f>IF(AA72&lt;VLOOKUP(AG72,Variables!$AC$3:$AD$8,2,FALSE),"Y","N")</f>
        <v>Y</v>
      </c>
      <c r="X72" s="194">
        <f t="shared" ref="X72:X74" si="77">VALUE(LEFT(AD72,4))-VALUE(LEFT(AD71,4))</f>
        <v>1</v>
      </c>
      <c r="Y72" s="194">
        <f t="shared" si="66"/>
        <v>4.5100000000000001E-2</v>
      </c>
      <c r="Z72" s="194">
        <f t="shared" si="67"/>
        <v>7.0052000000000003</v>
      </c>
      <c r="AA72" s="194">
        <f t="shared" si="72"/>
        <v>6.9601000000000006</v>
      </c>
      <c r="AB72" s="54" t="e">
        <f>VLOOKUP(A72,Enforcements!$C$7:$K$11,8,0)</f>
        <v>#N/A</v>
      </c>
      <c r="AC72" s="51" t="e">
        <f>VLOOKUP(A72,Enforcements!$C$7:$E$11,3,0)</f>
        <v>#N/A</v>
      </c>
      <c r="AD72" s="203">
        <f t="shared" si="73"/>
        <v>159</v>
      </c>
      <c r="AE72" s="77" t="str">
        <f t="shared" si="1"/>
        <v>aws s3 cp s3://rtdc.mdm.uploadarchive.raw/RTDC4052/ "%USERPROFILE%\AppData\Local\Temp\OnboardLogs"\RTDC4052\2017-09-02 --exclude "*" --recursive --include "*20170902*" &amp; "%USERPROFILE%\Documents\GitHub\mrs-test-scripts\Headless Mode &amp; Sideloading\WalkAndUnGZ.bat" "%USERPROFILE%\AppData\Local\Temp\OnboardLogs"\RTDC4052\2017-09-02 &amp; aws s3 cp s3://rtdc.mdm.uploadarchive.raw/RTDC4052/ "%USERPROFILE%\AppData\Local\Temp\OnboardLogs"\RTDC4052\2017-09-03 --exclude "*" --recursive --include "*20170903*" &amp; "%USERPROFILE%\Documents\GitHub\mrs-test-scripts\Headless Mode &amp; Sideloading\WalkAndUnGZ.bat" "%USERPROFILE%\AppData\Local\Temp\OnboardLogs"\RTDC4052\2017-09-03</v>
      </c>
      <c r="AF72" s="74" t="str">
        <f t="shared" si="2"/>
        <v>"C:\Program Files (x86)\AstroGrep\AstroGrep.exe" /e /r /s /spath="%USERPROFILE%\AppData\Local\Temp\OnboardLogs" /stypes="app*4052*20170902*" /stext=" 17:.+((SYSTEM_STATE.+slice.+state.+changed )|(ment ac)|(multiple cpu faults)|(system.+state.+changed )|(\[timeout)|(PRM\|1\|D)|(kpr)|(kdp)|(train st.+moving)|(\|lc)|(penalty))"</v>
      </c>
      <c r="AG72" s="206" t="str">
        <f t="shared" si="74"/>
        <v>EC</v>
      </c>
      <c r="AH72" s="78" t="str">
        <f t="shared" si="36"/>
        <v>"%USERPROFILE%\Documents\GitHub\eaglep3\Utilities\RefineRTDCRunTimes.py" --tripid 159-02 --locoid 4052 --swversion DE.1.0.9.0 --startMP 204:451 --initTime 2017-09-02T10:53:50 --startdatetime 2017-09-02T11:00:19 --delay 58 --endMP 204:70052 --enddatetime 2017-09-02T11:38:03 --enforcementcount 0 &gt;&gt;C:\Users\stu\Documents\GitHub\eaglep3-reporting\EC\2017-09-02-refined-times.txt</v>
      </c>
      <c r="AI72" s="96" t="str">
        <f t="shared" si="37"/>
        <v>echo {"issue":{"subject":"Master controller issues","project_id":79,"tracker_id":40,"status_id":1,"priority_id":2,"assigned_to_id":338,"start_date":"2017-09-02","description":"","custom_fields":[{"id":1,"name":"Subdivision","value":"EC"},{"id":4,"name":"Milepost","value":"7.0052"},{"id":17,"name":"Train ID","value":"159-02"},{"id":16,"name":"Locomotive ID","value":"4052"},{"id":130,"name":"Impact","value":""},{"id":150,"name":"Time of Event (Mountain Time)","value":"11:38:03"},{"id":151,"name":"Denver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38"/>
        <v>start /low /b %USERPROFILE%\Documents\GitHub\eaglep3\Utilities\DownloadLogsFromS3.py --loco 4052 --day 2017-09-02</v>
      </c>
      <c r="AN72" s="151" t="str">
        <f t="shared" si="39"/>
        <v>echo {"issue":{"subject":"Master controller issues","project_id":30,"tracker_id":4,"status_id":1,"priority_id":1,"assigned_to_id":10,"start_date":"2017-09-02","description":"","custom_fields":[{"id":30,"name":"Category","value":"Issue"},{"id":3,"name":"Functional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17:38:03"},{"id":29,"name":"Sharepoint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661</v>
      </c>
      <c r="B73" s="7">
        <v>4028</v>
      </c>
      <c r="C73" s="21" t="s">
        <v>197</v>
      </c>
      <c r="D73" s="21" t="s">
        <v>808</v>
      </c>
      <c r="E73" s="13">
        <v>42980.464328703703</v>
      </c>
      <c r="F73" s="13">
        <v>42980.469166666669</v>
      </c>
      <c r="G73" s="7">
        <v>100</v>
      </c>
      <c r="H73" s="21" t="s">
        <v>489</v>
      </c>
      <c r="I73" s="13">
        <v>42980.504976851851</v>
      </c>
      <c r="J73" s="7">
        <v>0</v>
      </c>
      <c r="K73" s="89" t="str">
        <f t="shared" si="69"/>
        <v>4027/4028</v>
      </c>
      <c r="L73" s="214" t="str">
        <f>VLOOKUP(A73,'Trips&amp;Operators'!$C$1:$G$99911,5,FALSE)</f>
        <v>DAVIS MICHAEL</v>
      </c>
      <c r="M73" s="6">
        <f t="shared" si="70"/>
        <v>3.5810185181617271E-2</v>
      </c>
      <c r="N73" s="7">
        <f t="shared" ref="N73:N93" si="78">24*60*SUM($M73:$M73)</f>
        <v>51.56666666152887</v>
      </c>
      <c r="O73" s="7"/>
      <c r="P73" s="7"/>
      <c r="Q73" s="22"/>
      <c r="R73" s="167"/>
      <c r="S73" s="210">
        <f t="shared" si="76"/>
        <v>1</v>
      </c>
      <c r="T73" s="192" t="str">
        <f t="shared" si="71"/>
        <v>NorthBound</v>
      </c>
      <c r="U73" s="192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3" t="str">
        <f t="shared" si="0"/>
        <v>https://d0f6bd738d7f1b3e5a7ca70fe4ff75f0.us-east-1.aws.found.io/app/kibana#/discover/Steve-Slow-Train-Analysis-(2080s-and-2083s)?_g=(refreshInterval:(display:Off,pause:!f,section:0,value:0),time:(from:'2017-09-02T10:08:38-0600',mode:absolute,to:'2017-09-02T13:07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73" s="194" t="str">
        <f>IF(AA73&lt;VLOOKUP(AG73,Variables!$AC$3:$AD$8,2,FALSE),"Y","N")</f>
        <v>N</v>
      </c>
      <c r="X73" s="194">
        <f t="shared" si="77"/>
        <v>2</v>
      </c>
      <c r="Y73" s="194">
        <f t="shared" si="66"/>
        <v>4.8000000000000001E-2</v>
      </c>
      <c r="Z73" s="194">
        <f t="shared" si="67"/>
        <v>23.3339</v>
      </c>
      <c r="AA73" s="194">
        <f t="shared" si="72"/>
        <v>23.285900000000002</v>
      </c>
      <c r="AB73" s="54" t="e">
        <f>VLOOKUP(A73,Enforcements!$C$7:$K$11,8,0)</f>
        <v>#N/A</v>
      </c>
      <c r="AC73" s="51" t="e">
        <f>VLOOKUP(A73,Enforcements!$C$7:$E$11,3,0)</f>
        <v>#N/A</v>
      </c>
      <c r="AD73" s="203">
        <f t="shared" si="73"/>
        <v>161</v>
      </c>
      <c r="AE73" s="77" t="str">
        <f t="shared" si="1"/>
        <v>aws s3 cp s3://rtdc.mdm.uploadarchive.raw/RTDC4028/ "%USERPROFILE%\AppData\Local\Temp\OnboardLogs"\RTDC4028\2017-09-02 --exclude "*" --recursive --include "*20170902*" &amp; "%USERPROFILE%\Documents\GitHub\mrs-test-scripts\Headless Mode &amp; Sideloading\WalkAndUnGZ.bat" "%USERPROFILE%\AppData\Local\Temp\OnboardLogs"\RTDC4028\2017-09-02 &amp; aws s3 cp s3://rtdc.mdm.uploadarchive.raw/RTDC4028/ "%USERPROFILE%\AppData\Local\Temp\OnboardLogs"\RTDC4028\2017-09-03 --exclude "*" --recursive --include "*20170903*" &amp; "%USERPROFILE%\Documents\GitHub\mrs-test-scripts\Headless Mode &amp; Sideloading\WalkAndUnGZ.bat" "%USERPROFILE%\AppData\Local\Temp\OnboardLogs"\RTDC4028\2017-09-03</v>
      </c>
      <c r="AF73" s="74" t="str">
        <f t="shared" si="2"/>
        <v>"C:\Program Files (x86)\AstroGrep\AstroGrep.exe" /e /r /s /spath="%USERPROFILE%\AppData\Local\Temp\OnboardLogs" /stypes="app*4028*20170902*" /stext=" 18:.+((SYSTEM_STATE.+slice.+state.+changed )|(ment ac)|(multiple cpu faults)|(system.+state.+changed )|(\[timeout)|(PRM\|1\|D)|(kpr)|(kdp)|(train st.+moving)|(\|lc)|(penalty))"</v>
      </c>
      <c r="AG73" s="206" t="str">
        <f t="shared" si="74"/>
        <v>EC</v>
      </c>
      <c r="AH73" s="78" t="str">
        <f t="shared" si="36"/>
        <v>"%USERPROFILE%\Documents\GitHub\eaglep3\Utilities\RefineRTDCRunTimes.py" --tripid 161-02 --locoid 4028 --swversion DE.1.0.9.0 --startMP 204:480 --initTime 2017-09-02T11:08:38 --startdatetime 2017-09-02T11:15:36 --delay 100 --endMP 204:233339 --enddatetime 2017-09-02T12:07:10 --enforcementcount 0 &gt;&gt;C:\Users\stu\Documents\GitHub\eaglep3-reporting\EC\2017-09-02-refined-times.txt</v>
      </c>
      <c r="AI73" s="96" t="str">
        <f t="shared" si="37"/>
        <v>echo {"issue":{"subject":"","project_id":79,"tracker_id":40,"status_id":1,"priority_id":2,"assigned_to_id":338,"start_date":"2017-09-02","description":"","custom_fields":[{"id":1,"name":"Subdivision","value":"EC"},{"id":4,"name":"Milepost","value":"23.3339"},{"id":17,"name":"Train ID","value":"161-02"},{"id":16,"name":"Locomotive ID","value":"4028"},{"id":130,"name":"Impact","value":""},{"id":150,"name":"Time of Event (Mountain Time)","value":"12:07:10"},{"id":151,"name":"Denver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38"/>
        <v>start /low /b %USERPROFILE%\Documents\GitHub\eaglep3\Utilities\DownloadLogsFromS3.py --loco 4028 --day 2017-09-02</v>
      </c>
      <c r="AN73" s="151" t="str">
        <f t="shared" si="39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18:07:10"},{"id":29,"name":"Sharepoint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672</v>
      </c>
      <c r="B74" s="7">
        <v>4027</v>
      </c>
      <c r="C74" s="21" t="s">
        <v>197</v>
      </c>
      <c r="D74" s="21" t="s">
        <v>809</v>
      </c>
      <c r="E74" s="13">
        <v>42980.507349537038</v>
      </c>
      <c r="F74" s="13">
        <v>42980.509259259263</v>
      </c>
      <c r="G74" s="7">
        <v>85</v>
      </c>
      <c r="H74" s="21" t="s">
        <v>339</v>
      </c>
      <c r="I74" s="13">
        <v>42980.537870370368</v>
      </c>
      <c r="J74" s="7">
        <v>0</v>
      </c>
      <c r="K74" s="89" t="str">
        <f t="shared" si="69"/>
        <v>4027/4028</v>
      </c>
      <c r="L74" s="214" t="str">
        <f>VLOOKUP(A74,'Trips&amp;Operators'!$C$1:$G$99911,5,FALSE)</f>
        <v>DAVIS MICHAEL</v>
      </c>
      <c r="M74" s="6">
        <f t="shared" si="70"/>
        <v>2.8611111105419695E-2</v>
      </c>
      <c r="N74" s="7">
        <f t="shared" si="78"/>
        <v>41.199999991804361</v>
      </c>
      <c r="O74" s="7"/>
      <c r="P74" s="7"/>
      <c r="Q74" s="22"/>
      <c r="R74" s="167"/>
      <c r="S74" s="210">
        <f t="shared" si="76"/>
        <v>1</v>
      </c>
      <c r="T74" s="192" t="str">
        <f t="shared" si="71"/>
        <v>Southbound</v>
      </c>
      <c r="U74" s="192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3" t="str">
        <f t="shared" si="0"/>
        <v>https://d0f6bd738d7f1b3e5a7ca70fe4ff75f0.us-east-1.aws.found.io/app/kibana#/discover/Steve-Slow-Train-Analysis-(2080s-and-2083s)?_g=(refreshInterval:(display:Off,pause:!f,section:0,value:0),time:(from:'2017-09-02T11:10:35-0600',mode:absolute,to:'2017-09-02T13:54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4" s="194" t="str">
        <f>IF(AA74&lt;VLOOKUP(AG74,Variables!$AC$3:$AD$8,2,FALSE),"Y","N")</f>
        <v>N</v>
      </c>
      <c r="X74" s="194">
        <f t="shared" si="77"/>
        <v>1</v>
      </c>
      <c r="Y74" s="194">
        <f t="shared" si="66"/>
        <v>23.302099999999999</v>
      </c>
      <c r="Z74" s="194">
        <f t="shared" si="67"/>
        <v>1.49E-2</v>
      </c>
      <c r="AA74" s="194">
        <f t="shared" si="72"/>
        <v>23.287199999999999</v>
      </c>
      <c r="AB74" s="54" t="e">
        <f>VLOOKUP(A74,Enforcements!$C$7:$K$11,8,0)</f>
        <v>#N/A</v>
      </c>
      <c r="AC74" s="51" t="e">
        <f>VLOOKUP(A74,Enforcements!$C$7:$E$11,3,0)</f>
        <v>#N/A</v>
      </c>
      <c r="AD74" s="203">
        <f t="shared" si="73"/>
        <v>162</v>
      </c>
      <c r="AE74" s="77" t="str">
        <f t="shared" si="1"/>
        <v>aws s3 cp s3://rtdc.mdm.uploadarchive.raw/RTDC4027/ "%USERPROFILE%\AppData\Local\Temp\OnboardLogs"\RTDC4027\2017-09-02 --exclude "*" --recursive --include "*20170902*" &amp; "%USERPROFILE%\Documents\GitHub\mrs-test-scripts\Headless Mode &amp; Sideloading\WalkAndUnGZ.bat" "%USERPROFILE%\AppData\Local\Temp\OnboardLogs"\RTDC4027\2017-09-02 &amp; aws s3 cp s3://rtdc.mdm.uploadarchive.raw/RTDC4027/ "%USERPROFILE%\AppData\Local\Temp\OnboardLogs"\RTDC4027\2017-09-03 --exclude "*" --recursive --include "*20170903*" &amp; "%USERPROFILE%\Documents\GitHub\mrs-test-scripts\Headless Mode &amp; Sideloading\WalkAndUnGZ.bat" "%USERPROFILE%\AppData\Local\Temp\OnboardLogs"\RTDC4027\2017-09-03</v>
      </c>
      <c r="AF74" s="74" t="str">
        <f t="shared" si="2"/>
        <v>"C:\Program Files (x86)\AstroGrep\AstroGrep.exe" /e /r /s /spath="%USERPROFILE%\AppData\Local\Temp\OnboardLogs" /stypes="app*4027*20170902*" /stext=" 18:.+((SYSTEM_STATE.+slice.+state.+changed )|(ment ac)|(multiple cpu faults)|(system.+state.+changed )|(\[timeout)|(PRM\|1\|D)|(kpr)|(kdp)|(train st.+moving)|(\|lc)|(penalty))"</v>
      </c>
      <c r="AG74" s="206" t="str">
        <f t="shared" si="74"/>
        <v>EC</v>
      </c>
      <c r="AH74" s="78" t="str">
        <f t="shared" si="36"/>
        <v>"%USERPROFILE%\Documents\GitHub\eaglep3\Utilities\RefineRTDCRunTimes.py" --tripid 162-02 --locoid 4027 --swversion DE.1.0.9.0 --startMP 204:233021 --initTime 2017-09-02T12:10:35 --startdatetime 2017-09-02T12:13:20 --delay 85 --endMP 204:149 --enddatetime 2017-09-02T12:54:32 --enforcementcount 0 &gt;&gt;C:\Users\stu\Documents\GitHub\eaglep3-reporting\EC\2017-09-02-refined-times.txt</v>
      </c>
      <c r="AI74" s="96" t="str">
        <f t="shared" si="37"/>
        <v>echo {"issue":{"subject":"","project_id":79,"tracker_id":40,"status_id":1,"priority_id":2,"assigned_to_id":338,"start_date":"2017-09-02","description":"","custom_fields":[{"id":1,"name":"Subdivision","value":"EC"},{"id":4,"name":"Milepost","value":"0.0149"},{"id":17,"name":"Train ID","value":"162-02"},{"id":16,"name":"Locomotive ID","value":"4027"},{"id":130,"name":"Impact","value":""},{"id":150,"name":"Time of Event (Mountain Time)","value":"12:54:32"},{"id":151,"name":"Denver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38"/>
        <v>start /low /b %USERPROFILE%\Documents\GitHub\eaglep3\Utilities\DownloadLogsFromS3.py --loco 4027 --day 2017-09-02</v>
      </c>
      <c r="AN74" s="151" t="str">
        <f t="shared" si="39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18:54:32"},{"id":29,"name":"Sharepoint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663</v>
      </c>
      <c r="B75" s="7">
        <v>4056</v>
      </c>
      <c r="C75" s="21" t="s">
        <v>197</v>
      </c>
      <c r="D75" s="21" t="s">
        <v>482</v>
      </c>
      <c r="E75" s="13">
        <v>42980.475277777776</v>
      </c>
      <c r="F75" s="13">
        <v>42980.479363425926</v>
      </c>
      <c r="G75" s="7">
        <v>116</v>
      </c>
      <c r="H75" s="21" t="s">
        <v>437</v>
      </c>
      <c r="I75" s="13">
        <v>42980.507604166669</v>
      </c>
      <c r="J75" s="7">
        <v>0</v>
      </c>
      <c r="K75" s="89" t="str">
        <f t="shared" si="69"/>
        <v>4055/4056</v>
      </c>
      <c r="L75" s="214" t="str">
        <f>VLOOKUP(A75,'Trips&amp;Operators'!$C$1:$G$99911,5,FALSE)</f>
        <v>SAFIEF AEIMEN</v>
      </c>
      <c r="M75" s="6">
        <f t="shared" si="70"/>
        <v>2.8240740743058268E-2</v>
      </c>
      <c r="N75" s="7">
        <f t="shared" si="78"/>
        <v>40.666666670003906</v>
      </c>
      <c r="O75" s="7"/>
      <c r="P75" s="7"/>
      <c r="Q75" s="22"/>
      <c r="R75" s="167"/>
      <c r="S75" s="210">
        <f t="shared" si="76"/>
        <v>1</v>
      </c>
      <c r="T75" s="192" t="str">
        <f t="shared" si="71"/>
        <v>NorthBound</v>
      </c>
      <c r="U75" s="192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3" t="str">
        <f t="shared" si="0"/>
        <v>https://d0f6bd738d7f1b3e5a7ca70fe4ff75f0.us-east-1.aws.found.io/app/kibana#/discover/Steve-Slow-Train-Analysis-(2080s-and-2083s)?_g=(refreshInterval:(display:Off,pause:!f,section:0,value:0),time:(from:'2017-09-02T10:24:24-0600',mode:absolute,to:'2017-09-02T13:10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75" s="194" t="str">
        <f>IF(AA75&lt;VLOOKUP(AG75,Variables!$AC$3:$AD$8,2,FALSE),"Y","N")</f>
        <v>N</v>
      </c>
      <c r="X75" s="194">
        <f t="shared" ref="X75:X85" si="79">VALUE(LEFT(AD75,4))-VALUE(LEFT(AD74,4))</f>
        <v>1</v>
      </c>
      <c r="Y75" s="194">
        <f t="shared" si="66"/>
        <v>4.7500000000000001E-2</v>
      </c>
      <c r="Z75" s="194">
        <f t="shared" si="67"/>
        <v>23.330400000000001</v>
      </c>
      <c r="AA75" s="194">
        <f t="shared" si="72"/>
        <v>23.282900000000001</v>
      </c>
      <c r="AB75" s="54" t="e">
        <f>VLOOKUP(A75,Enforcements!$C$7:$K$11,8,0)</f>
        <v>#N/A</v>
      </c>
      <c r="AC75" s="51" t="e">
        <f>VLOOKUP(A75,Enforcements!$C$7:$E$11,3,0)</f>
        <v>#N/A</v>
      </c>
      <c r="AD75" s="203">
        <f t="shared" si="73"/>
        <v>163</v>
      </c>
      <c r="AE75" s="77" t="str">
        <f t="shared" si="1"/>
        <v>aws s3 cp s3://rtdc.mdm.uploadarchive.raw/RTDC4056/ "%USERPROFILE%\AppData\Local\Temp\OnboardLogs"\RTDC4056\2017-09-02 --exclude "*" --recursive --include "*20170902*" &amp; "%USERPROFILE%\Documents\GitHub\mrs-test-scripts\Headless Mode &amp; Sideloading\WalkAndUnGZ.bat" "%USERPROFILE%\AppData\Local\Temp\OnboardLogs"\RTDC4056\2017-09-02 &amp; aws s3 cp s3://rtdc.mdm.uploadarchive.raw/RTDC4056/ "%USERPROFILE%\AppData\Local\Temp\OnboardLogs"\RTDC4056\2017-09-03 --exclude "*" --recursive --include "*20170903*" &amp; "%USERPROFILE%\Documents\GitHub\mrs-test-scripts\Headless Mode &amp; Sideloading\WalkAndUnGZ.bat" "%USERPROFILE%\AppData\Local\Temp\OnboardLogs"\RTDC4056\2017-09-03</v>
      </c>
      <c r="AF75" s="74" t="str">
        <f t="shared" si="2"/>
        <v>"C:\Program Files (x86)\AstroGrep\AstroGrep.exe" /e /r /s /spath="%USERPROFILE%\AppData\Local\Temp\OnboardLogs" /stypes="app*4056*20170902*" /stext=" 18:.+((SYSTEM_STATE.+slice.+state.+changed )|(ment ac)|(multiple cpu faults)|(system.+state.+changed )|(\[timeout)|(PRM\|1\|D)|(kpr)|(kdp)|(train st.+moving)|(\|lc)|(penalty))"</v>
      </c>
      <c r="AG75" s="206" t="str">
        <f t="shared" si="74"/>
        <v>EC</v>
      </c>
      <c r="AH75" s="78" t="str">
        <f t="shared" si="36"/>
        <v>"%USERPROFILE%\Documents\GitHub\eaglep3\Utilities\RefineRTDCRunTimes.py" --tripid 163-02 --locoid 4056 --swversion DE.1.0.9.0 --startMP 204:475 --initTime 2017-09-02T11:24:24 --startdatetime 2017-09-02T11:30:17 --delay 116 --endMP 204:233304 --enddatetime 2017-09-02T12:10:57 --enforcementcount 0 &gt;&gt;C:\Users\stu\Documents\GitHub\eaglep3-reporting\EC\2017-09-02-refined-times.txt</v>
      </c>
      <c r="AI75" s="96" t="str">
        <f t="shared" si="37"/>
        <v>echo {"issue":{"subject":"","project_id":79,"tracker_id":40,"status_id":1,"priority_id":2,"assigned_to_id":338,"start_date":"2017-09-02","description":"","custom_fields":[{"id":1,"name":"Subdivision","value":"EC"},{"id":4,"name":"Milepost","value":"23.3304"},{"id":17,"name":"Train ID","value":"163-02"},{"id":16,"name":"Locomotive ID","value":"4056"},{"id":130,"name":"Impact","value":""},{"id":150,"name":"Time of Event (Mountain Time)","value":"12:10:57"},{"id":151,"name":"Denver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38"/>
        <v>start /low /b %USERPROFILE%\Documents\GitHub\eaglep3\Utilities\DownloadLogsFromS3.py --loco 4056 --day 2017-09-02</v>
      </c>
      <c r="AN75" s="151" t="str">
        <f t="shared" si="39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18:10:57"},{"id":29,"name":"Sharepoint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673</v>
      </c>
      <c r="B76" s="7">
        <v>4055</v>
      </c>
      <c r="C76" s="21" t="s">
        <v>197</v>
      </c>
      <c r="D76" s="21" t="s">
        <v>803</v>
      </c>
      <c r="E76" s="13">
        <v>42980.510208333333</v>
      </c>
      <c r="F76" s="13">
        <v>42980.518935185188</v>
      </c>
      <c r="G76" s="7">
        <v>104</v>
      </c>
      <c r="H76" s="21" t="s">
        <v>810</v>
      </c>
      <c r="I76" s="13">
        <v>42980.544895833336</v>
      </c>
      <c r="J76" s="7">
        <v>0</v>
      </c>
      <c r="K76" s="89" t="str">
        <f t="shared" si="69"/>
        <v>4055/4056</v>
      </c>
      <c r="L76" s="214" t="str">
        <f>VLOOKUP(A76,'Trips&amp;Operators'!$C$1:$G$99911,5,FALSE)</f>
        <v>SAFIEF AEIMEN</v>
      </c>
      <c r="M76" s="6">
        <f t="shared" si="70"/>
        <v>2.5960648148611654E-2</v>
      </c>
      <c r="N76" s="7">
        <f t="shared" si="78"/>
        <v>37.383333334000781</v>
      </c>
      <c r="O76" s="7"/>
      <c r="P76" s="7"/>
      <c r="Q76" s="22"/>
      <c r="R76" s="167"/>
      <c r="S76" s="210">
        <f t="shared" si="76"/>
        <v>1</v>
      </c>
      <c r="T76" s="192" t="str">
        <f t="shared" si="71"/>
        <v>Southbound</v>
      </c>
      <c r="U76" s="192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3" t="str">
        <f t="shared" si="0"/>
        <v>https://d0f6bd738d7f1b3e5a7ca70fe4ff75f0.us-east-1.aws.found.io/app/kibana#/discover/Steve-Slow-Train-Analysis-(2080s-and-2083s)?_g=(refreshInterval:(display:Off,pause:!f,section:0,value:0),time:(from:'2017-09-02T11:14:42-0600',mode:absolute,to:'2017-09-02T14:04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76" s="194" t="str">
        <f>IF(AA76&lt;VLOOKUP(AG76,Variables!$AC$3:$AD$8,2,FALSE),"Y","N")</f>
        <v>N</v>
      </c>
      <c r="X76" s="194">
        <f t="shared" si="79"/>
        <v>1</v>
      </c>
      <c r="Y76" s="194">
        <f t="shared" si="66"/>
        <v>23.301100000000002</v>
      </c>
      <c r="Z76" s="194">
        <f t="shared" si="67"/>
        <v>1.01E-2</v>
      </c>
      <c r="AA76" s="194">
        <f t="shared" si="72"/>
        <v>23.291</v>
      </c>
      <c r="AB76" s="54" t="e">
        <f>VLOOKUP(A76,Enforcements!$C$7:$K$11,8,0)</f>
        <v>#N/A</v>
      </c>
      <c r="AC76" s="51" t="e">
        <f>VLOOKUP(A76,Enforcements!$C$7:$E$11,3,0)</f>
        <v>#N/A</v>
      </c>
      <c r="AD76" s="203">
        <f t="shared" si="73"/>
        <v>164</v>
      </c>
      <c r="AE76" s="77" t="str">
        <f t="shared" si="1"/>
        <v>aws s3 cp s3://rtdc.mdm.uploadarchive.raw/RTDC4055/ "%USERPROFILE%\AppData\Local\Temp\OnboardLogs"\RTDC4055\2017-09-02 --exclude "*" --recursive --include "*20170902*" &amp; "%USERPROFILE%\Documents\GitHub\mrs-test-scripts\Headless Mode &amp; Sideloading\WalkAndUnGZ.bat" "%USERPROFILE%\AppData\Local\Temp\OnboardLogs"\RTDC4055\2017-09-02 &amp; aws s3 cp s3://rtdc.mdm.uploadarchive.raw/RTDC4055/ "%USERPROFILE%\AppData\Local\Temp\OnboardLogs"\RTDC4055\2017-09-03 --exclude "*" --recursive --include "*20170903*" &amp; "%USERPROFILE%\Documents\GitHub\mrs-test-scripts\Headless Mode &amp; Sideloading\WalkAndUnGZ.bat" "%USERPROFILE%\AppData\Local\Temp\OnboardLogs"\RTDC4055\2017-09-03</v>
      </c>
      <c r="AF76" s="74" t="str">
        <f t="shared" si="2"/>
        <v>"C:\Program Files (x86)\AstroGrep\AstroGrep.exe" /e /r /s /spath="%USERPROFILE%\AppData\Local\Temp\OnboardLogs" /stypes="app*4055*20170902*" /stext=" 19:.+((SYSTEM_STATE.+slice.+state.+changed )|(ment ac)|(multiple cpu faults)|(system.+state.+changed )|(\[timeout)|(PRM\|1\|D)|(kpr)|(kdp)|(train st.+moving)|(\|lc)|(penalty))"</v>
      </c>
      <c r="AG76" s="206" t="str">
        <f t="shared" si="74"/>
        <v>EC</v>
      </c>
      <c r="AH76" s="78" t="str">
        <f t="shared" si="36"/>
        <v>"%USERPROFILE%\Documents\GitHub\eaglep3\Utilities\RefineRTDCRunTimes.py" --tripid 164-02 --locoid 4055 --swversion DE.1.0.9.0 --startMP 204:233011 --initTime 2017-09-02T12:14:42 --startdatetime 2017-09-02T12:27:16 --delay 104 --endMP 204:101 --enddatetime 2017-09-02T13:04:39 --enforcementcount 0 &gt;&gt;C:\Users\stu\Documents\GitHub\eaglep3-reporting\EC\2017-09-02-refined-times.txt</v>
      </c>
      <c r="AI76" s="96" t="str">
        <f t="shared" si="37"/>
        <v>echo {"issue":{"subject":"","project_id":79,"tracker_id":40,"status_id":1,"priority_id":2,"assigned_to_id":338,"start_date":"2017-09-02","description":"","custom_fields":[{"id":1,"name":"Subdivision","value":"EC"},{"id":4,"name":"Milepost","value":"0.0101"},{"id":17,"name":"Train ID","value":"164-02"},{"id":16,"name":"Locomotive ID","value":"4055"},{"id":130,"name":"Impact","value":""},{"id":150,"name":"Time of Event (Mountain Time)","value":"13:04:39"},{"id":151,"name":"Denver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38"/>
        <v>start /low /b %USERPROFILE%\Documents\GitHub\eaglep3\Utilities\DownloadLogsFromS3.py --loco 4055 --day 2017-09-02</v>
      </c>
      <c r="AN76" s="151" t="str">
        <f t="shared" si="39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19:04:39"},{"id":29,"name":"Sharepoint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666</v>
      </c>
      <c r="B77" s="7">
        <v>4010</v>
      </c>
      <c r="C77" s="21" t="s">
        <v>197</v>
      </c>
      <c r="D77" s="21" t="s">
        <v>389</v>
      </c>
      <c r="E77" s="13">
        <v>42980.487453703703</v>
      </c>
      <c r="F77" s="13">
        <v>42980.48978009259</v>
      </c>
      <c r="G77" s="7">
        <v>62</v>
      </c>
      <c r="H77" s="21" t="s">
        <v>378</v>
      </c>
      <c r="I77" s="13">
        <v>42980.513912037037</v>
      </c>
      <c r="J77" s="7">
        <v>0</v>
      </c>
      <c r="K77" s="89" t="str">
        <f t="shared" si="69"/>
        <v>4009/4010</v>
      </c>
      <c r="L77" s="214" t="str">
        <f>VLOOKUP(A77,'Trips&amp;Operators'!$C$1:$G$99911,5,FALSE)</f>
        <v>GUZMAN DANNY</v>
      </c>
      <c r="M77" s="6">
        <f t="shared" si="70"/>
        <v>2.4131944446708076E-2</v>
      </c>
      <c r="N77" s="7">
        <f t="shared" si="78"/>
        <v>34.750000003259629</v>
      </c>
      <c r="O77" s="7"/>
      <c r="P77" s="7"/>
      <c r="Q77" s="22"/>
      <c r="R77" s="167"/>
      <c r="S77" s="210">
        <f t="shared" si="76"/>
        <v>1</v>
      </c>
      <c r="T77" s="192" t="str">
        <f t="shared" si="71"/>
        <v>NorthBound</v>
      </c>
      <c r="U77" s="192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3" t="str">
        <f t="shared" ref="V77:V140" si="80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-09-02T10:41:56-0600',mode:absolute,to:'2017-09-02T13:20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77" s="194" t="str">
        <f>IF(AA77&lt;VLOOKUP(AG77,Variables!$AC$3:$AD$8,2,FALSE),"Y","N")</f>
        <v>N</v>
      </c>
      <c r="X77" s="194">
        <f t="shared" si="79"/>
        <v>1</v>
      </c>
      <c r="Y77" s="194">
        <f t="shared" si="66"/>
        <v>4.7300000000000002E-2</v>
      </c>
      <c r="Z77" s="194">
        <f t="shared" si="67"/>
        <v>23.3293</v>
      </c>
      <c r="AA77" s="194">
        <f t="shared" si="72"/>
        <v>23.282</v>
      </c>
      <c r="AB77" s="54" t="e">
        <f>VLOOKUP(A77,Enforcements!$C$7:$K$11,8,0)</f>
        <v>#N/A</v>
      </c>
      <c r="AC77" s="51" t="e">
        <f>VLOOKUP(A77,Enforcements!$C$7:$E$11,3,0)</f>
        <v>#N/A</v>
      </c>
      <c r="AD77" s="203">
        <f t="shared" si="73"/>
        <v>165</v>
      </c>
      <c r="AE77" s="77" t="str">
        <f t="shared" ref="AE77:AE140" si="81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s3://rtdc.mdm.uploadarchive.raw/RTDC4010/ "%USERPROFILE%\AppData\Local\Temp\OnboardLogs"\RTDC4010\2017-09-02 --exclude "*" --recursive --include "*20170902*" &amp; "%USERPROFILE%\Documents\GitHub\mrs-test-scripts\Headless Mode &amp; Sideloading\WalkAndUnGZ.bat" "%USERPROFILE%\AppData\Local\Temp\OnboardLogs"\RTDC4010\2017-09-02 &amp; aws s3 cp s3://rtdc.mdm.uploadarchive.raw/RTDC4010/ "%USERPROFILE%\AppData\Local\Temp\OnboardLogs"\RTDC4010\2017-09-03 --exclude "*" --recursive --include "*20170903*" &amp; "%USERPROFILE%\Documents\GitHub\mrs-test-scripts\Headless Mode &amp; Sideloading\WalkAndUnGZ.bat" "%USERPROFILE%\AppData\Local\Temp\OnboardLogs"\RTDC4010\2017-09-03</v>
      </c>
      <c r="AF77" s="74" t="str">
        <f t="shared" ref="AF77:AF140" si="82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/stypes="app*4010*20170902*" /stext=" 18:.+((SYSTEM_STATE.+slice.+state.+changed )|(ment ac)|(multiple cpu faults)|(system.+state.+changed )|(\[timeout)|(PRM\|1\|D)|(kpr)|(kdp)|(train st.+moving)|(\|lc)|(penalty))"</v>
      </c>
      <c r="AG77" s="206" t="str">
        <f t="shared" si="74"/>
        <v>EC</v>
      </c>
      <c r="AH77" s="78" t="str">
        <f t="shared" si="36"/>
        <v>"%USERPROFILE%\Documents\GitHub\eaglep3\Utilities\RefineRTDCRunTimes.py" --tripid 165-02 --locoid 4010 --swversion DE.1.0.9.0 --startMP 204:473 --initTime 2017-09-02T11:41:56 --startdatetime 2017-09-02T11:45:17 --delay 62 --endMP 204:233293 --enddatetime 2017-09-02T12:20:02 --enforcementcount 0 &gt;&gt;C:\Users\stu\Documents\GitHub\eaglep3-reporting\EC\2017-09-02-refined-times.txt</v>
      </c>
      <c r="AI77" s="96" t="str">
        <f t="shared" si="37"/>
        <v>echo {"issue":{"subject":"","project_id":79,"tracker_id":40,"status_id":1,"priority_id":2,"assigned_to_id":338,"start_date":"2017-09-02","description":"","custom_fields":[{"id":1,"name":"Subdivision","value":"EC"},{"id":4,"name":"Milepost","value":"23.3293"},{"id":17,"name":"Train ID","value":"165-02"},{"id":16,"name":"Locomotive ID","value":"4010"},{"id":130,"name":"Impact","value":""},{"id":150,"name":"Time of Event (Mountain Time)","value":"12:20:02"},{"id":151,"name":"Denver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si="38"/>
        <v>start /low /b %USERPROFILE%\Documents\GitHub\eaglep3\Utilities\DownloadLogsFromS3.py --loco 4010 --day 2017-09-02</v>
      </c>
      <c r="AN77" s="151" t="str">
        <f t="shared" si="39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18:20:02"},{"id":29,"name":"Sharepoint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677</v>
      </c>
      <c r="B78" s="7">
        <v>4009</v>
      </c>
      <c r="C78" s="21" t="s">
        <v>197</v>
      </c>
      <c r="D78" s="21" t="s">
        <v>488</v>
      </c>
      <c r="E78" s="13">
        <v>42980.5158912037</v>
      </c>
      <c r="F78" s="13">
        <v>42980.529374999998</v>
      </c>
      <c r="G78" s="7">
        <v>61</v>
      </c>
      <c r="H78" s="21" t="s">
        <v>339</v>
      </c>
      <c r="I78" s="13">
        <v>42980.556400462963</v>
      </c>
      <c r="J78" s="7">
        <v>0</v>
      </c>
      <c r="K78" s="89" t="str">
        <f t="shared" si="69"/>
        <v>4009/4010</v>
      </c>
      <c r="L78" s="214" t="str">
        <f>VLOOKUP(A78,'Trips&amp;Operators'!$C$1:$G$99911,5,FALSE)</f>
        <v>GUZMAN DANNY</v>
      </c>
      <c r="M78" s="6">
        <f t="shared" si="70"/>
        <v>2.7025462964957114E-2</v>
      </c>
      <c r="N78" s="7">
        <f t="shared" si="78"/>
        <v>38.916666669538245</v>
      </c>
      <c r="O78" s="7"/>
      <c r="P78" s="7"/>
      <c r="Q78" s="22"/>
      <c r="R78" s="167"/>
      <c r="S78" s="210">
        <f t="shared" si="76"/>
        <v>1</v>
      </c>
      <c r="T78" s="192" t="str">
        <f t="shared" si="71"/>
        <v>Southbound</v>
      </c>
      <c r="U78" s="192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3" t="str">
        <f t="shared" si="80"/>
        <v>https://d0f6bd738d7f1b3e5a7ca70fe4ff75f0.us-east-1.aws.found.io/app/kibana#/discover/Steve-Slow-Train-Analysis-(2080s-and-2083s)?_g=(refreshInterval:(display:Off,pause:!f,section:0,value:0),time:(from:'2017-09-02T11:22:53-0600',mode:absolute,to:'2017-09-02T14:21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78" s="194" t="str">
        <f>IF(AA78&lt;VLOOKUP(AG78,Variables!$AC$3:$AD$8,2,FALSE),"Y","N")</f>
        <v>N</v>
      </c>
      <c r="X78" s="194">
        <f t="shared" si="79"/>
        <v>1</v>
      </c>
      <c r="Y78" s="194">
        <f t="shared" si="66"/>
        <v>23.297799999999999</v>
      </c>
      <c r="Z78" s="194">
        <f t="shared" si="67"/>
        <v>1.49E-2</v>
      </c>
      <c r="AA78" s="194">
        <f t="shared" si="72"/>
        <v>23.282899999999998</v>
      </c>
      <c r="AB78" s="54" t="e">
        <f>VLOOKUP(A78,Enforcements!$C$7:$K$11,8,0)</f>
        <v>#N/A</v>
      </c>
      <c r="AC78" s="51" t="e">
        <f>VLOOKUP(A78,Enforcements!$C$7:$E$11,3,0)</f>
        <v>#N/A</v>
      </c>
      <c r="AD78" s="203">
        <f t="shared" si="73"/>
        <v>166</v>
      </c>
      <c r="AE78" s="77" t="str">
        <f t="shared" si="81"/>
        <v>aws s3 cp s3://rtdc.mdm.uploadarchive.raw/RTDC4009/ "%USERPROFILE%\AppData\Local\Temp\OnboardLogs"\RTDC4009\2017-09-02 --exclude "*" --recursive --include "*20170902*" &amp; "%USERPROFILE%\Documents\GitHub\mrs-test-scripts\Headless Mode &amp; Sideloading\WalkAndUnGZ.bat" "%USERPROFILE%\AppData\Local\Temp\OnboardLogs"\RTDC4009\2017-09-02 &amp; aws s3 cp s3://rtdc.mdm.uploadarchive.raw/RTDC4009/ "%USERPROFILE%\AppData\Local\Temp\OnboardLogs"\RTDC4009\2017-09-03 --exclude "*" --recursive --include "*20170903*" &amp; "%USERPROFILE%\Documents\GitHub\mrs-test-scripts\Headless Mode &amp; Sideloading\WalkAndUnGZ.bat" "%USERPROFILE%\AppData\Local\Temp\OnboardLogs"\RTDC4009\2017-09-03</v>
      </c>
      <c r="AF78" s="74" t="str">
        <f t="shared" si="82"/>
        <v>"C:\Program Files (x86)\AstroGrep\AstroGrep.exe" /e /r /s /spath="%USERPROFILE%\AppData\Local\Temp\OnboardLogs" /stypes="app*4009*20170902*" /stext=" 19:.+((SYSTEM_STATE.+slice.+state.+changed )|(ment ac)|(multiple cpu faults)|(system.+state.+changed )|(\[timeout)|(PRM\|1\|D)|(kpr)|(kdp)|(train st.+moving)|(\|lc)|(penalty))"</v>
      </c>
      <c r="AG78" s="206" t="str">
        <f t="shared" si="74"/>
        <v>EC</v>
      </c>
      <c r="AH78" s="78" t="str">
        <f t="shared" si="36"/>
        <v>"%USERPROFILE%\Documents\GitHub\eaglep3\Utilities\RefineRTDCRunTimes.py" --tripid 166-02 --locoid 4009 --swversion DE.1.0.9.0 --startMP 204:232978 --initTime 2017-09-02T12:22:53 --startdatetime 2017-09-02T12:42:18 --delay 61 --endMP 204:149 --enddatetime 2017-09-02T13:21:13 --enforcementcount 0 &gt;&gt;C:\Users\stu\Documents\GitHub\eaglep3-reporting\EC\2017-09-02-refined-times.txt</v>
      </c>
      <c r="AI78" s="96" t="str">
        <f t="shared" si="37"/>
        <v>echo {"issue":{"subject":"","project_id":79,"tracker_id":40,"status_id":1,"priority_id":2,"assigned_to_id":338,"start_date":"2017-09-02","description":"","custom_fields":[{"id":1,"name":"Subdivision","value":"EC"},{"id":4,"name":"Milepost","value":"0.0149"},{"id":17,"name":"Train ID","value":"166-02"},{"id":16,"name":"Locomotive ID","value":"4009"},{"id":130,"name":"Impact","value":""},{"id":150,"name":"Time of Event (Mountain Time)","value":"13:21:13"},{"id":151,"name":"Denver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si="38"/>
        <v>start /low /b %USERPROFILE%\Documents\GitHub\eaglep3\Utilities\DownloadLogsFromS3.py --loco 4009 --day 2017-09-02</v>
      </c>
      <c r="AN78" s="151" t="str">
        <f t="shared" si="39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19:21:13"},{"id":29,"name":"Sharepoint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669</v>
      </c>
      <c r="B79" s="7">
        <v>4066</v>
      </c>
      <c r="C79" s="21" t="s">
        <v>197</v>
      </c>
      <c r="D79" s="21" t="s">
        <v>429</v>
      </c>
      <c r="E79" s="13">
        <v>42980.496435185189</v>
      </c>
      <c r="F79" s="13">
        <v>42980.5002662037</v>
      </c>
      <c r="G79" s="7">
        <v>101</v>
      </c>
      <c r="H79" s="21" t="s">
        <v>811</v>
      </c>
      <c r="I79" s="13">
        <v>42980.525000000001</v>
      </c>
      <c r="J79" s="7">
        <v>0</v>
      </c>
      <c r="K79" s="89" t="str">
        <f t="shared" si="69"/>
        <v>4065/4066</v>
      </c>
      <c r="L79" s="214" t="str">
        <f>VLOOKUP(A79,'Trips&amp;Operators'!$C$1:$G$99911,5,FALSE)</f>
        <v>DELGADO DIANAH</v>
      </c>
      <c r="M79" s="6">
        <f t="shared" si="70"/>
        <v>2.4733796301006805E-2</v>
      </c>
      <c r="N79" s="7">
        <f t="shared" si="78"/>
        <v>35.616666673449799</v>
      </c>
      <c r="O79" s="7"/>
      <c r="P79" s="7"/>
      <c r="Q79" s="22"/>
      <c r="R79" s="167"/>
      <c r="S79" s="210">
        <f t="shared" si="76"/>
        <v>1</v>
      </c>
      <c r="T79" s="192" t="str">
        <f t="shared" si="71"/>
        <v>NorthBound</v>
      </c>
      <c r="U79" s="192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3" t="str">
        <f t="shared" si="80"/>
        <v>https://d0f6bd738d7f1b3e5a7ca70fe4ff75f0.us-east-1.aws.found.io/app/kibana#/discover/Steve-Slow-Train-Analysis-(2080s-and-2083s)?_g=(refreshInterval:(display:Off,pause:!f,section:0,value:0),time:(from:'2017-09-02T10:54:52-0600',mode:absolute,to:'2017-09-02T13:36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79" s="194" t="str">
        <f>IF(AA79&lt;VLOOKUP(AG79,Variables!$AC$3:$AD$8,2,FALSE),"Y","N")</f>
        <v>N</v>
      </c>
      <c r="X79" s="194">
        <f t="shared" si="79"/>
        <v>1</v>
      </c>
      <c r="Y79" s="194">
        <f t="shared" ref="Y79:Y110" si="83">RIGHT(D79,LEN(D79)-4)/10000</f>
        <v>4.3799999999999999E-2</v>
      </c>
      <c r="Z79" s="194">
        <f t="shared" ref="Z79:Z110" si="84">RIGHT(H79,LEN(H79)-4)/10000</f>
        <v>23.334399999999999</v>
      </c>
      <c r="AA79" s="194">
        <f t="shared" si="72"/>
        <v>23.290599999999998</v>
      </c>
      <c r="AB79" s="54" t="e">
        <f>VLOOKUP(A79,Enforcements!$C$7:$K$11,8,0)</f>
        <v>#N/A</v>
      </c>
      <c r="AC79" s="51" t="e">
        <f>VLOOKUP(A79,Enforcements!$C$7:$E$11,3,0)</f>
        <v>#N/A</v>
      </c>
      <c r="AD79" s="203">
        <f t="shared" si="73"/>
        <v>167</v>
      </c>
      <c r="AE79" s="77" t="str">
        <f t="shared" si="81"/>
        <v>aws s3 cp s3://rtdc.mdm.uploadarchive.raw/RTDC4066/ "%USERPROFILE%\AppData\Local\Temp\OnboardLogs"\RTDC4066\2017-09-02 --exclude "*" --recursive --include "*20170902*" &amp; "%USERPROFILE%\Documents\GitHub\mrs-test-scripts\Headless Mode &amp; Sideloading\WalkAndUnGZ.bat" "%USERPROFILE%\AppData\Local\Temp\OnboardLogs"\RTDC4066\2017-09-02 &amp; aws s3 cp s3://rtdc.mdm.uploadarchive.raw/RTDC4066/ "%USERPROFILE%\AppData\Local\Temp\OnboardLogs"\RTDC4066\2017-09-03 --exclude "*" --recursive --include "*20170903*" &amp; "%USERPROFILE%\Documents\GitHub\mrs-test-scripts\Headless Mode &amp; Sideloading\WalkAndUnGZ.bat" "%USERPROFILE%\AppData\Local\Temp\OnboardLogs"\RTDC4066\2017-09-03</v>
      </c>
      <c r="AF79" s="74" t="str">
        <f t="shared" si="82"/>
        <v>"C:\Program Files (x86)\AstroGrep\AstroGrep.exe" /e /r /s /spath="%USERPROFILE%\AppData\Local\Temp\OnboardLogs" /stypes="app*4066*20170902*" /stext=" 18:.+((SYSTEM_STATE.+slice.+state.+changed )|(ment ac)|(multiple cpu faults)|(system.+state.+changed )|(\[timeout)|(PRM\|1\|D)|(kpr)|(kdp)|(train st.+moving)|(\|lc)|(penalty))"</v>
      </c>
      <c r="AG79" s="206" t="str">
        <f t="shared" si="74"/>
        <v>EC</v>
      </c>
      <c r="AH79" s="78" t="str">
        <f t="shared" si="36"/>
        <v>"%USERPROFILE%\Documents\GitHub\eaglep3\Utilities\RefineRTDCRunTimes.py" --tripid 167-02 --locoid 4066 --swversion DE.1.0.9.0 --startMP 204:438 --initTime 2017-09-02T11:54:52 --startdatetime 2017-09-02T12:00:23 --delay 101 --endMP 204:233344 --enddatetime 2017-09-02T12:36:00 --enforcementcount 0 &gt;&gt;C:\Users\stu\Documents\GitHub\eaglep3-reporting\EC\2017-09-02-refined-times.txt</v>
      </c>
      <c r="AI79" s="96" t="str">
        <f t="shared" si="37"/>
        <v>echo {"issue":{"subject":"","project_id":79,"tracker_id":40,"status_id":1,"priority_id":2,"assigned_to_id":338,"start_date":"2017-09-02","description":"","custom_fields":[{"id":1,"name":"Subdivision","value":"EC"},{"id":4,"name":"Milepost","value":"23.3344"},{"id":17,"name":"Train ID","value":"167-02"},{"id":16,"name":"Locomotive ID","value":"4066"},{"id":130,"name":"Impact","value":""},{"id":150,"name":"Time of Event (Mountain Time)","value":"12:36:00"},{"id":151,"name":"Denver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38"/>
        <v>start /low /b %USERPROFILE%\Documents\GitHub\eaglep3\Utilities\DownloadLogsFromS3.py --loco 4066 --day 2017-09-02</v>
      </c>
      <c r="AN79" s="151" t="str">
        <f t="shared" si="39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18:36:00"},{"id":29,"name":"Sharepoint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684</v>
      </c>
      <c r="B80" s="7">
        <v>4065</v>
      </c>
      <c r="C80" s="21" t="s">
        <v>197</v>
      </c>
      <c r="D80" s="21" t="s">
        <v>536</v>
      </c>
      <c r="E80" s="13">
        <v>42980.5312962963</v>
      </c>
      <c r="F80" s="13">
        <v>42980.53974537037</v>
      </c>
      <c r="G80" s="7">
        <v>89</v>
      </c>
      <c r="H80" s="21" t="s">
        <v>812</v>
      </c>
      <c r="I80" s="13">
        <v>42980.56449074074</v>
      </c>
      <c r="J80" s="7">
        <v>0</v>
      </c>
      <c r="K80" s="89" t="str">
        <f t="shared" si="69"/>
        <v>4065/4066</v>
      </c>
      <c r="L80" s="214" t="str">
        <f>VLOOKUP(A80,'Trips&amp;Operators'!$C$1:$G$99911,5,FALSE)</f>
        <v>DELGADO DIANAH</v>
      </c>
      <c r="M80" s="6">
        <f t="shared" si="70"/>
        <v>2.47453703705105E-2</v>
      </c>
      <c r="N80" s="7">
        <f t="shared" si="78"/>
        <v>35.63333333353512</v>
      </c>
      <c r="O80" s="7"/>
      <c r="P80" s="7"/>
      <c r="Q80" s="22"/>
      <c r="R80" s="167"/>
      <c r="S80" s="210">
        <f t="shared" si="76"/>
        <v>1</v>
      </c>
      <c r="T80" s="192" t="str">
        <f t="shared" si="71"/>
        <v>Southbound</v>
      </c>
      <c r="U80" s="192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3" t="str">
        <f t="shared" si="80"/>
        <v>https://d0f6bd738d7f1b3e5a7ca70fe4ff75f0.us-east-1.aws.found.io/app/kibana#/discover/Steve-Slow-Train-Analysis-(2080s-and-2083s)?_g=(refreshInterval:(display:Off,pause:!f,section:0,value:0),time:(from:'2017-09-02T11:45:04-0600',mode:absolute,to:'2017-09-02T14:32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80" s="194" t="str">
        <f>IF(AA80&lt;VLOOKUP(AG80,Variables!$AC$3:$AD$8,2,FALSE),"Y","N")</f>
        <v>N</v>
      </c>
      <c r="X80" s="194">
        <f t="shared" si="79"/>
        <v>1</v>
      </c>
      <c r="Y80" s="194">
        <f t="shared" si="83"/>
        <v>23.302800000000001</v>
      </c>
      <c r="Z80" s="194">
        <f t="shared" si="84"/>
        <v>1.0999999999999999E-2</v>
      </c>
      <c r="AA80" s="194">
        <f t="shared" si="72"/>
        <v>23.291800000000002</v>
      </c>
      <c r="AB80" s="54" t="e">
        <f>VLOOKUP(A80,Enforcements!$C$7:$K$11,8,0)</f>
        <v>#N/A</v>
      </c>
      <c r="AC80" s="51" t="e">
        <f>VLOOKUP(A80,Enforcements!$C$7:$E$11,3,0)</f>
        <v>#N/A</v>
      </c>
      <c r="AD80" s="203">
        <f t="shared" si="73"/>
        <v>168</v>
      </c>
      <c r="AE80" s="77" t="str">
        <f t="shared" si="81"/>
        <v>aws s3 cp s3://rtdc.mdm.uploadarchive.raw/RTDC4065/ "%USERPROFILE%\AppData\Local\Temp\OnboardLogs"\RTDC4065\2017-09-02 --exclude "*" --recursive --include "*20170902*" &amp; "%USERPROFILE%\Documents\GitHub\mrs-test-scripts\Headless Mode &amp; Sideloading\WalkAndUnGZ.bat" "%USERPROFILE%\AppData\Local\Temp\OnboardLogs"\RTDC4065\2017-09-02 &amp; aws s3 cp s3://rtdc.mdm.uploadarchive.raw/RTDC4065/ "%USERPROFILE%\AppData\Local\Temp\OnboardLogs"\RTDC4065\2017-09-03 --exclude "*" --recursive --include "*20170903*" &amp; "%USERPROFILE%\Documents\GitHub\mrs-test-scripts\Headless Mode &amp; Sideloading\WalkAndUnGZ.bat" "%USERPROFILE%\AppData\Local\Temp\OnboardLogs"\RTDC4065\2017-09-03</v>
      </c>
      <c r="AF80" s="74" t="str">
        <f t="shared" si="82"/>
        <v>"C:\Program Files (x86)\AstroGrep\AstroGrep.exe" /e /r /s /spath="%USERPROFILE%\AppData\Local\Temp\OnboardLogs" /stypes="app*4065*20170902*" /stext=" 19:.+((SYSTEM_STATE.+slice.+state.+changed )|(ment ac)|(multiple cpu faults)|(system.+state.+changed )|(\[timeout)|(PRM\|1\|D)|(kpr)|(kdp)|(train st.+moving)|(\|lc)|(penalty))"</v>
      </c>
      <c r="AG80" s="206" t="str">
        <f t="shared" si="74"/>
        <v>EC</v>
      </c>
      <c r="AH80" s="78" t="str">
        <f t="shared" si="36"/>
        <v>"%USERPROFILE%\Documents\GitHub\eaglep3\Utilities\RefineRTDCRunTimes.py" --tripid 168-02 --locoid 4065 --swversion DE.1.0.9.0 --startMP 204:233028 --initTime 2017-09-02T12:45:04 --startdatetime 2017-09-02T12:57:14 --delay 89 --endMP 204:110 --enddatetime 2017-09-02T13:32:52 --enforcementcount 0 &gt;&gt;C:\Users\stu\Documents\GitHub\eaglep3-reporting\EC\2017-09-02-refined-times.txt</v>
      </c>
      <c r="AI80" s="96" t="str">
        <f t="shared" si="37"/>
        <v>echo {"issue":{"subject":"","project_id":79,"tracker_id":40,"status_id":1,"priority_id":2,"assigned_to_id":338,"start_date":"2017-09-02","description":"","custom_fields":[{"id":1,"name":"Subdivision","value":"EC"},{"id":4,"name":"Milepost","value":"0.011"},{"id":17,"name":"Train ID","value":"168-02"},{"id":16,"name":"Locomotive ID","value":"4065"},{"id":130,"name":"Impact","value":""},{"id":150,"name":"Time of Event (Mountain Time)","value":"13:32:52"},{"id":151,"name":"Denver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38"/>
        <v>start /low /b %USERPROFILE%\Documents\GitHub\eaglep3\Utilities\DownloadLogsFromS3.py --loco 4065 --day 2017-09-02</v>
      </c>
      <c r="AN80" s="151" t="str">
        <f t="shared" si="39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19:32:52"},{"id":29,"name":"Sharepoint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671</v>
      </c>
      <c r="B81" s="7">
        <v>4042</v>
      </c>
      <c r="C81" s="21" t="s">
        <v>197</v>
      </c>
      <c r="D81" s="21" t="s">
        <v>347</v>
      </c>
      <c r="E81" s="13">
        <v>42980.506319444445</v>
      </c>
      <c r="F81" s="13">
        <v>42980.510706018518</v>
      </c>
      <c r="G81" s="7">
        <v>133</v>
      </c>
      <c r="H81" s="21" t="s">
        <v>535</v>
      </c>
      <c r="I81" s="13">
        <v>42980.534710648149</v>
      </c>
      <c r="J81" s="7">
        <v>0</v>
      </c>
      <c r="K81" s="89" t="str">
        <f t="shared" si="69"/>
        <v>4041/4042</v>
      </c>
      <c r="L81" s="214" t="str">
        <f>VLOOKUP(A81,'Trips&amp;Operators'!$C$1:$G$99911,5,FALSE)</f>
        <v>STORY SAMANTHA</v>
      </c>
      <c r="M81" s="6">
        <f t="shared" si="70"/>
        <v>2.400462963123573E-2</v>
      </c>
      <c r="N81" s="7">
        <f t="shared" si="78"/>
        <v>34.566666668979451</v>
      </c>
      <c r="O81" s="7"/>
      <c r="P81" s="7"/>
      <c r="Q81" s="22"/>
      <c r="R81" s="167"/>
      <c r="S81" s="210">
        <f t="shared" si="76"/>
        <v>1</v>
      </c>
      <c r="T81" s="192" t="str">
        <f t="shared" si="71"/>
        <v>NorthBound</v>
      </c>
      <c r="U81" s="192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3" t="str">
        <f t="shared" si="80"/>
        <v>https://d0f6bd738d7f1b3e5a7ca70fe4ff75f0.us-east-1.aws.found.io/app/kibana#/discover/Steve-Slow-Train-Analysis-(2080s-and-2083s)?_g=(refreshInterval:(display:Off,pause:!f,section:0,value:0),time:(from:'2017-09-02T11:09:06-0600',mode:absolute,to:'2017-09-02T13:49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81" s="194" t="str">
        <f>IF(AA81&lt;VLOOKUP(AG81,Variables!$AC$3:$AD$8,2,FALSE),"Y","N")</f>
        <v>N</v>
      </c>
      <c r="X81" s="194">
        <f t="shared" si="79"/>
        <v>1</v>
      </c>
      <c r="Y81" s="194">
        <f t="shared" si="83"/>
        <v>4.6199999999999998E-2</v>
      </c>
      <c r="Z81" s="194">
        <f t="shared" si="84"/>
        <v>23.333600000000001</v>
      </c>
      <c r="AA81" s="194">
        <f t="shared" si="72"/>
        <v>23.287400000000002</v>
      </c>
      <c r="AB81" s="54" t="e">
        <f>VLOOKUP(A81,Enforcements!$C$7:$K$11,8,0)</f>
        <v>#N/A</v>
      </c>
      <c r="AC81" s="51" t="e">
        <f>VLOOKUP(A81,Enforcements!$C$7:$E$11,3,0)</f>
        <v>#N/A</v>
      </c>
      <c r="AD81" s="203">
        <f t="shared" si="73"/>
        <v>169</v>
      </c>
      <c r="AE81" s="77" t="str">
        <f t="shared" si="81"/>
        <v>aws s3 cp s3://rtdc.mdm.uploadarchive.raw/RTDC4042/ "%USERPROFILE%\AppData\Local\Temp\OnboardLogs"\RTDC4042\2017-09-02 --exclude "*" --recursive --include "*20170902*" &amp; "%USERPROFILE%\Documents\GitHub\mrs-test-scripts\Headless Mode &amp; Sideloading\WalkAndUnGZ.bat" "%USERPROFILE%\AppData\Local\Temp\OnboardLogs"\RTDC4042\2017-09-02 &amp; aws s3 cp s3://rtdc.mdm.uploadarchive.raw/RTDC4042/ "%USERPROFILE%\AppData\Local\Temp\OnboardLogs"\RTDC4042\2017-09-03 --exclude "*" --recursive --include "*20170903*" &amp; "%USERPROFILE%\Documents\GitHub\mrs-test-scripts\Headless Mode &amp; Sideloading\WalkAndUnGZ.bat" "%USERPROFILE%\AppData\Local\Temp\OnboardLogs"\RTDC4042\2017-09-03</v>
      </c>
      <c r="AF81" s="74" t="str">
        <f t="shared" si="82"/>
        <v>"C:\Program Files (x86)\AstroGrep\AstroGrep.exe" /e /r /s /spath="%USERPROFILE%\AppData\Local\Temp\OnboardLogs" /stypes="app*4042*20170902*" /stext=" 18:.+((SYSTEM_STATE.+slice.+state.+changed )|(ment ac)|(multiple cpu faults)|(system.+state.+changed )|(\[timeout)|(PRM\|1\|D)|(kpr)|(kdp)|(train st.+moving)|(\|lc)|(penalty))"</v>
      </c>
      <c r="AG81" s="206" t="str">
        <f t="shared" si="74"/>
        <v>EC</v>
      </c>
      <c r="AH81" s="78" t="str">
        <f t="shared" si="36"/>
        <v>"%USERPROFILE%\Documents\GitHub\eaglep3\Utilities\RefineRTDCRunTimes.py" --tripid 169-02 --locoid 4042 --swversion DE.1.0.9.0 --startMP 204:462 --initTime 2017-09-02T12:09:06 --startdatetime 2017-09-02T12:15:25 --delay 133 --endMP 204:233336 --enddatetime 2017-09-02T12:49:59 --enforcementcount 0 &gt;&gt;C:\Users\stu\Documents\GitHub\eaglep3-reporting\EC\2017-09-02-refined-times.txt</v>
      </c>
      <c r="AI81" s="96" t="str">
        <f t="shared" si="37"/>
        <v>echo {"issue":{"subject":"","project_id":79,"tracker_id":40,"status_id":1,"priority_id":2,"assigned_to_id":338,"start_date":"2017-09-02","description":"","custom_fields":[{"id":1,"name":"Subdivision","value":"EC"},{"id":4,"name":"Milepost","value":"23.3336"},{"id":17,"name":"Train ID","value":"169-02"},{"id":16,"name":"Locomotive ID","value":"4042"},{"id":130,"name":"Impact","value":""},{"id":150,"name":"Time of Event (Mountain Time)","value":"12:49:59"},{"id":151,"name":"Denver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38"/>
        <v>start /low /b %USERPROFILE%\Documents\GitHub\eaglep3\Utilities\DownloadLogsFromS3.py --loco 4042 --day 2017-09-02</v>
      </c>
      <c r="AN81" s="151" t="str">
        <f t="shared" si="39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18:49:59"},{"id":29,"name":"Sharepoint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576</v>
      </c>
      <c r="B82" s="7">
        <v>4041</v>
      </c>
      <c r="C82" s="21" t="s">
        <v>197</v>
      </c>
      <c r="D82" s="21" t="s">
        <v>439</v>
      </c>
      <c r="E82" s="13">
        <v>42980.546782407408</v>
      </c>
      <c r="F82" s="13">
        <v>42980.550462962965</v>
      </c>
      <c r="G82" s="7">
        <v>87</v>
      </c>
      <c r="H82" s="21" t="s">
        <v>339</v>
      </c>
      <c r="I82" s="13">
        <v>42980.576782407406</v>
      </c>
      <c r="J82" s="7">
        <v>0</v>
      </c>
      <c r="K82" s="89" t="str">
        <f t="shared" si="69"/>
        <v>4041/4042</v>
      </c>
      <c r="L82" s="214" t="str">
        <f>VLOOKUP(A82,'Trips&amp;Operators'!$C$1:$G$99911,5,FALSE)</f>
        <v>STORY SAMANTHA</v>
      </c>
      <c r="M82" s="6">
        <f t="shared" si="70"/>
        <v>2.6319444441469386E-2</v>
      </c>
      <c r="N82" s="7">
        <f t="shared" si="78"/>
        <v>37.899999995715916</v>
      </c>
      <c r="O82" s="7"/>
      <c r="P82" s="7"/>
      <c r="Q82" s="22"/>
      <c r="R82" s="167"/>
      <c r="S82" s="210">
        <f t="shared" si="76"/>
        <v>1</v>
      </c>
      <c r="T82" s="192" t="str">
        <f t="shared" si="71"/>
        <v>Southbound</v>
      </c>
      <c r="U82" s="192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3" t="str">
        <f t="shared" si="80"/>
        <v>https://d0f6bd738d7f1b3e5a7ca70fe4ff75f0.us-east-1.aws.found.io/app/kibana#/discover/Steve-Slow-Train-Analysis-(2080s-and-2083s)?_g=(refreshInterval:(display:Off,pause:!f,section:0,value:0),time:(from:'2017-09-02T12:07:22-0600',mode:absolute,to:'2017-09-02T14:50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82" s="194" t="str">
        <f>IF(AA82&lt;VLOOKUP(AG82,Variables!$AC$3:$AD$8,2,FALSE),"Y","N")</f>
        <v>N</v>
      </c>
      <c r="X82" s="194">
        <f t="shared" si="79"/>
        <v>1</v>
      </c>
      <c r="Y82" s="194">
        <f t="shared" si="83"/>
        <v>23.3017</v>
      </c>
      <c r="Z82" s="194">
        <f t="shared" si="84"/>
        <v>1.49E-2</v>
      </c>
      <c r="AA82" s="194">
        <f t="shared" si="72"/>
        <v>23.286799999999999</v>
      </c>
      <c r="AB82" s="54" t="str">
        <f>VLOOKUP(A82,Enforcements!$C$7:$K$11,8,0)</f>
        <v>Bulletin (2)</v>
      </c>
      <c r="AC82" s="51" t="str">
        <f>VLOOKUP(A82,Enforcements!$C$7:$E$11,3,0)</f>
        <v>GRADE CROSSING</v>
      </c>
      <c r="AD82" s="203">
        <f t="shared" si="73"/>
        <v>170</v>
      </c>
      <c r="AE82" s="77" t="str">
        <f t="shared" si="81"/>
        <v>aws s3 cp s3://rtdc.mdm.uploadarchive.raw/RTDC4041/ "%USERPROFILE%\AppData\Local\Temp\OnboardLogs"\RTDC4041\2017-09-02 --exclude "*" --recursive --include "*20170902*" &amp; "%USERPROFILE%\Documents\GitHub\mrs-test-scripts\Headless Mode &amp; Sideloading\WalkAndUnGZ.bat" "%USERPROFILE%\AppData\Local\Temp\OnboardLogs"\RTDC4041\2017-09-02 &amp; aws s3 cp s3://rtdc.mdm.uploadarchive.raw/RTDC4041/ "%USERPROFILE%\AppData\Local\Temp\OnboardLogs"\RTDC4041\2017-09-03 --exclude "*" --recursive --include "*20170903*" &amp; "%USERPROFILE%\Documents\GitHub\mrs-test-scripts\Headless Mode &amp; Sideloading\WalkAndUnGZ.bat" "%USERPROFILE%\AppData\Local\Temp\OnboardLogs"\RTDC4041\2017-09-03</v>
      </c>
      <c r="AF82" s="74" t="str">
        <f t="shared" si="82"/>
        <v>"C:\Program Files (x86)\AstroGrep\AstroGrep.exe" /e /r /s /spath="%USERPROFILE%\AppData\Local\Temp\OnboardLogs" /stypes="app*4041*20170902*" /stext=" 19:.+((SYSTEM_STATE.+slice.+state.+changed )|(ment ac)|(multiple cpu faults)|(system.+state.+changed )|(\[timeout)|(PRM\|1\|D)|(kpr)|(kdp)|(train st.+moving)|(\|lc)|(penalty))"</v>
      </c>
      <c r="AG82" s="206" t="str">
        <f t="shared" si="74"/>
        <v>EC</v>
      </c>
      <c r="AH82" s="78" t="str">
        <f t="shared" si="36"/>
        <v>"%USERPROFILE%\Documents\GitHub\eaglep3\Utilities\RefineRTDCRunTimes.py" --tripid 170-02 --locoid 4041 --swversion DE.1.0.9.0 --startMP 204:233017 --initTime 2017-09-02T13:07:22 --startdatetime 2017-09-02T13:12:40 --delay 87 --endMP 204:149 --enddatetime 2017-09-02T13:50:34 --enforcementcount 0 &gt;&gt;C:\Users\stu\Documents\GitHub\eaglep3-reporting\EC\2017-09-02-refined-times.txt</v>
      </c>
      <c r="AI82" s="96" t="str">
        <f t="shared" si="37"/>
        <v>echo {"issue":{"subject":"","project_id":79,"tracker_id":40,"status_id":1,"priority_id":2,"assigned_to_id":338,"start_date":"2017-09-02","description":"","custom_fields":[{"id":1,"name":"Subdivision","value":"EC"},{"id":4,"name":"Milepost","value":"0.0149"},{"id":17,"name":"Train ID","value":"170-02"},{"id":16,"name":"Locomotive ID","value":"4041"},{"id":130,"name":"Impact","value":""},{"id":150,"name":"Time of Event (Mountain Time)","value":"13:50:34"},{"id":151,"name":"Denver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38"/>
        <v>start /low /b %USERPROFILE%\Documents\GitHub\eaglep3\Utilities\DownloadLogsFromS3.py --loco 4041 --day 2017-09-02</v>
      </c>
      <c r="AN82" s="151" t="str">
        <f t="shared" si="39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19:50:34"},{"id":29,"name":"Sharepoint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678</v>
      </c>
      <c r="B83" s="7">
        <v>4032</v>
      </c>
      <c r="C83" s="21" t="s">
        <v>197</v>
      </c>
      <c r="D83" s="21" t="s">
        <v>342</v>
      </c>
      <c r="E83" s="13">
        <v>42980.516516203701</v>
      </c>
      <c r="F83" s="13">
        <v>42980.521006944444</v>
      </c>
      <c r="G83" s="7">
        <v>60</v>
      </c>
      <c r="H83" s="21" t="s">
        <v>813</v>
      </c>
      <c r="I83" s="13">
        <v>42980.545740740738</v>
      </c>
      <c r="J83" s="7">
        <v>0</v>
      </c>
      <c r="K83" s="89" t="str">
        <f t="shared" si="69"/>
        <v>4031/4032</v>
      </c>
      <c r="L83" s="214" t="str">
        <f>VLOOKUP(A83,'Trips&amp;Operators'!$C$1:$G$99911,5,FALSE)</f>
        <v>BRUDER RICHARD</v>
      </c>
      <c r="M83" s="6">
        <f t="shared" si="70"/>
        <v>2.4733796293730848E-2</v>
      </c>
      <c r="N83" s="7">
        <f t="shared" si="78"/>
        <v>35.61666666297242</v>
      </c>
      <c r="O83" s="7"/>
      <c r="P83" s="7"/>
      <c r="Q83" s="22"/>
      <c r="R83" s="167"/>
      <c r="S83" s="210">
        <f t="shared" si="76"/>
        <v>1</v>
      </c>
      <c r="T83" s="192" t="str">
        <f t="shared" si="71"/>
        <v>NorthBound</v>
      </c>
      <c r="U83" s="192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3" t="str">
        <f t="shared" si="80"/>
        <v>https://d0f6bd738d7f1b3e5a7ca70fe4ff75f0.us-east-1.aws.found.io/app/kibana#/discover/Steve-Slow-Train-Analysis-(2080s-and-2083s)?_g=(refreshInterval:(display:Off,pause:!f,section:0,value:0),time:(from:'2017-09-02T11:23:47-0600',mode:absolute,to:'2017-09-02T14:05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83" s="194" t="str">
        <f>IF(AA83&lt;VLOOKUP(AG83,Variables!$AC$3:$AD$8,2,FALSE),"Y","N")</f>
        <v>N</v>
      </c>
      <c r="X83" s="194">
        <f t="shared" si="79"/>
        <v>1</v>
      </c>
      <c r="Y83" s="194">
        <f t="shared" si="83"/>
        <v>4.53E-2</v>
      </c>
      <c r="Z83" s="194">
        <f t="shared" si="84"/>
        <v>23.3353</v>
      </c>
      <c r="AA83" s="194">
        <f t="shared" si="72"/>
        <v>23.29</v>
      </c>
      <c r="AB83" s="54" t="e">
        <f>VLOOKUP(A83,Enforcements!$C$7:$K$11,8,0)</f>
        <v>#N/A</v>
      </c>
      <c r="AC83" s="51" t="e">
        <f>VLOOKUP(A83,Enforcements!$C$7:$E$11,3,0)</f>
        <v>#N/A</v>
      </c>
      <c r="AD83" s="203">
        <f t="shared" si="73"/>
        <v>171</v>
      </c>
      <c r="AE83" s="77" t="str">
        <f t="shared" si="81"/>
        <v>aws s3 cp s3://rtdc.mdm.uploadarchive.raw/RTDC4032/ "%USERPROFILE%\AppData\Local\Temp\OnboardLogs"\RTDC4032\2017-09-02 --exclude "*" --recursive --include "*20170902*" &amp; "%USERPROFILE%\Documents\GitHub\mrs-test-scripts\Headless Mode &amp; Sideloading\WalkAndUnGZ.bat" "%USERPROFILE%\AppData\Local\Temp\OnboardLogs"\RTDC4032\2017-09-02 &amp; aws s3 cp s3://rtdc.mdm.uploadarchive.raw/RTDC4032/ "%USERPROFILE%\AppData\Local\Temp\OnboardLogs"\RTDC4032\2017-09-03 --exclude "*" --recursive --include "*20170903*" &amp; "%USERPROFILE%\Documents\GitHub\mrs-test-scripts\Headless Mode &amp; Sideloading\WalkAndUnGZ.bat" "%USERPROFILE%\AppData\Local\Temp\OnboardLogs"\RTDC4032\2017-09-03</v>
      </c>
      <c r="AF83" s="74" t="str">
        <f t="shared" si="82"/>
        <v>"C:\Program Files (x86)\AstroGrep\AstroGrep.exe" /e /r /s /spath="%USERPROFILE%\AppData\Local\Temp\OnboardLogs" /stypes="app*4032*20170902*" /stext=" 19:.+((SYSTEM_STATE.+slice.+state.+changed )|(ment ac)|(multiple cpu faults)|(system.+state.+changed )|(\[timeout)|(PRM\|1\|D)|(kpr)|(kdp)|(train st.+moving)|(\|lc)|(penalty))"</v>
      </c>
      <c r="AG83" s="206" t="str">
        <f t="shared" si="74"/>
        <v>EC</v>
      </c>
      <c r="AH83" s="78" t="str">
        <f t="shared" si="36"/>
        <v>"%USERPROFILE%\Documents\GitHub\eaglep3\Utilities\RefineRTDCRunTimes.py" --tripid 171-02 --locoid 4032 --swversion DE.1.0.9.0 --startMP 204:453 --initTime 2017-09-02T12:23:47 --startdatetime 2017-09-02T12:30:15 --delay 60 --endMP 204:233353 --enddatetime 2017-09-02T13:05:52 --enforcementcount 0 &gt;&gt;C:\Users\stu\Documents\GitHub\eaglep3-reporting\EC\2017-09-02-refined-times.txt</v>
      </c>
      <c r="AI83" s="96" t="str">
        <f t="shared" si="37"/>
        <v>echo {"issue":{"subject":"","project_id":79,"tracker_id":40,"status_id":1,"priority_id":2,"assigned_to_id":338,"start_date":"2017-09-02","description":"","custom_fields":[{"id":1,"name":"Subdivision","value":"EC"},{"id":4,"name":"Milepost","value":"23.3353"},{"id":17,"name":"Train ID","value":"171-02"},{"id":16,"name":"Locomotive ID","value":"4032"},{"id":130,"name":"Impact","value":""},{"id":150,"name":"Time of Event (Mountain Time)","value":"13:05:52"},{"id":151,"name":"Denver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38"/>
        <v>start /low /b %USERPROFILE%\Documents\GitHub\eaglep3\Utilities\DownloadLogsFromS3.py --loco 4032 --day 2017-09-02</v>
      </c>
      <c r="AN83" s="151" t="str">
        <f t="shared" si="39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19:05:52"},{"id":29,"name":"Sharepoint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688</v>
      </c>
      <c r="B84" s="7">
        <v>4031</v>
      </c>
      <c r="C84" s="21" t="s">
        <v>197</v>
      </c>
      <c r="D84" s="21" t="s">
        <v>814</v>
      </c>
      <c r="E84" s="13">
        <v>42980.557754629626</v>
      </c>
      <c r="F84" s="13">
        <v>42980.560590277775</v>
      </c>
      <c r="G84" s="7">
        <v>97</v>
      </c>
      <c r="H84" s="21" t="s">
        <v>339</v>
      </c>
      <c r="I84" s="13">
        <v>42980.587777777779</v>
      </c>
      <c r="J84" s="7">
        <v>0</v>
      </c>
      <c r="K84" s="89" t="str">
        <f t="shared" ref="K84:K115" si="85">IF(ISEVEN(B84),(B84-1)&amp;"/"&amp;B84,B84&amp;"/"&amp;(B84+1))</f>
        <v>4031/4032</v>
      </c>
      <c r="L84" s="214" t="str">
        <f>VLOOKUP(A84,'Trips&amp;Operators'!$C$1:$G$99911,5,FALSE)</f>
        <v>BRUDER RICHARD</v>
      </c>
      <c r="M84" s="6">
        <f t="shared" ref="M84:M115" si="86">I84-F84</f>
        <v>2.718750000349246E-2</v>
      </c>
      <c r="N84" s="7">
        <f t="shared" si="78"/>
        <v>39.150000005029142</v>
      </c>
      <c r="O84" s="7"/>
      <c r="P84" s="7"/>
      <c r="Q84" s="22"/>
      <c r="R84" s="167"/>
      <c r="S84" s="210">
        <f t="shared" si="76"/>
        <v>1</v>
      </c>
      <c r="T84" s="192" t="str">
        <f t="shared" ref="T84:T115" si="87">IF(ISEVEN(LEFT(AD84,4)),"Southbound","NorthBound")</f>
        <v>Southbound</v>
      </c>
      <c r="U84" s="192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3" t="str">
        <f t="shared" si="80"/>
        <v>https://d0f6bd738d7f1b3e5a7ca70fe4ff75f0.us-east-1.aws.found.io/app/kibana#/discover/Steve-Slow-Train-Analysis-(2080s-and-2083s)?_g=(refreshInterval:(display:Off,pause:!f,section:0,value:0),time:(from:'2017-09-02T12:23:10-0600',mode:absolute,to:'2017-09-02T15:06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84" s="194" t="str">
        <f>IF(AA84&lt;VLOOKUP(AG84,Variables!$AC$3:$AD$8,2,FALSE),"Y","N")</f>
        <v>N</v>
      </c>
      <c r="X84" s="194">
        <f t="shared" si="79"/>
        <v>1</v>
      </c>
      <c r="Y84" s="194">
        <f t="shared" si="83"/>
        <v>23.299800000000001</v>
      </c>
      <c r="Z84" s="194">
        <f t="shared" si="84"/>
        <v>1.49E-2</v>
      </c>
      <c r="AA84" s="194">
        <f t="shared" ref="AA84:AA115" si="88">ABS(Z84-Y84)</f>
        <v>23.2849</v>
      </c>
      <c r="AB84" s="54" t="e">
        <f>VLOOKUP(A84,Enforcements!$C$7:$K$11,8,0)</f>
        <v>#N/A</v>
      </c>
      <c r="AC84" s="51" t="e">
        <f>VLOOKUP(A84,Enforcements!$C$7:$E$11,3,0)</f>
        <v>#N/A</v>
      </c>
      <c r="AD84" s="203">
        <f t="shared" ref="AD84:AD115" si="89">VALUE(LEFT(A84,LEN(A84)-3))</f>
        <v>172</v>
      </c>
      <c r="AE84" s="77" t="str">
        <f t="shared" si="81"/>
        <v>aws s3 cp s3://rtdc.mdm.uploadarchive.raw/RTDC4031/ "%USERPROFILE%\AppData\Local\Temp\OnboardLogs"\RTDC4031\2017-09-02 --exclude "*" --recursive --include "*20170902*" &amp; "%USERPROFILE%\Documents\GitHub\mrs-test-scripts\Headless Mode &amp; Sideloading\WalkAndUnGZ.bat" "%USERPROFILE%\AppData\Local\Temp\OnboardLogs"\RTDC4031\2017-09-02 &amp; aws s3 cp s3://rtdc.mdm.uploadarchive.raw/RTDC4031/ "%USERPROFILE%\AppData\Local\Temp\OnboardLogs"\RTDC4031\2017-09-03 --exclude "*" --recursive --include "*20170903*" &amp; "%USERPROFILE%\Documents\GitHub\mrs-test-scripts\Headless Mode &amp; Sideloading\WalkAndUnGZ.bat" "%USERPROFILE%\AppData\Local\Temp\OnboardLogs"\RTDC4031\2017-09-03</v>
      </c>
      <c r="AF84" s="74" t="str">
        <f t="shared" si="82"/>
        <v>"C:\Program Files (x86)\AstroGrep\AstroGrep.exe" /e /r /s /spath="%USERPROFILE%\AppData\Local\Temp\OnboardLogs" /stypes="app*4031*20170902*" /stext=" 20:.+((SYSTEM_STATE.+slice.+state.+changed )|(ment ac)|(multiple cpu faults)|(system.+state.+changed )|(\[timeout)|(PRM\|1\|D)|(kpr)|(kdp)|(train st.+moving)|(\|lc)|(penalty))"</v>
      </c>
      <c r="AG84" s="206" t="str">
        <f t="shared" ref="AG84:AG115" si="90">DetSubdiv(A84)</f>
        <v>EC</v>
      </c>
      <c r="AH84" s="78" t="str">
        <f t="shared" ref="AH84:AH146" si="91">refinertdcruntimes&amp;" --tripid "&amp;A84&amp;" --locoid "&amp;B84&amp;" --swversion "&amp;C84&amp;" --startMP "&amp;D84&amp;" --initTime "&amp;TEXT(E84,"yyyy-mm-ddTHH:MM:SS")&amp;" --startdatetime "&amp;TEXT(F84,"yyyy-mm-ddTHH:MM:SS")&amp;" --delay "&amp;G84&amp;" --endMP "&amp;H84&amp;" --enddatetime "&amp;TEXT(I84,"yyyy-mm-ddTHH:MM:SS")&amp;" --enforcementcount "&amp;J84&amp;IF(outputrefinedruntimes," &gt;&gt;"&amp;RefinedRTDCRunTimesOutputFile,"")</f>
        <v>"%USERPROFILE%\Documents\GitHub\eaglep3\Utilities\RefineRTDCRunTimes.py" --tripid 172-02 --locoid 4031 --swversion DE.1.0.9.0 --startMP 204:232998 --initTime 2017-09-02T13:23:10 --startdatetime 2017-09-02T13:27:15 --delay 97 --endMP 204:149 --enddatetime 2017-09-02T14:06:24 --enforcementcount 0 &gt;&gt;C:\Users\stu\Documents\GitHub\eaglep3-reporting\EC\2017-09-02-refined-times.txt</v>
      </c>
      <c r="AI84" s="96" t="str">
        <f t="shared" ref="AI84:AI146" si="92">"echo {""issue"":{""subject"":"""&amp;R84&amp;""",""project_id"":79,""tracker_id"":40,""status_id"":"&amp;redmine_status&amp;",""priority_id"":"&amp;redmine_priority&amp;",""assigned_to_id"":"&amp;redmine_assignee&amp;",""start_date"":"""&amp;TEXT(I84,"YYYY-mm-dd")&amp;""",""description"":"""&amp;AJ84&amp;""",""custom_fields"":[{""id"":1,""name"":""Subdivision"",""value"":"""&amp;AG84&amp;"""},{""id"":4,""name"":""Milepost"",""value"":"""&amp;Z84&amp;"""},{""id"":17,""name"":""Train ID"",""value"":"""&amp;A84&amp;"""},{""id"":16,""name"":""Locomotive ID"",""value"":"""&amp;B84&amp;"""},{""id"":130,""name"":""Impact"",""value"":"""&amp;AK84&amp;"""},{""id"":150,""name"":""Time of Event (Mountain Time)"",""value"":"""&amp;TEXT(I84,"hh:mm:ss")&amp;"""},{""id"":151,""name"":""Denver Issue ID"",""value"":"""&amp;"""},{""id"":178,""name"":""Operational Impact"",""value"":"""&amp;redmine_op_impact&amp;"""},{""id"":179,""name"":""Denver Segment Assigned"",""value"":"""&amp;AL84&amp;"""}]}}"&amp;"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{"issue":{"subject":"","project_id":79,"tracker_id":40,"status_id":1,"priority_id":2,"assigned_to_id":338,"start_date":"2017-09-02","description":"","custom_fields":[{"id":1,"name":"Subdivision","value":"EC"},{"id":4,"name":"Milepost","value":"0.0149"},{"id":17,"name":"Train ID","value":"172-02"},{"id":16,"name":"Locomotive ID","value":"4031"},{"id":130,"name":"Impact","value":""},{"id":150,"name":"Time of Event (Mountain Time)","value":"14:06:24"},{"id":151,"name":"Denver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ref="AM84:AM146" si="93">"start /low /b "&amp;dls3logs&amp;" --loco "&amp;B84&amp;" --day "&amp;TEXT(F84,"YYYY-MM-DD")</f>
        <v>start /low /b %USERPROFILE%\Documents\GitHub\eaglep3\Utilities\DownloadLogsFromS3.py --loco 4031 --day 2017-09-02</v>
      </c>
      <c r="AN84" s="151" t="str">
        <f t="shared" ref="AN84:AN146" si="94">"echo {""issue"":{""subject"":"""&amp;R84&amp;""",""project_id"":30,""tracker_id"":4,""status_id"":"&amp;redmine_status_wcr&amp;",""priority_id"":"&amp;redmine_priority_wcr&amp;",""assigned_to_id"":"&amp;redmine_assignee_wcr&amp;",""start_date"":"""&amp;TEXT(I84-utc_offset/24,"YYYY-mm-dd")&amp;""",""description"":"""&amp;AJ84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ID"",""value"":"""&amp;B84&amp;"""},{""id"":20,""name"":""RR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UTC"",""value"":"""&amp;TEXT(I84-utc_offset/24,"YYYY-MM-DD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20:06:24"},{"id":29,"name":"Sharepoint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680</v>
      </c>
      <c r="B85" s="7">
        <v>4018</v>
      </c>
      <c r="C85" s="21" t="s">
        <v>197</v>
      </c>
      <c r="D85" s="21" t="s">
        <v>814</v>
      </c>
      <c r="E85" s="13">
        <v>42980.557754629626</v>
      </c>
      <c r="F85" s="13">
        <v>42980.531412037039</v>
      </c>
      <c r="G85" s="7">
        <v>97</v>
      </c>
      <c r="H85" s="21" t="s">
        <v>339</v>
      </c>
      <c r="I85" s="13">
        <v>42980.555081018516</v>
      </c>
      <c r="J85" s="7">
        <v>0</v>
      </c>
      <c r="K85" s="89" t="str">
        <f t="shared" si="85"/>
        <v>4017/4018</v>
      </c>
      <c r="L85" s="214" t="str">
        <f>VLOOKUP(A85,'Trips&amp;Operators'!$C$1:$G$99911,5,FALSE)</f>
        <v>HOLCOMB KAMDEN</v>
      </c>
      <c r="M85" s="6">
        <f t="shared" si="86"/>
        <v>2.3668981477385387E-2</v>
      </c>
      <c r="N85" s="7">
        <f t="shared" si="78"/>
        <v>34.083333327434957</v>
      </c>
      <c r="O85" s="7"/>
      <c r="P85" s="7"/>
      <c r="Q85" s="22"/>
      <c r="R85" s="167"/>
      <c r="S85" s="210">
        <f t="shared" si="76"/>
        <v>0</v>
      </c>
      <c r="T85" s="192" t="str">
        <f t="shared" si="87"/>
        <v>NorthBound</v>
      </c>
      <c r="U85" s="192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0</v>
      </c>
      <c r="V85" s="193" t="str">
        <f t="shared" si="80"/>
        <v>https://d0f6bd738d7f1b3e5a7ca70fe4ff75f0.us-east-1.aws.found.io/app/kibana#/discover/Steve-Slow-Train-Analysis-(2080s-and-2083s)?_g=(refreshInterval:(display:Off,pause:!f,section:0,value:0),time:(from:'2017-09-02T12:23:10-0600',mode:absolute,to:'2017-09-02T14:19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85" s="194" t="str">
        <f>IF(AA85&lt;VLOOKUP(AG85,Variables!$AC$3:$AD$8,2,FALSE),"Y","N")</f>
        <v>N</v>
      </c>
      <c r="X85" s="194">
        <f t="shared" si="79"/>
        <v>1</v>
      </c>
      <c r="Y85" s="194">
        <f t="shared" si="83"/>
        <v>23.299800000000001</v>
      </c>
      <c r="Z85" s="194">
        <f t="shared" si="84"/>
        <v>1.49E-2</v>
      </c>
      <c r="AA85" s="194">
        <f t="shared" si="88"/>
        <v>23.2849</v>
      </c>
      <c r="AB85" s="54" t="e">
        <f>VLOOKUP(A85,Enforcements!$C$7:$K$11,8,0)</f>
        <v>#N/A</v>
      </c>
      <c r="AC85" s="51" t="e">
        <f>VLOOKUP(A85,Enforcements!$C$7:$E$11,3,0)</f>
        <v>#N/A</v>
      </c>
      <c r="AD85" s="203">
        <f t="shared" si="89"/>
        <v>173</v>
      </c>
      <c r="AE85" s="77" t="str">
        <f t="shared" si="81"/>
        <v>aws s3 cp s3://rtdc.mdm.uploadarchive.raw/RTDC4018/ "%USERPROFILE%\AppData\Local\Temp\OnboardLogs"\RTDC4018\2017-09-02 --exclude "*" --recursive --include "*20170902*" &amp; "%USERPROFILE%\Documents\GitHub\mrs-test-scripts\Headless Mode &amp; Sideloading\WalkAndUnGZ.bat" "%USERPROFILE%\AppData\Local\Temp\OnboardLogs"\RTDC4018\2017-09-02 &amp; aws s3 cp s3://rtdc.mdm.uploadarchive.raw/RTDC4018/ "%USERPROFILE%\AppData\Local\Temp\OnboardLogs"\RTDC4018\2017-09-03 --exclude "*" --recursive --include "*20170903*" &amp; "%USERPROFILE%\Documents\GitHub\mrs-test-scripts\Headless Mode &amp; Sideloading\WalkAndUnGZ.bat" "%USERPROFILE%\AppData\Local\Temp\OnboardLogs"\RTDC4018\2017-09-03</v>
      </c>
      <c r="AF85" s="74" t="str">
        <f t="shared" si="82"/>
        <v>"C:\Program Files (x86)\AstroGrep\AstroGrep.exe" /e /r /s /spath="%USERPROFILE%\AppData\Local\Temp\OnboardLogs" /stypes="app*4018*20170902*" /stext=" 19:.+((SYSTEM_STATE.+slice.+state.+changed )|(ment ac)|(multiple cpu faults)|(system.+state.+changed )|(\[timeout)|(PRM\|1\|D)|(kpr)|(kdp)|(train st.+moving)|(\|lc)|(penalty))"</v>
      </c>
      <c r="AG85" s="206" t="str">
        <f t="shared" si="90"/>
        <v>EC</v>
      </c>
      <c r="AH85" s="78" t="str">
        <f t="shared" ref="AH85" si="95">refinertdcruntimes&amp;" --tripid "&amp;A85&amp;" --locoid "&amp;B85&amp;" --swversion "&amp;C85&amp;" --startMP "&amp;D85&amp;" --initTime "&amp;TEXT(E85,"yyyy-mm-ddTHH:MM:SS")&amp;" --startdatetime "&amp;TEXT(F85,"yyyy-mm-ddTHH:MM:SS")&amp;" --delay "&amp;G85&amp;" --endMP "&amp;H85&amp;" --enddatetime "&amp;TEXT(I85,"yyyy-mm-ddTHH:MM:SS")&amp;" --enforcementcount "&amp;J85&amp;IF(outputrefinedruntimes," &gt;&gt;"&amp;RefinedRTDCRunTimesOutputFile,"")</f>
        <v>"%USERPROFILE%\Documents\GitHub\eaglep3\Utilities\RefineRTDCRunTimes.py" --tripid 173-02 --locoid 4018 --swversion DE.1.0.9.0 --startMP 204:232998 --initTime 2017-09-02T13:23:10 --startdatetime 2017-09-02T12:45:14 --delay 97 --endMP 204:149 --enddatetime 2017-09-02T13:19:19 --enforcementcount 0 &gt;&gt;C:\Users\stu\Documents\GitHub\eaglep3-reporting\EC\2017-09-02-refined-times.txt</v>
      </c>
      <c r="AI85" s="96" t="str">
        <f t="shared" ref="AI85" si="96">"echo {""issue"":{""subject"":"""&amp;R85&amp;""",""project_id"":79,""tracker_id"":40,""status_id"":"&amp;redmine_status&amp;",""priority_id"":"&amp;redmine_priority&amp;",""assigned_to_id"":"&amp;redmine_assignee&amp;",""start_date"":"""&amp;TEXT(I85,"YYYY-mm-dd")&amp;""",""description"":"""&amp;AJ85&amp;""",""custom_fields"":[{""id"":1,""name"":""Subdivision"",""value"":"""&amp;AG85&amp;"""},{""id"":4,""name"":""Milepost"",""value"":"""&amp;Z85&amp;"""},{""id"":17,""name"":""Train ID"",""value"":"""&amp;A85&amp;"""},{""id"":16,""name"":""Locomotive ID"",""value"":"""&amp;B85&amp;"""},{""id"":130,""name"":""Impact"",""value"":"""&amp;AK85&amp;"""},{""id"":150,""name"":""Time of Event (Mountain Time)"",""value"":"""&amp;TEXT(I85,"hh:mm:ss")&amp;"""},{""id"":151,""name"":""Denver Issue ID"",""value"":"""&amp;"""},{""id"":178,""name"":""Operational Impact"",""value"":"""&amp;redmine_op_impact&amp;"""},{""id"":179,""name"":""Denver Segment Assigned"",""value"":"""&amp;AL85&amp;"""}]}}"&amp;"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{"issue":{"subject":"","project_id":79,"tracker_id":40,"status_id":1,"priority_id":2,"assigned_to_id":338,"start_date":"2017-09-02","description":"","custom_fields":[{"id":1,"name":"Subdivision","value":"EC"},{"id":4,"name":"Milepost","value":"0.0149"},{"id":17,"name":"Train ID","value":"173-02"},{"id":16,"name":"Locomotive ID","value":"4018"},{"id":130,"name":"Impact","value":""},{"id":150,"name":"Time of Event (Mountain Time)","value":"13:19:19"},{"id":151,"name":"Denver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ref="AM85" si="97">"start /low /b "&amp;dls3logs&amp;" --loco "&amp;B85&amp;" --day "&amp;TEXT(F85,"YYYY-MM-DD")</f>
        <v>start /low /b %USERPROFILE%\Documents\GitHub\eaglep3\Utilities\DownloadLogsFromS3.py --loco 4018 --day 2017-09-02</v>
      </c>
      <c r="AN85" s="151" t="str">
        <f t="shared" ref="AN85" si="98">"echo {""issue"":{""subject"":"""&amp;R85&amp;""",""project_id"":30,""tracker_id"":4,""status_id"":"&amp;redmine_status_wcr&amp;",""priority_id"":"&amp;redmine_priority_wcr&amp;",""assigned_to_id"":"&amp;redmine_assignee_wcr&amp;",""start_date"":"""&amp;TEXT(I85-utc_offset/24,"YYYY-mm-dd")&amp;""",""description"":"""&amp;AJ85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ID"",""value"":"""&amp;B85&amp;"""},{""id"":20,""name"":""RR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UTC"",""value"":"""&amp;TEXT(I85-utc_offset/24,"YYYY-MM-DD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19:19:19"},{"id":29,"name":"Sharepoint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20"/>
      <c r="BH85" s="20"/>
      <c r="BI85" s="20"/>
      <c r="BJ85" s="20"/>
      <c r="BK85" s="20"/>
      <c r="BL85" s="20"/>
      <c r="BM85" s="20"/>
      <c r="BN85" s="20"/>
      <c r="BO85" s="20"/>
      <c r="BP85" s="20"/>
      <c r="BQ85" s="20"/>
      <c r="BR85" s="20"/>
      <c r="BS85" s="20"/>
      <c r="BT85" s="20"/>
      <c r="BU85" s="20"/>
      <c r="BV85" s="20"/>
      <c r="BW85" s="20"/>
      <c r="BX85" s="20"/>
      <c r="BY85" s="20"/>
      <c r="BZ85" s="20"/>
      <c r="CA85" s="20"/>
      <c r="CB85" s="20"/>
      <c r="CC85" s="20"/>
      <c r="CD85" s="20"/>
      <c r="CE85" s="20"/>
      <c r="CF85" s="20"/>
      <c r="CG85" s="20"/>
      <c r="CH85" s="20"/>
      <c r="CI85" s="20"/>
      <c r="CJ85" s="20"/>
      <c r="CK85" s="20"/>
      <c r="CL85" s="20"/>
      <c r="CM85" s="20"/>
    </row>
    <row r="86" spans="1:91" s="1" customFormat="1" x14ac:dyDescent="0.25">
      <c r="A86" s="32" t="s">
        <v>577</v>
      </c>
      <c r="B86" s="7">
        <v>4017</v>
      </c>
      <c r="C86" s="21" t="s">
        <v>197</v>
      </c>
      <c r="D86" s="21" t="s">
        <v>432</v>
      </c>
      <c r="E86" s="13">
        <v>42980.568391203706</v>
      </c>
      <c r="F86" s="13">
        <v>42980.570983796293</v>
      </c>
      <c r="G86" s="7">
        <v>62</v>
      </c>
      <c r="H86" s="21" t="s">
        <v>935</v>
      </c>
      <c r="I86" s="13">
        <v>42980.600428240738</v>
      </c>
      <c r="J86" s="7">
        <v>0</v>
      </c>
      <c r="K86" s="89" t="str">
        <f t="shared" si="85"/>
        <v>4017/4018</v>
      </c>
      <c r="L86" s="214" t="str">
        <f>VLOOKUP(A86,'Trips&amp;Operators'!$C$1:$G$99911,5,FALSE)</f>
        <v>HOLCOMB KAMDEN</v>
      </c>
      <c r="M86" s="6">
        <f t="shared" si="86"/>
        <v>2.9444444444379769E-2</v>
      </c>
      <c r="N86" s="7">
        <f t="shared" si="78"/>
        <v>42.399999999906868</v>
      </c>
      <c r="O86" s="7"/>
      <c r="P86" s="7"/>
      <c r="Q86" s="22"/>
      <c r="R86" s="167"/>
      <c r="S86" s="210">
        <f t="shared" si="76"/>
        <v>1</v>
      </c>
      <c r="T86" s="192" t="str">
        <f t="shared" si="87"/>
        <v>Southbound</v>
      </c>
      <c r="U86" s="192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3" t="str">
        <f t="shared" si="80"/>
        <v>https://d0f6bd738d7f1b3e5a7ca70fe4ff75f0.us-east-1.aws.found.io/app/kibana#/discover/Steve-Slow-Train-Analysis-(2080s-and-2083s)?_g=(refreshInterval:(display:Off,pause:!f,section:0,value:0),time:(from:'2017-09-02T12:38:29-0600',mode:absolute,to:'2017-09-02T15:24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86" s="194" t="str">
        <f>IF(AA86&lt;VLOOKUP(AG86,Variables!$AC$3:$AD$8,2,FALSE),"Y","N")</f>
        <v>N</v>
      </c>
      <c r="X86" s="194">
        <f t="shared" ref="X86:X88" si="99">VALUE(LEFT(AD86,4))-VALUE(LEFT(AD85,4))</f>
        <v>1</v>
      </c>
      <c r="Y86" s="194">
        <f t="shared" si="83"/>
        <v>23.298200000000001</v>
      </c>
      <c r="Z86" s="194">
        <f t="shared" si="84"/>
        <v>1.2999999999999999E-2</v>
      </c>
      <c r="AA86" s="194">
        <f t="shared" si="88"/>
        <v>23.2852</v>
      </c>
      <c r="AB86" s="54" t="str">
        <f>VLOOKUP(A86,Enforcements!$C$7:$K$11,8,0)</f>
        <v>Bulletin (2)</v>
      </c>
      <c r="AC86" s="51" t="str">
        <f>VLOOKUP(A86,Enforcements!$C$7:$E$11,3,0)</f>
        <v>GRADE CROSSING</v>
      </c>
      <c r="AD86" s="203">
        <f t="shared" si="89"/>
        <v>174</v>
      </c>
      <c r="AE86" s="77" t="str">
        <f t="shared" si="81"/>
        <v>aws s3 cp s3://rtdc.mdm.uploadarchive.raw/RTDC4017/ "%USERPROFILE%\AppData\Local\Temp\OnboardLogs"\RTDC4017\2017-09-02 --exclude "*" --recursive --include "*20170902*" &amp; "%USERPROFILE%\Documents\GitHub\mrs-test-scripts\Headless Mode &amp; Sideloading\WalkAndUnGZ.bat" "%USERPROFILE%\AppData\Local\Temp\OnboardLogs"\RTDC4017\2017-09-02 &amp; aws s3 cp s3://rtdc.mdm.uploadarchive.raw/RTDC4017/ "%USERPROFILE%\AppData\Local\Temp\OnboardLogs"\RTDC4017\2017-09-03 --exclude "*" --recursive --include "*20170903*" &amp; "%USERPROFILE%\Documents\GitHub\mrs-test-scripts\Headless Mode &amp; Sideloading\WalkAndUnGZ.bat" "%USERPROFILE%\AppData\Local\Temp\OnboardLogs"\RTDC4017\2017-09-03</v>
      </c>
      <c r="AF86" s="74" t="str">
        <f t="shared" si="82"/>
        <v>"C:\Program Files (x86)\AstroGrep\AstroGrep.exe" /e /r /s /spath="%USERPROFILE%\AppData\Local\Temp\OnboardLogs" /stypes="app*4017*20170902*" /stext=" 20:.+((SYSTEM_STATE.+slice.+state.+changed )|(ment ac)|(multiple cpu faults)|(system.+state.+changed )|(\[timeout)|(PRM\|1\|D)|(kpr)|(kdp)|(train st.+moving)|(\|lc)|(penalty))"</v>
      </c>
      <c r="AG86" s="206" t="str">
        <f t="shared" si="90"/>
        <v>EC</v>
      </c>
      <c r="AH86" s="78" t="str">
        <f t="shared" si="91"/>
        <v>"%USERPROFILE%\Documents\GitHub\eaglep3\Utilities\RefineRTDCRunTimes.py" --tripid 174-02 --locoid 4017 --swversion DE.1.0.9.0 --startMP 204:232982 --initTime 2017-09-02T13:38:29 --startdatetime 2017-09-02T13:42:13 --delay 62 --endMP 204:130 --enddatetime 2017-09-02T14:24:37 --enforcementcount 0 &gt;&gt;C:\Users\stu\Documents\GitHub\eaglep3-reporting\EC\2017-09-02-refined-times.txt</v>
      </c>
      <c r="AI86" s="96" t="str">
        <f t="shared" si="92"/>
        <v>echo {"issue":{"subject":"","project_id":79,"tracker_id":40,"status_id":1,"priority_id":2,"assigned_to_id":338,"start_date":"2017-09-02","description":"","custom_fields":[{"id":1,"name":"Subdivision","value":"EC"},{"id":4,"name":"Milepost","value":"0.013"},{"id":17,"name":"Train ID","value":"174-02"},{"id":16,"name":"Locomotive ID","value":"4017"},{"id":130,"name":"Impact","value":""},{"id":150,"name":"Time of Event (Mountain Time)","value":"14:24:37"},{"id":151,"name":"Denver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93"/>
        <v>start /low /b %USERPROFILE%\Documents\GitHub\eaglep3\Utilities\DownloadLogsFromS3.py --loco 4017 --day 2017-09-02</v>
      </c>
      <c r="AN86" s="151" t="str">
        <f t="shared" si="94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20:24:37"},{"id":29,"name":"Sharepoint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686</v>
      </c>
      <c r="B87" s="7">
        <v>4028</v>
      </c>
      <c r="C87" s="21" t="s">
        <v>197</v>
      </c>
      <c r="D87" s="21" t="s">
        <v>342</v>
      </c>
      <c r="E87" s="13">
        <v>42980.540972222225</v>
      </c>
      <c r="F87" s="13">
        <v>42980.542488425926</v>
      </c>
      <c r="G87" s="7">
        <v>65</v>
      </c>
      <c r="H87" s="21" t="s">
        <v>815</v>
      </c>
      <c r="I87" s="13">
        <v>42980.56827546296</v>
      </c>
      <c r="J87" s="7">
        <v>0</v>
      </c>
      <c r="K87" s="89" t="str">
        <f t="shared" si="85"/>
        <v>4027/4028</v>
      </c>
      <c r="L87" s="214" t="str">
        <f>VLOOKUP(A87,'Trips&amp;Operators'!$C$1:$G$99911,5,FALSE)</f>
        <v>DAVIS MICHAEL</v>
      </c>
      <c r="M87" s="6">
        <f t="shared" si="86"/>
        <v>2.5787037033296656E-2</v>
      </c>
      <c r="N87" s="7">
        <f t="shared" si="78"/>
        <v>37.133333327947184</v>
      </c>
      <c r="O87" s="7"/>
      <c r="P87" s="7"/>
      <c r="Q87" s="22"/>
      <c r="R87" s="167"/>
      <c r="S87" s="210">
        <f t="shared" si="76"/>
        <v>1</v>
      </c>
      <c r="T87" s="192" t="str">
        <f t="shared" si="87"/>
        <v>NorthBound</v>
      </c>
      <c r="U87" s="192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3" t="str">
        <f t="shared" si="80"/>
        <v>https://d0f6bd738d7f1b3e5a7ca70fe4ff75f0.us-east-1.aws.found.io/app/kibana#/discover/Steve-Slow-Train-Analysis-(2080s-and-2083s)?_g=(refreshInterval:(display:Off,pause:!f,section:0,value:0),time:(from:'2017-09-02T11:59:00-0600',mode:absolute,to:'2017-09-02T14:38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7" s="194" t="str">
        <f>IF(AA87&lt;VLOOKUP(AG87,Variables!$AC$3:$AD$8,2,FALSE),"Y","N")</f>
        <v>N</v>
      </c>
      <c r="X87" s="194">
        <f t="shared" si="99"/>
        <v>1</v>
      </c>
      <c r="Y87" s="194">
        <f t="shared" si="83"/>
        <v>4.53E-2</v>
      </c>
      <c r="Z87" s="194">
        <f t="shared" si="84"/>
        <v>23.333400000000001</v>
      </c>
      <c r="AA87" s="194">
        <f t="shared" si="88"/>
        <v>23.2881</v>
      </c>
      <c r="AB87" s="54" t="e">
        <f>VLOOKUP(A87,Enforcements!$C$7:$K$11,8,0)</f>
        <v>#N/A</v>
      </c>
      <c r="AC87" s="51" t="e">
        <f>VLOOKUP(A87,Enforcements!$C$7:$E$11,3,0)</f>
        <v>#N/A</v>
      </c>
      <c r="AD87" s="203">
        <f t="shared" si="89"/>
        <v>175</v>
      </c>
      <c r="AE87" s="77" t="str">
        <f t="shared" si="81"/>
        <v>aws s3 cp s3://rtdc.mdm.uploadarchive.raw/RTDC4028/ "%USERPROFILE%\AppData\Local\Temp\OnboardLogs"\RTDC4028\2017-09-02 --exclude "*" --recursive --include "*20170902*" &amp; "%USERPROFILE%\Documents\GitHub\mrs-test-scripts\Headless Mode &amp; Sideloading\WalkAndUnGZ.bat" "%USERPROFILE%\AppData\Local\Temp\OnboardLogs"\RTDC4028\2017-09-02 &amp; aws s3 cp s3://rtdc.mdm.uploadarchive.raw/RTDC4028/ "%USERPROFILE%\AppData\Local\Temp\OnboardLogs"\RTDC4028\2017-09-03 --exclude "*" --recursive --include "*20170903*" &amp; "%USERPROFILE%\Documents\GitHub\mrs-test-scripts\Headless Mode &amp; Sideloading\WalkAndUnGZ.bat" "%USERPROFILE%\AppData\Local\Temp\OnboardLogs"\RTDC4028\2017-09-03</v>
      </c>
      <c r="AF87" s="74" t="str">
        <f t="shared" si="82"/>
        <v>"C:\Program Files (x86)\AstroGrep\AstroGrep.exe" /e /r /s /spath="%USERPROFILE%\AppData\Local\Temp\OnboardLogs" /stypes="app*4028*20170902*" /stext=" 19:.+((SYSTEM_STATE.+slice.+state.+changed )|(ment ac)|(multiple cpu faults)|(system.+state.+changed )|(\[timeout)|(PRM\|1\|D)|(kpr)|(kdp)|(train st.+moving)|(\|lc)|(penalty))"</v>
      </c>
      <c r="AG87" s="206" t="str">
        <f t="shared" si="90"/>
        <v>EC</v>
      </c>
      <c r="AH87" s="78" t="str">
        <f t="shared" si="91"/>
        <v>"%USERPROFILE%\Documents\GitHub\eaglep3\Utilities\RefineRTDCRunTimes.py" --tripid 175-02 --locoid 4028 --swversion DE.1.0.9.0 --startMP 204:453 --initTime 2017-09-02T12:59:00 --startdatetime 2017-09-02T13:01:11 --delay 65 --endMP 204:233334 --enddatetime 2017-09-02T13:38:19 --enforcementcount 0 &gt;&gt;C:\Users\stu\Documents\GitHub\eaglep3-reporting\EC\2017-09-02-refined-times.txt</v>
      </c>
      <c r="AI87" s="96" t="str">
        <f t="shared" si="92"/>
        <v>echo {"issue":{"subject":"","project_id":79,"tracker_id":40,"status_id":1,"priority_id":2,"assigned_to_id":338,"start_date":"2017-09-02","description":"","custom_fields":[{"id":1,"name":"Subdivision","value":"EC"},{"id":4,"name":"Milepost","value":"23.3334"},{"id":17,"name":"Train ID","value":"175-02"},{"id":16,"name":"Locomotive ID","value":"4028"},{"id":130,"name":"Impact","value":""},{"id":150,"name":"Time of Event (Mountain Time)","value":"13:38:19"},{"id":151,"name":"Denver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93"/>
        <v>start /low /b %USERPROFILE%\Documents\GitHub\eaglep3\Utilities\DownloadLogsFromS3.py --loco 4028 --day 2017-09-02</v>
      </c>
      <c r="AN87" s="151" t="str">
        <f t="shared" si="94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19:38:19"},{"id":29,"name":"Sharepoint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692</v>
      </c>
      <c r="B88" s="7">
        <v>4027</v>
      </c>
      <c r="C88" s="21" t="s">
        <v>197</v>
      </c>
      <c r="D88" s="21" t="s">
        <v>543</v>
      </c>
      <c r="E88" s="13">
        <v>42980.57917824074</v>
      </c>
      <c r="F88" s="13">
        <v>42980.581666666665</v>
      </c>
      <c r="G88" s="7">
        <v>77</v>
      </c>
      <c r="H88" s="21" t="s">
        <v>390</v>
      </c>
      <c r="I88" s="13">
        <v>42980.610254629632</v>
      </c>
      <c r="J88" s="7">
        <v>0</v>
      </c>
      <c r="K88" s="89" t="str">
        <f t="shared" si="85"/>
        <v>4027/4028</v>
      </c>
      <c r="L88" s="214" t="str">
        <f>VLOOKUP(A88,'Trips&amp;Operators'!$C$1:$G$99911,5,FALSE)</f>
        <v>DAVIS MICHAEL</v>
      </c>
      <c r="M88" s="6">
        <f t="shared" si="86"/>
        <v>2.8587962966412306E-2</v>
      </c>
      <c r="N88" s="7">
        <f t="shared" si="78"/>
        <v>41.16666667163372</v>
      </c>
      <c r="O88" s="7"/>
      <c r="P88" s="7"/>
      <c r="Q88" s="22"/>
      <c r="R88" s="167"/>
      <c r="S88" s="210">
        <f t="shared" si="76"/>
        <v>1</v>
      </c>
      <c r="T88" s="192" t="str">
        <f t="shared" si="87"/>
        <v>Southbound</v>
      </c>
      <c r="U88" s="192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3" t="str">
        <f t="shared" si="80"/>
        <v>https://d0f6bd738d7f1b3e5a7ca70fe4ff75f0.us-east-1.aws.found.io/app/kibana#/discover/Steve-Slow-Train-Analysis-(2080s-and-2083s)?_g=(refreshInterval:(display:Off,pause:!f,section:0,value:0),time:(from:'2017-09-02T12:54:01-0600',mode:absolute,to:'2017-09-02T15:38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88" s="194" t="str">
        <f>IF(AA88&lt;VLOOKUP(AG88,Variables!$AC$3:$AD$8,2,FALSE),"Y","N")</f>
        <v>N</v>
      </c>
      <c r="X88" s="194">
        <f t="shared" si="99"/>
        <v>1</v>
      </c>
      <c r="Y88" s="194">
        <f t="shared" si="83"/>
        <v>23.3032</v>
      </c>
      <c r="Z88" s="194">
        <f t="shared" si="84"/>
        <v>1.3599999999999999E-2</v>
      </c>
      <c r="AA88" s="194">
        <f t="shared" si="88"/>
        <v>23.2896</v>
      </c>
      <c r="AB88" s="54" t="e">
        <f>VLOOKUP(A88,Enforcements!$C$7:$K$11,8,0)</f>
        <v>#N/A</v>
      </c>
      <c r="AC88" s="51" t="e">
        <f>VLOOKUP(A88,Enforcements!$C$7:$E$11,3,0)</f>
        <v>#N/A</v>
      </c>
      <c r="AD88" s="203">
        <f t="shared" si="89"/>
        <v>176</v>
      </c>
      <c r="AE88" s="77" t="str">
        <f t="shared" si="81"/>
        <v>aws s3 cp s3://rtdc.mdm.uploadarchive.raw/RTDC4027/ "%USERPROFILE%\AppData\Local\Temp\OnboardLogs"\RTDC4027\2017-09-02 --exclude "*" --recursive --include "*20170902*" &amp; "%USERPROFILE%\Documents\GitHub\mrs-test-scripts\Headless Mode &amp; Sideloading\WalkAndUnGZ.bat" "%USERPROFILE%\AppData\Local\Temp\OnboardLogs"\RTDC4027\2017-09-02 &amp; aws s3 cp s3://rtdc.mdm.uploadarchive.raw/RTDC4027/ "%USERPROFILE%\AppData\Local\Temp\OnboardLogs"\RTDC4027\2017-09-03 --exclude "*" --recursive --include "*20170903*" &amp; "%USERPROFILE%\Documents\GitHub\mrs-test-scripts\Headless Mode &amp; Sideloading\WalkAndUnGZ.bat" "%USERPROFILE%\AppData\Local\Temp\OnboardLogs"\RTDC4027\2017-09-03</v>
      </c>
      <c r="AF88" s="74" t="str">
        <f t="shared" si="82"/>
        <v>"C:\Program Files (x86)\AstroGrep\AstroGrep.exe" /e /r /s /spath="%USERPROFILE%\AppData\Local\Temp\OnboardLogs" /stypes="app*4027*20170902*" /stext=" 20:.+((SYSTEM_STATE.+slice.+state.+changed )|(ment ac)|(multiple cpu faults)|(system.+state.+changed )|(\[timeout)|(PRM\|1\|D)|(kpr)|(kdp)|(train st.+moving)|(\|lc)|(penalty))"</v>
      </c>
      <c r="AG88" s="206" t="str">
        <f t="shared" si="90"/>
        <v>EC</v>
      </c>
      <c r="AH88" s="78" t="str">
        <f t="shared" si="91"/>
        <v>"%USERPROFILE%\Documents\GitHub\eaglep3\Utilities\RefineRTDCRunTimes.py" --tripid 176-02 --locoid 4027 --swversion DE.1.0.9.0 --startMP 204:233032 --initTime 2017-09-02T13:54:01 --startdatetime 2017-09-02T13:57:36 --delay 77 --endMP 204:136 --enddatetime 2017-09-02T14:38:46 --enforcementcount 0 &gt;&gt;C:\Users\stu\Documents\GitHub\eaglep3-reporting\EC\2017-09-02-refined-times.txt</v>
      </c>
      <c r="AI88" s="96" t="str">
        <f t="shared" si="92"/>
        <v>echo {"issue":{"subject":"","project_id":79,"tracker_id":40,"status_id":1,"priority_id":2,"assigned_to_id":338,"start_date":"2017-09-02","description":"","custom_fields":[{"id":1,"name":"Subdivision","value":"EC"},{"id":4,"name":"Milepost","value":"0.0136"},{"id":17,"name":"Train ID","value":"176-02"},{"id":16,"name":"Locomotive ID","value":"4027"},{"id":130,"name":"Impact","value":""},{"id":150,"name":"Time of Event (Mountain Time)","value":"14:38:46"},{"id":151,"name":"Denver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93"/>
        <v>start /low /b %USERPROFILE%\Documents\GitHub\eaglep3\Utilities\DownloadLogsFromS3.py --loco 4027 --day 2017-09-02</v>
      </c>
      <c r="AN88" s="151" t="str">
        <f t="shared" si="94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20:38:46"},{"id":29,"name":"Sharepoint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687</v>
      </c>
      <c r="B89" s="7">
        <v>4056</v>
      </c>
      <c r="C89" s="21" t="s">
        <v>197</v>
      </c>
      <c r="D89" s="21" t="s">
        <v>816</v>
      </c>
      <c r="E89" s="13">
        <v>42980.546481481484</v>
      </c>
      <c r="F89" s="13">
        <v>42980.552314814813</v>
      </c>
      <c r="G89" s="7">
        <v>83</v>
      </c>
      <c r="H89" s="21" t="s">
        <v>817</v>
      </c>
      <c r="I89" s="13">
        <v>42980.576770833337</v>
      </c>
      <c r="J89" s="7">
        <v>0</v>
      </c>
      <c r="K89" s="89" t="str">
        <f t="shared" si="85"/>
        <v>4055/4056</v>
      </c>
      <c r="L89" s="214" t="str">
        <f>VLOOKUP(A89,'Trips&amp;Operators'!$C$1:$G$99911,5,FALSE)</f>
        <v>SAFIEF AEIMEN</v>
      </c>
      <c r="M89" s="6">
        <f t="shared" si="86"/>
        <v>2.4456018523778766E-2</v>
      </c>
      <c r="N89" s="7">
        <f t="shared" si="78"/>
        <v>35.216666674241424</v>
      </c>
      <c r="O89" s="7"/>
      <c r="P89" s="7"/>
      <c r="Q89" s="22"/>
      <c r="R89" s="167"/>
      <c r="S89" s="210">
        <f t="shared" si="76"/>
        <v>1</v>
      </c>
      <c r="T89" s="192" t="str">
        <f t="shared" si="87"/>
        <v>NorthBound</v>
      </c>
      <c r="U89" s="192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3" t="str">
        <f t="shared" si="80"/>
        <v>https://d0f6bd738d7f1b3e5a7ca70fe4ff75f0.us-east-1.aws.found.io/app/kibana#/discover/Steve-Slow-Train-Analysis-(2080s-and-2083s)?_g=(refreshInterval:(display:Off,pause:!f,section:0,value:0),time:(from:'2017-09-02T12:06:56-0600',mode:absolute,to:'2017-09-02T14:50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89" s="194" t="str">
        <f>IF(AA89&lt;VLOOKUP(AG89,Variables!$AC$3:$AD$8,2,FALSE),"Y","N")</f>
        <v>N</v>
      </c>
      <c r="X89" s="194">
        <f t="shared" ref="X89:X109" si="100">VALUE(LEFT(AD89,4))-VALUE(LEFT(AD88,4))</f>
        <v>1</v>
      </c>
      <c r="Y89" s="194">
        <f t="shared" si="83"/>
        <v>0.04</v>
      </c>
      <c r="Z89" s="194">
        <f t="shared" si="84"/>
        <v>23.334099999999999</v>
      </c>
      <c r="AA89" s="194">
        <f t="shared" si="88"/>
        <v>23.2941</v>
      </c>
      <c r="AB89" s="54" t="e">
        <f>VLOOKUP(A89,Enforcements!$C$7:$K$11,8,0)</f>
        <v>#N/A</v>
      </c>
      <c r="AC89" s="51" t="e">
        <f>VLOOKUP(A89,Enforcements!$C$7:$E$11,3,0)</f>
        <v>#N/A</v>
      </c>
      <c r="AD89" s="203">
        <f t="shared" si="89"/>
        <v>177</v>
      </c>
      <c r="AE89" s="77" t="str">
        <f t="shared" si="81"/>
        <v>aws s3 cp s3://rtdc.mdm.uploadarchive.raw/RTDC4056/ "%USERPROFILE%\AppData\Local\Temp\OnboardLogs"\RTDC4056\2017-09-02 --exclude "*" --recursive --include "*20170902*" &amp; "%USERPROFILE%\Documents\GitHub\mrs-test-scripts\Headless Mode &amp; Sideloading\WalkAndUnGZ.bat" "%USERPROFILE%\AppData\Local\Temp\OnboardLogs"\RTDC4056\2017-09-02 &amp; aws s3 cp s3://rtdc.mdm.uploadarchive.raw/RTDC4056/ "%USERPROFILE%\AppData\Local\Temp\OnboardLogs"\RTDC4056\2017-09-03 --exclude "*" --recursive --include "*20170903*" &amp; "%USERPROFILE%\Documents\GitHub\mrs-test-scripts\Headless Mode &amp; Sideloading\WalkAndUnGZ.bat" "%USERPROFILE%\AppData\Local\Temp\OnboardLogs"\RTDC4056\2017-09-03</v>
      </c>
      <c r="AF89" s="74" t="str">
        <f t="shared" si="82"/>
        <v>"C:\Program Files (x86)\AstroGrep\AstroGrep.exe" /e /r /s /spath="%USERPROFILE%\AppData\Local\Temp\OnboardLogs" /stypes="app*4056*20170902*" /stext=" 19:.+((SYSTEM_STATE.+slice.+state.+changed )|(ment ac)|(multiple cpu faults)|(system.+state.+changed )|(\[timeout)|(PRM\|1\|D)|(kpr)|(kdp)|(train st.+moving)|(\|lc)|(penalty))"</v>
      </c>
      <c r="AG89" s="206" t="str">
        <f t="shared" si="90"/>
        <v>EC</v>
      </c>
      <c r="AH89" s="78" t="str">
        <f t="shared" si="91"/>
        <v>"%USERPROFILE%\Documents\GitHub\eaglep3\Utilities\RefineRTDCRunTimes.py" --tripid 177-02 --locoid 4056 --swversion DE.1.0.9.0 --startMP 204:400 --initTime 2017-09-02T13:06:56 --startdatetime 2017-09-02T13:15:20 --delay 83 --endMP 204:233341 --enddatetime 2017-09-02T13:50:33 --enforcementcount 0 &gt;&gt;C:\Users\stu\Documents\GitHub\eaglep3-reporting\EC\2017-09-02-refined-times.txt</v>
      </c>
      <c r="AI89" s="96" t="str">
        <f t="shared" si="92"/>
        <v>echo {"issue":{"subject":"","project_id":79,"tracker_id":40,"status_id":1,"priority_id":2,"assigned_to_id":338,"start_date":"2017-09-02","description":"","custom_fields":[{"id":1,"name":"Subdivision","value":"EC"},{"id":4,"name":"Milepost","value":"23.3341"},{"id":17,"name":"Train ID","value":"177-02"},{"id":16,"name":"Locomotive ID","value":"4056"},{"id":130,"name":"Impact","value":""},{"id":150,"name":"Time of Event (Mountain Time)","value":"13:50:33"},{"id":151,"name":"Denver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93"/>
        <v>start /low /b %USERPROFILE%\Documents\GitHub\eaglep3\Utilities\DownloadLogsFromS3.py --loco 4056 --day 2017-09-02</v>
      </c>
      <c r="AN89" s="151" t="str">
        <f t="shared" si="94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19:50:33"},{"id":29,"name":"Sharepoint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693</v>
      </c>
      <c r="B90" s="7">
        <v>4055</v>
      </c>
      <c r="C90" s="21" t="s">
        <v>197</v>
      </c>
      <c r="D90" s="21" t="s">
        <v>803</v>
      </c>
      <c r="E90" s="13">
        <v>42980.582881944443</v>
      </c>
      <c r="F90" s="13">
        <v>42980.591886574075</v>
      </c>
      <c r="G90" s="7">
        <v>103</v>
      </c>
      <c r="H90" s="21" t="s">
        <v>818</v>
      </c>
      <c r="I90" s="13">
        <v>42980.619513888887</v>
      </c>
      <c r="J90" s="7">
        <v>0</v>
      </c>
      <c r="K90" s="89" t="str">
        <f t="shared" si="85"/>
        <v>4055/4056</v>
      </c>
      <c r="L90" s="214" t="str">
        <f>VLOOKUP(A90,'Trips&amp;Operators'!$C$1:$G$99911,5,FALSE)</f>
        <v>SAFIEF AEIMEN</v>
      </c>
      <c r="M90" s="6">
        <f t="shared" si="86"/>
        <v>2.7627314811979886E-2</v>
      </c>
      <c r="N90" s="7">
        <f t="shared" si="78"/>
        <v>39.783333329251036</v>
      </c>
      <c r="O90" s="7"/>
      <c r="P90" s="7"/>
      <c r="Q90" s="22"/>
      <c r="R90" s="167"/>
      <c r="S90" s="210">
        <f t="shared" si="76"/>
        <v>1</v>
      </c>
      <c r="T90" s="192" t="str">
        <f t="shared" si="87"/>
        <v>Southbound</v>
      </c>
      <c r="U90" s="192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3" t="str">
        <f t="shared" si="80"/>
        <v>https://d0f6bd738d7f1b3e5a7ca70fe4ff75f0.us-east-1.aws.found.io/app/kibana#/discover/Steve-Slow-Train-Analysis-(2080s-and-2083s)?_g=(refreshInterval:(display:Off,pause:!f,section:0,value:0),time:(from:'2017-09-02T12:59:21-0600',mode:absolute,to:'2017-09-02T15:52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90" s="194" t="str">
        <f>IF(AA90&lt;VLOOKUP(AG90,Variables!$AC$3:$AD$8,2,FALSE),"Y","N")</f>
        <v>N</v>
      </c>
      <c r="X90" s="194">
        <f t="shared" si="100"/>
        <v>1</v>
      </c>
      <c r="Y90" s="194">
        <f t="shared" si="83"/>
        <v>23.301100000000002</v>
      </c>
      <c r="Z90" s="194">
        <f t="shared" si="84"/>
        <v>1.2500000000000001E-2</v>
      </c>
      <c r="AA90" s="194">
        <f t="shared" si="88"/>
        <v>23.288600000000002</v>
      </c>
      <c r="AB90" s="54" t="e">
        <f>VLOOKUP(A90,Enforcements!$C$7:$K$11,8,0)</f>
        <v>#N/A</v>
      </c>
      <c r="AC90" s="51" t="e">
        <f>VLOOKUP(A90,Enforcements!$C$7:$E$11,3,0)</f>
        <v>#N/A</v>
      </c>
      <c r="AD90" s="203">
        <f t="shared" si="89"/>
        <v>178</v>
      </c>
      <c r="AE90" s="77" t="str">
        <f t="shared" si="81"/>
        <v>aws s3 cp s3://rtdc.mdm.uploadarchive.raw/RTDC4055/ "%USERPROFILE%\AppData\Local\Temp\OnboardLogs"\RTDC4055\2017-09-02 --exclude "*" --recursive --include "*20170902*" &amp; "%USERPROFILE%\Documents\GitHub\mrs-test-scripts\Headless Mode &amp; Sideloading\WalkAndUnGZ.bat" "%USERPROFILE%\AppData\Local\Temp\OnboardLogs"\RTDC4055\2017-09-02 &amp; aws s3 cp s3://rtdc.mdm.uploadarchive.raw/RTDC4055/ "%USERPROFILE%\AppData\Local\Temp\OnboardLogs"\RTDC4055\2017-09-03 --exclude "*" --recursive --include "*20170903*" &amp; "%USERPROFILE%\Documents\GitHub\mrs-test-scripts\Headless Mode &amp; Sideloading\WalkAndUnGZ.bat" "%USERPROFILE%\AppData\Local\Temp\OnboardLogs"\RTDC4055\2017-09-03</v>
      </c>
      <c r="AF90" s="74" t="str">
        <f t="shared" si="82"/>
        <v>"C:\Program Files (x86)\AstroGrep\AstroGrep.exe" /e /r /s /spath="%USERPROFILE%\AppData\Local\Temp\OnboardLogs" /stypes="app*4055*20170902*" /stext=" 20:.+((SYSTEM_STATE.+slice.+state.+changed )|(ment ac)|(multiple cpu faults)|(system.+state.+changed )|(\[timeout)|(PRM\|1\|D)|(kpr)|(kdp)|(train st.+moving)|(\|lc)|(penalty))"</v>
      </c>
      <c r="AG90" s="206" t="str">
        <f t="shared" si="90"/>
        <v>EC</v>
      </c>
      <c r="AH90" s="78" t="str">
        <f t="shared" si="91"/>
        <v>"%USERPROFILE%\Documents\GitHub\eaglep3\Utilities\RefineRTDCRunTimes.py" --tripid 178-02 --locoid 4055 --swversion DE.1.0.9.0 --startMP 204:233011 --initTime 2017-09-02T13:59:21 --startdatetime 2017-09-02T14:12:19 --delay 103 --endMP 204:125 --enddatetime 2017-09-02T14:52:06 --enforcementcount 0 &gt;&gt;C:\Users\stu\Documents\GitHub\eaglep3-reporting\EC\2017-09-02-refined-times.txt</v>
      </c>
      <c r="AI90" s="96" t="str">
        <f t="shared" si="92"/>
        <v>echo {"issue":{"subject":"","project_id":79,"tracker_id":40,"status_id":1,"priority_id":2,"assigned_to_id":338,"start_date":"2017-09-02","description":"","custom_fields":[{"id":1,"name":"Subdivision","value":"EC"},{"id":4,"name":"Milepost","value":"0.0125"},{"id":17,"name":"Train ID","value":"178-02"},{"id":16,"name":"Locomotive ID","value":"4055"},{"id":130,"name":"Impact","value":""},{"id":150,"name":"Time of Event (Mountain Time)","value":"14:52:06"},{"id":151,"name":"Denver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93"/>
        <v>start /low /b %USERPROFILE%\Documents\GitHub\eaglep3\Utilities\DownloadLogsFromS3.py --loco 4055 --day 2017-09-02</v>
      </c>
      <c r="AN90" s="151" t="str">
        <f t="shared" si="94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20:52:06"},{"id":29,"name":"Sharepoint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689</v>
      </c>
      <c r="B91" s="7">
        <v>4010</v>
      </c>
      <c r="C91" s="21" t="s">
        <v>197</v>
      </c>
      <c r="D91" s="21" t="s">
        <v>337</v>
      </c>
      <c r="E91" s="13">
        <v>42980.558530092596</v>
      </c>
      <c r="F91" s="13">
        <v>42980.562662037039</v>
      </c>
      <c r="G91" s="7">
        <v>49</v>
      </c>
      <c r="H91" s="21" t="s">
        <v>398</v>
      </c>
      <c r="I91" s="13">
        <v>42980.589618055557</v>
      </c>
      <c r="J91" s="7">
        <v>0</v>
      </c>
      <c r="K91" s="89" t="str">
        <f t="shared" si="85"/>
        <v>4009/4010</v>
      </c>
      <c r="L91" s="214" t="str">
        <f>VLOOKUP(A91,'Trips&amp;Operators'!$C$1:$G$99911,5,FALSE)</f>
        <v>GUZMAN DANNY</v>
      </c>
      <c r="M91" s="6">
        <f t="shared" si="86"/>
        <v>2.6956018518831115E-2</v>
      </c>
      <c r="N91" s="7">
        <f t="shared" si="78"/>
        <v>38.816666667116806</v>
      </c>
      <c r="O91" s="7"/>
      <c r="P91" s="7"/>
      <c r="Q91" s="22"/>
      <c r="R91" s="167"/>
      <c r="S91" s="210">
        <f t="shared" si="76"/>
        <v>1</v>
      </c>
      <c r="T91" s="192" t="str">
        <f t="shared" si="87"/>
        <v>NorthBound</v>
      </c>
      <c r="U91" s="192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3" t="str">
        <f t="shared" si="80"/>
        <v>https://d0f6bd738d7f1b3e5a7ca70fe4ff75f0.us-east-1.aws.found.io/app/kibana#/discover/Steve-Slow-Train-Analysis-(2080s-and-2083s)?_g=(refreshInterval:(display:Off,pause:!f,section:0,value:0),time:(from:'2017-09-02T12:24:17-0600',mode:absolute,to:'2017-09-02T15:09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91" s="194" t="str">
        <f>IF(AA91&lt;VLOOKUP(AG91,Variables!$AC$3:$AD$8,2,FALSE),"Y","N")</f>
        <v>N</v>
      </c>
      <c r="X91" s="194">
        <f t="shared" si="100"/>
        <v>1</v>
      </c>
      <c r="Y91" s="194">
        <f t="shared" si="83"/>
        <v>4.4600000000000001E-2</v>
      </c>
      <c r="Z91" s="194">
        <f t="shared" si="84"/>
        <v>23.3306</v>
      </c>
      <c r="AA91" s="194">
        <f t="shared" si="88"/>
        <v>23.286000000000001</v>
      </c>
      <c r="AB91" s="54" t="e">
        <f>VLOOKUP(A91,Enforcements!$C$7:$K$11,8,0)</f>
        <v>#N/A</v>
      </c>
      <c r="AC91" s="51" t="e">
        <f>VLOOKUP(A91,Enforcements!$C$7:$E$11,3,0)</f>
        <v>#N/A</v>
      </c>
      <c r="AD91" s="203">
        <f t="shared" si="89"/>
        <v>179</v>
      </c>
      <c r="AE91" s="77" t="str">
        <f t="shared" si="81"/>
        <v>aws s3 cp s3://rtdc.mdm.uploadarchive.raw/RTDC4010/ "%USERPROFILE%\AppData\Local\Temp\OnboardLogs"\RTDC4010\2017-09-02 --exclude "*" --recursive --include "*20170902*" &amp; "%USERPROFILE%\Documents\GitHub\mrs-test-scripts\Headless Mode &amp; Sideloading\WalkAndUnGZ.bat" "%USERPROFILE%\AppData\Local\Temp\OnboardLogs"\RTDC4010\2017-09-02 &amp; aws s3 cp s3://rtdc.mdm.uploadarchive.raw/RTDC4010/ "%USERPROFILE%\AppData\Local\Temp\OnboardLogs"\RTDC4010\2017-09-03 --exclude "*" --recursive --include "*20170903*" &amp; "%USERPROFILE%\Documents\GitHub\mrs-test-scripts\Headless Mode &amp; Sideloading\WalkAndUnGZ.bat" "%USERPROFILE%\AppData\Local\Temp\OnboardLogs"\RTDC4010\2017-09-03</v>
      </c>
      <c r="AF91" s="74" t="str">
        <f t="shared" si="82"/>
        <v>"C:\Program Files (x86)\AstroGrep\AstroGrep.exe" /e /r /s /spath="%USERPROFILE%\AppData\Local\Temp\OnboardLogs" /stypes="app*4010*20170902*" /stext=" 20:.+((SYSTEM_STATE.+slice.+state.+changed )|(ment ac)|(multiple cpu faults)|(system.+state.+changed )|(\[timeout)|(PRM\|1\|D)|(kpr)|(kdp)|(train st.+moving)|(\|lc)|(penalty))"</v>
      </c>
      <c r="AG91" s="206" t="str">
        <f t="shared" si="90"/>
        <v>EC</v>
      </c>
      <c r="AH91" s="78" t="str">
        <f t="shared" si="91"/>
        <v>"%USERPROFILE%\Documents\GitHub\eaglep3\Utilities\RefineRTDCRunTimes.py" --tripid 179-02 --locoid 4010 --swversion DE.1.0.9.0 --startMP 204:446 --initTime 2017-09-02T13:24:17 --startdatetime 2017-09-02T13:30:14 --delay 49 --endMP 204:233306 --enddatetime 2017-09-02T14:09:03 --enforcementcount 0 &gt;&gt;C:\Users\stu\Documents\GitHub\eaglep3-reporting\EC\2017-09-02-refined-times.txt</v>
      </c>
      <c r="AI91" s="96" t="str">
        <f t="shared" si="92"/>
        <v>echo {"issue":{"subject":"","project_id":79,"tracker_id":40,"status_id":1,"priority_id":2,"assigned_to_id":338,"start_date":"2017-09-02","description":"","custom_fields":[{"id":1,"name":"Subdivision","value":"EC"},{"id":4,"name":"Milepost","value":"23.3306"},{"id":17,"name":"Train ID","value":"179-02"},{"id":16,"name":"Locomotive ID","value":"4010"},{"id":130,"name":"Impact","value":""},{"id":150,"name":"Time of Event (Mountain Time)","value":"14:09:03"},{"id":151,"name":"Denver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2" t="str">
        <f t="shared" si="93"/>
        <v>start /low /b %USERPROFILE%\Documents\GitHub\eaglep3\Utilities\DownloadLogsFromS3.py --loco 4010 --day 2017-09-02</v>
      </c>
      <c r="AN91" s="151" t="str">
        <f t="shared" si="94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20:09:03"},{"id":29,"name":"Sharepoint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697</v>
      </c>
      <c r="B92" s="7">
        <v>4009</v>
      </c>
      <c r="C92" s="21" t="s">
        <v>197</v>
      </c>
      <c r="D92" s="21" t="s">
        <v>485</v>
      </c>
      <c r="E92" s="13">
        <v>42980.590694444443</v>
      </c>
      <c r="F92" s="13">
        <v>42980.60224537037</v>
      </c>
      <c r="G92" s="7">
        <v>56</v>
      </c>
      <c r="H92" s="21" t="s">
        <v>819</v>
      </c>
      <c r="I92" s="13">
        <v>42980.628611111111</v>
      </c>
      <c r="J92" s="7">
        <v>0</v>
      </c>
      <c r="K92" s="89" t="str">
        <f t="shared" si="85"/>
        <v>4009/4010</v>
      </c>
      <c r="L92" s="214" t="str">
        <f>VLOOKUP(A92,'Trips&amp;Operators'!$C$1:$G$99911,5,FALSE)</f>
        <v>GUZMAN DANNY</v>
      </c>
      <c r="M92" s="6">
        <f t="shared" si="86"/>
        <v>2.6365740741312038E-2</v>
      </c>
      <c r="N92" s="7">
        <f t="shared" si="78"/>
        <v>37.966666667489335</v>
      </c>
      <c r="O92" s="7"/>
      <c r="P92" s="7"/>
      <c r="Q92" s="22"/>
      <c r="R92" s="167"/>
      <c r="S92" s="210">
        <f t="shared" si="76"/>
        <v>1</v>
      </c>
      <c r="T92" s="192" t="str">
        <f t="shared" si="87"/>
        <v>Southbound</v>
      </c>
      <c r="U92" s="192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3" t="str">
        <f t="shared" si="80"/>
        <v>https://d0f6bd738d7f1b3e5a7ca70fe4ff75f0.us-east-1.aws.found.io/app/kibana#/discover/Steve-Slow-Train-Analysis-(2080s-and-2083s)?_g=(refreshInterval:(display:Off,pause:!f,section:0,value:0),time:(from:'2017-09-02T13:10:36-0600',mode:absolute,to:'2017-09-02T16:05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92" s="194" t="str">
        <f>IF(AA92&lt;VLOOKUP(AG92,Variables!$AC$3:$AD$8,2,FALSE),"Y","N")</f>
        <v>N</v>
      </c>
      <c r="X92" s="194">
        <f t="shared" si="100"/>
        <v>1</v>
      </c>
      <c r="Y92" s="194">
        <f t="shared" si="83"/>
        <v>23.2987</v>
      </c>
      <c r="Z92" s="194">
        <f t="shared" si="84"/>
        <v>1.6500000000000001E-2</v>
      </c>
      <c r="AA92" s="194">
        <f t="shared" si="88"/>
        <v>23.2822</v>
      </c>
      <c r="AB92" s="54" t="e">
        <f>VLOOKUP(A92,Enforcements!$C$7:$K$11,8,0)</f>
        <v>#N/A</v>
      </c>
      <c r="AC92" s="51" t="e">
        <f>VLOOKUP(A92,Enforcements!$C$7:$E$11,3,0)</f>
        <v>#N/A</v>
      </c>
      <c r="AD92" s="203">
        <f t="shared" si="89"/>
        <v>180</v>
      </c>
      <c r="AE92" s="77" t="str">
        <f t="shared" si="81"/>
        <v>aws s3 cp s3://rtdc.mdm.uploadarchive.raw/RTDC4009/ "%USERPROFILE%\AppData\Local\Temp\OnboardLogs"\RTDC4009\2017-09-02 --exclude "*" --recursive --include "*20170902*" &amp; "%USERPROFILE%\Documents\GitHub\mrs-test-scripts\Headless Mode &amp; Sideloading\WalkAndUnGZ.bat" "%USERPROFILE%\AppData\Local\Temp\OnboardLogs"\RTDC4009\2017-09-02 &amp; aws s3 cp s3://rtdc.mdm.uploadarchive.raw/RTDC4009/ "%USERPROFILE%\AppData\Local\Temp\OnboardLogs"\RTDC4009\2017-09-03 --exclude "*" --recursive --include "*20170903*" &amp; "%USERPROFILE%\Documents\GitHub\mrs-test-scripts\Headless Mode &amp; Sideloading\WalkAndUnGZ.bat" "%USERPROFILE%\AppData\Local\Temp\OnboardLogs"\RTDC4009\2017-09-03</v>
      </c>
      <c r="AF92" s="74" t="str">
        <f t="shared" si="82"/>
        <v>"C:\Program Files (x86)\AstroGrep\AstroGrep.exe" /e /r /s /spath="%USERPROFILE%\AppData\Local\Temp\OnboardLogs" /stypes="app*4009*20170902*" /stext=" 21:.+((SYSTEM_STATE.+slice.+state.+changed )|(ment ac)|(multiple cpu faults)|(system.+state.+changed )|(\[timeout)|(PRM\|1\|D)|(kpr)|(kdp)|(train st.+moving)|(\|lc)|(penalty))"</v>
      </c>
      <c r="AG92" s="206" t="str">
        <f t="shared" si="90"/>
        <v>EC</v>
      </c>
      <c r="AH92" s="78" t="str">
        <f t="shared" si="91"/>
        <v>"%USERPROFILE%\Documents\GitHub\eaglep3\Utilities\RefineRTDCRunTimes.py" --tripid 180-02 --locoid 4009 --swversion DE.1.0.9.0 --startMP 204:232987 --initTime 2017-09-02T14:10:36 --startdatetime 2017-09-02T14:27:14 --delay 56 --endMP 204:165 --enddatetime 2017-09-02T15:05:12 --enforcementcount 0 &gt;&gt;C:\Users\stu\Documents\GitHub\eaglep3-reporting\EC\2017-09-02-refined-times.txt</v>
      </c>
      <c r="AI92" s="96" t="str">
        <f t="shared" si="92"/>
        <v>echo {"issue":{"subject":"","project_id":79,"tracker_id":40,"status_id":1,"priority_id":2,"assigned_to_id":338,"start_date":"2017-09-02","description":"","custom_fields":[{"id":1,"name":"Subdivision","value":"EC"},{"id":4,"name":"Milepost","value":"0.0165"},{"id":17,"name":"Train ID","value":"180-02"},{"id":16,"name":"Locomotive ID","value":"4009"},{"id":130,"name":"Impact","value":""},{"id":150,"name":"Time of Event (Mountain Time)","value":"15:05:12"},{"id":151,"name":"Denver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2" t="str">
        <f t="shared" si="93"/>
        <v>start /low /b %USERPROFILE%\Documents\GitHub\eaglep3\Utilities\DownloadLogsFromS3.py --loco 4009 --day 2017-09-02</v>
      </c>
      <c r="AN92" s="151" t="str">
        <f t="shared" si="94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21:05:12"},{"id":29,"name":"Sharepoint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691</v>
      </c>
      <c r="B93" s="7">
        <v>4066</v>
      </c>
      <c r="C93" s="21" t="s">
        <v>197</v>
      </c>
      <c r="D93" s="21" t="s">
        <v>831</v>
      </c>
      <c r="E93" s="13">
        <v>42980.567789351851</v>
      </c>
      <c r="F93" s="13">
        <v>42980.573113425926</v>
      </c>
      <c r="G93" s="7">
        <v>84</v>
      </c>
      <c r="H93" s="21" t="s">
        <v>832</v>
      </c>
      <c r="I93" s="13">
        <v>42980.598391203705</v>
      </c>
      <c r="J93" s="7">
        <v>0</v>
      </c>
      <c r="K93" s="89" t="str">
        <f t="shared" si="85"/>
        <v>4065/4066</v>
      </c>
      <c r="L93" s="214" t="str">
        <f>VLOOKUP(A93,'Trips&amp;Operators'!$C$1:$G$99911,5,FALSE)</f>
        <v>DELGADO DIANAH</v>
      </c>
      <c r="M93" s="6">
        <f t="shared" si="86"/>
        <v>2.527777777868323E-2</v>
      </c>
      <c r="N93" s="7">
        <f t="shared" si="78"/>
        <v>36.400000001303852</v>
      </c>
      <c r="O93" s="7"/>
      <c r="P93" s="7"/>
      <c r="Q93" s="22"/>
      <c r="R93" s="167"/>
      <c r="S93" s="210">
        <f t="shared" si="76"/>
        <v>1</v>
      </c>
      <c r="T93" s="192" t="str">
        <f t="shared" si="87"/>
        <v>NorthBound</v>
      </c>
      <c r="U93" s="192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3" t="str">
        <f t="shared" si="80"/>
        <v>https://d0f6bd738d7f1b3e5a7ca70fe4ff75f0.us-east-1.aws.found.io/app/kibana#/discover/Steve-Slow-Train-Analysis-(2080s-and-2083s)?_g=(refreshInterval:(display:Off,pause:!f,section:0,value:0),time:(from:'2017-09-02T12:37:37-0600',mode:absolute,to:'2017-09-02T15:21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93" s="194" t="str">
        <f>IF(AA93&lt;VLOOKUP(AG93,Variables!$AC$3:$AD$8,2,FALSE),"Y","N")</f>
        <v>N</v>
      </c>
      <c r="X93" s="194">
        <f t="shared" si="100"/>
        <v>1</v>
      </c>
      <c r="Y93" s="194">
        <f t="shared" si="83"/>
        <v>4.07E-2</v>
      </c>
      <c r="Z93" s="194">
        <f t="shared" si="84"/>
        <v>23.338200000000001</v>
      </c>
      <c r="AA93" s="194">
        <f t="shared" si="88"/>
        <v>23.297499999999999</v>
      </c>
      <c r="AB93" s="54" t="e">
        <f>VLOOKUP(A93,Enforcements!$C$7:$K$11,8,0)</f>
        <v>#N/A</v>
      </c>
      <c r="AC93" s="51" t="e">
        <f>VLOOKUP(A93,Enforcements!$C$7:$E$11,3,0)</f>
        <v>#N/A</v>
      </c>
      <c r="AD93" s="203">
        <f t="shared" si="89"/>
        <v>181</v>
      </c>
      <c r="AE93" s="77" t="str">
        <f t="shared" si="81"/>
        <v>aws s3 cp s3://rtdc.mdm.uploadarchive.raw/RTDC4066/ "%USERPROFILE%\AppData\Local\Temp\OnboardLogs"\RTDC4066\2017-09-02 --exclude "*" --recursive --include "*20170902*" &amp; "%USERPROFILE%\Documents\GitHub\mrs-test-scripts\Headless Mode &amp; Sideloading\WalkAndUnGZ.bat" "%USERPROFILE%\AppData\Local\Temp\OnboardLogs"\RTDC4066\2017-09-02 &amp; aws s3 cp s3://rtdc.mdm.uploadarchive.raw/RTDC4066/ "%USERPROFILE%\AppData\Local\Temp\OnboardLogs"\RTDC4066\2017-09-03 --exclude "*" --recursive --include "*20170903*" &amp; "%USERPROFILE%\Documents\GitHub\mrs-test-scripts\Headless Mode &amp; Sideloading\WalkAndUnGZ.bat" "%USERPROFILE%\AppData\Local\Temp\OnboardLogs"\RTDC4066\2017-09-03</v>
      </c>
      <c r="AF93" s="74" t="str">
        <f t="shared" si="82"/>
        <v>"C:\Program Files (x86)\AstroGrep\AstroGrep.exe" /e /r /s /spath="%USERPROFILE%\AppData\Local\Temp\OnboardLogs" /stypes="app*4066*20170902*" /stext=" 20:.+((SYSTEM_STATE.+slice.+state.+changed )|(ment ac)|(multiple cpu faults)|(system.+state.+changed )|(\[timeout)|(PRM\|1\|D)|(kpr)|(kdp)|(train st.+moving)|(\|lc)|(penalty))"</v>
      </c>
      <c r="AG93" s="206" t="str">
        <f t="shared" si="90"/>
        <v>EC</v>
      </c>
      <c r="AH93" s="78" t="str">
        <f t="shared" si="91"/>
        <v>"%USERPROFILE%\Documents\GitHub\eaglep3\Utilities\RefineRTDCRunTimes.py" --tripid 181-02 --locoid 4066 --swversion DE.1.0.9.0 --startMP 204:407 --initTime 2017-09-02T13:37:37 --startdatetime 2017-09-02T13:45:17 --delay 84 --endMP 204:233382 --enddatetime 2017-09-02T14:21:41 --enforcementcount 0 &gt;&gt;C:\Users\stu\Documents\GitHub\eaglep3-reporting\EC\2017-09-02-refined-times.txt</v>
      </c>
      <c r="AI93" s="96" t="str">
        <f t="shared" si="92"/>
        <v>echo {"issue":{"subject":"","project_id":79,"tracker_id":40,"status_id":1,"priority_id":2,"assigned_to_id":338,"start_date":"2017-09-02","description":"","custom_fields":[{"id":1,"name":"Subdivision","value":"EC"},{"id":4,"name":"Milepost","value":"23.3382"},{"id":17,"name":"Train ID","value":"181-02"},{"id":16,"name":"Locomotive ID","value":"4066"},{"id":130,"name":"Impact","value":""},{"id":150,"name":"Time of Event (Mountain Time)","value":"14:21:41"},{"id":151,"name":"Denver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2" t="str">
        <f t="shared" si="93"/>
        <v>start /low /b %USERPROFILE%\Documents\GitHub\eaglep3\Utilities\DownloadLogsFromS3.py --loco 4066 --day 2017-09-02</v>
      </c>
      <c r="AN93" s="151" t="str">
        <f t="shared" si="94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20:21:41"},{"id":29,"name":"Sharepoint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582</v>
      </c>
      <c r="B94" s="7">
        <v>4065</v>
      </c>
      <c r="C94" s="21" t="s">
        <v>197</v>
      </c>
      <c r="D94" s="21" t="s">
        <v>844</v>
      </c>
      <c r="E94" s="13">
        <v>42980.608148148145</v>
      </c>
      <c r="F94" s="13">
        <v>42980.626516203702</v>
      </c>
      <c r="G94" s="7">
        <v>62</v>
      </c>
      <c r="H94" s="21" t="s">
        <v>845</v>
      </c>
      <c r="I94" s="13">
        <v>42980.642916666664</v>
      </c>
      <c r="J94" s="7">
        <v>0</v>
      </c>
      <c r="K94" s="89" t="str">
        <f t="shared" si="85"/>
        <v>4065/4066</v>
      </c>
      <c r="L94" s="214" t="str">
        <f>VLOOKUP(A94,'Trips&amp;Operators'!$C$1:$G$99911,5,FALSE)</f>
        <v>DELGADO DIANAH</v>
      </c>
      <c r="M94" s="6">
        <f t="shared" si="86"/>
        <v>1.640046296233777E-2</v>
      </c>
      <c r="N94" s="7"/>
      <c r="O94" s="7"/>
      <c r="P94" s="7">
        <f>24*60*SUM($M94:$M94)</f>
        <v>23.616666665766388</v>
      </c>
      <c r="Q94" s="22"/>
      <c r="R94" s="167" t="s">
        <v>960</v>
      </c>
      <c r="S94" s="210">
        <f>1/IF(AG94="EC",12,1)*SUM(U94:U95)</f>
        <v>1</v>
      </c>
      <c r="T94" s="192" t="str">
        <f t="shared" si="87"/>
        <v>Southbound</v>
      </c>
      <c r="U94" s="192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0</v>
      </c>
      <c r="V94" s="193" t="str">
        <f t="shared" si="80"/>
        <v>https://d0f6bd738d7f1b3e5a7ca70fe4ff75f0.us-east-1.aws.found.io/app/kibana#/discover/Steve-Slow-Train-Analysis-(2080s-and-2083s)?_g=(refreshInterval:(display:Off,pause:!f,section:0,value:0),time:(from:'2017-09-02T13:35:44-0600',mode:absolute,to:'2017-09-02T16:25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94" s="194" t="str">
        <f>IF(AA94&lt;VLOOKUP(AG94,Variables!$AC$3:$AD$8,2,FALSE),"Y","N")</f>
        <v>Y</v>
      </c>
      <c r="X94" s="194">
        <f t="shared" si="100"/>
        <v>1</v>
      </c>
      <c r="Y94" s="194">
        <f t="shared" si="83"/>
        <v>23.306100000000001</v>
      </c>
      <c r="Z94" s="194">
        <f t="shared" si="84"/>
        <v>17.966699999999999</v>
      </c>
      <c r="AA94" s="194">
        <f t="shared" si="88"/>
        <v>5.3394000000000013</v>
      </c>
      <c r="AB94" s="54" t="e">
        <f>VLOOKUP(A94,Enforcements!$C$7:$K$11,8,0)</f>
        <v>#N/A</v>
      </c>
      <c r="AC94" s="51" t="e">
        <f>VLOOKUP(A94,Enforcements!$C$7:$E$11,3,0)</f>
        <v>#N/A</v>
      </c>
      <c r="AD94" s="203">
        <f t="shared" si="89"/>
        <v>182</v>
      </c>
      <c r="AE94" s="77" t="str">
        <f t="shared" si="81"/>
        <v>aws s3 cp s3://rtdc.mdm.uploadarchive.raw/RTDC4065/ "%USERPROFILE%\AppData\Local\Temp\OnboardLogs"\RTDC4065\2017-09-02 --exclude "*" --recursive --include "*20170902*" &amp; "%USERPROFILE%\Documents\GitHub\mrs-test-scripts\Headless Mode &amp; Sideloading\WalkAndUnGZ.bat" "%USERPROFILE%\AppData\Local\Temp\OnboardLogs"\RTDC4065\2017-09-02 &amp; aws s3 cp s3://rtdc.mdm.uploadarchive.raw/RTDC4065/ "%USERPROFILE%\AppData\Local\Temp\OnboardLogs"\RTDC4065\2017-09-03 --exclude "*" --recursive --include "*20170903*" &amp; "%USERPROFILE%\Documents\GitHub\mrs-test-scripts\Headless Mode &amp; Sideloading\WalkAndUnGZ.bat" "%USERPROFILE%\AppData\Local\Temp\OnboardLogs"\RTDC4065\2017-09-03</v>
      </c>
      <c r="AF94" s="74" t="str">
        <f t="shared" si="82"/>
        <v>"C:\Program Files (x86)\AstroGrep\AstroGrep.exe" /e /r /s /spath="%USERPROFILE%\AppData\Local\Temp\OnboardLogs" /stypes="app*4065*20170902*" /stext=" 21:.+((SYSTEM_STATE.+slice.+state.+changed )|(ment ac)|(multiple cpu faults)|(system.+state.+changed )|(\[timeout)|(PRM\|1\|D)|(kpr)|(kdp)|(train st.+moving)|(\|lc)|(penalty))"</v>
      </c>
      <c r="AG94" s="206" t="str">
        <f t="shared" si="90"/>
        <v>EC</v>
      </c>
      <c r="AH94" s="78" t="str">
        <f t="shared" si="91"/>
        <v>"%USERPROFILE%\Documents\GitHub\eaglep3\Utilities\RefineRTDCRunTimes.py" --tripid 182-02 --locoid 4065 --swversion DE.1.0.9.0 --startMP 204:233061 --initTime 2017-09-02T14:35:44 --startdatetime 2017-09-02T15:02:11 --delay 62 --endMP 204:179667 --enddatetime 2017-09-02T15:25:48 --enforcementcount 0 &gt;&gt;C:\Users\stu\Documents\GitHub\eaglep3-reporting\EC\2017-09-02-refined-times.txt</v>
      </c>
      <c r="AI94" s="96" t="str">
        <f t="shared" si="92"/>
        <v>echo {"issue":{"subject":"False occupancy @ ML1680","project_id":79,"tracker_id":40,"status_id":1,"priority_id":2,"assigned_to_id":338,"start_date":"2017-09-02","description":"","custom_fields":[{"id":1,"name":"Subdivision","value":"EC"},{"id":4,"name":"Milepost","value":"17.9667"},{"id":17,"name":"Train ID","value":"182-02"},{"id":16,"name":"Locomotive ID","value":"4065"},{"id":130,"name":"Impact","value":""},{"id":150,"name":"Time of Event (Mountain Time)","value":"15:25:48"},{"id":151,"name":"Denver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20"/>
      <c r="AK94" s="47"/>
      <c r="AL94" s="47"/>
      <c r="AM94" s="142" t="str">
        <f t="shared" si="93"/>
        <v>start /low /b %USERPROFILE%\Documents\GitHub\eaglep3\Utilities\DownloadLogsFromS3.py --loco 4065 --day 2017-09-02</v>
      </c>
      <c r="AN94" s="151" t="str">
        <f t="shared" si="94"/>
        <v>echo {"issue":{"subject":"False occupancy @ ML1680","project_id":30,"tracker_id":4,"status_id":1,"priority_id":1,"assigned_to_id":10,"start_date":"2017-09-02","description":"","custom_fields":[{"id":30,"name":"Category","value":"Issue"},{"id":3,"name":"Functional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21:25:48"},{"id":29,"name":"Sharepoint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2" t="s">
        <v>582</v>
      </c>
      <c r="B95" s="7">
        <v>4065</v>
      </c>
      <c r="C95" s="21" t="s">
        <v>197</v>
      </c>
      <c r="D95" s="21" t="s">
        <v>846</v>
      </c>
      <c r="E95" s="13">
        <v>42980.625532407408</v>
      </c>
      <c r="F95" s="13">
        <v>42980.626516203702</v>
      </c>
      <c r="G95" s="7">
        <v>48</v>
      </c>
      <c r="H95" s="21" t="s">
        <v>847</v>
      </c>
      <c r="I95" s="13">
        <v>42980.642916666664</v>
      </c>
      <c r="J95" s="7">
        <v>0</v>
      </c>
      <c r="K95" s="89" t="str">
        <f t="shared" si="85"/>
        <v>4065/4066</v>
      </c>
      <c r="L95" s="214" t="str">
        <f>VLOOKUP(A95,'Trips&amp;Operators'!$C$1:$G$99911,5,FALSE)</f>
        <v>DELGADO DIANAH</v>
      </c>
      <c r="M95" s="6">
        <f t="shared" si="86"/>
        <v>1.640046296233777E-2</v>
      </c>
      <c r="N95" s="7"/>
      <c r="O95" s="7"/>
      <c r="P95" s="7"/>
      <c r="Q95" s="22"/>
      <c r="R95" s="167"/>
      <c r="S95" s="210"/>
      <c r="T95" s="192" t="str">
        <f t="shared" si="87"/>
        <v>Southbound</v>
      </c>
      <c r="U95" s="192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3" t="str">
        <f t="shared" si="80"/>
        <v>https://d0f6bd738d7f1b3e5a7ca70fe4ff75f0.us-east-1.aws.found.io/app/kibana#/discover/Steve-Slow-Train-Analysis-(2080s-and-2083s)?_g=(refreshInterval:(display:Off,pause:!f,section:0,value:0),time:(from:'2017-09-02T14:00:46-0600',mode:absolute,to:'2017-09-02T16:25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95" s="194" t="str">
        <f>IF(AA95&lt;VLOOKUP(AG95,Variables!$AC$3:$AD$8,2,FALSE),"Y","N")</f>
        <v>Y</v>
      </c>
      <c r="X95" s="194">
        <f t="shared" si="100"/>
        <v>0</v>
      </c>
      <c r="Y95" s="194">
        <f t="shared" si="83"/>
        <v>12.786899999999999</v>
      </c>
      <c r="Z95" s="194">
        <f t="shared" si="84"/>
        <v>1.8100000000000002E-2</v>
      </c>
      <c r="AA95" s="194">
        <f t="shared" si="88"/>
        <v>12.768799999999999</v>
      </c>
      <c r="AB95" s="54" t="e">
        <f>VLOOKUP(A95,Enforcements!$C$7:$K$11,8,0)</f>
        <v>#N/A</v>
      </c>
      <c r="AC95" s="51" t="e">
        <f>VLOOKUP(A95,Enforcements!$C$7:$E$11,3,0)</f>
        <v>#N/A</v>
      </c>
      <c r="AD95" s="203">
        <f t="shared" si="89"/>
        <v>182</v>
      </c>
      <c r="AE95" s="77" t="str">
        <f t="shared" si="81"/>
        <v>aws s3 cp s3://rtdc.mdm.uploadarchive.raw/RTDC4065/ "%USERPROFILE%\AppData\Local\Temp\OnboardLogs"\RTDC4065\2017-09-02 --exclude "*" --recursive --include "*20170902*" &amp; "%USERPROFILE%\Documents\GitHub\mrs-test-scripts\Headless Mode &amp; Sideloading\WalkAndUnGZ.bat" "%USERPROFILE%\AppData\Local\Temp\OnboardLogs"\RTDC4065\2017-09-02 &amp; aws s3 cp s3://rtdc.mdm.uploadarchive.raw/RTDC4065/ "%USERPROFILE%\AppData\Local\Temp\OnboardLogs"\RTDC4065\2017-09-03 --exclude "*" --recursive --include "*20170903*" &amp; "%USERPROFILE%\Documents\GitHub\mrs-test-scripts\Headless Mode &amp; Sideloading\WalkAndUnGZ.bat" "%USERPROFILE%\AppData\Local\Temp\OnboardLogs"\RTDC4065\2017-09-03</v>
      </c>
      <c r="AF95" s="74" t="str">
        <f t="shared" si="82"/>
        <v>"C:\Program Files (x86)\AstroGrep\AstroGrep.exe" /e /r /s /spath="%USERPROFILE%\AppData\Local\Temp\OnboardLogs" /stypes="app*4065*20170902*" /stext=" 21:.+((SYSTEM_STATE.+slice.+state.+changed )|(ment ac)|(multiple cpu faults)|(system.+state.+changed )|(\[timeout)|(PRM\|1\|D)|(kpr)|(kdp)|(train st.+moving)|(\|lc)|(penalty))"</v>
      </c>
      <c r="AG95" s="206" t="str">
        <f t="shared" si="90"/>
        <v>EC</v>
      </c>
      <c r="AH95" s="78" t="str">
        <f t="shared" si="91"/>
        <v>"%USERPROFILE%\Documents\GitHub\eaglep3\Utilities\RefineRTDCRunTimes.py" --tripid 182-02 --locoid 4065 --swversion DE.1.0.9.0 --startMP 204:127869 --initTime 2017-09-02T15:00:46 --startdatetime 2017-09-02T15:02:11 --delay 48 --endMP 204:181 --enddatetime 2017-09-02T15:25:48 --enforcementcount 0 &gt;&gt;C:\Users\stu\Documents\GitHub\eaglep3-reporting\EC\2017-09-02-refined-times.txt</v>
      </c>
      <c r="AI95" s="96" t="str">
        <f t="shared" si="92"/>
        <v>echo {"issue":{"subject":"","project_id":79,"tracker_id":40,"status_id":1,"priority_id":2,"assigned_to_id":338,"start_date":"2017-09-02","description":"","custom_fields":[{"id":1,"name":"Subdivision","value":"EC"},{"id":4,"name":"Milepost","value":"0.0181"},{"id":17,"name":"Train ID","value":"182-02"},{"id":16,"name":"Locomotive ID","value":"4065"},{"id":130,"name":"Impact","value":""},{"id":150,"name":"Time of Event (Mountain Time)","value":"15:25:48"},{"id":151,"name":"Denver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20"/>
      <c r="AK95" s="47"/>
      <c r="AL95" s="47"/>
      <c r="AM95" s="142" t="str">
        <f t="shared" si="93"/>
        <v>start /low /b %USERPROFILE%\Documents\GitHub\eaglep3\Utilities\DownloadLogsFromS3.py --loco 4065 --day 2017-09-02</v>
      </c>
      <c r="AN95" s="151" t="str">
        <f t="shared" si="94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21:25:48"},{"id":29,"name":"Sharepoint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2" t="s">
        <v>579</v>
      </c>
      <c r="B96" s="7">
        <v>4052</v>
      </c>
      <c r="C96" s="21" t="s">
        <v>197</v>
      </c>
      <c r="D96" s="21" t="s">
        <v>376</v>
      </c>
      <c r="E96" s="13">
        <v>42980.577962962961</v>
      </c>
      <c r="F96" s="13">
        <v>42980.593807870369</v>
      </c>
      <c r="G96" s="7">
        <v>64</v>
      </c>
      <c r="H96" s="21" t="s">
        <v>363</v>
      </c>
      <c r="I96" s="13">
        <v>42980.610231481478</v>
      </c>
      <c r="J96" s="7">
        <v>0</v>
      </c>
      <c r="K96" s="89" t="str">
        <f t="shared" si="85"/>
        <v>4051/4052</v>
      </c>
      <c r="L96" s="214" t="str">
        <f>VLOOKUP(A96,'Trips&amp;Operators'!$C$1:$G$99911,5,FALSE)</f>
        <v>STORY SAMANTHA</v>
      </c>
      <c r="M96" s="6">
        <f t="shared" si="86"/>
        <v>1.6423611108621117E-2</v>
      </c>
      <c r="N96" s="7"/>
      <c r="O96" s="7"/>
      <c r="P96" s="7">
        <f>24*60*SUM($M96:$M96)</f>
        <v>23.649999996414408</v>
      </c>
      <c r="Q96" s="22"/>
      <c r="R96" s="167" t="s">
        <v>960</v>
      </c>
      <c r="S96" s="210">
        <f>1/IF(AG96="EC",12,1)*SUM(U96:U97)</f>
        <v>0</v>
      </c>
      <c r="T96" s="192" t="str">
        <f t="shared" si="87"/>
        <v>NorthBound</v>
      </c>
      <c r="U96" s="192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0</v>
      </c>
      <c r="V96" s="193" t="str">
        <f t="shared" si="80"/>
        <v>https://d0f6bd738d7f1b3e5a7ca70fe4ff75f0.us-east-1.aws.found.io/app/kibana#/discover/Steve-Slow-Train-Analysis-(2080s-and-2083s)?_g=(refreshInterval:(display:Off,pause:!f,section:0,value:0),time:(from:'2017-09-02T12:52:16-0600',mode:absolute,to:'2017-09-02T15:38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96" s="194" t="str">
        <f>IF(AA96&lt;VLOOKUP(AG96,Variables!$AC$3:$AD$8,2,FALSE),"Y","N")</f>
        <v>Y</v>
      </c>
      <c r="X96" s="194">
        <f t="shared" si="100"/>
        <v>1</v>
      </c>
      <c r="Y96" s="194">
        <f t="shared" si="83"/>
        <v>4.4400000000000002E-2</v>
      </c>
      <c r="Z96" s="194">
        <f t="shared" si="84"/>
        <v>4.58E-2</v>
      </c>
      <c r="AA96" s="194">
        <f t="shared" si="88"/>
        <v>1.3999999999999985E-3</v>
      </c>
      <c r="AB96" s="54" t="e">
        <f>VLOOKUP(A96,Enforcements!$C$7:$K$11,8,0)</f>
        <v>#N/A</v>
      </c>
      <c r="AC96" s="51" t="e">
        <f>VLOOKUP(A96,Enforcements!$C$7:$E$11,3,0)</f>
        <v>#N/A</v>
      </c>
      <c r="AD96" s="203">
        <f t="shared" si="89"/>
        <v>183</v>
      </c>
      <c r="AE96" s="77" t="str">
        <f t="shared" si="81"/>
        <v>aws s3 cp s3://rtdc.mdm.uploadarchive.raw/RTDC4052/ "%USERPROFILE%\AppData\Local\Temp\OnboardLogs"\RTDC4052\2017-09-02 --exclude "*" --recursive --include "*20170902*" &amp; "%USERPROFILE%\Documents\GitHub\mrs-test-scripts\Headless Mode &amp; Sideloading\WalkAndUnGZ.bat" "%USERPROFILE%\AppData\Local\Temp\OnboardLogs"\RTDC4052\2017-09-02 &amp; aws s3 cp s3://rtdc.mdm.uploadarchive.raw/RTDC4052/ "%USERPROFILE%\AppData\Local\Temp\OnboardLogs"\RTDC4052\2017-09-03 --exclude "*" --recursive --include "*20170903*" &amp; "%USERPROFILE%\Documents\GitHub\mrs-test-scripts\Headless Mode &amp; Sideloading\WalkAndUnGZ.bat" "%USERPROFILE%\AppData\Local\Temp\OnboardLogs"\RTDC4052\2017-09-03</v>
      </c>
      <c r="AF96" s="74" t="str">
        <f t="shared" si="82"/>
        <v>"C:\Program Files (x86)\AstroGrep\AstroGrep.exe" /e /r /s /spath="%USERPROFILE%\AppData\Local\Temp\OnboardLogs" /stypes="app*4052*20170902*" /stext=" 20:.+((SYSTEM_STATE.+slice.+state.+changed )|(ment ac)|(multiple cpu faults)|(system.+state.+changed )|(\[timeout)|(PRM\|1\|D)|(kpr)|(kdp)|(train st.+moving)|(\|lc)|(penalty))"</v>
      </c>
      <c r="AG96" s="206" t="str">
        <f t="shared" si="90"/>
        <v>EC</v>
      </c>
      <c r="AH96" s="78" t="str">
        <f t="shared" si="91"/>
        <v>"%USERPROFILE%\Documents\GitHub\eaglep3\Utilities\RefineRTDCRunTimes.py" --tripid 183-02 --locoid 4052 --swversion DE.1.0.9.0 --startMP 204:444 --initTime 2017-09-02T13:52:16 --startdatetime 2017-09-02T14:15:05 --delay 64 --endMP 204:458 --enddatetime 2017-09-02T14:38:44 --enforcementcount 0 &gt;&gt;C:\Users\stu\Documents\GitHub\eaglep3-reporting\EC\2017-09-02-refined-times.txt</v>
      </c>
      <c r="AI96" s="96" t="str">
        <f t="shared" si="92"/>
        <v>echo {"issue":{"subject":"False occupancy @ ML1680","project_id":79,"tracker_id":40,"status_id":1,"priority_id":2,"assigned_to_id":338,"start_date":"2017-09-02","description":"","custom_fields":[{"id":1,"name":"Subdivision","value":"EC"},{"id":4,"name":"Milepost","value":"0.0458"},{"id":17,"name":"Train ID","value":"183-02"},{"id":16,"name":"Locomotive ID","value":"4052"},{"id":130,"name":"Impact","value":""},{"id":150,"name":"Time of Event (Mountain Time)","value":"14:38:44"},{"id":151,"name":"Denver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20"/>
      <c r="AK96" s="47"/>
      <c r="AL96" s="47"/>
      <c r="AM96" s="142" t="str">
        <f t="shared" si="93"/>
        <v>start /low /b %USERPROFILE%\Documents\GitHub\eaglep3\Utilities\DownloadLogsFromS3.py --loco 4052 --day 2017-09-02</v>
      </c>
      <c r="AN96" s="151" t="str">
        <f t="shared" si="94"/>
        <v>echo {"issue":{"subject":"False occupancy @ ML1680","project_id":30,"tracker_id":4,"status_id":1,"priority_id":1,"assigned_to_id":10,"start_date":"2017-09-02","description":"","custom_fields":[{"id":30,"name":"Category","value":"Issue"},{"id":3,"name":"Functional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20:38:44"},{"id":29,"name":"Sharepoint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2" t="s">
        <v>579</v>
      </c>
      <c r="B97" s="7">
        <v>4052</v>
      </c>
      <c r="C97" s="21" t="s">
        <v>197</v>
      </c>
      <c r="D97" s="21" t="s">
        <v>860</v>
      </c>
      <c r="E97" s="13">
        <v>42980.585451388892</v>
      </c>
      <c r="F97" s="13">
        <v>42980.593807870369</v>
      </c>
      <c r="G97" s="7">
        <v>47</v>
      </c>
      <c r="H97" s="21" t="s">
        <v>861</v>
      </c>
      <c r="I97" s="13">
        <v>42980.610231481478</v>
      </c>
      <c r="J97" s="7">
        <v>0</v>
      </c>
      <c r="K97" s="89" t="str">
        <f t="shared" si="85"/>
        <v>4051/4052</v>
      </c>
      <c r="L97" s="214" t="str">
        <f>VLOOKUP(A97,'Trips&amp;Operators'!$C$1:$G$99911,5,FALSE)</f>
        <v>STORY SAMANTHA</v>
      </c>
      <c r="M97" s="6">
        <f t="shared" si="86"/>
        <v>1.6423611108621117E-2</v>
      </c>
      <c r="N97" s="7"/>
      <c r="O97" s="7"/>
      <c r="P97" s="7"/>
      <c r="Q97" s="22"/>
      <c r="R97" s="167"/>
      <c r="S97" s="210"/>
      <c r="T97" s="192" t="str">
        <f t="shared" si="87"/>
        <v>NorthBound</v>
      </c>
      <c r="U97" s="192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0</v>
      </c>
      <c r="V97" s="193" t="str">
        <f t="shared" si="80"/>
        <v>https://d0f6bd738d7f1b3e5a7ca70fe4ff75f0.us-east-1.aws.found.io/app/kibana#/discover/Steve-Slow-Train-Analysis-(2080s-and-2083s)?_g=(refreshInterval:(display:Off,pause:!f,section:0,value:0),time:(from:'2017-09-02T13:03:03-0600',mode:absolute,to:'2017-09-02T15:38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97" s="194" t="str">
        <f>IF(AA97&lt;VLOOKUP(AG97,Variables!$AC$3:$AD$8,2,FALSE),"Y","N")</f>
        <v>Y</v>
      </c>
      <c r="X97" s="194">
        <f t="shared" si="100"/>
        <v>0</v>
      </c>
      <c r="Y97" s="194">
        <f t="shared" si="83"/>
        <v>0.14749999999999999</v>
      </c>
      <c r="Z97" s="194">
        <f t="shared" si="84"/>
        <v>0.18709999999999999</v>
      </c>
      <c r="AA97" s="194">
        <f t="shared" si="88"/>
        <v>3.9599999999999996E-2</v>
      </c>
      <c r="AB97" s="54" t="e">
        <f>VLOOKUP(A97,Enforcements!$C$7:$K$11,8,0)</f>
        <v>#N/A</v>
      </c>
      <c r="AC97" s="51" t="e">
        <f>VLOOKUP(A97,Enforcements!$C$7:$E$11,3,0)</f>
        <v>#N/A</v>
      </c>
      <c r="AD97" s="203">
        <f t="shared" si="89"/>
        <v>183</v>
      </c>
      <c r="AE97" s="77" t="str">
        <f t="shared" si="81"/>
        <v>aws s3 cp s3://rtdc.mdm.uploadarchive.raw/RTDC4052/ "%USERPROFILE%\AppData\Local\Temp\OnboardLogs"\RTDC4052\2017-09-02 --exclude "*" --recursive --include "*20170902*" &amp; "%USERPROFILE%\Documents\GitHub\mrs-test-scripts\Headless Mode &amp; Sideloading\WalkAndUnGZ.bat" "%USERPROFILE%\AppData\Local\Temp\OnboardLogs"\RTDC4052\2017-09-02 &amp; aws s3 cp s3://rtdc.mdm.uploadarchive.raw/RTDC4052/ "%USERPROFILE%\AppData\Local\Temp\OnboardLogs"\RTDC4052\2017-09-03 --exclude "*" --recursive --include "*20170903*" &amp; "%USERPROFILE%\Documents\GitHub\mrs-test-scripts\Headless Mode &amp; Sideloading\WalkAndUnGZ.bat" "%USERPROFILE%\AppData\Local\Temp\OnboardLogs"\RTDC4052\2017-09-03</v>
      </c>
      <c r="AF97" s="74" t="str">
        <f t="shared" si="82"/>
        <v>"C:\Program Files (x86)\AstroGrep\AstroGrep.exe" /e /r /s /spath="%USERPROFILE%\AppData\Local\Temp\OnboardLogs" /stypes="app*4052*20170902*" /stext=" 20:.+((SYSTEM_STATE.+slice.+state.+changed )|(ment ac)|(multiple cpu faults)|(system.+state.+changed )|(\[timeout)|(PRM\|1\|D)|(kpr)|(kdp)|(train st.+moving)|(\|lc)|(penalty))"</v>
      </c>
      <c r="AG97" s="206" t="str">
        <f t="shared" si="90"/>
        <v>EC</v>
      </c>
      <c r="AH97" s="78" t="str">
        <f t="shared" si="91"/>
        <v>"%USERPROFILE%\Documents\GitHub\eaglep3\Utilities\RefineRTDCRunTimes.py" --tripid 183-02 --locoid 4052 --swversion DE.1.0.9.0 --startMP 204:1475 --initTime 2017-09-02T14:03:03 --startdatetime 2017-09-02T14:15:05 --delay 47 --endMP 204:1871 --enddatetime 2017-09-02T14:38:44 --enforcementcount 0 &gt;&gt;C:\Users\stu\Documents\GitHub\eaglep3-reporting\EC\2017-09-02-refined-times.txt</v>
      </c>
      <c r="AI97" s="96" t="str">
        <f t="shared" si="92"/>
        <v>echo {"issue":{"subject":"","project_id":79,"tracker_id":40,"status_id":1,"priority_id":2,"assigned_to_id":338,"start_date":"2017-09-02","description":"","custom_fields":[{"id":1,"name":"Subdivision","value":"EC"},{"id":4,"name":"Milepost","value":"0.1871"},{"id":17,"name":"Train ID","value":"183-02"},{"id":16,"name":"Locomotive ID","value":"4052"},{"id":130,"name":"Impact","value":""},{"id":150,"name":"Time of Event (Mountain Time)","value":"14:38:44"},{"id":151,"name":"Denver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20"/>
      <c r="AK97" s="47"/>
      <c r="AL97" s="47"/>
      <c r="AM97" s="142" t="str">
        <f t="shared" si="93"/>
        <v>start /low /b %USERPROFILE%\Documents\GitHub\eaglep3\Utilities\DownloadLogsFromS3.py --loco 4052 --day 2017-09-02</v>
      </c>
      <c r="AN97" s="151" t="str">
        <f t="shared" si="94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20:38:44"},{"id":29,"name":"Sharepoint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32" t="s">
        <v>584</v>
      </c>
      <c r="B98" s="7">
        <v>4051</v>
      </c>
      <c r="C98" s="21" t="s">
        <v>197</v>
      </c>
      <c r="D98" s="21" t="s">
        <v>937</v>
      </c>
      <c r="E98" s="13">
        <v>42980.620023148149</v>
      </c>
      <c r="F98" s="13">
        <v>42980.623171296298</v>
      </c>
      <c r="G98" s="7">
        <v>67</v>
      </c>
      <c r="H98" s="21" t="s">
        <v>938</v>
      </c>
      <c r="I98" s="13">
        <v>42980.650972222225</v>
      </c>
      <c r="J98" s="7">
        <v>0</v>
      </c>
      <c r="K98" s="89" t="str">
        <f t="shared" si="85"/>
        <v>4051/4052</v>
      </c>
      <c r="L98" s="214" t="str">
        <f>VLOOKUP(A98,'Trips&amp;Operators'!$C$1:$G$99911,5,FALSE)</f>
        <v>STORY SAMANTHA</v>
      </c>
      <c r="M98" s="6">
        <f t="shared" si="86"/>
        <v>2.7800925927294884E-2</v>
      </c>
      <c r="N98" s="7">
        <f t="shared" ref="N98:N115" si="101">24*60*SUM($M98:$M98)</f>
        <v>40.033333335304633</v>
      </c>
      <c r="O98" s="7"/>
      <c r="P98" s="7"/>
      <c r="Q98" s="22"/>
      <c r="R98" s="167"/>
      <c r="S98" s="210">
        <f t="shared" ref="S98:S129" si="102">1/IF(AG98="EC",12,1)*SUM(U98:U98)</f>
        <v>1</v>
      </c>
      <c r="T98" s="192" t="str">
        <f t="shared" si="87"/>
        <v>Southbound</v>
      </c>
      <c r="U98" s="192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3" t="str">
        <f t="shared" si="80"/>
        <v>https://d0f6bd738d7f1b3e5a7ca70fe4ff75f0.us-east-1.aws.found.io/app/kibana#/discover/Steve-Slow-Train-Analysis-(2080s-and-2083s)?_g=(refreshInterval:(display:Off,pause:!f,section:0,value:0),time:(from:'2017-09-02T13:52:50-0600',mode:absolute,to:'2017-09-02T16:37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98" s="194" t="str">
        <f>IF(AA98&lt;VLOOKUP(AG98,Variables!$AC$3:$AD$8,2,FALSE),"Y","N")</f>
        <v>N</v>
      </c>
      <c r="X98" s="194">
        <f t="shared" si="100"/>
        <v>1</v>
      </c>
      <c r="Y98" s="194">
        <f t="shared" si="83"/>
        <v>23.295100000000001</v>
      </c>
      <c r="Z98" s="194">
        <f t="shared" si="84"/>
        <v>1.18E-2</v>
      </c>
      <c r="AA98" s="194">
        <f t="shared" si="88"/>
        <v>23.283300000000001</v>
      </c>
      <c r="AB98" s="54" t="str">
        <f>VLOOKUP(A98,Enforcements!$C$7:$K$11,8,0)</f>
        <v>Bulletin (2)</v>
      </c>
      <c r="AC98" s="51" t="str">
        <f>VLOOKUP(A98,Enforcements!$C$7:$E$11,3,0)</f>
        <v>GRADE CROSSING</v>
      </c>
      <c r="AD98" s="203">
        <f t="shared" si="89"/>
        <v>184</v>
      </c>
      <c r="AE98" s="77" t="str">
        <f t="shared" si="81"/>
        <v>aws s3 cp s3://rtdc.mdm.uploadarchive.raw/RTDC4051/ "%USERPROFILE%\AppData\Local\Temp\OnboardLogs"\RTDC4051\2017-09-02 --exclude "*" --recursive --include "*20170902*" &amp; "%USERPROFILE%\Documents\GitHub\mrs-test-scripts\Headless Mode &amp; Sideloading\WalkAndUnGZ.bat" "%USERPROFILE%\AppData\Local\Temp\OnboardLogs"\RTDC4051\2017-09-02 &amp; aws s3 cp s3://rtdc.mdm.uploadarchive.raw/RTDC4051/ "%USERPROFILE%\AppData\Local\Temp\OnboardLogs"\RTDC4051\2017-09-03 --exclude "*" --recursive --include "*20170903*" &amp; "%USERPROFILE%\Documents\GitHub\mrs-test-scripts\Headless Mode &amp; Sideloading\WalkAndUnGZ.bat" "%USERPROFILE%\AppData\Local\Temp\OnboardLogs"\RTDC4051\2017-09-03</v>
      </c>
      <c r="AF98" s="74" t="str">
        <f t="shared" si="82"/>
        <v>"C:\Program Files (x86)\AstroGrep\AstroGrep.exe" /e /r /s /spath="%USERPROFILE%\AppData\Local\Temp\OnboardLogs" /stypes="app*4051*20170902*" /stext=" 21:.+((SYSTEM_STATE.+slice.+state.+changed )|(ment ac)|(multiple cpu faults)|(system.+state.+changed )|(\[timeout)|(PRM\|1\|D)|(kpr)|(kdp)|(train st.+moving)|(\|lc)|(penalty))"</v>
      </c>
      <c r="AG98" s="206" t="str">
        <f t="shared" si="90"/>
        <v>EC</v>
      </c>
      <c r="AH98" s="78" t="str">
        <f t="shared" si="91"/>
        <v>"%USERPROFILE%\Documents\GitHub\eaglep3\Utilities\RefineRTDCRunTimes.py" --tripid 184-02 --locoid 4051 --swversion DE.1.0.9.0 --startMP 204:232951 --initTime 2017-09-02T14:52:50 --startdatetime 2017-09-02T14:57:22 --delay 67 --endMP 204:118 --enddatetime 2017-09-02T15:37:24 --enforcementcount 0 &gt;&gt;C:\Users\stu\Documents\GitHub\eaglep3-reporting\EC\2017-09-02-refined-times.txt</v>
      </c>
      <c r="AI98" s="96" t="str">
        <f t="shared" si="92"/>
        <v>echo {"issue":{"subject":"","project_id":79,"tracker_id":40,"status_id":1,"priority_id":2,"assigned_to_id":338,"start_date":"2017-09-02","description":"","custom_fields":[{"id":1,"name":"Subdivision","value":"EC"},{"id":4,"name":"Milepost","value":"0.0118"},{"id":17,"name":"Train ID","value":"184-02"},{"id":16,"name":"Locomotive ID","value":"4051"},{"id":130,"name":"Impact","value":""},{"id":150,"name":"Time of Event (Mountain Time)","value":"15:37:24"},{"id":151,"name":"Denver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20"/>
      <c r="AK98" s="47"/>
      <c r="AL98" s="47"/>
      <c r="AM98" s="142" t="str">
        <f t="shared" si="93"/>
        <v>start /low /b %USERPROFILE%\Documents\GitHub\eaglep3\Utilities\DownloadLogsFromS3.py --loco 4051 --day 2017-09-02</v>
      </c>
      <c r="AN98" s="151" t="str">
        <f t="shared" si="94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21:37:24"},{"id":29,"name":"Sharepoint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25">
      <c r="A99" s="32" t="s">
        <v>696</v>
      </c>
      <c r="B99" s="7">
        <v>4032</v>
      </c>
      <c r="C99" s="21" t="s">
        <v>197</v>
      </c>
      <c r="D99" s="21" t="s">
        <v>377</v>
      </c>
      <c r="E99" s="13">
        <v>42980.589328703703</v>
      </c>
      <c r="F99" s="13">
        <v>42980.593935185185</v>
      </c>
      <c r="G99" s="7">
        <v>131</v>
      </c>
      <c r="H99" s="21" t="s">
        <v>491</v>
      </c>
      <c r="I99" s="13">
        <v>42980.622488425928</v>
      </c>
      <c r="J99" s="7">
        <v>0</v>
      </c>
      <c r="K99" s="89" t="str">
        <f t="shared" si="85"/>
        <v>4031/4032</v>
      </c>
      <c r="L99" s="214" t="str">
        <f>VLOOKUP(A99,'Trips&amp;Operators'!$C$1:$G$99911,5,FALSE)</f>
        <v>BRUDER RICHARD</v>
      </c>
      <c r="M99" s="6">
        <f t="shared" si="86"/>
        <v>2.8553240743349306E-2</v>
      </c>
      <c r="N99" s="7">
        <f t="shared" si="101"/>
        <v>41.116666670423001</v>
      </c>
      <c r="O99" s="7"/>
      <c r="P99" s="7"/>
      <c r="Q99" s="22"/>
      <c r="R99" s="167"/>
      <c r="S99" s="210">
        <f t="shared" si="102"/>
        <v>1</v>
      </c>
      <c r="T99" s="192" t="str">
        <f t="shared" si="87"/>
        <v>NorthBound</v>
      </c>
      <c r="U99" s="192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3" t="str">
        <f t="shared" si="80"/>
        <v>https://d0f6bd738d7f1b3e5a7ca70fe4ff75f0.us-east-1.aws.found.io/app/kibana#/discover/Steve-Slow-Train-Analysis-(2080s-and-2083s)?_g=(refreshInterval:(display:Off,pause:!f,section:0,value:0),time:(from:'2017-09-02T13:08:38-0600',mode:absolute,to:'2017-09-02T15:56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99" s="194" t="str">
        <f>IF(AA99&lt;VLOOKUP(AG99,Variables!$AC$3:$AD$8,2,FALSE),"Y","N")</f>
        <v>N</v>
      </c>
      <c r="X99" s="194">
        <f t="shared" si="100"/>
        <v>1</v>
      </c>
      <c r="Y99" s="194">
        <f t="shared" si="83"/>
        <v>4.6600000000000003E-2</v>
      </c>
      <c r="Z99" s="194">
        <f t="shared" si="84"/>
        <v>23.329899999999999</v>
      </c>
      <c r="AA99" s="194">
        <f t="shared" si="88"/>
        <v>23.283299999999997</v>
      </c>
      <c r="AB99" s="54" t="e">
        <f>VLOOKUP(A99,Enforcements!$C$7:$K$11,8,0)</f>
        <v>#N/A</v>
      </c>
      <c r="AC99" s="51" t="e">
        <f>VLOOKUP(A99,Enforcements!$C$7:$E$11,3,0)</f>
        <v>#N/A</v>
      </c>
      <c r="AD99" s="203">
        <f t="shared" si="89"/>
        <v>185</v>
      </c>
      <c r="AE99" s="77" t="str">
        <f t="shared" si="81"/>
        <v>aws s3 cp s3://rtdc.mdm.uploadarchive.raw/RTDC4032/ "%USERPROFILE%\AppData\Local\Temp\OnboardLogs"\RTDC4032\2017-09-02 --exclude "*" --recursive --include "*20170902*" &amp; "%USERPROFILE%\Documents\GitHub\mrs-test-scripts\Headless Mode &amp; Sideloading\WalkAndUnGZ.bat" "%USERPROFILE%\AppData\Local\Temp\OnboardLogs"\RTDC4032\2017-09-02 &amp; aws s3 cp s3://rtdc.mdm.uploadarchive.raw/RTDC4032/ "%USERPROFILE%\AppData\Local\Temp\OnboardLogs"\RTDC4032\2017-09-03 --exclude "*" --recursive --include "*20170903*" &amp; "%USERPROFILE%\Documents\GitHub\mrs-test-scripts\Headless Mode &amp; Sideloading\WalkAndUnGZ.bat" "%USERPROFILE%\AppData\Local\Temp\OnboardLogs"\RTDC4032\2017-09-03</v>
      </c>
      <c r="AF99" s="74" t="str">
        <f t="shared" si="82"/>
        <v>"C:\Program Files (x86)\AstroGrep\AstroGrep.exe" /e /r /s /spath="%USERPROFILE%\AppData\Local\Temp\OnboardLogs" /stypes="app*4032*20170902*" /stext=" 20:.+((SYSTEM_STATE.+slice.+state.+changed )|(ment ac)|(multiple cpu faults)|(system.+state.+changed )|(\[timeout)|(PRM\|1\|D)|(kpr)|(kdp)|(train st.+moving)|(\|lc)|(penalty))"</v>
      </c>
      <c r="AG99" s="206" t="str">
        <f t="shared" si="90"/>
        <v>EC</v>
      </c>
      <c r="AH99" s="78" t="str">
        <f t="shared" si="91"/>
        <v>"%USERPROFILE%\Documents\GitHub\eaglep3\Utilities\RefineRTDCRunTimes.py" --tripid 185-02 --locoid 4032 --swversion DE.1.0.9.0 --startMP 204:466 --initTime 2017-09-02T14:08:38 --startdatetime 2017-09-02T14:15:16 --delay 131 --endMP 204:233299 --enddatetime 2017-09-02T14:56:23 --enforcementcount 0 &gt;&gt;C:\Users\stu\Documents\GitHub\eaglep3-reporting\EC\2017-09-02-refined-times.txt</v>
      </c>
      <c r="AI99" s="96" t="str">
        <f t="shared" si="92"/>
        <v>echo {"issue":{"subject":"","project_id":79,"tracker_id":40,"status_id":1,"priority_id":2,"assigned_to_id":338,"start_date":"2017-09-02","description":"","custom_fields":[{"id":1,"name":"Subdivision","value":"EC"},{"id":4,"name":"Milepost","value":"23.3299"},{"id":17,"name":"Train ID","value":"185-02"},{"id":16,"name":"Locomotive ID","value":"4032"},{"id":130,"name":"Impact","value":""},{"id":150,"name":"Time of Event (Mountain Time)","value":"14:56:23"},{"id":151,"name":"Denver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20"/>
      <c r="AK99" s="47"/>
      <c r="AL99" s="47"/>
      <c r="AM99" s="142" t="str">
        <f t="shared" si="93"/>
        <v>start /low /b %USERPROFILE%\Documents\GitHub\eaglep3\Utilities\DownloadLogsFromS3.py --loco 4032 --day 2017-09-02</v>
      </c>
      <c r="AN99" s="151" t="str">
        <f t="shared" si="94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20:56:23"},{"id":29,"name":"Sharepoint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25">
      <c r="A100" s="32" t="s">
        <v>703</v>
      </c>
      <c r="B100" s="7">
        <v>4031</v>
      </c>
      <c r="C100" s="21" t="s">
        <v>197</v>
      </c>
      <c r="D100" s="21" t="s">
        <v>488</v>
      </c>
      <c r="E100" s="13">
        <v>42980.630023148151</v>
      </c>
      <c r="F100" s="13">
        <v>42980.633587962962</v>
      </c>
      <c r="G100" s="7">
        <v>66</v>
      </c>
      <c r="H100" s="21" t="s">
        <v>338</v>
      </c>
      <c r="I100" s="13">
        <v>42980.673958333333</v>
      </c>
      <c r="J100" s="7">
        <v>0</v>
      </c>
      <c r="K100" s="89" t="str">
        <f t="shared" si="85"/>
        <v>4031/4032</v>
      </c>
      <c r="L100" s="214" t="str">
        <f>VLOOKUP(A100,'Trips&amp;Operators'!$C$1:$G$99911,5,FALSE)</f>
        <v>BRUDER RICHARD</v>
      </c>
      <c r="M100" s="6">
        <f t="shared" si="86"/>
        <v>4.03703703705105E-2</v>
      </c>
      <c r="N100" s="7">
        <f t="shared" si="101"/>
        <v>58.13333333353512</v>
      </c>
      <c r="O100" s="7"/>
      <c r="P100" s="7"/>
      <c r="Q100" s="22"/>
      <c r="R100" s="167" t="s">
        <v>961</v>
      </c>
      <c r="S100" s="210">
        <f t="shared" si="102"/>
        <v>1</v>
      </c>
      <c r="T100" s="192" t="str">
        <f t="shared" si="87"/>
        <v>Southbound</v>
      </c>
      <c r="U100" s="192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3" t="str">
        <f t="shared" si="80"/>
        <v>https://d0f6bd738d7f1b3e5a7ca70fe4ff75f0.us-east-1.aws.found.io/app/kibana#/discover/Steve-Slow-Train-Analysis-(2080s-and-2083s)?_g=(refreshInterval:(display:Off,pause:!f,section:0,value:0),time:(from:'2017-09-02T14:07:14-0600',mode:absolute,to:'2017-09-02T17:10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0" s="194" t="str">
        <f>IF(AA100&lt;VLOOKUP(AG100,Variables!$AC$3:$AD$8,2,FALSE),"Y","N")</f>
        <v>N</v>
      </c>
      <c r="X100" s="194">
        <f t="shared" si="100"/>
        <v>1</v>
      </c>
      <c r="Y100" s="194">
        <f t="shared" si="83"/>
        <v>23.297799999999999</v>
      </c>
      <c r="Z100" s="194">
        <f t="shared" si="84"/>
        <v>1.4999999999999999E-2</v>
      </c>
      <c r="AA100" s="194">
        <f t="shared" si="88"/>
        <v>23.282799999999998</v>
      </c>
      <c r="AB100" s="54" t="e">
        <f>VLOOKUP(A100,Enforcements!$C$7:$K$11,8,0)</f>
        <v>#N/A</v>
      </c>
      <c r="AC100" s="51" t="e">
        <f>VLOOKUP(A100,Enforcements!$C$7:$E$11,3,0)</f>
        <v>#N/A</v>
      </c>
      <c r="AD100" s="203">
        <f t="shared" si="89"/>
        <v>186</v>
      </c>
      <c r="AE100" s="77" t="str">
        <f t="shared" si="81"/>
        <v>aws s3 cp s3://rtdc.mdm.uploadarchive.raw/RTDC4031/ "%USERPROFILE%\AppData\Local\Temp\OnboardLogs"\RTDC4031\2017-09-02 --exclude "*" --recursive --include "*20170902*" &amp; "%USERPROFILE%\Documents\GitHub\mrs-test-scripts\Headless Mode &amp; Sideloading\WalkAndUnGZ.bat" "%USERPROFILE%\AppData\Local\Temp\OnboardLogs"\RTDC4031\2017-09-02 &amp; aws s3 cp s3://rtdc.mdm.uploadarchive.raw/RTDC4031/ "%USERPROFILE%\AppData\Local\Temp\OnboardLogs"\RTDC4031\2017-09-03 --exclude "*" --recursive --include "*20170903*" &amp; "%USERPROFILE%\Documents\GitHub\mrs-test-scripts\Headless Mode &amp; Sideloading\WalkAndUnGZ.bat" "%USERPROFILE%\AppData\Local\Temp\OnboardLogs"\RTDC4031\2017-09-03</v>
      </c>
      <c r="AF100" s="74" t="str">
        <f t="shared" si="82"/>
        <v>"C:\Program Files (x86)\AstroGrep\AstroGrep.exe" /e /r /s /spath="%USERPROFILE%\AppData\Local\Temp\OnboardLogs" /stypes="app*4031*20170902*" /stext=" 22:.+((SYSTEM_STATE.+slice.+state.+changed )|(ment ac)|(multiple cpu faults)|(system.+state.+changed )|(\[timeout)|(PRM\|1\|D)|(kpr)|(kdp)|(train st.+moving)|(\|lc)|(penalty))"</v>
      </c>
      <c r="AG100" s="206" t="str">
        <f t="shared" si="90"/>
        <v>EC</v>
      </c>
      <c r="AH100" s="78" t="str">
        <f t="shared" si="91"/>
        <v>"%USERPROFILE%\Documents\GitHub\eaglep3\Utilities\RefineRTDCRunTimes.py" --tripid 186-02 --locoid 4031 --swversion DE.1.0.9.0 --startMP 204:232978 --initTime 2017-09-02T15:07:14 --startdatetime 2017-09-02T15:12:22 --delay 66 --endMP 204:150 --enddatetime 2017-09-02T16:10:30 --enforcementcount 0 &gt;&gt;C:\Users\stu\Documents\GitHub\eaglep3-reporting\EC\2017-09-02-refined-times.txt</v>
      </c>
      <c r="AI100" s="96" t="str">
        <f t="shared" si="92"/>
        <v>echo {"issue":{"subject":"Delayed by false occupancy @ ML1680","project_id":79,"tracker_id":40,"status_id":1,"priority_id":2,"assigned_to_id":338,"start_date":"2017-09-02","description":"","custom_fields":[{"id":1,"name":"Subdivision","value":"EC"},{"id":4,"name":"Milepost","value":"0.015"},{"id":17,"name":"Train ID","value":"186-02"},{"id":16,"name":"Locomotive ID","value":"4031"},{"id":130,"name":"Impact","value":""},{"id":150,"name":"Time of Event (Mountain Time)","value":"16:10:30"},{"id":151,"name":"Denver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20"/>
      <c r="AK100" s="47"/>
      <c r="AL100" s="47"/>
      <c r="AM100" s="142" t="str">
        <f t="shared" si="93"/>
        <v>start /low /b %USERPROFILE%\Documents\GitHub\eaglep3\Utilities\DownloadLogsFromS3.py --loco 4031 --day 2017-09-02</v>
      </c>
      <c r="AN100" s="151" t="str">
        <f t="shared" si="94"/>
        <v>echo {"issue":{"subject":"Delayed by false occupancy @ ML1680","project_id":30,"tracker_id":4,"status_id":1,"priority_id":1,"assigned_to_id":10,"start_date":"2017-09-02","description":"","custom_fields":[{"id":30,"name":"Category","value":"Issue"},{"id":3,"name":"Functional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22:10:30"},{"id":29,"name":"Sharepoint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1" customFormat="1" x14ac:dyDescent="0.25">
      <c r="A101" s="32" t="s">
        <v>581</v>
      </c>
      <c r="B101" s="7">
        <v>4018</v>
      </c>
      <c r="C101" s="21" t="s">
        <v>197</v>
      </c>
      <c r="D101" s="21" t="s">
        <v>546</v>
      </c>
      <c r="E101" s="13">
        <v>42980.601458333331</v>
      </c>
      <c r="F101" s="13">
        <v>42980.604386574072</v>
      </c>
      <c r="G101" s="7">
        <v>52</v>
      </c>
      <c r="H101" s="21" t="s">
        <v>484</v>
      </c>
      <c r="I101" s="13">
        <v>42980.629976851851</v>
      </c>
      <c r="J101" s="7">
        <v>0</v>
      </c>
      <c r="K101" s="89" t="str">
        <f t="shared" si="85"/>
        <v>4017/4018</v>
      </c>
      <c r="L101" s="214" t="str">
        <f>VLOOKUP(A101,'Trips&amp;Operators'!$C$1:$G$99911,5,FALSE)</f>
        <v>HOLCOMB KAMDEN</v>
      </c>
      <c r="M101" s="6">
        <f t="shared" si="86"/>
        <v>2.5590277778974269E-2</v>
      </c>
      <c r="N101" s="7">
        <f t="shared" si="101"/>
        <v>36.850000001722947</v>
      </c>
      <c r="O101" s="7"/>
      <c r="P101" s="7"/>
      <c r="Q101" s="22"/>
      <c r="R101" s="167"/>
      <c r="S101" s="210">
        <f t="shared" si="102"/>
        <v>1</v>
      </c>
      <c r="T101" s="192" t="str">
        <f t="shared" si="87"/>
        <v>NorthBound</v>
      </c>
      <c r="U101" s="192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3" t="str">
        <f t="shared" si="80"/>
        <v>https://d0f6bd738d7f1b3e5a7ca70fe4ff75f0.us-east-1.aws.found.io/app/kibana#/discover/Steve-Slow-Train-Analysis-(2080s-and-2083s)?_g=(refreshInterval:(display:Off,pause:!f,section:0,value:0),time:(from:'2017-09-02T13:26:06-0600',mode:absolute,to:'2017-09-02T16:07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1" s="194" t="str">
        <f>IF(AA101&lt;VLOOKUP(AG101,Variables!$AC$3:$AD$8,2,FALSE),"Y","N")</f>
        <v>N</v>
      </c>
      <c r="X101" s="194">
        <f t="shared" si="100"/>
        <v>1</v>
      </c>
      <c r="Y101" s="194">
        <f t="shared" si="83"/>
        <v>4.2599999999999999E-2</v>
      </c>
      <c r="Z101" s="194">
        <f t="shared" si="84"/>
        <v>23.331499999999998</v>
      </c>
      <c r="AA101" s="194">
        <f t="shared" si="88"/>
        <v>23.288899999999998</v>
      </c>
      <c r="AB101" s="54" t="e">
        <f>VLOOKUP(A101,Enforcements!$C$7:$K$11,8,0)</f>
        <v>#N/A</v>
      </c>
      <c r="AC101" s="51" t="e">
        <f>VLOOKUP(A101,Enforcements!$C$7:$E$11,3,0)</f>
        <v>#N/A</v>
      </c>
      <c r="AD101" s="203">
        <f t="shared" si="89"/>
        <v>187</v>
      </c>
      <c r="AE101" s="77" t="str">
        <f t="shared" si="81"/>
        <v>aws s3 cp s3://rtdc.mdm.uploadarchive.raw/RTDC4018/ "%USERPROFILE%\AppData\Local\Temp\OnboardLogs"\RTDC4018\2017-09-02 --exclude "*" --recursive --include "*20170902*" &amp; "%USERPROFILE%\Documents\GitHub\mrs-test-scripts\Headless Mode &amp; Sideloading\WalkAndUnGZ.bat" "%USERPROFILE%\AppData\Local\Temp\OnboardLogs"\RTDC4018\2017-09-02 &amp; aws s3 cp s3://rtdc.mdm.uploadarchive.raw/RTDC4018/ "%USERPROFILE%\AppData\Local\Temp\OnboardLogs"\RTDC4018\2017-09-03 --exclude "*" --recursive --include "*20170903*" &amp; "%USERPROFILE%\Documents\GitHub\mrs-test-scripts\Headless Mode &amp; Sideloading\WalkAndUnGZ.bat" "%USERPROFILE%\AppData\Local\Temp\OnboardLogs"\RTDC4018\2017-09-03</v>
      </c>
      <c r="AF101" s="74" t="str">
        <f t="shared" si="82"/>
        <v>"C:\Program Files (x86)\AstroGrep\AstroGrep.exe" /e /r /s /spath="%USERPROFILE%\AppData\Local\Temp\OnboardLogs" /stypes="app*4018*20170902*" /stext=" 21:.+((SYSTEM_STATE.+slice.+state.+changed )|(ment ac)|(multiple cpu faults)|(system.+state.+changed )|(\[timeout)|(PRM\|1\|D)|(kpr)|(kdp)|(train st.+moving)|(\|lc)|(penalty))"</v>
      </c>
      <c r="AG101" s="206" t="str">
        <f t="shared" si="90"/>
        <v>EC</v>
      </c>
      <c r="AH101" s="78" t="str">
        <f t="shared" si="91"/>
        <v>"%USERPROFILE%\Documents\GitHub\eaglep3\Utilities\RefineRTDCRunTimes.py" --tripid 187-02 --locoid 4018 --swversion DE.1.0.9.0 --startMP 204:426 --initTime 2017-09-02T14:26:06 --startdatetime 2017-09-02T14:30:19 --delay 52 --endMP 204:233315 --enddatetime 2017-09-02T15:07:10 --enforcementcount 0 &gt;&gt;C:\Users\stu\Documents\GitHub\eaglep3-reporting\EC\2017-09-02-refined-times.txt</v>
      </c>
      <c r="AI101" s="96" t="str">
        <f t="shared" si="92"/>
        <v>echo {"issue":{"subject":"","project_id":79,"tracker_id":40,"status_id":1,"priority_id":2,"assigned_to_id":338,"start_date":"2017-09-02","description":"","custom_fields":[{"id":1,"name":"Subdivision","value":"EC"},{"id":4,"name":"Milepost","value":"23.3315"},{"id":17,"name":"Train ID","value":"187-02"},{"id":16,"name":"Locomotive ID","value":"4018"},{"id":130,"name":"Impact","value":""},{"id":150,"name":"Time of Event (Mountain Time)","value":"15:07:10"},{"id":151,"name":"Denver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20"/>
      <c r="AK101" s="47"/>
      <c r="AL101" s="47"/>
      <c r="AM101" s="142" t="str">
        <f t="shared" si="93"/>
        <v>start /low /b %USERPROFILE%\Documents\GitHub\eaglep3\Utilities\DownloadLogsFromS3.py --loco 4018 --day 2017-09-02</v>
      </c>
      <c r="AN101" s="151" t="str">
        <f t="shared" si="94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21:07:10"},{"id":29,"name":"Sharepoint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1" customFormat="1" x14ac:dyDescent="0.25">
      <c r="A102" s="32" t="s">
        <v>585</v>
      </c>
      <c r="B102" s="7">
        <v>4017</v>
      </c>
      <c r="C102" s="21" t="s">
        <v>197</v>
      </c>
      <c r="D102" s="21" t="s">
        <v>814</v>
      </c>
      <c r="E102" s="13">
        <v>42980.640451388892</v>
      </c>
      <c r="F102" s="13">
        <v>42980.64402777778</v>
      </c>
      <c r="G102" s="7">
        <v>50</v>
      </c>
      <c r="H102" s="21" t="s">
        <v>870</v>
      </c>
      <c r="I102" s="13">
        <v>42980.681666666664</v>
      </c>
      <c r="J102" s="7">
        <v>0</v>
      </c>
      <c r="K102" s="89" t="str">
        <f t="shared" si="85"/>
        <v>4017/4018</v>
      </c>
      <c r="L102" s="214" t="str">
        <f>VLOOKUP(A102,'Trips&amp;Operators'!$C$1:$G$99911,5,FALSE)</f>
        <v>HOLCOMB KAMDEN</v>
      </c>
      <c r="M102" s="6">
        <f t="shared" si="86"/>
        <v>3.7638888883520849E-2</v>
      </c>
      <c r="N102" s="7">
        <f t="shared" si="101"/>
        <v>54.199999992270023</v>
      </c>
      <c r="O102" s="7"/>
      <c r="P102" s="7"/>
      <c r="Q102" s="22"/>
      <c r="R102" s="167" t="s">
        <v>961</v>
      </c>
      <c r="S102" s="210">
        <f t="shared" si="102"/>
        <v>1</v>
      </c>
      <c r="T102" s="192" t="str">
        <f t="shared" si="87"/>
        <v>Southbound</v>
      </c>
      <c r="U102" s="192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3" t="str">
        <f t="shared" si="80"/>
        <v>https://d0f6bd738d7f1b3e5a7ca70fe4ff75f0.us-east-1.aws.found.io/app/kibana#/discover/Steve-Slow-Train-Analysis-(2080s-and-2083s)?_g=(refreshInterval:(display:Off,pause:!f,section:0,value:0),time:(from:'2017-09-02T14:22:15-0600',mode:absolute,to:'2017-09-02T17:21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2" s="194" t="str">
        <f>IF(AA102&lt;VLOOKUP(AG102,Variables!$AC$3:$AD$8,2,FALSE),"Y","N")</f>
        <v>N</v>
      </c>
      <c r="X102" s="194">
        <f t="shared" si="100"/>
        <v>1</v>
      </c>
      <c r="Y102" s="194">
        <f t="shared" si="83"/>
        <v>23.299800000000001</v>
      </c>
      <c r="Z102" s="194">
        <f t="shared" si="84"/>
        <v>0.11559999999999999</v>
      </c>
      <c r="AA102" s="194">
        <f t="shared" si="88"/>
        <v>23.184200000000001</v>
      </c>
      <c r="AB102" s="54" t="e">
        <f>VLOOKUP(A102,Enforcements!$C$7:$K$11,8,0)</f>
        <v>#N/A</v>
      </c>
      <c r="AC102" s="51" t="e">
        <f>VLOOKUP(A102,Enforcements!$C$7:$E$11,3,0)</f>
        <v>#N/A</v>
      </c>
      <c r="AD102" s="203">
        <f t="shared" si="89"/>
        <v>188</v>
      </c>
      <c r="AE102" s="77" t="str">
        <f t="shared" si="81"/>
        <v>aws s3 cp s3://rtdc.mdm.uploadarchive.raw/RTDC4017/ "%USERPROFILE%\AppData\Local\Temp\OnboardLogs"\RTDC4017\2017-09-02 --exclude "*" --recursive --include "*20170902*" &amp; "%USERPROFILE%\Documents\GitHub\mrs-test-scripts\Headless Mode &amp; Sideloading\WalkAndUnGZ.bat" "%USERPROFILE%\AppData\Local\Temp\OnboardLogs"\RTDC4017\2017-09-02 &amp; aws s3 cp s3://rtdc.mdm.uploadarchive.raw/RTDC4017/ "%USERPROFILE%\AppData\Local\Temp\OnboardLogs"\RTDC4017\2017-09-03 --exclude "*" --recursive --include "*20170903*" &amp; "%USERPROFILE%\Documents\GitHub\mrs-test-scripts\Headless Mode &amp; Sideloading\WalkAndUnGZ.bat" "%USERPROFILE%\AppData\Local\Temp\OnboardLogs"\RTDC4017\2017-09-03</v>
      </c>
      <c r="AF102" s="74" t="str">
        <f t="shared" si="82"/>
        <v>"C:\Program Files (x86)\AstroGrep\AstroGrep.exe" /e /r /s /spath="%USERPROFILE%\AppData\Local\Temp\OnboardLogs" /stypes="app*4017*20170902*" /stext=" 22:.+((SYSTEM_STATE.+slice.+state.+changed )|(ment ac)|(multiple cpu faults)|(system.+state.+changed )|(\[timeout)|(PRM\|1\|D)|(kpr)|(kdp)|(train st.+moving)|(\|lc)|(penalty))"</v>
      </c>
      <c r="AG102" s="206" t="str">
        <f t="shared" si="90"/>
        <v>EC</v>
      </c>
      <c r="AH102" s="78" t="str">
        <f t="shared" si="91"/>
        <v>"%USERPROFILE%\Documents\GitHub\eaglep3\Utilities\RefineRTDCRunTimes.py" --tripid 188-02 --locoid 4017 --swversion DE.1.0.9.0 --startMP 204:232998 --initTime 2017-09-02T15:22:15 --startdatetime 2017-09-02T15:27:24 --delay 50 --endMP 204:1156 --enddatetime 2017-09-02T16:21:36 --enforcementcount 0 &gt;&gt;C:\Users\stu\Documents\GitHub\eaglep3-reporting\EC\2017-09-02-refined-times.txt</v>
      </c>
      <c r="AI102" s="96" t="str">
        <f t="shared" si="92"/>
        <v>echo {"issue":{"subject":"Delayed by false occupancy @ ML1680","project_id":79,"tracker_id":40,"status_id":1,"priority_id":2,"assigned_to_id":338,"start_date":"2017-09-02","description":"","custom_fields":[{"id":1,"name":"Subdivision","value":"EC"},{"id":4,"name":"Milepost","value":"0.1156"},{"id":17,"name":"Train ID","value":"188-02"},{"id":16,"name":"Locomotive ID","value":"4017"},{"id":130,"name":"Impact","value":""},{"id":150,"name":"Time of Event (Mountain Time)","value":"16:21:36"},{"id":151,"name":"Denver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20"/>
      <c r="AK102" s="47"/>
      <c r="AL102" s="47"/>
      <c r="AM102" s="142" t="str">
        <f t="shared" si="93"/>
        <v>start /low /b %USERPROFILE%\Documents\GitHub\eaglep3\Utilities\DownloadLogsFromS3.py --loco 4017 --day 2017-09-02</v>
      </c>
      <c r="AN102" s="151" t="str">
        <f t="shared" si="94"/>
        <v>echo {"issue":{"subject":"Delayed by false occupancy @ ML1680","project_id":30,"tracker_id":4,"status_id":1,"priority_id":1,"assigned_to_id":10,"start_date":"2017-09-02","description":"","custom_fields":[{"id":30,"name":"Category","value":"Issue"},{"id":3,"name":"Functional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22:21:36"},{"id":29,"name":"Sharepoint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1" customFormat="1" x14ac:dyDescent="0.25">
      <c r="A103" s="32" t="s">
        <v>699</v>
      </c>
      <c r="B103" s="7">
        <v>4028</v>
      </c>
      <c r="C103" s="21" t="s">
        <v>197</v>
      </c>
      <c r="D103" s="21" t="s">
        <v>871</v>
      </c>
      <c r="E103" s="13">
        <v>42980.613125000003</v>
      </c>
      <c r="F103" s="13">
        <v>42980.615347222221</v>
      </c>
      <c r="G103" s="7">
        <v>58</v>
      </c>
      <c r="H103" s="21" t="s">
        <v>872</v>
      </c>
      <c r="I103" s="13">
        <v>42980.642754629633</v>
      </c>
      <c r="J103" s="7">
        <v>0</v>
      </c>
      <c r="K103" s="89" t="str">
        <f t="shared" si="85"/>
        <v>4027/4028</v>
      </c>
      <c r="L103" s="214" t="str">
        <f>VLOOKUP(A103,'Trips&amp;Operators'!$C$1:$G$99911,5,FALSE)</f>
        <v>DAVIS MICHAEL</v>
      </c>
      <c r="M103" s="6">
        <f t="shared" si="86"/>
        <v>2.7407407411374152E-2</v>
      </c>
      <c r="N103" s="7">
        <f t="shared" si="101"/>
        <v>39.466666672378778</v>
      </c>
      <c r="O103" s="7"/>
      <c r="P103" s="7"/>
      <c r="Q103" s="22"/>
      <c r="R103" s="167"/>
      <c r="S103" s="210">
        <f t="shared" si="102"/>
        <v>1</v>
      </c>
      <c r="T103" s="192" t="str">
        <f t="shared" si="87"/>
        <v>NorthBound</v>
      </c>
      <c r="U103" s="192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3" t="str">
        <f t="shared" si="80"/>
        <v>https://d0f6bd738d7f1b3e5a7ca70fe4ff75f0.us-east-1.aws.found.io/app/kibana#/discover/Steve-Slow-Train-Analysis-(2080s-and-2083s)?_g=(refreshInterval:(display:Off,pause:!f,section:0,value:0),time:(from:'2017-09-02T13:42:54-0600',mode:absolute,to:'2017-09-02T16:25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03" s="194" t="str">
        <f>IF(AA103&lt;VLOOKUP(AG103,Variables!$AC$3:$AD$8,2,FALSE),"Y","N")</f>
        <v>N</v>
      </c>
      <c r="X103" s="194">
        <f t="shared" si="100"/>
        <v>1</v>
      </c>
      <c r="Y103" s="194">
        <f t="shared" si="83"/>
        <v>4.2700000000000002E-2</v>
      </c>
      <c r="Z103" s="194">
        <f t="shared" si="84"/>
        <v>23.336600000000001</v>
      </c>
      <c r="AA103" s="194">
        <f t="shared" si="88"/>
        <v>23.293900000000001</v>
      </c>
      <c r="AB103" s="54" t="e">
        <f>VLOOKUP(A103,Enforcements!$C$7:$K$11,8,0)</f>
        <v>#N/A</v>
      </c>
      <c r="AC103" s="51" t="e">
        <f>VLOOKUP(A103,Enforcements!$C$7:$E$11,3,0)</f>
        <v>#N/A</v>
      </c>
      <c r="AD103" s="203">
        <f t="shared" si="89"/>
        <v>189</v>
      </c>
      <c r="AE103" s="77" t="str">
        <f t="shared" si="81"/>
        <v>aws s3 cp s3://rtdc.mdm.uploadarchive.raw/RTDC4028/ "%USERPROFILE%\AppData\Local\Temp\OnboardLogs"\RTDC4028\2017-09-02 --exclude "*" --recursive --include "*20170902*" &amp; "%USERPROFILE%\Documents\GitHub\mrs-test-scripts\Headless Mode &amp; Sideloading\WalkAndUnGZ.bat" "%USERPROFILE%\AppData\Local\Temp\OnboardLogs"\RTDC4028\2017-09-02 &amp; aws s3 cp s3://rtdc.mdm.uploadarchive.raw/RTDC4028/ "%USERPROFILE%\AppData\Local\Temp\OnboardLogs"\RTDC4028\2017-09-03 --exclude "*" --recursive --include "*20170903*" &amp; "%USERPROFILE%\Documents\GitHub\mrs-test-scripts\Headless Mode &amp; Sideloading\WalkAndUnGZ.bat" "%USERPROFILE%\AppData\Local\Temp\OnboardLogs"\RTDC4028\2017-09-03</v>
      </c>
      <c r="AF103" s="74" t="str">
        <f t="shared" si="82"/>
        <v>"C:\Program Files (x86)\AstroGrep\AstroGrep.exe" /e /r /s /spath="%USERPROFILE%\AppData\Local\Temp\OnboardLogs" /stypes="app*4028*20170902*" /stext=" 21:.+((SYSTEM_STATE.+slice.+state.+changed )|(ment ac)|(multiple cpu faults)|(system.+state.+changed )|(\[timeout)|(PRM\|1\|D)|(kpr)|(kdp)|(train st.+moving)|(\|lc)|(penalty))"</v>
      </c>
      <c r="AG103" s="206" t="str">
        <f t="shared" si="90"/>
        <v>EC</v>
      </c>
      <c r="AH103" s="78" t="str">
        <f t="shared" si="91"/>
        <v>"%USERPROFILE%\Documents\GitHub\eaglep3\Utilities\RefineRTDCRunTimes.py" --tripid 189-02 --locoid 4028 --swversion DE.1.0.9.0 --startMP 204:427 --initTime 2017-09-02T14:42:54 --startdatetime 2017-09-02T14:46:06 --delay 58 --endMP 204:233366 --enddatetime 2017-09-02T15:25:34 --enforcementcount 0 &gt;&gt;C:\Users\stu\Documents\GitHub\eaglep3-reporting\EC\2017-09-02-refined-times.txt</v>
      </c>
      <c r="AI103" s="96" t="str">
        <f t="shared" si="92"/>
        <v>echo {"issue":{"subject":"","project_id":79,"tracker_id":40,"status_id":1,"priority_id":2,"assigned_to_id":338,"start_date":"2017-09-02","description":"","custom_fields":[{"id":1,"name":"Subdivision","value":"EC"},{"id":4,"name":"Milepost","value":"23.3366"},{"id":17,"name":"Train ID","value":"189-02"},{"id":16,"name":"Locomotive ID","value":"4028"},{"id":130,"name":"Impact","value":""},{"id":150,"name":"Time of Event (Mountain Time)","value":"15:25:34"},{"id":151,"name":"Denver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20"/>
      <c r="AK103" s="47"/>
      <c r="AL103" s="47"/>
      <c r="AM103" s="142" t="str">
        <f t="shared" si="93"/>
        <v>start /low /b %USERPROFILE%\Documents\GitHub\eaglep3\Utilities\DownloadLogsFromS3.py --loco 4028 --day 2017-09-02</v>
      </c>
      <c r="AN103" s="151" t="str">
        <f t="shared" si="94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21:25:34"},{"id":29,"name":"Sharepoint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1" customFormat="1" x14ac:dyDescent="0.25">
      <c r="A104" s="32" t="s">
        <v>707</v>
      </c>
      <c r="B104" s="7">
        <v>4027</v>
      </c>
      <c r="C104" s="21" t="s">
        <v>197</v>
      </c>
      <c r="D104" s="21" t="s">
        <v>873</v>
      </c>
      <c r="E104" s="13">
        <v>42980.652719907404</v>
      </c>
      <c r="F104" s="13">
        <v>42980.654606481483</v>
      </c>
      <c r="G104" s="7">
        <v>59</v>
      </c>
      <c r="H104" s="21" t="s">
        <v>371</v>
      </c>
      <c r="I104" s="13">
        <v>42980.688206018516</v>
      </c>
      <c r="J104" s="7">
        <v>0</v>
      </c>
      <c r="K104" s="89" t="str">
        <f t="shared" si="85"/>
        <v>4027/4028</v>
      </c>
      <c r="L104" s="214" t="str">
        <f>VLOOKUP(A104,'Trips&amp;Operators'!$C$1:$G$99911,5,FALSE)</f>
        <v>DAVIS MICHAEL</v>
      </c>
      <c r="M104" s="6">
        <f t="shared" si="86"/>
        <v>3.3599537033296656E-2</v>
      </c>
      <c r="N104" s="7">
        <f t="shared" si="101"/>
        <v>48.383333327947184</v>
      </c>
      <c r="O104" s="7"/>
      <c r="P104" s="7"/>
      <c r="Q104" s="22"/>
      <c r="R104" s="167"/>
      <c r="S104" s="210">
        <f t="shared" si="102"/>
        <v>1</v>
      </c>
      <c r="T104" s="192" t="str">
        <f t="shared" si="87"/>
        <v>Southbound</v>
      </c>
      <c r="U104" s="192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3" t="str">
        <f t="shared" si="80"/>
        <v>https://d0f6bd738d7f1b3e5a7ca70fe4ff75f0.us-east-1.aws.found.io/app/kibana#/discover/Steve-Slow-Train-Analysis-(2080s-and-2083s)?_g=(refreshInterval:(display:Off,pause:!f,section:0,value:0),time:(from:'2017-09-02T14:39:55-0600',mode:absolute,to:'2017-09-02T17:31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04" s="194" t="str">
        <f>IF(AA104&lt;VLOOKUP(AG104,Variables!$AC$3:$AD$8,2,FALSE),"Y","N")</f>
        <v>N</v>
      </c>
      <c r="X104" s="194">
        <f t="shared" si="100"/>
        <v>1</v>
      </c>
      <c r="Y104" s="194">
        <f t="shared" si="83"/>
        <v>23.301500000000001</v>
      </c>
      <c r="Z104" s="194">
        <f t="shared" si="84"/>
        <v>1.4500000000000001E-2</v>
      </c>
      <c r="AA104" s="194">
        <f t="shared" si="88"/>
        <v>23.286999999999999</v>
      </c>
      <c r="AB104" s="54" t="e">
        <f>VLOOKUP(A104,Enforcements!$C$7:$K$11,8,0)</f>
        <v>#N/A</v>
      </c>
      <c r="AC104" s="51" t="e">
        <f>VLOOKUP(A104,Enforcements!$C$7:$E$11,3,0)</f>
        <v>#N/A</v>
      </c>
      <c r="AD104" s="203">
        <f t="shared" si="89"/>
        <v>190</v>
      </c>
      <c r="AE104" s="77" t="str">
        <f t="shared" si="81"/>
        <v>aws s3 cp s3://rtdc.mdm.uploadarchive.raw/RTDC4027/ "%USERPROFILE%\AppData\Local\Temp\OnboardLogs"\RTDC4027\2017-09-02 --exclude "*" --recursive --include "*20170902*" &amp; "%USERPROFILE%\Documents\GitHub\mrs-test-scripts\Headless Mode &amp; Sideloading\WalkAndUnGZ.bat" "%USERPROFILE%\AppData\Local\Temp\OnboardLogs"\RTDC4027\2017-09-02 &amp; aws s3 cp s3://rtdc.mdm.uploadarchive.raw/RTDC4027/ "%USERPROFILE%\AppData\Local\Temp\OnboardLogs"\RTDC4027\2017-09-03 --exclude "*" --recursive --include "*20170903*" &amp; "%USERPROFILE%\Documents\GitHub\mrs-test-scripts\Headless Mode &amp; Sideloading\WalkAndUnGZ.bat" "%USERPROFILE%\AppData\Local\Temp\OnboardLogs"\RTDC4027\2017-09-03</v>
      </c>
      <c r="AF104" s="74" t="str">
        <f t="shared" si="82"/>
        <v>"C:\Program Files (x86)\AstroGrep\AstroGrep.exe" /e /r /s /spath="%USERPROFILE%\AppData\Local\Temp\OnboardLogs" /stypes="app*4027*20170902*" /stext=" 22:.+((SYSTEM_STATE.+slice.+state.+changed )|(ment ac)|(multiple cpu faults)|(system.+state.+changed )|(\[timeout)|(PRM\|1\|D)|(kpr)|(kdp)|(train st.+moving)|(\|lc)|(penalty))"</v>
      </c>
      <c r="AG104" s="206" t="str">
        <f t="shared" si="90"/>
        <v>EC</v>
      </c>
      <c r="AH104" s="78" t="str">
        <f t="shared" si="91"/>
        <v>"%USERPROFILE%\Documents\GitHub\eaglep3\Utilities\RefineRTDCRunTimes.py" --tripid 190-02 --locoid 4027 --swversion DE.1.0.9.0 --startMP 204:233015 --initTime 2017-09-02T15:39:55 --startdatetime 2017-09-02T15:42:38 --delay 59 --endMP 204:145 --enddatetime 2017-09-02T16:31:01 --enforcementcount 0 &gt;&gt;C:\Users\stu\Documents\GitHub\eaglep3-reporting\EC\2017-09-02-refined-times.txt</v>
      </c>
      <c r="AI104" s="96" t="str">
        <f t="shared" si="92"/>
        <v>echo {"issue":{"subject":"","project_id":79,"tracker_id":40,"status_id":1,"priority_id":2,"assigned_to_id":338,"start_date":"2017-09-02","description":"","custom_fields":[{"id":1,"name":"Subdivision","value":"EC"},{"id":4,"name":"Milepost","value":"0.0145"},{"id":17,"name":"Train ID","value":"190-02"},{"id":16,"name":"Locomotive ID","value":"4027"},{"id":130,"name":"Impact","value":""},{"id":150,"name":"Time of Event (Mountain Time)","value":"16:31:01"},{"id":151,"name":"Denver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20"/>
      <c r="AK104" s="47"/>
      <c r="AL104" s="47"/>
      <c r="AM104" s="142" t="str">
        <f t="shared" si="93"/>
        <v>start /low /b %USERPROFILE%\Documents\GitHub\eaglep3\Utilities\DownloadLogsFromS3.py --loco 4027 --day 2017-09-02</v>
      </c>
      <c r="AN104" s="151" t="str">
        <f t="shared" si="94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22:31:01"},{"id":29,"name":"Sharepoint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1" customFormat="1" x14ac:dyDescent="0.25">
      <c r="A105" s="32" t="s">
        <v>700</v>
      </c>
      <c r="B105" s="7">
        <v>4056</v>
      </c>
      <c r="C105" s="21" t="s">
        <v>197</v>
      </c>
      <c r="D105" s="21" t="s">
        <v>877</v>
      </c>
      <c r="E105" s="13">
        <v>42980.622777777775</v>
      </c>
      <c r="F105" s="13">
        <v>42980.625416666669</v>
      </c>
      <c r="G105" s="7">
        <v>56</v>
      </c>
      <c r="H105" s="21" t="s">
        <v>811</v>
      </c>
      <c r="I105" s="13">
        <v>42980.649907407409</v>
      </c>
      <c r="J105" s="7">
        <v>0</v>
      </c>
      <c r="K105" s="89" t="str">
        <f t="shared" si="85"/>
        <v>4055/4056</v>
      </c>
      <c r="L105" s="214" t="str">
        <f>VLOOKUP(A105,'Trips&amp;Operators'!$C$1:$G$99911,5,FALSE)</f>
        <v>SAFIEF AEIMEN</v>
      </c>
      <c r="M105" s="6">
        <f t="shared" si="86"/>
        <v>2.4490740739565808E-2</v>
      </c>
      <c r="N105" s="7">
        <f t="shared" si="101"/>
        <v>35.266666664974764</v>
      </c>
      <c r="O105" s="7"/>
      <c r="P105" s="7"/>
      <c r="Q105" s="22"/>
      <c r="R105" s="167"/>
      <c r="S105" s="210">
        <f t="shared" si="102"/>
        <v>1</v>
      </c>
      <c r="T105" s="192" t="str">
        <f t="shared" si="87"/>
        <v>NorthBound</v>
      </c>
      <c r="U105" s="192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3" t="str">
        <f t="shared" si="80"/>
        <v>https://d0f6bd738d7f1b3e5a7ca70fe4ff75f0.us-east-1.aws.found.io/app/kibana#/discover/Steve-Slow-Train-Analysis-(2080s-and-2083s)?_g=(refreshInterval:(display:Off,pause:!f,section:0,value:0),time:(from:'2017-09-02T13:56:48-0600',mode:absolute,to:'2017-09-02T16:35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05" s="194" t="str">
        <f>IF(AA105&lt;VLOOKUP(AG105,Variables!$AC$3:$AD$8,2,FALSE),"Y","N")</f>
        <v>N</v>
      </c>
      <c r="X105" s="194">
        <f t="shared" si="100"/>
        <v>1</v>
      </c>
      <c r="Y105" s="194">
        <f t="shared" si="83"/>
        <v>4.1799999999999997E-2</v>
      </c>
      <c r="Z105" s="194">
        <f t="shared" si="84"/>
        <v>23.334399999999999</v>
      </c>
      <c r="AA105" s="194">
        <f t="shared" si="88"/>
        <v>23.2926</v>
      </c>
      <c r="AB105" s="54" t="e">
        <f>VLOOKUP(A105,Enforcements!$C$7:$K$11,8,0)</f>
        <v>#N/A</v>
      </c>
      <c r="AC105" s="51" t="e">
        <f>VLOOKUP(A105,Enforcements!$C$7:$E$11,3,0)</f>
        <v>#N/A</v>
      </c>
      <c r="AD105" s="203">
        <f t="shared" si="89"/>
        <v>191</v>
      </c>
      <c r="AE105" s="77" t="str">
        <f t="shared" si="81"/>
        <v>aws s3 cp s3://rtdc.mdm.uploadarchive.raw/RTDC4056/ "%USERPROFILE%\AppData\Local\Temp\OnboardLogs"\RTDC4056\2017-09-02 --exclude "*" --recursive --include "*20170902*" &amp; "%USERPROFILE%\Documents\GitHub\mrs-test-scripts\Headless Mode &amp; Sideloading\WalkAndUnGZ.bat" "%USERPROFILE%\AppData\Local\Temp\OnboardLogs"\RTDC4056\2017-09-02 &amp; aws s3 cp s3://rtdc.mdm.uploadarchive.raw/RTDC4056/ "%USERPROFILE%\AppData\Local\Temp\OnboardLogs"\RTDC4056\2017-09-03 --exclude "*" --recursive --include "*20170903*" &amp; "%USERPROFILE%\Documents\GitHub\mrs-test-scripts\Headless Mode &amp; Sideloading\WalkAndUnGZ.bat" "%USERPROFILE%\AppData\Local\Temp\OnboardLogs"\RTDC4056\2017-09-03</v>
      </c>
      <c r="AF105" s="74" t="str">
        <f t="shared" si="82"/>
        <v>"C:\Program Files (x86)\AstroGrep\AstroGrep.exe" /e /r /s /spath="%USERPROFILE%\AppData\Local\Temp\OnboardLogs" /stypes="app*4056*20170902*" /stext=" 21:.+((SYSTEM_STATE.+slice.+state.+changed )|(ment ac)|(multiple cpu faults)|(system.+state.+changed )|(\[timeout)|(PRM\|1\|D)|(kpr)|(kdp)|(train st.+moving)|(\|lc)|(penalty))"</v>
      </c>
      <c r="AG105" s="206" t="str">
        <f t="shared" si="90"/>
        <v>EC</v>
      </c>
      <c r="AH105" s="78" t="str">
        <f t="shared" si="91"/>
        <v>"%USERPROFILE%\Documents\GitHub\eaglep3\Utilities\RefineRTDCRunTimes.py" --tripid 191-02 --locoid 4056 --swversion DE.1.0.9.0 --startMP 204:418 --initTime 2017-09-02T14:56:48 --startdatetime 2017-09-02T15:00:36 --delay 56 --endMP 204:233344 --enddatetime 2017-09-02T15:35:52 --enforcementcount 0 &gt;&gt;C:\Users\stu\Documents\GitHub\eaglep3-reporting\EC\2017-09-02-refined-times.txt</v>
      </c>
      <c r="AI105" s="96" t="str">
        <f t="shared" si="92"/>
        <v>echo {"issue":{"subject":"","project_id":79,"tracker_id":40,"status_id":1,"priority_id":2,"assigned_to_id":338,"start_date":"2017-09-02","description":"","custom_fields":[{"id":1,"name":"Subdivision","value":"EC"},{"id":4,"name":"Milepost","value":"23.3344"},{"id":17,"name":"Train ID","value":"191-02"},{"id":16,"name":"Locomotive ID","value":"4056"},{"id":130,"name":"Impact","value":""},{"id":150,"name":"Time of Event (Mountain Time)","value":"15:35:52"},{"id":151,"name":"Denver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20"/>
      <c r="AK105" s="47"/>
      <c r="AL105" s="47"/>
      <c r="AM105" s="142" t="str">
        <f t="shared" si="93"/>
        <v>start /low /b %USERPROFILE%\Documents\GitHub\eaglep3\Utilities\DownloadLogsFromS3.py --loco 4056 --day 2017-09-02</v>
      </c>
      <c r="AN105" s="151" t="str">
        <f t="shared" si="94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21:35:52"},{"id":29,"name":"Sharepoint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x14ac:dyDescent="0.25">
      <c r="A106" s="32" t="s">
        <v>706</v>
      </c>
      <c r="B106" s="7">
        <v>4055</v>
      </c>
      <c r="C106" s="21" t="s">
        <v>197</v>
      </c>
      <c r="D106" s="21" t="s">
        <v>543</v>
      </c>
      <c r="E106" s="13">
        <v>42980.652083333334</v>
      </c>
      <c r="F106" s="13">
        <v>42980.664930555555</v>
      </c>
      <c r="G106" s="7">
        <v>59</v>
      </c>
      <c r="H106" s="21" t="s">
        <v>338</v>
      </c>
      <c r="I106" s="13">
        <v>42980.693483796298</v>
      </c>
      <c r="J106" s="7">
        <v>0</v>
      </c>
      <c r="K106" s="89" t="str">
        <f t="shared" si="85"/>
        <v>4055/4056</v>
      </c>
      <c r="L106" s="214" t="str">
        <f>VLOOKUP(A106,'Trips&amp;Operators'!$C$1:$G$99911,5,FALSE)</f>
        <v>SAFIEF AEIMEN</v>
      </c>
      <c r="M106" s="6">
        <f t="shared" si="86"/>
        <v>2.8553240743349306E-2</v>
      </c>
      <c r="N106" s="7">
        <f t="shared" si="101"/>
        <v>41.116666670423001</v>
      </c>
      <c r="O106" s="7"/>
      <c r="P106" s="7"/>
      <c r="Q106" s="22"/>
      <c r="R106" s="167"/>
      <c r="S106" s="210">
        <f t="shared" si="102"/>
        <v>1</v>
      </c>
      <c r="T106" s="192" t="str">
        <f t="shared" si="87"/>
        <v>Southbound</v>
      </c>
      <c r="U106" s="192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3" t="str">
        <f t="shared" si="80"/>
        <v>https://d0f6bd738d7f1b3e5a7ca70fe4ff75f0.us-east-1.aws.found.io/app/kibana#/discover/Steve-Slow-Train-Analysis-(2080s-and-2083s)?_g=(refreshInterval:(display:Off,pause:!f,section:0,value:0),time:(from:'2017-09-02T14:39:00-0600',mode:absolute,to:'2017-09-02T17:38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06" s="194" t="str">
        <f>IF(AA106&lt;VLOOKUP(AG106,Variables!$AC$3:$AD$8,2,FALSE),"Y","N")</f>
        <v>N</v>
      </c>
      <c r="X106" s="194">
        <f t="shared" si="100"/>
        <v>1</v>
      </c>
      <c r="Y106" s="194">
        <f t="shared" si="83"/>
        <v>23.3032</v>
      </c>
      <c r="Z106" s="194">
        <f t="shared" si="84"/>
        <v>1.4999999999999999E-2</v>
      </c>
      <c r="AA106" s="194">
        <f t="shared" si="88"/>
        <v>23.2882</v>
      </c>
      <c r="AB106" s="54" t="e">
        <f>VLOOKUP(A106,Enforcements!$C$7:$K$11,8,0)</f>
        <v>#N/A</v>
      </c>
      <c r="AC106" s="51" t="e">
        <f>VLOOKUP(A106,Enforcements!$C$7:$E$11,3,0)</f>
        <v>#N/A</v>
      </c>
      <c r="AD106" s="203">
        <f t="shared" si="89"/>
        <v>192</v>
      </c>
      <c r="AE106" s="77" t="str">
        <f t="shared" si="81"/>
        <v>aws s3 cp s3://rtdc.mdm.uploadarchive.raw/RTDC4055/ "%USERPROFILE%\AppData\Local\Temp\OnboardLogs"\RTDC4055\2017-09-02 --exclude "*" --recursive --include "*20170902*" &amp; "%USERPROFILE%\Documents\GitHub\mrs-test-scripts\Headless Mode &amp; Sideloading\WalkAndUnGZ.bat" "%USERPROFILE%\AppData\Local\Temp\OnboardLogs"\RTDC4055\2017-09-02 &amp; aws s3 cp s3://rtdc.mdm.uploadarchive.raw/RTDC4055/ "%USERPROFILE%\AppData\Local\Temp\OnboardLogs"\RTDC4055\2017-09-03 --exclude "*" --recursive --include "*20170903*" &amp; "%USERPROFILE%\Documents\GitHub\mrs-test-scripts\Headless Mode &amp; Sideloading\WalkAndUnGZ.bat" "%USERPROFILE%\AppData\Local\Temp\OnboardLogs"\RTDC4055\2017-09-03</v>
      </c>
      <c r="AF106" s="74" t="str">
        <f t="shared" si="82"/>
        <v>"C:\Program Files (x86)\AstroGrep\AstroGrep.exe" /e /r /s /spath="%USERPROFILE%\AppData\Local\Temp\OnboardLogs" /stypes="app*4055*20170902*" /stext=" 22:.+((SYSTEM_STATE.+slice.+state.+changed )|(ment ac)|(multiple cpu faults)|(system.+state.+changed )|(\[timeout)|(PRM\|1\|D)|(kpr)|(kdp)|(train st.+moving)|(\|lc)|(penalty))"</v>
      </c>
      <c r="AG106" s="206" t="str">
        <f t="shared" si="90"/>
        <v>EC</v>
      </c>
      <c r="AH106" s="78" t="str">
        <f t="shared" si="91"/>
        <v>"%USERPROFILE%\Documents\GitHub\eaglep3\Utilities\RefineRTDCRunTimes.py" --tripid 192-02 --locoid 4055 --swversion DE.1.0.9.0 --startMP 204:233032 --initTime 2017-09-02T15:39:00 --startdatetime 2017-09-02T15:57:30 --delay 59 --endMP 204:150 --enddatetime 2017-09-02T16:38:37 --enforcementcount 0 &gt;&gt;C:\Users\stu\Documents\GitHub\eaglep3-reporting\EC\2017-09-02-refined-times.txt</v>
      </c>
      <c r="AI106" s="96" t="str">
        <f t="shared" si="92"/>
        <v>echo {"issue":{"subject":"","project_id":79,"tracker_id":40,"status_id":1,"priority_id":2,"assigned_to_id":338,"start_date":"2017-09-02","description":"","custom_fields":[{"id":1,"name":"Subdivision","value":"EC"},{"id":4,"name":"Milepost","value":"0.015"},{"id":17,"name":"Train ID","value":"192-02"},{"id":16,"name":"Locomotive ID","value":"4055"},{"id":130,"name":"Impact","value":""},{"id":150,"name":"Time of Event (Mountain Time)","value":"16:38:37"},{"id":151,"name":"Denver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20"/>
      <c r="AK106" s="47"/>
      <c r="AL106" s="47"/>
      <c r="AM106" s="142" t="str">
        <f t="shared" si="93"/>
        <v>start /low /b %USERPROFILE%\Documents\GitHub\eaglep3\Utilities\DownloadLogsFromS3.py --loco 4055 --day 2017-09-02</v>
      </c>
      <c r="AN106" s="151" t="str">
        <f t="shared" si="94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22:38:37"},{"id":29,"name":"Sharepoint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</row>
    <row r="107" spans="1:91" s="20" customFormat="1" x14ac:dyDescent="0.25">
      <c r="A107" s="32" t="s">
        <v>702</v>
      </c>
      <c r="B107" s="7">
        <v>4010</v>
      </c>
      <c r="C107" s="21" t="s">
        <v>197</v>
      </c>
      <c r="D107" s="21" t="s">
        <v>369</v>
      </c>
      <c r="E107" s="13">
        <v>42980.630162037036</v>
      </c>
      <c r="F107" s="13">
        <v>42980.635694444441</v>
      </c>
      <c r="G107" s="7">
        <v>50</v>
      </c>
      <c r="H107" s="21" t="s">
        <v>378</v>
      </c>
      <c r="I107" s="13">
        <v>42980.6637962963</v>
      </c>
      <c r="J107" s="7">
        <v>0</v>
      </c>
      <c r="K107" s="89" t="str">
        <f t="shared" si="85"/>
        <v>4009/4010</v>
      </c>
      <c r="L107" s="214" t="str">
        <f>VLOOKUP(A107,'Trips&amp;Operators'!$C$1:$G$99911,5,FALSE)</f>
        <v>GUZMAN DANNY</v>
      </c>
      <c r="M107" s="6">
        <f t="shared" si="86"/>
        <v>2.8101851858082227E-2</v>
      </c>
      <c r="N107" s="7">
        <f t="shared" si="101"/>
        <v>40.466666675638407</v>
      </c>
      <c r="O107" s="7"/>
      <c r="P107" s="7"/>
      <c r="Q107" s="22"/>
      <c r="R107" s="167"/>
      <c r="S107" s="210">
        <f t="shared" si="102"/>
        <v>1</v>
      </c>
      <c r="T107" s="192" t="str">
        <f t="shared" si="87"/>
        <v>NorthBound</v>
      </c>
      <c r="U107" s="192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3" t="str">
        <f t="shared" si="80"/>
        <v>https://d0f6bd738d7f1b3e5a7ca70fe4ff75f0.us-east-1.aws.found.io/app/kibana#/discover/Steve-Slow-Train-Analysis-(2080s-and-2083s)?_g=(refreshInterval:(display:Off,pause:!f,section:0,value:0),time:(from:'2017-09-02T14:07:26-0600',mode:absolute,to:'2017-09-02T16:55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07" s="194" t="str">
        <f>IF(AA107&lt;VLOOKUP(AG107,Variables!$AC$3:$AD$8,2,FALSE),"Y","N")</f>
        <v>N</v>
      </c>
      <c r="X107" s="194">
        <f t="shared" si="100"/>
        <v>1</v>
      </c>
      <c r="Y107" s="194">
        <f t="shared" si="83"/>
        <v>4.6399999999999997E-2</v>
      </c>
      <c r="Z107" s="194">
        <f t="shared" si="84"/>
        <v>23.3293</v>
      </c>
      <c r="AA107" s="194">
        <f t="shared" si="88"/>
        <v>23.282900000000001</v>
      </c>
      <c r="AB107" s="54" t="e">
        <f>VLOOKUP(A107,Enforcements!$C$7:$K$11,8,0)</f>
        <v>#N/A</v>
      </c>
      <c r="AC107" s="51" t="e">
        <f>VLOOKUP(A107,Enforcements!$C$7:$E$11,3,0)</f>
        <v>#N/A</v>
      </c>
      <c r="AD107" s="203">
        <f t="shared" si="89"/>
        <v>193</v>
      </c>
      <c r="AE107" s="77" t="str">
        <f t="shared" si="81"/>
        <v>aws s3 cp s3://rtdc.mdm.uploadarchive.raw/RTDC4010/ "%USERPROFILE%\AppData\Local\Temp\OnboardLogs"\RTDC4010\2017-09-02 --exclude "*" --recursive --include "*20170902*" &amp; "%USERPROFILE%\Documents\GitHub\mrs-test-scripts\Headless Mode &amp; Sideloading\WalkAndUnGZ.bat" "%USERPROFILE%\AppData\Local\Temp\OnboardLogs"\RTDC4010\2017-09-02 &amp; aws s3 cp s3://rtdc.mdm.uploadarchive.raw/RTDC4010/ "%USERPROFILE%\AppData\Local\Temp\OnboardLogs"\RTDC4010\2017-09-03 --exclude "*" --recursive --include "*20170903*" &amp; "%USERPROFILE%\Documents\GitHub\mrs-test-scripts\Headless Mode &amp; Sideloading\WalkAndUnGZ.bat" "%USERPROFILE%\AppData\Local\Temp\OnboardLogs"\RTDC4010\2017-09-03</v>
      </c>
      <c r="AF107" s="74" t="str">
        <f t="shared" si="82"/>
        <v>"C:\Program Files (x86)\AstroGrep\AstroGrep.exe" /e /r /s /spath="%USERPROFILE%\AppData\Local\Temp\OnboardLogs" /stypes="app*4010*20170902*" /stext=" 21:.+((SYSTEM_STATE.+slice.+state.+changed )|(ment ac)|(multiple cpu faults)|(system.+state.+changed )|(\[timeout)|(PRM\|1\|D)|(kpr)|(kdp)|(train st.+moving)|(\|lc)|(penalty))"</v>
      </c>
      <c r="AG107" s="206" t="str">
        <f t="shared" si="90"/>
        <v>EC</v>
      </c>
      <c r="AH107" s="78" t="str">
        <f t="shared" si="91"/>
        <v>"%USERPROFILE%\Documents\GitHub\eaglep3\Utilities\RefineRTDCRunTimes.py" --tripid 193-02 --locoid 4010 --swversion DE.1.0.9.0 --startMP 204:464 --initTime 2017-09-02T15:07:26 --startdatetime 2017-09-02T15:15:24 --delay 50 --endMP 204:233293 --enddatetime 2017-09-02T15:55:52 --enforcementcount 0 &gt;&gt;C:\Users\stu\Documents\GitHub\eaglep3-reporting\EC\2017-09-02-refined-times.txt</v>
      </c>
      <c r="AI107" s="96" t="str">
        <f t="shared" si="92"/>
        <v>echo {"issue":{"subject":"","project_id":79,"tracker_id":40,"status_id":1,"priority_id":2,"assigned_to_id":338,"start_date":"2017-09-02","description":"","custom_fields":[{"id":1,"name":"Subdivision","value":"EC"},{"id":4,"name":"Milepost","value":"23.3293"},{"id":17,"name":"Train ID","value":"193-02"},{"id":16,"name":"Locomotive ID","value":"4010"},{"id":130,"name":"Impact","value":""},{"id":150,"name":"Time of Event (Mountain Time)","value":"15:55:52"},{"id":151,"name":"Denver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93"/>
        <v>start /low /b %USERPROFILE%\Documents\GitHub\eaglep3\Utilities\DownloadLogsFromS3.py --loco 4010 --day 2017-09-02</v>
      </c>
      <c r="AN107" s="151" t="str">
        <f t="shared" si="94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21:55:52"},{"id":29,"name":"Sharepoint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710</v>
      </c>
      <c r="B108" s="7">
        <v>4009</v>
      </c>
      <c r="C108" s="21" t="s">
        <v>197</v>
      </c>
      <c r="D108" s="21" t="s">
        <v>878</v>
      </c>
      <c r="E108" s="13">
        <v>42980.665011574078</v>
      </c>
      <c r="F108" s="13">
        <v>42980.675185185188</v>
      </c>
      <c r="G108" s="7">
        <v>59</v>
      </c>
      <c r="H108" s="21" t="s">
        <v>340</v>
      </c>
      <c r="I108" s="13">
        <v>42980.702453703707</v>
      </c>
      <c r="J108" s="7">
        <v>0</v>
      </c>
      <c r="K108" s="89" t="str">
        <f t="shared" si="85"/>
        <v>4009/4010</v>
      </c>
      <c r="L108" s="214" t="str">
        <f>VLOOKUP(A108,'Trips&amp;Operators'!$C$1:$G$99911,5,FALSE)</f>
        <v>GUZMAN DANNY</v>
      </c>
      <c r="M108" s="6">
        <f t="shared" si="86"/>
        <v>2.7268518519122154E-2</v>
      </c>
      <c r="N108" s="7">
        <f t="shared" si="101"/>
        <v>39.266666667535901</v>
      </c>
      <c r="O108" s="7"/>
      <c r="P108" s="7"/>
      <c r="Q108" s="22"/>
      <c r="R108" s="167"/>
      <c r="S108" s="210">
        <f t="shared" si="102"/>
        <v>1</v>
      </c>
      <c r="T108" s="192" t="str">
        <f t="shared" si="87"/>
        <v>Southbound</v>
      </c>
      <c r="U108" s="192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3" t="str">
        <f t="shared" si="80"/>
        <v>https://d0f6bd738d7f1b3e5a7ca70fe4ff75f0.us-east-1.aws.found.io/app/kibana#/discover/Steve-Slow-Train-Analysis-(2080s-and-2083s)?_g=(refreshInterval:(display:Off,pause:!f,section:0,value:0),time:(from:'2017-09-02T14:57:37-0600',mode:absolute,to:'2017-09-02T17:51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08" s="194" t="str">
        <f>IF(AA108&lt;VLOOKUP(AG108,Variables!$AC$3:$AD$8,2,FALSE),"Y","N")</f>
        <v>N</v>
      </c>
      <c r="X108" s="194">
        <f t="shared" si="100"/>
        <v>1</v>
      </c>
      <c r="Y108" s="194">
        <f t="shared" si="83"/>
        <v>23.2973</v>
      </c>
      <c r="Z108" s="194">
        <f t="shared" si="84"/>
        <v>1.43E-2</v>
      </c>
      <c r="AA108" s="194">
        <f t="shared" si="88"/>
        <v>23.283000000000001</v>
      </c>
      <c r="AB108" s="54" t="e">
        <f>VLOOKUP(A108,Enforcements!$C$7:$K$11,8,0)</f>
        <v>#N/A</v>
      </c>
      <c r="AC108" s="51" t="e">
        <f>VLOOKUP(A108,Enforcements!$C$7:$E$11,3,0)</f>
        <v>#N/A</v>
      </c>
      <c r="AD108" s="203">
        <f t="shared" si="89"/>
        <v>194</v>
      </c>
      <c r="AE108" s="77" t="str">
        <f t="shared" si="81"/>
        <v>aws s3 cp s3://rtdc.mdm.uploadarchive.raw/RTDC4009/ "%USERPROFILE%\AppData\Local\Temp\OnboardLogs"\RTDC4009\2017-09-02 --exclude "*" --recursive --include "*20170902*" &amp; "%USERPROFILE%\Documents\GitHub\mrs-test-scripts\Headless Mode &amp; Sideloading\WalkAndUnGZ.bat" "%USERPROFILE%\AppData\Local\Temp\OnboardLogs"\RTDC4009\2017-09-02 &amp; aws s3 cp s3://rtdc.mdm.uploadarchive.raw/RTDC4009/ "%USERPROFILE%\AppData\Local\Temp\OnboardLogs"\RTDC4009\2017-09-03 --exclude "*" --recursive --include "*20170903*" &amp; "%USERPROFILE%\Documents\GitHub\mrs-test-scripts\Headless Mode &amp; Sideloading\WalkAndUnGZ.bat" "%USERPROFILE%\AppData\Local\Temp\OnboardLogs"\RTDC4009\2017-09-03</v>
      </c>
      <c r="AF108" s="74" t="str">
        <f t="shared" si="82"/>
        <v>"C:\Program Files (x86)\AstroGrep\AstroGrep.exe" /e /r /s /spath="%USERPROFILE%\AppData\Local\Temp\OnboardLogs" /stypes="app*4009*20170902*" /stext=" 22:.+((SYSTEM_STATE.+slice.+state.+changed )|(ment ac)|(multiple cpu faults)|(system.+state.+changed )|(\[timeout)|(PRM\|1\|D)|(kpr)|(kdp)|(train st.+moving)|(\|lc)|(penalty))"</v>
      </c>
      <c r="AG108" s="206" t="str">
        <f t="shared" si="90"/>
        <v>EC</v>
      </c>
      <c r="AH108" s="78" t="str">
        <f t="shared" si="91"/>
        <v>"%USERPROFILE%\Documents\GitHub\eaglep3\Utilities\RefineRTDCRunTimes.py" --tripid 194-02 --locoid 4009 --swversion DE.1.0.9.0 --startMP 204:232973 --initTime 2017-09-02T15:57:37 --startdatetime 2017-09-02T16:12:16 --delay 59 --endMP 204:143 --enddatetime 2017-09-02T16:51:32 --enforcementcount 0 &gt;&gt;C:\Users\stu\Documents\GitHub\eaglep3-reporting\EC\2017-09-02-refined-times.txt</v>
      </c>
      <c r="AI108" s="96" t="str">
        <f t="shared" si="92"/>
        <v>echo {"issue":{"subject":"","project_id":79,"tracker_id":40,"status_id":1,"priority_id":2,"assigned_to_id":338,"start_date":"2017-09-02","description":"","custom_fields":[{"id":1,"name":"Subdivision","value":"EC"},{"id":4,"name":"Milepost","value":"0.0143"},{"id":17,"name":"Train ID","value":"194-02"},{"id":16,"name":"Locomotive ID","value":"4009"},{"id":130,"name":"Impact","value":""},{"id":150,"name":"Time of Event (Mountain Time)","value":"16:51:32"},{"id":151,"name":"Denver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93"/>
        <v>start /low /b %USERPROFILE%\Documents\GitHub\eaglep3\Utilities\DownloadLogsFromS3.py --loco 4009 --day 2017-09-02</v>
      </c>
      <c r="AN108" s="151" t="str">
        <f t="shared" si="94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22:51:32"},{"id":29,"name":"Sharepoint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587</v>
      </c>
      <c r="B109" s="7">
        <v>4066</v>
      </c>
      <c r="C109" s="21" t="s">
        <v>197</v>
      </c>
      <c r="D109" s="21" t="s">
        <v>808</v>
      </c>
      <c r="E109" s="13">
        <v>42980.644108796296</v>
      </c>
      <c r="F109" s="13">
        <v>42980.647476851853</v>
      </c>
      <c r="G109" s="7">
        <v>62</v>
      </c>
      <c r="H109" s="21" t="s">
        <v>879</v>
      </c>
      <c r="I109" s="13">
        <v>42980.67423611111</v>
      </c>
      <c r="J109" s="7">
        <v>0</v>
      </c>
      <c r="K109" s="89" t="str">
        <f t="shared" si="85"/>
        <v>4065/4066</v>
      </c>
      <c r="L109" s="214" t="str">
        <f>VLOOKUP(A109,'Trips&amp;Operators'!$C$1:$G$99911,5,FALSE)</f>
        <v>DELGADO DIANAH</v>
      </c>
      <c r="M109" s="6">
        <f t="shared" si="86"/>
        <v>2.675925925723277E-2</v>
      </c>
      <c r="N109" s="7">
        <f t="shared" si="101"/>
        <v>38.533333330415189</v>
      </c>
      <c r="O109" s="7"/>
      <c r="P109" s="7"/>
      <c r="Q109" s="22"/>
      <c r="R109" s="167"/>
      <c r="S109" s="210">
        <f t="shared" si="102"/>
        <v>1</v>
      </c>
      <c r="T109" s="192" t="str">
        <f t="shared" si="87"/>
        <v>NorthBound</v>
      </c>
      <c r="U109" s="192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3" t="str">
        <f t="shared" si="80"/>
        <v>https://d0f6bd738d7f1b3e5a7ca70fe4ff75f0.us-east-1.aws.found.io/app/kibana#/discover/Steve-Slow-Train-Analysis-(2080s-and-2083s)?_g=(refreshInterval:(display:Off,pause:!f,section:0,value:0),time:(from:'2017-09-02T14:27:31-0600',mode:absolute,to:'2017-09-02T17:10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09" s="194" t="str">
        <f>IF(AA109&lt;VLOOKUP(AG109,Variables!$AC$3:$AD$8,2,FALSE),"Y","N")</f>
        <v>N</v>
      </c>
      <c r="X109" s="194">
        <f t="shared" si="100"/>
        <v>1</v>
      </c>
      <c r="Y109" s="194">
        <f t="shared" si="83"/>
        <v>4.8000000000000001E-2</v>
      </c>
      <c r="Z109" s="194">
        <f t="shared" si="84"/>
        <v>23.334900000000001</v>
      </c>
      <c r="AA109" s="194">
        <f t="shared" si="88"/>
        <v>23.286900000000003</v>
      </c>
      <c r="AB109" s="54" t="e">
        <f>VLOOKUP(A109,Enforcements!$C$7:$K$11,8,0)</f>
        <v>#N/A</v>
      </c>
      <c r="AC109" s="51" t="e">
        <f>VLOOKUP(A109,Enforcements!$C$7:$E$11,3,0)</f>
        <v>#N/A</v>
      </c>
      <c r="AD109" s="203">
        <f t="shared" si="89"/>
        <v>195</v>
      </c>
      <c r="AE109" s="77" t="str">
        <f t="shared" si="81"/>
        <v>aws s3 cp s3://rtdc.mdm.uploadarchive.raw/RTDC4066/ "%USERPROFILE%\AppData\Local\Temp\OnboardLogs"\RTDC4066\2017-09-02 --exclude "*" --recursive --include "*20170902*" &amp; "%USERPROFILE%\Documents\GitHub\mrs-test-scripts\Headless Mode &amp; Sideloading\WalkAndUnGZ.bat" "%USERPROFILE%\AppData\Local\Temp\OnboardLogs"\RTDC4066\2017-09-02 &amp; aws s3 cp s3://rtdc.mdm.uploadarchive.raw/RTDC4066/ "%USERPROFILE%\AppData\Local\Temp\OnboardLogs"\RTDC4066\2017-09-03 --exclude "*" --recursive --include "*20170903*" &amp; "%USERPROFILE%\Documents\GitHub\mrs-test-scripts\Headless Mode &amp; Sideloading\WalkAndUnGZ.bat" "%USERPROFILE%\AppData\Local\Temp\OnboardLogs"\RTDC4066\2017-09-03</v>
      </c>
      <c r="AF109" s="74" t="str">
        <f t="shared" si="82"/>
        <v>"C:\Program Files (x86)\AstroGrep\AstroGrep.exe" /e /r /s /spath="%USERPROFILE%\AppData\Local\Temp\OnboardLogs" /stypes="app*4066*20170902*" /stext=" 22:.+((SYSTEM_STATE.+slice.+state.+changed )|(ment ac)|(multiple cpu faults)|(system.+state.+changed )|(\[timeout)|(PRM\|1\|D)|(kpr)|(kdp)|(train st.+moving)|(\|lc)|(penalty))"</v>
      </c>
      <c r="AG109" s="206" t="str">
        <f t="shared" si="90"/>
        <v>EC</v>
      </c>
      <c r="AH109" s="78" t="str">
        <f t="shared" si="91"/>
        <v>"%USERPROFILE%\Documents\GitHub\eaglep3\Utilities\RefineRTDCRunTimes.py" --tripid 195-02 --locoid 4066 --swversion DE.1.0.9.0 --startMP 204:480 --initTime 2017-09-02T15:27:31 --startdatetime 2017-09-02T15:32:22 --delay 62 --endMP 204:233349 --enddatetime 2017-09-02T16:10:54 --enforcementcount 0 &gt;&gt;C:\Users\stu\Documents\GitHub\eaglep3-reporting\EC\2017-09-02-refined-times.txt</v>
      </c>
      <c r="AI109" s="96" t="str">
        <f t="shared" si="92"/>
        <v>echo {"issue":{"subject":"","project_id":79,"tracker_id":40,"status_id":1,"priority_id":2,"assigned_to_id":338,"start_date":"2017-09-02","description":"","custom_fields":[{"id":1,"name":"Subdivision","value":"EC"},{"id":4,"name":"Milepost","value":"23.3349"},{"id":17,"name":"Train ID","value":"195-02"},{"id":16,"name":"Locomotive ID","value":"4066"},{"id":130,"name":"Impact","value":""},{"id":150,"name":"Time of Event (Mountain Time)","value":"16:10:54"},{"id":151,"name":"Denver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93"/>
        <v>start /low /b %USERPROFILE%\Documents\GitHub\eaglep3\Utilities\DownloadLogsFromS3.py --loco 4066 --day 2017-09-02</v>
      </c>
      <c r="AN109" s="151" t="str">
        <f t="shared" si="94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22:10:54"},{"id":29,"name":"Sharepoint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713</v>
      </c>
      <c r="B110" s="7">
        <v>4065</v>
      </c>
      <c r="C110" s="21" t="s">
        <v>197</v>
      </c>
      <c r="D110" s="21" t="s">
        <v>880</v>
      </c>
      <c r="E110" s="13">
        <v>42980.679976851854</v>
      </c>
      <c r="F110" s="13">
        <v>42980.685590277775</v>
      </c>
      <c r="G110" s="7">
        <v>52</v>
      </c>
      <c r="H110" s="21" t="s">
        <v>450</v>
      </c>
      <c r="I110" s="13">
        <v>42980.711388888885</v>
      </c>
      <c r="J110" s="7">
        <v>0</v>
      </c>
      <c r="K110" s="89" t="str">
        <f t="shared" si="85"/>
        <v>4065/4066</v>
      </c>
      <c r="L110" s="214" t="str">
        <f>VLOOKUP(A110,'Trips&amp;Operators'!$C$1:$G$99911,5,FALSE)</f>
        <v>DELGADO DIANAH</v>
      </c>
      <c r="M110" s="6">
        <f t="shared" si="86"/>
        <v>2.5798611110076308E-2</v>
      </c>
      <c r="N110" s="7">
        <f t="shared" si="101"/>
        <v>37.149999998509884</v>
      </c>
      <c r="O110" s="7"/>
      <c r="P110" s="7"/>
      <c r="Q110" s="22"/>
      <c r="R110" s="167"/>
      <c r="S110" s="210">
        <f t="shared" si="102"/>
        <v>1</v>
      </c>
      <c r="T110" s="192" t="str">
        <f t="shared" si="87"/>
        <v>Southbound</v>
      </c>
      <c r="U110" s="192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3" t="str">
        <f t="shared" si="80"/>
        <v>https://d0f6bd738d7f1b3e5a7ca70fe4ff75f0.us-east-1.aws.found.io/app/kibana#/discover/Steve-Slow-Train-Analysis-(2080s-and-2083s)?_g=(refreshInterval:(display:Off,pause:!f,section:0,value:0),time:(from:'2017-09-02T15:19:10-0600',mode:absolute,to:'2017-09-02T18:04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10" s="194" t="str">
        <f>IF(AA110&lt;VLOOKUP(AG110,Variables!$AC$3:$AD$8,2,FALSE),"Y","N")</f>
        <v>N</v>
      </c>
      <c r="X110" s="194">
        <f t="shared" ref="X110:X113" si="103">VALUE(LEFT(AD110,4))-VALUE(LEFT(AD109,4))</f>
        <v>1</v>
      </c>
      <c r="Y110" s="194">
        <f t="shared" si="83"/>
        <v>23.303000000000001</v>
      </c>
      <c r="Z110" s="194">
        <f t="shared" si="84"/>
        <v>1.6E-2</v>
      </c>
      <c r="AA110" s="194">
        <f t="shared" si="88"/>
        <v>23.287000000000003</v>
      </c>
      <c r="AB110" s="54" t="e">
        <f>VLOOKUP(A110,Enforcements!$C$7:$K$11,8,0)</f>
        <v>#N/A</v>
      </c>
      <c r="AC110" s="51" t="e">
        <f>VLOOKUP(A110,Enforcements!$C$7:$E$11,3,0)</f>
        <v>#N/A</v>
      </c>
      <c r="AD110" s="203">
        <f t="shared" si="89"/>
        <v>196</v>
      </c>
      <c r="AE110" s="77" t="str">
        <f t="shared" si="81"/>
        <v>aws s3 cp s3://rtdc.mdm.uploadarchive.raw/RTDC4065/ "%USERPROFILE%\AppData\Local\Temp\OnboardLogs"\RTDC4065\2017-09-02 --exclude "*" --recursive --include "*20170902*" &amp; "%USERPROFILE%\Documents\GitHub\mrs-test-scripts\Headless Mode &amp; Sideloading\WalkAndUnGZ.bat" "%USERPROFILE%\AppData\Local\Temp\OnboardLogs"\RTDC4065\2017-09-02 &amp; aws s3 cp s3://rtdc.mdm.uploadarchive.raw/RTDC4065/ "%USERPROFILE%\AppData\Local\Temp\OnboardLogs"\RTDC4065\2017-09-03 --exclude "*" --recursive --include "*20170903*" &amp; "%USERPROFILE%\Documents\GitHub\mrs-test-scripts\Headless Mode &amp; Sideloading\WalkAndUnGZ.bat" "%USERPROFILE%\AppData\Local\Temp\OnboardLogs"\RTDC4065\2017-09-03</v>
      </c>
      <c r="AF110" s="74" t="str">
        <f t="shared" si="82"/>
        <v>"C:\Program Files (x86)\AstroGrep\AstroGrep.exe" /e /r /s /spath="%USERPROFILE%\AppData\Local\Temp\OnboardLogs" /stypes="app*4065*20170902*" /stext=" 23:.+((SYSTEM_STATE.+slice.+state.+changed )|(ment ac)|(multiple cpu faults)|(system.+state.+changed )|(\[timeout)|(PRM\|1\|D)|(kpr)|(kdp)|(train st.+moving)|(\|lc)|(penalty))"</v>
      </c>
      <c r="AG110" s="206" t="str">
        <f t="shared" si="90"/>
        <v>EC</v>
      </c>
      <c r="AH110" s="78" t="str">
        <f t="shared" si="91"/>
        <v>"%USERPROFILE%\Documents\GitHub\eaglep3\Utilities\RefineRTDCRunTimes.py" --tripid 196-02 --locoid 4065 --swversion DE.1.0.9.0 --startMP 204:233030 --initTime 2017-09-02T16:19:10 --startdatetime 2017-09-02T16:27:15 --delay 52 --endMP 204:160 --enddatetime 2017-09-02T17:04:24 --enforcementcount 0 &gt;&gt;C:\Users\stu\Documents\GitHub\eaglep3-reporting\EC\2017-09-02-refined-times.txt</v>
      </c>
      <c r="AI110" s="96" t="str">
        <f t="shared" si="92"/>
        <v>echo {"issue":{"subject":"","project_id":79,"tracker_id":40,"status_id":1,"priority_id":2,"assigned_to_id":338,"start_date":"2017-09-02","description":"","custom_fields":[{"id":1,"name":"Subdivision","value":"EC"},{"id":4,"name":"Milepost","value":"0.016"},{"id":17,"name":"Train ID","value":"196-02"},{"id":16,"name":"Locomotive ID","value":"4065"},{"id":130,"name":"Impact","value":""},{"id":150,"name":"Time of Event (Mountain Time)","value":"17:04:24"},{"id":151,"name":"Denver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93"/>
        <v>start /low /b %USERPROFILE%\Documents\GitHub\eaglep3\Utilities\DownloadLogsFromS3.py --loco 4065 --day 2017-09-02</v>
      </c>
      <c r="AN110" s="151" t="str">
        <f t="shared" si="94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23:04:24"},{"id":29,"name":"Sharepoint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709</v>
      </c>
      <c r="B111" s="7">
        <v>4052</v>
      </c>
      <c r="C111" s="21" t="s">
        <v>197</v>
      </c>
      <c r="D111" s="21" t="s">
        <v>438</v>
      </c>
      <c r="E111" s="13">
        <v>42980.6640625</v>
      </c>
      <c r="F111" s="13">
        <v>42980.666875000003</v>
      </c>
      <c r="G111" s="7">
        <v>155</v>
      </c>
      <c r="H111" s="21" t="s">
        <v>491</v>
      </c>
      <c r="I111" s="13">
        <v>42980.691574074073</v>
      </c>
      <c r="J111" s="7">
        <v>0</v>
      </c>
      <c r="K111" s="89" t="str">
        <f t="shared" si="85"/>
        <v>4051/4052</v>
      </c>
      <c r="L111" s="214" t="str">
        <f>VLOOKUP(A111,'Trips&amp;Operators'!$C$1:$G$99911,5,FALSE)</f>
        <v>STORY SAMANTHA</v>
      </c>
      <c r="M111" s="6">
        <f t="shared" si="86"/>
        <v>2.4699074070667848E-2</v>
      </c>
      <c r="N111" s="7">
        <f t="shared" si="101"/>
        <v>35.566666661761701</v>
      </c>
      <c r="O111" s="7"/>
      <c r="P111" s="7"/>
      <c r="Q111" s="22"/>
      <c r="R111" s="167"/>
      <c r="S111" s="210">
        <f t="shared" si="102"/>
        <v>1</v>
      </c>
      <c r="T111" s="192" t="str">
        <f t="shared" si="87"/>
        <v>NorthBound</v>
      </c>
      <c r="U111" s="192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3" t="str">
        <f t="shared" si="80"/>
        <v>https://d0f6bd738d7f1b3e5a7ca70fe4ff75f0.us-east-1.aws.found.io/app/kibana#/discover/Steve-Slow-Train-Analysis-(2080s-and-2083s)?_g=(refreshInterval:(display:Off,pause:!f,section:0,value:0),time:(from:'2017-09-02T14:56:15-0600',mode:absolute,to:'2017-09-02T17:35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11" s="194" t="str">
        <f>IF(AA111&lt;VLOOKUP(AG111,Variables!$AC$3:$AD$8,2,FALSE),"Y","N")</f>
        <v>N</v>
      </c>
      <c r="X111" s="194">
        <f t="shared" si="103"/>
        <v>3</v>
      </c>
      <c r="Y111" s="194">
        <f t="shared" ref="Y111:Y142" si="104">RIGHT(D111,LEN(D111)-4)/10000</f>
        <v>4.4200000000000003E-2</v>
      </c>
      <c r="Z111" s="194">
        <f t="shared" ref="Z111:Z142" si="105">RIGHT(H111,LEN(H111)-4)/10000</f>
        <v>23.329899999999999</v>
      </c>
      <c r="AA111" s="194">
        <f t="shared" si="88"/>
        <v>23.285699999999999</v>
      </c>
      <c r="AB111" s="54" t="e">
        <f>VLOOKUP(A111,Enforcements!$C$7:$K$11,8,0)</f>
        <v>#N/A</v>
      </c>
      <c r="AC111" s="51" t="e">
        <f>VLOOKUP(A111,Enforcements!$C$7:$E$11,3,0)</f>
        <v>#N/A</v>
      </c>
      <c r="AD111" s="203">
        <f t="shared" si="89"/>
        <v>199</v>
      </c>
      <c r="AE111" s="77" t="str">
        <f t="shared" si="81"/>
        <v>aws s3 cp s3://rtdc.mdm.uploadarchive.raw/RTDC4052/ "%USERPROFILE%\AppData\Local\Temp\OnboardLogs"\RTDC4052\2017-09-02 --exclude "*" --recursive --include "*20170902*" &amp; "%USERPROFILE%\Documents\GitHub\mrs-test-scripts\Headless Mode &amp; Sideloading\WalkAndUnGZ.bat" "%USERPROFILE%\AppData\Local\Temp\OnboardLogs"\RTDC4052\2017-09-02 &amp; aws s3 cp s3://rtdc.mdm.uploadarchive.raw/RTDC4052/ "%USERPROFILE%\AppData\Local\Temp\OnboardLogs"\RTDC4052\2017-09-03 --exclude "*" --recursive --include "*20170903*" &amp; "%USERPROFILE%\Documents\GitHub\mrs-test-scripts\Headless Mode &amp; Sideloading\WalkAndUnGZ.bat" "%USERPROFILE%\AppData\Local\Temp\OnboardLogs"\RTDC4052\2017-09-03</v>
      </c>
      <c r="AF111" s="74" t="str">
        <f t="shared" si="82"/>
        <v>"C:\Program Files (x86)\AstroGrep\AstroGrep.exe" /e /r /s /spath="%USERPROFILE%\AppData\Local\Temp\OnboardLogs" /stypes="app*4052*20170902*" /stext=" 22:.+((SYSTEM_STATE.+slice.+state.+changed )|(ment ac)|(multiple cpu faults)|(system.+state.+changed )|(\[timeout)|(PRM\|1\|D)|(kpr)|(kdp)|(train st.+moving)|(\|lc)|(penalty))"</v>
      </c>
      <c r="AG111" s="206" t="str">
        <f t="shared" si="90"/>
        <v>EC</v>
      </c>
      <c r="AH111" s="78" t="str">
        <f t="shared" si="91"/>
        <v>"%USERPROFILE%\Documents\GitHub\eaglep3\Utilities\RefineRTDCRunTimes.py" --tripid 199-02 --locoid 4052 --swversion DE.1.0.9.0 --startMP 204:442 --initTime 2017-09-02T15:56:15 --startdatetime 2017-09-02T16:00:18 --delay 155 --endMP 204:233299 --enddatetime 2017-09-02T16:35:52 --enforcementcount 0 &gt;&gt;C:\Users\stu\Documents\GitHub\eaglep3-reporting\EC\2017-09-02-refined-times.txt</v>
      </c>
      <c r="AI111" s="96" t="str">
        <f t="shared" si="92"/>
        <v>echo {"issue":{"subject":"","project_id":79,"tracker_id":40,"status_id":1,"priority_id":2,"assigned_to_id":338,"start_date":"2017-09-02","description":"","custom_fields":[{"id":1,"name":"Subdivision","value":"EC"},{"id":4,"name":"Milepost","value":"23.3299"},{"id":17,"name":"Train ID","value":"199-02"},{"id":16,"name":"Locomotive ID","value":"4052"},{"id":130,"name":"Impact","value":""},{"id":150,"name":"Time of Event (Mountain Time)","value":"16:35:52"},{"id":151,"name":"Denver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93"/>
        <v>start /low /b %USERPROFILE%\Documents\GitHub\eaglep3\Utilities\DownloadLogsFromS3.py --loco 4052 --day 2017-09-02</v>
      </c>
      <c r="AN111" s="151" t="str">
        <f t="shared" si="94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22:35:52"},{"id":29,"name":"Sharepoint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589</v>
      </c>
      <c r="B112" s="7">
        <v>4051</v>
      </c>
      <c r="C112" s="21" t="s">
        <v>197</v>
      </c>
      <c r="D112" s="21" t="s">
        <v>540</v>
      </c>
      <c r="E112" s="13">
        <v>42980.703784722224</v>
      </c>
      <c r="F112" s="13">
        <v>42980.705717592595</v>
      </c>
      <c r="G112" s="7">
        <v>53</v>
      </c>
      <c r="H112" s="21" t="s">
        <v>345</v>
      </c>
      <c r="I112" s="13">
        <v>42980.736203703702</v>
      </c>
      <c r="J112" s="7">
        <v>0</v>
      </c>
      <c r="K112" s="89" t="str">
        <f t="shared" si="85"/>
        <v>4051/4052</v>
      </c>
      <c r="L112" s="214" t="str">
        <f>VLOOKUP(A112,'Trips&amp;Operators'!$C$1:$G$99911,5,FALSE)</f>
        <v>STORY SAMANTHA</v>
      </c>
      <c r="M112" s="6">
        <f t="shared" si="86"/>
        <v>3.0486111107165925E-2</v>
      </c>
      <c r="N112" s="7">
        <f t="shared" si="101"/>
        <v>43.899999994318932</v>
      </c>
      <c r="O112" s="7"/>
      <c r="P112" s="7"/>
      <c r="Q112" s="22"/>
      <c r="R112" s="167"/>
      <c r="S112" s="210">
        <f t="shared" si="102"/>
        <v>1</v>
      </c>
      <c r="T112" s="192" t="str">
        <f t="shared" si="87"/>
        <v>Southbound</v>
      </c>
      <c r="U112" s="192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3" t="str">
        <f t="shared" si="80"/>
        <v>https://d0f6bd738d7f1b3e5a7ca70fe4ff75f0.us-east-1.aws.found.io/app/kibana#/discover/Steve-Slow-Train-Analysis-(2080s-and-2083s)?_g=(refreshInterval:(display:Off,pause:!f,section:0,value:0),time:(from:'2017-09-02T15:53:27-0600',mode:absolute,to:'2017-09-02T18:40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12" s="194" t="str">
        <f>IF(AA112&lt;VLOOKUP(AG112,Variables!$AC$3:$AD$8,2,FALSE),"Y","N")</f>
        <v>N</v>
      </c>
      <c r="X112" s="194">
        <f t="shared" si="103"/>
        <v>1</v>
      </c>
      <c r="Y112" s="194">
        <f t="shared" si="104"/>
        <v>23.2971</v>
      </c>
      <c r="Z112" s="194">
        <f t="shared" si="105"/>
        <v>1.47E-2</v>
      </c>
      <c r="AA112" s="194">
        <f t="shared" si="88"/>
        <v>23.282399999999999</v>
      </c>
      <c r="AB112" s="54" t="str">
        <f>VLOOKUP(A112,Enforcements!$C$7:$K$11,8,0)</f>
        <v>Bulletin (2)</v>
      </c>
      <c r="AC112" s="51" t="str">
        <f>VLOOKUP(A112,Enforcements!$C$7:$E$11,3,0)</f>
        <v>GRADE CROSSING</v>
      </c>
      <c r="AD112" s="203">
        <f t="shared" si="89"/>
        <v>200</v>
      </c>
      <c r="AE112" s="77" t="str">
        <f t="shared" si="81"/>
        <v>aws s3 cp s3://rtdc.mdm.uploadarchive.raw/RTDC4051/ "%USERPROFILE%\AppData\Local\Temp\OnboardLogs"\RTDC4051\2017-09-02 --exclude "*" --recursive --include "*20170902*" &amp; "%USERPROFILE%\Documents\GitHub\mrs-test-scripts\Headless Mode &amp; Sideloading\WalkAndUnGZ.bat" "%USERPROFILE%\AppData\Local\Temp\OnboardLogs"\RTDC4051\2017-09-02 &amp; aws s3 cp s3://rtdc.mdm.uploadarchive.raw/RTDC4051/ "%USERPROFILE%\AppData\Local\Temp\OnboardLogs"\RTDC4051\2017-09-03 --exclude "*" --recursive --include "*20170903*" &amp; "%USERPROFILE%\Documents\GitHub\mrs-test-scripts\Headless Mode &amp; Sideloading\WalkAndUnGZ.bat" "%USERPROFILE%\AppData\Local\Temp\OnboardLogs"\RTDC4051\2017-09-03</v>
      </c>
      <c r="AF112" s="74" t="str">
        <f t="shared" si="82"/>
        <v>"C:\Program Files (x86)\AstroGrep\AstroGrep.exe" /e /r /s /spath="%USERPROFILE%\AppData\Local\Temp\OnboardLogs" /stypes="app*4051*20170902*" /stext=" 23:.+((SYSTEM_STATE.+slice.+state.+changed )|(ment ac)|(multiple cpu faults)|(system.+state.+changed )|(\[timeout)|(PRM\|1\|D)|(kpr)|(kdp)|(train st.+moving)|(\|lc)|(penalty))"</v>
      </c>
      <c r="AG112" s="206" t="str">
        <f t="shared" si="90"/>
        <v>EC</v>
      </c>
      <c r="AH112" s="78" t="str">
        <f t="shared" si="91"/>
        <v>"%USERPROFILE%\Documents\GitHub\eaglep3\Utilities\RefineRTDCRunTimes.py" --tripid 200-02 --locoid 4051 --swversion DE.1.0.9.0 --startMP 204:232971 --initTime 2017-09-02T16:53:27 --startdatetime 2017-09-02T16:56:14 --delay 53 --endMP 204:147 --enddatetime 2017-09-02T17:40:08 --enforcementcount 0 &gt;&gt;C:\Users\stu\Documents\GitHub\eaglep3-reporting\EC\2017-09-02-refined-times.txt</v>
      </c>
      <c r="AI112" s="96" t="str">
        <f t="shared" si="92"/>
        <v>echo {"issue":{"subject":"","project_id":79,"tracker_id":40,"status_id":1,"priority_id":2,"assigned_to_id":338,"start_date":"2017-09-02","description":"","custom_fields":[{"id":1,"name":"Subdivision","value":"EC"},{"id":4,"name":"Milepost","value":"0.0147"},{"id":17,"name":"Train ID","value":"200-02"},{"id":16,"name":"Locomotive ID","value":"4051"},{"id":130,"name":"Impact","value":""},{"id":150,"name":"Time of Event (Mountain Time)","value":"17:40:08"},{"id":151,"name":"Denver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93"/>
        <v>start /low /b %USERPROFILE%\Documents\GitHub\eaglep3\Utilities\DownloadLogsFromS3.py --loco 4051 --day 2017-09-02</v>
      </c>
      <c r="AN112" s="151" t="str">
        <f t="shared" si="94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23:40:08"},{"id":29,"name":"Sharepoint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712</v>
      </c>
      <c r="B113" s="7">
        <v>4024</v>
      </c>
      <c r="C113" s="21" t="s">
        <v>197</v>
      </c>
      <c r="D113" s="21" t="s">
        <v>452</v>
      </c>
      <c r="E113" s="13">
        <v>42980.671840277777</v>
      </c>
      <c r="F113" s="13">
        <v>42980.67728009259</v>
      </c>
      <c r="G113" s="7">
        <v>72</v>
      </c>
      <c r="H113" s="21" t="s">
        <v>539</v>
      </c>
      <c r="I113" s="13">
        <v>42980.701643518521</v>
      </c>
      <c r="J113" s="7">
        <v>0</v>
      </c>
      <c r="K113" s="89" t="str">
        <f t="shared" si="85"/>
        <v>4023/4024</v>
      </c>
      <c r="L113" s="214" t="str">
        <f>VLOOKUP(A113,'Trips&amp;Operators'!$C$1:$G$99911,5,FALSE)</f>
        <v>MCREYNOLDS KYLE</v>
      </c>
      <c r="M113" s="6">
        <f t="shared" si="86"/>
        <v>2.436342593136942E-2</v>
      </c>
      <c r="N113" s="7">
        <f t="shared" si="101"/>
        <v>35.083333341171965</v>
      </c>
      <c r="O113" s="7"/>
      <c r="P113" s="7"/>
      <c r="Q113" s="22"/>
      <c r="R113" s="167"/>
      <c r="S113" s="210">
        <f t="shared" si="102"/>
        <v>1</v>
      </c>
      <c r="T113" s="192" t="str">
        <f t="shared" si="87"/>
        <v>NorthBound</v>
      </c>
      <c r="U113" s="192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3" t="str">
        <f t="shared" si="80"/>
        <v>https://d0f6bd738d7f1b3e5a7ca70fe4ff75f0.us-east-1.aws.found.io/app/kibana#/discover/Steve-Slow-Train-Analysis-(2080s-and-2083s)?_g=(refreshInterval:(display:Off,pause:!f,section:0,value:0),time:(from:'2017-09-02T15:07:27-0600',mode:absolute,to:'2017-09-02T17:50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13" s="194" t="str">
        <f>IF(AA113&lt;VLOOKUP(AG113,Variables!$AC$3:$AD$8,2,FALSE),"Y","N")</f>
        <v>N</v>
      </c>
      <c r="X113" s="194">
        <f t="shared" si="103"/>
        <v>1</v>
      </c>
      <c r="Y113" s="194">
        <f t="shared" si="104"/>
        <v>4.5999999999999999E-2</v>
      </c>
      <c r="Z113" s="194">
        <f t="shared" si="105"/>
        <v>23.331399999999999</v>
      </c>
      <c r="AA113" s="194">
        <f t="shared" si="88"/>
        <v>23.285399999999999</v>
      </c>
      <c r="AB113" s="54" t="e">
        <f>VLOOKUP(A113,Enforcements!$C$7:$K$11,8,0)</f>
        <v>#N/A</v>
      </c>
      <c r="AC113" s="51" t="e">
        <f>VLOOKUP(A113,Enforcements!$C$7:$E$11,3,0)</f>
        <v>#N/A</v>
      </c>
      <c r="AD113" s="203">
        <f t="shared" si="89"/>
        <v>201</v>
      </c>
      <c r="AE113" s="77" t="str">
        <f t="shared" si="81"/>
        <v>aws s3 cp s3://rtdc.mdm.uploadarchive.raw/RTDC4024/ "%USERPROFILE%\AppData\Local\Temp\OnboardLogs"\RTDC4024\2017-09-02 --exclude "*" --recursive --include "*20170902*" &amp; "%USERPROFILE%\Documents\GitHub\mrs-test-scripts\Headless Mode &amp; Sideloading\WalkAndUnGZ.bat" "%USERPROFILE%\AppData\Local\Temp\OnboardLogs"\RTDC4024\2017-09-02 &amp; aws s3 cp s3://rtdc.mdm.uploadarchive.raw/RTDC4024/ "%USERPROFILE%\AppData\Local\Temp\OnboardLogs"\RTDC4024\2017-09-03 --exclude "*" --recursive --include "*20170903*" &amp; "%USERPROFILE%\Documents\GitHub\mrs-test-scripts\Headless Mode &amp; Sideloading\WalkAndUnGZ.bat" "%USERPROFILE%\AppData\Local\Temp\OnboardLogs"\RTDC4024\2017-09-03</v>
      </c>
      <c r="AF113" s="74" t="str">
        <f t="shared" si="82"/>
        <v>"C:\Program Files (x86)\AstroGrep\AstroGrep.exe" /e /r /s /spath="%USERPROFILE%\AppData\Local\Temp\OnboardLogs" /stypes="app*4024*20170902*" /stext=" 22:.+((SYSTEM_STATE.+slice.+state.+changed )|(ment ac)|(multiple cpu faults)|(system.+state.+changed )|(\[timeout)|(PRM\|1\|D)|(kpr)|(kdp)|(train st.+moving)|(\|lc)|(penalty))"</v>
      </c>
      <c r="AG113" s="206" t="str">
        <f t="shared" si="90"/>
        <v>EC</v>
      </c>
      <c r="AH113" s="78" t="str">
        <f t="shared" si="91"/>
        <v>"%USERPROFILE%\Documents\GitHub\eaglep3\Utilities\RefineRTDCRunTimes.py" --tripid 201-02 --locoid 4024 --swversion DE.1.0.9.0 --startMP 204:460 --initTime 2017-09-02T16:07:27 --startdatetime 2017-09-02T16:15:17 --delay 72 --endMP 204:233314 --enddatetime 2017-09-02T16:50:22 --enforcementcount 0 &gt;&gt;C:\Users\stu\Documents\GitHub\eaglep3-reporting\EC\2017-09-02-refined-times.txt</v>
      </c>
      <c r="AI113" s="96" t="str">
        <f t="shared" si="92"/>
        <v>echo {"issue":{"subject":"","project_id":79,"tracker_id":40,"status_id":1,"priority_id":2,"assigned_to_id":338,"start_date":"2017-09-02","description":"","custom_fields":[{"id":1,"name":"Subdivision","value":"EC"},{"id":4,"name":"Milepost","value":"23.3314"},{"id":17,"name":"Train ID","value":"201-02"},{"id":16,"name":"Locomotive ID","value":"4024"},{"id":130,"name":"Impact","value":""},{"id":150,"name":"Time of Event (Mountain Time)","value":"16:50:22"},{"id":151,"name":"Denver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93"/>
        <v>start /low /b %USERPROFILE%\Documents\GitHub\eaglep3\Utilities\DownloadLogsFromS3.py --loco 4024 --day 2017-09-02</v>
      </c>
      <c r="AN113" s="151" t="str">
        <f t="shared" si="94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22:50:22"},{"id":29,"name":"Sharepoint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717</v>
      </c>
      <c r="B114" s="7">
        <v>4023</v>
      </c>
      <c r="C114" s="21" t="s">
        <v>197</v>
      </c>
      <c r="D114" s="21" t="s">
        <v>792</v>
      </c>
      <c r="E114" s="13">
        <v>42980.703703703701</v>
      </c>
      <c r="F114" s="13">
        <v>42980.716921296298</v>
      </c>
      <c r="G114" s="7">
        <v>49</v>
      </c>
      <c r="H114" s="21" t="s">
        <v>338</v>
      </c>
      <c r="I114" s="13">
        <v>42980.742743055554</v>
      </c>
      <c r="J114" s="7">
        <v>0</v>
      </c>
      <c r="K114" s="89" t="str">
        <f t="shared" si="85"/>
        <v>4023/4024</v>
      </c>
      <c r="L114" s="214" t="str">
        <f>VLOOKUP(A114,'Trips&amp;Operators'!$C$1:$G$99911,5,FALSE)</f>
        <v>MCREYNOLDS KYLE</v>
      </c>
      <c r="M114" s="6">
        <f t="shared" si="86"/>
        <v>2.5821759256359655E-2</v>
      </c>
      <c r="N114" s="7">
        <f t="shared" si="101"/>
        <v>37.183333329157904</v>
      </c>
      <c r="O114" s="7"/>
      <c r="P114" s="7"/>
      <c r="Q114" s="22"/>
      <c r="R114" s="167"/>
      <c r="S114" s="210">
        <f t="shared" si="102"/>
        <v>1</v>
      </c>
      <c r="T114" s="192" t="str">
        <f t="shared" si="87"/>
        <v>Southbound</v>
      </c>
      <c r="U114" s="192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3" t="str">
        <f t="shared" si="80"/>
        <v>https://d0f6bd738d7f1b3e5a7ca70fe4ff75f0.us-east-1.aws.found.io/app/kibana#/discover/Steve-Slow-Train-Analysis-(2080s-and-2083s)?_g=(refreshInterval:(display:Off,pause:!f,section:0,value:0),time:(from:'2017-09-02T15:53:20-0600',mode:absolute,to:'2017-09-02T18:49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14" s="194" t="str">
        <f>IF(AA114&lt;VLOOKUP(AG114,Variables!$AC$3:$AD$8,2,FALSE),"Y","N")</f>
        <v>N</v>
      </c>
      <c r="X114" s="194">
        <f t="shared" ref="X114:X129" si="106">VALUE(LEFT(AD114,4))-VALUE(LEFT(AD113,4))</f>
        <v>1</v>
      </c>
      <c r="Y114" s="194">
        <f t="shared" si="104"/>
        <v>23.3002</v>
      </c>
      <c r="Z114" s="194">
        <f t="shared" si="105"/>
        <v>1.4999999999999999E-2</v>
      </c>
      <c r="AA114" s="194">
        <f t="shared" si="88"/>
        <v>23.2852</v>
      </c>
      <c r="AB114" s="54" t="e">
        <f>VLOOKUP(A114,Enforcements!$C$7:$K$11,8,0)</f>
        <v>#N/A</v>
      </c>
      <c r="AC114" s="51" t="e">
        <f>VLOOKUP(A114,Enforcements!$C$7:$E$11,3,0)</f>
        <v>#N/A</v>
      </c>
      <c r="AD114" s="203">
        <f t="shared" si="89"/>
        <v>202</v>
      </c>
      <c r="AE114" s="77" t="str">
        <f t="shared" si="81"/>
        <v>aws s3 cp s3://rtdc.mdm.uploadarchive.raw/RTDC4023/ "%USERPROFILE%\AppData\Local\Temp\OnboardLogs"\RTDC4023\2017-09-02 --exclude "*" --recursive --include "*20170902*" &amp; "%USERPROFILE%\Documents\GitHub\mrs-test-scripts\Headless Mode &amp; Sideloading\WalkAndUnGZ.bat" "%USERPROFILE%\AppData\Local\Temp\OnboardLogs"\RTDC4023\2017-09-02 &amp; aws s3 cp s3://rtdc.mdm.uploadarchive.raw/RTDC4023/ "%USERPROFILE%\AppData\Local\Temp\OnboardLogs"\RTDC4023\2017-09-03 --exclude "*" --recursive --include "*20170903*" &amp; "%USERPROFILE%\Documents\GitHub\mrs-test-scripts\Headless Mode &amp; Sideloading\WalkAndUnGZ.bat" "%USERPROFILE%\AppData\Local\Temp\OnboardLogs"\RTDC4023\2017-09-03</v>
      </c>
      <c r="AF114" s="74" t="str">
        <f t="shared" si="82"/>
        <v>"C:\Program Files (x86)\AstroGrep\AstroGrep.exe" /e /r /s /spath="%USERPROFILE%\AppData\Local\Temp\OnboardLogs" /stypes="app*4023*20170902*" /stext=" 23:.+((SYSTEM_STATE.+slice.+state.+changed )|(ment ac)|(multiple cpu faults)|(system.+state.+changed )|(\[timeout)|(PRM\|1\|D)|(kpr)|(kdp)|(train st.+moving)|(\|lc)|(penalty))"</v>
      </c>
      <c r="AG114" s="206" t="str">
        <f t="shared" si="90"/>
        <v>EC</v>
      </c>
      <c r="AH114" s="78" t="str">
        <f t="shared" si="91"/>
        <v>"%USERPROFILE%\Documents\GitHub\eaglep3\Utilities\RefineRTDCRunTimes.py" --tripid 202-02 --locoid 4023 --swversion DE.1.0.9.0 --startMP 204:233002 --initTime 2017-09-02T16:53:20 --startdatetime 2017-09-02T17:12:22 --delay 49 --endMP 204:150 --enddatetime 2017-09-02T17:49:33 --enforcementcount 0 &gt;&gt;C:\Users\stu\Documents\GitHub\eaglep3-reporting\EC\2017-09-02-refined-times.txt</v>
      </c>
      <c r="AI114" s="96" t="str">
        <f t="shared" si="92"/>
        <v>echo {"issue":{"subject":"","project_id":79,"tracker_id":40,"status_id":1,"priority_id":2,"assigned_to_id":338,"start_date":"2017-09-02","description":"","custom_fields":[{"id":1,"name":"Subdivision","value":"EC"},{"id":4,"name":"Milepost","value":"0.015"},{"id":17,"name":"Train ID","value":"202-02"},{"id":16,"name":"Locomotive ID","value":"4023"},{"id":130,"name":"Impact","value":""},{"id":150,"name":"Time of Event (Mountain Time)","value":"17:49:33"},{"id":151,"name":"Denver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93"/>
        <v>start /low /b %USERPROFILE%\Documents\GitHub\eaglep3\Utilities\DownloadLogsFromS3.py --loco 4023 --day 2017-09-02</v>
      </c>
      <c r="AN114" s="151" t="str">
        <f t="shared" si="94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23:49:33"},{"id":29,"name":"Sharepoint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588</v>
      </c>
      <c r="B115" s="7">
        <v>4032</v>
      </c>
      <c r="C115" s="21" t="s">
        <v>197</v>
      </c>
      <c r="D115" s="21" t="s">
        <v>365</v>
      </c>
      <c r="E115" s="13">
        <v>42980.681400462963</v>
      </c>
      <c r="F115" s="13">
        <v>42980.687696759262</v>
      </c>
      <c r="G115" s="7">
        <v>125</v>
      </c>
      <c r="H115" s="21" t="s">
        <v>403</v>
      </c>
      <c r="I115" s="13">
        <v>42980.714259259257</v>
      </c>
      <c r="J115" s="7">
        <v>0</v>
      </c>
      <c r="K115" s="89" t="str">
        <f t="shared" si="85"/>
        <v>4031/4032</v>
      </c>
      <c r="L115" s="214" t="str">
        <f>VLOOKUP(A115,'Trips&amp;Operators'!$C$1:$G$99911,5,FALSE)</f>
        <v>BRUDER RICHARD</v>
      </c>
      <c r="M115" s="6">
        <f t="shared" si="86"/>
        <v>2.6562499995634425E-2</v>
      </c>
      <c r="N115" s="7">
        <f t="shared" si="101"/>
        <v>38.249999993713573</v>
      </c>
      <c r="O115" s="7"/>
      <c r="P115" s="7"/>
      <c r="Q115" s="22"/>
      <c r="R115" s="167" t="s">
        <v>963</v>
      </c>
      <c r="S115" s="210">
        <f t="shared" si="102"/>
        <v>1</v>
      </c>
      <c r="T115" s="192" t="str">
        <f t="shared" si="87"/>
        <v>NorthBound</v>
      </c>
      <c r="U115" s="192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3" t="str">
        <f t="shared" si="80"/>
        <v>https://d0f6bd738d7f1b3e5a7ca70fe4ff75f0.us-east-1.aws.found.io/app/kibana#/discover/Steve-Slow-Train-Analysis-(2080s-and-2083s)?_g=(refreshInterval:(display:Off,pause:!f,section:0,value:0),time:(from:'2017-09-02T15:21:13-0600',mode:absolute,to:'2017-09-02T18:08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15" s="194" t="str">
        <f>IF(AA115&lt;VLOOKUP(AG115,Variables!$AC$3:$AD$8,2,FALSE),"Y","N")</f>
        <v>N</v>
      </c>
      <c r="X115" s="194">
        <f t="shared" si="106"/>
        <v>1</v>
      </c>
      <c r="Y115" s="194">
        <f t="shared" si="104"/>
        <v>4.4900000000000002E-2</v>
      </c>
      <c r="Z115" s="194">
        <f t="shared" si="105"/>
        <v>23.329499999999999</v>
      </c>
      <c r="AA115" s="194">
        <f t="shared" si="88"/>
        <v>23.284600000000001</v>
      </c>
      <c r="AB115" s="54" t="e">
        <f>VLOOKUP(A115,Enforcements!$C$7:$K$11,8,0)</f>
        <v>#N/A</v>
      </c>
      <c r="AC115" s="51" t="e">
        <f>VLOOKUP(A115,Enforcements!$C$7:$E$11,3,0)</f>
        <v>#N/A</v>
      </c>
      <c r="AD115" s="203">
        <f t="shared" si="89"/>
        <v>203</v>
      </c>
      <c r="AE115" s="77" t="str">
        <f t="shared" si="81"/>
        <v>aws s3 cp s3://rtdc.mdm.uploadarchive.raw/RTDC4032/ "%USERPROFILE%\AppData\Local\Temp\OnboardLogs"\RTDC4032\2017-09-02 --exclude "*" --recursive --include "*20170902*" &amp; "%USERPROFILE%\Documents\GitHub\mrs-test-scripts\Headless Mode &amp; Sideloading\WalkAndUnGZ.bat" "%USERPROFILE%\AppData\Local\Temp\OnboardLogs"\RTDC4032\2017-09-02 &amp; aws s3 cp s3://rtdc.mdm.uploadarchive.raw/RTDC4032/ "%USERPROFILE%\AppData\Local\Temp\OnboardLogs"\RTDC4032\2017-09-03 --exclude "*" --recursive --include "*20170903*" &amp; "%USERPROFILE%\Documents\GitHub\mrs-test-scripts\Headless Mode &amp; Sideloading\WalkAndUnGZ.bat" "%USERPROFILE%\AppData\Local\Temp\OnboardLogs"\RTDC4032\2017-09-03</v>
      </c>
      <c r="AF115" s="74" t="str">
        <f t="shared" si="82"/>
        <v>"C:\Program Files (x86)\AstroGrep\AstroGrep.exe" /e /r /s /spath="%USERPROFILE%\AppData\Local\Temp\OnboardLogs" /stypes="app*4032*20170902*" /stext=" 23:.+((SYSTEM_STATE.+slice.+state.+changed )|(ment ac)|(multiple cpu faults)|(system.+state.+changed )|(\[timeout)|(PRM\|1\|D)|(kpr)|(kdp)|(train st.+moving)|(\|lc)|(penalty))"</v>
      </c>
      <c r="AG115" s="206" t="str">
        <f t="shared" si="90"/>
        <v>EC</v>
      </c>
      <c r="AH115" s="78" t="str">
        <f t="shared" si="91"/>
        <v>"%USERPROFILE%\Documents\GitHub\eaglep3\Utilities\RefineRTDCRunTimes.py" --tripid 203-02 --locoid 4032 --swversion DE.1.0.9.0 --startMP 204:449 --initTime 2017-09-02T16:21:13 --startdatetime 2017-09-02T16:30:17 --delay 125 --endMP 204:233295 --enddatetime 2017-09-02T17:08:32 --enforcementcount 0 &gt;&gt;C:\Users\stu\Documents\GitHub\eaglep3-reporting\EC\2017-09-02-refined-times.txt</v>
      </c>
      <c r="AI115" s="96" t="str">
        <f t="shared" si="92"/>
        <v>echo {"issue":{"subject":"Wi-MAX data drop, then enforcement at SWITCH UNKNOWN caused map to unload","project_id":79,"tracker_id":40,"status_id":1,"priority_id":2,"assigned_to_id":338,"start_date":"2017-09-02","description":"","custom_fields":[{"id":1,"name":"Subdivision","value":"EC"},{"id":4,"name":"Milepost","value":"23.3295"},{"id":17,"name":"Train ID","value":"203-02"},{"id":16,"name":"Locomotive ID","value":"4032"},{"id":130,"name":"Impact","value":""},{"id":150,"name":"Time of Event (Mountain Time)","value":"17:08:32"},{"id":151,"name":"Denver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93"/>
        <v>start /low /b %USERPROFILE%\Documents\GitHub\eaglep3\Utilities\DownloadLogsFromS3.py --loco 4032 --day 2017-09-02</v>
      </c>
      <c r="AN115" s="151" t="str">
        <f t="shared" si="94"/>
        <v>echo {"issue":{"subject":"Wi-MAX data drop, then enforcement at SWITCH UNKNOWN caused map to unload","project_id":30,"tracker_id":4,"status_id":1,"priority_id":1,"assigned_to_id":10,"start_date":"2017-09-02","description":"","custom_fields":[{"id":30,"name":"Category","value":"Issue"},{"id":3,"name":"Functional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23:08:32"},{"id":29,"name":"Sharepoint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722</v>
      </c>
      <c r="B116" s="7">
        <v>4031</v>
      </c>
      <c r="C116" s="21" t="s">
        <v>197</v>
      </c>
      <c r="D116" s="21" t="s">
        <v>351</v>
      </c>
      <c r="E116" s="13">
        <v>42980.725682870368</v>
      </c>
      <c r="F116" s="13">
        <v>42980.727349537039</v>
      </c>
      <c r="G116" s="7">
        <v>54</v>
      </c>
      <c r="H116" s="21" t="s">
        <v>881</v>
      </c>
      <c r="I116" s="13">
        <v>42980.742268518516</v>
      </c>
      <c r="J116" s="7">
        <v>0</v>
      </c>
      <c r="K116" s="89" t="str">
        <f t="shared" ref="K116:K147" si="107">IF(ISEVEN(B116),(B116-1)&amp;"/"&amp;B116,B116&amp;"/"&amp;(B116+1))</f>
        <v>4031/4032</v>
      </c>
      <c r="L116" s="214" t="str">
        <f>VLOOKUP(A116,'Trips&amp;Operators'!$C$1:$G$99911,5,FALSE)</f>
        <v>BRUDER RICHARD</v>
      </c>
      <c r="M116" s="6">
        <f t="shared" ref="M116:M147" si="108">I116-F116</f>
        <v>1.4918981476512272E-2</v>
      </c>
      <c r="N116" s="7"/>
      <c r="O116" s="7"/>
      <c r="P116" s="7">
        <f>24*60*SUM($M116:$M116)</f>
        <v>21.483333326177672</v>
      </c>
      <c r="Q116" s="22"/>
      <c r="R116" s="167" t="s">
        <v>956</v>
      </c>
      <c r="S116" s="210">
        <f t="shared" si="102"/>
        <v>0.25</v>
      </c>
      <c r="T116" s="192" t="str">
        <f t="shared" ref="T116:T147" si="109">IF(ISEVEN(LEFT(AD116,4)),"Southbound","NorthBound")</f>
        <v>Southbound</v>
      </c>
      <c r="U116" s="192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3</v>
      </c>
      <c r="V116" s="193" t="str">
        <f t="shared" si="80"/>
        <v>https://d0f6bd738d7f1b3e5a7ca70fe4ff75f0.us-east-1.aws.found.io/app/kibana#/discover/Steve-Slow-Train-Analysis-(2080s-and-2083s)?_g=(refreshInterval:(display:Off,pause:!f,section:0,value:0),time:(from:'2017-09-02T16:24:59-0600',mode:absolute,to:'2017-09-02T18:48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16" s="194" t="str">
        <f>IF(AA116&lt;VLOOKUP(AG116,Variables!$AC$3:$AD$8,2,FALSE),"Y","N")</f>
        <v>Y</v>
      </c>
      <c r="X116" s="194">
        <f t="shared" si="106"/>
        <v>1</v>
      </c>
      <c r="Y116" s="194">
        <f t="shared" si="104"/>
        <v>23.299600000000002</v>
      </c>
      <c r="Z116" s="194">
        <f t="shared" si="105"/>
        <v>6.5671999999999997</v>
      </c>
      <c r="AA116" s="194">
        <f t="shared" ref="AA116:AA147" si="110">ABS(Z116-Y116)</f>
        <v>16.732400000000002</v>
      </c>
      <c r="AB116" s="54" t="e">
        <f>VLOOKUP(A116,Enforcements!$C$7:$K$11,8,0)</f>
        <v>#N/A</v>
      </c>
      <c r="AC116" s="51" t="e">
        <f>VLOOKUP(A116,Enforcements!$C$7:$E$11,3,0)</f>
        <v>#N/A</v>
      </c>
      <c r="AD116" s="203">
        <f t="shared" ref="AD116:AD147" si="111">VALUE(LEFT(A116,LEN(A116)-3))</f>
        <v>204</v>
      </c>
      <c r="AE116" s="77" t="str">
        <f t="shared" si="81"/>
        <v>aws s3 cp s3://rtdc.mdm.uploadarchive.raw/RTDC4031/ "%USERPROFILE%\AppData\Local\Temp\OnboardLogs"\RTDC4031\2017-09-02 --exclude "*" --recursive --include "*20170902*" &amp; "%USERPROFILE%\Documents\GitHub\mrs-test-scripts\Headless Mode &amp; Sideloading\WalkAndUnGZ.bat" "%USERPROFILE%\AppData\Local\Temp\OnboardLogs"\RTDC4031\2017-09-02 &amp; aws s3 cp s3://rtdc.mdm.uploadarchive.raw/RTDC4031/ "%USERPROFILE%\AppData\Local\Temp\OnboardLogs"\RTDC4031\2017-09-03 --exclude "*" --recursive --include "*20170903*" &amp; "%USERPROFILE%\Documents\GitHub\mrs-test-scripts\Headless Mode &amp; Sideloading\WalkAndUnGZ.bat" "%USERPROFILE%\AppData\Local\Temp\OnboardLogs"\RTDC4031\2017-09-03</v>
      </c>
      <c r="AF116" s="74" t="str">
        <f t="shared" si="82"/>
        <v>"C:\Program Files (x86)\AstroGrep\AstroGrep.exe" /e /r /s /spath="%USERPROFILE%\AppData\Local\Temp\OnboardLogs" /stypes="app*4031*20170902*" /stext=" 23:.+((SYSTEM_STATE.+slice.+state.+changed )|(ment ac)|(multiple cpu faults)|(system.+state.+changed )|(\[timeout)|(PRM\|1\|D)|(kpr)|(kdp)|(train st.+moving)|(\|lc)|(penalty))"</v>
      </c>
      <c r="AG116" s="206" t="str">
        <f t="shared" ref="AG116:AG147" si="112">DetSubdiv(A116)</f>
        <v>EC</v>
      </c>
      <c r="AH116" s="78" t="str">
        <f t="shared" si="91"/>
        <v>"%USERPROFILE%\Documents\GitHub\eaglep3\Utilities\RefineRTDCRunTimes.py" --tripid 204-02 --locoid 4031 --swversion DE.1.0.9.0 --startMP 204:232996 --initTime 2017-09-02T17:24:59 --startdatetime 2017-09-02T17:27:23 --delay 54 --endMP 204:65672 --enddatetime 2017-09-02T17:48:52 --enforcementcount 0 &gt;&gt;C:\Users\stu\Documents\GitHub\eaglep3-reporting\EC\2017-09-02-refined-times.txt</v>
      </c>
      <c r="AI116" s="96" t="str">
        <f t="shared" si="92"/>
        <v>echo {"issue":{"subject":"Onboard in-route failure","project_id":79,"tracker_id":40,"status_id":1,"priority_id":2,"assigned_to_id":338,"start_date":"2017-09-02","description":"","custom_fields":[{"id":1,"name":"Subdivision","value":"EC"},{"id":4,"name":"Milepost","value":"6.5672"},{"id":17,"name":"Train ID","value":"204-02"},{"id":16,"name":"Locomotive ID","value":"4031"},{"id":130,"name":"Impact","value":""},{"id":150,"name":"Time of Event (Mountain Time)","value":"17:48:52"},{"id":151,"name":"Denver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93"/>
        <v>start /low /b %USERPROFILE%\Documents\GitHub\eaglep3\Utilities\DownloadLogsFromS3.py --loco 4031 --day 2017-09-02</v>
      </c>
      <c r="AN116" s="151" t="str">
        <f t="shared" si="94"/>
        <v>echo {"issue":{"subject":"Onboard in-route failure","project_id":30,"tracker_id":4,"status_id":1,"priority_id":1,"assigned_to_id":10,"start_date":"2017-09-02","description":"","custom_fields":[{"id":30,"name":"Category","value":"Issue"},{"id":3,"name":"Functional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23:48:52"},{"id":29,"name":"Sharepoint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716</v>
      </c>
      <c r="B117" s="7">
        <v>4028</v>
      </c>
      <c r="C117" s="21" t="s">
        <v>197</v>
      </c>
      <c r="D117" s="21" t="s">
        <v>343</v>
      </c>
      <c r="E117" s="13">
        <v>42980.693819444445</v>
      </c>
      <c r="F117" s="13">
        <v>42980.698344907411</v>
      </c>
      <c r="G117" s="7">
        <v>123</v>
      </c>
      <c r="H117" s="21" t="s">
        <v>882</v>
      </c>
      <c r="I117" s="13">
        <v>42980.731111111112</v>
      </c>
      <c r="J117" s="7">
        <v>0</v>
      </c>
      <c r="K117" s="89" t="str">
        <f t="shared" si="107"/>
        <v>4027/4028</v>
      </c>
      <c r="L117" s="214" t="str">
        <f>VLOOKUP(A117,'Trips&amp;Operators'!$C$1:$G$99911,5,FALSE)</f>
        <v>DAVIS MICHAEL</v>
      </c>
      <c r="M117" s="6">
        <f t="shared" si="108"/>
        <v>3.276620370161254E-2</v>
      </c>
      <c r="N117" s="7">
        <f t="shared" ref="N117:N163" si="113">24*60*SUM($M117:$M117)</f>
        <v>47.183333330322057</v>
      </c>
      <c r="O117" s="7"/>
      <c r="P117" s="7"/>
      <c r="Q117" s="22"/>
      <c r="R117" s="167"/>
      <c r="S117" s="210">
        <f t="shared" si="102"/>
        <v>1</v>
      </c>
      <c r="T117" s="192" t="str">
        <f t="shared" si="109"/>
        <v>NorthBound</v>
      </c>
      <c r="U117" s="192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3" t="str">
        <f t="shared" si="80"/>
        <v>https://d0f6bd738d7f1b3e5a7ca70fe4ff75f0.us-east-1.aws.found.io/app/kibana#/discover/Steve-Slow-Train-Analysis-(2080s-and-2083s)?_g=(refreshInterval:(display:Off,pause:!f,section:0,value:0),time:(from:'2017-09-02T15:39:06-0600',mode:absolute,to:'2017-09-02T18:32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7" s="194" t="str">
        <f>IF(AA117&lt;VLOOKUP(AG117,Variables!$AC$3:$AD$8,2,FALSE),"Y","N")</f>
        <v>N</v>
      </c>
      <c r="X117" s="194">
        <f t="shared" si="106"/>
        <v>1</v>
      </c>
      <c r="Y117" s="194">
        <f t="shared" si="104"/>
        <v>4.4699999999999997E-2</v>
      </c>
      <c r="Z117" s="194">
        <f t="shared" si="105"/>
        <v>23.3415</v>
      </c>
      <c r="AA117" s="194">
        <f t="shared" si="110"/>
        <v>23.296800000000001</v>
      </c>
      <c r="AB117" s="54" t="e">
        <f>VLOOKUP(A117,Enforcements!$C$7:$K$11,8,0)</f>
        <v>#N/A</v>
      </c>
      <c r="AC117" s="51" t="e">
        <f>VLOOKUP(A117,Enforcements!$C$7:$E$11,3,0)</f>
        <v>#N/A</v>
      </c>
      <c r="AD117" s="203">
        <f t="shared" si="111"/>
        <v>205</v>
      </c>
      <c r="AE117" s="77" t="str">
        <f t="shared" si="81"/>
        <v>aws s3 cp s3://rtdc.mdm.uploadarchive.raw/RTDC4028/ "%USERPROFILE%\AppData\Local\Temp\OnboardLogs"\RTDC4028\2017-09-02 --exclude "*" --recursive --include "*20170902*" &amp; "%USERPROFILE%\Documents\GitHub\mrs-test-scripts\Headless Mode &amp; Sideloading\WalkAndUnGZ.bat" "%USERPROFILE%\AppData\Local\Temp\OnboardLogs"\RTDC4028\2017-09-02 &amp; aws s3 cp s3://rtdc.mdm.uploadarchive.raw/RTDC4028/ "%USERPROFILE%\AppData\Local\Temp\OnboardLogs"\RTDC4028\2017-09-03 --exclude "*" --recursive --include "*20170903*" &amp; "%USERPROFILE%\Documents\GitHub\mrs-test-scripts\Headless Mode &amp; Sideloading\WalkAndUnGZ.bat" "%USERPROFILE%\AppData\Local\Temp\OnboardLogs"\RTDC4028\2017-09-03</v>
      </c>
      <c r="AF117" s="74" t="str">
        <f t="shared" si="82"/>
        <v>"C:\Program Files (x86)\AstroGrep\AstroGrep.exe" /e /r /s /spath="%USERPROFILE%\AppData\Local\Temp\OnboardLogs" /stypes="app*4028*20170902*" /stext=" 23:.+((SYSTEM_STATE.+slice.+state.+changed )|(ment ac)|(multiple cpu faults)|(system.+state.+changed )|(\[timeout)|(PRM\|1\|D)|(kpr)|(kdp)|(train st.+moving)|(\|lc)|(penalty))"</v>
      </c>
      <c r="AG117" s="206" t="str">
        <f t="shared" si="112"/>
        <v>EC</v>
      </c>
      <c r="AH117" s="78" t="str">
        <f t="shared" si="91"/>
        <v>"%USERPROFILE%\Documents\GitHub\eaglep3\Utilities\RefineRTDCRunTimes.py" --tripid 205-02 --locoid 4028 --swversion DE.1.0.9.0 --startMP 204:447 --initTime 2017-09-02T16:39:06 --startdatetime 2017-09-02T16:45:37 --delay 123 --endMP 204:233415 --enddatetime 2017-09-02T17:32:48 --enforcementcount 0 &gt;&gt;C:\Users\stu\Documents\GitHub\eaglep3-reporting\EC\2017-09-02-refined-times.txt</v>
      </c>
      <c r="AI117" s="96" t="str">
        <f t="shared" si="92"/>
        <v>echo {"issue":{"subject":"","project_id":79,"tracker_id":40,"status_id":1,"priority_id":2,"assigned_to_id":338,"start_date":"2017-09-02","description":"","custom_fields":[{"id":1,"name":"Subdivision","value":"EC"},{"id":4,"name":"Milepost","value":"23.3415"},{"id":17,"name":"Train ID","value":"205-02"},{"id":16,"name":"Locomotive ID","value":"4028"},{"id":130,"name":"Impact","value":""},{"id":150,"name":"Time of Event (Mountain Time)","value":"17:32:48"},{"id":151,"name":"Denver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93"/>
        <v>start /low /b %USERPROFILE%\Documents\GitHub\eaglep3\Utilities\DownloadLogsFromS3.py --loco 4028 --day 2017-09-02</v>
      </c>
      <c r="AN117" s="151" t="str">
        <f t="shared" si="94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23:32:48"},{"id":29,"name":"Sharepoint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725</v>
      </c>
      <c r="B118" s="7">
        <v>4027</v>
      </c>
      <c r="C118" s="21" t="s">
        <v>197</v>
      </c>
      <c r="D118" s="21" t="s">
        <v>543</v>
      </c>
      <c r="E118" s="13">
        <v>42980.736631944441</v>
      </c>
      <c r="F118" s="13">
        <v>42980.73814814815</v>
      </c>
      <c r="G118" s="7">
        <v>67</v>
      </c>
      <c r="H118" s="21" t="s">
        <v>883</v>
      </c>
      <c r="I118" s="13">
        <v>42980.765960648147</v>
      </c>
      <c r="J118" s="7">
        <v>0</v>
      </c>
      <c r="K118" s="89" t="str">
        <f t="shared" si="107"/>
        <v>4027/4028</v>
      </c>
      <c r="L118" s="214" t="str">
        <f>VLOOKUP(A118,'Trips&amp;Operators'!$C$1:$G$99911,5,FALSE)</f>
        <v>DAVIS MICHAEL</v>
      </c>
      <c r="M118" s="6">
        <f t="shared" si="108"/>
        <v>2.7812499996798579E-2</v>
      </c>
      <c r="N118" s="7">
        <f t="shared" si="113"/>
        <v>40.049999995389953</v>
      </c>
      <c r="O118" s="7"/>
      <c r="P118" s="7"/>
      <c r="Q118" s="22"/>
      <c r="R118" s="167"/>
      <c r="S118" s="210">
        <f t="shared" si="102"/>
        <v>1</v>
      </c>
      <c r="T118" s="192" t="str">
        <f t="shared" si="109"/>
        <v>Southbound</v>
      </c>
      <c r="U118" s="192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3" t="str">
        <f t="shared" si="80"/>
        <v>https://d0f6bd738d7f1b3e5a7ca70fe4ff75f0.us-east-1.aws.found.io/app/kibana#/discover/Steve-Slow-Train-Analysis-(2080s-and-2083s)?_g=(refreshInterval:(display:Off,pause:!f,section:0,value:0),time:(from:'2017-09-02T16:40:45-0600',mode:absolute,to:'2017-09-02T19:22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8" s="194" t="str">
        <f>IF(AA118&lt;VLOOKUP(AG118,Variables!$AC$3:$AD$8,2,FALSE),"Y","N")</f>
        <v>N</v>
      </c>
      <c r="X118" s="194">
        <f t="shared" si="106"/>
        <v>1</v>
      </c>
      <c r="Y118" s="194">
        <f t="shared" si="104"/>
        <v>23.3032</v>
      </c>
      <c r="Z118" s="194">
        <f t="shared" si="105"/>
        <v>1.1900000000000001E-2</v>
      </c>
      <c r="AA118" s="194">
        <f t="shared" si="110"/>
        <v>23.2913</v>
      </c>
      <c r="AB118" s="54" t="e">
        <f>VLOOKUP(A118,Enforcements!$C$7:$K$11,8,0)</f>
        <v>#N/A</v>
      </c>
      <c r="AC118" s="51" t="e">
        <f>VLOOKUP(A118,Enforcements!$C$7:$E$11,3,0)</f>
        <v>#N/A</v>
      </c>
      <c r="AD118" s="203">
        <f t="shared" si="111"/>
        <v>206</v>
      </c>
      <c r="AE118" s="77" t="str">
        <f t="shared" si="81"/>
        <v>aws s3 cp s3://rtdc.mdm.uploadarchive.raw/RTDC4027/ "%USERPROFILE%\AppData\Local\Temp\OnboardLogs"\RTDC4027\2017-09-02 --exclude "*" --recursive --include "*20170902*" &amp; "%USERPROFILE%\Documents\GitHub\mrs-test-scripts\Headless Mode &amp; Sideloading\WalkAndUnGZ.bat" "%USERPROFILE%\AppData\Local\Temp\OnboardLogs"\RTDC4027\2017-09-02 &amp; aws s3 cp s3://rtdc.mdm.uploadarchive.raw/RTDC4027/ "%USERPROFILE%\AppData\Local\Temp\OnboardLogs"\RTDC4027\2017-09-03 --exclude "*" --recursive --include "*20170903*" &amp; "%USERPROFILE%\Documents\GitHub\mrs-test-scripts\Headless Mode &amp; Sideloading\WalkAndUnGZ.bat" "%USERPROFILE%\AppData\Local\Temp\OnboardLogs"\RTDC4027\2017-09-03</v>
      </c>
      <c r="AF118" s="74" t="str">
        <f t="shared" si="82"/>
        <v>"C:\Program Files (x86)\AstroGrep\AstroGrep.exe" /e /r /s /spath="%USERPROFILE%\AppData\Local\Temp\OnboardLogs" /stypes="app*4027*20170903*" /stext=" 00:.+((SYSTEM_STATE.+slice.+state.+changed )|(ment ac)|(multiple cpu faults)|(system.+state.+changed )|(\[timeout)|(PRM\|1\|D)|(kpr)|(kdp)|(train st.+moving)|(\|lc)|(penalty))"</v>
      </c>
      <c r="AG118" s="206" t="str">
        <f t="shared" si="112"/>
        <v>EC</v>
      </c>
      <c r="AH118" s="78" t="str">
        <f t="shared" si="91"/>
        <v>"%USERPROFILE%\Documents\GitHub\eaglep3\Utilities\RefineRTDCRunTimes.py" --tripid 206-02 --locoid 4027 --swversion DE.1.0.9.0 --startMP 204:233032 --initTime 2017-09-02T17:40:45 --startdatetime 2017-09-02T17:42:56 --delay 67 --endMP 204:119 --enddatetime 2017-09-02T18:22:59 --enforcementcount 0 &gt;&gt;C:\Users\stu\Documents\GitHub\eaglep3-reporting\EC\2017-09-02-refined-times.txt</v>
      </c>
      <c r="AI118" s="96" t="str">
        <f t="shared" si="92"/>
        <v>echo {"issue":{"subject":"","project_id":79,"tracker_id":40,"status_id":1,"priority_id":2,"assigned_to_id":338,"start_date":"2017-09-02","description":"","custom_fields":[{"id":1,"name":"Subdivision","value":"EC"},{"id":4,"name":"Milepost","value":"0.0119"},{"id":17,"name":"Train ID","value":"206-02"},{"id":16,"name":"Locomotive ID","value":"4027"},{"id":130,"name":"Impact","value":""},{"id":150,"name":"Time of Event (Mountain Time)","value":"18:22:59"},{"id":151,"name":"Denver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93"/>
        <v>start /low /b %USERPROFILE%\Documents\GitHub\eaglep3\Utilities\DownloadLogsFromS3.py --loco 4027 --day 2017-09-02</v>
      </c>
      <c r="AN118" s="151" t="str">
        <f t="shared" si="94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00:22:59"},{"id":29,"name":"Sharepoint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718</v>
      </c>
      <c r="B119" s="7">
        <v>4056</v>
      </c>
      <c r="C119" s="21" t="s">
        <v>197</v>
      </c>
      <c r="D119" s="21" t="s">
        <v>366</v>
      </c>
      <c r="E119" s="13">
        <v>42980.700069444443</v>
      </c>
      <c r="F119" s="13">
        <v>42980.708587962959</v>
      </c>
      <c r="G119" s="7">
        <v>424</v>
      </c>
      <c r="H119" s="21" t="s">
        <v>884</v>
      </c>
      <c r="I119" s="13">
        <v>42980.733483796299</v>
      </c>
      <c r="J119" s="7">
        <v>0</v>
      </c>
      <c r="K119" s="89" t="str">
        <f t="shared" si="107"/>
        <v>4055/4056</v>
      </c>
      <c r="L119" s="214" t="str">
        <f>VLOOKUP(A119,'Trips&amp;Operators'!$C$1:$G$99911,5,FALSE)</f>
        <v>SAFIEF AEIMEN</v>
      </c>
      <c r="M119" s="6">
        <f t="shared" si="108"/>
        <v>2.489583333954215E-2</v>
      </c>
      <c r="N119" s="7">
        <f t="shared" si="113"/>
        <v>35.850000008940697</v>
      </c>
      <c r="O119" s="7"/>
      <c r="P119" s="7"/>
      <c r="Q119" s="22"/>
      <c r="R119" s="167"/>
      <c r="S119" s="210">
        <f t="shared" si="102"/>
        <v>1</v>
      </c>
      <c r="T119" s="192" t="str">
        <f t="shared" si="109"/>
        <v>NorthBound</v>
      </c>
      <c r="U119" s="192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3" t="str">
        <f t="shared" si="80"/>
        <v>https://d0f6bd738d7f1b3e5a7ca70fe4ff75f0.us-east-1.aws.found.io/app/kibana#/discover/Steve-Slow-Train-Analysis-(2080s-and-2083s)?_g=(refreshInterval:(display:Off,pause:!f,section:0,value:0),time:(from:'2017-09-02T15:48:06-0600',mode:absolute,to:'2017-09-02T18:36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19" s="194" t="str">
        <f>IF(AA119&lt;VLOOKUP(AG119,Variables!$AC$3:$AD$8,2,FALSE),"Y","N")</f>
        <v>N</v>
      </c>
      <c r="X119" s="194">
        <f t="shared" si="106"/>
        <v>1</v>
      </c>
      <c r="Y119" s="194">
        <f t="shared" si="104"/>
        <v>4.5699999999999998E-2</v>
      </c>
      <c r="Z119" s="194">
        <f t="shared" si="105"/>
        <v>23.3337</v>
      </c>
      <c r="AA119" s="194">
        <f t="shared" si="110"/>
        <v>23.288</v>
      </c>
      <c r="AB119" s="54" t="e">
        <f>VLOOKUP(A119,Enforcements!$C$7:$K$11,8,0)</f>
        <v>#N/A</v>
      </c>
      <c r="AC119" s="51" t="e">
        <f>VLOOKUP(A119,Enforcements!$C$7:$E$11,3,0)</f>
        <v>#N/A</v>
      </c>
      <c r="AD119" s="203">
        <f t="shared" si="111"/>
        <v>207</v>
      </c>
      <c r="AE119" s="77" t="str">
        <f t="shared" si="81"/>
        <v>aws s3 cp s3://rtdc.mdm.uploadarchive.raw/RTDC4056/ "%USERPROFILE%\AppData\Local\Temp\OnboardLogs"\RTDC4056\2017-09-02 --exclude "*" --recursive --include "*20170902*" &amp; "%USERPROFILE%\Documents\GitHub\mrs-test-scripts\Headless Mode &amp; Sideloading\WalkAndUnGZ.bat" "%USERPROFILE%\AppData\Local\Temp\OnboardLogs"\RTDC4056\2017-09-02 &amp; aws s3 cp s3://rtdc.mdm.uploadarchive.raw/RTDC4056/ "%USERPROFILE%\AppData\Local\Temp\OnboardLogs"\RTDC4056\2017-09-03 --exclude "*" --recursive --include "*20170903*" &amp; "%USERPROFILE%\Documents\GitHub\mrs-test-scripts\Headless Mode &amp; Sideloading\WalkAndUnGZ.bat" "%USERPROFILE%\AppData\Local\Temp\OnboardLogs"\RTDC4056\2017-09-03</v>
      </c>
      <c r="AF119" s="74" t="str">
        <f t="shared" si="82"/>
        <v>"C:\Program Files (x86)\AstroGrep\AstroGrep.exe" /e /r /s /spath="%USERPROFILE%\AppData\Local\Temp\OnboardLogs" /stypes="app*4056*20170902*" /stext=" 23:.+((SYSTEM_STATE.+slice.+state.+changed )|(ment ac)|(multiple cpu faults)|(system.+state.+changed )|(\[timeout)|(PRM\|1\|D)|(kpr)|(kdp)|(train st.+moving)|(\|lc)|(penalty))"</v>
      </c>
      <c r="AG119" s="206" t="str">
        <f t="shared" si="112"/>
        <v>EC</v>
      </c>
      <c r="AH119" s="78" t="str">
        <f t="shared" si="91"/>
        <v>"%USERPROFILE%\Documents\GitHub\eaglep3\Utilities\RefineRTDCRunTimes.py" --tripid 207-02 --locoid 4056 --swversion DE.1.0.9.0 --startMP 204:457 --initTime 2017-09-02T16:48:06 --startdatetime 2017-09-02T17:00:22 --delay 424 --endMP 204:233337 --enddatetime 2017-09-02T17:36:13 --enforcementcount 0 &gt;&gt;C:\Users\stu\Documents\GitHub\eaglep3-reporting\EC\2017-09-02-refined-times.txt</v>
      </c>
      <c r="AI119" s="96" t="str">
        <f t="shared" si="92"/>
        <v>echo {"issue":{"subject":"","project_id":79,"tracker_id":40,"status_id":1,"priority_id":2,"assigned_to_id":338,"start_date":"2017-09-02","description":"","custom_fields":[{"id":1,"name":"Subdivision","value":"EC"},{"id":4,"name":"Milepost","value":"23.3337"},{"id":17,"name":"Train ID","value":"207-02"},{"id":16,"name":"Locomotive ID","value":"4056"},{"id":130,"name":"Impact","value":""},{"id":150,"name":"Time of Event (Mountain Time)","value":"17:36:13"},{"id":151,"name":"Denver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93"/>
        <v>start /low /b %USERPROFILE%\Documents\GitHub\eaglep3\Utilities\DownloadLogsFromS3.py --loco 4056 --day 2017-09-02</v>
      </c>
      <c r="AN119" s="151" t="str">
        <f t="shared" si="94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23:36:13"},{"id":29,"name":"Sharepoint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724</v>
      </c>
      <c r="B120" s="7">
        <v>4055</v>
      </c>
      <c r="C120" s="21" t="s">
        <v>197</v>
      </c>
      <c r="D120" s="21" t="s">
        <v>809</v>
      </c>
      <c r="E120" s="13">
        <v>42980.73642361111</v>
      </c>
      <c r="F120" s="13">
        <v>42980.748124999998</v>
      </c>
      <c r="G120" s="7">
        <v>86</v>
      </c>
      <c r="H120" s="21" t="s">
        <v>364</v>
      </c>
      <c r="I120" s="13">
        <v>42980.776018518518</v>
      </c>
      <c r="J120" s="7">
        <v>0</v>
      </c>
      <c r="K120" s="89" t="str">
        <f t="shared" si="107"/>
        <v>4055/4056</v>
      </c>
      <c r="L120" s="214" t="str">
        <f>VLOOKUP(A120,'Trips&amp;Operators'!$C$1:$G$99911,5,FALSE)</f>
        <v>SAFIEF AEIMEN</v>
      </c>
      <c r="M120" s="6">
        <f t="shared" si="108"/>
        <v>2.789351851970423E-2</v>
      </c>
      <c r="N120" s="7">
        <f t="shared" si="113"/>
        <v>40.166666668374091</v>
      </c>
      <c r="O120" s="7"/>
      <c r="P120" s="7"/>
      <c r="Q120" s="22"/>
      <c r="R120" s="167"/>
      <c r="S120" s="210">
        <f t="shared" si="102"/>
        <v>1</v>
      </c>
      <c r="T120" s="192" t="str">
        <f t="shared" si="109"/>
        <v>Southbound</v>
      </c>
      <c r="U120" s="192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3" t="str">
        <f t="shared" si="80"/>
        <v>https://d0f6bd738d7f1b3e5a7ca70fe4ff75f0.us-east-1.aws.found.io/app/kibana#/discover/Steve-Slow-Train-Analysis-(2080s-and-2083s)?_g=(refreshInterval:(display:Off,pause:!f,section:0,value:0),time:(from:'2017-09-02T16:40:27-0600',mode:absolute,to:'2017-09-02T19:37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20" s="194" t="str">
        <f>IF(AA120&lt;VLOOKUP(AG120,Variables!$AC$3:$AD$8,2,FALSE),"Y","N")</f>
        <v>N</v>
      </c>
      <c r="X120" s="194">
        <f t="shared" si="106"/>
        <v>1</v>
      </c>
      <c r="Y120" s="194">
        <f t="shared" si="104"/>
        <v>23.302099999999999</v>
      </c>
      <c r="Z120" s="194">
        <f t="shared" si="105"/>
        <v>1.52E-2</v>
      </c>
      <c r="AA120" s="194">
        <f t="shared" si="110"/>
        <v>23.286899999999999</v>
      </c>
      <c r="AB120" s="54" t="e">
        <f>VLOOKUP(A120,Enforcements!$C$7:$K$11,8,0)</f>
        <v>#N/A</v>
      </c>
      <c r="AC120" s="51" t="e">
        <f>VLOOKUP(A120,Enforcements!$C$7:$E$11,3,0)</f>
        <v>#N/A</v>
      </c>
      <c r="AD120" s="203">
        <f t="shared" si="111"/>
        <v>208</v>
      </c>
      <c r="AE120" s="77" t="str">
        <f t="shared" si="81"/>
        <v>aws s3 cp s3://rtdc.mdm.uploadarchive.raw/RTDC4055/ "%USERPROFILE%\AppData\Local\Temp\OnboardLogs"\RTDC4055\2017-09-02 --exclude "*" --recursive --include "*20170902*" &amp; "%USERPROFILE%\Documents\GitHub\mrs-test-scripts\Headless Mode &amp; Sideloading\WalkAndUnGZ.bat" "%USERPROFILE%\AppData\Local\Temp\OnboardLogs"\RTDC4055\2017-09-02 &amp; aws s3 cp s3://rtdc.mdm.uploadarchive.raw/RTDC4055/ "%USERPROFILE%\AppData\Local\Temp\OnboardLogs"\RTDC4055\2017-09-03 --exclude "*" --recursive --include "*20170903*" &amp; "%USERPROFILE%\Documents\GitHub\mrs-test-scripts\Headless Mode &amp; Sideloading\WalkAndUnGZ.bat" "%USERPROFILE%\AppData\Local\Temp\OnboardLogs"\RTDC4055\2017-09-03</v>
      </c>
      <c r="AF120" s="74" t="str">
        <f t="shared" si="82"/>
        <v>"C:\Program Files (x86)\AstroGrep\AstroGrep.exe" /e /r /s /spath="%USERPROFILE%\AppData\Local\Temp\OnboardLogs" /stypes="app*4055*20170903*" /stext=" 00:.+((SYSTEM_STATE.+slice.+state.+changed )|(ment ac)|(multiple cpu faults)|(system.+state.+changed )|(\[timeout)|(PRM\|1\|D)|(kpr)|(kdp)|(train st.+moving)|(\|lc)|(penalty))"</v>
      </c>
      <c r="AG120" s="206" t="str">
        <f t="shared" si="112"/>
        <v>EC</v>
      </c>
      <c r="AH120" s="78" t="str">
        <f t="shared" si="91"/>
        <v>"%USERPROFILE%\Documents\GitHub\eaglep3\Utilities\RefineRTDCRunTimes.py" --tripid 208-02 --locoid 4055 --swversion DE.1.0.9.0 --startMP 204:233021 --initTime 2017-09-02T17:40:27 --startdatetime 2017-09-02T17:57:18 --delay 86 --endMP 204:152 --enddatetime 2017-09-02T18:37:28 --enforcementcount 0 &gt;&gt;C:\Users\stu\Documents\GitHub\eaglep3-reporting\EC\2017-09-02-refined-times.txt</v>
      </c>
      <c r="AI120" s="96" t="str">
        <f t="shared" si="92"/>
        <v>echo {"issue":{"subject":"","project_id":79,"tracker_id":40,"status_id":1,"priority_id":2,"assigned_to_id":338,"start_date":"2017-09-02","description":"","custom_fields":[{"id":1,"name":"Subdivision","value":"EC"},{"id":4,"name":"Milepost","value":"0.0152"},{"id":17,"name":"Train ID","value":"208-02"},{"id":16,"name":"Locomotive ID","value":"4055"},{"id":130,"name":"Impact","value":""},{"id":150,"name":"Time of Event (Mountain Time)","value":"18:37:28"},{"id":151,"name":"Denver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93"/>
        <v>start /low /b %USERPROFILE%\Documents\GitHub\eaglep3\Utilities\DownloadLogsFromS3.py --loco 4055 --day 2017-09-02</v>
      </c>
      <c r="AN120" s="151" t="str">
        <f t="shared" si="94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00:37:28"},{"id":29,"name":"Sharepoint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720</v>
      </c>
      <c r="B121" s="7">
        <v>4010</v>
      </c>
      <c r="C121" s="21" t="s">
        <v>197</v>
      </c>
      <c r="D121" s="21" t="s">
        <v>377</v>
      </c>
      <c r="E121" s="13">
        <v>42980.709479166668</v>
      </c>
      <c r="F121" s="13">
        <v>42980.718912037039</v>
      </c>
      <c r="G121" s="7">
        <v>47</v>
      </c>
      <c r="H121" s="21" t="s">
        <v>885</v>
      </c>
      <c r="I121" s="13">
        <v>42980.744259259256</v>
      </c>
      <c r="J121" s="7">
        <v>0</v>
      </c>
      <c r="K121" s="89" t="str">
        <f t="shared" si="107"/>
        <v>4009/4010</v>
      </c>
      <c r="L121" s="214" t="str">
        <f>VLOOKUP(A121,'Trips&amp;Operators'!$C$1:$G$99911,5,FALSE)</f>
        <v>GUZMAN DANNY</v>
      </c>
      <c r="M121" s="6">
        <f t="shared" si="108"/>
        <v>2.5347222217533272E-2</v>
      </c>
      <c r="N121" s="7">
        <f t="shared" si="113"/>
        <v>36.499999993247911</v>
      </c>
      <c r="O121" s="7"/>
      <c r="P121" s="7"/>
      <c r="Q121" s="22"/>
      <c r="R121" s="167"/>
      <c r="S121" s="210">
        <f t="shared" si="102"/>
        <v>1</v>
      </c>
      <c r="T121" s="192" t="str">
        <f t="shared" si="109"/>
        <v>NorthBound</v>
      </c>
      <c r="U121" s="192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3" t="str">
        <f t="shared" si="80"/>
        <v>https://d0f6bd738d7f1b3e5a7ca70fe4ff75f0.us-east-1.aws.found.io/app/kibana#/discover/Steve-Slow-Train-Analysis-(2080s-and-2083s)?_g=(refreshInterval:(display:Off,pause:!f,section:0,value:0),time:(from:'2017-09-02T16:01:39-0600',mode:absolute,to:'2017-09-02T18:51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21" s="194" t="str">
        <f>IF(AA121&lt;VLOOKUP(AG121,Variables!$AC$3:$AD$8,2,FALSE),"Y","N")</f>
        <v>N</v>
      </c>
      <c r="X121" s="194">
        <f t="shared" si="106"/>
        <v>1</v>
      </c>
      <c r="Y121" s="194">
        <f t="shared" si="104"/>
        <v>4.6600000000000003E-2</v>
      </c>
      <c r="Z121" s="194">
        <f t="shared" si="105"/>
        <v>23.328900000000001</v>
      </c>
      <c r="AA121" s="194">
        <f t="shared" si="110"/>
        <v>23.282299999999999</v>
      </c>
      <c r="AB121" s="54" t="e">
        <f>VLOOKUP(A121,Enforcements!$C$7:$K$11,8,0)</f>
        <v>#N/A</v>
      </c>
      <c r="AC121" s="51" t="e">
        <f>VLOOKUP(A121,Enforcements!$C$7:$E$11,3,0)</f>
        <v>#N/A</v>
      </c>
      <c r="AD121" s="203">
        <f t="shared" si="111"/>
        <v>209</v>
      </c>
      <c r="AE121" s="77" t="str">
        <f t="shared" si="81"/>
        <v>aws s3 cp s3://rtdc.mdm.uploadarchive.raw/RTDC4010/ "%USERPROFILE%\AppData\Local\Temp\OnboardLogs"\RTDC4010\2017-09-02 --exclude "*" --recursive --include "*20170902*" &amp; "%USERPROFILE%\Documents\GitHub\mrs-test-scripts\Headless Mode &amp; Sideloading\WalkAndUnGZ.bat" "%USERPROFILE%\AppData\Local\Temp\OnboardLogs"\RTDC4010\2017-09-02 &amp; aws s3 cp s3://rtdc.mdm.uploadarchive.raw/RTDC4010/ "%USERPROFILE%\AppData\Local\Temp\OnboardLogs"\RTDC4010\2017-09-03 --exclude "*" --recursive --include "*20170903*" &amp; "%USERPROFILE%\Documents\GitHub\mrs-test-scripts\Headless Mode &amp; Sideloading\WalkAndUnGZ.bat" "%USERPROFILE%\AppData\Local\Temp\OnboardLogs"\RTDC4010\2017-09-03</v>
      </c>
      <c r="AF121" s="74" t="str">
        <f t="shared" si="82"/>
        <v>"C:\Program Files (x86)\AstroGrep\AstroGrep.exe" /e /r /s /spath="%USERPROFILE%\AppData\Local\Temp\OnboardLogs" /stypes="app*4010*20170902*" /stext=" 23:.+((SYSTEM_STATE.+slice.+state.+changed )|(ment ac)|(multiple cpu faults)|(system.+state.+changed )|(\[timeout)|(PRM\|1\|D)|(kpr)|(kdp)|(train st.+moving)|(\|lc)|(penalty))"</v>
      </c>
      <c r="AG121" s="206" t="str">
        <f t="shared" si="112"/>
        <v>EC</v>
      </c>
      <c r="AH121" s="78" t="str">
        <f t="shared" si="91"/>
        <v>"%USERPROFILE%\Documents\GitHub\eaglep3\Utilities\RefineRTDCRunTimes.py" --tripid 209-02 --locoid 4010 --swversion DE.1.0.9.0 --startMP 204:466 --initTime 2017-09-02T17:01:39 --startdatetime 2017-09-02T17:15:14 --delay 47 --endMP 204:233289 --enddatetime 2017-09-02T17:51:44 --enforcementcount 0 &gt;&gt;C:\Users\stu\Documents\GitHub\eaglep3-reporting\EC\2017-09-02-refined-times.txt</v>
      </c>
      <c r="AI121" s="96" t="str">
        <f t="shared" si="92"/>
        <v>echo {"issue":{"subject":"","project_id":79,"tracker_id":40,"status_id":1,"priority_id":2,"assigned_to_id":338,"start_date":"2017-09-02","description":"","custom_fields":[{"id":1,"name":"Subdivision","value":"EC"},{"id":4,"name":"Milepost","value":"23.3289"},{"id":17,"name":"Train ID","value":"209-02"},{"id":16,"name":"Locomotive ID","value":"4010"},{"id":130,"name":"Impact","value":""},{"id":150,"name":"Time of Event (Mountain Time)","value":"17:51:44"},{"id":151,"name":"Denver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93"/>
        <v>start /low /b %USERPROFILE%\Documents\GitHub\eaglep3\Utilities\DownloadLogsFromS3.py --loco 4010 --day 2017-09-02</v>
      </c>
      <c r="AN121" s="151" t="str">
        <f t="shared" si="94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23:51:44"},{"id":29,"name":"Sharepoint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729</v>
      </c>
      <c r="B122" s="7">
        <v>4009</v>
      </c>
      <c r="C122" s="21" t="s">
        <v>197</v>
      </c>
      <c r="D122" s="21" t="s">
        <v>801</v>
      </c>
      <c r="E122" s="13">
        <v>42980.746701388889</v>
      </c>
      <c r="F122" s="13">
        <v>42980.758576388886</v>
      </c>
      <c r="G122" s="7">
        <v>54</v>
      </c>
      <c r="H122" s="21" t="s">
        <v>483</v>
      </c>
      <c r="I122" s="13">
        <v>42980.785451388889</v>
      </c>
      <c r="J122" s="7">
        <v>0</v>
      </c>
      <c r="K122" s="89" t="str">
        <f t="shared" si="107"/>
        <v>4009/4010</v>
      </c>
      <c r="L122" s="214" t="str">
        <f>VLOOKUP(A122,'Trips&amp;Operators'!$C$1:$G$99911,5,FALSE)</f>
        <v>GUZMAN DANNY</v>
      </c>
      <c r="M122" s="6">
        <f t="shared" si="108"/>
        <v>2.6875000003201421E-2</v>
      </c>
      <c r="N122" s="7">
        <f t="shared" si="113"/>
        <v>38.700000004610047</v>
      </c>
      <c r="O122" s="7"/>
      <c r="P122" s="7"/>
      <c r="Q122" s="22"/>
      <c r="R122" s="167"/>
      <c r="S122" s="210">
        <f t="shared" si="102"/>
        <v>1</v>
      </c>
      <c r="T122" s="192" t="str">
        <f t="shared" si="109"/>
        <v>Southbound</v>
      </c>
      <c r="U122" s="192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3" t="str">
        <f t="shared" si="80"/>
        <v>https://d0f6bd738d7f1b3e5a7ca70fe4ff75f0.us-east-1.aws.found.io/app/kibana#/discover/Steve-Slow-Train-Analysis-(2080s-and-2083s)?_g=(refreshInterval:(display:Off,pause:!f,section:0,value:0),time:(from:'2017-09-02T16:55:15-0600',mode:absolute,to:'2017-09-02T19:51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22" s="194" t="str">
        <f>IF(AA122&lt;VLOOKUP(AG122,Variables!$AC$3:$AD$8,2,FALSE),"Y","N")</f>
        <v>N</v>
      </c>
      <c r="X122" s="194">
        <f t="shared" si="106"/>
        <v>1</v>
      </c>
      <c r="Y122" s="194">
        <f t="shared" si="104"/>
        <v>23.298500000000001</v>
      </c>
      <c r="Z122" s="194">
        <f t="shared" si="105"/>
        <v>1.5800000000000002E-2</v>
      </c>
      <c r="AA122" s="194">
        <f t="shared" si="110"/>
        <v>23.282700000000002</v>
      </c>
      <c r="AB122" s="54" t="e">
        <f>VLOOKUP(A122,Enforcements!$C$7:$K$11,8,0)</f>
        <v>#N/A</v>
      </c>
      <c r="AC122" s="51" t="e">
        <f>VLOOKUP(A122,Enforcements!$C$7:$E$11,3,0)</f>
        <v>#N/A</v>
      </c>
      <c r="AD122" s="203">
        <f t="shared" si="111"/>
        <v>210</v>
      </c>
      <c r="AE122" s="77" t="str">
        <f t="shared" si="81"/>
        <v>aws s3 cp s3://rtdc.mdm.uploadarchive.raw/RTDC4009/ "%USERPROFILE%\AppData\Local\Temp\OnboardLogs"\RTDC4009\2017-09-02 --exclude "*" --recursive --include "*20170902*" &amp; "%USERPROFILE%\Documents\GitHub\mrs-test-scripts\Headless Mode &amp; Sideloading\WalkAndUnGZ.bat" "%USERPROFILE%\AppData\Local\Temp\OnboardLogs"\RTDC4009\2017-09-02 &amp; aws s3 cp s3://rtdc.mdm.uploadarchive.raw/RTDC4009/ "%USERPROFILE%\AppData\Local\Temp\OnboardLogs"\RTDC4009\2017-09-03 --exclude "*" --recursive --include "*20170903*" &amp; "%USERPROFILE%\Documents\GitHub\mrs-test-scripts\Headless Mode &amp; Sideloading\WalkAndUnGZ.bat" "%USERPROFILE%\AppData\Local\Temp\OnboardLogs"\RTDC4009\2017-09-03</v>
      </c>
      <c r="AF122" s="74" t="str">
        <f t="shared" si="82"/>
        <v>"C:\Program Files (x86)\AstroGrep\AstroGrep.exe" /e /r /s /spath="%USERPROFILE%\AppData\Local\Temp\OnboardLogs" /stypes="app*4009*20170903*" /stext=" 00:.+((SYSTEM_STATE.+slice.+state.+changed )|(ment ac)|(multiple cpu faults)|(system.+state.+changed )|(\[timeout)|(PRM\|1\|D)|(kpr)|(kdp)|(train st.+moving)|(\|lc)|(penalty))"</v>
      </c>
      <c r="AG122" s="206" t="str">
        <f t="shared" si="112"/>
        <v>EC</v>
      </c>
      <c r="AH122" s="78" t="str">
        <f t="shared" si="91"/>
        <v>"%USERPROFILE%\Documents\GitHub\eaglep3\Utilities\RefineRTDCRunTimes.py" --tripid 210-02 --locoid 4009 --swversion DE.1.0.9.0 --startMP 204:232985 --initTime 2017-09-02T17:55:15 --startdatetime 2017-09-02T18:12:21 --delay 54 --endMP 204:158 --enddatetime 2017-09-02T18:51:03 --enforcementcount 0 &gt;&gt;C:\Users\stu\Documents\GitHub\eaglep3-reporting\EC\2017-09-02-refined-times.txt</v>
      </c>
      <c r="AI122" s="96" t="str">
        <f t="shared" si="92"/>
        <v>echo {"issue":{"subject":"","project_id":79,"tracker_id":40,"status_id":1,"priority_id":2,"assigned_to_id":338,"start_date":"2017-09-02","description":"","custom_fields":[{"id":1,"name":"Subdivision","value":"EC"},{"id":4,"name":"Milepost","value":"0.0158"},{"id":17,"name":"Train ID","value":"210-02"},{"id":16,"name":"Locomotive ID","value":"4009"},{"id":130,"name":"Impact","value":""},{"id":150,"name":"Time of Event (Mountain Time)","value":"18:51:03"},{"id":151,"name":"Denver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93"/>
        <v>start /low /b %USERPROFILE%\Documents\GitHub\eaglep3\Utilities\DownloadLogsFromS3.py --loco 4009 --day 2017-09-02</v>
      </c>
      <c r="AN122" s="151" t="str">
        <f t="shared" si="94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00:51:03"},{"id":29,"name":"Sharepoint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721</v>
      </c>
      <c r="B123" s="7">
        <v>4066</v>
      </c>
      <c r="C123" s="21" t="s">
        <v>197</v>
      </c>
      <c r="D123" s="21" t="s">
        <v>366</v>
      </c>
      <c r="E123" s="13">
        <v>42980.714444444442</v>
      </c>
      <c r="F123" s="13">
        <v>42980.729351851849</v>
      </c>
      <c r="G123" s="7">
        <v>45</v>
      </c>
      <c r="H123" s="21" t="s">
        <v>884</v>
      </c>
      <c r="I123" s="13">
        <v>42980.754050925927</v>
      </c>
      <c r="J123" s="7">
        <v>0</v>
      </c>
      <c r="K123" s="89" t="str">
        <f t="shared" si="107"/>
        <v>4065/4066</v>
      </c>
      <c r="L123" s="214" t="str">
        <f>VLOOKUP(A123,'Trips&amp;Operators'!$C$1:$G$99911,5,FALSE)</f>
        <v>DELGADO DIANAH</v>
      </c>
      <c r="M123" s="6">
        <f t="shared" si="108"/>
        <v>2.4699074077943806E-2</v>
      </c>
      <c r="N123" s="7">
        <f t="shared" si="113"/>
        <v>35.56666667223908</v>
      </c>
      <c r="O123" s="7"/>
      <c r="P123" s="7"/>
      <c r="Q123" s="22"/>
      <c r="R123" s="167"/>
      <c r="S123" s="210">
        <f t="shared" si="102"/>
        <v>1</v>
      </c>
      <c r="T123" s="192" t="str">
        <f t="shared" si="109"/>
        <v>NorthBound</v>
      </c>
      <c r="U123" s="192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3" t="str">
        <f t="shared" si="80"/>
        <v>https://d0f6bd738d7f1b3e5a7ca70fe4ff75f0.us-east-1.aws.found.io/app/kibana#/discover/Steve-Slow-Train-Analysis-(2080s-and-2083s)?_g=(refreshInterval:(display:Off,pause:!f,section:0,value:0),time:(from:'2017-09-02T16:08:48-0600',mode:absolute,to:'2017-09-02T19:05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23" s="194" t="str">
        <f>IF(AA123&lt;VLOOKUP(AG123,Variables!$AC$3:$AD$8,2,FALSE),"Y","N")</f>
        <v>N</v>
      </c>
      <c r="X123" s="194">
        <f t="shared" si="106"/>
        <v>1</v>
      </c>
      <c r="Y123" s="194">
        <f t="shared" si="104"/>
        <v>4.5699999999999998E-2</v>
      </c>
      <c r="Z123" s="194">
        <f t="shared" si="105"/>
        <v>23.3337</v>
      </c>
      <c r="AA123" s="194">
        <f t="shared" si="110"/>
        <v>23.288</v>
      </c>
      <c r="AB123" s="54" t="e">
        <f>VLOOKUP(A123,Enforcements!$C$7:$K$11,8,0)</f>
        <v>#N/A</v>
      </c>
      <c r="AC123" s="51" t="e">
        <f>VLOOKUP(A123,Enforcements!$C$7:$E$11,3,0)</f>
        <v>#N/A</v>
      </c>
      <c r="AD123" s="203">
        <f t="shared" si="111"/>
        <v>211</v>
      </c>
      <c r="AE123" s="77" t="str">
        <f t="shared" si="81"/>
        <v>aws s3 cp s3://rtdc.mdm.uploadarchive.raw/RTDC4066/ "%USERPROFILE%\AppData\Local\Temp\OnboardLogs"\RTDC4066\2017-09-02 --exclude "*" --recursive --include "*20170902*" &amp; "%USERPROFILE%\Documents\GitHub\mrs-test-scripts\Headless Mode &amp; Sideloading\WalkAndUnGZ.bat" "%USERPROFILE%\AppData\Local\Temp\OnboardLogs"\RTDC4066\2017-09-02 &amp; aws s3 cp s3://rtdc.mdm.uploadarchive.raw/RTDC4066/ "%USERPROFILE%\AppData\Local\Temp\OnboardLogs"\RTDC4066\2017-09-03 --exclude "*" --recursive --include "*20170903*" &amp; "%USERPROFILE%\Documents\GitHub\mrs-test-scripts\Headless Mode &amp; Sideloading\WalkAndUnGZ.bat" "%USERPROFILE%\AppData\Local\Temp\OnboardLogs"\RTDC4066\2017-09-03</v>
      </c>
      <c r="AF123" s="74" t="str">
        <f t="shared" si="82"/>
        <v>"C:\Program Files (x86)\AstroGrep\AstroGrep.exe" /e /r /s /spath="%USERPROFILE%\AppData\Local\Temp\OnboardLogs" /stypes="app*4066*20170903*" /stext=" 00:.+((SYSTEM_STATE.+slice.+state.+changed )|(ment ac)|(multiple cpu faults)|(system.+state.+changed )|(\[timeout)|(PRM\|1\|D)|(kpr)|(kdp)|(train st.+moving)|(\|lc)|(penalty))"</v>
      </c>
      <c r="AG123" s="206" t="str">
        <f t="shared" si="112"/>
        <v>EC</v>
      </c>
      <c r="AH123" s="78" t="str">
        <f t="shared" si="91"/>
        <v>"%USERPROFILE%\Documents\GitHub\eaglep3\Utilities\RefineRTDCRunTimes.py" --tripid 211-02 --locoid 4066 --swversion DE.1.0.9.0 --startMP 204:457 --initTime 2017-09-02T17:08:48 --startdatetime 2017-09-02T17:30:16 --delay 45 --endMP 204:233337 --enddatetime 2017-09-02T18:05:50 --enforcementcount 0 &gt;&gt;C:\Users\stu\Documents\GitHub\eaglep3-reporting\EC\2017-09-02-refined-times.txt</v>
      </c>
      <c r="AI123" s="96" t="str">
        <f t="shared" si="92"/>
        <v>echo {"issue":{"subject":"","project_id":79,"tracker_id":40,"status_id":1,"priority_id":2,"assigned_to_id":338,"start_date":"2017-09-02","description":"","custom_fields":[{"id":1,"name":"Subdivision","value":"EC"},{"id":4,"name":"Milepost","value":"23.3337"},{"id":17,"name":"Train ID","value":"211-02"},{"id":16,"name":"Locomotive ID","value":"4066"},{"id":130,"name":"Impact","value":""},{"id":150,"name":"Time of Event (Mountain Time)","value":"18:05:50"},{"id":151,"name":"Denver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93"/>
        <v>start /low /b %USERPROFILE%\Documents\GitHub\eaglep3\Utilities\DownloadLogsFromS3.py --loco 4066 --day 2017-09-02</v>
      </c>
      <c r="AN123" s="151" t="str">
        <f t="shared" si="94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00:05:50"},{"id":29,"name":"Sharepoint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731</v>
      </c>
      <c r="B124" s="7">
        <v>4065</v>
      </c>
      <c r="C124" s="21" t="s">
        <v>197</v>
      </c>
      <c r="D124" s="21" t="s">
        <v>534</v>
      </c>
      <c r="E124" s="13">
        <v>42980.756030092591</v>
      </c>
      <c r="F124" s="13">
        <v>42980.768923611111</v>
      </c>
      <c r="G124" s="7">
        <v>56</v>
      </c>
      <c r="H124" s="21" t="s">
        <v>391</v>
      </c>
      <c r="I124" s="13">
        <v>42980.793530092589</v>
      </c>
      <c r="J124" s="7">
        <v>0</v>
      </c>
      <c r="K124" s="89" t="str">
        <f t="shared" si="107"/>
        <v>4065/4066</v>
      </c>
      <c r="L124" s="214" t="str">
        <f>VLOOKUP(A124,'Trips&amp;Operators'!$C$1:$G$99911,5,FALSE)</f>
        <v>DELGADO DIANAH</v>
      </c>
      <c r="M124" s="6">
        <f t="shared" si="108"/>
        <v>2.4606481478258502E-2</v>
      </c>
      <c r="N124" s="7">
        <f t="shared" si="113"/>
        <v>35.433333328692243</v>
      </c>
      <c r="O124" s="7"/>
      <c r="P124" s="7"/>
      <c r="Q124" s="22"/>
      <c r="R124" s="167"/>
      <c r="S124" s="210">
        <f t="shared" si="102"/>
        <v>1</v>
      </c>
      <c r="T124" s="192" t="str">
        <f t="shared" si="109"/>
        <v>Southbound</v>
      </c>
      <c r="U124" s="192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3" t="str">
        <f t="shared" si="80"/>
        <v>https://d0f6bd738d7f1b3e5a7ca70fe4ff75f0.us-east-1.aws.found.io/app/kibana#/discover/Steve-Slow-Train-Analysis-(2080s-and-2083s)?_g=(refreshInterval:(display:Off,pause:!f,section:0,value:0),time:(from:'2017-09-02T17:08:41-0600',mode:absolute,to:'2017-09-02T20:02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24" s="194" t="str">
        <f>IF(AA124&lt;VLOOKUP(AG124,Variables!$AC$3:$AD$8,2,FALSE),"Y","N")</f>
        <v>N</v>
      </c>
      <c r="X124" s="194">
        <f t="shared" si="106"/>
        <v>1</v>
      </c>
      <c r="Y124" s="194">
        <f t="shared" si="104"/>
        <v>23.299399999999999</v>
      </c>
      <c r="Z124" s="194">
        <f t="shared" si="105"/>
        <v>1.3899999999999999E-2</v>
      </c>
      <c r="AA124" s="194">
        <f t="shared" si="110"/>
        <v>23.285499999999999</v>
      </c>
      <c r="AB124" s="54" t="e">
        <f>VLOOKUP(A124,Enforcements!$C$7:$K$11,8,0)</f>
        <v>#N/A</v>
      </c>
      <c r="AC124" s="51" t="e">
        <f>VLOOKUP(A124,Enforcements!$C$7:$E$11,3,0)</f>
        <v>#N/A</v>
      </c>
      <c r="AD124" s="203">
        <f t="shared" si="111"/>
        <v>212</v>
      </c>
      <c r="AE124" s="77" t="str">
        <f t="shared" si="81"/>
        <v>aws s3 cp s3://rtdc.mdm.uploadarchive.raw/RTDC4065/ "%USERPROFILE%\AppData\Local\Temp\OnboardLogs"\RTDC4065\2017-09-02 --exclude "*" --recursive --include "*20170902*" &amp; "%USERPROFILE%\Documents\GitHub\mrs-test-scripts\Headless Mode &amp; Sideloading\WalkAndUnGZ.bat" "%USERPROFILE%\AppData\Local\Temp\OnboardLogs"\RTDC4065\2017-09-02 &amp; aws s3 cp s3://rtdc.mdm.uploadarchive.raw/RTDC4065/ "%USERPROFILE%\AppData\Local\Temp\OnboardLogs"\RTDC4065\2017-09-03 --exclude "*" --recursive --include "*20170903*" &amp; "%USERPROFILE%\Documents\GitHub\mrs-test-scripts\Headless Mode &amp; Sideloading\WalkAndUnGZ.bat" "%USERPROFILE%\AppData\Local\Temp\OnboardLogs"\RTDC4065\2017-09-03</v>
      </c>
      <c r="AF124" s="74" t="str">
        <f t="shared" si="82"/>
        <v>"C:\Program Files (x86)\AstroGrep\AstroGrep.exe" /e /r /s /spath="%USERPROFILE%\AppData\Local\Temp\OnboardLogs" /stypes="app*4065*20170903*" /stext=" 01:.+((SYSTEM_STATE.+slice.+state.+changed )|(ment ac)|(multiple cpu faults)|(system.+state.+changed )|(\[timeout)|(PRM\|1\|D)|(kpr)|(kdp)|(train st.+moving)|(\|lc)|(penalty))"</v>
      </c>
      <c r="AG124" s="206" t="str">
        <f t="shared" si="112"/>
        <v>EC</v>
      </c>
      <c r="AH124" s="78" t="str">
        <f t="shared" si="91"/>
        <v>"%USERPROFILE%\Documents\GitHub\eaglep3\Utilities\RefineRTDCRunTimes.py" --tripid 212-02 --locoid 4065 --swversion DE.1.0.9.0 --startMP 204:232994 --initTime 2017-09-02T18:08:41 --startdatetime 2017-09-02T18:27:15 --delay 56 --endMP 204:139 --enddatetime 2017-09-02T19:02:41 --enforcementcount 0 &gt;&gt;C:\Users\stu\Documents\GitHub\eaglep3-reporting\EC\2017-09-02-refined-times.txt</v>
      </c>
      <c r="AI124" s="96" t="str">
        <f t="shared" si="92"/>
        <v>echo {"issue":{"subject":"","project_id":79,"tracker_id":40,"status_id":1,"priority_id":2,"assigned_to_id":338,"start_date":"2017-09-02","description":"","custom_fields":[{"id":1,"name":"Subdivision","value":"EC"},{"id":4,"name":"Milepost","value":"0.0139"},{"id":17,"name":"Train ID","value":"212-02"},{"id":16,"name":"Locomotive ID","value":"4065"},{"id":130,"name":"Impact","value":""},{"id":150,"name":"Time of Event (Mountain Time)","value":"19:02:41"},{"id":151,"name":"Denver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93"/>
        <v>start /low /b %USERPROFILE%\Documents\GitHub\eaglep3\Utilities\DownloadLogsFromS3.py --loco 4065 --day 2017-09-02</v>
      </c>
      <c r="AN124" s="151" t="str">
        <f t="shared" si="94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01:02:41"},{"id":29,"name":"Sharepoint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727</v>
      </c>
      <c r="B125" s="7">
        <v>4052</v>
      </c>
      <c r="C125" s="21" t="s">
        <v>197</v>
      </c>
      <c r="D125" s="21" t="s">
        <v>452</v>
      </c>
      <c r="E125" s="13">
        <v>42980.738263888888</v>
      </c>
      <c r="F125" s="13">
        <v>42980.739976851852</v>
      </c>
      <c r="G125" s="7">
        <v>77</v>
      </c>
      <c r="H125" s="21" t="s">
        <v>939</v>
      </c>
      <c r="I125" s="13">
        <v>42980.765219907407</v>
      </c>
      <c r="J125" s="7">
        <v>0</v>
      </c>
      <c r="K125" s="89" t="str">
        <f t="shared" si="107"/>
        <v>4051/4052</v>
      </c>
      <c r="L125" s="214" t="str">
        <f>VLOOKUP(A125,'Trips&amp;Operators'!$C$1:$G$99911,5,FALSE)</f>
        <v>FORTUNATO FRANK</v>
      </c>
      <c r="M125" s="6">
        <f t="shared" si="108"/>
        <v>2.5243055555620231E-2</v>
      </c>
      <c r="N125" s="7">
        <f t="shared" si="113"/>
        <v>36.350000000093132</v>
      </c>
      <c r="O125" s="7"/>
      <c r="P125" s="7"/>
      <c r="Q125" s="22"/>
      <c r="R125" s="167"/>
      <c r="S125" s="210">
        <f t="shared" si="102"/>
        <v>1</v>
      </c>
      <c r="T125" s="192" t="str">
        <f t="shared" si="109"/>
        <v>NorthBound</v>
      </c>
      <c r="U125" s="192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3" t="str">
        <f t="shared" si="80"/>
        <v>https://d0f6bd738d7f1b3e5a7ca70fe4ff75f0.us-east-1.aws.found.io/app/kibana#/discover/Steve-Slow-Train-Analysis-(2080s-and-2083s)?_g=(refreshInterval:(display:Off,pause:!f,section:0,value:0),time:(from:'2017-09-02T16:43:06-0600',mode:absolute,to:'2017-09-02T19:21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25" s="194" t="str">
        <f>IF(AA125&lt;VLOOKUP(AG125,Variables!$AC$3:$AD$8,2,FALSE),"Y","N")</f>
        <v>N</v>
      </c>
      <c r="X125" s="194">
        <f t="shared" si="106"/>
        <v>1</v>
      </c>
      <c r="Y125" s="194">
        <f t="shared" si="104"/>
        <v>4.5999999999999999E-2</v>
      </c>
      <c r="Z125" s="194">
        <f t="shared" si="105"/>
        <v>23.333100000000002</v>
      </c>
      <c r="AA125" s="194">
        <f t="shared" si="110"/>
        <v>23.287100000000002</v>
      </c>
      <c r="AB125" s="54" t="e">
        <f>VLOOKUP(A125,Enforcements!$C$7:$K$11,8,0)</f>
        <v>#N/A</v>
      </c>
      <c r="AC125" s="51" t="e">
        <f>VLOOKUP(A125,Enforcements!$C$7:$E$11,3,0)</f>
        <v>#N/A</v>
      </c>
      <c r="AD125" s="203">
        <f t="shared" si="111"/>
        <v>213</v>
      </c>
      <c r="AE125" s="77" t="str">
        <f t="shared" si="81"/>
        <v>aws s3 cp s3://rtdc.mdm.uploadarchive.raw/RTDC4052/ "%USERPROFILE%\AppData\Local\Temp\OnboardLogs"\RTDC4052\2017-09-02 --exclude "*" --recursive --include "*20170902*" &amp; "%USERPROFILE%\Documents\GitHub\mrs-test-scripts\Headless Mode &amp; Sideloading\WalkAndUnGZ.bat" "%USERPROFILE%\AppData\Local\Temp\OnboardLogs"\RTDC4052\2017-09-02 &amp; aws s3 cp s3://rtdc.mdm.uploadarchive.raw/RTDC4052/ "%USERPROFILE%\AppData\Local\Temp\OnboardLogs"\RTDC4052\2017-09-03 --exclude "*" --recursive --include "*20170903*" &amp; "%USERPROFILE%\Documents\GitHub\mrs-test-scripts\Headless Mode &amp; Sideloading\WalkAndUnGZ.bat" "%USERPROFILE%\AppData\Local\Temp\OnboardLogs"\RTDC4052\2017-09-03</v>
      </c>
      <c r="AF125" s="74" t="str">
        <f t="shared" si="82"/>
        <v>"C:\Program Files (x86)\AstroGrep\AstroGrep.exe" /e /r /s /spath="%USERPROFILE%\AppData\Local\Temp\OnboardLogs" /stypes="app*4052*20170903*" /stext=" 00:.+((SYSTEM_STATE.+slice.+state.+changed )|(ment ac)|(multiple cpu faults)|(system.+state.+changed )|(\[timeout)|(PRM\|1\|D)|(kpr)|(kdp)|(train st.+moving)|(\|lc)|(penalty))"</v>
      </c>
      <c r="AG125" s="206" t="str">
        <f t="shared" si="112"/>
        <v>EC</v>
      </c>
      <c r="AH125" s="78" t="str">
        <f t="shared" si="91"/>
        <v>"%USERPROFILE%\Documents\GitHub\eaglep3\Utilities\RefineRTDCRunTimes.py" --tripid 213-02 --locoid 4052 --swversion DE.1.0.9.0 --startMP 204:460 --initTime 2017-09-02T17:43:06 --startdatetime 2017-09-02T17:45:34 --delay 77 --endMP 204:233331 --enddatetime 2017-09-02T18:21:55 --enforcementcount 0 &gt;&gt;C:\Users\stu\Documents\GitHub\eaglep3-reporting\EC\2017-09-02-refined-times.txt</v>
      </c>
      <c r="AI125" s="96" t="str">
        <f t="shared" si="92"/>
        <v>echo {"issue":{"subject":"","project_id":79,"tracker_id":40,"status_id":1,"priority_id":2,"assigned_to_id":338,"start_date":"2017-09-02","description":"","custom_fields":[{"id":1,"name":"Subdivision","value":"EC"},{"id":4,"name":"Milepost","value":"23.3331"},{"id":17,"name":"Train ID","value":"213-02"},{"id":16,"name":"Locomotive ID","value":"4052"},{"id":130,"name":"Impact","value":""},{"id":150,"name":"Time of Event (Mountain Time)","value":"18:21:55"},{"id":151,"name":"Denver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93"/>
        <v>start /low /b %USERPROFILE%\Documents\GitHub\eaglep3\Utilities\DownloadLogsFromS3.py --loco 4052 --day 2017-09-02</v>
      </c>
      <c r="AN125" s="151" t="str">
        <f t="shared" si="94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00:21:55"},{"id":29,"name":"Sharepoint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737</v>
      </c>
      <c r="B126" s="7">
        <v>4051</v>
      </c>
      <c r="C126" s="21" t="s">
        <v>197</v>
      </c>
      <c r="D126" s="21" t="s">
        <v>544</v>
      </c>
      <c r="E126" s="13">
        <v>42980.770439814813</v>
      </c>
      <c r="F126" s="13">
        <v>42980.779328703706</v>
      </c>
      <c r="G126" s="7">
        <v>64</v>
      </c>
      <c r="H126" s="21" t="s">
        <v>338</v>
      </c>
      <c r="I126" s="13">
        <v>42980.805138888885</v>
      </c>
      <c r="J126" s="7">
        <v>0</v>
      </c>
      <c r="K126" s="89" t="str">
        <f t="shared" si="107"/>
        <v>4051/4052</v>
      </c>
      <c r="L126" s="214" t="str">
        <f>VLOOKUP(A126,'Trips&amp;Operators'!$C$1:$G$99911,5,FALSE)</f>
        <v>FORTUNATO FRANK</v>
      </c>
      <c r="M126" s="6">
        <f t="shared" si="108"/>
        <v>2.5810185179580003E-2</v>
      </c>
      <c r="N126" s="7">
        <f t="shared" si="113"/>
        <v>37.166666658595204</v>
      </c>
      <c r="O126" s="7"/>
      <c r="P126" s="7"/>
      <c r="Q126" s="22"/>
      <c r="R126" s="167"/>
      <c r="S126" s="210">
        <f t="shared" si="102"/>
        <v>1</v>
      </c>
      <c r="T126" s="192" t="str">
        <f t="shared" si="109"/>
        <v>Southbound</v>
      </c>
      <c r="U126" s="192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3" t="str">
        <f t="shared" si="80"/>
        <v>https://d0f6bd738d7f1b3e5a7ca70fe4ff75f0.us-east-1.aws.found.io/app/kibana#/discover/Steve-Slow-Train-Analysis-(2080s-and-2083s)?_g=(refreshInterval:(display:Off,pause:!f,section:0,value:0),time:(from:'2017-09-02T17:29:26-0600',mode:absolute,to:'2017-09-02T20:19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26" s="194" t="str">
        <f>IF(AA126&lt;VLOOKUP(AG126,Variables!$AC$3:$AD$8,2,FALSE),"Y","N")</f>
        <v>N</v>
      </c>
      <c r="X126" s="194">
        <f t="shared" si="106"/>
        <v>1</v>
      </c>
      <c r="Y126" s="194">
        <f t="shared" si="104"/>
        <v>23.300799999999999</v>
      </c>
      <c r="Z126" s="194">
        <f t="shared" si="105"/>
        <v>1.4999999999999999E-2</v>
      </c>
      <c r="AA126" s="194">
        <f t="shared" si="110"/>
        <v>23.285799999999998</v>
      </c>
      <c r="AB126" s="54" t="e">
        <f>VLOOKUP(A126,Enforcements!$C$7:$K$11,8,0)</f>
        <v>#N/A</v>
      </c>
      <c r="AC126" s="51" t="e">
        <f>VLOOKUP(A126,Enforcements!$C$7:$E$11,3,0)</f>
        <v>#N/A</v>
      </c>
      <c r="AD126" s="203">
        <f t="shared" si="111"/>
        <v>214</v>
      </c>
      <c r="AE126" s="77" t="str">
        <f t="shared" si="81"/>
        <v>aws s3 cp s3://rtdc.mdm.uploadarchive.raw/RTDC4051/ "%USERPROFILE%\AppData\Local\Temp\OnboardLogs"\RTDC4051\2017-09-02 --exclude "*" --recursive --include "*20170902*" &amp; "%USERPROFILE%\Documents\GitHub\mrs-test-scripts\Headless Mode &amp; Sideloading\WalkAndUnGZ.bat" "%USERPROFILE%\AppData\Local\Temp\OnboardLogs"\RTDC4051\2017-09-02 &amp; aws s3 cp s3://rtdc.mdm.uploadarchive.raw/RTDC4051/ "%USERPROFILE%\AppData\Local\Temp\OnboardLogs"\RTDC4051\2017-09-03 --exclude "*" --recursive --include "*20170903*" &amp; "%USERPROFILE%\Documents\GitHub\mrs-test-scripts\Headless Mode &amp; Sideloading\WalkAndUnGZ.bat" "%USERPROFILE%\AppData\Local\Temp\OnboardLogs"\RTDC4051\2017-09-03</v>
      </c>
      <c r="AF126" s="74" t="str">
        <f t="shared" si="82"/>
        <v>"C:\Program Files (x86)\AstroGrep\AstroGrep.exe" /e /r /s /spath="%USERPROFILE%\AppData\Local\Temp\OnboardLogs" /stypes="app*4051*20170903*" /stext=" 01:.+((SYSTEM_STATE.+slice.+state.+changed )|(ment ac)|(multiple cpu faults)|(system.+state.+changed )|(\[timeout)|(PRM\|1\|D)|(kpr)|(kdp)|(train st.+moving)|(\|lc)|(penalty))"</v>
      </c>
      <c r="AG126" s="206" t="str">
        <f t="shared" si="112"/>
        <v>EC</v>
      </c>
      <c r="AH126" s="78" t="str">
        <f t="shared" si="91"/>
        <v>"%USERPROFILE%\Documents\GitHub\eaglep3\Utilities\RefineRTDCRunTimes.py" --tripid 214-02 --locoid 4051 --swversion DE.1.0.9.0 --startMP 204:233008 --initTime 2017-09-02T18:29:26 --startdatetime 2017-09-02T18:42:14 --delay 64 --endMP 204:150 --enddatetime 2017-09-02T19:19:24 --enforcementcount 0 &gt;&gt;C:\Users\stu\Documents\GitHub\eaglep3-reporting\EC\2017-09-02-refined-times.txt</v>
      </c>
      <c r="AI126" s="96" t="str">
        <f t="shared" si="92"/>
        <v>echo {"issue":{"subject":"","project_id":79,"tracker_id":40,"status_id":1,"priority_id":2,"assigned_to_id":338,"start_date":"2017-09-02","description":"","custom_fields":[{"id":1,"name":"Subdivision","value":"EC"},{"id":4,"name":"Milepost","value":"0.015"},{"id":17,"name":"Train ID","value":"214-02"},{"id":16,"name":"Locomotive ID","value":"4051"},{"id":130,"name":"Impact","value":""},{"id":150,"name":"Time of Event (Mountain Time)","value":"19:19:24"},{"id":151,"name":"Denver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93"/>
        <v>start /low /b %USERPROFILE%\Documents\GitHub\eaglep3\Utilities\DownloadLogsFromS3.py --loco 4051 --day 2017-09-02</v>
      </c>
      <c r="AN126" s="151" t="str">
        <f t="shared" si="94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01:19:24"},{"id":29,"name":"Sharepoint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728</v>
      </c>
      <c r="B127" s="7">
        <v>4024</v>
      </c>
      <c r="C127" s="21" t="s">
        <v>197</v>
      </c>
      <c r="D127" s="21" t="s">
        <v>399</v>
      </c>
      <c r="E127" s="13">
        <v>42980.744641203702</v>
      </c>
      <c r="F127" s="13">
        <v>42980.750162037039</v>
      </c>
      <c r="G127" s="7">
        <v>53</v>
      </c>
      <c r="H127" s="21" t="s">
        <v>402</v>
      </c>
      <c r="I127" s="13">
        <v>42980.774548611109</v>
      </c>
      <c r="J127" s="7">
        <v>0</v>
      </c>
      <c r="K127" s="89" t="str">
        <f t="shared" si="107"/>
        <v>4023/4024</v>
      </c>
      <c r="L127" s="214" t="str">
        <f>VLOOKUP(A127,'Trips&amp;Operators'!$C$1:$G$99911,5,FALSE)</f>
        <v>HOLCOMB KAMDEN</v>
      </c>
      <c r="M127" s="6">
        <f t="shared" si="108"/>
        <v>2.438657407037681E-2</v>
      </c>
      <c r="N127" s="7">
        <f t="shared" si="113"/>
        <v>35.116666661342606</v>
      </c>
      <c r="O127" s="7"/>
      <c r="P127" s="7"/>
      <c r="Q127" s="22"/>
      <c r="R127" s="167"/>
      <c r="S127" s="210">
        <f t="shared" si="102"/>
        <v>1</v>
      </c>
      <c r="T127" s="192" t="str">
        <f t="shared" si="109"/>
        <v>NorthBound</v>
      </c>
      <c r="U127" s="192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3" t="str">
        <f t="shared" si="80"/>
        <v>https://d0f6bd738d7f1b3e5a7ca70fe4ff75f0.us-east-1.aws.found.io/app/kibana#/discover/Steve-Slow-Train-Analysis-(2080s-and-2083s)?_g=(refreshInterval:(display:Off,pause:!f,section:0,value:0),time:(from:'2017-09-02T16:52:17-0600',mode:absolute,to:'2017-09-02T19:35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27" s="194" t="str">
        <f>IF(AA127&lt;VLOOKUP(AG127,Variables!$AC$3:$AD$8,2,FALSE),"Y","N")</f>
        <v>N</v>
      </c>
      <c r="X127" s="194">
        <f t="shared" si="106"/>
        <v>1</v>
      </c>
      <c r="Y127" s="194">
        <f t="shared" si="104"/>
        <v>4.6899999999999997E-2</v>
      </c>
      <c r="Z127" s="194">
        <f t="shared" si="105"/>
        <v>23.329699999999999</v>
      </c>
      <c r="AA127" s="194">
        <f t="shared" si="110"/>
        <v>23.282799999999998</v>
      </c>
      <c r="AB127" s="54" t="e">
        <f>VLOOKUP(A127,Enforcements!$C$7:$K$11,8,0)</f>
        <v>#N/A</v>
      </c>
      <c r="AC127" s="51" t="e">
        <f>VLOOKUP(A127,Enforcements!$C$7:$E$11,3,0)</f>
        <v>#N/A</v>
      </c>
      <c r="AD127" s="203">
        <f t="shared" si="111"/>
        <v>215</v>
      </c>
      <c r="AE127" s="77" t="str">
        <f t="shared" si="81"/>
        <v>aws s3 cp s3://rtdc.mdm.uploadarchive.raw/RTDC4024/ "%USERPROFILE%\AppData\Local\Temp\OnboardLogs"\RTDC4024\2017-09-02 --exclude "*" --recursive --include "*20170902*" &amp; "%USERPROFILE%\Documents\GitHub\mrs-test-scripts\Headless Mode &amp; Sideloading\WalkAndUnGZ.bat" "%USERPROFILE%\AppData\Local\Temp\OnboardLogs"\RTDC4024\2017-09-02 &amp; aws s3 cp s3://rtdc.mdm.uploadarchive.raw/RTDC4024/ "%USERPROFILE%\AppData\Local\Temp\OnboardLogs"\RTDC4024\2017-09-03 --exclude "*" --recursive --include "*20170903*" &amp; "%USERPROFILE%\Documents\GitHub\mrs-test-scripts\Headless Mode &amp; Sideloading\WalkAndUnGZ.bat" "%USERPROFILE%\AppData\Local\Temp\OnboardLogs"\RTDC4024\2017-09-03</v>
      </c>
      <c r="AF127" s="74" t="str">
        <f t="shared" si="82"/>
        <v>"C:\Program Files (x86)\AstroGrep\AstroGrep.exe" /e /r /s /spath="%USERPROFILE%\AppData\Local\Temp\OnboardLogs" /stypes="app*4024*20170903*" /stext=" 00:.+((SYSTEM_STATE.+slice.+state.+changed )|(ment ac)|(multiple cpu faults)|(system.+state.+changed )|(\[timeout)|(PRM\|1\|D)|(kpr)|(kdp)|(train st.+moving)|(\|lc)|(penalty))"</v>
      </c>
      <c r="AG127" s="206" t="str">
        <f t="shared" si="112"/>
        <v>EC</v>
      </c>
      <c r="AH127" s="78" t="str">
        <f t="shared" si="91"/>
        <v>"%USERPROFILE%\Documents\GitHub\eaglep3\Utilities\RefineRTDCRunTimes.py" --tripid 215-02 --locoid 4024 --swversion DE.1.0.9.0 --startMP 204:469 --initTime 2017-09-02T17:52:17 --startdatetime 2017-09-02T18:00:14 --delay 53 --endMP 204:233297 --enddatetime 2017-09-02T18:35:21 --enforcementcount 0 &gt;&gt;C:\Users\stu\Documents\GitHub\eaglep3-reporting\EC\2017-09-02-refined-times.txt</v>
      </c>
      <c r="AI127" s="96" t="str">
        <f t="shared" si="92"/>
        <v>echo {"issue":{"subject":"","project_id":79,"tracker_id":40,"status_id":1,"priority_id":2,"assigned_to_id":338,"start_date":"2017-09-02","description":"","custom_fields":[{"id":1,"name":"Subdivision","value":"EC"},{"id":4,"name":"Milepost","value":"23.3297"},{"id":17,"name":"Train ID","value":"215-02"},{"id":16,"name":"Locomotive ID","value":"4024"},{"id":130,"name":"Impact","value":""},{"id":150,"name":"Time of Event (Mountain Time)","value":"18:35:21"},{"id":151,"name":"Denver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93"/>
        <v>start /low /b %USERPROFILE%\Documents\GitHub\eaglep3\Utilities\DownloadLogsFromS3.py --loco 4024 --day 2017-09-02</v>
      </c>
      <c r="AN127" s="151" t="str">
        <f t="shared" si="94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00:35:21"},{"id":29,"name":"Sharepoint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739</v>
      </c>
      <c r="B128" s="7">
        <v>4023</v>
      </c>
      <c r="C128" s="21" t="s">
        <v>197</v>
      </c>
      <c r="D128" s="21" t="s">
        <v>545</v>
      </c>
      <c r="E128" s="13">
        <v>42980.78564814815</v>
      </c>
      <c r="F128" s="13">
        <v>42980.789837962962</v>
      </c>
      <c r="G128" s="7">
        <v>67</v>
      </c>
      <c r="H128" s="21" t="s">
        <v>391</v>
      </c>
      <c r="I128" s="13">
        <v>42980.815127314818</v>
      </c>
      <c r="J128" s="7">
        <v>0</v>
      </c>
      <c r="K128" s="89" t="str">
        <f t="shared" si="107"/>
        <v>4023/4024</v>
      </c>
      <c r="L128" s="214" t="str">
        <f>VLOOKUP(A128,'Trips&amp;Operators'!$C$1:$G$99911,5,FALSE)</f>
        <v>HOLCOMB KAMDEN</v>
      </c>
      <c r="M128" s="6">
        <f t="shared" si="108"/>
        <v>2.5289351855462883E-2</v>
      </c>
      <c r="N128" s="7">
        <f t="shared" si="113"/>
        <v>36.416666671866551</v>
      </c>
      <c r="O128" s="7"/>
      <c r="P128" s="7"/>
      <c r="Q128" s="22"/>
      <c r="R128" s="167"/>
      <c r="S128" s="210">
        <f t="shared" si="102"/>
        <v>1</v>
      </c>
      <c r="T128" s="192" t="str">
        <f t="shared" si="109"/>
        <v>Southbound</v>
      </c>
      <c r="U128" s="192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3" t="str">
        <f t="shared" si="80"/>
        <v>https://d0f6bd738d7f1b3e5a7ca70fe4ff75f0.us-east-1.aws.found.io/app/kibana#/discover/Steve-Slow-Train-Analysis-(2080s-and-2083s)?_g=(refreshInterval:(display:Off,pause:!f,section:0,value:0),time:(from:'2017-09-02T17:51:20-0600',mode:absolute,to:'2017-09-02T20:33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28" s="194" t="str">
        <f>IF(AA128&lt;VLOOKUP(AG128,Variables!$AC$3:$AD$8,2,FALSE),"Y","N")</f>
        <v>N</v>
      </c>
      <c r="X128" s="194">
        <f t="shared" si="106"/>
        <v>1</v>
      </c>
      <c r="Y128" s="194">
        <f t="shared" si="104"/>
        <v>23.298999999999999</v>
      </c>
      <c r="Z128" s="194">
        <f t="shared" si="105"/>
        <v>1.3899999999999999E-2</v>
      </c>
      <c r="AA128" s="194">
        <f t="shared" si="110"/>
        <v>23.2851</v>
      </c>
      <c r="AB128" s="54" t="e">
        <f>VLOOKUP(A128,Enforcements!$C$7:$K$11,8,0)</f>
        <v>#N/A</v>
      </c>
      <c r="AC128" s="51" t="e">
        <f>VLOOKUP(A128,Enforcements!$C$7:$E$11,3,0)</f>
        <v>#N/A</v>
      </c>
      <c r="AD128" s="203">
        <f t="shared" si="111"/>
        <v>216</v>
      </c>
      <c r="AE128" s="77" t="str">
        <f t="shared" si="81"/>
        <v>aws s3 cp s3://rtdc.mdm.uploadarchive.raw/RTDC4023/ "%USERPROFILE%\AppData\Local\Temp\OnboardLogs"\RTDC4023\2017-09-02 --exclude "*" --recursive --include "*20170902*" &amp; "%USERPROFILE%\Documents\GitHub\mrs-test-scripts\Headless Mode &amp; Sideloading\WalkAndUnGZ.bat" "%USERPROFILE%\AppData\Local\Temp\OnboardLogs"\RTDC4023\2017-09-02 &amp; aws s3 cp s3://rtdc.mdm.uploadarchive.raw/RTDC4023/ "%USERPROFILE%\AppData\Local\Temp\OnboardLogs"\RTDC4023\2017-09-03 --exclude "*" --recursive --include "*20170903*" &amp; "%USERPROFILE%\Documents\GitHub\mrs-test-scripts\Headless Mode &amp; Sideloading\WalkAndUnGZ.bat" "%USERPROFILE%\AppData\Local\Temp\OnboardLogs"\RTDC4023\2017-09-03</v>
      </c>
      <c r="AF128" s="74" t="str">
        <f t="shared" si="82"/>
        <v>"C:\Program Files (x86)\AstroGrep\AstroGrep.exe" /e /r /s /spath="%USERPROFILE%\AppData\Local\Temp\OnboardLogs" /stypes="app*4023*20170903*" /stext=" 01:.+((SYSTEM_STATE.+slice.+state.+changed )|(ment ac)|(multiple cpu faults)|(system.+state.+changed )|(\[timeout)|(PRM\|1\|D)|(kpr)|(kdp)|(train st.+moving)|(\|lc)|(penalty))"</v>
      </c>
      <c r="AG128" s="206" t="str">
        <f t="shared" si="112"/>
        <v>EC</v>
      </c>
      <c r="AH128" s="78" t="str">
        <f t="shared" si="91"/>
        <v>"%USERPROFILE%\Documents\GitHub\eaglep3\Utilities\RefineRTDCRunTimes.py" --tripid 216-02 --locoid 4023 --swversion DE.1.0.9.0 --startMP 204:232990 --initTime 2017-09-02T18:51:20 --startdatetime 2017-09-02T18:57:22 --delay 67 --endMP 204:139 --enddatetime 2017-09-02T19:33:47 --enforcementcount 0 &gt;&gt;C:\Users\stu\Documents\GitHub\eaglep3-reporting\EC\2017-09-02-refined-times.txt</v>
      </c>
      <c r="AI128" s="96" t="str">
        <f t="shared" si="92"/>
        <v>echo {"issue":{"subject":"","project_id":79,"tracker_id":40,"status_id":1,"priority_id":2,"assigned_to_id":338,"start_date":"2017-09-02","description":"","custom_fields":[{"id":1,"name":"Subdivision","value":"EC"},{"id":4,"name":"Milepost","value":"0.0139"},{"id":17,"name":"Train ID","value":"216-02"},{"id":16,"name":"Locomotive ID","value":"4023"},{"id":130,"name":"Impact","value":""},{"id":150,"name":"Time of Event (Mountain Time)","value":"19:33:47"},{"id":151,"name":"Denver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93"/>
        <v>start /low /b %USERPROFILE%\Documents\GitHub\eaglep3\Utilities\DownloadLogsFromS3.py --loco 4023 --day 2017-09-02</v>
      </c>
      <c r="AN128" s="151" t="str">
        <f t="shared" si="94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01:33:47"},{"id":29,"name":"Sharepoint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732</v>
      </c>
      <c r="B129" s="7">
        <v>4058</v>
      </c>
      <c r="C129" s="21" t="s">
        <v>197</v>
      </c>
      <c r="D129" s="21" t="s">
        <v>886</v>
      </c>
      <c r="E129" s="13">
        <v>42980.756122685183</v>
      </c>
      <c r="F129" s="13">
        <v>42980.761134259257</v>
      </c>
      <c r="G129" s="7">
        <v>152</v>
      </c>
      <c r="H129" s="21" t="s">
        <v>532</v>
      </c>
      <c r="I129" s="13">
        <v>42980.786574074074</v>
      </c>
      <c r="J129" s="7">
        <v>0</v>
      </c>
      <c r="K129" s="89" t="str">
        <f t="shared" si="107"/>
        <v>4057/4058</v>
      </c>
      <c r="L129" s="214" t="str">
        <f>VLOOKUP(A129,'Trips&amp;Operators'!$C$1:$G$99911,5,FALSE)</f>
        <v>ANDERS STEVEN</v>
      </c>
      <c r="M129" s="6">
        <f t="shared" si="108"/>
        <v>2.5439814817218576E-2</v>
      </c>
      <c r="N129" s="7">
        <f t="shared" si="113"/>
        <v>36.633333336794749</v>
      </c>
      <c r="O129" s="7"/>
      <c r="P129" s="7"/>
      <c r="Q129" s="22"/>
      <c r="R129" s="167"/>
      <c r="S129" s="210">
        <f t="shared" si="102"/>
        <v>1</v>
      </c>
      <c r="T129" s="192" t="str">
        <f t="shared" si="109"/>
        <v>NorthBound</v>
      </c>
      <c r="U129" s="192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3" t="str">
        <f t="shared" si="80"/>
        <v>https://d0f6bd738d7f1b3e5a7ca70fe4ff75f0.us-east-1.aws.found.io/app/kibana#/discover/Steve-Slow-Train-Analysis-(2080s-and-2083s)?_g=(refreshInterval:(display:Off,pause:!f,section:0,value:0),time:(from:'2017-09-02T17:08:49-0600',mode:absolute,to:'2017-09-02T19:52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29" s="194" t="str">
        <f>IF(AA129&lt;VLOOKUP(AG129,Variables!$AC$3:$AD$8,2,FALSE),"Y","N")</f>
        <v>N</v>
      </c>
      <c r="X129" s="194">
        <f t="shared" si="106"/>
        <v>1</v>
      </c>
      <c r="Y129" s="194">
        <f t="shared" si="104"/>
        <v>0.115</v>
      </c>
      <c r="Z129" s="194">
        <f t="shared" si="105"/>
        <v>23.3325</v>
      </c>
      <c r="AA129" s="194">
        <f t="shared" si="110"/>
        <v>23.217500000000001</v>
      </c>
      <c r="AB129" s="54" t="e">
        <f>VLOOKUP(A129,Enforcements!$C$7:$K$11,8,0)</f>
        <v>#N/A</v>
      </c>
      <c r="AC129" s="51" t="e">
        <f>VLOOKUP(A129,Enforcements!$C$7:$E$11,3,0)</f>
        <v>#N/A</v>
      </c>
      <c r="AD129" s="203">
        <f t="shared" si="111"/>
        <v>217</v>
      </c>
      <c r="AE129" s="77" t="str">
        <f t="shared" si="81"/>
        <v>aws s3 cp s3://rtdc.mdm.uploadarchive.raw/RTDC4058/ "%USERPROFILE%\AppData\Local\Temp\OnboardLogs"\RTDC4058\2017-09-02 --exclude "*" --recursive --include "*20170902*" &amp; "%USERPROFILE%\Documents\GitHub\mrs-test-scripts\Headless Mode &amp; Sideloading\WalkAndUnGZ.bat" "%USERPROFILE%\AppData\Local\Temp\OnboardLogs"\RTDC4058\2017-09-02 &amp; aws s3 cp s3://rtdc.mdm.uploadarchive.raw/RTDC4058/ "%USERPROFILE%\AppData\Local\Temp\OnboardLogs"\RTDC4058\2017-09-03 --exclude "*" --recursive --include "*20170903*" &amp; "%USERPROFILE%\Documents\GitHub\mrs-test-scripts\Headless Mode &amp; Sideloading\WalkAndUnGZ.bat" "%USERPROFILE%\AppData\Local\Temp\OnboardLogs"\RTDC4058\2017-09-03</v>
      </c>
      <c r="AF129" s="74" t="str">
        <f t="shared" si="82"/>
        <v>"C:\Program Files (x86)\AstroGrep\AstroGrep.exe" /e /r /s /spath="%USERPROFILE%\AppData\Local\Temp\OnboardLogs" /stypes="app*4058*20170903*" /stext=" 00:.+((SYSTEM_STATE.+slice.+state.+changed )|(ment ac)|(multiple cpu faults)|(system.+state.+changed )|(\[timeout)|(PRM\|1\|D)|(kpr)|(kdp)|(train st.+moving)|(\|lc)|(penalty))"</v>
      </c>
      <c r="AG129" s="206" t="str">
        <f t="shared" si="112"/>
        <v>EC</v>
      </c>
      <c r="AH129" s="78" t="str">
        <f t="shared" si="91"/>
        <v>"%USERPROFILE%\Documents\GitHub\eaglep3\Utilities\RefineRTDCRunTimes.py" --tripid 217-02 --locoid 4058 --swversion DE.1.0.9.0 --startMP 204:1150 --initTime 2017-09-02T18:08:49 --startdatetime 2017-09-02T18:16:02 --delay 152 --endMP 204:233325 --enddatetime 2017-09-02T18:52:40 --enforcementcount 0 &gt;&gt;C:\Users\stu\Documents\GitHub\eaglep3-reporting\EC\2017-09-02-refined-times.txt</v>
      </c>
      <c r="AI129" s="96" t="str">
        <f t="shared" si="92"/>
        <v>echo {"issue":{"subject":"","project_id":79,"tracker_id":40,"status_id":1,"priority_id":2,"assigned_to_id":338,"start_date":"2017-09-02","description":"","custom_fields":[{"id":1,"name":"Subdivision","value":"EC"},{"id":4,"name":"Milepost","value":"23.3325"},{"id":17,"name":"Train ID","value":"217-02"},{"id":16,"name":"Locomotive ID","value":"4058"},{"id":130,"name":"Impact","value":""},{"id":150,"name":"Time of Event (Mountain Time)","value":"18:52:40"},{"id":151,"name":"Denver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93"/>
        <v>start /low /b %USERPROFILE%\Documents\GitHub\eaglep3\Utilities\DownloadLogsFromS3.py --loco 4058 --day 2017-09-02</v>
      </c>
      <c r="AN129" s="151" t="str">
        <f t="shared" si="94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00:52:40"},{"id":29,"name":"Sharepoint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741</v>
      </c>
      <c r="B130" s="7">
        <v>4057</v>
      </c>
      <c r="C130" s="21" t="s">
        <v>197</v>
      </c>
      <c r="D130" s="21" t="s">
        <v>801</v>
      </c>
      <c r="E130" s="13">
        <v>42980.797164351854</v>
      </c>
      <c r="F130" s="13">
        <v>42980.80091435185</v>
      </c>
      <c r="G130" s="7">
        <v>173</v>
      </c>
      <c r="H130" s="21" t="s">
        <v>390</v>
      </c>
      <c r="I130" s="13">
        <v>42980.826979166668</v>
      </c>
      <c r="J130" s="7">
        <v>0</v>
      </c>
      <c r="K130" s="89" t="str">
        <f t="shared" si="107"/>
        <v>4057/4058</v>
      </c>
      <c r="L130" s="214" t="str">
        <f>VLOOKUP(A130,'Trips&amp;Operators'!$C$1:$G$99911,5,FALSE)</f>
        <v>ANDERS STEVEN</v>
      </c>
      <c r="M130" s="6">
        <f t="shared" si="108"/>
        <v>2.6064814817800652E-2</v>
      </c>
      <c r="N130" s="7">
        <f t="shared" si="113"/>
        <v>37.533333337632939</v>
      </c>
      <c r="O130" s="7"/>
      <c r="P130" s="7"/>
      <c r="Q130" s="22"/>
      <c r="R130" s="167"/>
      <c r="S130" s="210">
        <f t="shared" ref="S130:S161" si="114">1/IF(AG130="EC",12,1)*SUM(U130:U130)</f>
        <v>1</v>
      </c>
      <c r="T130" s="192" t="str">
        <f t="shared" si="109"/>
        <v>Southbound</v>
      </c>
      <c r="U130" s="192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3" t="str">
        <f t="shared" si="80"/>
        <v>https://d0f6bd738d7f1b3e5a7ca70fe4ff75f0.us-east-1.aws.found.io/app/kibana#/discover/Steve-Slow-Train-Analysis-(2080s-and-2083s)?_g=(refreshInterval:(display:Off,pause:!f,section:0,value:0),time:(from:'2017-09-02T18:07:55-0600',mode:absolute,to:'2017-09-02T20:50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30" s="194" t="str">
        <f>IF(AA130&lt;VLOOKUP(AG130,Variables!$AC$3:$AD$8,2,FALSE),"Y","N")</f>
        <v>N</v>
      </c>
      <c r="X130" s="194">
        <f t="shared" ref="X130:X133" si="115">VALUE(LEFT(AD130,4))-VALUE(LEFT(AD129,4))</f>
        <v>1</v>
      </c>
      <c r="Y130" s="194">
        <f t="shared" si="104"/>
        <v>23.298500000000001</v>
      </c>
      <c r="Z130" s="194">
        <f t="shared" si="105"/>
        <v>1.3599999999999999E-2</v>
      </c>
      <c r="AA130" s="194">
        <f t="shared" si="110"/>
        <v>23.2849</v>
      </c>
      <c r="AB130" s="54" t="e">
        <f>VLOOKUP(A130,Enforcements!$C$7:$K$11,8,0)</f>
        <v>#N/A</v>
      </c>
      <c r="AC130" s="51" t="e">
        <f>VLOOKUP(A130,Enforcements!$C$7:$E$11,3,0)</f>
        <v>#N/A</v>
      </c>
      <c r="AD130" s="203">
        <f t="shared" si="111"/>
        <v>218</v>
      </c>
      <c r="AE130" s="77" t="str">
        <f t="shared" si="81"/>
        <v>aws s3 cp s3://rtdc.mdm.uploadarchive.raw/RTDC4057/ "%USERPROFILE%\AppData\Local\Temp\OnboardLogs"\RTDC4057\2017-09-02 --exclude "*" --recursive --include "*20170902*" &amp; "%USERPROFILE%\Documents\GitHub\mrs-test-scripts\Headless Mode &amp; Sideloading\WalkAndUnGZ.bat" "%USERPROFILE%\AppData\Local\Temp\OnboardLogs"\RTDC4057\2017-09-02 &amp; aws s3 cp s3://rtdc.mdm.uploadarchive.raw/RTDC4057/ "%USERPROFILE%\AppData\Local\Temp\OnboardLogs"\RTDC4057\2017-09-03 --exclude "*" --recursive --include "*20170903*" &amp; "%USERPROFILE%\Documents\GitHub\mrs-test-scripts\Headless Mode &amp; Sideloading\WalkAndUnGZ.bat" "%USERPROFILE%\AppData\Local\Temp\OnboardLogs"\RTDC4057\2017-09-03</v>
      </c>
      <c r="AF130" s="74" t="str">
        <f t="shared" si="82"/>
        <v>"C:\Program Files (x86)\AstroGrep\AstroGrep.exe" /e /r /s /spath="%USERPROFILE%\AppData\Local\Temp\OnboardLogs" /stypes="app*4057*20170903*" /stext=" 01:.+((SYSTEM_STATE.+slice.+state.+changed )|(ment ac)|(multiple cpu faults)|(system.+state.+changed )|(\[timeout)|(PRM\|1\|D)|(kpr)|(kdp)|(train st.+moving)|(\|lc)|(penalty))"</v>
      </c>
      <c r="AG130" s="206" t="str">
        <f t="shared" si="112"/>
        <v>EC</v>
      </c>
      <c r="AH130" s="78" t="str">
        <f t="shared" si="91"/>
        <v>"%USERPROFILE%\Documents\GitHub\eaglep3\Utilities\RefineRTDCRunTimes.py" --tripid 218-02 --locoid 4057 --swversion DE.1.0.9.0 --startMP 204:232985 --initTime 2017-09-02T19:07:55 --startdatetime 2017-09-02T19:13:19 --delay 173 --endMP 204:136 --enddatetime 2017-09-02T19:50:51 --enforcementcount 0 &gt;&gt;C:\Users\stu\Documents\GitHub\eaglep3-reporting\EC\2017-09-02-refined-times.txt</v>
      </c>
      <c r="AI130" s="96" t="str">
        <f t="shared" si="92"/>
        <v>echo {"issue":{"subject":"","project_id":79,"tracker_id":40,"status_id":1,"priority_id":2,"assigned_to_id":338,"start_date":"2017-09-02","description":"","custom_fields":[{"id":1,"name":"Subdivision","value":"EC"},{"id":4,"name":"Milepost","value":"0.0136"},{"id":17,"name":"Train ID","value":"218-02"},{"id":16,"name":"Locomotive ID","value":"4057"},{"id":130,"name":"Impact","value":""},{"id":150,"name":"Time of Event (Mountain Time)","value":"19:50:51"},{"id":151,"name":"Denver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93"/>
        <v>start /low /b %USERPROFILE%\Documents\GitHub\eaglep3\Utilities\DownloadLogsFromS3.py --loco 4057 --day 2017-09-02</v>
      </c>
      <c r="AN130" s="151" t="str">
        <f t="shared" si="94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01:50:51"},{"id":29,"name":"Sharepoint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736</v>
      </c>
      <c r="B131" s="7">
        <v>4028</v>
      </c>
      <c r="C131" s="21" t="s">
        <v>197</v>
      </c>
      <c r="D131" s="21" t="s">
        <v>454</v>
      </c>
      <c r="E131" s="13">
        <v>42980.768148148149</v>
      </c>
      <c r="F131" s="13">
        <v>42980.771018518521</v>
      </c>
      <c r="G131" s="7">
        <v>70</v>
      </c>
      <c r="H131" s="21" t="s">
        <v>489</v>
      </c>
      <c r="I131" s="13">
        <v>42980.795902777776</v>
      </c>
      <c r="J131" s="7">
        <v>0</v>
      </c>
      <c r="K131" s="89" t="str">
        <f t="shared" si="107"/>
        <v>4027/4028</v>
      </c>
      <c r="L131" s="214" t="str">
        <f>VLOOKUP(A131,'Trips&amp;Operators'!$C$1:$G$99911,5,FALSE)</f>
        <v>PERKINS DARREN</v>
      </c>
      <c r="M131" s="6">
        <f t="shared" si="108"/>
        <v>2.488425925548654E-2</v>
      </c>
      <c r="N131" s="7">
        <f t="shared" si="113"/>
        <v>35.833333327900618</v>
      </c>
      <c r="O131" s="7"/>
      <c r="P131" s="7"/>
      <c r="Q131" s="22"/>
      <c r="R131" s="167"/>
      <c r="S131" s="210">
        <f t="shared" si="114"/>
        <v>1</v>
      </c>
      <c r="T131" s="192" t="str">
        <f t="shared" si="109"/>
        <v>NorthBound</v>
      </c>
      <c r="U131" s="192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3" t="str">
        <f t="shared" si="80"/>
        <v>https://d0f6bd738d7f1b3e5a7ca70fe4ff75f0.us-east-1.aws.found.io/app/kibana#/discover/Steve-Slow-Train-Analysis-(2080s-and-2083s)?_g=(refreshInterval:(display:Off,pause:!f,section:0,value:0),time:(from:'2017-09-02T17:26:08-0600',mode:absolute,to:'2017-09-02T20:06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1" s="194" t="str">
        <f>IF(AA131&lt;VLOOKUP(AG131,Variables!$AC$3:$AD$8,2,FALSE),"Y","N")</f>
        <v>N</v>
      </c>
      <c r="X131" s="194">
        <f t="shared" si="115"/>
        <v>1</v>
      </c>
      <c r="Y131" s="194">
        <f t="shared" si="104"/>
        <v>4.3999999999999997E-2</v>
      </c>
      <c r="Z131" s="194">
        <f t="shared" si="105"/>
        <v>23.3339</v>
      </c>
      <c r="AA131" s="194">
        <f t="shared" si="110"/>
        <v>23.289899999999999</v>
      </c>
      <c r="AB131" s="54" t="e">
        <f>VLOOKUP(A131,Enforcements!$C$7:$K$11,8,0)</f>
        <v>#N/A</v>
      </c>
      <c r="AC131" s="51" t="e">
        <f>VLOOKUP(A131,Enforcements!$C$7:$E$11,3,0)</f>
        <v>#N/A</v>
      </c>
      <c r="AD131" s="203">
        <f t="shared" si="111"/>
        <v>219</v>
      </c>
      <c r="AE131" s="77" t="str">
        <f t="shared" si="81"/>
        <v>aws s3 cp s3://rtdc.mdm.uploadarchive.raw/RTDC4028/ "%USERPROFILE%\AppData\Local\Temp\OnboardLogs"\RTDC4028\2017-09-02 --exclude "*" --recursive --include "*20170902*" &amp; "%USERPROFILE%\Documents\GitHub\mrs-test-scripts\Headless Mode &amp; Sideloading\WalkAndUnGZ.bat" "%USERPROFILE%\AppData\Local\Temp\OnboardLogs"\RTDC4028\2017-09-02 &amp; aws s3 cp s3://rtdc.mdm.uploadarchive.raw/RTDC4028/ "%USERPROFILE%\AppData\Local\Temp\OnboardLogs"\RTDC4028\2017-09-03 --exclude "*" --recursive --include "*20170903*" &amp; "%USERPROFILE%\Documents\GitHub\mrs-test-scripts\Headless Mode &amp; Sideloading\WalkAndUnGZ.bat" "%USERPROFILE%\AppData\Local\Temp\OnboardLogs"\RTDC4028\2017-09-03</v>
      </c>
      <c r="AF131" s="74" t="str">
        <f t="shared" si="82"/>
        <v>"C:\Program Files (x86)\AstroGrep\AstroGrep.exe" /e /r /s /spath="%USERPROFILE%\AppData\Local\Temp\OnboardLogs" /stypes="app*4028*20170903*" /stext=" 01:.+((SYSTEM_STATE.+slice.+state.+changed )|(ment ac)|(multiple cpu faults)|(system.+state.+changed )|(\[timeout)|(PRM\|1\|D)|(kpr)|(kdp)|(train st.+moving)|(\|lc)|(penalty))"</v>
      </c>
      <c r="AG131" s="206" t="str">
        <f t="shared" si="112"/>
        <v>EC</v>
      </c>
      <c r="AH131" s="78" t="str">
        <f t="shared" si="91"/>
        <v>"%USERPROFILE%\Documents\GitHub\eaglep3\Utilities\RefineRTDCRunTimes.py" --tripid 219-02 --locoid 4028 --swversion DE.1.0.9.0 --startMP 204:440 --initTime 2017-09-02T18:26:08 --startdatetime 2017-09-02T18:30:16 --delay 70 --endMP 204:233339 --enddatetime 2017-09-02T19:06:06 --enforcementcount 0 &gt;&gt;C:\Users\stu\Documents\GitHub\eaglep3-reporting\EC\2017-09-02-refined-times.txt</v>
      </c>
      <c r="AI131" s="96" t="str">
        <f t="shared" si="92"/>
        <v>echo {"issue":{"subject":"","project_id":79,"tracker_id":40,"status_id":1,"priority_id":2,"assigned_to_id":338,"start_date":"2017-09-02","description":"","custom_fields":[{"id":1,"name":"Subdivision","value":"EC"},{"id":4,"name":"Milepost","value":"23.3339"},{"id":17,"name":"Train ID","value":"219-02"},{"id":16,"name":"Locomotive ID","value":"4028"},{"id":130,"name":"Impact","value":""},{"id":150,"name":"Time of Event (Mountain Time)","value":"19:06:06"},{"id":151,"name":"Denver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93"/>
        <v>start /low /b %USERPROFILE%\Documents\GitHub\eaglep3\Utilities\DownloadLogsFromS3.py --loco 4028 --day 2017-09-02</v>
      </c>
      <c r="AN131" s="151" t="str">
        <f t="shared" si="94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01:06:06"},{"id":29,"name":"Sharepoint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592</v>
      </c>
      <c r="B132" s="7">
        <v>4027</v>
      </c>
      <c r="C132" s="21" t="s">
        <v>197</v>
      </c>
      <c r="D132" s="21" t="s">
        <v>428</v>
      </c>
      <c r="E132" s="13">
        <v>42980.805347222224</v>
      </c>
      <c r="F132" s="13">
        <v>42980.810590277775</v>
      </c>
      <c r="G132" s="7">
        <v>76</v>
      </c>
      <c r="H132" s="21" t="s">
        <v>887</v>
      </c>
      <c r="I132" s="13">
        <v>42980.836527777778</v>
      </c>
      <c r="J132" s="7">
        <v>0</v>
      </c>
      <c r="K132" s="89" t="str">
        <f t="shared" si="107"/>
        <v>4027/4028</v>
      </c>
      <c r="L132" s="214" t="str">
        <f>VLOOKUP(A132,'Trips&amp;Operators'!$C$1:$G$99911,5,FALSE)</f>
        <v>PERKINS DARREN</v>
      </c>
      <c r="M132" s="6">
        <f t="shared" si="108"/>
        <v>2.5937500002328306E-2</v>
      </c>
      <c r="N132" s="7">
        <f t="shared" si="113"/>
        <v>37.350000003352761</v>
      </c>
      <c r="O132" s="7"/>
      <c r="P132" s="7"/>
      <c r="Q132" s="22"/>
      <c r="R132" s="167"/>
      <c r="S132" s="210">
        <f t="shared" si="114"/>
        <v>1</v>
      </c>
      <c r="T132" s="192" t="str">
        <f t="shared" si="109"/>
        <v>Southbound</v>
      </c>
      <c r="U132" s="192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3" t="str">
        <f t="shared" si="80"/>
        <v>https://d0f6bd738d7f1b3e5a7ca70fe4ff75f0.us-east-1.aws.found.io/app/kibana#/discover/Steve-Slow-Train-Analysis-(2080s-and-2083s)?_g=(refreshInterval:(display:Off,pause:!f,section:0,value:0),time:(from:'2017-09-02T18:19:42-0600',mode:absolute,to:'2017-09-02T21:04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2" s="194" t="str">
        <f>IF(AA132&lt;VLOOKUP(AG132,Variables!$AC$3:$AD$8,2,FALSE),"Y","N")</f>
        <v>N</v>
      </c>
      <c r="X132" s="194">
        <f t="shared" si="115"/>
        <v>1</v>
      </c>
      <c r="Y132" s="194">
        <f t="shared" si="104"/>
        <v>23.299199999999999</v>
      </c>
      <c r="Z132" s="194">
        <f t="shared" si="105"/>
        <v>1.21E-2</v>
      </c>
      <c r="AA132" s="194">
        <f t="shared" si="110"/>
        <v>23.287099999999999</v>
      </c>
      <c r="AB132" s="54" t="e">
        <f>VLOOKUP(A132,Enforcements!$C$7:$K$11,8,0)</f>
        <v>#N/A</v>
      </c>
      <c r="AC132" s="51" t="e">
        <f>VLOOKUP(A132,Enforcements!$C$7:$E$11,3,0)</f>
        <v>#N/A</v>
      </c>
      <c r="AD132" s="203">
        <f t="shared" si="111"/>
        <v>220</v>
      </c>
      <c r="AE132" s="77" t="str">
        <f t="shared" si="81"/>
        <v>aws s3 cp s3://rtdc.mdm.uploadarchive.raw/RTDC4027/ "%USERPROFILE%\AppData\Local\Temp\OnboardLogs"\RTDC4027\2017-09-02 --exclude "*" --recursive --include "*20170902*" &amp; "%USERPROFILE%\Documents\GitHub\mrs-test-scripts\Headless Mode &amp; Sideloading\WalkAndUnGZ.bat" "%USERPROFILE%\AppData\Local\Temp\OnboardLogs"\RTDC4027\2017-09-02 &amp; aws s3 cp s3://rtdc.mdm.uploadarchive.raw/RTDC4027/ "%USERPROFILE%\AppData\Local\Temp\OnboardLogs"\RTDC4027\2017-09-03 --exclude "*" --recursive --include "*20170903*" &amp; "%USERPROFILE%\Documents\GitHub\mrs-test-scripts\Headless Mode &amp; Sideloading\WalkAndUnGZ.bat" "%USERPROFILE%\AppData\Local\Temp\OnboardLogs"\RTDC4027\2017-09-03</v>
      </c>
      <c r="AF132" s="74" t="str">
        <f t="shared" si="82"/>
        <v>"C:\Program Files (x86)\AstroGrep\AstroGrep.exe" /e /r /s /spath="%USERPROFILE%\AppData\Local\Temp\OnboardLogs" /stypes="app*4027*20170903*" /stext=" 02:.+((SYSTEM_STATE.+slice.+state.+changed )|(ment ac)|(multiple cpu faults)|(system.+state.+changed )|(\[timeout)|(PRM\|1\|D)|(kpr)|(kdp)|(train st.+moving)|(\|lc)|(penalty))"</v>
      </c>
      <c r="AG132" s="206" t="str">
        <f t="shared" si="112"/>
        <v>EC</v>
      </c>
      <c r="AH132" s="78" t="str">
        <f t="shared" si="91"/>
        <v>"%USERPROFILE%\Documents\GitHub\eaglep3\Utilities\RefineRTDCRunTimes.py" --tripid 220-02 --locoid 4027 --swversion DE.1.0.9.0 --startMP 204:232992 --initTime 2017-09-02T19:19:42 --startdatetime 2017-09-02T19:27:15 --delay 76 --endMP 204:121 --enddatetime 2017-09-02T20:04:36 --enforcementcount 0 &gt;&gt;C:\Users\stu\Documents\GitHub\eaglep3-reporting\EC\2017-09-02-refined-times.txt</v>
      </c>
      <c r="AI132" s="96" t="str">
        <f t="shared" si="92"/>
        <v>echo {"issue":{"subject":"","project_id":79,"tracker_id":40,"status_id":1,"priority_id":2,"assigned_to_id":338,"start_date":"2017-09-02","description":"","custom_fields":[{"id":1,"name":"Subdivision","value":"EC"},{"id":4,"name":"Milepost","value":"0.0121"},{"id":17,"name":"Train ID","value":"220-02"},{"id":16,"name":"Locomotive ID","value":"4027"},{"id":130,"name":"Impact","value":""},{"id":150,"name":"Time of Event (Mountain Time)","value":"20:04:36"},{"id":151,"name":"Denver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93"/>
        <v>start /low /b %USERPROFILE%\Documents\GitHub\eaglep3\Utilities\DownloadLogsFromS3.py --loco 4027 --day 2017-09-02</v>
      </c>
      <c r="AN132" s="151" t="str">
        <f t="shared" si="94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02:04:36"},{"id":29,"name":"Sharepoint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740</v>
      </c>
      <c r="B133" s="7">
        <v>4010</v>
      </c>
      <c r="C133" s="21" t="s">
        <v>197</v>
      </c>
      <c r="D133" s="21" t="s">
        <v>381</v>
      </c>
      <c r="E133" s="13">
        <v>42980.787766203706</v>
      </c>
      <c r="F133" s="13">
        <v>42980.791956018518</v>
      </c>
      <c r="G133" s="7">
        <v>207</v>
      </c>
      <c r="H133" s="21" t="s">
        <v>888</v>
      </c>
      <c r="I133" s="13">
        <v>42980.817615740743</v>
      </c>
      <c r="J133" s="7">
        <v>0</v>
      </c>
      <c r="K133" s="89" t="str">
        <f t="shared" si="107"/>
        <v>4009/4010</v>
      </c>
      <c r="L133" s="214" t="str">
        <f>VLOOKUP(A133,'Trips&amp;Operators'!$C$1:$G$99911,5,FALSE)</f>
        <v>NICHOLSON WESLEY</v>
      </c>
      <c r="M133" s="6">
        <f t="shared" si="108"/>
        <v>2.5659722225100268E-2</v>
      </c>
      <c r="N133" s="7">
        <f t="shared" si="113"/>
        <v>36.950000004144385</v>
      </c>
      <c r="O133" s="7"/>
      <c r="P133" s="7"/>
      <c r="Q133" s="22"/>
      <c r="R133" s="167"/>
      <c r="S133" s="210">
        <f t="shared" si="114"/>
        <v>1</v>
      </c>
      <c r="T133" s="192" t="str">
        <f t="shared" si="109"/>
        <v>NorthBound</v>
      </c>
      <c r="U133" s="192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3" t="str">
        <f t="shared" si="80"/>
        <v>https://d0f6bd738d7f1b3e5a7ca70fe4ff75f0.us-east-1.aws.found.io/app/kibana#/discover/Steve-Slow-Train-Analysis-(2080s-and-2083s)?_g=(refreshInterval:(display:Off,pause:!f,section:0,value:0),time:(from:'2017-09-02T17:54:23-0600',mode:absolute,to:'2017-09-02T20:37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3" s="194" t="str">
        <f>IF(AA133&lt;VLOOKUP(AG133,Variables!$AC$3:$AD$8,2,FALSE),"Y","N")</f>
        <v>N</v>
      </c>
      <c r="X133" s="194">
        <f t="shared" si="115"/>
        <v>1</v>
      </c>
      <c r="Y133" s="194">
        <f t="shared" si="104"/>
        <v>4.6699999999999998E-2</v>
      </c>
      <c r="Z133" s="194">
        <f t="shared" si="105"/>
        <v>23.328700000000001</v>
      </c>
      <c r="AA133" s="194">
        <f t="shared" si="110"/>
        <v>23.282</v>
      </c>
      <c r="AB133" s="54" t="e">
        <f>VLOOKUP(A133,Enforcements!$C$7:$K$11,8,0)</f>
        <v>#N/A</v>
      </c>
      <c r="AC133" s="51" t="e">
        <f>VLOOKUP(A133,Enforcements!$C$7:$E$11,3,0)</f>
        <v>#N/A</v>
      </c>
      <c r="AD133" s="203">
        <f t="shared" si="111"/>
        <v>221</v>
      </c>
      <c r="AE133" s="77" t="str">
        <f t="shared" si="81"/>
        <v>aws s3 cp s3://rtdc.mdm.uploadarchive.raw/RTDC4010/ "%USERPROFILE%\AppData\Local\Temp\OnboardLogs"\RTDC4010\2017-09-02 --exclude "*" --recursive --include "*20170902*" &amp; "%USERPROFILE%\Documents\GitHub\mrs-test-scripts\Headless Mode &amp; Sideloading\WalkAndUnGZ.bat" "%USERPROFILE%\AppData\Local\Temp\OnboardLogs"\RTDC4010\2017-09-02 &amp; aws s3 cp s3://rtdc.mdm.uploadarchive.raw/RTDC4010/ "%USERPROFILE%\AppData\Local\Temp\OnboardLogs"\RTDC4010\2017-09-03 --exclude "*" --recursive --include "*20170903*" &amp; "%USERPROFILE%\Documents\GitHub\mrs-test-scripts\Headless Mode &amp; Sideloading\WalkAndUnGZ.bat" "%USERPROFILE%\AppData\Local\Temp\OnboardLogs"\RTDC4010\2017-09-03</v>
      </c>
      <c r="AF133" s="74" t="str">
        <f t="shared" si="82"/>
        <v>"C:\Program Files (x86)\AstroGrep\AstroGrep.exe" /e /r /s /spath="%USERPROFILE%\AppData\Local\Temp\OnboardLogs" /stypes="app*4010*20170903*" /stext=" 01:.+((SYSTEM_STATE.+slice.+state.+changed )|(ment ac)|(multiple cpu faults)|(system.+state.+changed )|(\[timeout)|(PRM\|1\|D)|(kpr)|(kdp)|(train st.+moving)|(\|lc)|(penalty))"</v>
      </c>
      <c r="AG133" s="206" t="str">
        <f t="shared" si="112"/>
        <v>EC</v>
      </c>
      <c r="AH133" s="78" t="str">
        <f t="shared" si="91"/>
        <v>"%USERPROFILE%\Documents\GitHub\eaglep3\Utilities\RefineRTDCRunTimes.py" --tripid 221-02 --locoid 4010 --swversion DE.1.0.9.0 --startMP 204:467 --initTime 2017-09-02T18:54:23 --startdatetime 2017-09-02T19:00:25 --delay 207 --endMP 204:233287 --enddatetime 2017-09-02T19:37:22 --enforcementcount 0 &gt;&gt;C:\Users\stu\Documents\GitHub\eaglep3-reporting\EC\2017-09-02-refined-times.txt</v>
      </c>
      <c r="AI133" s="96" t="str">
        <f t="shared" si="92"/>
        <v>echo {"issue":{"subject":"","project_id":79,"tracker_id":40,"status_id":1,"priority_id":2,"assigned_to_id":338,"start_date":"2017-09-02","description":"","custom_fields":[{"id":1,"name":"Subdivision","value":"EC"},{"id":4,"name":"Milepost","value":"23.3287"},{"id":17,"name":"Train ID","value":"221-02"},{"id":16,"name":"Locomotive ID","value":"4010"},{"id":130,"name":"Impact","value":""},{"id":150,"name":"Time of Event (Mountain Time)","value":"19:37:22"},{"id":151,"name":"Denver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93"/>
        <v>start /low /b %USERPROFILE%\Documents\GitHub\eaglep3\Utilities\DownloadLogsFromS3.py --loco 4010 --day 2017-09-02</v>
      </c>
      <c r="AN133" s="151" t="str">
        <f t="shared" si="94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01:37:22"},{"id":29,"name":"Sharepoint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745</v>
      </c>
      <c r="B134" s="7">
        <v>4009</v>
      </c>
      <c r="C134" s="21" t="s">
        <v>197</v>
      </c>
      <c r="D134" s="21" t="s">
        <v>387</v>
      </c>
      <c r="E134" s="13">
        <v>42980.821250000001</v>
      </c>
      <c r="F134" s="13">
        <v>42980.831562500003</v>
      </c>
      <c r="G134" s="7">
        <v>123</v>
      </c>
      <c r="H134" s="21" t="s">
        <v>372</v>
      </c>
      <c r="I134" s="13">
        <v>42980.858773148146</v>
      </c>
      <c r="J134" s="7">
        <v>0</v>
      </c>
      <c r="K134" s="89" t="str">
        <f t="shared" si="107"/>
        <v>4009/4010</v>
      </c>
      <c r="L134" s="214" t="str">
        <f>VLOOKUP(A134,'Trips&amp;Operators'!$C$1:$G$99911,5,FALSE)</f>
        <v>NICHOLSON WESLEY</v>
      </c>
      <c r="M134" s="6">
        <f t="shared" si="108"/>
        <v>2.7210648142499849E-2</v>
      </c>
      <c r="N134" s="7">
        <f t="shared" si="113"/>
        <v>39.183333325199783</v>
      </c>
      <c r="O134" s="7"/>
      <c r="P134" s="7"/>
      <c r="Q134" s="22"/>
      <c r="R134" s="167"/>
      <c r="S134" s="210">
        <f t="shared" si="114"/>
        <v>1</v>
      </c>
      <c r="T134" s="192" t="str">
        <f t="shared" si="109"/>
        <v>Southbound</v>
      </c>
      <c r="U134" s="192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3" t="str">
        <f t="shared" si="80"/>
        <v>https://d0f6bd738d7f1b3e5a7ca70fe4ff75f0.us-east-1.aws.found.io/app/kibana#/discover/Steve-Slow-Train-Analysis-(2080s-and-2083s)?_g=(refreshInterval:(display:Off,pause:!f,section:0,value:0),time:(from:'2017-09-02T18:42:36-0600',mode:absolute,to:'2017-09-02T21:36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34" s="194" t="str">
        <f>IF(AA134&lt;VLOOKUP(AG134,Variables!$AC$3:$AD$8,2,FALSE),"Y","N")</f>
        <v>N</v>
      </c>
      <c r="X134" s="194">
        <f t="shared" ref="X134:X163" si="116">VALUE(LEFT(AD134,4))-VALUE(LEFT(AD133,4))</f>
        <v>1</v>
      </c>
      <c r="Y134" s="194">
        <f t="shared" si="104"/>
        <v>23.297699999999999</v>
      </c>
      <c r="Z134" s="194">
        <f t="shared" si="105"/>
        <v>1.38E-2</v>
      </c>
      <c r="AA134" s="194">
        <f t="shared" si="110"/>
        <v>23.283899999999999</v>
      </c>
      <c r="AB134" s="54" t="e">
        <f>VLOOKUP(A134,Enforcements!$C$7:$K$11,8,0)</f>
        <v>#N/A</v>
      </c>
      <c r="AC134" s="51" t="e">
        <f>VLOOKUP(A134,Enforcements!$C$7:$E$11,3,0)</f>
        <v>#N/A</v>
      </c>
      <c r="AD134" s="203">
        <f t="shared" si="111"/>
        <v>222</v>
      </c>
      <c r="AE134" s="77" t="str">
        <f t="shared" si="81"/>
        <v>aws s3 cp s3://rtdc.mdm.uploadarchive.raw/RTDC4009/ "%USERPROFILE%\AppData\Local\Temp\OnboardLogs"\RTDC4009\2017-09-02 --exclude "*" --recursive --include "*20170902*" &amp; "%USERPROFILE%\Documents\GitHub\mrs-test-scripts\Headless Mode &amp; Sideloading\WalkAndUnGZ.bat" "%USERPROFILE%\AppData\Local\Temp\OnboardLogs"\RTDC4009\2017-09-02 &amp; aws s3 cp s3://rtdc.mdm.uploadarchive.raw/RTDC4009/ "%USERPROFILE%\AppData\Local\Temp\OnboardLogs"\RTDC4009\2017-09-03 --exclude "*" --recursive --include "*20170903*" &amp; "%USERPROFILE%\Documents\GitHub\mrs-test-scripts\Headless Mode &amp; Sideloading\WalkAndUnGZ.bat" "%USERPROFILE%\AppData\Local\Temp\OnboardLogs"\RTDC4009\2017-09-03</v>
      </c>
      <c r="AF134" s="74" t="str">
        <f t="shared" si="82"/>
        <v>"C:\Program Files (x86)\AstroGrep\AstroGrep.exe" /e /r /s /spath="%USERPROFILE%\AppData\Local\Temp\OnboardLogs" /stypes="app*4009*20170903*" /stext=" 02:.+((SYSTEM_STATE.+slice.+state.+changed )|(ment ac)|(multiple cpu faults)|(system.+state.+changed )|(\[timeout)|(PRM\|1\|D)|(kpr)|(kdp)|(train st.+moving)|(\|lc)|(penalty))"</v>
      </c>
      <c r="AG134" s="206" t="str">
        <f t="shared" si="112"/>
        <v>EC</v>
      </c>
      <c r="AH134" s="78" t="str">
        <f t="shared" si="91"/>
        <v>"%USERPROFILE%\Documents\GitHub\eaglep3\Utilities\RefineRTDCRunTimes.py" --tripid 222-02 --locoid 4009 --swversion DE.1.0.9.0 --startMP 204:232977 --initTime 2017-09-02T19:42:36 --startdatetime 2017-09-02T19:57:27 --delay 123 --endMP 204:138 --enddatetime 2017-09-02T20:36:38 --enforcementcount 0 &gt;&gt;C:\Users\stu\Documents\GitHub\eaglep3-reporting\EC\2017-09-02-refined-times.txt</v>
      </c>
      <c r="AI134" s="96" t="str">
        <f t="shared" si="92"/>
        <v>echo {"issue":{"subject":"","project_id":79,"tracker_id":40,"status_id":1,"priority_id":2,"assigned_to_id":338,"start_date":"2017-09-02","description":"","custom_fields":[{"id":1,"name":"Subdivision","value":"EC"},{"id":4,"name":"Milepost","value":"0.0138"},{"id":17,"name":"Train ID","value":"222-02"},{"id":16,"name":"Locomotive ID","value":"4009"},{"id":130,"name":"Impact","value":""},{"id":150,"name":"Time of Event (Mountain Time)","value":"20:36:38"},{"id":151,"name":"Denver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93"/>
        <v>start /low /b %USERPROFILE%\Documents\GitHub\eaglep3\Utilities\DownloadLogsFromS3.py --loco 4009 --day 2017-09-02</v>
      </c>
      <c r="AN134" s="151" t="str">
        <f t="shared" si="94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02:36:38"},{"id":29,"name":"Sharepoint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743</v>
      </c>
      <c r="B135" s="7">
        <v>4052</v>
      </c>
      <c r="C135" s="21" t="s">
        <v>197</v>
      </c>
      <c r="D135" s="21" t="s">
        <v>889</v>
      </c>
      <c r="E135" s="13">
        <v>42980.808391203704</v>
      </c>
      <c r="F135" s="13">
        <v>42980.812638888892</v>
      </c>
      <c r="G135" s="7">
        <v>59</v>
      </c>
      <c r="H135" s="21" t="s">
        <v>453</v>
      </c>
      <c r="I135" s="13">
        <v>42980.837118055555</v>
      </c>
      <c r="J135" s="7">
        <v>0</v>
      </c>
      <c r="K135" s="89" t="str">
        <f t="shared" si="107"/>
        <v>4051/4052</v>
      </c>
      <c r="L135" s="214" t="str">
        <f>VLOOKUP(A135,'Trips&amp;Operators'!$C$1:$G$99911,5,FALSE)</f>
        <v>FORTUNATO FRANK</v>
      </c>
      <c r="M135" s="6">
        <f t="shared" si="108"/>
        <v>2.4479166662786156E-2</v>
      </c>
      <c r="N135" s="7">
        <f t="shared" si="113"/>
        <v>35.249999994412065</v>
      </c>
      <c r="O135" s="7"/>
      <c r="P135" s="7"/>
      <c r="Q135" s="22"/>
      <c r="R135" s="167"/>
      <c r="S135" s="210">
        <f t="shared" si="114"/>
        <v>1</v>
      </c>
      <c r="T135" s="192" t="str">
        <f t="shared" si="109"/>
        <v>NorthBound</v>
      </c>
      <c r="U135" s="192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3" t="str">
        <f t="shared" si="80"/>
        <v>https://d0f6bd738d7f1b3e5a7ca70fe4ff75f0.us-east-1.aws.found.io/app/kibana#/discover/Steve-Slow-Train-Analysis-(2080s-and-2083s)?_g=(refreshInterval:(display:Off,pause:!f,section:0,value:0),time:(from:'2017-09-02T18:24:05-0600',mode:absolute,to:'2017-09-02T21:05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35" s="194" t="str">
        <f>IF(AA135&lt;VLOOKUP(AG135,Variables!$AC$3:$AD$8,2,FALSE),"Y","N")</f>
        <v>N</v>
      </c>
      <c r="X135" s="194">
        <f t="shared" si="116"/>
        <v>1</v>
      </c>
      <c r="Y135" s="194">
        <f t="shared" si="104"/>
        <v>4.8599999999999997E-2</v>
      </c>
      <c r="Z135" s="194">
        <f t="shared" si="105"/>
        <v>23.331600000000002</v>
      </c>
      <c r="AA135" s="194">
        <f t="shared" si="110"/>
        <v>23.283000000000001</v>
      </c>
      <c r="AB135" s="54" t="e">
        <f>VLOOKUP(A135,Enforcements!$C$7:$K$11,8,0)</f>
        <v>#N/A</v>
      </c>
      <c r="AC135" s="51" t="e">
        <f>VLOOKUP(A135,Enforcements!$C$7:$E$11,3,0)</f>
        <v>#N/A</v>
      </c>
      <c r="AD135" s="203">
        <f t="shared" si="111"/>
        <v>223</v>
      </c>
      <c r="AE135" s="77" t="str">
        <f t="shared" si="81"/>
        <v>aws s3 cp s3://rtdc.mdm.uploadarchive.raw/RTDC4052/ "%USERPROFILE%\AppData\Local\Temp\OnboardLogs"\RTDC4052\2017-09-02 --exclude "*" --recursive --include "*20170902*" &amp; "%USERPROFILE%\Documents\GitHub\mrs-test-scripts\Headless Mode &amp; Sideloading\WalkAndUnGZ.bat" "%USERPROFILE%\AppData\Local\Temp\OnboardLogs"\RTDC4052\2017-09-02 &amp; aws s3 cp s3://rtdc.mdm.uploadarchive.raw/RTDC4052/ "%USERPROFILE%\AppData\Local\Temp\OnboardLogs"\RTDC4052\2017-09-03 --exclude "*" --recursive --include "*20170903*" &amp; "%USERPROFILE%\Documents\GitHub\mrs-test-scripts\Headless Mode &amp; Sideloading\WalkAndUnGZ.bat" "%USERPROFILE%\AppData\Local\Temp\OnboardLogs"\RTDC4052\2017-09-03</v>
      </c>
      <c r="AF135" s="74" t="str">
        <f t="shared" si="82"/>
        <v>"C:\Program Files (x86)\AstroGrep\AstroGrep.exe" /e /r /s /spath="%USERPROFILE%\AppData\Local\Temp\OnboardLogs" /stypes="app*4052*20170903*" /stext=" 02:.+((SYSTEM_STATE.+slice.+state.+changed )|(ment ac)|(multiple cpu faults)|(system.+state.+changed )|(\[timeout)|(PRM\|1\|D)|(kpr)|(kdp)|(train st.+moving)|(\|lc)|(penalty))"</v>
      </c>
      <c r="AG135" s="206" t="str">
        <f t="shared" si="112"/>
        <v>EC</v>
      </c>
      <c r="AH135" s="78" t="str">
        <f t="shared" si="91"/>
        <v>"%USERPROFILE%\Documents\GitHub\eaglep3\Utilities\RefineRTDCRunTimes.py" --tripid 223-02 --locoid 4052 --swversion DE.1.0.9.0 --startMP 204:486 --initTime 2017-09-02T19:24:05 --startdatetime 2017-09-02T19:30:12 --delay 59 --endMP 204:233316 --enddatetime 2017-09-02T20:05:27 --enforcementcount 0 &gt;&gt;C:\Users\stu\Documents\GitHub\eaglep3-reporting\EC\2017-09-02-refined-times.txt</v>
      </c>
      <c r="AI135" s="96" t="str">
        <f t="shared" si="92"/>
        <v>echo {"issue":{"subject":"","project_id":79,"tracker_id":40,"status_id":1,"priority_id":2,"assigned_to_id":338,"start_date":"2017-09-02","description":"","custom_fields":[{"id":1,"name":"Subdivision","value":"EC"},{"id":4,"name":"Milepost","value":"23.3316"},{"id":17,"name":"Train ID","value":"223-02"},{"id":16,"name":"Locomotive ID","value":"4052"},{"id":130,"name":"Impact","value":""},{"id":150,"name":"Time of Event (Mountain Time)","value":"20:05:27"},{"id":151,"name":"Denver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93"/>
        <v>start /low /b %USERPROFILE%\Documents\GitHub\eaglep3\Utilities\DownloadLogsFromS3.py --loco 4052 --day 2017-09-02</v>
      </c>
      <c r="AN135" s="151" t="str">
        <f t="shared" si="94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02:05:27"},{"id":29,"name":"Sharepoint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748</v>
      </c>
      <c r="B136" s="7">
        <v>4051</v>
      </c>
      <c r="C136" s="21" t="s">
        <v>197</v>
      </c>
      <c r="D136" s="21" t="s">
        <v>545</v>
      </c>
      <c r="E136" s="13">
        <v>42980.838877314818</v>
      </c>
      <c r="F136" s="13">
        <v>42980.85224537037</v>
      </c>
      <c r="G136" s="7">
        <v>46</v>
      </c>
      <c r="H136" s="21" t="s">
        <v>371</v>
      </c>
      <c r="I136" s="13">
        <v>42980.878344907411</v>
      </c>
      <c r="J136" s="7">
        <v>0</v>
      </c>
      <c r="K136" s="89" t="str">
        <f t="shared" si="107"/>
        <v>4051/4052</v>
      </c>
      <c r="L136" s="214" t="str">
        <f>VLOOKUP(A136,'Trips&amp;Operators'!$C$1:$G$99911,5,FALSE)</f>
        <v>FORTUNATO FRANK</v>
      </c>
      <c r="M136" s="6">
        <f t="shared" si="108"/>
        <v>2.6099537040863652E-2</v>
      </c>
      <c r="N136" s="7">
        <f t="shared" si="113"/>
        <v>37.583333338843659</v>
      </c>
      <c r="O136" s="7"/>
      <c r="P136" s="7"/>
      <c r="Q136" s="22"/>
      <c r="R136" s="167"/>
      <c r="S136" s="210">
        <f t="shared" si="114"/>
        <v>1</v>
      </c>
      <c r="T136" s="192" t="str">
        <f t="shared" si="109"/>
        <v>Southbound</v>
      </c>
      <c r="U136" s="192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3" t="str">
        <f t="shared" si="80"/>
        <v>https://d0f6bd738d7f1b3e5a7ca70fe4ff75f0.us-east-1.aws.found.io/app/kibana#/discover/Steve-Slow-Train-Analysis-(2080s-and-2083s)?_g=(refreshInterval:(display:Off,pause:!f,section:0,value:0),time:(from:'2017-09-02T19:07:59-0600',mode:absolute,to:'2017-09-02T22:04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36" s="194" t="str">
        <f>IF(AA136&lt;VLOOKUP(AG136,Variables!$AC$3:$AD$8,2,FALSE),"Y","N")</f>
        <v>N</v>
      </c>
      <c r="X136" s="194">
        <f t="shared" si="116"/>
        <v>1</v>
      </c>
      <c r="Y136" s="194">
        <f t="shared" si="104"/>
        <v>23.298999999999999</v>
      </c>
      <c r="Z136" s="194">
        <f t="shared" si="105"/>
        <v>1.4500000000000001E-2</v>
      </c>
      <c r="AA136" s="194">
        <f t="shared" si="110"/>
        <v>23.284499999999998</v>
      </c>
      <c r="AB136" s="54" t="e">
        <f>VLOOKUP(A136,Enforcements!$C$7:$K$11,8,0)</f>
        <v>#N/A</v>
      </c>
      <c r="AC136" s="51" t="e">
        <f>VLOOKUP(A136,Enforcements!$C$7:$E$11,3,0)</f>
        <v>#N/A</v>
      </c>
      <c r="AD136" s="203">
        <f t="shared" si="111"/>
        <v>224</v>
      </c>
      <c r="AE136" s="77" t="str">
        <f t="shared" si="81"/>
        <v>aws s3 cp s3://rtdc.mdm.uploadarchive.raw/RTDC4051/ "%USERPROFILE%\AppData\Local\Temp\OnboardLogs"\RTDC4051\2017-09-02 --exclude "*" --recursive --include "*20170902*" &amp; "%USERPROFILE%\Documents\GitHub\mrs-test-scripts\Headless Mode &amp; Sideloading\WalkAndUnGZ.bat" "%USERPROFILE%\AppData\Local\Temp\OnboardLogs"\RTDC4051\2017-09-02 &amp; aws s3 cp s3://rtdc.mdm.uploadarchive.raw/RTDC4051/ "%USERPROFILE%\AppData\Local\Temp\OnboardLogs"\RTDC4051\2017-09-03 --exclude "*" --recursive --include "*20170903*" &amp; "%USERPROFILE%\Documents\GitHub\mrs-test-scripts\Headless Mode &amp; Sideloading\WalkAndUnGZ.bat" "%USERPROFILE%\AppData\Local\Temp\OnboardLogs"\RTDC4051\2017-09-03</v>
      </c>
      <c r="AF136" s="74" t="str">
        <f t="shared" si="82"/>
        <v>"C:\Program Files (x86)\AstroGrep\AstroGrep.exe" /e /r /s /spath="%USERPROFILE%\AppData\Local\Temp\OnboardLogs" /stypes="app*4051*20170903*" /stext=" 03:.+((SYSTEM_STATE.+slice.+state.+changed )|(ment ac)|(multiple cpu faults)|(system.+state.+changed )|(\[timeout)|(PRM\|1\|D)|(kpr)|(kdp)|(train st.+moving)|(\|lc)|(penalty))"</v>
      </c>
      <c r="AG136" s="206" t="str">
        <f t="shared" si="112"/>
        <v>EC</v>
      </c>
      <c r="AH136" s="78" t="str">
        <f t="shared" si="91"/>
        <v>"%USERPROFILE%\Documents\GitHub\eaglep3\Utilities\RefineRTDCRunTimes.py" --tripid 224-02 --locoid 4051 --swversion DE.1.0.9.0 --startMP 204:232990 --initTime 2017-09-02T20:07:59 --startdatetime 2017-09-02T20:27:14 --delay 46 --endMP 204:145 --enddatetime 2017-09-02T21:04:49 --enforcementcount 0 &gt;&gt;C:\Users\stu\Documents\GitHub\eaglep3-reporting\EC\2017-09-02-refined-times.txt</v>
      </c>
      <c r="AI136" s="96" t="str">
        <f t="shared" si="92"/>
        <v>echo {"issue":{"subject":"","project_id":79,"tracker_id":40,"status_id":1,"priority_id":2,"assigned_to_id":338,"start_date":"2017-09-02","description":"","custom_fields":[{"id":1,"name":"Subdivision","value":"EC"},{"id":4,"name":"Milepost","value":"0.0145"},{"id":17,"name":"Train ID","value":"224-02"},{"id":16,"name":"Locomotive ID","value":"4051"},{"id":130,"name":"Impact","value":""},{"id":150,"name":"Time of Event (Mountain Time)","value":"21:04:49"},{"id":151,"name":"Denver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93"/>
        <v>start /low /b %USERPROFILE%\Documents\GitHub\eaglep3\Utilities\DownloadLogsFromS3.py --loco 4051 --day 2017-09-02</v>
      </c>
      <c r="AN136" s="151" t="str">
        <f t="shared" si="94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03:04:49"},{"id":29,"name":"Sharepoint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746</v>
      </c>
      <c r="B137" s="7">
        <v>4058</v>
      </c>
      <c r="C137" s="21" t="s">
        <v>197</v>
      </c>
      <c r="D137" s="21" t="s">
        <v>342</v>
      </c>
      <c r="E137" s="13">
        <v>42980.830636574072</v>
      </c>
      <c r="F137" s="13">
        <v>42980.83357638889</v>
      </c>
      <c r="G137" s="7">
        <v>57</v>
      </c>
      <c r="H137" s="21" t="s">
        <v>788</v>
      </c>
      <c r="I137" s="13">
        <v>42980.858668981484</v>
      </c>
      <c r="J137" s="7">
        <v>0</v>
      </c>
      <c r="K137" s="89" t="str">
        <f t="shared" si="107"/>
        <v>4057/4058</v>
      </c>
      <c r="L137" s="214" t="str">
        <f>VLOOKUP(A137,'Trips&amp;Operators'!$C$1:$G$99911,5,FALSE)</f>
        <v>ANDERS STEVEN</v>
      </c>
      <c r="M137" s="6">
        <f t="shared" si="108"/>
        <v>2.5092592593864538E-2</v>
      </c>
      <c r="N137" s="7">
        <f t="shared" si="113"/>
        <v>36.133333335164934</v>
      </c>
      <c r="O137" s="7"/>
      <c r="P137" s="7"/>
      <c r="Q137" s="22"/>
      <c r="R137" s="167"/>
      <c r="S137" s="210">
        <f t="shared" si="114"/>
        <v>1</v>
      </c>
      <c r="T137" s="192" t="str">
        <f t="shared" si="109"/>
        <v>NorthBound</v>
      </c>
      <c r="U137" s="192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3" t="str">
        <f t="shared" si="80"/>
        <v>https://d0f6bd738d7f1b3e5a7ca70fe4ff75f0.us-east-1.aws.found.io/app/kibana#/discover/Steve-Slow-Train-Analysis-(2080s-and-2083s)?_g=(refreshInterval:(display:Off,pause:!f,section:0,value:0),time:(from:'2017-09-02T18:56:07-0600',mode:absolute,to:'2017-09-02T21:36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37" s="194" t="str">
        <f>IF(AA137&lt;VLOOKUP(AG137,Variables!$AC$3:$AD$8,2,FALSE),"Y","N")</f>
        <v>N</v>
      </c>
      <c r="X137" s="194">
        <f t="shared" si="116"/>
        <v>1</v>
      </c>
      <c r="Y137" s="194">
        <f t="shared" si="104"/>
        <v>4.53E-2</v>
      </c>
      <c r="Z137" s="194">
        <f t="shared" si="105"/>
        <v>23.331</v>
      </c>
      <c r="AA137" s="194">
        <f t="shared" si="110"/>
        <v>23.285699999999999</v>
      </c>
      <c r="AB137" s="54" t="e">
        <f>VLOOKUP(A137,Enforcements!$C$7:$K$11,8,0)</f>
        <v>#N/A</v>
      </c>
      <c r="AC137" s="51" t="e">
        <f>VLOOKUP(A137,Enforcements!$C$7:$E$11,3,0)</f>
        <v>#N/A</v>
      </c>
      <c r="AD137" s="203">
        <f t="shared" si="111"/>
        <v>225</v>
      </c>
      <c r="AE137" s="77" t="str">
        <f t="shared" si="81"/>
        <v>aws s3 cp s3://rtdc.mdm.uploadarchive.raw/RTDC4058/ "%USERPROFILE%\AppData\Local\Temp\OnboardLogs"\RTDC4058\2017-09-02 --exclude "*" --recursive --include "*20170902*" &amp; "%USERPROFILE%\Documents\GitHub\mrs-test-scripts\Headless Mode &amp; Sideloading\WalkAndUnGZ.bat" "%USERPROFILE%\AppData\Local\Temp\OnboardLogs"\RTDC4058\2017-09-02 &amp; aws s3 cp s3://rtdc.mdm.uploadarchive.raw/RTDC4058/ "%USERPROFILE%\AppData\Local\Temp\OnboardLogs"\RTDC4058\2017-09-03 --exclude "*" --recursive --include "*20170903*" &amp; "%USERPROFILE%\Documents\GitHub\mrs-test-scripts\Headless Mode &amp; Sideloading\WalkAndUnGZ.bat" "%USERPROFILE%\AppData\Local\Temp\OnboardLogs"\RTDC4058\2017-09-03</v>
      </c>
      <c r="AF137" s="74" t="str">
        <f t="shared" si="82"/>
        <v>"C:\Program Files (x86)\AstroGrep\AstroGrep.exe" /e /r /s /spath="%USERPROFILE%\AppData\Local\Temp\OnboardLogs" /stypes="app*4058*20170903*" /stext=" 02:.+((SYSTEM_STATE.+slice.+state.+changed )|(ment ac)|(multiple cpu faults)|(system.+state.+changed )|(\[timeout)|(PRM\|1\|D)|(kpr)|(kdp)|(train st.+moving)|(\|lc)|(penalty))"</v>
      </c>
      <c r="AG137" s="206" t="str">
        <f t="shared" si="112"/>
        <v>EC</v>
      </c>
      <c r="AH137" s="78" t="str">
        <f t="shared" si="91"/>
        <v>"%USERPROFILE%\Documents\GitHub\eaglep3\Utilities\RefineRTDCRunTimes.py" --tripid 225-02 --locoid 4058 --swversion DE.1.0.9.0 --startMP 204:453 --initTime 2017-09-02T19:56:07 --startdatetime 2017-09-02T20:00:21 --delay 57 --endMP 204:233310 --enddatetime 2017-09-02T20:36:29 --enforcementcount 0 &gt;&gt;C:\Users\stu\Documents\GitHub\eaglep3-reporting\EC\2017-09-02-refined-times.txt</v>
      </c>
      <c r="AI137" s="96" t="str">
        <f t="shared" si="92"/>
        <v>echo {"issue":{"subject":"","project_id":79,"tracker_id":40,"status_id":1,"priority_id":2,"assigned_to_id":338,"start_date":"2017-09-02","description":"","custom_fields":[{"id":1,"name":"Subdivision","value":"EC"},{"id":4,"name":"Milepost","value":"23.331"},{"id":17,"name":"Train ID","value":"225-02"},{"id":16,"name":"Locomotive ID","value":"4058"},{"id":130,"name":"Impact","value":""},{"id":150,"name":"Time of Event (Mountain Time)","value":"20:36:29"},{"id":151,"name":"Denver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93"/>
        <v>start /low /b %USERPROFILE%\Documents\GitHub\eaglep3\Utilities\DownloadLogsFromS3.py --loco 4058 --day 2017-09-02</v>
      </c>
      <c r="AN137" s="151" t="str">
        <f t="shared" si="94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02:36:29"},{"id":29,"name":"Sharepoint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751</v>
      </c>
      <c r="B138" s="7">
        <v>4057</v>
      </c>
      <c r="C138" s="21" t="s">
        <v>197</v>
      </c>
      <c r="D138" s="21" t="s">
        <v>940</v>
      </c>
      <c r="E138" s="13">
        <v>42980.861527777779</v>
      </c>
      <c r="F138" s="13">
        <v>42980.873356481483</v>
      </c>
      <c r="G138" s="7">
        <v>64</v>
      </c>
      <c r="H138" s="21" t="s">
        <v>941</v>
      </c>
      <c r="I138" s="13">
        <v>42980.900590277779</v>
      </c>
      <c r="J138" s="7">
        <v>0</v>
      </c>
      <c r="K138" s="89" t="str">
        <f t="shared" si="107"/>
        <v>4057/4058</v>
      </c>
      <c r="L138" s="214" t="str">
        <f>VLOOKUP(A138,'Trips&amp;Operators'!$C$1:$G$99911,5,FALSE)</f>
        <v>ANDERS STEVEN</v>
      </c>
      <c r="M138" s="6">
        <f t="shared" si="108"/>
        <v>2.7233796296059154E-2</v>
      </c>
      <c r="N138" s="7">
        <f t="shared" si="113"/>
        <v>39.216666666325182</v>
      </c>
      <c r="O138" s="7"/>
      <c r="P138" s="7"/>
      <c r="Q138" s="22"/>
      <c r="R138" s="167"/>
      <c r="S138" s="210">
        <f t="shared" si="114"/>
        <v>1</v>
      </c>
      <c r="T138" s="192" t="str">
        <f t="shared" si="109"/>
        <v>Southbound</v>
      </c>
      <c r="U138" s="192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3" t="str">
        <f t="shared" si="80"/>
        <v>https://d0f6bd738d7f1b3e5a7ca70fe4ff75f0.us-east-1.aws.found.io/app/kibana#/discover/Steve-Slow-Train-Analysis-(2080s-and-2083s)?_g=(refreshInterval:(display:Off,pause:!f,section:0,value:0),time:(from:'2017-09-02T19:40:36-0600',mode:absolute,to:'2017-09-02T22:36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38" s="194" t="str">
        <f>IF(AA138&lt;VLOOKUP(AG138,Variables!$AC$3:$AD$8,2,FALSE),"Y","N")</f>
        <v>N</v>
      </c>
      <c r="X138" s="194">
        <f t="shared" si="116"/>
        <v>1</v>
      </c>
      <c r="Y138" s="194">
        <f t="shared" si="104"/>
        <v>23.299099999999999</v>
      </c>
      <c r="Z138" s="194">
        <f t="shared" si="105"/>
        <v>1.29E-2</v>
      </c>
      <c r="AA138" s="194">
        <f t="shared" si="110"/>
        <v>23.286200000000001</v>
      </c>
      <c r="AB138" s="54" t="e">
        <f>VLOOKUP(A138,Enforcements!$C$7:$K$11,8,0)</f>
        <v>#N/A</v>
      </c>
      <c r="AC138" s="51" t="e">
        <f>VLOOKUP(A138,Enforcements!$C$7:$E$11,3,0)</f>
        <v>#N/A</v>
      </c>
      <c r="AD138" s="203">
        <f t="shared" si="111"/>
        <v>226</v>
      </c>
      <c r="AE138" s="77" t="str">
        <f t="shared" si="81"/>
        <v>aws s3 cp s3://rtdc.mdm.uploadarchive.raw/RTDC4057/ "%USERPROFILE%\AppData\Local\Temp\OnboardLogs"\RTDC4057\2017-09-02 --exclude "*" --recursive --include "*20170902*" &amp; "%USERPROFILE%\Documents\GitHub\mrs-test-scripts\Headless Mode &amp; Sideloading\WalkAndUnGZ.bat" "%USERPROFILE%\AppData\Local\Temp\OnboardLogs"\RTDC4057\2017-09-02 &amp; aws s3 cp s3://rtdc.mdm.uploadarchive.raw/RTDC4057/ "%USERPROFILE%\AppData\Local\Temp\OnboardLogs"\RTDC4057\2017-09-03 --exclude "*" --recursive --include "*20170903*" &amp; "%USERPROFILE%\Documents\GitHub\mrs-test-scripts\Headless Mode &amp; Sideloading\WalkAndUnGZ.bat" "%USERPROFILE%\AppData\Local\Temp\OnboardLogs"\RTDC4057\2017-09-03</v>
      </c>
      <c r="AF138" s="74" t="str">
        <f t="shared" si="82"/>
        <v>"C:\Program Files (x86)\AstroGrep\AstroGrep.exe" /e /r /s /spath="%USERPROFILE%\AppData\Local\Temp\OnboardLogs" /stypes="app*4057*20170903*" /stext=" 03:.+((SYSTEM_STATE.+slice.+state.+changed )|(ment ac)|(multiple cpu faults)|(system.+state.+changed )|(\[timeout)|(PRM\|1\|D)|(kpr)|(kdp)|(train st.+moving)|(\|lc)|(penalty))"</v>
      </c>
      <c r="AG138" s="206" t="str">
        <f t="shared" si="112"/>
        <v>EC</v>
      </c>
      <c r="AH138" s="78" t="str">
        <f t="shared" si="91"/>
        <v>"%USERPROFILE%\Documents\GitHub\eaglep3\Utilities\RefineRTDCRunTimes.py" --tripid 226-02 --locoid 4057 --swversion DE.1.0.9.0 --startMP 204:232991 --initTime 2017-09-02T20:40:36 --startdatetime 2017-09-02T20:57:38 --delay 64 --endMP 204:129 --enddatetime 2017-09-02T21:36:51 --enforcementcount 0 &gt;&gt;C:\Users\stu\Documents\GitHub\eaglep3-reporting\EC\2017-09-02-refined-times.txt</v>
      </c>
      <c r="AI138" s="96" t="str">
        <f t="shared" si="92"/>
        <v>echo {"issue":{"subject":"","project_id":79,"tracker_id":40,"status_id":1,"priority_id":2,"assigned_to_id":338,"start_date":"2017-09-02","description":"","custom_fields":[{"id":1,"name":"Subdivision","value":"EC"},{"id":4,"name":"Milepost","value":"0.0129"},{"id":17,"name":"Train ID","value":"226-02"},{"id":16,"name":"Locomotive ID","value":"4057"},{"id":130,"name":"Impact","value":""},{"id":150,"name":"Time of Event (Mountain Time)","value":"21:36:51"},{"id":151,"name":"Denver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93"/>
        <v>start /low /b %USERPROFILE%\Documents\GitHub\eaglep3\Utilities\DownloadLogsFromS3.py --loco 4057 --day 2017-09-02</v>
      </c>
      <c r="AN138" s="151" t="str">
        <f t="shared" si="94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03:36:51"},{"id":29,"name":"Sharepoint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749</v>
      </c>
      <c r="B139" s="7">
        <v>4028</v>
      </c>
      <c r="C139" s="21" t="s">
        <v>197</v>
      </c>
      <c r="D139" s="21" t="s">
        <v>376</v>
      </c>
      <c r="E139" s="13">
        <v>42980.841921296298</v>
      </c>
      <c r="F139" s="13">
        <v>42980.854444444441</v>
      </c>
      <c r="G139" s="7">
        <v>53</v>
      </c>
      <c r="H139" s="21" t="s">
        <v>531</v>
      </c>
      <c r="I139" s="13">
        <v>42980.878645833334</v>
      </c>
      <c r="J139" s="7">
        <v>0</v>
      </c>
      <c r="K139" s="89" t="str">
        <f t="shared" si="107"/>
        <v>4027/4028</v>
      </c>
      <c r="L139" s="214" t="str">
        <f>VLOOKUP(A139,'Trips&amp;Operators'!$C$1:$G$99911,5,FALSE)</f>
        <v>PERKINS DARREN</v>
      </c>
      <c r="M139" s="6">
        <f t="shared" si="108"/>
        <v>2.4201388892834075E-2</v>
      </c>
      <c r="N139" s="7">
        <f t="shared" si="113"/>
        <v>34.850000005681068</v>
      </c>
      <c r="O139" s="7"/>
      <c r="P139" s="7"/>
      <c r="Q139" s="22"/>
      <c r="R139" s="167"/>
      <c r="S139" s="210">
        <f t="shared" si="114"/>
        <v>1</v>
      </c>
      <c r="T139" s="192" t="str">
        <f t="shared" si="109"/>
        <v>NorthBound</v>
      </c>
      <c r="U139" s="192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3" t="str">
        <f t="shared" si="80"/>
        <v>https://d0f6bd738d7f1b3e5a7ca70fe4ff75f0.us-east-1.aws.found.io/app/kibana#/discover/Steve-Slow-Train-Analysis-(2080s-and-2083s)?_g=(refreshInterval:(display:Off,pause:!f,section:0,value:0),time:(from:'2017-09-02T19:12:22-0600',mode:absolute,to:'2017-09-02T22:05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9" s="194" t="str">
        <f>IF(AA139&lt;VLOOKUP(AG139,Variables!$AC$3:$AD$8,2,FALSE),"Y","N")</f>
        <v>N</v>
      </c>
      <c r="X139" s="194">
        <f t="shared" si="116"/>
        <v>1</v>
      </c>
      <c r="Y139" s="194">
        <f t="shared" si="104"/>
        <v>4.4400000000000002E-2</v>
      </c>
      <c r="Z139" s="194">
        <f t="shared" si="105"/>
        <v>23.3276</v>
      </c>
      <c r="AA139" s="194">
        <f t="shared" si="110"/>
        <v>23.283200000000001</v>
      </c>
      <c r="AB139" s="54" t="e">
        <f>VLOOKUP(A139,Enforcements!$C$7:$K$11,8,0)</f>
        <v>#N/A</v>
      </c>
      <c r="AC139" s="51" t="e">
        <f>VLOOKUP(A139,Enforcements!$C$7:$E$11,3,0)</f>
        <v>#N/A</v>
      </c>
      <c r="AD139" s="203">
        <f t="shared" si="111"/>
        <v>227</v>
      </c>
      <c r="AE139" s="77" t="str">
        <f t="shared" si="81"/>
        <v>aws s3 cp s3://rtdc.mdm.uploadarchive.raw/RTDC4028/ "%USERPROFILE%\AppData\Local\Temp\OnboardLogs"\RTDC4028\2017-09-02 --exclude "*" --recursive --include "*20170902*" &amp; "%USERPROFILE%\Documents\GitHub\mrs-test-scripts\Headless Mode &amp; Sideloading\WalkAndUnGZ.bat" "%USERPROFILE%\AppData\Local\Temp\OnboardLogs"\RTDC4028\2017-09-02 &amp; aws s3 cp s3://rtdc.mdm.uploadarchive.raw/RTDC4028/ "%USERPROFILE%\AppData\Local\Temp\OnboardLogs"\RTDC4028\2017-09-03 --exclude "*" --recursive --include "*20170903*" &amp; "%USERPROFILE%\Documents\GitHub\mrs-test-scripts\Headless Mode &amp; Sideloading\WalkAndUnGZ.bat" "%USERPROFILE%\AppData\Local\Temp\OnboardLogs"\RTDC4028\2017-09-03</v>
      </c>
      <c r="AF139" s="74" t="str">
        <f t="shared" si="82"/>
        <v>"C:\Program Files (x86)\AstroGrep\AstroGrep.exe" /e /r /s /spath="%USERPROFILE%\AppData\Local\Temp\OnboardLogs" /stypes="app*4028*20170903*" /stext=" 03:.+((SYSTEM_STATE.+slice.+state.+changed )|(ment ac)|(multiple cpu faults)|(system.+state.+changed )|(\[timeout)|(PRM\|1\|D)|(kpr)|(kdp)|(train st.+moving)|(\|lc)|(penalty))"</v>
      </c>
      <c r="AG139" s="206" t="str">
        <f t="shared" si="112"/>
        <v>EC</v>
      </c>
      <c r="AH139" s="78" t="str">
        <f t="shared" si="91"/>
        <v>"%USERPROFILE%\Documents\GitHub\eaglep3\Utilities\RefineRTDCRunTimes.py" --tripid 227-02 --locoid 4028 --swversion DE.1.0.9.0 --startMP 204:444 --initTime 2017-09-02T20:12:22 --startdatetime 2017-09-02T20:30:24 --delay 53 --endMP 204:233276 --enddatetime 2017-09-02T21:05:15 --enforcementcount 0 &gt;&gt;C:\Users\stu\Documents\GitHub\eaglep3-reporting\EC\2017-09-02-refined-times.txt</v>
      </c>
      <c r="AI139" s="96" t="str">
        <f t="shared" si="92"/>
        <v>echo {"issue":{"subject":"","project_id":79,"tracker_id":40,"status_id":1,"priority_id":2,"assigned_to_id":338,"start_date":"2017-09-02","description":"","custom_fields":[{"id":1,"name":"Subdivision","value":"EC"},{"id":4,"name":"Milepost","value":"23.3276"},{"id":17,"name":"Train ID","value":"227-02"},{"id":16,"name":"Locomotive ID","value":"4028"},{"id":130,"name":"Impact","value":""},{"id":150,"name":"Time of Event (Mountain Time)","value":"21:05:15"},{"id":151,"name":"Denver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93"/>
        <v>start /low /b %USERPROFILE%\Documents\GitHub\eaglep3\Utilities\DownloadLogsFromS3.py --loco 4028 --day 2017-09-02</v>
      </c>
      <c r="AN139" s="151" t="str">
        <f t="shared" si="94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03:05:15"},{"id":29,"name":"Sharepoint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593</v>
      </c>
      <c r="B140" s="7">
        <v>4027</v>
      </c>
      <c r="C140" s="21" t="s">
        <v>197</v>
      </c>
      <c r="D140" s="21" t="s">
        <v>537</v>
      </c>
      <c r="E140" s="13">
        <v>42980.881064814814</v>
      </c>
      <c r="F140" s="13">
        <v>42980.893923611111</v>
      </c>
      <c r="G140" s="7">
        <v>51</v>
      </c>
      <c r="H140" s="21" t="s">
        <v>372</v>
      </c>
      <c r="I140" s="13">
        <v>42980.921585648146</v>
      </c>
      <c r="J140" s="7">
        <v>0</v>
      </c>
      <c r="K140" s="89" t="str">
        <f t="shared" si="107"/>
        <v>4027/4028</v>
      </c>
      <c r="L140" s="214" t="str">
        <f>VLOOKUP(A140,'Trips&amp;Operators'!$C$1:$G$99911,5,FALSE)</f>
        <v>PERKINS DARREN</v>
      </c>
      <c r="M140" s="6">
        <f t="shared" si="108"/>
        <v>2.7662037035042886E-2</v>
      </c>
      <c r="N140" s="7">
        <f t="shared" si="113"/>
        <v>39.833333330461755</v>
      </c>
      <c r="O140" s="7"/>
      <c r="P140" s="7"/>
      <c r="Q140" s="22"/>
      <c r="R140" s="167"/>
      <c r="S140" s="210">
        <f t="shared" si="114"/>
        <v>1</v>
      </c>
      <c r="T140" s="192" t="str">
        <f t="shared" si="109"/>
        <v>Southbound</v>
      </c>
      <c r="U140" s="192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3" t="str">
        <f t="shared" si="80"/>
        <v>https://d0f6bd738d7f1b3e5a7ca70fe4ff75f0.us-east-1.aws.found.io/app/kibana#/discover/Steve-Slow-Train-Analysis-(2080s-and-2083s)?_g=(refreshInterval:(display:Off,pause:!f,section:0,value:0),time:(from:'2017-09-02T20:08:44-0600',mode:absolute,to:'2017-09-02T23:07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0" s="194" t="str">
        <f>IF(AA140&lt;VLOOKUP(AG140,Variables!$AC$3:$AD$8,2,FALSE),"Y","N")</f>
        <v>N</v>
      </c>
      <c r="X140" s="194">
        <f t="shared" si="116"/>
        <v>1</v>
      </c>
      <c r="Y140" s="194">
        <f t="shared" si="104"/>
        <v>23.297499999999999</v>
      </c>
      <c r="Z140" s="194">
        <f t="shared" si="105"/>
        <v>1.38E-2</v>
      </c>
      <c r="AA140" s="194">
        <f t="shared" si="110"/>
        <v>23.2837</v>
      </c>
      <c r="AB140" s="54" t="e">
        <f>VLOOKUP(A140,Enforcements!$C$7:$K$11,8,0)</f>
        <v>#N/A</v>
      </c>
      <c r="AC140" s="51" t="e">
        <f>VLOOKUP(A140,Enforcements!$C$7:$E$11,3,0)</f>
        <v>#N/A</v>
      </c>
      <c r="AD140" s="203">
        <f t="shared" si="111"/>
        <v>228</v>
      </c>
      <c r="AE140" s="77" t="str">
        <f t="shared" si="81"/>
        <v>aws s3 cp s3://rtdc.mdm.uploadarchive.raw/RTDC4027/ "%USERPROFILE%\AppData\Local\Temp\OnboardLogs"\RTDC4027\2017-09-02 --exclude "*" --recursive --include "*20170902*" &amp; "%USERPROFILE%\Documents\GitHub\mrs-test-scripts\Headless Mode &amp; Sideloading\WalkAndUnGZ.bat" "%USERPROFILE%\AppData\Local\Temp\OnboardLogs"\RTDC4027\2017-09-02 &amp; aws s3 cp s3://rtdc.mdm.uploadarchive.raw/RTDC4027/ "%USERPROFILE%\AppData\Local\Temp\OnboardLogs"\RTDC4027\2017-09-03 --exclude "*" --recursive --include "*20170903*" &amp; "%USERPROFILE%\Documents\GitHub\mrs-test-scripts\Headless Mode &amp; Sideloading\WalkAndUnGZ.bat" "%USERPROFILE%\AppData\Local\Temp\OnboardLogs"\RTDC4027\2017-09-03</v>
      </c>
      <c r="AF140" s="74" t="str">
        <f t="shared" si="82"/>
        <v>"C:\Program Files (x86)\AstroGrep\AstroGrep.exe" /e /r /s /spath="%USERPROFILE%\AppData\Local\Temp\OnboardLogs" /stypes="app*4027*20170903*" /stext=" 04:.+((SYSTEM_STATE.+slice.+state.+changed )|(ment ac)|(multiple cpu faults)|(system.+state.+changed )|(\[timeout)|(PRM\|1\|D)|(kpr)|(kdp)|(train st.+moving)|(\|lc)|(penalty))"</v>
      </c>
      <c r="AG140" s="206" t="str">
        <f t="shared" si="112"/>
        <v>EC</v>
      </c>
      <c r="AH140" s="78" t="str">
        <f t="shared" si="91"/>
        <v>"%USERPROFILE%\Documents\GitHub\eaglep3\Utilities\RefineRTDCRunTimes.py" --tripid 228-02 --locoid 4027 --swversion DE.1.0.9.0 --startMP 204:232975 --initTime 2017-09-02T21:08:44 --startdatetime 2017-09-02T21:27:15 --delay 51 --endMP 204:138 --enddatetime 2017-09-02T22:07:05 --enforcementcount 0 &gt;&gt;C:\Users\stu\Documents\GitHub\eaglep3-reporting\EC\2017-09-02-refined-times.txt</v>
      </c>
      <c r="AI140" s="96" t="str">
        <f t="shared" si="92"/>
        <v>echo {"issue":{"subject":"","project_id":79,"tracker_id":40,"status_id":1,"priority_id":2,"assigned_to_id":338,"start_date":"2017-09-02","description":"","custom_fields":[{"id":1,"name":"Subdivision","value":"EC"},{"id":4,"name":"Milepost","value":"0.0138"},{"id":17,"name":"Train ID","value":"228-02"},{"id":16,"name":"Locomotive ID","value":"4027"},{"id":130,"name":"Impact","value":""},{"id":150,"name":"Time of Event (Mountain Time)","value":"22:07:05"},{"id":151,"name":"Denver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93"/>
        <v>start /low /b %USERPROFILE%\Documents\GitHub\eaglep3\Utilities\DownloadLogsFromS3.py --loco 4027 --day 2017-09-02</v>
      </c>
      <c r="AN140" s="151" t="str">
        <f t="shared" si="94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04:07:05"},{"id":29,"name":"Sharepoint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752</v>
      </c>
      <c r="B141" s="7">
        <v>4010</v>
      </c>
      <c r="C141" s="21" t="s">
        <v>197</v>
      </c>
      <c r="D141" s="21" t="s">
        <v>438</v>
      </c>
      <c r="E141" s="13">
        <v>42980.865972222222</v>
      </c>
      <c r="F141" s="13">
        <v>42980.875462962962</v>
      </c>
      <c r="G141" s="7">
        <v>94</v>
      </c>
      <c r="H141" s="21" t="s">
        <v>437</v>
      </c>
      <c r="I141" s="13">
        <v>42980.902233796296</v>
      </c>
      <c r="J141" s="7">
        <v>0</v>
      </c>
      <c r="K141" s="89" t="str">
        <f t="shared" si="107"/>
        <v>4009/4010</v>
      </c>
      <c r="L141" s="214" t="str">
        <f>VLOOKUP(A141,'Trips&amp;Operators'!$C$1:$G$99911,5,FALSE)</f>
        <v>NICHOLSON WESLEY</v>
      </c>
      <c r="M141" s="6">
        <f t="shared" si="108"/>
        <v>2.6770833334012423E-2</v>
      </c>
      <c r="N141" s="7">
        <f t="shared" si="113"/>
        <v>38.550000000977889</v>
      </c>
      <c r="O141" s="7"/>
      <c r="P141" s="7"/>
      <c r="Q141" s="22"/>
      <c r="R141" s="167"/>
      <c r="S141" s="210">
        <f t="shared" si="114"/>
        <v>1</v>
      </c>
      <c r="T141" s="192" t="str">
        <f t="shared" si="109"/>
        <v>NorthBound</v>
      </c>
      <c r="U141" s="192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3" t="str">
        <f t="shared" ref="V141:V204" si="117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-09-02T19:47:00-0600',mode:absolute,to:'2017-09-02T22:39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41" s="194" t="str">
        <f>IF(AA141&lt;VLOOKUP(AG141,Variables!$AC$3:$AD$8,2,FALSE),"Y","N")</f>
        <v>N</v>
      </c>
      <c r="X141" s="194">
        <f t="shared" si="116"/>
        <v>1</v>
      </c>
      <c r="Y141" s="194">
        <f t="shared" si="104"/>
        <v>4.4200000000000003E-2</v>
      </c>
      <c r="Z141" s="194">
        <f t="shared" si="105"/>
        <v>23.330400000000001</v>
      </c>
      <c r="AA141" s="194">
        <f t="shared" si="110"/>
        <v>23.286200000000001</v>
      </c>
      <c r="AB141" s="54" t="e">
        <f>VLOOKUP(A141,Enforcements!$C$7:$K$11,8,0)</f>
        <v>#N/A</v>
      </c>
      <c r="AC141" s="51" t="e">
        <f>VLOOKUP(A141,Enforcements!$C$7:$E$11,3,0)</f>
        <v>#N/A</v>
      </c>
      <c r="AD141" s="203">
        <f t="shared" si="111"/>
        <v>229</v>
      </c>
      <c r="AE141" s="77" t="str">
        <f t="shared" ref="AE141:AE204" si="118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s3://rtdc.mdm.uploadarchive.raw/RTDC4010/ "%USERPROFILE%\AppData\Local\Temp\OnboardLogs"\RTDC4010\2017-09-02 --exclude "*" --recursive --include "*20170902*" &amp; "%USERPROFILE%\Documents\GitHub\mrs-test-scripts\Headless Mode &amp; Sideloading\WalkAndUnGZ.bat" "%USERPROFILE%\AppData\Local\Temp\OnboardLogs"\RTDC4010\2017-09-02 &amp; aws s3 cp s3://rtdc.mdm.uploadarchive.raw/RTDC4010/ "%USERPROFILE%\AppData\Local\Temp\OnboardLogs"\RTDC4010\2017-09-03 --exclude "*" --recursive --include "*20170903*" &amp; "%USERPROFILE%\Documents\GitHub\mrs-test-scripts\Headless Mode &amp; Sideloading\WalkAndUnGZ.bat" "%USERPROFILE%\AppData\Local\Temp\OnboardLogs"\RTDC4010\2017-09-03</v>
      </c>
      <c r="AF141" s="74" t="str">
        <f t="shared" ref="AF141:AF204" si="119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/stypes="app*4010*20170903*" /stext=" 03:.+((SYSTEM_STATE.+slice.+state.+changed )|(ment ac)|(multiple cpu faults)|(system.+state.+changed )|(\[timeout)|(PRM\|1\|D)|(kpr)|(kdp)|(train st.+moving)|(\|lc)|(penalty))"</v>
      </c>
      <c r="AG141" s="206" t="str">
        <f t="shared" si="112"/>
        <v>EC</v>
      </c>
      <c r="AH141" s="78" t="str">
        <f t="shared" si="91"/>
        <v>"%USERPROFILE%\Documents\GitHub\eaglep3\Utilities\RefineRTDCRunTimes.py" --tripid 229-02 --locoid 4010 --swversion DE.1.0.9.0 --startMP 204:442 --initTime 2017-09-02T20:47:00 --startdatetime 2017-09-02T21:00:40 --delay 94 --endMP 204:233304 --enddatetime 2017-09-02T21:39:13 --enforcementcount 0 &gt;&gt;C:\Users\stu\Documents\GitHub\eaglep3-reporting\EC\2017-09-02-refined-times.txt</v>
      </c>
      <c r="AI141" s="96" t="str">
        <f t="shared" si="92"/>
        <v>echo {"issue":{"subject":"","project_id":79,"tracker_id":40,"status_id":1,"priority_id":2,"assigned_to_id":338,"start_date":"2017-09-02","description":"","custom_fields":[{"id":1,"name":"Subdivision","value":"EC"},{"id":4,"name":"Milepost","value":"23.3304"},{"id":17,"name":"Train ID","value":"229-02"},{"id":16,"name":"Locomotive ID","value":"4010"},{"id":130,"name":"Impact","value":""},{"id":150,"name":"Time of Event (Mountain Time)","value":"21:39:13"},{"id":151,"name":"Denver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si="93"/>
        <v>start /low /b %USERPROFILE%\Documents\GitHub\eaglep3\Utilities\DownloadLogsFromS3.py --loco 4010 --day 2017-09-02</v>
      </c>
      <c r="AN141" s="151" t="str">
        <f t="shared" si="94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03:39:13"},{"id":29,"name":"Sharepoint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756</v>
      </c>
      <c r="B142" s="7">
        <v>4009</v>
      </c>
      <c r="C142" s="21" t="s">
        <v>197</v>
      </c>
      <c r="D142" s="21" t="s">
        <v>801</v>
      </c>
      <c r="E142" s="13">
        <v>42980.905659722222</v>
      </c>
      <c r="F142" s="13">
        <v>42980.914953703701</v>
      </c>
      <c r="G142" s="7">
        <v>226</v>
      </c>
      <c r="H142" s="21" t="s">
        <v>430</v>
      </c>
      <c r="I142" s="13">
        <v>42980.942812499998</v>
      </c>
      <c r="J142" s="7">
        <v>0</v>
      </c>
      <c r="K142" s="89" t="str">
        <f t="shared" si="107"/>
        <v>4009/4010</v>
      </c>
      <c r="L142" s="214" t="str">
        <f>VLOOKUP(A142,'Trips&amp;Operators'!$C$1:$G$99911,5,FALSE)</f>
        <v>NICHOLSON WESLEY</v>
      </c>
      <c r="M142" s="6">
        <f t="shared" si="108"/>
        <v>2.7858796296641231E-2</v>
      </c>
      <c r="N142" s="7">
        <f t="shared" si="113"/>
        <v>40.116666667163372</v>
      </c>
      <c r="O142" s="7"/>
      <c r="P142" s="7"/>
      <c r="Q142" s="22"/>
      <c r="R142" s="167"/>
      <c r="S142" s="210">
        <f t="shared" si="114"/>
        <v>1</v>
      </c>
      <c r="T142" s="192" t="str">
        <f t="shared" si="109"/>
        <v>Southbound</v>
      </c>
      <c r="U142" s="192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3" t="str">
        <f t="shared" si="117"/>
        <v>https://d0f6bd738d7f1b3e5a7ca70fe4ff75f0.us-east-1.aws.found.io/app/kibana#/discover/Steve-Slow-Train-Analysis-(2080s-and-2083s)?_g=(refreshInterval:(display:Off,pause:!f,section:0,value:0),time:(from:'2017-09-02T20:44:09-0600',mode:absolute,to:'2017-09-02T23:37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42" s="194" t="str">
        <f>IF(AA142&lt;VLOOKUP(AG142,Variables!$AC$3:$AD$8,2,FALSE),"Y","N")</f>
        <v>N</v>
      </c>
      <c r="X142" s="194">
        <f t="shared" si="116"/>
        <v>1</v>
      </c>
      <c r="Y142" s="194">
        <f t="shared" si="104"/>
        <v>23.298500000000001</v>
      </c>
      <c r="Z142" s="194">
        <f t="shared" si="105"/>
        <v>1.67E-2</v>
      </c>
      <c r="AA142" s="194">
        <f t="shared" si="110"/>
        <v>23.2818</v>
      </c>
      <c r="AB142" s="54" t="e">
        <f>VLOOKUP(A142,Enforcements!$C$7:$K$11,8,0)</f>
        <v>#N/A</v>
      </c>
      <c r="AC142" s="51" t="e">
        <f>VLOOKUP(A142,Enforcements!$C$7:$E$11,3,0)</f>
        <v>#N/A</v>
      </c>
      <c r="AD142" s="203">
        <f t="shared" si="111"/>
        <v>230</v>
      </c>
      <c r="AE142" s="77" t="str">
        <f t="shared" si="118"/>
        <v>aws s3 cp s3://rtdc.mdm.uploadarchive.raw/RTDC4009/ "%USERPROFILE%\AppData\Local\Temp\OnboardLogs"\RTDC4009\2017-09-02 --exclude "*" --recursive --include "*20170902*" &amp; "%USERPROFILE%\Documents\GitHub\mrs-test-scripts\Headless Mode &amp; Sideloading\WalkAndUnGZ.bat" "%USERPROFILE%\AppData\Local\Temp\OnboardLogs"\RTDC4009\2017-09-02 &amp; aws s3 cp s3://rtdc.mdm.uploadarchive.raw/RTDC4009/ "%USERPROFILE%\AppData\Local\Temp\OnboardLogs"\RTDC4009\2017-09-03 --exclude "*" --recursive --include "*20170903*" &amp; "%USERPROFILE%\Documents\GitHub\mrs-test-scripts\Headless Mode &amp; Sideloading\WalkAndUnGZ.bat" "%USERPROFILE%\AppData\Local\Temp\OnboardLogs"\RTDC4009\2017-09-03</v>
      </c>
      <c r="AF142" s="74" t="str">
        <f t="shared" si="119"/>
        <v>"C:\Program Files (x86)\AstroGrep\AstroGrep.exe" /e /r /s /spath="%USERPROFILE%\AppData\Local\Temp\OnboardLogs" /stypes="app*4009*20170903*" /stext=" 04:.+((SYSTEM_STATE.+slice.+state.+changed )|(ment ac)|(multiple cpu faults)|(system.+state.+changed )|(\[timeout)|(PRM\|1\|D)|(kpr)|(kdp)|(train st.+moving)|(\|lc)|(penalty))"</v>
      </c>
      <c r="AG142" s="206" t="str">
        <f t="shared" si="112"/>
        <v>EC</v>
      </c>
      <c r="AH142" s="78" t="str">
        <f t="shared" si="91"/>
        <v>"%USERPROFILE%\Documents\GitHub\eaglep3\Utilities\RefineRTDCRunTimes.py" --tripid 230-02 --locoid 4009 --swversion DE.1.0.9.0 --startMP 204:232985 --initTime 2017-09-02T21:44:09 --startdatetime 2017-09-02T21:57:32 --delay 226 --endMP 204:167 --enddatetime 2017-09-02T22:37:39 --enforcementcount 0 &gt;&gt;C:\Users\stu\Documents\GitHub\eaglep3-reporting\EC\2017-09-02-refined-times.txt</v>
      </c>
      <c r="AI142" s="96" t="str">
        <f t="shared" si="92"/>
        <v>echo {"issue":{"subject":"","project_id":79,"tracker_id":40,"status_id":1,"priority_id":2,"assigned_to_id":338,"start_date":"2017-09-02","description":"","custom_fields":[{"id":1,"name":"Subdivision","value":"EC"},{"id":4,"name":"Milepost","value":"0.0167"},{"id":17,"name":"Train ID","value":"230-02"},{"id":16,"name":"Locomotive ID","value":"4009"},{"id":130,"name":"Impact","value":""},{"id":150,"name":"Time of Event (Mountain Time)","value":"22:37:39"},{"id":151,"name":"Denver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si="93"/>
        <v>start /low /b %USERPROFILE%\Documents\GitHub\eaglep3\Utilities\DownloadLogsFromS3.py --loco 4009 --day 2017-09-02</v>
      </c>
      <c r="AN142" s="151" t="str">
        <f t="shared" si="94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04:37:39"},{"id":29,"name":"Sharepoint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754</v>
      </c>
      <c r="B143" s="7">
        <v>4052</v>
      </c>
      <c r="C143" s="21" t="s">
        <v>197</v>
      </c>
      <c r="D143" s="21" t="s">
        <v>365</v>
      </c>
      <c r="E143" s="13">
        <v>42980.880069444444</v>
      </c>
      <c r="F143" s="13">
        <v>42980.895972222221</v>
      </c>
      <c r="G143" s="7">
        <v>51</v>
      </c>
      <c r="H143" s="21" t="s">
        <v>942</v>
      </c>
      <c r="I143" s="13">
        <v>42980.920578703706</v>
      </c>
      <c r="J143" s="7">
        <v>0</v>
      </c>
      <c r="K143" s="89" t="str">
        <f t="shared" si="107"/>
        <v>4051/4052</v>
      </c>
      <c r="L143" s="214" t="str">
        <f>VLOOKUP(A143,'Trips&amp;Operators'!$C$1:$G$99911,5,FALSE)</f>
        <v>FORTUNATO FRANK</v>
      </c>
      <c r="M143" s="6">
        <f t="shared" si="108"/>
        <v>2.4606481485534459E-2</v>
      </c>
      <c r="N143" s="7">
        <f t="shared" si="113"/>
        <v>35.433333339169621</v>
      </c>
      <c r="O143" s="7"/>
      <c r="P143" s="7"/>
      <c r="Q143" s="22"/>
      <c r="R143" s="167"/>
      <c r="S143" s="210">
        <f t="shared" si="114"/>
        <v>1</v>
      </c>
      <c r="T143" s="192" t="str">
        <f t="shared" si="109"/>
        <v>NorthBound</v>
      </c>
      <c r="U143" s="192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3" t="str">
        <f t="shared" si="117"/>
        <v>https://d0f6bd738d7f1b3e5a7ca70fe4ff75f0.us-east-1.aws.found.io/app/kibana#/discover/Steve-Slow-Train-Analysis-(2080s-and-2083s)?_g=(refreshInterval:(display:Off,pause:!f,section:0,value:0),time:(from:'2017-09-02T20:07:18-0600',mode:absolute,to:'2017-09-02T23:05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43" s="194" t="str">
        <f>IF(AA143&lt;VLOOKUP(AG143,Variables!$AC$3:$AD$8,2,FALSE),"Y","N")</f>
        <v>N</v>
      </c>
      <c r="X143" s="194">
        <f t="shared" si="116"/>
        <v>1</v>
      </c>
      <c r="Y143" s="194">
        <f t="shared" ref="Y143:Y174" si="120">RIGHT(D143,LEN(D143)-4)/10000</f>
        <v>4.4900000000000002E-2</v>
      </c>
      <c r="Z143" s="194">
        <f t="shared" ref="Z143:Z174" si="121">RIGHT(H143,LEN(H143)-4)/10000</f>
        <v>23.332799999999999</v>
      </c>
      <c r="AA143" s="194">
        <f t="shared" si="110"/>
        <v>23.2879</v>
      </c>
      <c r="AB143" s="54" t="e">
        <f>VLOOKUP(A143,Enforcements!$C$7:$K$11,8,0)</f>
        <v>#N/A</v>
      </c>
      <c r="AC143" s="51" t="e">
        <f>VLOOKUP(A143,Enforcements!$C$7:$E$11,3,0)</f>
        <v>#N/A</v>
      </c>
      <c r="AD143" s="203">
        <f t="shared" si="111"/>
        <v>231</v>
      </c>
      <c r="AE143" s="77" t="str">
        <f t="shared" si="118"/>
        <v>aws s3 cp s3://rtdc.mdm.uploadarchive.raw/RTDC4052/ "%USERPROFILE%\AppData\Local\Temp\OnboardLogs"\RTDC4052\2017-09-02 --exclude "*" --recursive --include "*20170902*" &amp; "%USERPROFILE%\Documents\GitHub\mrs-test-scripts\Headless Mode &amp; Sideloading\WalkAndUnGZ.bat" "%USERPROFILE%\AppData\Local\Temp\OnboardLogs"\RTDC4052\2017-09-02 &amp; aws s3 cp s3://rtdc.mdm.uploadarchive.raw/RTDC4052/ "%USERPROFILE%\AppData\Local\Temp\OnboardLogs"\RTDC4052\2017-09-03 --exclude "*" --recursive --include "*20170903*" &amp; "%USERPROFILE%\Documents\GitHub\mrs-test-scripts\Headless Mode &amp; Sideloading\WalkAndUnGZ.bat" "%USERPROFILE%\AppData\Local\Temp\OnboardLogs"\RTDC4052\2017-09-03</v>
      </c>
      <c r="AF143" s="74" t="str">
        <f t="shared" si="119"/>
        <v>"C:\Program Files (x86)\AstroGrep\AstroGrep.exe" /e /r /s /spath="%USERPROFILE%\AppData\Local\Temp\OnboardLogs" /stypes="app*4052*20170903*" /stext=" 04:.+((SYSTEM_STATE.+slice.+state.+changed )|(ment ac)|(multiple cpu faults)|(system.+state.+changed )|(\[timeout)|(PRM\|1\|D)|(kpr)|(kdp)|(train st.+moving)|(\|lc)|(penalty))"</v>
      </c>
      <c r="AG143" s="206" t="str">
        <f t="shared" si="112"/>
        <v>EC</v>
      </c>
      <c r="AH143" s="78" t="str">
        <f t="shared" si="91"/>
        <v>"%USERPROFILE%\Documents\GitHub\eaglep3\Utilities\RefineRTDCRunTimes.py" --tripid 231-02 --locoid 4052 --swversion DE.1.0.9.0 --startMP 204:449 --initTime 2017-09-02T21:07:18 --startdatetime 2017-09-02T21:30:12 --delay 51 --endMP 204:233328 --enddatetime 2017-09-02T22:05:38 --enforcementcount 0 &gt;&gt;C:\Users\stu\Documents\GitHub\eaglep3-reporting\EC\2017-09-02-refined-times.txt</v>
      </c>
      <c r="AI143" s="96" t="str">
        <f t="shared" si="92"/>
        <v>echo {"issue":{"subject":"","project_id":79,"tracker_id":40,"status_id":1,"priority_id":2,"assigned_to_id":338,"start_date":"2017-09-02","description":"","custom_fields":[{"id":1,"name":"Subdivision","value":"EC"},{"id":4,"name":"Milepost","value":"23.3328"},{"id":17,"name":"Train ID","value":"231-02"},{"id":16,"name":"Locomotive ID","value":"4052"},{"id":130,"name":"Impact","value":""},{"id":150,"name":"Time of Event (Mountain Time)","value":"22:05:38"},{"id":151,"name":"Denver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93"/>
        <v>start /low /b %USERPROFILE%\Documents\GitHub\eaglep3\Utilities\DownloadLogsFromS3.py --loco 4052 --day 2017-09-02</v>
      </c>
      <c r="AN143" s="151" t="str">
        <f t="shared" si="94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04:05:38"},{"id":29,"name":"Sharepoint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758</v>
      </c>
      <c r="B144" s="7">
        <v>4051</v>
      </c>
      <c r="C144" s="21" t="s">
        <v>197</v>
      </c>
      <c r="D144" s="21" t="s">
        <v>943</v>
      </c>
      <c r="E144" s="13">
        <v>42980.922037037039</v>
      </c>
      <c r="F144" s="13">
        <v>42980.935578703706</v>
      </c>
      <c r="G144" s="7">
        <v>51</v>
      </c>
      <c r="H144" s="21" t="s">
        <v>345</v>
      </c>
      <c r="I144" s="13">
        <v>42980.961747685185</v>
      </c>
      <c r="J144" s="7">
        <v>0</v>
      </c>
      <c r="K144" s="89" t="str">
        <f t="shared" si="107"/>
        <v>4051/4052</v>
      </c>
      <c r="L144" s="214" t="str">
        <f>VLOOKUP(A144,'Trips&amp;Operators'!$C$1:$G$99911,5,FALSE)</f>
        <v>FORTUNATO FRANK</v>
      </c>
      <c r="M144" s="6">
        <f t="shared" si="108"/>
        <v>2.6168981479713693E-2</v>
      </c>
      <c r="N144" s="7">
        <f t="shared" si="113"/>
        <v>37.683333330787718</v>
      </c>
      <c r="O144" s="7"/>
      <c r="P144" s="7"/>
      <c r="Q144" s="22"/>
      <c r="R144" s="167"/>
      <c r="S144" s="210">
        <f t="shared" si="114"/>
        <v>1</v>
      </c>
      <c r="T144" s="192" t="str">
        <f t="shared" si="109"/>
        <v>Southbound</v>
      </c>
      <c r="U144" s="192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3" t="str">
        <f t="shared" si="117"/>
        <v>https://d0f6bd738d7f1b3e5a7ca70fe4ff75f0.us-east-1.aws.found.io/app/kibana#/discover/Steve-Slow-Train-Analysis-(2080s-and-2083s)?_g=(refreshInterval:(display:Off,pause:!f,section:0,value:0),time:(from:'2017-09-02T21:07:44-0600',mode:absolute,to:'2017-09-03T00:04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44" s="194" t="str">
        <f>IF(AA144&lt;VLOOKUP(AG144,Variables!$AC$3:$AD$8,2,FALSE),"Y","N")</f>
        <v>N</v>
      </c>
      <c r="X144" s="194">
        <f t="shared" si="116"/>
        <v>1</v>
      </c>
      <c r="Y144" s="194">
        <f t="shared" si="120"/>
        <v>23.300899999999999</v>
      </c>
      <c r="Z144" s="194">
        <f t="shared" si="121"/>
        <v>1.47E-2</v>
      </c>
      <c r="AA144" s="194">
        <f t="shared" si="110"/>
        <v>23.286199999999997</v>
      </c>
      <c r="AB144" s="54" t="e">
        <f>VLOOKUP(A144,Enforcements!$C$7:$K$11,8,0)</f>
        <v>#N/A</v>
      </c>
      <c r="AC144" s="51" t="e">
        <f>VLOOKUP(A144,Enforcements!$C$7:$E$11,3,0)</f>
        <v>#N/A</v>
      </c>
      <c r="AD144" s="203">
        <f t="shared" si="111"/>
        <v>232</v>
      </c>
      <c r="AE144" s="77" t="str">
        <f t="shared" si="118"/>
        <v>aws s3 cp s3://rtdc.mdm.uploadarchive.raw/RTDC4051/ "%USERPROFILE%\AppData\Local\Temp\OnboardLogs"\RTDC4051\2017-09-02 --exclude "*" --recursive --include "*20170902*" &amp; "%USERPROFILE%\Documents\GitHub\mrs-test-scripts\Headless Mode &amp; Sideloading\WalkAndUnGZ.bat" "%USERPROFILE%\AppData\Local\Temp\OnboardLogs"\RTDC4051\2017-09-02 &amp; aws s3 cp s3://rtdc.mdm.uploadarchive.raw/RTDC4051/ "%USERPROFILE%\AppData\Local\Temp\OnboardLogs"\RTDC4051\2017-09-03 --exclude "*" --recursive --include "*20170903*" &amp; "%USERPROFILE%\Documents\GitHub\mrs-test-scripts\Headless Mode &amp; Sideloading\WalkAndUnGZ.bat" "%USERPROFILE%\AppData\Local\Temp\OnboardLogs"\RTDC4051\2017-09-03</v>
      </c>
      <c r="AF144" s="74" t="str">
        <f t="shared" si="119"/>
        <v>"C:\Program Files (x86)\AstroGrep\AstroGrep.exe" /e /r /s /spath="%USERPROFILE%\AppData\Local\Temp\OnboardLogs" /stypes="app*4051*20170903*" /stext=" 05:.+((SYSTEM_STATE.+slice.+state.+changed )|(ment ac)|(multiple cpu faults)|(system.+state.+changed )|(\[timeout)|(PRM\|1\|D)|(kpr)|(kdp)|(train st.+moving)|(\|lc)|(penalty))"</v>
      </c>
      <c r="AG144" s="206" t="str">
        <f t="shared" si="112"/>
        <v>EC</v>
      </c>
      <c r="AH144" s="78" t="str">
        <f t="shared" si="91"/>
        <v>"%USERPROFILE%\Documents\GitHub\eaglep3\Utilities\RefineRTDCRunTimes.py" --tripid 232-02 --locoid 4051 --swversion DE.1.0.9.0 --startMP 204:233009 --initTime 2017-09-02T22:07:44 --startdatetime 2017-09-02T22:27:14 --delay 51 --endMP 204:147 --enddatetime 2017-09-02T23:04:55 --enforcementcount 0 &gt;&gt;C:\Users\stu\Documents\GitHub\eaglep3-reporting\EC\2017-09-02-refined-times.txt</v>
      </c>
      <c r="AI144" s="96" t="str">
        <f t="shared" si="92"/>
        <v>echo {"issue":{"subject":"","project_id":79,"tracker_id":40,"status_id":1,"priority_id":2,"assigned_to_id":338,"start_date":"2017-09-02","description":"","custom_fields":[{"id":1,"name":"Subdivision","value":"EC"},{"id":4,"name":"Milepost","value":"0.0147"},{"id":17,"name":"Train ID","value":"232-02"},{"id":16,"name":"Locomotive ID","value":"4051"},{"id":130,"name":"Impact","value":""},{"id":150,"name":"Time of Event (Mountain Time)","value":"23:04:55"},{"id":151,"name":"Denver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93"/>
        <v>start /low /b %USERPROFILE%\Documents\GitHub\eaglep3\Utilities\DownloadLogsFromS3.py --loco 4051 --day 2017-09-02</v>
      </c>
      <c r="AN144" s="151" t="str">
        <f t="shared" si="94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05:04:55"},{"id":29,"name":"Sharepoint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757</v>
      </c>
      <c r="B145" s="7">
        <v>4058</v>
      </c>
      <c r="C145" s="21" t="s">
        <v>197</v>
      </c>
      <c r="D145" s="21" t="s">
        <v>354</v>
      </c>
      <c r="E145" s="13">
        <v>42980.910555555558</v>
      </c>
      <c r="F145" s="13">
        <v>42980.917129629626</v>
      </c>
      <c r="G145" s="7">
        <v>79</v>
      </c>
      <c r="H145" s="21" t="s">
        <v>890</v>
      </c>
      <c r="I145" s="13">
        <v>42980.942233796297</v>
      </c>
      <c r="J145" s="7">
        <v>0</v>
      </c>
      <c r="K145" s="89" t="str">
        <f t="shared" si="107"/>
        <v>4057/4058</v>
      </c>
      <c r="L145" s="214" t="str">
        <f>VLOOKUP(A145,'Trips&amp;Operators'!$C$1:$G$99911,5,FALSE)</f>
        <v>ANDERS STEVEN</v>
      </c>
      <c r="M145" s="6">
        <f t="shared" si="108"/>
        <v>2.510416667064419E-2</v>
      </c>
      <c r="N145" s="7">
        <f t="shared" si="113"/>
        <v>36.150000005727634</v>
      </c>
      <c r="O145" s="7"/>
      <c r="P145" s="7"/>
      <c r="Q145" s="22"/>
      <c r="R145" s="167"/>
      <c r="S145" s="210">
        <f t="shared" si="114"/>
        <v>1</v>
      </c>
      <c r="T145" s="192" t="str">
        <f t="shared" si="109"/>
        <v>NorthBound</v>
      </c>
      <c r="U145" s="192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3" t="str">
        <f t="shared" si="117"/>
        <v>https://d0f6bd738d7f1b3e5a7ca70fe4ff75f0.us-east-1.aws.found.io/app/kibana#/discover/Steve-Slow-Train-Analysis-(2080s-and-2083s)?_g=(refreshInterval:(display:Off,pause:!f,section:0,value:0),time:(from:'2017-09-02T20:51:12-0600',mode:absolute,to:'2017-09-02T23:36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45" s="194" t="str">
        <f>IF(AA145&lt;VLOOKUP(AG145,Variables!$AC$3:$AD$8,2,FALSE),"Y","N")</f>
        <v>N</v>
      </c>
      <c r="X145" s="194">
        <f t="shared" si="116"/>
        <v>1</v>
      </c>
      <c r="Y145" s="194">
        <f t="shared" si="120"/>
        <v>4.5499999999999999E-2</v>
      </c>
      <c r="Z145" s="194">
        <f t="shared" si="121"/>
        <v>23.331800000000001</v>
      </c>
      <c r="AA145" s="194">
        <f t="shared" si="110"/>
        <v>23.286300000000001</v>
      </c>
      <c r="AB145" s="54" t="e">
        <f>VLOOKUP(A145,Enforcements!$C$7:$K$11,8,0)</f>
        <v>#N/A</v>
      </c>
      <c r="AC145" s="51" t="e">
        <f>VLOOKUP(A145,Enforcements!$C$7:$E$11,3,0)</f>
        <v>#N/A</v>
      </c>
      <c r="AD145" s="203">
        <f t="shared" si="111"/>
        <v>233</v>
      </c>
      <c r="AE145" s="77" t="str">
        <f t="shared" si="118"/>
        <v>aws s3 cp s3://rtdc.mdm.uploadarchive.raw/RTDC4058/ "%USERPROFILE%\AppData\Local\Temp\OnboardLogs"\RTDC4058\2017-09-02 --exclude "*" --recursive --include "*20170902*" &amp; "%USERPROFILE%\Documents\GitHub\mrs-test-scripts\Headless Mode &amp; Sideloading\WalkAndUnGZ.bat" "%USERPROFILE%\AppData\Local\Temp\OnboardLogs"\RTDC4058\2017-09-02 &amp; aws s3 cp s3://rtdc.mdm.uploadarchive.raw/RTDC4058/ "%USERPROFILE%\AppData\Local\Temp\OnboardLogs"\RTDC4058\2017-09-03 --exclude "*" --recursive --include "*20170903*" &amp; "%USERPROFILE%\Documents\GitHub\mrs-test-scripts\Headless Mode &amp; Sideloading\WalkAndUnGZ.bat" "%USERPROFILE%\AppData\Local\Temp\OnboardLogs"\RTDC4058\2017-09-03</v>
      </c>
      <c r="AF145" s="74" t="str">
        <f t="shared" si="119"/>
        <v>"C:\Program Files (x86)\AstroGrep\AstroGrep.exe" /e /r /s /spath="%USERPROFILE%\AppData\Local\Temp\OnboardLogs" /stypes="app*4058*20170903*" /stext=" 04:.+((SYSTEM_STATE.+slice.+state.+changed )|(ment ac)|(multiple cpu faults)|(system.+state.+changed )|(\[timeout)|(PRM\|1\|D)|(kpr)|(kdp)|(train st.+moving)|(\|lc)|(penalty))"</v>
      </c>
      <c r="AG145" s="206" t="str">
        <f t="shared" si="112"/>
        <v>EC</v>
      </c>
      <c r="AH145" s="78" t="str">
        <f t="shared" si="91"/>
        <v>"%USERPROFILE%\Documents\GitHub\eaglep3\Utilities\RefineRTDCRunTimes.py" --tripid 233-02 --locoid 4058 --swversion DE.1.0.9.0 --startMP 204:455 --initTime 2017-09-02T21:51:12 --startdatetime 2017-09-02T22:00:40 --delay 79 --endMP 204:233318 --enddatetime 2017-09-02T22:36:49 --enforcementcount 0 &gt;&gt;C:\Users\stu\Documents\GitHub\eaglep3-reporting\EC\2017-09-02-refined-times.txt</v>
      </c>
      <c r="AI145" s="96" t="str">
        <f t="shared" si="92"/>
        <v>echo {"issue":{"subject":"","project_id":79,"tracker_id":40,"status_id":1,"priority_id":2,"assigned_to_id":338,"start_date":"2017-09-02","description":"","custom_fields":[{"id":1,"name":"Subdivision","value":"EC"},{"id":4,"name":"Milepost","value":"23.3318"},{"id":17,"name":"Train ID","value":"233-02"},{"id":16,"name":"Locomotive ID","value":"4058"},{"id":130,"name":"Impact","value":""},{"id":150,"name":"Time of Event (Mountain Time)","value":"22:36:49"},{"id":151,"name":"Denver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93"/>
        <v>start /low /b %USERPROFILE%\Documents\GitHub\eaglep3\Utilities\DownloadLogsFromS3.py --loco 4058 --day 2017-09-02</v>
      </c>
      <c r="AN145" s="151" t="str">
        <f t="shared" si="94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04:36:49"},{"id":29,"name":"Sharepoint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762</v>
      </c>
      <c r="B146" s="7">
        <v>4057</v>
      </c>
      <c r="C146" s="21" t="s">
        <v>197</v>
      </c>
      <c r="D146" s="21" t="s">
        <v>388</v>
      </c>
      <c r="E146" s="13">
        <v>42980.952604166669</v>
      </c>
      <c r="F146" s="13">
        <v>42980.956759259258</v>
      </c>
      <c r="G146" s="7">
        <v>58</v>
      </c>
      <c r="H146" s="21" t="s">
        <v>344</v>
      </c>
      <c r="I146" s="13">
        <v>42980.984722222223</v>
      </c>
      <c r="J146" s="7">
        <v>0</v>
      </c>
      <c r="K146" s="89" t="str">
        <f t="shared" si="107"/>
        <v>4057/4058</v>
      </c>
      <c r="L146" s="214" t="str">
        <f>VLOOKUP(A146,'Trips&amp;Operators'!$C$1:$G$99911,5,FALSE)</f>
        <v>ANDERS STEVEN</v>
      </c>
      <c r="M146" s="6">
        <f t="shared" si="108"/>
        <v>2.7962962965830229E-2</v>
      </c>
      <c r="N146" s="7">
        <f t="shared" si="113"/>
        <v>40.26666667079553</v>
      </c>
      <c r="O146" s="7"/>
      <c r="P146" s="7"/>
      <c r="Q146" s="22"/>
      <c r="R146" s="167"/>
      <c r="S146" s="210">
        <f t="shared" si="114"/>
        <v>1</v>
      </c>
      <c r="T146" s="192" t="str">
        <f t="shared" si="109"/>
        <v>Southbound</v>
      </c>
      <c r="U146" s="192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3" t="str">
        <f t="shared" si="117"/>
        <v>https://d0f6bd738d7f1b3e5a7ca70fe4ff75f0.us-east-1.aws.found.io/app/kibana#/discover/Steve-Slow-Train-Analysis-(2080s-and-2083s)?_g=(refreshInterval:(display:Off,pause:!f,section:0,value:0),time:(from:'2017-09-02T21:51:45-0600',mode:absolute,to:'2017-09-03T00:38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46" s="194" t="str">
        <f>IF(AA146&lt;VLOOKUP(AG146,Variables!$AC$3:$AD$8,2,FALSE),"Y","N")</f>
        <v>N</v>
      </c>
      <c r="X146" s="194">
        <f t="shared" si="116"/>
        <v>1</v>
      </c>
      <c r="Y146" s="194">
        <f t="shared" si="120"/>
        <v>23.297999999999998</v>
      </c>
      <c r="Z146" s="194">
        <f t="shared" si="121"/>
        <v>1.41E-2</v>
      </c>
      <c r="AA146" s="194">
        <f t="shared" si="110"/>
        <v>23.283899999999999</v>
      </c>
      <c r="AB146" s="54" t="e">
        <f>VLOOKUP(A146,Enforcements!$C$7:$K$11,8,0)</f>
        <v>#N/A</v>
      </c>
      <c r="AC146" s="51" t="e">
        <f>VLOOKUP(A146,Enforcements!$C$7:$E$11,3,0)</f>
        <v>#N/A</v>
      </c>
      <c r="AD146" s="203">
        <f t="shared" si="111"/>
        <v>234</v>
      </c>
      <c r="AE146" s="77" t="str">
        <f t="shared" si="118"/>
        <v>aws s3 cp s3://rtdc.mdm.uploadarchive.raw/RTDC4057/ "%USERPROFILE%\AppData\Local\Temp\OnboardLogs"\RTDC4057\2017-09-02 --exclude "*" --recursive --include "*20170902*" &amp; "%USERPROFILE%\Documents\GitHub\mrs-test-scripts\Headless Mode &amp; Sideloading\WalkAndUnGZ.bat" "%USERPROFILE%\AppData\Local\Temp\OnboardLogs"\RTDC4057\2017-09-02 &amp; aws s3 cp s3://rtdc.mdm.uploadarchive.raw/RTDC4057/ "%USERPROFILE%\AppData\Local\Temp\OnboardLogs"\RTDC4057\2017-09-03 --exclude "*" --recursive --include "*20170903*" &amp; "%USERPROFILE%\Documents\GitHub\mrs-test-scripts\Headless Mode &amp; Sideloading\WalkAndUnGZ.bat" "%USERPROFILE%\AppData\Local\Temp\OnboardLogs"\RTDC4057\2017-09-03</v>
      </c>
      <c r="AF146" s="74" t="str">
        <f t="shared" si="119"/>
        <v>"C:\Program Files (x86)\AstroGrep\AstroGrep.exe" /e /r /s /spath="%USERPROFILE%\AppData\Local\Temp\OnboardLogs" /stypes="app*4057*20170903*" /stext=" 05:.+((SYSTEM_STATE.+slice.+state.+changed )|(ment ac)|(multiple cpu faults)|(system.+state.+changed )|(\[timeout)|(PRM\|1\|D)|(kpr)|(kdp)|(train st.+moving)|(\|lc)|(penalty))"</v>
      </c>
      <c r="AG146" s="206" t="str">
        <f t="shared" si="112"/>
        <v>EC</v>
      </c>
      <c r="AH146" s="78" t="str">
        <f t="shared" si="91"/>
        <v>"%USERPROFILE%\Documents\GitHub\eaglep3\Utilities\RefineRTDCRunTimes.py" --tripid 234-02 --locoid 4057 --swversion DE.1.0.9.0 --startMP 204:232980 --initTime 2017-09-02T22:51:45 --startdatetime 2017-09-02T22:57:44 --delay 58 --endMP 204:141 --enddatetime 2017-09-02T23:38:00 --enforcementcount 0 &gt;&gt;C:\Users\stu\Documents\GitHub\eaglep3-reporting\EC\2017-09-02-refined-times.txt</v>
      </c>
      <c r="AI146" s="96" t="str">
        <f t="shared" si="92"/>
        <v>echo {"issue":{"subject":"","project_id":79,"tracker_id":40,"status_id":1,"priority_id":2,"assigned_to_id":338,"start_date":"2017-09-02","description":"","custom_fields":[{"id":1,"name":"Subdivision","value":"EC"},{"id":4,"name":"Milepost","value":"0.0141"},{"id":17,"name":"Train ID","value":"234-02"},{"id":16,"name":"Locomotive ID","value":"4057"},{"id":130,"name":"Impact","value":""},{"id":150,"name":"Time of Event (Mountain Time)","value":"23:38:00"},{"id":151,"name":"Denver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93"/>
        <v>start /low /b %USERPROFILE%\Documents\GitHub\eaglep3\Utilities\DownloadLogsFromS3.py --loco 4057 --day 2017-09-02</v>
      </c>
      <c r="AN146" s="151" t="str">
        <f t="shared" si="94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05:38:00"},{"id":29,"name":"Sharepoint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759</v>
      </c>
      <c r="B147" s="7">
        <v>4028</v>
      </c>
      <c r="C147" s="21" t="s">
        <v>197</v>
      </c>
      <c r="D147" s="21" t="s">
        <v>438</v>
      </c>
      <c r="E147" s="13">
        <v>42980.922835648147</v>
      </c>
      <c r="F147" s="13">
        <v>42980.937696759262</v>
      </c>
      <c r="G147" s="7">
        <v>55</v>
      </c>
      <c r="H147" s="21" t="s">
        <v>891</v>
      </c>
      <c r="I147" s="13">
        <v>42980.962731481479</v>
      </c>
      <c r="J147" s="7">
        <v>0</v>
      </c>
      <c r="K147" s="89" t="str">
        <f t="shared" si="107"/>
        <v>4027/4028</v>
      </c>
      <c r="L147" s="214" t="str">
        <f>VLOOKUP(A147,'Trips&amp;Operators'!$C$1:$G$99911,5,FALSE)</f>
        <v>PERKINS DARREN</v>
      </c>
      <c r="M147" s="6">
        <f t="shared" si="108"/>
        <v>2.5034722217242233E-2</v>
      </c>
      <c r="N147" s="7">
        <f t="shared" si="113"/>
        <v>36.049999992828816</v>
      </c>
      <c r="O147" s="7"/>
      <c r="P147" s="7"/>
      <c r="Q147" s="22"/>
      <c r="R147" s="167"/>
      <c r="S147" s="210">
        <f t="shared" si="114"/>
        <v>1</v>
      </c>
      <c r="T147" s="192" t="str">
        <f t="shared" si="109"/>
        <v>NorthBound</v>
      </c>
      <c r="U147" s="192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3" t="str">
        <f t="shared" si="117"/>
        <v>https://d0f6bd738d7f1b3e5a7ca70fe4ff75f0.us-east-1.aws.found.io/app/kibana#/discover/Steve-Slow-Train-Analysis-(2080s-and-2083s)?_g=(refreshInterval:(display:Off,pause:!f,section:0,value:0),time:(from:'2017-09-02T21:08:53-0600',mode:absolute,to:'2017-09-03T00:06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7" s="194" t="str">
        <f>IF(AA147&lt;VLOOKUP(AG147,Variables!$AC$3:$AD$8,2,FALSE),"Y","N")</f>
        <v>N</v>
      </c>
      <c r="X147" s="194">
        <f t="shared" si="116"/>
        <v>1</v>
      </c>
      <c r="Y147" s="194">
        <f t="shared" si="120"/>
        <v>4.4200000000000003E-2</v>
      </c>
      <c r="Z147" s="194">
        <f t="shared" si="121"/>
        <v>23.334499999999998</v>
      </c>
      <c r="AA147" s="194">
        <f t="shared" si="110"/>
        <v>23.290299999999998</v>
      </c>
      <c r="AB147" s="54" t="e">
        <f>VLOOKUP(A147,Enforcements!$C$7:$K$11,8,0)</f>
        <v>#N/A</v>
      </c>
      <c r="AC147" s="51" t="e">
        <f>VLOOKUP(A147,Enforcements!$C$7:$E$11,3,0)</f>
        <v>#N/A</v>
      </c>
      <c r="AD147" s="203">
        <f t="shared" si="111"/>
        <v>235</v>
      </c>
      <c r="AE147" s="77" t="str">
        <f t="shared" si="118"/>
        <v>aws s3 cp s3://rtdc.mdm.uploadarchive.raw/RTDC4028/ "%USERPROFILE%\AppData\Local\Temp\OnboardLogs"\RTDC4028\2017-09-02 --exclude "*" --recursive --include "*20170902*" &amp; "%USERPROFILE%\Documents\GitHub\mrs-test-scripts\Headless Mode &amp; Sideloading\WalkAndUnGZ.bat" "%USERPROFILE%\AppData\Local\Temp\OnboardLogs"\RTDC4028\2017-09-02 &amp; aws s3 cp s3://rtdc.mdm.uploadarchive.raw/RTDC4028/ "%USERPROFILE%\AppData\Local\Temp\OnboardLogs"\RTDC4028\2017-09-03 --exclude "*" --recursive --include "*20170903*" &amp; "%USERPROFILE%\Documents\GitHub\mrs-test-scripts\Headless Mode &amp; Sideloading\WalkAndUnGZ.bat" "%USERPROFILE%\AppData\Local\Temp\OnboardLogs"\RTDC4028\2017-09-03</v>
      </c>
      <c r="AF147" s="74" t="str">
        <f t="shared" si="119"/>
        <v>"C:\Program Files (x86)\AstroGrep\AstroGrep.exe" /e /r /s /spath="%USERPROFILE%\AppData\Local\Temp\OnboardLogs" /stypes="app*4028*20170903*" /stext=" 05:.+((SYSTEM_STATE.+slice.+state.+changed )|(ment ac)|(multiple cpu faults)|(system.+state.+changed )|(\[timeout)|(PRM\|1\|D)|(kpr)|(kdp)|(train st.+moving)|(\|lc)|(penalty))"</v>
      </c>
      <c r="AG147" s="206" t="str">
        <f t="shared" si="112"/>
        <v>EC</v>
      </c>
      <c r="AH147" s="78" t="str">
        <f t="shared" ref="AH147:AH212" si="122">refinertdcruntimes&amp;" --tripid "&amp;A147&amp;" --locoid "&amp;B147&amp;" --swversion "&amp;C147&amp;" --startMP "&amp;D147&amp;" --initTime "&amp;TEXT(E147,"yyyy-mm-ddTHH:MM:SS")&amp;" --startdatetime "&amp;TEXT(F147,"yyyy-mm-ddTHH:MM:SS")&amp;" --delay "&amp;G147&amp;" --endMP "&amp;H147&amp;" --enddatetime "&amp;TEXT(I147,"yyyy-mm-ddTHH:MM:SS")&amp;" --enforcementcount "&amp;J147&amp;IF(outputrefinedruntimes," &gt;&gt;"&amp;RefinedRTDCRunTimesOutputFile,"")</f>
        <v>"%USERPROFILE%\Documents\GitHub\eaglep3\Utilities\RefineRTDCRunTimes.py" --tripid 235-02 --locoid 4028 --swversion DE.1.0.9.0 --startMP 204:442 --initTime 2017-09-02T22:08:53 --startdatetime 2017-09-02T22:30:17 --delay 55 --endMP 204:233345 --enddatetime 2017-09-02T23:06:20 --enforcementcount 0 &gt;&gt;C:\Users\stu\Documents\GitHub\eaglep3-reporting\EC\2017-09-02-refined-times.txt</v>
      </c>
      <c r="AI147" s="96" t="str">
        <f t="shared" ref="AI147:AI212" si="123">"echo {""issue"":{""subject"":"""&amp;R147&amp;""",""project_id"":79,""tracker_id"":40,""status_id"":"&amp;redmine_status&amp;",""priority_id"":"&amp;redmine_priority&amp;",""assigned_to_id"":"&amp;redmine_assignee&amp;",""start_date"":"""&amp;TEXT(I147,"YYYY-mm-dd")&amp;""",""description"":"""&amp;AJ147&amp;""",""custom_fields"":[{""id"":1,""name"":""Subdivision"",""value"":"""&amp;AG147&amp;"""},{""id"":4,""name"":""Milepost"",""value"":"""&amp;Z147&amp;"""},{""id"":17,""name"":""Train ID"",""value"":"""&amp;A147&amp;"""},{""id"":16,""name"":""Locomotive ID"",""value"":"""&amp;B147&amp;"""},{""id"":130,""name"":""Impact"",""value"":"""&amp;AK147&amp;"""},{""id"":150,""name"":""Time of Event (Mountain Time)"",""value"":"""&amp;TEXT(I147,"hh:mm:ss")&amp;"""},{""id"":151,""name"":""Denver Issue ID"",""value"":"""&amp;"""},{""id"":178,""name"":""Operational Impact"",""value"":"""&amp;redmine_op_impact&amp;"""},{""id"":179,""name"":""Denver Segment Assigned"",""value"":"""&amp;AL147&amp;"""}]}}"&amp;"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{"issue":{"subject":"","project_id":79,"tracker_id":40,"status_id":1,"priority_id":2,"assigned_to_id":338,"start_date":"2017-09-02","description":"","custom_fields":[{"id":1,"name":"Subdivision","value":"EC"},{"id":4,"name":"Milepost","value":"23.3345"},{"id":17,"name":"Train ID","value":"235-02"},{"id":16,"name":"Locomotive ID","value":"4028"},{"id":130,"name":"Impact","value":""},{"id":150,"name":"Time of Event (Mountain Time)","value":"23:06:20"},{"id":151,"name":"Denver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ref="AM147:AM212" si="124">"start /low /b "&amp;dls3logs&amp;" --loco "&amp;B147&amp;" --day "&amp;TEXT(F147,"YYYY-MM-DD")</f>
        <v>start /low /b %USERPROFILE%\Documents\GitHub\eaglep3\Utilities\DownloadLogsFromS3.py --loco 4028 --day 2017-09-02</v>
      </c>
      <c r="AN147" s="151" t="str">
        <f t="shared" ref="AN147:AN212" si="125">"echo {""issue"":{""subject"":"""&amp;R147&amp;""",""project_id"":30,""tracker_id"":4,""status_id"":"&amp;redmine_status_wcr&amp;",""priority_id"":"&amp;redmine_priority_wcr&amp;",""assigned_to_id"":"&amp;redmine_assignee_wcr&amp;",""start_date"":"""&amp;TEXT(I147-utc_offset/24,"YYYY-mm-dd")&amp;""",""description"":"""&amp;AJ147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05:06:20"},{"id":29,"name":"Sharepoint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765</v>
      </c>
      <c r="B148" s="7">
        <v>4027</v>
      </c>
      <c r="C148" s="21" t="s">
        <v>197</v>
      </c>
      <c r="D148" s="21" t="s">
        <v>432</v>
      </c>
      <c r="E148" s="13">
        <v>42980.964942129627</v>
      </c>
      <c r="F148" s="13">
        <v>42980.97724537037</v>
      </c>
      <c r="G148" s="7">
        <v>57</v>
      </c>
      <c r="H148" s="21" t="s">
        <v>793</v>
      </c>
      <c r="I148" s="13">
        <v>42981.003634259258</v>
      </c>
      <c r="J148" s="7">
        <v>0</v>
      </c>
      <c r="K148" s="89" t="str">
        <f t="shared" ref="K148:K179" si="126">IF(ISEVEN(B148),(B148-1)&amp;"/"&amp;B148,B148&amp;"/"&amp;(B148+1))</f>
        <v>4027/4028</v>
      </c>
      <c r="L148" s="214" t="str">
        <f>VLOOKUP(A148,'Trips&amp;Operators'!$C$1:$G$99911,5,FALSE)</f>
        <v>PERKINS DARREN</v>
      </c>
      <c r="M148" s="6">
        <f t="shared" ref="M148:M179" si="127">I148-F148</f>
        <v>2.6388888887595385E-2</v>
      </c>
      <c r="N148" s="7">
        <f t="shared" si="113"/>
        <v>37.999999998137355</v>
      </c>
      <c r="O148" s="7"/>
      <c r="P148" s="7"/>
      <c r="Q148" s="22"/>
      <c r="R148" s="167"/>
      <c r="S148" s="210">
        <f t="shared" si="114"/>
        <v>1</v>
      </c>
      <c r="T148" s="192" t="str">
        <f t="shared" ref="T148:T179" si="128">IF(ISEVEN(LEFT(AD148,4)),"Southbound","NorthBound")</f>
        <v>Southbound</v>
      </c>
      <c r="U148" s="192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3" t="str">
        <f t="shared" si="117"/>
        <v>https://d0f6bd738d7f1b3e5a7ca70fe4ff75f0.us-east-1.aws.found.io/app/kibana#/discover/Steve-Slow-Train-Analysis-(2080s-and-2083s)?_g=(refreshInterval:(display:Off,pause:!f,section:0,value:0),time:(from:'2017-09-02T22:09:31-0600',mode:absolute,to:'2017-09-03T01:05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8" s="194" t="str">
        <f>IF(AA148&lt;VLOOKUP(AG148,Variables!$AC$3:$AD$8,2,FALSE),"Y","N")</f>
        <v>N</v>
      </c>
      <c r="X148" s="194">
        <f t="shared" si="116"/>
        <v>1</v>
      </c>
      <c r="Y148" s="194">
        <f t="shared" si="120"/>
        <v>23.298200000000001</v>
      </c>
      <c r="Z148" s="194">
        <f t="shared" si="121"/>
        <v>1.34E-2</v>
      </c>
      <c r="AA148" s="194">
        <f t="shared" ref="AA148:AA179" si="129">ABS(Z148-Y148)</f>
        <v>23.284800000000001</v>
      </c>
      <c r="AB148" s="54" t="e">
        <f>VLOOKUP(A148,Enforcements!$C$7:$K$11,8,0)</f>
        <v>#N/A</v>
      </c>
      <c r="AC148" s="51" t="e">
        <f>VLOOKUP(A148,Enforcements!$C$7:$E$11,3,0)</f>
        <v>#N/A</v>
      </c>
      <c r="AD148" s="203">
        <f t="shared" ref="AD148:AD179" si="130">VALUE(LEFT(A148,LEN(A148)-3))</f>
        <v>236</v>
      </c>
      <c r="AE148" s="77" t="str">
        <f t="shared" si="118"/>
        <v>aws s3 cp s3://rtdc.mdm.uploadarchive.raw/RTDC4027/ "%USERPROFILE%\AppData\Local\Temp\OnboardLogs"\RTDC4027\2017-09-02 --exclude "*" --recursive --include "*20170902*" &amp; "%USERPROFILE%\Documents\GitHub\mrs-test-scripts\Headless Mode &amp; Sideloading\WalkAndUnGZ.bat" "%USERPROFILE%\AppData\Local\Temp\OnboardLogs"\RTDC4027\2017-09-02 &amp; aws s3 cp s3://rtdc.mdm.uploadarchive.raw/RTDC4027/ "%USERPROFILE%\AppData\Local\Temp\OnboardLogs"\RTDC4027\2017-09-03 --exclude "*" --recursive --include "*20170903*" &amp; "%USERPROFILE%\Documents\GitHub\mrs-test-scripts\Headless Mode &amp; Sideloading\WalkAndUnGZ.bat" "%USERPROFILE%\AppData\Local\Temp\OnboardLogs"\RTDC4027\2017-09-03</v>
      </c>
      <c r="AF148" s="74" t="str">
        <f t="shared" si="119"/>
        <v>"C:\Program Files (x86)\AstroGrep\AstroGrep.exe" /e /r /s /spath="%USERPROFILE%\AppData\Local\Temp\OnboardLogs" /stypes="app*4027*20170903*" /stext=" 06:.+((SYSTEM_STATE.+slice.+state.+changed )|(ment ac)|(multiple cpu faults)|(system.+state.+changed )|(\[timeout)|(PRM\|1\|D)|(kpr)|(kdp)|(train st.+moving)|(\|lc)|(penalty))"</v>
      </c>
      <c r="AG148" s="206" t="str">
        <f t="shared" ref="AG148:AG179" si="131">DetSubdiv(A148)</f>
        <v>EC</v>
      </c>
      <c r="AH148" s="78" t="str">
        <f t="shared" si="122"/>
        <v>"%USERPROFILE%\Documents\GitHub\eaglep3\Utilities\RefineRTDCRunTimes.py" --tripid 236-02 --locoid 4027 --swversion DE.1.0.9.0 --startMP 204:232982 --initTime 2017-09-02T23:09:31 --startdatetime 2017-09-02T23:27:14 --delay 57 --endMP 204:134 --enddatetime 2017-09-03T00:05:14 --enforcementcount 0 &gt;&gt;C:\Users\stu\Documents\GitHub\eaglep3-reporting\EC\2017-09-02-refined-times.txt</v>
      </c>
      <c r="AI148" s="96" t="str">
        <f t="shared" si="123"/>
        <v>echo {"issue":{"subject":"","project_id":79,"tracker_id":40,"status_id":1,"priority_id":2,"assigned_to_id":338,"start_date":"2017-09-03","description":"","custom_fields":[{"id":1,"name":"Subdivision","value":"EC"},{"id":4,"name":"Milepost","value":"0.0134"},{"id":17,"name":"Train ID","value":"236-02"},{"id":16,"name":"Locomotive ID","value":"4027"},{"id":130,"name":"Impact","value":""},{"id":150,"name":"Time of Event (Mountain Time)","value":"00:05:14"},{"id":151,"name":"Denver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124"/>
        <v>start /low /b %USERPROFILE%\Documents\GitHub\eaglep3\Utilities\DownloadLogsFromS3.py --loco 4027 --day 2017-09-02</v>
      </c>
      <c r="AN148" s="151" t="str">
        <f t="shared" si="125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06:05:14"},{"id":29,"name":"Sharepoint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761</v>
      </c>
      <c r="B149" s="7">
        <v>4010</v>
      </c>
      <c r="C149" s="21" t="s">
        <v>197</v>
      </c>
      <c r="D149" s="21" t="s">
        <v>399</v>
      </c>
      <c r="E149" s="13">
        <v>42980.952303240738</v>
      </c>
      <c r="F149" s="13">
        <v>42980.958611111113</v>
      </c>
      <c r="G149" s="7">
        <v>82</v>
      </c>
      <c r="H149" s="21" t="s">
        <v>539</v>
      </c>
      <c r="I149" s="13">
        <v>42980.985185185185</v>
      </c>
      <c r="J149" s="7">
        <v>0</v>
      </c>
      <c r="K149" s="89" t="str">
        <f t="shared" si="126"/>
        <v>4009/4010</v>
      </c>
      <c r="L149" s="214" t="str">
        <f>VLOOKUP(A149,'Trips&amp;Operators'!$C$1:$G$99911,5,FALSE)</f>
        <v>NICHOLSON WESLEY</v>
      </c>
      <c r="M149" s="6">
        <f t="shared" si="127"/>
        <v>2.6574074072414078E-2</v>
      </c>
      <c r="N149" s="7">
        <f t="shared" si="113"/>
        <v>38.266666664276272</v>
      </c>
      <c r="O149" s="7"/>
      <c r="P149" s="7"/>
      <c r="Q149" s="22"/>
      <c r="R149" s="167"/>
      <c r="S149" s="210">
        <f t="shared" si="114"/>
        <v>1</v>
      </c>
      <c r="T149" s="192" t="str">
        <f t="shared" si="128"/>
        <v>NorthBound</v>
      </c>
      <c r="U149" s="192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3" t="str">
        <f t="shared" si="117"/>
        <v>https://d0f6bd738d7f1b3e5a7ca70fe4ff75f0.us-east-1.aws.found.io/app/kibana#/discover/Steve-Slow-Train-Analysis-(2080s-and-2083s)?_g=(refreshInterval:(display:Off,pause:!f,section:0,value:0),time:(from:'2017-09-02T21:51:19-0600',mode:absolute,to:'2017-09-03T00:38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49" s="194" t="str">
        <f>IF(AA149&lt;VLOOKUP(AG149,Variables!$AC$3:$AD$8,2,FALSE),"Y","N")</f>
        <v>N</v>
      </c>
      <c r="X149" s="194">
        <f t="shared" si="116"/>
        <v>1</v>
      </c>
      <c r="Y149" s="194">
        <f t="shared" si="120"/>
        <v>4.6899999999999997E-2</v>
      </c>
      <c r="Z149" s="194">
        <f t="shared" si="121"/>
        <v>23.331399999999999</v>
      </c>
      <c r="AA149" s="194">
        <f t="shared" si="129"/>
        <v>23.284499999999998</v>
      </c>
      <c r="AB149" s="54" t="e">
        <f>VLOOKUP(A149,Enforcements!$C$7:$K$11,8,0)</f>
        <v>#N/A</v>
      </c>
      <c r="AC149" s="51" t="e">
        <f>VLOOKUP(A149,Enforcements!$C$7:$E$11,3,0)</f>
        <v>#N/A</v>
      </c>
      <c r="AD149" s="203">
        <f t="shared" si="130"/>
        <v>237</v>
      </c>
      <c r="AE149" s="77" t="str">
        <f t="shared" si="118"/>
        <v>aws s3 cp s3://rtdc.mdm.uploadarchive.raw/RTDC4010/ "%USERPROFILE%\AppData\Local\Temp\OnboardLogs"\RTDC4010\2017-09-02 --exclude "*" --recursive --include "*20170902*" &amp; "%USERPROFILE%\Documents\GitHub\mrs-test-scripts\Headless Mode &amp; Sideloading\WalkAndUnGZ.bat" "%USERPROFILE%\AppData\Local\Temp\OnboardLogs"\RTDC4010\2017-09-02 &amp; aws s3 cp s3://rtdc.mdm.uploadarchive.raw/RTDC4010/ "%USERPROFILE%\AppData\Local\Temp\OnboardLogs"\RTDC4010\2017-09-03 --exclude "*" --recursive --include "*20170903*" &amp; "%USERPROFILE%\Documents\GitHub\mrs-test-scripts\Headless Mode &amp; Sideloading\WalkAndUnGZ.bat" "%USERPROFILE%\AppData\Local\Temp\OnboardLogs"\RTDC4010\2017-09-03</v>
      </c>
      <c r="AF149" s="74" t="str">
        <f t="shared" si="119"/>
        <v>"C:\Program Files (x86)\AstroGrep\AstroGrep.exe" /e /r /s /spath="%USERPROFILE%\AppData\Local\Temp\OnboardLogs" /stypes="app*4010*20170903*" /stext=" 05:.+((SYSTEM_STATE.+slice.+state.+changed )|(ment ac)|(multiple cpu faults)|(system.+state.+changed )|(\[timeout)|(PRM\|1\|D)|(kpr)|(kdp)|(train st.+moving)|(\|lc)|(penalty))"</v>
      </c>
      <c r="AG149" s="206" t="str">
        <f t="shared" si="131"/>
        <v>EC</v>
      </c>
      <c r="AH149" s="78" t="str">
        <f t="shared" si="122"/>
        <v>"%USERPROFILE%\Documents\GitHub\eaglep3\Utilities\RefineRTDCRunTimes.py" --tripid 237-02 --locoid 4010 --swversion DE.1.0.9.0 --startMP 204:469 --initTime 2017-09-02T22:51:19 --startdatetime 2017-09-02T23:00:24 --delay 82 --endMP 204:233314 --enddatetime 2017-09-02T23:38:40 --enforcementcount 0 &gt;&gt;C:\Users\stu\Documents\GitHub\eaglep3-reporting\EC\2017-09-02-refined-times.txt</v>
      </c>
      <c r="AI149" s="96" t="str">
        <f t="shared" si="123"/>
        <v>echo {"issue":{"subject":"","project_id":79,"tracker_id":40,"status_id":1,"priority_id":2,"assigned_to_id":338,"start_date":"2017-09-02","description":"","custom_fields":[{"id":1,"name":"Subdivision","value":"EC"},{"id":4,"name":"Milepost","value":"23.3314"},{"id":17,"name":"Train ID","value":"237-02"},{"id":16,"name":"Locomotive ID","value":"4010"},{"id":130,"name":"Impact","value":""},{"id":150,"name":"Time of Event (Mountain Time)","value":"23:38:40"},{"id":151,"name":"Denver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124"/>
        <v>start /low /b %USERPROFILE%\Documents\GitHub\eaglep3\Utilities\DownloadLogsFromS3.py --loco 4010 --day 2017-09-02</v>
      </c>
      <c r="AN149" s="151" t="str">
        <f t="shared" si="125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05:38:40"},{"id":29,"name":"Sharepoint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767</v>
      </c>
      <c r="B150" s="7">
        <v>4009</v>
      </c>
      <c r="C150" s="21" t="s">
        <v>197</v>
      </c>
      <c r="D150" s="21" t="s">
        <v>488</v>
      </c>
      <c r="E150" s="13">
        <v>42980.99386574074</v>
      </c>
      <c r="F150" s="13">
        <v>42980.998194444444</v>
      </c>
      <c r="G150" s="7">
        <v>123</v>
      </c>
      <c r="H150" s="21" t="s">
        <v>340</v>
      </c>
      <c r="I150" s="13">
        <v>42981.026284722226</v>
      </c>
      <c r="J150" s="7">
        <v>0</v>
      </c>
      <c r="K150" s="89" t="str">
        <f t="shared" si="126"/>
        <v>4009/4010</v>
      </c>
      <c r="L150" s="214" t="str">
        <f>VLOOKUP(A150,'Trips&amp;Operators'!$C$1:$G$99911,5,FALSE)</f>
        <v>NICHOLSON WESLEY</v>
      </c>
      <c r="M150" s="6">
        <f t="shared" si="127"/>
        <v>2.8090277781302575E-2</v>
      </c>
      <c r="N150" s="7">
        <f t="shared" si="113"/>
        <v>40.450000005075708</v>
      </c>
      <c r="O150" s="7"/>
      <c r="P150" s="7"/>
      <c r="Q150" s="22"/>
      <c r="R150" s="167"/>
      <c r="S150" s="210">
        <f t="shared" si="114"/>
        <v>1</v>
      </c>
      <c r="T150" s="192" t="str">
        <f t="shared" si="128"/>
        <v>Southbound</v>
      </c>
      <c r="U150" s="192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3" t="str">
        <f t="shared" si="117"/>
        <v>https://d0f6bd738d7f1b3e5a7ca70fe4ff75f0.us-east-1.aws.found.io/app/kibana#/discover/Steve-Slow-Train-Analysis-(2080s-and-2083s)?_g=(refreshInterval:(display:Off,pause:!f,section:0,value:0),time:(from:'2017-09-02T22:51:10-0600',mode:absolute,to:'2017-09-03T01:37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50" s="194" t="str">
        <f>IF(AA150&lt;VLOOKUP(AG150,Variables!$AC$3:$AD$8,2,FALSE),"Y","N")</f>
        <v>N</v>
      </c>
      <c r="X150" s="194">
        <f t="shared" si="116"/>
        <v>1</v>
      </c>
      <c r="Y150" s="194">
        <f t="shared" si="120"/>
        <v>23.297799999999999</v>
      </c>
      <c r="Z150" s="194">
        <f t="shared" si="121"/>
        <v>1.43E-2</v>
      </c>
      <c r="AA150" s="194">
        <f t="shared" si="129"/>
        <v>23.2835</v>
      </c>
      <c r="AB150" s="54" t="e">
        <f>VLOOKUP(A150,Enforcements!$C$7:$K$11,8,0)</f>
        <v>#N/A</v>
      </c>
      <c r="AC150" s="51" t="e">
        <f>VLOOKUP(A150,Enforcements!$C$7:$E$11,3,0)</f>
        <v>#N/A</v>
      </c>
      <c r="AD150" s="203">
        <f t="shared" si="130"/>
        <v>238</v>
      </c>
      <c r="AE150" s="77" t="str">
        <f t="shared" si="118"/>
        <v>aws s3 cp s3://rtdc.mdm.uploadarchive.raw/RTDC4009/ "%USERPROFILE%\AppData\Local\Temp\OnboardLogs"\RTDC4009\2017-09-02 --exclude "*" --recursive --include "*20170902*" &amp; "%USERPROFILE%\Documents\GitHub\mrs-test-scripts\Headless Mode &amp; Sideloading\WalkAndUnGZ.bat" "%USERPROFILE%\AppData\Local\Temp\OnboardLogs"\RTDC4009\2017-09-02 &amp; aws s3 cp s3://rtdc.mdm.uploadarchive.raw/RTDC4009/ "%USERPROFILE%\AppData\Local\Temp\OnboardLogs"\RTDC4009\2017-09-03 --exclude "*" --recursive --include "*20170903*" &amp; "%USERPROFILE%\Documents\GitHub\mrs-test-scripts\Headless Mode &amp; Sideloading\WalkAndUnGZ.bat" "%USERPROFILE%\AppData\Local\Temp\OnboardLogs"\RTDC4009\2017-09-03</v>
      </c>
      <c r="AF150" s="74" t="str">
        <f t="shared" si="119"/>
        <v>"C:\Program Files (x86)\AstroGrep\AstroGrep.exe" /e /r /s /spath="%USERPROFILE%\AppData\Local\Temp\OnboardLogs" /stypes="app*4009*20170903*" /stext=" 06:.+((SYSTEM_STATE.+slice.+state.+changed )|(ment ac)|(multiple cpu faults)|(system.+state.+changed )|(\[timeout)|(PRM\|1\|D)|(kpr)|(kdp)|(train st.+moving)|(\|lc)|(penalty))"</v>
      </c>
      <c r="AG150" s="206" t="str">
        <f t="shared" si="131"/>
        <v>EC</v>
      </c>
      <c r="AH150" s="78" t="str">
        <f t="shared" si="122"/>
        <v>"%USERPROFILE%\Documents\GitHub\eaglep3\Utilities\RefineRTDCRunTimes.py" --tripid 238-02 --locoid 4009 --swversion DE.1.0.9.0 --startMP 204:232978 --initTime 2017-09-02T23:51:10 --startdatetime 2017-09-02T23:57:24 --delay 123 --endMP 204:143 --enddatetime 2017-09-03T00:37:51 --enforcementcount 0 &gt;&gt;C:\Users\stu\Documents\GitHub\eaglep3-reporting\EC\2017-09-02-refined-times.txt</v>
      </c>
      <c r="AI150" s="96" t="str">
        <f t="shared" si="123"/>
        <v>echo {"issue":{"subject":"","project_id":79,"tracker_id":40,"status_id":1,"priority_id":2,"assigned_to_id":338,"start_date":"2017-09-03","description":"","custom_fields":[{"id":1,"name":"Subdivision","value":"EC"},{"id":4,"name":"Milepost","value":"0.0143"},{"id":17,"name":"Train ID","value":"238-02"},{"id":16,"name":"Locomotive ID","value":"4009"},{"id":130,"name":"Impact","value":""},{"id":150,"name":"Time of Event (Mountain Time)","value":"00:37:51"},{"id":151,"name":"Denver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124"/>
        <v>start /low /b %USERPROFILE%\Documents\GitHub\eaglep3\Utilities\DownloadLogsFromS3.py --loco 4009 --day 2017-09-02</v>
      </c>
      <c r="AN150" s="151" t="str">
        <f t="shared" si="125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06:37:51"},{"id":29,"name":"Sharepoint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764</v>
      </c>
      <c r="B151" s="7">
        <v>4052</v>
      </c>
      <c r="C151" s="21" t="s">
        <v>197</v>
      </c>
      <c r="D151" s="21" t="s">
        <v>452</v>
      </c>
      <c r="E151" s="13">
        <v>42980.963506944441</v>
      </c>
      <c r="F151" s="13">
        <v>42980.979398148149</v>
      </c>
      <c r="G151" s="7">
        <v>50</v>
      </c>
      <c r="H151" s="21" t="s">
        <v>542</v>
      </c>
      <c r="I151" s="13">
        <v>42981.004432870373</v>
      </c>
      <c r="J151" s="7">
        <v>0</v>
      </c>
      <c r="K151" s="89" t="str">
        <f t="shared" si="126"/>
        <v>4051/4052</v>
      </c>
      <c r="L151" s="214" t="str">
        <f>VLOOKUP(A151,'Trips&amp;Operators'!$C$1:$G$99911,5,FALSE)</f>
        <v>FORTUNATO FRANK</v>
      </c>
      <c r="M151" s="6">
        <f t="shared" si="127"/>
        <v>2.5034722224518191E-2</v>
      </c>
      <c r="N151" s="7">
        <f t="shared" si="113"/>
        <v>36.050000003306195</v>
      </c>
      <c r="O151" s="7"/>
      <c r="P151" s="7"/>
      <c r="Q151" s="22"/>
      <c r="R151" s="167"/>
      <c r="S151" s="210">
        <f t="shared" si="114"/>
        <v>1</v>
      </c>
      <c r="T151" s="192" t="str">
        <f t="shared" si="128"/>
        <v>NorthBound</v>
      </c>
      <c r="U151" s="192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3" t="str">
        <f t="shared" si="117"/>
        <v>https://d0f6bd738d7f1b3e5a7ca70fe4ff75f0.us-east-1.aws.found.io/app/kibana#/discover/Steve-Slow-Train-Analysis-(2080s-and-2083s)?_g=(refreshInterval:(display:Off,pause:!f,section:0,value:0),time:(from:'2017-09-02T22:07:27-0600',mode:absolute,to:'2017-09-03T01:06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51" s="194" t="str">
        <f>IF(AA151&lt;VLOOKUP(AG151,Variables!$AC$3:$AD$8,2,FALSE),"Y","N")</f>
        <v>N</v>
      </c>
      <c r="X151" s="194">
        <f t="shared" si="116"/>
        <v>1</v>
      </c>
      <c r="Y151" s="194">
        <f t="shared" si="120"/>
        <v>4.5999999999999999E-2</v>
      </c>
      <c r="Z151" s="194">
        <f t="shared" si="121"/>
        <v>23.332599999999999</v>
      </c>
      <c r="AA151" s="194">
        <f t="shared" si="129"/>
        <v>23.2866</v>
      </c>
      <c r="AB151" s="54" t="e">
        <f>VLOOKUP(A151,Enforcements!$C$7:$K$11,8,0)</f>
        <v>#N/A</v>
      </c>
      <c r="AC151" s="51" t="e">
        <f>VLOOKUP(A151,Enforcements!$C$7:$E$11,3,0)</f>
        <v>#N/A</v>
      </c>
      <c r="AD151" s="203">
        <f t="shared" si="130"/>
        <v>239</v>
      </c>
      <c r="AE151" s="77" t="str">
        <f t="shared" si="118"/>
        <v>aws s3 cp s3://rtdc.mdm.uploadarchive.raw/RTDC4052/ "%USERPROFILE%\AppData\Local\Temp\OnboardLogs"\RTDC4052\2017-09-02 --exclude "*" --recursive --include "*20170902*" &amp; "%USERPROFILE%\Documents\GitHub\mrs-test-scripts\Headless Mode &amp; Sideloading\WalkAndUnGZ.bat" "%USERPROFILE%\AppData\Local\Temp\OnboardLogs"\RTDC4052\2017-09-02 &amp; aws s3 cp s3://rtdc.mdm.uploadarchive.raw/RTDC4052/ "%USERPROFILE%\AppData\Local\Temp\OnboardLogs"\RTDC4052\2017-09-03 --exclude "*" --recursive --include "*20170903*" &amp; "%USERPROFILE%\Documents\GitHub\mrs-test-scripts\Headless Mode &amp; Sideloading\WalkAndUnGZ.bat" "%USERPROFILE%\AppData\Local\Temp\OnboardLogs"\RTDC4052\2017-09-03</v>
      </c>
      <c r="AF151" s="74" t="str">
        <f t="shared" si="119"/>
        <v>"C:\Program Files (x86)\AstroGrep\AstroGrep.exe" /e /r /s /spath="%USERPROFILE%\AppData\Local\Temp\OnboardLogs" /stypes="app*4052*20170903*" /stext=" 06:.+((SYSTEM_STATE.+slice.+state.+changed )|(ment ac)|(multiple cpu faults)|(system.+state.+changed )|(\[timeout)|(PRM\|1\|D)|(kpr)|(kdp)|(train st.+moving)|(\|lc)|(penalty))"</v>
      </c>
      <c r="AG151" s="206" t="str">
        <f t="shared" si="131"/>
        <v>EC</v>
      </c>
      <c r="AH151" s="78" t="str">
        <f t="shared" si="122"/>
        <v>"%USERPROFILE%\Documents\GitHub\eaglep3\Utilities\RefineRTDCRunTimes.py" --tripid 239-02 --locoid 4052 --swversion DE.1.0.9.0 --startMP 204:460 --initTime 2017-09-02T23:07:27 --startdatetime 2017-09-02T23:30:20 --delay 50 --endMP 204:233326 --enddatetime 2017-09-03T00:06:23 --enforcementcount 0 &gt;&gt;C:\Users\stu\Documents\GitHub\eaglep3-reporting\EC\2017-09-02-refined-times.txt</v>
      </c>
      <c r="AI151" s="96" t="str">
        <f t="shared" si="123"/>
        <v>echo {"issue":{"subject":"","project_id":79,"tracker_id":40,"status_id":1,"priority_id":2,"assigned_to_id":338,"start_date":"2017-09-03","description":"","custom_fields":[{"id":1,"name":"Subdivision","value":"EC"},{"id":4,"name":"Milepost","value":"23.3326"},{"id":17,"name":"Train ID","value":"239-02"},{"id":16,"name":"Locomotive ID","value":"4052"},{"id":130,"name":"Impact","value":""},{"id":150,"name":"Time of Event (Mountain Time)","value":"00:06:23"},{"id":151,"name":"Denver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si="124"/>
        <v>start /low /b %USERPROFILE%\Documents\GitHub\eaglep3\Utilities\DownloadLogsFromS3.py --loco 4052 --day 2017-09-02</v>
      </c>
      <c r="AN151" s="151" t="str">
        <f t="shared" si="125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06:06:23"},{"id":29,"name":"Sharepoint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770</v>
      </c>
      <c r="B152" s="7">
        <v>4051</v>
      </c>
      <c r="C152" s="21" t="s">
        <v>197</v>
      </c>
      <c r="D152" s="21" t="s">
        <v>428</v>
      </c>
      <c r="E152" s="13">
        <v>42981.006111111114</v>
      </c>
      <c r="F152" s="13">
        <v>42981.018900462965</v>
      </c>
      <c r="G152" s="7">
        <v>49</v>
      </c>
      <c r="H152" s="21" t="s">
        <v>371</v>
      </c>
      <c r="I152" s="13">
        <v>42981.045069444444</v>
      </c>
      <c r="J152" s="7">
        <v>0</v>
      </c>
      <c r="K152" s="89" t="str">
        <f t="shared" si="126"/>
        <v>4051/4052</v>
      </c>
      <c r="L152" s="214" t="str">
        <f>VLOOKUP(A152,'Trips&amp;Operators'!$C$1:$G$99911,5,FALSE)</f>
        <v>FORTUNATO FRANK</v>
      </c>
      <c r="M152" s="6">
        <f t="shared" si="127"/>
        <v>2.6168981479713693E-2</v>
      </c>
      <c r="N152" s="7">
        <f t="shared" si="113"/>
        <v>37.683333330787718</v>
      </c>
      <c r="O152" s="7"/>
      <c r="P152" s="7"/>
      <c r="Q152" s="22"/>
      <c r="R152" s="167" t="s">
        <v>972</v>
      </c>
      <c r="S152" s="210">
        <f t="shared" si="114"/>
        <v>1</v>
      </c>
      <c r="T152" s="192" t="str">
        <f t="shared" si="128"/>
        <v>Southbound</v>
      </c>
      <c r="U152" s="192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3" t="str">
        <f t="shared" si="117"/>
        <v>https://d0f6bd738d7f1b3e5a7ca70fe4ff75f0.us-east-1.aws.found.io/app/kibana#/discover/Steve-Slow-Train-Analysis-(2080s-and-2083s)?_g=(refreshInterval:(display:Off,pause:!f,section:0,value:0),time:(from:'2017-09-02T23:08:48-0600',mode:absolute,to:'2017-09-03T02:04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52" s="194" t="str">
        <f>IF(AA152&lt;VLOOKUP(AG152,Variables!$AC$3:$AD$8,2,FALSE),"Y","N")</f>
        <v>N</v>
      </c>
      <c r="X152" s="194">
        <f t="shared" si="116"/>
        <v>1</v>
      </c>
      <c r="Y152" s="194">
        <f t="shared" si="120"/>
        <v>23.299199999999999</v>
      </c>
      <c r="Z152" s="194">
        <f t="shared" si="121"/>
        <v>1.4500000000000001E-2</v>
      </c>
      <c r="AA152" s="194">
        <f t="shared" si="129"/>
        <v>23.284699999999997</v>
      </c>
      <c r="AB152" s="54" t="e">
        <f>VLOOKUP(A152,Enforcements!$C$7:$K$11,8,0)</f>
        <v>#N/A</v>
      </c>
      <c r="AC152" s="51" t="e">
        <f>VLOOKUP(A152,Enforcements!$C$7:$E$11,3,0)</f>
        <v>#N/A</v>
      </c>
      <c r="AD152" s="203">
        <f t="shared" si="130"/>
        <v>240</v>
      </c>
      <c r="AE152" s="77" t="str">
        <f t="shared" si="118"/>
        <v>aws s3 cp s3://rtdc.mdm.uploadarchive.raw/RTDC4051/ "%USERPROFILE%\AppData\Local\Temp\OnboardLogs"\RTDC4051\2017-09-03 --exclude "*" --recursive --include "*20170903*" &amp; "%USERPROFILE%\Documents\GitHub\mrs-test-scripts\Headless Mode &amp; Sideloading\WalkAndUnGZ.bat" "%USERPROFILE%\AppData\Local\Temp\OnboardLogs"\RTDC4051\2017-09-03 &amp; aws s3 cp s3://rtdc.mdm.uploadarchive.raw/RTDC4051/ "%USERPROFILE%\AppData\Local\Temp\OnboardLogs"\RTDC4051\2017-09-04 --exclude "*" --recursive --include "*20170904*" &amp; "%USERPROFILE%\Documents\GitHub\mrs-test-scripts\Headless Mode &amp; Sideloading\WalkAndUnGZ.bat" "%USERPROFILE%\AppData\Local\Temp\OnboardLogs"\RTDC4051\2017-09-04</v>
      </c>
      <c r="AF152" s="74" t="str">
        <f t="shared" si="119"/>
        <v>"C:\Program Files (x86)\AstroGrep\AstroGrep.exe" /e /r /s /spath="%USERPROFILE%\AppData\Local\Temp\OnboardLogs" /stypes="app*4051*20170903*" /stext=" 07:.+((SYSTEM_STATE.+slice.+state.+changed )|(ment ac)|(multiple cpu faults)|(system.+state.+changed )|(\[timeout)|(PRM\|1\|D)|(kpr)|(kdp)|(train st.+moving)|(\|lc)|(penalty))"</v>
      </c>
      <c r="AG152" s="206" t="str">
        <f t="shared" si="131"/>
        <v>EC</v>
      </c>
      <c r="AH152" s="78" t="str">
        <f t="shared" si="122"/>
        <v>"%USERPROFILE%\Documents\GitHub\eaglep3\Utilities\RefineRTDCRunTimes.py" --tripid 240-02 --locoid 4051 --swversion DE.1.0.9.0 --startMP 204:232992 --initTime 2017-09-03T00:08:48 --startdatetime 2017-09-03T00:27:13 --delay 49 --endMP 204:145 --enddatetime 2017-09-03T01:04:54 --enforcementcount 0 &gt;&gt;C:\Users\stu\Documents\GitHub\eaglep3-reporting\EC\2017-09-02-refined-times.txt</v>
      </c>
      <c r="AI152" s="96" t="str">
        <f t="shared" si="123"/>
        <v>echo {"issue":{"subject":"Unhealthy at Chambers due to train stop","project_id":79,"tracker_id":40,"status_id":1,"priority_id":2,"assigned_to_id":338,"start_date":"2017-09-03","description":"","custom_fields":[{"id":1,"name":"Subdivision","value":"EC"},{"id":4,"name":"Milepost","value":"0.0145"},{"id":17,"name":"Train ID","value":"240-02"},{"id":16,"name":"Locomotive ID","value":"4051"},{"id":130,"name":"Impact","value":""},{"id":150,"name":"Time of Event (Mountain Time)","value":"01:04:54"},{"id":151,"name":"Denver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si="124"/>
        <v>start /low /b %USERPROFILE%\Documents\GitHub\eaglep3\Utilities\DownloadLogsFromS3.py --loco 4051 --day 2017-09-03</v>
      </c>
      <c r="AN152" s="151" t="str">
        <f t="shared" si="125"/>
        <v>echo {"issue":{"subject":"Unhealthy at Chambers due to train stop","project_id":30,"tracker_id":4,"status_id":1,"priority_id":1,"assigned_to_id":10,"start_date":"2017-09-03","description":"","custom_fields":[{"id":30,"name":"Category","value":"Issue"},{"id":3,"name":"Functional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07:04:54"},{"id":29,"name":"Sharepoint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768</v>
      </c>
      <c r="B153" s="7">
        <v>4058</v>
      </c>
      <c r="C153" s="21" t="s">
        <v>197</v>
      </c>
      <c r="D153" s="21" t="s">
        <v>337</v>
      </c>
      <c r="E153" s="13">
        <v>42980.998472222222</v>
      </c>
      <c r="F153" s="13">
        <v>42981.000277777777</v>
      </c>
      <c r="G153" s="7">
        <v>54</v>
      </c>
      <c r="H153" s="21" t="s">
        <v>794</v>
      </c>
      <c r="I153" s="13">
        <v>42981.024942129632</v>
      </c>
      <c r="J153" s="7">
        <v>0</v>
      </c>
      <c r="K153" s="89" t="str">
        <f t="shared" si="126"/>
        <v>4057/4058</v>
      </c>
      <c r="L153" s="214" t="str">
        <f>VLOOKUP(A153,'Trips&amp;Operators'!$C$1:$G$99911,5,FALSE)</f>
        <v>ANDERS STEVEN</v>
      </c>
      <c r="M153" s="6">
        <f t="shared" si="127"/>
        <v>2.4664351854880806E-2</v>
      </c>
      <c r="N153" s="7">
        <f t="shared" si="113"/>
        <v>35.516666671028361</v>
      </c>
      <c r="O153" s="7"/>
      <c r="P153" s="7"/>
      <c r="Q153" s="22"/>
      <c r="R153" s="167"/>
      <c r="S153" s="210">
        <f t="shared" si="114"/>
        <v>1</v>
      </c>
      <c r="T153" s="192" t="str">
        <f t="shared" si="128"/>
        <v>NorthBound</v>
      </c>
      <c r="U153" s="192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3" t="str">
        <f t="shared" si="117"/>
        <v>https://d0f6bd738d7f1b3e5a7ca70fe4ff75f0.us-east-1.aws.found.io/app/kibana#/discover/Steve-Slow-Train-Analysis-(2080s-and-2083s)?_g=(refreshInterval:(display:Off,pause:!f,section:0,value:0),time:(from:'2017-09-02T22:57:48-0600',mode:absolute,to:'2017-09-03T01:35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53" s="194" t="str">
        <f>IF(AA153&lt;VLOOKUP(AG153,Variables!$AC$3:$AD$8,2,FALSE),"Y","N")</f>
        <v>N</v>
      </c>
      <c r="X153" s="194">
        <f t="shared" si="116"/>
        <v>1</v>
      </c>
      <c r="Y153" s="194">
        <f t="shared" si="120"/>
        <v>4.4600000000000001E-2</v>
      </c>
      <c r="Z153" s="194">
        <f t="shared" si="121"/>
        <v>23.331099999999999</v>
      </c>
      <c r="AA153" s="194">
        <f t="shared" si="129"/>
        <v>23.2865</v>
      </c>
      <c r="AB153" s="54" t="e">
        <f>VLOOKUP(A153,Enforcements!$C$7:$K$11,8,0)</f>
        <v>#N/A</v>
      </c>
      <c r="AC153" s="51" t="e">
        <f>VLOOKUP(A153,Enforcements!$C$7:$E$11,3,0)</f>
        <v>#N/A</v>
      </c>
      <c r="AD153" s="203">
        <f t="shared" si="130"/>
        <v>241</v>
      </c>
      <c r="AE153" s="77" t="str">
        <f t="shared" si="118"/>
        <v>aws s3 cp s3://rtdc.mdm.uploadarchive.raw/RTDC4058/ "%USERPROFILE%\AppData\Local\Temp\OnboardLogs"\RTDC4058\2017-09-03 --exclude "*" --recursive --include "*20170903*" &amp; "%USERPROFILE%\Documents\GitHub\mrs-test-scripts\Headless Mode &amp; Sideloading\WalkAndUnGZ.bat" "%USERPROFILE%\AppData\Local\Temp\OnboardLogs"\RTDC4058\2017-09-03 &amp; aws s3 cp s3://rtdc.mdm.uploadarchive.raw/RTDC4058/ "%USERPROFILE%\AppData\Local\Temp\OnboardLogs"\RTDC4058\2017-09-04 --exclude "*" --recursive --include "*20170904*" &amp; "%USERPROFILE%\Documents\GitHub\mrs-test-scripts\Headless Mode &amp; Sideloading\WalkAndUnGZ.bat" "%USERPROFILE%\AppData\Local\Temp\OnboardLogs"\RTDC4058\2017-09-04</v>
      </c>
      <c r="AF153" s="74" t="str">
        <f t="shared" si="119"/>
        <v>"C:\Program Files (x86)\AstroGrep\AstroGrep.exe" /e /r /s /spath="%USERPROFILE%\AppData\Local\Temp\OnboardLogs" /stypes="app*4058*20170903*" /stext=" 06:.+((SYSTEM_STATE.+slice.+state.+changed )|(ment ac)|(multiple cpu faults)|(system.+state.+changed )|(\[timeout)|(PRM\|1\|D)|(kpr)|(kdp)|(train st.+moving)|(\|lc)|(penalty))"</v>
      </c>
      <c r="AG153" s="206" t="str">
        <f t="shared" si="131"/>
        <v>EC</v>
      </c>
      <c r="AH153" s="78" t="str">
        <f t="shared" si="122"/>
        <v>"%USERPROFILE%\Documents\GitHub\eaglep3\Utilities\RefineRTDCRunTimes.py" --tripid 241-02 --locoid 4058 --swversion DE.1.0.9.0 --startMP 204:446 --initTime 2017-09-02T23:57:48 --startdatetime 2017-09-03T00:00:24 --delay 54 --endMP 204:233311 --enddatetime 2017-09-03T00:35:55 --enforcementcount 0 &gt;&gt;C:\Users\stu\Documents\GitHub\eaglep3-reporting\EC\2017-09-02-refined-times.txt</v>
      </c>
      <c r="AI153" s="96" t="str">
        <f t="shared" si="123"/>
        <v>echo {"issue":{"subject":"","project_id":79,"tracker_id":40,"status_id":1,"priority_id":2,"assigned_to_id":338,"start_date":"2017-09-03","description":"","custom_fields":[{"id":1,"name":"Subdivision","value":"EC"},{"id":4,"name":"Milepost","value":"23.3311"},{"id":17,"name":"Train ID","value":"241-02"},{"id":16,"name":"Locomotive ID","value":"4058"},{"id":130,"name":"Impact","value":""},{"id":150,"name":"Time of Event (Mountain Time)","value":"00:35:55"},{"id":151,"name":"Denver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2" t="str">
        <f t="shared" si="124"/>
        <v>start /low /b %USERPROFILE%\Documents\GitHub\eaglep3\Utilities\DownloadLogsFromS3.py --loco 4058 --day 2017-09-03</v>
      </c>
      <c r="AN153" s="151" t="str">
        <f t="shared" si="125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06:35:55"},{"id":29,"name":"Sharepoint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772</v>
      </c>
      <c r="B154" s="7">
        <v>4057</v>
      </c>
      <c r="C154" s="21" t="s">
        <v>197</v>
      </c>
      <c r="D154" s="21" t="s">
        <v>387</v>
      </c>
      <c r="E154" s="13">
        <v>42981.031076388892</v>
      </c>
      <c r="F154" s="13">
        <v>42981.039872685185</v>
      </c>
      <c r="G154" s="7">
        <v>286</v>
      </c>
      <c r="H154" s="21" t="s">
        <v>944</v>
      </c>
      <c r="I154" s="13">
        <v>42981.066967592589</v>
      </c>
      <c r="J154" s="7">
        <v>0</v>
      </c>
      <c r="K154" s="89" t="str">
        <f t="shared" si="126"/>
        <v>4057/4058</v>
      </c>
      <c r="L154" s="214" t="str">
        <f>VLOOKUP(A154,'Trips&amp;Operators'!$C$1:$G$99911,5,FALSE)</f>
        <v>ANDERS STEVEN</v>
      </c>
      <c r="M154" s="6">
        <f t="shared" si="127"/>
        <v>2.7094907403807156E-2</v>
      </c>
      <c r="N154" s="7">
        <f t="shared" si="113"/>
        <v>39.016666661482304</v>
      </c>
      <c r="O154" s="7"/>
      <c r="P154" s="7"/>
      <c r="Q154" s="22"/>
      <c r="R154" s="167"/>
      <c r="S154" s="210">
        <f t="shared" si="114"/>
        <v>1</v>
      </c>
      <c r="T154" s="192" t="str">
        <f t="shared" si="128"/>
        <v>Southbound</v>
      </c>
      <c r="U154" s="192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3" t="str">
        <f t="shared" si="117"/>
        <v>https://d0f6bd738d7f1b3e5a7ca70fe4ff75f0.us-east-1.aws.found.io/app/kibana#/discover/Steve-Slow-Train-Analysis-(2080s-and-2083s)?_g=(refreshInterval:(display:Off,pause:!f,section:0,value:0),time:(from:'2017-09-02T23:44:45-0600',mode:absolute,to:'2017-09-03T02:36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54" s="194" t="str">
        <f>IF(AA154&lt;VLOOKUP(AG154,Variables!$AC$3:$AD$8,2,FALSE),"Y","N")</f>
        <v>N</v>
      </c>
      <c r="X154" s="194">
        <f t="shared" si="116"/>
        <v>1</v>
      </c>
      <c r="Y154" s="194">
        <f t="shared" si="120"/>
        <v>23.297699999999999</v>
      </c>
      <c r="Z154" s="194">
        <f t="shared" si="121"/>
        <v>8.9899999999999994E-2</v>
      </c>
      <c r="AA154" s="194">
        <f t="shared" si="129"/>
        <v>23.207799999999999</v>
      </c>
      <c r="AB154" s="54" t="e">
        <f>VLOOKUP(A154,Enforcements!$C$7:$K$11,8,0)</f>
        <v>#N/A</v>
      </c>
      <c r="AC154" s="51" t="e">
        <f>VLOOKUP(A154,Enforcements!$C$7:$E$11,3,0)</f>
        <v>#N/A</v>
      </c>
      <c r="AD154" s="203">
        <f t="shared" si="130"/>
        <v>242</v>
      </c>
      <c r="AE154" s="77" t="str">
        <f t="shared" si="118"/>
        <v>aws s3 cp s3://rtdc.mdm.uploadarchive.raw/RTDC4057/ "%USERPROFILE%\AppData\Local\Temp\OnboardLogs"\RTDC4057\2017-09-03 --exclude "*" --recursive --include "*20170903*" &amp; "%USERPROFILE%\Documents\GitHub\mrs-test-scripts\Headless Mode &amp; Sideloading\WalkAndUnGZ.bat" "%USERPROFILE%\AppData\Local\Temp\OnboardLogs"\RTDC4057\2017-09-03 &amp; aws s3 cp s3://rtdc.mdm.uploadarchive.raw/RTDC4057/ "%USERPROFILE%\AppData\Local\Temp\OnboardLogs"\RTDC4057\2017-09-04 --exclude "*" --recursive --include "*20170904*" &amp; "%USERPROFILE%\Documents\GitHub\mrs-test-scripts\Headless Mode &amp; Sideloading\WalkAndUnGZ.bat" "%USERPROFILE%\AppData\Local\Temp\OnboardLogs"\RTDC4057\2017-09-04</v>
      </c>
      <c r="AF154" s="74" t="str">
        <f t="shared" si="119"/>
        <v>"C:\Program Files (x86)\AstroGrep\AstroGrep.exe" /e /r /s /spath="%USERPROFILE%\AppData\Local\Temp\OnboardLogs" /stypes="app*4057*20170903*" /stext=" 07:.+((SYSTEM_STATE.+slice.+state.+changed )|(ment ac)|(multiple cpu faults)|(system.+state.+changed )|(\[timeout)|(PRM\|1\|D)|(kpr)|(kdp)|(train st.+moving)|(\|lc)|(penalty))"</v>
      </c>
      <c r="AG154" s="206" t="str">
        <f t="shared" si="131"/>
        <v>EC</v>
      </c>
      <c r="AH154" s="78" t="str">
        <f t="shared" si="122"/>
        <v>"%USERPROFILE%\Documents\GitHub\eaglep3\Utilities\RefineRTDCRunTimes.py" --tripid 242-02 --locoid 4057 --swversion DE.1.0.9.0 --startMP 204:232977 --initTime 2017-09-03T00:44:45 --startdatetime 2017-09-03T00:57:25 --delay 286 --endMP 204:899 --enddatetime 2017-09-03T01:36:26 --enforcementcount 0 &gt;&gt;C:\Users\stu\Documents\GitHub\eaglep3-reporting\EC\2017-09-02-refined-times.txt</v>
      </c>
      <c r="AI154" s="96" t="str">
        <f t="shared" si="123"/>
        <v>echo {"issue":{"subject":"","project_id":79,"tracker_id":40,"status_id":1,"priority_id":2,"assigned_to_id":338,"start_date":"2017-09-03","description":"","custom_fields":[{"id":1,"name":"Subdivision","value":"EC"},{"id":4,"name":"Milepost","value":"0.0899"},{"id":17,"name":"Train ID","value":"242-02"},{"id":16,"name":"Locomotive ID","value":"4057"},{"id":130,"name":"Impact","value":""},{"id":150,"name":"Time of Event (Mountain Time)","value":"01:36:26"},{"id":151,"name":"Denver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2" t="str">
        <f t="shared" si="124"/>
        <v>start /low /b %USERPROFILE%\Documents\GitHub\eaglep3\Utilities\DownloadLogsFromS3.py --loco 4057 --day 2017-09-03</v>
      </c>
      <c r="AN154" s="151" t="str">
        <f t="shared" si="125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07:36:26"},{"id":29,"name":"Sharepoint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769</v>
      </c>
      <c r="B155" s="7">
        <v>4028</v>
      </c>
      <c r="C155" s="21" t="s">
        <v>197</v>
      </c>
      <c r="D155" s="21" t="s">
        <v>429</v>
      </c>
      <c r="E155" s="13">
        <v>42981.00576388889</v>
      </c>
      <c r="F155" s="13">
        <v>42981.021157407406</v>
      </c>
      <c r="G155" s="7">
        <v>60</v>
      </c>
      <c r="H155" s="21" t="s">
        <v>794</v>
      </c>
      <c r="I155" s="13">
        <v>42981.045069444444</v>
      </c>
      <c r="J155" s="7">
        <v>0</v>
      </c>
      <c r="K155" s="89" t="str">
        <f t="shared" si="126"/>
        <v>4027/4028</v>
      </c>
      <c r="L155" s="214" t="str">
        <f>VLOOKUP(A155,'Trips&amp;Operators'!$C$1:$G$99911,5,FALSE)</f>
        <v>PERKINS DARREN</v>
      </c>
      <c r="M155" s="6">
        <f t="shared" si="127"/>
        <v>2.3912037038826384E-2</v>
      </c>
      <c r="N155" s="7">
        <f t="shared" si="113"/>
        <v>34.433333335909992</v>
      </c>
      <c r="O155" s="7"/>
      <c r="P155" s="7"/>
      <c r="Q155" s="22"/>
      <c r="R155" s="167"/>
      <c r="S155" s="210">
        <f t="shared" si="114"/>
        <v>1</v>
      </c>
      <c r="T155" s="192" t="str">
        <f t="shared" si="128"/>
        <v>NorthBound</v>
      </c>
      <c r="U155" s="192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3" t="str">
        <f t="shared" si="117"/>
        <v>https://d0f6bd738d7f1b3e5a7ca70fe4ff75f0.us-east-1.aws.found.io/app/kibana#/discover/Steve-Slow-Train-Analysis-(2080s-and-2083s)?_g=(refreshInterval:(display:Off,pause:!f,section:0,value:0),time:(from:'2017-09-02T23:08:18-0600',mode:absolute,to:'2017-09-03T02:04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5" s="194" t="str">
        <f>IF(AA155&lt;VLOOKUP(AG155,Variables!$AC$3:$AD$8,2,FALSE),"Y","N")</f>
        <v>N</v>
      </c>
      <c r="X155" s="194">
        <f t="shared" si="116"/>
        <v>1</v>
      </c>
      <c r="Y155" s="194">
        <f t="shared" si="120"/>
        <v>4.3799999999999999E-2</v>
      </c>
      <c r="Z155" s="194">
        <f t="shared" si="121"/>
        <v>23.331099999999999</v>
      </c>
      <c r="AA155" s="194">
        <f t="shared" si="129"/>
        <v>23.287299999999998</v>
      </c>
      <c r="AB155" s="54" t="e">
        <f>VLOOKUP(A155,Enforcements!$C$7:$K$11,8,0)</f>
        <v>#N/A</v>
      </c>
      <c r="AC155" s="51" t="e">
        <f>VLOOKUP(A155,Enforcements!$C$7:$E$11,3,0)</f>
        <v>#N/A</v>
      </c>
      <c r="AD155" s="203">
        <f t="shared" si="130"/>
        <v>243</v>
      </c>
      <c r="AE155" s="77" t="str">
        <f t="shared" si="118"/>
        <v>aws s3 cp s3://rtdc.mdm.uploadarchive.raw/RTDC4028/ "%USERPROFILE%\AppData\Local\Temp\OnboardLogs"\RTDC4028\2017-09-03 --exclude "*" --recursive --include "*20170903*" &amp; "%USERPROFILE%\Documents\GitHub\mrs-test-scripts\Headless Mode &amp; Sideloading\WalkAndUnGZ.bat" "%USERPROFILE%\AppData\Local\Temp\OnboardLogs"\RTDC4028\2017-09-03 &amp; aws s3 cp s3://rtdc.mdm.uploadarchive.raw/RTDC4028/ "%USERPROFILE%\AppData\Local\Temp\OnboardLogs"\RTDC4028\2017-09-04 --exclude "*" --recursive --include "*20170904*" &amp; "%USERPROFILE%\Documents\GitHub\mrs-test-scripts\Headless Mode &amp; Sideloading\WalkAndUnGZ.bat" "%USERPROFILE%\AppData\Local\Temp\OnboardLogs"\RTDC4028\2017-09-04</v>
      </c>
      <c r="AF155" s="74" t="str">
        <f t="shared" si="119"/>
        <v>"C:\Program Files (x86)\AstroGrep\AstroGrep.exe" /e /r /s /spath="%USERPROFILE%\AppData\Local\Temp\OnboardLogs" /stypes="app*4028*20170903*" /stext=" 07:.+((SYSTEM_STATE.+slice.+state.+changed )|(ment ac)|(multiple cpu faults)|(system.+state.+changed )|(\[timeout)|(PRM\|1\|D)|(kpr)|(kdp)|(train st.+moving)|(\|lc)|(penalty))"</v>
      </c>
      <c r="AG155" s="206" t="str">
        <f t="shared" si="131"/>
        <v>EC</v>
      </c>
      <c r="AH155" s="78" t="str">
        <f t="shared" si="122"/>
        <v>"%USERPROFILE%\Documents\GitHub\eaglep3\Utilities\RefineRTDCRunTimes.py" --tripid 243-02 --locoid 4028 --swversion DE.1.0.9.0 --startMP 204:438 --initTime 2017-09-03T00:08:18 --startdatetime 2017-09-03T00:30:28 --delay 60 --endMP 204:233311 --enddatetime 2017-09-03T01:04:54 --enforcementcount 0 &gt;&gt;C:\Users\stu\Documents\GitHub\eaglep3-reporting\EC\2017-09-02-refined-times.txt</v>
      </c>
      <c r="AI155" s="96" t="str">
        <f t="shared" si="123"/>
        <v>echo {"issue":{"subject":"","project_id":79,"tracker_id":40,"status_id":1,"priority_id":2,"assigned_to_id":338,"start_date":"2017-09-03","description":"","custom_fields":[{"id":1,"name":"Subdivision","value":"EC"},{"id":4,"name":"Milepost","value":"23.3311"},{"id":17,"name":"Train ID","value":"243-02"},{"id":16,"name":"Locomotive ID","value":"4028"},{"id":130,"name":"Impact","value":""},{"id":150,"name":"Time of Event (Mountain Time)","value":"01:04:54"},{"id":151,"name":"Denver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2" t="str">
        <f t="shared" si="124"/>
        <v>start /low /b %USERPROFILE%\Documents\GitHub\eaglep3\Utilities\DownloadLogsFromS3.py --loco 4028 --day 2017-09-03</v>
      </c>
      <c r="AN155" s="151" t="str">
        <f t="shared" si="125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07:04:54"},{"id":29,"name":"Sharepoint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774</v>
      </c>
      <c r="B156" s="7">
        <v>4027</v>
      </c>
      <c r="C156" s="21" t="s">
        <v>197</v>
      </c>
      <c r="D156" s="21" t="s">
        <v>878</v>
      </c>
      <c r="E156" s="13">
        <v>42981.053611111114</v>
      </c>
      <c r="F156" s="13">
        <v>42981.060578703706</v>
      </c>
      <c r="G156" s="7">
        <v>54</v>
      </c>
      <c r="H156" s="21" t="s">
        <v>883</v>
      </c>
      <c r="I156" s="13">
        <v>42981.087245370371</v>
      </c>
      <c r="J156" s="7">
        <v>0</v>
      </c>
      <c r="K156" s="89" t="str">
        <f t="shared" si="126"/>
        <v>4027/4028</v>
      </c>
      <c r="L156" s="214" t="str">
        <f>VLOOKUP(A156,'Trips&amp;Operators'!$C$1:$G$99911,5,FALSE)</f>
        <v>PERKINS DARREN</v>
      </c>
      <c r="M156" s="6">
        <f t="shared" si="127"/>
        <v>2.6666666664823424E-2</v>
      </c>
      <c r="N156" s="7">
        <f t="shared" si="113"/>
        <v>38.399999997345731</v>
      </c>
      <c r="O156" s="7"/>
      <c r="P156" s="7"/>
      <c r="Q156" s="22"/>
      <c r="R156" s="167"/>
      <c r="S156" s="210">
        <f t="shared" si="114"/>
        <v>1</v>
      </c>
      <c r="T156" s="192" t="str">
        <f t="shared" si="128"/>
        <v>Southbound</v>
      </c>
      <c r="U156" s="192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3" t="str">
        <f t="shared" si="117"/>
        <v>https://d0f6bd738d7f1b3e5a7ca70fe4ff75f0.us-east-1.aws.found.io/app/kibana#/discover/Steve-Slow-Train-Analysis-(2080s-and-2083s)?_g=(refreshInterval:(display:Off,pause:!f,section:0,value:0),time:(from:'2017-09-03T00:17:12-0600',mode:absolute,to:'2017-09-03T03:05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6" s="194" t="str">
        <f>IF(AA156&lt;VLOOKUP(AG156,Variables!$AC$3:$AD$8,2,FALSE),"Y","N")</f>
        <v>N</v>
      </c>
      <c r="X156" s="194">
        <f t="shared" si="116"/>
        <v>1</v>
      </c>
      <c r="Y156" s="194">
        <f t="shared" si="120"/>
        <v>23.2973</v>
      </c>
      <c r="Z156" s="194">
        <f t="shared" si="121"/>
        <v>1.1900000000000001E-2</v>
      </c>
      <c r="AA156" s="194">
        <f t="shared" si="129"/>
        <v>23.285399999999999</v>
      </c>
      <c r="AB156" s="54" t="e">
        <f>VLOOKUP(A156,Enforcements!$C$7:$K$11,8,0)</f>
        <v>#N/A</v>
      </c>
      <c r="AC156" s="51" t="e">
        <f>VLOOKUP(A156,Enforcements!$C$7:$E$11,3,0)</f>
        <v>#N/A</v>
      </c>
      <c r="AD156" s="203">
        <f t="shared" si="130"/>
        <v>244</v>
      </c>
      <c r="AE156" s="77" t="str">
        <f t="shared" si="118"/>
        <v>aws s3 cp s3://rtdc.mdm.uploadarchive.raw/RTDC4027/ "%USERPROFILE%\AppData\Local\Temp\OnboardLogs"\RTDC4027\2017-09-03 --exclude "*" --recursive --include "*20170903*" &amp; "%USERPROFILE%\Documents\GitHub\mrs-test-scripts\Headless Mode &amp; Sideloading\WalkAndUnGZ.bat" "%USERPROFILE%\AppData\Local\Temp\OnboardLogs"\RTDC4027\2017-09-03 &amp; aws s3 cp s3://rtdc.mdm.uploadarchive.raw/RTDC4027/ "%USERPROFILE%\AppData\Local\Temp\OnboardLogs"\RTDC4027\2017-09-04 --exclude "*" --recursive --include "*20170904*" &amp; "%USERPROFILE%\Documents\GitHub\mrs-test-scripts\Headless Mode &amp; Sideloading\WalkAndUnGZ.bat" "%USERPROFILE%\AppData\Local\Temp\OnboardLogs"\RTDC4027\2017-09-04</v>
      </c>
      <c r="AF156" s="74" t="str">
        <f t="shared" si="119"/>
        <v>"C:\Program Files (x86)\AstroGrep\AstroGrep.exe" /e /r /s /spath="%USERPROFILE%\AppData\Local\Temp\OnboardLogs" /stypes="app*4027*20170903*" /stext=" 08:.+((SYSTEM_STATE.+slice.+state.+changed )|(ment ac)|(multiple cpu faults)|(system.+state.+changed )|(\[timeout)|(PRM\|1\|D)|(kpr)|(kdp)|(train st.+moving)|(\|lc)|(penalty))"</v>
      </c>
      <c r="AG156" s="206" t="str">
        <f t="shared" si="131"/>
        <v>EC</v>
      </c>
      <c r="AH156" s="78" t="str">
        <f t="shared" si="122"/>
        <v>"%USERPROFILE%\Documents\GitHub\eaglep3\Utilities\RefineRTDCRunTimes.py" --tripid 244-02 --locoid 4027 --swversion DE.1.0.9.0 --startMP 204:232973 --initTime 2017-09-03T01:17:12 --startdatetime 2017-09-03T01:27:14 --delay 54 --endMP 204:119 --enddatetime 2017-09-03T02:05:38 --enforcementcount 0 &gt;&gt;C:\Users\stu\Documents\GitHub\eaglep3-reporting\EC\2017-09-02-refined-times.txt</v>
      </c>
      <c r="AI156" s="96" t="str">
        <f t="shared" si="123"/>
        <v>echo {"issue":{"subject":"","project_id":79,"tracker_id":40,"status_id":1,"priority_id":2,"assigned_to_id":338,"start_date":"2017-09-03","description":"","custom_fields":[{"id":1,"name":"Subdivision","value":"EC"},{"id":4,"name":"Milepost","value":"0.0119"},{"id":17,"name":"Train ID","value":"244-02"},{"id":16,"name":"Locomotive ID","value":"4027"},{"id":130,"name":"Impact","value":""},{"id":150,"name":"Time of Event (Mountain Time)","value":"02:05:38"},{"id":151,"name":"Denver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2" t="str">
        <f t="shared" si="124"/>
        <v>start /low /b %USERPROFILE%\Documents\GitHub\eaglep3\Utilities\DownloadLogsFromS3.py --loco 4027 --day 2017-09-03</v>
      </c>
      <c r="AN156" s="151" t="str">
        <f t="shared" si="125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08:05:38"},{"id":29,"name":"Sharepoint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771</v>
      </c>
      <c r="B157" s="7">
        <v>4010</v>
      </c>
      <c r="C157" s="21" t="s">
        <v>197</v>
      </c>
      <c r="D157" s="21" t="s">
        <v>363</v>
      </c>
      <c r="E157" s="13">
        <v>42981.030358796299</v>
      </c>
      <c r="F157" s="13">
        <v>42981.041863425926</v>
      </c>
      <c r="G157" s="7">
        <v>81</v>
      </c>
      <c r="H157" s="21" t="s">
        <v>796</v>
      </c>
      <c r="I157" s="13">
        <v>42981.067094907405</v>
      </c>
      <c r="J157" s="7">
        <v>0</v>
      </c>
      <c r="K157" s="89" t="str">
        <f t="shared" si="126"/>
        <v>4009/4010</v>
      </c>
      <c r="L157" s="214" t="str">
        <f>VLOOKUP(A157,'Trips&amp;Operators'!$C$1:$G$99911,5,FALSE)</f>
        <v>NICHOLSON WESLEY</v>
      </c>
      <c r="M157" s="6">
        <f t="shared" si="127"/>
        <v>2.5231481478840578E-2</v>
      </c>
      <c r="N157" s="7">
        <f t="shared" si="113"/>
        <v>36.333333329530433</v>
      </c>
      <c r="O157" s="7"/>
      <c r="P157" s="7"/>
      <c r="Q157" s="22"/>
      <c r="R157" s="167"/>
      <c r="S157" s="210">
        <f t="shared" si="114"/>
        <v>1</v>
      </c>
      <c r="T157" s="192" t="str">
        <f t="shared" si="128"/>
        <v>NorthBound</v>
      </c>
      <c r="U157" s="192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3" t="str">
        <f t="shared" si="117"/>
        <v>https://d0f6bd738d7f1b3e5a7ca70fe4ff75f0.us-east-1.aws.found.io/app/kibana#/discover/Steve-Slow-Train-Analysis-(2080s-and-2083s)?_g=(refreshInterval:(display:Off,pause:!f,section:0,value:0),time:(from:'2017-09-02T23:43:43-0600',mode:absolute,to:'2017-09-03T02:36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7" s="194" t="str">
        <f>IF(AA157&lt;VLOOKUP(AG157,Variables!$AC$3:$AD$8,2,FALSE),"Y","N")</f>
        <v>N</v>
      </c>
      <c r="X157" s="194">
        <f t="shared" si="116"/>
        <v>1</v>
      </c>
      <c r="Y157" s="194">
        <f t="shared" si="120"/>
        <v>4.58E-2</v>
      </c>
      <c r="Z157" s="194">
        <f t="shared" si="121"/>
        <v>23.3324</v>
      </c>
      <c r="AA157" s="194">
        <f t="shared" si="129"/>
        <v>23.2866</v>
      </c>
      <c r="AB157" s="54" t="e">
        <f>VLOOKUP(A157,Enforcements!$C$7:$K$11,8,0)</f>
        <v>#N/A</v>
      </c>
      <c r="AC157" s="51" t="e">
        <f>VLOOKUP(A157,Enforcements!$C$7:$E$11,3,0)</f>
        <v>#N/A</v>
      </c>
      <c r="AD157" s="203">
        <f t="shared" si="130"/>
        <v>245</v>
      </c>
      <c r="AE157" s="77" t="str">
        <f t="shared" si="118"/>
        <v>aws s3 cp s3://rtdc.mdm.uploadarchive.raw/RTDC4010/ "%USERPROFILE%\AppData\Local\Temp\OnboardLogs"\RTDC4010\2017-09-03 --exclude "*" --recursive --include "*20170903*" &amp; "%USERPROFILE%\Documents\GitHub\mrs-test-scripts\Headless Mode &amp; Sideloading\WalkAndUnGZ.bat" "%USERPROFILE%\AppData\Local\Temp\OnboardLogs"\RTDC4010\2017-09-03 &amp; aws s3 cp s3://rtdc.mdm.uploadarchive.raw/RTDC4010/ "%USERPROFILE%\AppData\Local\Temp\OnboardLogs"\RTDC4010\2017-09-04 --exclude "*" --recursive --include "*20170904*" &amp; "%USERPROFILE%\Documents\GitHub\mrs-test-scripts\Headless Mode &amp; Sideloading\WalkAndUnGZ.bat" "%USERPROFILE%\AppData\Local\Temp\OnboardLogs"\RTDC4010\2017-09-04</v>
      </c>
      <c r="AF157" s="74" t="str">
        <f t="shared" si="119"/>
        <v>"C:\Program Files (x86)\AstroGrep\AstroGrep.exe" /e /r /s /spath="%USERPROFILE%\AppData\Local\Temp\OnboardLogs" /stypes="app*4010*20170903*" /stext=" 07:.+((SYSTEM_STATE.+slice.+state.+changed )|(ment ac)|(multiple cpu faults)|(system.+state.+changed )|(\[timeout)|(PRM\|1\|D)|(kpr)|(kdp)|(train st.+moving)|(\|lc)|(penalty))"</v>
      </c>
      <c r="AG157" s="206" t="str">
        <f t="shared" si="131"/>
        <v>EC</v>
      </c>
      <c r="AH157" s="78" t="str">
        <f t="shared" si="122"/>
        <v>"%USERPROFILE%\Documents\GitHub\eaglep3\Utilities\RefineRTDCRunTimes.py" --tripid 245-02 --locoid 4010 --swversion DE.1.0.9.0 --startMP 204:458 --initTime 2017-09-03T00:43:43 --startdatetime 2017-09-03T01:00:17 --delay 81 --endMP 204:233324 --enddatetime 2017-09-03T01:36:37 --enforcementcount 0 &gt;&gt;C:\Users\stu\Documents\GitHub\eaglep3-reporting\EC\2017-09-02-refined-times.txt</v>
      </c>
      <c r="AI157" s="96" t="str">
        <f t="shared" si="123"/>
        <v>echo {"issue":{"subject":"","project_id":79,"tracker_id":40,"status_id":1,"priority_id":2,"assigned_to_id":338,"start_date":"2017-09-03","description":"","custom_fields":[{"id":1,"name":"Subdivision","value":"EC"},{"id":4,"name":"Milepost","value":"23.3324"},{"id":17,"name":"Train ID","value":"245-02"},{"id":16,"name":"Locomotive ID","value":"4010"},{"id":130,"name":"Impact","value":""},{"id":150,"name":"Time of Event (Mountain Time)","value":"01:36:37"},{"id":151,"name":"Denver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2" t="str">
        <f t="shared" si="124"/>
        <v>start /low /b %USERPROFILE%\Documents\GitHub\eaglep3\Utilities\DownloadLogsFromS3.py --loco 4010 --day 2017-09-03</v>
      </c>
      <c r="AN157" s="151" t="str">
        <f t="shared" si="125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07:36:37"},{"id":29,"name":"Sharepoint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775</v>
      </c>
      <c r="B158" s="7">
        <v>4009</v>
      </c>
      <c r="C158" s="21" t="s">
        <v>197</v>
      </c>
      <c r="D158" s="21" t="s">
        <v>488</v>
      </c>
      <c r="E158" s="13">
        <v>42981.069641203707</v>
      </c>
      <c r="F158" s="13">
        <v>42981.08152777778</v>
      </c>
      <c r="G158" s="7">
        <v>66</v>
      </c>
      <c r="H158" s="21" t="s">
        <v>945</v>
      </c>
      <c r="I158" s="13">
        <v>42981.109189814815</v>
      </c>
      <c r="J158" s="7">
        <v>0</v>
      </c>
      <c r="K158" s="89" t="str">
        <f t="shared" si="126"/>
        <v>4009/4010</v>
      </c>
      <c r="L158" s="214" t="str">
        <f>VLOOKUP(A158,'Trips&amp;Operators'!$C$1:$G$99911,5,FALSE)</f>
        <v>NICHOLSON WESLEY</v>
      </c>
      <c r="M158" s="6">
        <f t="shared" si="127"/>
        <v>2.7662037035042886E-2</v>
      </c>
      <c r="N158" s="7">
        <f t="shared" si="113"/>
        <v>39.833333330461755</v>
      </c>
      <c r="O158" s="7"/>
      <c r="P158" s="7"/>
      <c r="Q158" s="22"/>
      <c r="R158" s="167"/>
      <c r="S158" s="210">
        <f t="shared" si="114"/>
        <v>1</v>
      </c>
      <c r="T158" s="192" t="str">
        <f t="shared" si="128"/>
        <v>Southbound</v>
      </c>
      <c r="U158" s="192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93" t="str">
        <f t="shared" si="117"/>
        <v>https://d0f6bd738d7f1b3e5a7ca70fe4ff75f0.us-east-1.aws.found.io/app/kibana#/discover/Steve-Slow-Train-Analysis-(2080s-and-2083s)?_g=(refreshInterval:(display:Off,pause:!f,section:0,value:0),time:(from:'2017-09-03T00:40:17-0600',mode:absolute,to:'2017-09-03T03:37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58" s="194" t="str">
        <f>IF(AA158&lt;VLOOKUP(AG158,Variables!$AC$3:$AD$8,2,FALSE),"Y","N")</f>
        <v>N</v>
      </c>
      <c r="X158" s="194">
        <f t="shared" si="116"/>
        <v>1</v>
      </c>
      <c r="Y158" s="194">
        <f t="shared" si="120"/>
        <v>23.297799999999999</v>
      </c>
      <c r="Z158" s="194">
        <f t="shared" si="121"/>
        <v>2.07E-2</v>
      </c>
      <c r="AA158" s="194">
        <f t="shared" si="129"/>
        <v>23.277099999999997</v>
      </c>
      <c r="AB158" s="54" t="e">
        <f>VLOOKUP(A158,Enforcements!$C$7:$K$11,8,0)</f>
        <v>#N/A</v>
      </c>
      <c r="AC158" s="51" t="e">
        <f>VLOOKUP(A158,Enforcements!$C$7:$E$11,3,0)</f>
        <v>#N/A</v>
      </c>
      <c r="AD158" s="203">
        <f t="shared" si="130"/>
        <v>246</v>
      </c>
      <c r="AE158" s="77" t="str">
        <f t="shared" si="118"/>
        <v>aws s3 cp s3://rtdc.mdm.uploadarchive.raw/RTDC4009/ "%USERPROFILE%\AppData\Local\Temp\OnboardLogs"\RTDC4009\2017-09-03 --exclude "*" --recursive --include "*20170903*" &amp; "%USERPROFILE%\Documents\GitHub\mrs-test-scripts\Headless Mode &amp; Sideloading\WalkAndUnGZ.bat" "%USERPROFILE%\AppData\Local\Temp\OnboardLogs"\RTDC4009\2017-09-03 &amp; aws s3 cp s3://rtdc.mdm.uploadarchive.raw/RTDC4009/ "%USERPROFILE%\AppData\Local\Temp\OnboardLogs"\RTDC4009\2017-09-04 --exclude "*" --recursive --include "*20170904*" &amp; "%USERPROFILE%\Documents\GitHub\mrs-test-scripts\Headless Mode &amp; Sideloading\WalkAndUnGZ.bat" "%USERPROFILE%\AppData\Local\Temp\OnboardLogs"\RTDC4009\2017-09-04</v>
      </c>
      <c r="AF158" s="74" t="str">
        <f t="shared" si="119"/>
        <v>"C:\Program Files (x86)\AstroGrep\AstroGrep.exe" /e /r /s /spath="%USERPROFILE%\AppData\Local\Temp\OnboardLogs" /stypes="app*4009*20170903*" /stext=" 08:.+((SYSTEM_STATE.+slice.+state.+changed )|(ment ac)|(multiple cpu faults)|(system.+state.+changed )|(\[timeout)|(PRM\|1\|D)|(kpr)|(kdp)|(train st.+moving)|(\|lc)|(penalty))"</v>
      </c>
      <c r="AG158" s="206" t="str">
        <f t="shared" si="131"/>
        <v>EC</v>
      </c>
      <c r="AH158" s="78" t="str">
        <f t="shared" si="122"/>
        <v>"%USERPROFILE%\Documents\GitHub\eaglep3\Utilities\RefineRTDCRunTimes.py" --tripid 246-02 --locoid 4009 --swversion DE.1.0.9.0 --startMP 204:232978 --initTime 2017-09-03T01:40:17 --startdatetime 2017-09-03T01:57:24 --delay 66 --endMP 204:207 --enddatetime 2017-09-03T02:37:14 --enforcementcount 0 &gt;&gt;C:\Users\stu\Documents\GitHub\eaglep3-reporting\EC\2017-09-02-refined-times.txt</v>
      </c>
      <c r="AI158" s="96" t="str">
        <f t="shared" si="123"/>
        <v>echo {"issue":{"subject":"","project_id":79,"tracker_id":40,"status_id":1,"priority_id":2,"assigned_to_id":338,"start_date":"2017-09-03","description":"","custom_fields":[{"id":1,"name":"Subdivision","value":"EC"},{"id":4,"name":"Milepost","value":"0.0207"},{"id":17,"name":"Train ID","value":"246-02"},{"id":16,"name":"Locomotive ID","value":"4009"},{"id":130,"name":"Impact","value":""},{"id":150,"name":"Time of Event (Mountain Time)","value":"02:37:14"},{"id":151,"name":"Denver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7"/>
      <c r="AL158" s="47"/>
      <c r="AM158" s="142" t="str">
        <f t="shared" si="124"/>
        <v>start /low /b %USERPROFILE%\Documents\GitHub\eaglep3\Utilities\DownloadLogsFromS3.py --loco 4009 --day 2017-09-03</v>
      </c>
      <c r="AN158" s="151" t="str">
        <f t="shared" si="125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08:37:14"},{"id":29,"name":"Sharepoint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615</v>
      </c>
      <c r="B159" s="7">
        <v>4029</v>
      </c>
      <c r="C159" s="21" t="s">
        <v>197</v>
      </c>
      <c r="D159" s="21" t="s">
        <v>820</v>
      </c>
      <c r="E159" s="13">
        <v>42980.23269675926</v>
      </c>
      <c r="F159" s="13">
        <v>42980.234317129631</v>
      </c>
      <c r="G159" s="7">
        <v>72</v>
      </c>
      <c r="H159" s="21" t="s">
        <v>821</v>
      </c>
      <c r="I159" s="13">
        <v>42980.246620370373</v>
      </c>
      <c r="J159" s="7">
        <v>0</v>
      </c>
      <c r="K159" s="89" t="str">
        <f t="shared" si="126"/>
        <v>4029/4030</v>
      </c>
      <c r="L159" s="214" t="str">
        <f>VLOOKUP(A159,'Trips&amp;Operators'!$C$1:$G$99911,5,FALSE)</f>
        <v>LAMAR NEKESHA</v>
      </c>
      <c r="M159" s="6">
        <f t="shared" si="127"/>
        <v>1.230324074276723E-2</v>
      </c>
      <c r="N159" s="7">
        <f t="shared" si="113"/>
        <v>17.716666669584811</v>
      </c>
      <c r="O159" s="7"/>
      <c r="P159" s="7"/>
      <c r="Q159" s="22"/>
      <c r="R159" s="167"/>
      <c r="S159" s="210">
        <f t="shared" si="114"/>
        <v>1</v>
      </c>
      <c r="T159" s="192" t="str">
        <f t="shared" si="128"/>
        <v>Southbound</v>
      </c>
      <c r="U159" s="192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93" t="str">
        <f t="shared" si="117"/>
        <v>https://d0f6bd738d7f1b3e5a7ca70fe4ff75f0.us-east-1.aws.found.io/app/kibana#/discover/Steve-Slow-Train-Analysis-(2080s-and-2083s)?_g=(refreshInterval:(display:Off,pause:!f,section:0,value:0),time:(from:'2017-09-02T04:35:05-0600',mode:absolute,to:'2017-09-02T06:55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9" s="194" t="str">
        <f>IF(AA159&lt;VLOOKUP(AG159,Variables!$AC$3:$AD$8,2,FALSE),"Y","N")</f>
        <v>N</v>
      </c>
      <c r="X159" s="194">
        <f t="shared" si="116"/>
        <v>1554</v>
      </c>
      <c r="Y159" s="194">
        <f t="shared" si="120"/>
        <v>5.8674999999999997</v>
      </c>
      <c r="Z159" s="194">
        <f t="shared" si="121"/>
        <v>6.1899999999999997E-2</v>
      </c>
      <c r="AA159" s="194">
        <f t="shared" si="129"/>
        <v>5.8056000000000001</v>
      </c>
      <c r="AB159" s="54" t="e">
        <f>VLOOKUP(A159,Enforcements!$C$7:$K$11,8,0)</f>
        <v>#N/A</v>
      </c>
      <c r="AC159" s="51" t="e">
        <f>VLOOKUP(A159,Enforcements!$C$7:$E$11,3,0)</f>
        <v>#N/A</v>
      </c>
      <c r="AD159" s="203">
        <f t="shared" si="130"/>
        <v>1800</v>
      </c>
      <c r="AE159" s="77" t="str">
        <f t="shared" si="118"/>
        <v>aws s3 cp s3://rtdc.mdm.uploadarchive.raw/RTDC4029/ "%USERPROFILE%\AppData\Local\Temp\OnboardLogs"\RTDC4029\2017-09-02 --exclude "*" --recursive --include "*20170902*" &amp; "%USERPROFILE%\Documents\GitHub\mrs-test-scripts\Headless Mode &amp; Sideloading\WalkAndUnGZ.bat" "%USERPROFILE%\AppData\Local\Temp\OnboardLogs"\RTDC4029\2017-09-02 &amp; aws s3 cp s3://rtdc.mdm.uploadarchive.raw/RTDC4029/ "%USERPROFILE%\AppData\Local\Temp\OnboardLogs"\RTDC4029\2017-09-03 --exclude "*" --recursive --include "*20170903*" &amp; "%USERPROFILE%\Documents\GitHub\mrs-test-scripts\Headless Mode &amp; Sideloading\WalkAndUnGZ.bat" "%USERPROFILE%\AppData\Local\Temp\OnboardLogs"\RTDC4029\2017-09-03</v>
      </c>
      <c r="AF159" s="74" t="str">
        <f t="shared" si="119"/>
        <v>"C:\Program Files (x86)\AstroGrep\AstroGrep.exe" /e /r /s /spath="%USERPROFILE%\AppData\Local\Temp\OnboardLogs" /stypes="app*4029*20170902*" /stext=" 11:.+((SYSTEM_STATE.+slice.+state.+changed )|(ment ac)|(multiple cpu faults)|(system.+state.+changed )|(\[timeout)|(PRM\|1\|D)|(kpr)|(kdp)|(train st.+moving)|(\|lc)|(penalty))"</v>
      </c>
      <c r="AG159" s="206" t="str">
        <f t="shared" si="131"/>
        <v>NW</v>
      </c>
      <c r="AH159" s="78" t="str">
        <f t="shared" si="122"/>
        <v>"%USERPROFILE%\Documents\GitHub\eaglep3\Utilities\RefineRTDCRunTimes.py" --tripid 1800-02 --locoid 4029 --swversion DE.1.0.9.0 --startMP 300:58675 --initTime 2017-09-02T05:35:05 --startdatetime 2017-09-02T05:37:25 --delay 72 --endMP 204:619 --enddatetime 2017-09-02T05:55:08 --enforcementcount 0 &gt;&gt;C:\Users\stu\Documents\GitHub\eaglep3-reporting\EC\2017-09-02-refined-times.txt</v>
      </c>
      <c r="AI159" s="96" t="str">
        <f t="shared" si="123"/>
        <v>echo {"issue":{"subject":"","project_id":79,"tracker_id":40,"status_id":1,"priority_id":2,"assigned_to_id":338,"start_date":"2017-09-02","description":"","custom_fields":[{"id":1,"name":"Subdivision","value":"NW"},{"id":4,"name":"Milepost","value":"0.0619"},{"id":17,"name":"Train ID","value":"1800-02"},{"id":16,"name":"Locomotive ID","value":"4029"},{"id":130,"name":"Impact","value":""},{"id":150,"name":"Time of Event (Mountain Time)","value":"05:55:08"},{"id":151,"name":"Denver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9" s="47"/>
      <c r="AL159" s="47"/>
      <c r="AM159" s="142" t="str">
        <f t="shared" si="124"/>
        <v>start /low /b %USERPROFILE%\Documents\GitHub\eaglep3\Utilities\DownloadLogsFromS3.py --loco 4029 --day 2017-09-02</v>
      </c>
      <c r="AN159" s="151" t="str">
        <f t="shared" si="125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11:55:08"},{"id":29,"name":"Sharepoint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619</v>
      </c>
      <c r="B160" s="7">
        <v>4030</v>
      </c>
      <c r="C160" s="21" t="s">
        <v>197</v>
      </c>
      <c r="D160" s="21" t="s">
        <v>822</v>
      </c>
      <c r="E160" s="13">
        <v>42980.248564814814</v>
      </c>
      <c r="F160" s="13">
        <v>42980.256423611114</v>
      </c>
      <c r="G160" s="7">
        <v>62</v>
      </c>
      <c r="H160" s="21" t="s">
        <v>823</v>
      </c>
      <c r="I160" s="13">
        <v>42980.265393518515</v>
      </c>
      <c r="J160" s="7">
        <v>0</v>
      </c>
      <c r="K160" s="89" t="str">
        <f t="shared" si="126"/>
        <v>4029/4030</v>
      </c>
      <c r="L160" s="214" t="str">
        <f>VLOOKUP(A160,'Trips&amp;Operators'!$C$1:$G$99911,5,FALSE)</f>
        <v>LAMAR NEKESHA</v>
      </c>
      <c r="M160" s="6">
        <f t="shared" si="127"/>
        <v>8.9699074014788494E-3</v>
      </c>
      <c r="N160" s="7">
        <f t="shared" si="113"/>
        <v>12.916666658129543</v>
      </c>
      <c r="O160" s="7"/>
      <c r="P160" s="7"/>
      <c r="Q160" s="22"/>
      <c r="R160" s="167"/>
      <c r="S160" s="210">
        <f t="shared" si="114"/>
        <v>1</v>
      </c>
      <c r="T160" s="192" t="str">
        <f t="shared" si="128"/>
        <v>NorthBound</v>
      </c>
      <c r="U160" s="192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3" t="str">
        <f t="shared" si="117"/>
        <v>https://d0f6bd738d7f1b3e5a7ca70fe4ff75f0.us-east-1.aws.found.io/app/kibana#/discover/Steve-Slow-Train-Analysis-(2080s-and-2083s)?_g=(refreshInterval:(display:Off,pause:!f,section:0,value:0),time:(from:'2017-09-02T04:57:56-0600',mode:absolute,to:'2017-09-02T07:22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0" s="194" t="str">
        <f>IF(AA160&lt;VLOOKUP(AG160,Variables!$AC$3:$AD$8,2,FALSE),"Y","N")</f>
        <v>N</v>
      </c>
      <c r="X160" s="194">
        <f t="shared" si="116"/>
        <v>1</v>
      </c>
      <c r="Y160" s="194">
        <f t="shared" si="120"/>
        <v>9.2700000000000005E-2</v>
      </c>
      <c r="Z160" s="194">
        <f t="shared" si="121"/>
        <v>5.8975</v>
      </c>
      <c r="AA160" s="194">
        <f t="shared" si="129"/>
        <v>5.8048000000000002</v>
      </c>
      <c r="AB160" s="54" t="e">
        <f>VLOOKUP(A160,Enforcements!$C$7:$K$11,8,0)</f>
        <v>#N/A</v>
      </c>
      <c r="AC160" s="51" t="e">
        <f>VLOOKUP(A160,Enforcements!$C$7:$E$11,3,0)</f>
        <v>#N/A</v>
      </c>
      <c r="AD160" s="203">
        <f t="shared" si="130"/>
        <v>1801</v>
      </c>
      <c r="AE160" s="77" t="str">
        <f t="shared" si="118"/>
        <v>aws s3 cp s3://rtdc.mdm.uploadarchive.raw/RTDC4030/ "%USERPROFILE%\AppData\Local\Temp\OnboardLogs"\RTDC4030\2017-09-02 --exclude "*" --recursive --include "*20170902*" &amp; "%USERPROFILE%\Documents\GitHub\mrs-test-scripts\Headless Mode &amp; Sideloading\WalkAndUnGZ.bat" "%USERPROFILE%\AppData\Local\Temp\OnboardLogs"\RTDC4030\2017-09-02 &amp; aws s3 cp s3://rtdc.mdm.uploadarchive.raw/RTDC4030/ "%USERPROFILE%\AppData\Local\Temp\OnboardLogs"\RTDC4030\2017-09-03 --exclude "*" --recursive --include "*20170903*" &amp; "%USERPROFILE%\Documents\GitHub\mrs-test-scripts\Headless Mode &amp; Sideloading\WalkAndUnGZ.bat" "%USERPROFILE%\AppData\Local\Temp\OnboardLogs"\RTDC4030\2017-09-03</v>
      </c>
      <c r="AF160" s="74" t="str">
        <f t="shared" si="119"/>
        <v>"C:\Program Files (x86)\AstroGrep\AstroGrep.exe" /e /r /s /spath="%USERPROFILE%\AppData\Local\Temp\OnboardLogs" /stypes="app*4030*20170902*" /stext=" 12:.+((SYSTEM_STATE.+slice.+state.+changed )|(ment ac)|(multiple cpu faults)|(system.+state.+changed )|(\[timeout)|(PRM\|1\|D)|(kpr)|(kdp)|(train st.+moving)|(\|lc)|(penalty))"</v>
      </c>
      <c r="AG160" s="206" t="str">
        <f t="shared" si="131"/>
        <v>NW</v>
      </c>
      <c r="AH160" s="78" t="str">
        <f t="shared" si="122"/>
        <v>"%USERPROFILE%\Documents\GitHub\eaglep3\Utilities\RefineRTDCRunTimes.py" --tripid 1801-02 --locoid 4030 --swversion DE.1.0.9.0 --startMP 204:927 --initTime 2017-09-02T05:57:56 --startdatetime 2017-09-02T06:09:15 --delay 62 --endMP 300:58975 --enddatetime 2017-09-02T06:22:10 --enforcementcount 0 &gt;&gt;C:\Users\stu\Documents\GitHub\eaglep3-reporting\EC\2017-09-02-refined-times.txt</v>
      </c>
      <c r="AI160" s="96" t="str">
        <f t="shared" si="123"/>
        <v>echo {"issue":{"subject":"","project_id":79,"tracker_id":40,"status_id":1,"priority_id":2,"assigned_to_id":338,"start_date":"2017-09-02","description":"","custom_fields":[{"id":1,"name":"Subdivision","value":"NW"},{"id":4,"name":"Milepost","value":"5.8975"},{"id":17,"name":"Train ID","value":"1801-02"},{"id":16,"name":"Locomotive ID","value":"4030"},{"id":130,"name":"Impact","value":""},{"id":150,"name":"Time of Event (Mountain Time)","value":"06:22:10"},{"id":151,"name":"Denver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0" s="47"/>
      <c r="AL160" s="47"/>
      <c r="AM160" s="142" t="str">
        <f t="shared" si="124"/>
        <v>start /low /b %USERPROFILE%\Documents\GitHub\eaglep3\Utilities\DownloadLogsFromS3.py --loco 4030 --day 2017-09-02</v>
      </c>
      <c r="AN160" s="151" t="str">
        <f t="shared" si="125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12:22:10"},{"id":29,"name":"Sharepoint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32" t="s">
        <v>562</v>
      </c>
      <c r="B161" s="7">
        <v>4029</v>
      </c>
      <c r="C161" s="21" t="s">
        <v>197</v>
      </c>
      <c r="D161" s="21" t="s">
        <v>824</v>
      </c>
      <c r="E161" s="13">
        <v>42980.268020833333</v>
      </c>
      <c r="F161" s="13">
        <v>42980.277083333334</v>
      </c>
      <c r="G161" s="7">
        <v>130</v>
      </c>
      <c r="H161" s="21" t="s">
        <v>825</v>
      </c>
      <c r="I161" s="13">
        <v>42980.288124999999</v>
      </c>
      <c r="J161" s="7">
        <v>0</v>
      </c>
      <c r="K161" s="89" t="str">
        <f t="shared" si="126"/>
        <v>4029/4030</v>
      </c>
      <c r="L161" s="214" t="str">
        <f>VLOOKUP(A161,'Trips&amp;Operators'!$C$1:$G$99911,5,FALSE)</f>
        <v>LAMAR NEKESHA</v>
      </c>
      <c r="M161" s="6">
        <f t="shared" si="127"/>
        <v>1.1041666664823424E-2</v>
      </c>
      <c r="N161" s="7">
        <f t="shared" si="113"/>
        <v>15.899999997345731</v>
      </c>
      <c r="O161" s="7"/>
      <c r="P161" s="7"/>
      <c r="Q161" s="22"/>
      <c r="R161" s="167"/>
      <c r="S161" s="210">
        <f t="shared" si="114"/>
        <v>1</v>
      </c>
      <c r="T161" s="192" t="str">
        <f t="shared" si="128"/>
        <v>Southbound</v>
      </c>
      <c r="U161" s="192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3" t="str">
        <f t="shared" si="117"/>
        <v>https://d0f6bd738d7f1b3e5a7ca70fe4ff75f0.us-east-1.aws.found.io/app/kibana#/discover/Steve-Slow-Train-Analysis-(2080s-and-2083s)?_g=(refreshInterval:(display:Off,pause:!f,section:0,value:0),time:(from:'2017-09-02T05:25:57-0600',mode:absolute,to:'2017-09-02T07:54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1" s="194" t="str">
        <f>IF(AA161&lt;VLOOKUP(AG161,Variables!$AC$3:$AD$8,2,FALSE),"Y","N")</f>
        <v>N</v>
      </c>
      <c r="X161" s="194">
        <f t="shared" si="116"/>
        <v>1</v>
      </c>
      <c r="Y161" s="194">
        <f t="shared" si="120"/>
        <v>5.8667999999999996</v>
      </c>
      <c r="Z161" s="194">
        <f t="shared" si="121"/>
        <v>6.4299999999999996E-2</v>
      </c>
      <c r="AA161" s="194">
        <f t="shared" si="129"/>
        <v>5.8024999999999993</v>
      </c>
      <c r="AB161" s="54" t="e">
        <f>VLOOKUP(A161,Enforcements!$C$7:$K$11,8,0)</f>
        <v>#N/A</v>
      </c>
      <c r="AC161" s="51" t="e">
        <f>VLOOKUP(A161,Enforcements!$C$7:$E$11,3,0)</f>
        <v>#N/A</v>
      </c>
      <c r="AD161" s="203">
        <f t="shared" si="130"/>
        <v>1802</v>
      </c>
      <c r="AE161" s="77" t="str">
        <f t="shared" si="118"/>
        <v>aws s3 cp s3://rtdc.mdm.uploadarchive.raw/RTDC4029/ "%USERPROFILE%\AppData\Local\Temp\OnboardLogs"\RTDC4029\2017-09-02 --exclude "*" --recursive --include "*20170902*" &amp; "%USERPROFILE%\Documents\GitHub\mrs-test-scripts\Headless Mode &amp; Sideloading\WalkAndUnGZ.bat" "%USERPROFILE%\AppData\Local\Temp\OnboardLogs"\RTDC4029\2017-09-02 &amp; aws s3 cp s3://rtdc.mdm.uploadarchive.raw/RTDC4029/ "%USERPROFILE%\AppData\Local\Temp\OnboardLogs"\RTDC4029\2017-09-03 --exclude "*" --recursive --include "*20170903*" &amp; "%USERPROFILE%\Documents\GitHub\mrs-test-scripts\Headless Mode &amp; Sideloading\WalkAndUnGZ.bat" "%USERPROFILE%\AppData\Local\Temp\OnboardLogs"\RTDC4029\2017-09-03</v>
      </c>
      <c r="AF161" s="74" t="str">
        <f t="shared" si="119"/>
        <v>"C:\Program Files (x86)\AstroGrep\AstroGrep.exe" /e /r /s /spath="%USERPROFILE%\AppData\Local\Temp\OnboardLogs" /stypes="app*4029*20170902*" /stext=" 12:.+((SYSTEM_STATE.+slice.+state.+changed )|(ment ac)|(multiple cpu faults)|(system.+state.+changed )|(\[timeout)|(PRM\|1\|D)|(kpr)|(kdp)|(train st.+moving)|(\|lc)|(penalty))"</v>
      </c>
      <c r="AG161" s="206" t="str">
        <f t="shared" si="131"/>
        <v>NW</v>
      </c>
      <c r="AH161" s="78" t="str">
        <f t="shared" si="122"/>
        <v>"%USERPROFILE%\Documents\GitHub\eaglep3\Utilities\RefineRTDCRunTimes.py" --tripid 1802-02 --locoid 4029 --swversion DE.1.0.9.0 --startMP 300:58668 --initTime 2017-09-02T06:25:57 --startdatetime 2017-09-02T06:39:00 --delay 130 --endMP 204:643 --enddatetime 2017-09-02T06:54:54 --enforcementcount 0 &gt;&gt;C:\Users\stu\Documents\GitHub\eaglep3-reporting\EC\2017-09-02-refined-times.txt</v>
      </c>
      <c r="AI161" s="96" t="str">
        <f t="shared" si="123"/>
        <v>echo {"issue":{"subject":"","project_id":79,"tracker_id":40,"status_id":1,"priority_id":2,"assigned_to_id":338,"start_date":"2017-09-02","description":"","custom_fields":[{"id":1,"name":"Subdivision","value":"NW"},{"id":4,"name":"Milepost","value":"0.0643"},{"id":17,"name":"Train ID","value":"1802-02"},{"id":16,"name":"Locomotive ID","value":"4029"},{"id":130,"name":"Impact","value":""},{"id":150,"name":"Time of Event (Mountain Time)","value":"06:54:54"},{"id":151,"name":"Denver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7"/>
      <c r="AL161" s="47"/>
      <c r="AM161" s="142" t="str">
        <f t="shared" si="124"/>
        <v>start /low /b %USERPROFILE%\Documents\GitHub\eaglep3\Utilities\DownloadLogsFromS3.py --loco 4029 --day 2017-09-02</v>
      </c>
      <c r="AN161" s="151" t="str">
        <f t="shared" si="125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12:54:54"},{"id":29,"name":"Sharepoint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563</v>
      </c>
      <c r="B162" s="7">
        <v>4030</v>
      </c>
      <c r="C162" s="21" t="s">
        <v>197</v>
      </c>
      <c r="D162" s="21" t="s">
        <v>826</v>
      </c>
      <c r="E162" s="13">
        <v>42980.289930555555</v>
      </c>
      <c r="F162" s="13">
        <v>42980.298067129632</v>
      </c>
      <c r="G162" s="7">
        <v>80</v>
      </c>
      <c r="H162" s="21" t="s">
        <v>827</v>
      </c>
      <c r="I162" s="13">
        <v>42980.307210648149</v>
      </c>
      <c r="J162" s="7">
        <v>0</v>
      </c>
      <c r="K162" s="89" t="str">
        <f t="shared" si="126"/>
        <v>4029/4030</v>
      </c>
      <c r="L162" s="214" t="str">
        <f>VLOOKUP(A162,'Trips&amp;Operators'!$C$1:$G$99911,5,FALSE)</f>
        <v>LAMAR NEKESHA</v>
      </c>
      <c r="M162" s="6">
        <f t="shared" si="127"/>
        <v>9.1435185167938471E-3</v>
      </c>
      <c r="N162" s="7">
        <f t="shared" si="113"/>
        <v>13.16666666418314</v>
      </c>
      <c r="O162" s="7"/>
      <c r="P162" s="7"/>
      <c r="Q162" s="22"/>
      <c r="R162" s="167"/>
      <c r="S162" s="210">
        <f t="shared" ref="S162:S193" si="132">1/IF(AG162="EC",12,1)*SUM(U162:U162)</f>
        <v>1</v>
      </c>
      <c r="T162" s="192" t="str">
        <f t="shared" si="128"/>
        <v>NorthBound</v>
      </c>
      <c r="U162" s="192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3" t="str">
        <f t="shared" si="117"/>
        <v>https://d0f6bd738d7f1b3e5a7ca70fe4ff75f0.us-east-1.aws.found.io/app/kibana#/discover/Steve-Slow-Train-Analysis-(2080s-and-2083s)?_g=(refreshInterval:(display:Off,pause:!f,section:0,value:0),time:(from:'2017-09-02T05:57:30-0600',mode:absolute,to:'2017-09-02T08:22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2" s="194" t="str">
        <f>IF(AA162&lt;VLOOKUP(AG162,Variables!$AC$3:$AD$8,2,FALSE),"Y","N")</f>
        <v>N</v>
      </c>
      <c r="X162" s="194">
        <f t="shared" si="116"/>
        <v>1</v>
      </c>
      <c r="Y162" s="194">
        <f t="shared" si="120"/>
        <v>9.3600000000000003E-2</v>
      </c>
      <c r="Z162" s="194">
        <f t="shared" si="121"/>
        <v>5.8917999999999999</v>
      </c>
      <c r="AA162" s="194">
        <f t="shared" si="129"/>
        <v>5.7981999999999996</v>
      </c>
      <c r="AB162" s="54" t="e">
        <f>VLOOKUP(A162,Enforcements!$C$7:$K$11,8,0)</f>
        <v>#N/A</v>
      </c>
      <c r="AC162" s="51" t="e">
        <f>VLOOKUP(A162,Enforcements!$C$7:$E$11,3,0)</f>
        <v>#N/A</v>
      </c>
      <c r="AD162" s="203">
        <f t="shared" si="130"/>
        <v>1803</v>
      </c>
      <c r="AE162" s="77" t="str">
        <f t="shared" si="118"/>
        <v>aws s3 cp s3://rtdc.mdm.uploadarchive.raw/RTDC4030/ "%USERPROFILE%\AppData\Local\Temp\OnboardLogs"\RTDC4030\2017-09-02 --exclude "*" --recursive --include "*20170902*" &amp; "%USERPROFILE%\Documents\GitHub\mrs-test-scripts\Headless Mode &amp; Sideloading\WalkAndUnGZ.bat" "%USERPROFILE%\AppData\Local\Temp\OnboardLogs"\RTDC4030\2017-09-02 &amp; aws s3 cp s3://rtdc.mdm.uploadarchive.raw/RTDC4030/ "%USERPROFILE%\AppData\Local\Temp\OnboardLogs"\RTDC4030\2017-09-03 --exclude "*" --recursive --include "*20170903*" &amp; "%USERPROFILE%\Documents\GitHub\mrs-test-scripts\Headless Mode &amp; Sideloading\WalkAndUnGZ.bat" "%USERPROFILE%\AppData\Local\Temp\OnboardLogs"\RTDC4030\2017-09-03</v>
      </c>
      <c r="AF162" s="74" t="str">
        <f t="shared" si="119"/>
        <v>"C:\Program Files (x86)\AstroGrep\AstroGrep.exe" /e /r /s /spath="%USERPROFILE%\AppData\Local\Temp\OnboardLogs" /stypes="app*4030*20170902*" /stext=" 13:.+((SYSTEM_STATE.+slice.+state.+changed )|(ment ac)|(multiple cpu faults)|(system.+state.+changed )|(\[timeout)|(PRM\|1\|D)|(kpr)|(kdp)|(train st.+moving)|(\|lc)|(penalty))"</v>
      </c>
      <c r="AG162" s="206" t="str">
        <f t="shared" si="131"/>
        <v>NW</v>
      </c>
      <c r="AH162" s="78" t="str">
        <f t="shared" si="122"/>
        <v>"%USERPROFILE%\Documents\GitHub\eaglep3\Utilities\RefineRTDCRunTimes.py" --tripid 1803-02 --locoid 4030 --swversion DE.1.0.9.0 --startMP 204:936 --initTime 2017-09-02T06:57:30 --startdatetime 2017-09-02T07:09:13 --delay 80 --endMP 300:58918 --enddatetime 2017-09-02T07:22:23 --enforcementcount 0 &gt;&gt;C:\Users\stu\Documents\GitHub\eaglep3-reporting\EC\2017-09-02-refined-times.txt</v>
      </c>
      <c r="AI162" s="96" t="str">
        <f t="shared" si="123"/>
        <v>echo {"issue":{"subject":"","project_id":79,"tracker_id":40,"status_id":1,"priority_id":2,"assigned_to_id":338,"start_date":"2017-09-02","description":"","custom_fields":[{"id":1,"name":"Subdivision","value":"NW"},{"id":4,"name":"Milepost","value":"5.8918"},{"id":17,"name":"Train ID","value":"1803-02"},{"id":16,"name":"Locomotive ID","value":"4030"},{"id":130,"name":"Impact","value":""},{"id":150,"name":"Time of Event (Mountain Time)","value":"07:22:23"},{"id":151,"name":"Denver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2" s="47"/>
      <c r="AL162" s="47"/>
      <c r="AM162" s="142" t="str">
        <f t="shared" si="124"/>
        <v>start /low /b %USERPROFILE%\Documents\GitHub\eaglep3\Utilities\DownloadLogsFromS3.py --loco 4030 --day 2017-09-02</v>
      </c>
      <c r="AN162" s="151" t="str">
        <f t="shared" si="125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13:22:23"},{"id":29,"name":"Sharepoint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566</v>
      </c>
      <c r="B163" s="7">
        <v>4029</v>
      </c>
      <c r="C163" s="21" t="s">
        <v>197</v>
      </c>
      <c r="D163" s="21" t="s">
        <v>549</v>
      </c>
      <c r="E163" s="13">
        <v>42980.308298611111</v>
      </c>
      <c r="F163" s="13">
        <v>42980.318761574075</v>
      </c>
      <c r="G163" s="7">
        <v>77</v>
      </c>
      <c r="H163" s="21" t="s">
        <v>553</v>
      </c>
      <c r="I163" s="13">
        <v>42980.329421296294</v>
      </c>
      <c r="J163" s="7">
        <v>0</v>
      </c>
      <c r="K163" s="89" t="str">
        <f t="shared" si="126"/>
        <v>4029/4030</v>
      </c>
      <c r="L163" s="214" t="str">
        <f>VLOOKUP(A163,'Trips&amp;Operators'!$C$1:$G$99911,5,FALSE)</f>
        <v>LAMAR NEKESHA</v>
      </c>
      <c r="M163" s="6">
        <f t="shared" si="127"/>
        <v>1.0659722218406387E-2</v>
      </c>
      <c r="N163" s="7">
        <f t="shared" si="113"/>
        <v>15.349999994505197</v>
      </c>
      <c r="O163" s="7"/>
      <c r="P163" s="7"/>
      <c r="Q163" s="22"/>
      <c r="R163" s="167"/>
      <c r="S163" s="210">
        <f t="shared" si="132"/>
        <v>1</v>
      </c>
      <c r="T163" s="192" t="str">
        <f t="shared" si="128"/>
        <v>Southbound</v>
      </c>
      <c r="U163" s="192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3" t="str">
        <f t="shared" si="117"/>
        <v>https://d0f6bd738d7f1b3e5a7ca70fe4ff75f0.us-east-1.aws.found.io/app/kibana#/discover/Steve-Slow-Train-Analysis-(2080s-and-2083s)?_g=(refreshInterval:(display:Off,pause:!f,section:0,value:0),time:(from:'2017-09-02T06:23:57-0600',mode:absolute,to:'2017-09-02T08:54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3" s="194" t="str">
        <f>IF(AA163&lt;VLOOKUP(AG163,Variables!$AC$3:$AD$8,2,FALSE),"Y","N")</f>
        <v>N</v>
      </c>
      <c r="X163" s="194">
        <f t="shared" si="116"/>
        <v>1</v>
      </c>
      <c r="Y163" s="194">
        <f t="shared" si="120"/>
        <v>5.86</v>
      </c>
      <c r="Z163" s="194">
        <f t="shared" si="121"/>
        <v>6.3500000000000001E-2</v>
      </c>
      <c r="AA163" s="194">
        <f t="shared" si="129"/>
        <v>5.7965</v>
      </c>
      <c r="AB163" s="54" t="e">
        <f>VLOOKUP(A163,Enforcements!$C$7:$K$11,8,0)</f>
        <v>#N/A</v>
      </c>
      <c r="AC163" s="51" t="e">
        <f>VLOOKUP(A163,Enforcements!$C$7:$E$11,3,0)</f>
        <v>#N/A</v>
      </c>
      <c r="AD163" s="203">
        <f t="shared" si="130"/>
        <v>1804</v>
      </c>
      <c r="AE163" s="77" t="str">
        <f t="shared" si="118"/>
        <v>aws s3 cp s3://rtdc.mdm.uploadarchive.raw/RTDC4029/ "%USERPROFILE%\AppData\Local\Temp\OnboardLogs"\RTDC4029\2017-09-02 --exclude "*" --recursive --include "*20170902*" &amp; "%USERPROFILE%\Documents\GitHub\mrs-test-scripts\Headless Mode &amp; Sideloading\WalkAndUnGZ.bat" "%USERPROFILE%\AppData\Local\Temp\OnboardLogs"\RTDC4029\2017-09-02 &amp; aws s3 cp s3://rtdc.mdm.uploadarchive.raw/RTDC4029/ "%USERPROFILE%\AppData\Local\Temp\OnboardLogs"\RTDC4029\2017-09-03 --exclude "*" --recursive --include "*20170903*" &amp; "%USERPROFILE%\Documents\GitHub\mrs-test-scripts\Headless Mode &amp; Sideloading\WalkAndUnGZ.bat" "%USERPROFILE%\AppData\Local\Temp\OnboardLogs"\RTDC4029\2017-09-03</v>
      </c>
      <c r="AF163" s="74" t="str">
        <f t="shared" si="119"/>
        <v>"C:\Program Files (x86)\AstroGrep\AstroGrep.exe" /e /r /s /spath="%USERPROFILE%\AppData\Local\Temp\OnboardLogs" /stypes="app*4029*20170902*" /stext=" 13:.+((SYSTEM_STATE.+slice.+state.+changed )|(ment ac)|(multiple cpu faults)|(system.+state.+changed )|(\[timeout)|(PRM\|1\|D)|(kpr)|(kdp)|(train st.+moving)|(\|lc)|(penalty))"</v>
      </c>
      <c r="AG163" s="206" t="str">
        <f t="shared" si="131"/>
        <v>NW</v>
      </c>
      <c r="AH163" s="78" t="str">
        <f t="shared" si="122"/>
        <v>"%USERPROFILE%\Documents\GitHub\eaglep3\Utilities\RefineRTDCRunTimes.py" --tripid 1804-02 --locoid 4029 --swversion DE.1.0.9.0 --startMP 300:58600 --initTime 2017-09-02T07:23:57 --startdatetime 2017-09-02T07:39:01 --delay 77 --endMP 204:635 --enddatetime 2017-09-02T07:54:22 --enforcementcount 0 &gt;&gt;C:\Users\stu\Documents\GitHub\eaglep3-reporting\EC\2017-09-02-refined-times.txt</v>
      </c>
      <c r="AI163" s="96" t="str">
        <f t="shared" si="123"/>
        <v>echo {"issue":{"subject":"","project_id":79,"tracker_id":40,"status_id":1,"priority_id":2,"assigned_to_id":338,"start_date":"2017-09-02","description":"","custom_fields":[{"id":1,"name":"Subdivision","value":"NW"},{"id":4,"name":"Milepost","value":"0.0635"},{"id":17,"name":"Train ID","value":"1804-02"},{"id":16,"name":"Locomotive ID","value":"4029"},{"id":130,"name":"Impact","value":""},{"id":150,"name":"Time of Event (Mountain Time)","value":"07:54:22"},{"id":151,"name":"Denver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7"/>
      <c r="AL163" s="47"/>
      <c r="AM163" s="142" t="str">
        <f t="shared" si="124"/>
        <v>start /low /b %USERPROFILE%\Documents\GitHub\eaglep3\Utilities\DownloadLogsFromS3.py --loco 4029 --day 2017-09-02</v>
      </c>
      <c r="AN163" s="151" t="str">
        <f t="shared" si="125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13:54:22"},{"id":29,"name":"Sharepoint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964</v>
      </c>
      <c r="B164" s="7">
        <v>4030</v>
      </c>
      <c r="C164" s="21" t="s">
        <v>197</v>
      </c>
      <c r="D164" s="21" t="s">
        <v>549</v>
      </c>
      <c r="E164" s="13">
        <v>42980.308298611111</v>
      </c>
      <c r="F164" s="13">
        <v>42980.34375</v>
      </c>
      <c r="G164" s="7">
        <v>77</v>
      </c>
      <c r="H164" s="21" t="s">
        <v>553</v>
      </c>
      <c r="I164" s="13">
        <v>42980.344444444447</v>
      </c>
      <c r="J164" s="7">
        <v>0</v>
      </c>
      <c r="K164" s="89" t="str">
        <f t="shared" si="126"/>
        <v>4029/4030</v>
      </c>
      <c r="L164" s="214" t="e">
        <f>VLOOKUP(A164,'Trips&amp;Operators'!$C$1:$G$99911,5,FALSE)</f>
        <v>#N/A</v>
      </c>
      <c r="M164" s="6">
        <f t="shared" si="127"/>
        <v>6.944444467080757E-4</v>
      </c>
      <c r="N164" s="7"/>
      <c r="O164" s="7"/>
      <c r="P164" s="7">
        <f>24*60*SUM($M164:$M164)</f>
        <v>1.000000003259629</v>
      </c>
      <c r="Q164" s="22"/>
      <c r="R164" s="167" t="s">
        <v>956</v>
      </c>
      <c r="S164" s="210">
        <f t="shared" si="132"/>
        <v>0</v>
      </c>
      <c r="T164" s="192" t="str">
        <f t="shared" si="128"/>
        <v>NorthBound</v>
      </c>
      <c r="U164" s="192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0</v>
      </c>
      <c r="V164" s="193" t="str">
        <f t="shared" si="117"/>
        <v>https://d0f6bd738d7f1b3e5a7ca70fe4ff75f0.us-east-1.aws.found.io/app/kibana#/discover/Steve-Slow-Train-Analysis-(2080s-and-2083s)?_g=(refreshInterval:(display:Off,pause:!f,section:0,value:0),time:(from:'2017-09-02T06:23:57-0600',mode:absolute,to:'2017-09-02T09:16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4" s="194" t="str">
        <f>IF(AA164&lt;VLOOKUP(AG164,Variables!$AC$3:$AD$8,2,FALSE),"Y","N")</f>
        <v>N</v>
      </c>
      <c r="X164" s="194">
        <f t="shared" ref="X164:X165" si="133">VALUE(LEFT(AD164,4))-VALUE(LEFT(AD163,4))</f>
        <v>1</v>
      </c>
      <c r="Y164" s="194">
        <f t="shared" si="120"/>
        <v>5.86</v>
      </c>
      <c r="Z164" s="194">
        <f t="shared" si="121"/>
        <v>6.3500000000000001E-2</v>
      </c>
      <c r="AA164" s="194">
        <f t="shared" si="129"/>
        <v>5.7965</v>
      </c>
      <c r="AB164" s="54" t="e">
        <f>VLOOKUP(A164,Enforcements!$C$7:$K$11,8,0)</f>
        <v>#N/A</v>
      </c>
      <c r="AC164" s="51" t="e">
        <f>VLOOKUP(A164,Enforcements!$C$7:$E$11,3,0)</f>
        <v>#N/A</v>
      </c>
      <c r="AD164" s="203">
        <f t="shared" si="130"/>
        <v>1805</v>
      </c>
      <c r="AE164" s="77" t="str">
        <f t="shared" si="118"/>
        <v>aws s3 cp s3://rtdc.mdm.uploadarchive.raw/RTDC4030/ "%USERPROFILE%\AppData\Local\Temp\OnboardLogs"\RTDC4030\2017-09-02 --exclude "*" --recursive --include "*20170902*" &amp; "%USERPROFILE%\Documents\GitHub\mrs-test-scripts\Headless Mode &amp; Sideloading\WalkAndUnGZ.bat" "%USERPROFILE%\AppData\Local\Temp\OnboardLogs"\RTDC4030\2017-09-02 &amp; aws s3 cp s3://rtdc.mdm.uploadarchive.raw/RTDC4030/ "%USERPROFILE%\AppData\Local\Temp\OnboardLogs"\RTDC4030\2017-09-03 --exclude "*" --recursive --include "*20170903*" &amp; "%USERPROFILE%\Documents\GitHub\mrs-test-scripts\Headless Mode &amp; Sideloading\WalkAndUnGZ.bat" "%USERPROFILE%\AppData\Local\Temp\OnboardLogs"\RTDC4030\2017-09-03</v>
      </c>
      <c r="AF164" s="74" t="str">
        <f t="shared" si="119"/>
        <v>"C:\Program Files (x86)\AstroGrep\AstroGrep.exe" /e /r /s /spath="%USERPROFILE%\AppData\Local\Temp\OnboardLogs" /stypes="app*4030*20170902*" /stext=" 14:.+((SYSTEM_STATE.+slice.+state.+changed )|(ment ac)|(multiple cpu faults)|(system.+state.+changed )|(\[timeout)|(PRM\|1\|D)|(kpr)|(kdp)|(train st.+moving)|(\|lc)|(penalty))"</v>
      </c>
      <c r="AG164" s="206" t="str">
        <f t="shared" si="131"/>
        <v>NW</v>
      </c>
      <c r="AH164" s="78" t="str">
        <f t="shared" ref="AH164" si="134">refinertdcruntimes&amp;" --tripid "&amp;A164&amp;" --locoid "&amp;B164&amp;" --swversion "&amp;C164&amp;" --startMP "&amp;D164&amp;" --initTime "&amp;TEXT(E164,"yyyy-mm-ddTHH:MM:SS")&amp;" --startdatetime "&amp;TEXT(F164,"yyyy-mm-ddTHH:MM:SS")&amp;" --delay "&amp;G164&amp;" --endMP "&amp;H164&amp;" --enddatetime "&amp;TEXT(I164,"yyyy-mm-ddTHH:MM:SS")&amp;" --enforcementcount "&amp;J164&amp;IF(outputrefinedruntimes," &gt;&gt;"&amp;RefinedRTDCRunTimesOutputFile,"")</f>
        <v>"%USERPROFILE%\Documents\GitHub\eaglep3\Utilities\RefineRTDCRunTimes.py" --tripid 1805-02 --locoid 4030 --swversion DE.1.0.9.0 --startMP 300:58600 --initTime 2017-09-02T07:23:57 --startdatetime 2017-09-02T08:15:00 --delay 77 --endMP 204:635 --enddatetime 2017-09-02T08:16:00 --enforcementcount 0 &gt;&gt;C:\Users\stu\Documents\GitHub\eaglep3-reporting\EC\2017-09-02-refined-times.txt</v>
      </c>
      <c r="AI164" s="96" t="str">
        <f t="shared" ref="AI164" si="135">"echo {""issue"":{""subject"":"""&amp;R164&amp;""",""project_id"":79,""tracker_id"":40,""status_id"":"&amp;redmine_status&amp;",""priority_id"":"&amp;redmine_priority&amp;",""assigned_to_id"":"&amp;redmine_assignee&amp;",""start_date"":"""&amp;TEXT(I164,"YYYY-mm-dd")&amp;""",""description"":"""&amp;AJ164&amp;""",""custom_fields"":[{""id"":1,""name"":""Subdivision"",""value"":"""&amp;AG164&amp;"""},{""id"":4,""name"":""Milepost"",""value"":"""&amp;Z164&amp;"""},{""id"":17,""name"":""Train ID"",""value"":"""&amp;A164&amp;"""},{""id"":16,""name"":""Locomotive ID"",""value"":"""&amp;B164&amp;"""},{""id"":130,""name"":""Impact"",""value"":"""&amp;AK164&amp;"""},{""id"":150,""name"":""Time of Event (Mountain Time)"",""value"":"""&amp;TEXT(I164,"hh:mm:ss")&amp;"""},{""id"":151,""name"":""Denver Issue ID"",""value"":"""&amp;"""},{""id"":178,""name"":""Operational Impact"",""value"":"""&amp;redmine_op_impact&amp;"""},{""id"":179,""name"":""Denver Segment Assigned"",""value"":"""&amp;AL164&amp;"""}]}}"&amp;"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failure","project_id":79,"tracker_id":40,"status_id":1,"priority_id":2,"assigned_to_id":338,"start_date":"2017-09-02","description":"","custom_fields":[{"id":1,"name":"Subdivision","value":"NW"},{"id":4,"name":"Milepost","value":"0.0635"},{"id":17,"name":"Train ID","value":"1805-02"},{"id":16,"name":"Locomotive ID","value":"4030"},{"id":130,"name":"Impact","value":""},{"id":150,"name":"Time of Event (Mountain Time)","value":"08:16:00"},{"id":151,"name":"Denver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7"/>
      <c r="AL164" s="47"/>
      <c r="AM164" s="142" t="str">
        <f t="shared" ref="AM164" si="136">"start /low /b "&amp;dls3logs&amp;" --loco "&amp;B164&amp;" --day "&amp;TEXT(F164,"YYYY-MM-DD")</f>
        <v>start /low /b %USERPROFILE%\Documents\GitHub\eaglep3\Utilities\DownloadLogsFromS3.py --loco 4030 --day 2017-09-02</v>
      </c>
      <c r="AN164" s="151" t="str">
        <f t="shared" ref="AN164" si="137">"echo {""issue"":{""subject"":"""&amp;R164&amp;""",""project_id"":30,""tracker_id"":4,""status_id"":"&amp;redmine_status_wcr&amp;",""priority_id"":"&amp;redmine_priority_wcr&amp;",""assigned_to_id"":"&amp;redmine_assignee_wcr&amp;",""start_date"":"""&amp;TEXT(I164-utc_offset/24,"YYYY-mm-dd")&amp;""",""description"":"""&amp;AJ164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{"issue":{"subject":"Onboard in-route failure","project_id":30,"tracker_id":4,"status_id":1,"priority_id":1,"assigned_to_id":10,"start_date":"2017-09-02","description":"","custom_fields":[{"id":30,"name":"Category","value":"Issue"},{"id":3,"name":"Functional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14:16:00"},{"id":29,"name":"Sharepoint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5" spans="1:91" s="20" customFormat="1" x14ac:dyDescent="0.25">
      <c r="A165" s="32" t="s">
        <v>567</v>
      </c>
      <c r="B165" s="7">
        <v>4029</v>
      </c>
      <c r="C165" s="21" t="s">
        <v>197</v>
      </c>
      <c r="D165" s="21" t="s">
        <v>550</v>
      </c>
      <c r="E165" s="13">
        <v>42980.353773148148</v>
      </c>
      <c r="F165" s="13">
        <v>42980.359884259262</v>
      </c>
      <c r="G165" s="7">
        <v>51</v>
      </c>
      <c r="H165" s="21" t="s">
        <v>828</v>
      </c>
      <c r="I165" s="13">
        <v>42980.372916666667</v>
      </c>
      <c r="J165" s="7">
        <v>0</v>
      </c>
      <c r="K165" s="89" t="str">
        <f t="shared" si="126"/>
        <v>4029/4030</v>
      </c>
      <c r="L165" s="214" t="str">
        <f>VLOOKUP(A165,'Trips&amp;Operators'!$C$1:$G$99911,5,FALSE)</f>
        <v>LAMAR NEKESHA</v>
      </c>
      <c r="M165" s="6">
        <f t="shared" si="127"/>
        <v>1.3032407405262347E-2</v>
      </c>
      <c r="N165" s="7">
        <f>24*60*SUM($M165:$M165)</f>
        <v>18.76666666357778</v>
      </c>
      <c r="O165" s="7"/>
      <c r="P165" s="7"/>
      <c r="Q165" s="22"/>
      <c r="R165" s="167"/>
      <c r="S165" s="210">
        <f t="shared" si="132"/>
        <v>1</v>
      </c>
      <c r="T165" s="192" t="str">
        <f t="shared" si="128"/>
        <v>Southbound</v>
      </c>
      <c r="U165" s="192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3" t="str">
        <f t="shared" si="117"/>
        <v>https://d0f6bd738d7f1b3e5a7ca70fe4ff75f0.us-east-1.aws.found.io/app/kibana#/discover/Steve-Slow-Train-Analysis-(2080s-and-2083s)?_g=(refreshInterval:(display:Off,pause:!f,section:0,value:0),time:(from:'2017-09-02T07:29:26-0600',mode:absolute,to:'2017-09-02T09:57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5" s="194" t="str">
        <f>IF(AA165&lt;VLOOKUP(AG165,Variables!$AC$3:$AD$8,2,FALSE),"Y","N")</f>
        <v>N</v>
      </c>
      <c r="X165" s="194">
        <f t="shared" si="133"/>
        <v>1</v>
      </c>
      <c r="Y165" s="194">
        <f t="shared" si="120"/>
        <v>5.8666</v>
      </c>
      <c r="Z165" s="194">
        <f t="shared" si="121"/>
        <v>6.0299999999999999E-2</v>
      </c>
      <c r="AA165" s="194">
        <f t="shared" si="129"/>
        <v>5.8063000000000002</v>
      </c>
      <c r="AB165" s="54" t="e">
        <f>VLOOKUP(A165,Enforcements!$C$7:$K$11,8,0)</f>
        <v>#N/A</v>
      </c>
      <c r="AC165" s="51" t="e">
        <f>VLOOKUP(A165,Enforcements!$C$7:$E$11,3,0)</f>
        <v>#N/A</v>
      </c>
      <c r="AD165" s="203">
        <f t="shared" si="130"/>
        <v>1806</v>
      </c>
      <c r="AE165" s="77" t="str">
        <f t="shared" si="118"/>
        <v>aws s3 cp s3://rtdc.mdm.uploadarchive.raw/RTDC4029/ "%USERPROFILE%\AppData\Local\Temp\OnboardLogs"\RTDC4029\2017-09-02 --exclude "*" --recursive --include "*20170902*" &amp; "%USERPROFILE%\Documents\GitHub\mrs-test-scripts\Headless Mode &amp; Sideloading\WalkAndUnGZ.bat" "%USERPROFILE%\AppData\Local\Temp\OnboardLogs"\RTDC4029\2017-09-02 &amp; aws s3 cp s3://rtdc.mdm.uploadarchive.raw/RTDC4029/ "%USERPROFILE%\AppData\Local\Temp\OnboardLogs"\RTDC4029\2017-09-03 --exclude "*" --recursive --include "*20170903*" &amp; "%USERPROFILE%\Documents\GitHub\mrs-test-scripts\Headless Mode &amp; Sideloading\WalkAndUnGZ.bat" "%USERPROFILE%\AppData\Local\Temp\OnboardLogs"\RTDC4029\2017-09-03</v>
      </c>
      <c r="AF165" s="74" t="str">
        <f t="shared" si="119"/>
        <v>"C:\Program Files (x86)\AstroGrep\AstroGrep.exe" /e /r /s /spath="%USERPROFILE%\AppData\Local\Temp\OnboardLogs" /stypes="app*4029*20170902*" /stext=" 14:.+((SYSTEM_STATE.+slice.+state.+changed )|(ment ac)|(multiple cpu faults)|(system.+state.+changed )|(\[timeout)|(PRM\|1\|D)|(kpr)|(kdp)|(train st.+moving)|(\|lc)|(penalty))"</v>
      </c>
      <c r="AG165" s="206" t="str">
        <f t="shared" si="131"/>
        <v>NW</v>
      </c>
      <c r="AH165" s="78" t="str">
        <f t="shared" si="122"/>
        <v>"%USERPROFILE%\Documents\GitHub\eaglep3\Utilities\RefineRTDCRunTimes.py" --tripid 1806-02 --locoid 4029 --swversion DE.1.0.9.0 --startMP 300:58666 --initTime 2017-09-02T08:29:26 --startdatetime 2017-09-02T08:38:14 --delay 51 --endMP 204:603 --enddatetime 2017-09-02T08:57:00 --enforcementcount 0 &gt;&gt;C:\Users\stu\Documents\GitHub\eaglep3-reporting\EC\2017-09-02-refined-times.txt</v>
      </c>
      <c r="AI165" s="96" t="str">
        <f t="shared" si="123"/>
        <v>echo {"issue":{"subject":"","project_id":79,"tracker_id":40,"status_id":1,"priority_id":2,"assigned_to_id":338,"start_date":"2017-09-02","description":"","custom_fields":[{"id":1,"name":"Subdivision","value":"NW"},{"id":4,"name":"Milepost","value":"0.0603"},{"id":17,"name":"Train ID","value":"1806-02"},{"id":16,"name":"Locomotive ID","value":"4029"},{"id":130,"name":"Impact","value":""},{"id":150,"name":"Time of Event (Mountain Time)","value":"08:57:00"},{"id":151,"name":"Denver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7"/>
      <c r="AL165" s="47"/>
      <c r="AM165" s="142" t="str">
        <f t="shared" si="124"/>
        <v>start /low /b %USERPROFILE%\Documents\GitHub\eaglep3\Utilities\DownloadLogsFromS3.py --loco 4029 --day 2017-09-02</v>
      </c>
      <c r="AN165" s="151" t="str">
        <f t="shared" si="125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14:57:00"},{"id":29,"name":"Sharepoint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643</v>
      </c>
      <c r="B166" s="7">
        <v>4030</v>
      </c>
      <c r="C166" s="21" t="s">
        <v>197</v>
      </c>
      <c r="D166" s="21" t="s">
        <v>550</v>
      </c>
      <c r="E166" s="13">
        <v>42980.353773148148</v>
      </c>
      <c r="F166" s="13">
        <v>42980.381423611114</v>
      </c>
      <c r="G166" s="7">
        <v>51</v>
      </c>
      <c r="H166" s="21" t="s">
        <v>828</v>
      </c>
      <c r="I166" s="13">
        <v>42980.381423611114</v>
      </c>
      <c r="J166" s="7">
        <v>0</v>
      </c>
      <c r="K166" s="89" t="str">
        <f t="shared" si="126"/>
        <v>4029/4030</v>
      </c>
      <c r="L166" s="214" t="str">
        <f>VLOOKUP(A166,'Trips&amp;Operators'!$C$1:$G$99911,5,FALSE)</f>
        <v>LAMAR NEKESHA</v>
      </c>
      <c r="M166" s="6">
        <f t="shared" si="127"/>
        <v>0</v>
      </c>
      <c r="N166" s="7"/>
      <c r="O166" s="7"/>
      <c r="P166" s="7">
        <v>1</v>
      </c>
      <c r="Q166" s="22"/>
      <c r="R166" s="167" t="s">
        <v>965</v>
      </c>
      <c r="S166" s="210">
        <f t="shared" si="132"/>
        <v>0</v>
      </c>
      <c r="T166" s="192" t="str">
        <f t="shared" si="128"/>
        <v>NorthBound</v>
      </c>
      <c r="U166" s="192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0</v>
      </c>
      <c r="V166" s="193" t="str">
        <f t="shared" si="117"/>
        <v>https://d0f6bd738d7f1b3e5a7ca70fe4ff75f0.us-east-1.aws.found.io/app/kibana#/discover/Steve-Slow-Train-Analysis-(2080s-and-2083s)?_g=(refreshInterval:(display:Off,pause:!f,section:0,value:0),time:(from:'2017-09-02T07:29:26-0600',mode:absolute,to:'2017-09-02T10:09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6" s="194" t="str">
        <f>IF(AA166&lt;VLOOKUP(AG166,Variables!$AC$3:$AD$8,2,FALSE),"Y","N")</f>
        <v>N</v>
      </c>
      <c r="X166" s="194">
        <f t="shared" ref="X166:X168" si="138">VALUE(LEFT(AD166,4))-VALUE(LEFT(AD165,4))</f>
        <v>1</v>
      </c>
      <c r="Y166" s="194">
        <f t="shared" si="120"/>
        <v>5.8666</v>
      </c>
      <c r="Z166" s="194">
        <f t="shared" si="121"/>
        <v>6.0299999999999999E-2</v>
      </c>
      <c r="AA166" s="194">
        <f t="shared" si="129"/>
        <v>5.8063000000000002</v>
      </c>
      <c r="AB166" s="54" t="e">
        <f>VLOOKUP(A166,Enforcements!$C$7:$K$11,8,0)</f>
        <v>#N/A</v>
      </c>
      <c r="AC166" s="51" t="e">
        <f>VLOOKUP(A166,Enforcements!$C$7:$E$11,3,0)</f>
        <v>#N/A</v>
      </c>
      <c r="AD166" s="203">
        <f t="shared" si="130"/>
        <v>1807</v>
      </c>
      <c r="AE166" s="77" t="str">
        <f t="shared" si="118"/>
        <v>aws s3 cp s3://rtdc.mdm.uploadarchive.raw/RTDC4030/ "%USERPROFILE%\AppData\Local\Temp\OnboardLogs"\RTDC4030\2017-09-02 --exclude "*" --recursive --include "*20170902*" &amp; "%USERPROFILE%\Documents\GitHub\mrs-test-scripts\Headless Mode &amp; Sideloading\WalkAndUnGZ.bat" "%USERPROFILE%\AppData\Local\Temp\OnboardLogs"\RTDC4030\2017-09-02 &amp; aws s3 cp s3://rtdc.mdm.uploadarchive.raw/RTDC4030/ "%USERPROFILE%\AppData\Local\Temp\OnboardLogs"\RTDC4030\2017-09-03 --exclude "*" --recursive --include "*20170903*" &amp; "%USERPROFILE%\Documents\GitHub\mrs-test-scripts\Headless Mode &amp; Sideloading\WalkAndUnGZ.bat" "%USERPROFILE%\AppData\Local\Temp\OnboardLogs"\RTDC4030\2017-09-03</v>
      </c>
      <c r="AF166" s="74" t="str">
        <f t="shared" si="119"/>
        <v>"C:\Program Files (x86)\AstroGrep\AstroGrep.exe" /e /r /s /spath="%USERPROFILE%\AppData\Local\Temp\OnboardLogs" /stypes="app*4030*20170902*" /stext=" 15:.+((SYSTEM_STATE.+slice.+state.+changed )|(ment ac)|(multiple cpu faults)|(system.+state.+changed )|(\[timeout)|(PRM\|1\|D)|(kpr)|(kdp)|(train st.+moving)|(\|lc)|(penalty))"</v>
      </c>
      <c r="AG166" s="206" t="str">
        <f t="shared" si="131"/>
        <v>NW</v>
      </c>
      <c r="AH166" s="78" t="str">
        <f t="shared" ref="AH166" si="139">refinertdcruntimes&amp;" --tripid "&amp;A166&amp;" --locoid "&amp;B166&amp;" --swversion "&amp;C166&amp;" --startMP "&amp;D166&amp;" --initTime "&amp;TEXT(E166,"yyyy-mm-ddTHH:MM:SS")&amp;" --startdatetime "&amp;TEXT(F166,"yyyy-mm-ddTHH:MM:SS")&amp;" --delay "&amp;G166&amp;" --endMP "&amp;H166&amp;" --enddatetime "&amp;TEXT(I166,"yyyy-mm-ddTHH:MM:SS")&amp;" --enforcementcount "&amp;J166&amp;IF(outputrefinedruntimes," &gt;&gt;"&amp;RefinedRTDCRunTimesOutputFile,"")</f>
        <v>"%USERPROFILE%\Documents\GitHub\eaglep3\Utilities\RefineRTDCRunTimes.py" --tripid 1807-02 --locoid 4030 --swversion DE.1.0.9.0 --startMP 300:58666 --initTime 2017-09-02T08:29:26 --startdatetime 2017-09-02T09:09:15 --delay 51 --endMP 204:603 --enddatetime 2017-09-02T09:09:15 --enforcementcount 0 &gt;&gt;C:\Users\stu\Documents\GitHub\eaglep3-reporting\EC\2017-09-02-refined-times.txt</v>
      </c>
      <c r="AI166" s="96" t="str">
        <f t="shared" ref="AI166" si="140">"echo {""issue"":{""subject"":"""&amp;R166&amp;""",""project_id"":79,""tracker_id"":40,""status_id"":"&amp;redmine_status&amp;",""priority_id"":"&amp;redmine_priority&amp;",""assigned_to_id"":"&amp;redmine_assignee&amp;",""start_date"":"""&amp;TEXT(I166,"YYYY-mm-dd")&amp;""",""description"":"""&amp;AJ166&amp;""",""custom_fields"":[{""id"":1,""name"":""Subdivision"",""value"":"""&amp;AG166&amp;"""},{""id"":4,""name"":""Milepost"",""value"":"""&amp;Z166&amp;"""},{""id"":17,""name"":""Train ID"",""value"":"""&amp;A166&amp;"""},{""id"":16,""name"":""Locomotive ID"",""value"":"""&amp;B166&amp;"""},{""id"":130,""name"":""Impact"",""value"":"""&amp;AK166&amp;"""},{""id"":150,""name"":""Time of Event (Mountain Time)"",""value"":"""&amp;TEXT(I166,"hh:mm:ss")&amp;"""},{""id"":151,""name"":""Denver Issue ID"",""value"":"""&amp;"""},{""id"":178,""name"":""Operational Impact"",""value"":"""&amp;redmine_op_impact&amp;"""},{""id"":179,""name"":""Denver Segment Assigned"",""value"":"""&amp;AL166&amp;"""}]}}"&amp;" | curl -X POST -H ""Content-Type: application/json"" -H ""X-Redmine-API-Key: "&amp;redm_api_key&amp;""" "&amp;redm_url&amp;" --data @-"</f>
        <v>echo {"issue":{"subject":"Did not perform depart test","project_id":79,"tracker_id":40,"status_id":1,"priority_id":2,"assigned_to_id":338,"start_date":"2017-09-02","description":"","custom_fields":[{"id":1,"name":"Subdivision","value":"NW"},{"id":4,"name":"Milepost","value":"0.0603"},{"id":17,"name":"Train ID","value":"1807-02"},{"id":16,"name":"Locomotive ID","value":"4030"},{"id":130,"name":"Impact","value":""},{"id":150,"name":"Time of Event (Mountain Time)","value":"09:09:15"},{"id":151,"name":"Denver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6" s="47"/>
      <c r="AL166" s="47"/>
      <c r="AM166" s="142" t="str">
        <f t="shared" ref="AM166" si="141">"start /low /b "&amp;dls3logs&amp;" --loco "&amp;B166&amp;" --day "&amp;TEXT(F166,"YYYY-MM-DD")</f>
        <v>start /low /b %USERPROFILE%\Documents\GitHub\eaglep3\Utilities\DownloadLogsFromS3.py --loco 4030 --day 2017-09-02</v>
      </c>
      <c r="AN166" s="151" t="str">
        <f t="shared" ref="AN166" si="142">"echo {""issue"":{""subject"":"""&amp;R166&amp;""",""project_id"":30,""tracker_id"":4,""status_id"":"&amp;redmine_status_wcr&amp;",""priority_id"":"&amp;redmine_priority_wcr&amp;",""assigned_to_id"":"&amp;redmine_assignee_wcr&amp;",""start_date"":"""&amp;TEXT(I166-utc_offset/24,"YYYY-mm-dd")&amp;""",""description"":"""&amp;AJ166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{"issue":{"subject":"Did not perform depart test","project_id":30,"tracker_id":4,"status_id":1,"priority_id":1,"assigned_to_id":10,"start_date":"2017-09-02","description":"","custom_fields":[{"id":30,"name":"Category","value":"Issue"},{"id":3,"name":"Functional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15:09:15"},{"id":29,"name":"Sharepoint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7" spans="1:91" s="20" customFormat="1" x14ac:dyDescent="0.25">
      <c r="A167" s="32" t="s">
        <v>647</v>
      </c>
      <c r="B167" s="7">
        <v>4029</v>
      </c>
      <c r="C167" s="21" t="s">
        <v>197</v>
      </c>
      <c r="D167" s="21" t="s">
        <v>551</v>
      </c>
      <c r="E167" s="13">
        <v>42980.395648148151</v>
      </c>
      <c r="F167" s="13">
        <v>42980.401898148149</v>
      </c>
      <c r="G167" s="7">
        <v>67</v>
      </c>
      <c r="H167" s="21" t="s">
        <v>829</v>
      </c>
      <c r="I167" s="13">
        <v>42980.413576388892</v>
      </c>
      <c r="J167" s="7">
        <v>0</v>
      </c>
      <c r="K167" s="89" t="str">
        <f t="shared" si="126"/>
        <v>4029/4030</v>
      </c>
      <c r="L167" s="214" t="str">
        <f>VLOOKUP(A167,'Trips&amp;Operators'!$C$1:$G$99911,5,FALSE)</f>
        <v>LAMAR NEKESHA</v>
      </c>
      <c r="M167" s="6">
        <f t="shared" si="127"/>
        <v>1.1678240742185153E-2</v>
      </c>
      <c r="N167" s="7">
        <f t="shared" ref="N167:N198" si="143">24*60*SUM($M167:$M167)</f>
        <v>16.81666666874662</v>
      </c>
      <c r="O167" s="7"/>
      <c r="P167" s="7"/>
      <c r="Q167" s="22"/>
      <c r="R167" s="167"/>
      <c r="S167" s="210">
        <f t="shared" si="132"/>
        <v>1</v>
      </c>
      <c r="T167" s="192" t="str">
        <f t="shared" si="128"/>
        <v>Southbound</v>
      </c>
      <c r="U167" s="192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3" t="str">
        <f t="shared" si="117"/>
        <v>https://d0f6bd738d7f1b3e5a7ca70fe4ff75f0.us-east-1.aws.found.io/app/kibana#/discover/Steve-Slow-Train-Analysis-(2080s-and-2083s)?_g=(refreshInterval:(display:Off,pause:!f,section:0,value:0),time:(from:'2017-09-02T08:29:44-0600',mode:absolute,to:'2017-09-02T10:55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7" s="194" t="str">
        <f>IF(AA167&lt;VLOOKUP(AG167,Variables!$AC$3:$AD$8,2,FALSE),"Y","N")</f>
        <v>N</v>
      </c>
      <c r="X167" s="194">
        <f t="shared" si="138"/>
        <v>1</v>
      </c>
      <c r="Y167" s="194">
        <f t="shared" si="120"/>
        <v>5.8653000000000004</v>
      </c>
      <c r="Z167" s="194">
        <f t="shared" si="121"/>
        <v>0.01</v>
      </c>
      <c r="AA167" s="194">
        <f t="shared" si="129"/>
        <v>5.8553000000000006</v>
      </c>
      <c r="AB167" s="54" t="e">
        <f>VLOOKUP(A167,Enforcements!$C$7:$K$11,8,0)</f>
        <v>#N/A</v>
      </c>
      <c r="AC167" s="51" t="e">
        <f>VLOOKUP(A167,Enforcements!$C$7:$E$11,3,0)</f>
        <v>#N/A</v>
      </c>
      <c r="AD167" s="203">
        <f t="shared" si="130"/>
        <v>1808</v>
      </c>
      <c r="AE167" s="77" t="str">
        <f t="shared" si="118"/>
        <v>aws s3 cp s3://rtdc.mdm.uploadarchive.raw/RTDC4029/ "%USERPROFILE%\AppData\Local\Temp\OnboardLogs"\RTDC4029\2017-09-02 --exclude "*" --recursive --include "*20170902*" &amp; "%USERPROFILE%\Documents\GitHub\mrs-test-scripts\Headless Mode &amp; Sideloading\WalkAndUnGZ.bat" "%USERPROFILE%\AppData\Local\Temp\OnboardLogs"\RTDC4029\2017-09-02 &amp; aws s3 cp s3://rtdc.mdm.uploadarchive.raw/RTDC4029/ "%USERPROFILE%\AppData\Local\Temp\OnboardLogs"\RTDC4029\2017-09-03 --exclude "*" --recursive --include "*20170903*" &amp; "%USERPROFILE%\Documents\GitHub\mrs-test-scripts\Headless Mode &amp; Sideloading\WalkAndUnGZ.bat" "%USERPROFILE%\AppData\Local\Temp\OnboardLogs"\RTDC4029\2017-09-03</v>
      </c>
      <c r="AF167" s="74" t="str">
        <f t="shared" si="119"/>
        <v>"C:\Program Files (x86)\AstroGrep\AstroGrep.exe" /e /r /s /spath="%USERPROFILE%\AppData\Local\Temp\OnboardLogs" /stypes="app*4029*20170902*" /stext=" 15:.+((SYSTEM_STATE.+slice.+state.+changed )|(ment ac)|(multiple cpu faults)|(system.+state.+changed )|(\[timeout)|(PRM\|1\|D)|(kpr)|(kdp)|(train st.+moving)|(\|lc)|(penalty))"</v>
      </c>
      <c r="AG167" s="206" t="str">
        <f t="shared" si="131"/>
        <v>NW</v>
      </c>
      <c r="AH167" s="78" t="str">
        <f t="shared" si="122"/>
        <v>"%USERPROFILE%\Documents\GitHub\eaglep3\Utilities\RefineRTDCRunTimes.py" --tripid 1808-02 --locoid 4029 --swversion DE.1.0.9.0 --startMP 300:58653 --initTime 2017-09-02T09:29:44 --startdatetime 2017-09-02T09:38:44 --delay 67 --endMP 204:100 --enddatetime 2017-09-02T09:55:33 --enforcementcount 0 &gt;&gt;C:\Users\stu\Documents\GitHub\eaglep3-reporting\EC\2017-09-02-refined-times.txt</v>
      </c>
      <c r="AI167" s="96" t="str">
        <f t="shared" si="123"/>
        <v>echo {"issue":{"subject":"","project_id":79,"tracker_id":40,"status_id":1,"priority_id":2,"assigned_to_id":338,"start_date":"2017-09-02","description":"","custom_fields":[{"id":1,"name":"Subdivision","value":"NW"},{"id":4,"name":"Milepost","value":"0.01"},{"id":17,"name":"Train ID","value":"1808-02"},{"id":16,"name":"Locomotive ID","value":"4029"},{"id":130,"name":"Impact","value":""},{"id":150,"name":"Time of Event (Mountain Time)","value":"09:55:33"},{"id":151,"name":"Denver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7"/>
      <c r="AL167" s="47"/>
      <c r="AM167" s="142" t="str">
        <f t="shared" si="124"/>
        <v>start /low /b %USERPROFILE%\Documents\GitHub\eaglep3\Utilities\DownloadLogsFromS3.py --loco 4029 --day 2017-09-02</v>
      </c>
      <c r="AN167" s="151" t="str">
        <f t="shared" si="125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15:55:33"},{"id":29,"name":"Sharepoint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651</v>
      </c>
      <c r="B168" s="7">
        <v>4014</v>
      </c>
      <c r="C168" s="21" t="s">
        <v>197</v>
      </c>
      <c r="D168" s="21" t="s">
        <v>556</v>
      </c>
      <c r="E168" s="13">
        <v>42980.418194444443</v>
      </c>
      <c r="F168" s="13">
        <v>42980.423113425924</v>
      </c>
      <c r="G168" s="7">
        <v>79</v>
      </c>
      <c r="H168" s="21" t="s">
        <v>830</v>
      </c>
      <c r="I168" s="13">
        <v>42980.434004629627</v>
      </c>
      <c r="J168" s="7">
        <v>0</v>
      </c>
      <c r="K168" s="89" t="str">
        <f t="shared" si="126"/>
        <v>4013/4014</v>
      </c>
      <c r="L168" s="214" t="str">
        <f>VLOOKUP(A168,'Trips&amp;Operators'!$C$1:$G$99911,5,FALSE)</f>
        <v>LAMAR NEKESHA</v>
      </c>
      <c r="M168" s="6">
        <f t="shared" si="127"/>
        <v>1.0891203703067731E-2</v>
      </c>
      <c r="N168" s="7">
        <f t="shared" si="143"/>
        <v>15.683333332417533</v>
      </c>
      <c r="O168" s="7"/>
      <c r="P168" s="7"/>
      <c r="Q168" s="22"/>
      <c r="R168" s="167"/>
      <c r="S168" s="210">
        <f t="shared" si="132"/>
        <v>1</v>
      </c>
      <c r="T168" s="192" t="str">
        <f t="shared" si="128"/>
        <v>NorthBound</v>
      </c>
      <c r="U168" s="192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3" t="str">
        <f t="shared" si="117"/>
        <v>https://d0f6bd738d7f1b3e5a7ca70fe4ff75f0.us-east-1.aws.found.io/app/kibana#/discover/Steve-Slow-Train-Analysis-(2080s-and-2083s)?_g=(refreshInterval:(display:Off,pause:!f,section:0,value:0),time:(from:'2017-09-02T09:02:12-0600',mode:absolute,to:'2017-09-02T11:24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68" s="194" t="str">
        <f>IF(AA168&lt;VLOOKUP(AG168,Variables!$AC$3:$AD$8,2,FALSE),"Y","N")</f>
        <v>N</v>
      </c>
      <c r="X168" s="194">
        <f t="shared" si="138"/>
        <v>1</v>
      </c>
      <c r="Y168" s="194">
        <f t="shared" si="120"/>
        <v>9.8299999999999998E-2</v>
      </c>
      <c r="Z168" s="194">
        <f t="shared" si="121"/>
        <v>5.8940999999999999</v>
      </c>
      <c r="AA168" s="194">
        <f t="shared" si="129"/>
        <v>5.7957999999999998</v>
      </c>
      <c r="AB168" s="54" t="e">
        <f>VLOOKUP(A168,Enforcements!$C$7:$K$11,8,0)</f>
        <v>#N/A</v>
      </c>
      <c r="AC168" s="51" t="e">
        <f>VLOOKUP(A168,Enforcements!$C$7:$E$11,3,0)</f>
        <v>#N/A</v>
      </c>
      <c r="AD168" s="203">
        <f t="shared" si="130"/>
        <v>1809</v>
      </c>
      <c r="AE168" s="77" t="str">
        <f t="shared" si="118"/>
        <v>aws s3 cp s3://rtdc.mdm.uploadarchive.raw/RTDC4014/ "%USERPROFILE%\AppData\Local\Temp\OnboardLogs"\RTDC4014\2017-09-02 --exclude "*" --recursive --include "*20170902*" &amp; "%USERPROFILE%\Documents\GitHub\mrs-test-scripts\Headless Mode &amp; Sideloading\WalkAndUnGZ.bat" "%USERPROFILE%\AppData\Local\Temp\OnboardLogs"\RTDC4014\2017-09-02 &amp; aws s3 cp s3://rtdc.mdm.uploadarchive.raw/RTDC4014/ "%USERPROFILE%\AppData\Local\Temp\OnboardLogs"\RTDC4014\2017-09-03 --exclude "*" --recursive --include "*20170903*" &amp; "%USERPROFILE%\Documents\GitHub\mrs-test-scripts\Headless Mode &amp; Sideloading\WalkAndUnGZ.bat" "%USERPROFILE%\AppData\Local\Temp\OnboardLogs"\RTDC4014\2017-09-03</v>
      </c>
      <c r="AF168" s="74" t="str">
        <f t="shared" si="119"/>
        <v>"C:\Program Files (x86)\AstroGrep\AstroGrep.exe" /e /r /s /spath="%USERPROFILE%\AppData\Local\Temp\OnboardLogs" /stypes="app*4014*20170902*" /stext=" 16:.+((SYSTEM_STATE.+slice.+state.+changed )|(ment ac)|(multiple cpu faults)|(system.+state.+changed )|(\[timeout)|(PRM\|1\|D)|(kpr)|(kdp)|(train st.+moving)|(\|lc)|(penalty))"</v>
      </c>
      <c r="AG168" s="206" t="str">
        <f t="shared" si="131"/>
        <v>NW</v>
      </c>
      <c r="AH168" s="78" t="str">
        <f t="shared" si="122"/>
        <v>"%USERPROFILE%\Documents\GitHub\eaglep3\Utilities\RefineRTDCRunTimes.py" --tripid 1809-02 --locoid 4014 --swversion DE.1.0.9.0 --startMP 204:983 --initTime 2017-09-02T10:02:12 --startdatetime 2017-09-02T10:09:17 --delay 79 --endMP 300:58941 --enddatetime 2017-09-02T10:24:58 --enforcementcount 0 &gt;&gt;C:\Users\stu\Documents\GitHub\eaglep3-reporting\EC\2017-09-02-refined-times.txt</v>
      </c>
      <c r="AI168" s="96" t="str">
        <f t="shared" si="123"/>
        <v>echo {"issue":{"subject":"","project_id":79,"tracker_id":40,"status_id":1,"priority_id":2,"assigned_to_id":338,"start_date":"2017-09-02","description":"","custom_fields":[{"id":1,"name":"Subdivision","value":"NW"},{"id":4,"name":"Milepost","value":"5.8941"},{"id":17,"name":"Train ID","value":"1809-02"},{"id":16,"name":"Locomotive ID","value":"4014"},{"id":130,"name":"Impact","value":""},{"id":150,"name":"Time of Event (Mountain Time)","value":"10:24:58"},{"id":151,"name":"Denver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7"/>
      <c r="AL168" s="47"/>
      <c r="AM168" s="142" t="str">
        <f t="shared" si="124"/>
        <v>start /low /b %USERPROFILE%\Documents\GitHub\eaglep3\Utilities\DownloadLogsFromS3.py --loco 4014 --day 2017-09-02</v>
      </c>
      <c r="AN168" s="151" t="str">
        <f t="shared" si="125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16:24:58"},{"id":29,"name":"Sharepoint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572</v>
      </c>
      <c r="B169" s="7">
        <v>4013</v>
      </c>
      <c r="C169" s="21" t="s">
        <v>197</v>
      </c>
      <c r="D169" s="21" t="s">
        <v>554</v>
      </c>
      <c r="E169" s="13">
        <v>42980.441423611112</v>
      </c>
      <c r="F169" s="13">
        <v>42980.443541666667</v>
      </c>
      <c r="G169" s="7">
        <v>72</v>
      </c>
      <c r="H169" s="21" t="s">
        <v>833</v>
      </c>
      <c r="I169" s="13">
        <v>42980.455000000002</v>
      </c>
      <c r="J169" s="7">
        <v>0</v>
      </c>
      <c r="K169" s="89" t="str">
        <f t="shared" si="126"/>
        <v>4013/4014</v>
      </c>
      <c r="L169" s="214" t="str">
        <f>VLOOKUP(A169,'Trips&amp;Operators'!$C$1:$G$99911,5,FALSE)</f>
        <v>LAMAR NEKESHA</v>
      </c>
      <c r="M169" s="6">
        <f t="shared" si="127"/>
        <v>1.1458333334303461E-2</v>
      </c>
      <c r="N169" s="7">
        <f t="shared" si="143"/>
        <v>16.500000001396984</v>
      </c>
      <c r="O169" s="7"/>
      <c r="P169" s="7"/>
      <c r="Q169" s="22"/>
      <c r="R169" s="167"/>
      <c r="S169" s="210">
        <f t="shared" si="132"/>
        <v>1</v>
      </c>
      <c r="T169" s="192" t="str">
        <f t="shared" si="128"/>
        <v>Southbound</v>
      </c>
      <c r="U169" s="192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3" t="str">
        <f t="shared" si="117"/>
        <v>https://d0f6bd738d7f1b3e5a7ca70fe4ff75f0.us-east-1.aws.found.io/app/kibana#/discover/Steve-Slow-Train-Analysis-(2080s-and-2083s)?_g=(refreshInterval:(display:Off,pause:!f,section:0,value:0),time:(from:'2017-09-02T09:35:39-0600',mode:absolute,to:'2017-09-02T11:55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9" s="194" t="str">
        <f>IF(AA169&lt;VLOOKUP(AG169,Variables!$AC$3:$AD$8,2,FALSE),"Y","N")</f>
        <v>N</v>
      </c>
      <c r="X169" s="194">
        <f t="shared" ref="X169:X191" si="144">VALUE(LEFT(AD169,4))-VALUE(LEFT(AD168,4))</f>
        <v>1</v>
      </c>
      <c r="Y169" s="194">
        <f t="shared" si="120"/>
        <v>5.8615000000000004</v>
      </c>
      <c r="Z169" s="194">
        <f t="shared" si="121"/>
        <v>6.2600000000000003E-2</v>
      </c>
      <c r="AA169" s="194">
        <f t="shared" si="129"/>
        <v>5.7989000000000006</v>
      </c>
      <c r="AB169" s="54" t="e">
        <f>VLOOKUP(A169,Enforcements!$C$7:$K$11,8,0)</f>
        <v>#N/A</v>
      </c>
      <c r="AC169" s="51" t="e">
        <f>VLOOKUP(A169,Enforcements!$C$7:$E$11,3,0)</f>
        <v>#N/A</v>
      </c>
      <c r="AD169" s="203">
        <f t="shared" si="130"/>
        <v>1810</v>
      </c>
      <c r="AE169" s="77" t="str">
        <f t="shared" si="118"/>
        <v>aws s3 cp s3://rtdc.mdm.uploadarchive.raw/RTDC4013/ "%USERPROFILE%\AppData\Local\Temp\OnboardLogs"\RTDC4013\2017-09-02 --exclude "*" --recursive --include "*20170902*" &amp; "%USERPROFILE%\Documents\GitHub\mrs-test-scripts\Headless Mode &amp; Sideloading\WalkAndUnGZ.bat" "%USERPROFILE%\AppData\Local\Temp\OnboardLogs"\RTDC4013\2017-09-02 &amp; aws s3 cp s3://rtdc.mdm.uploadarchive.raw/RTDC4013/ "%USERPROFILE%\AppData\Local\Temp\OnboardLogs"\RTDC4013\2017-09-03 --exclude "*" --recursive --include "*20170903*" &amp; "%USERPROFILE%\Documents\GitHub\mrs-test-scripts\Headless Mode &amp; Sideloading\WalkAndUnGZ.bat" "%USERPROFILE%\AppData\Local\Temp\OnboardLogs"\RTDC4013\2017-09-03</v>
      </c>
      <c r="AF169" s="74" t="str">
        <f t="shared" si="119"/>
        <v>"C:\Program Files (x86)\AstroGrep\AstroGrep.exe" /e /r /s /spath="%USERPROFILE%\AppData\Local\Temp\OnboardLogs" /stypes="app*4013*20170902*" /stext=" 16:.+((SYSTEM_STATE.+slice.+state.+changed )|(ment ac)|(multiple cpu faults)|(system.+state.+changed )|(\[timeout)|(PRM\|1\|D)|(kpr)|(kdp)|(train st.+moving)|(\|lc)|(penalty))"</v>
      </c>
      <c r="AG169" s="206" t="str">
        <f t="shared" si="131"/>
        <v>NW</v>
      </c>
      <c r="AH169" s="78" t="str">
        <f t="shared" si="122"/>
        <v>"%USERPROFILE%\Documents\GitHub\eaglep3\Utilities\RefineRTDCRunTimes.py" --tripid 1810-02 --locoid 4013 --swversion DE.1.0.9.0 --startMP 300:58615 --initTime 2017-09-02T10:35:39 --startdatetime 2017-09-02T10:38:42 --delay 72 --endMP 204:626 --enddatetime 2017-09-02T10:55:12 --enforcementcount 0 &gt;&gt;C:\Users\stu\Documents\GitHub\eaglep3-reporting\EC\2017-09-02-refined-times.txt</v>
      </c>
      <c r="AI169" s="96" t="str">
        <f t="shared" si="123"/>
        <v>echo {"issue":{"subject":"","project_id":79,"tracker_id":40,"status_id":1,"priority_id":2,"assigned_to_id":338,"start_date":"2017-09-02","description":"","custom_fields":[{"id":1,"name":"Subdivision","value":"NW"},{"id":4,"name":"Milepost","value":"0.0626"},{"id":17,"name":"Train ID","value":"1810-02"},{"id":16,"name":"Locomotive ID","value":"4013"},{"id":130,"name":"Impact","value":""},{"id":150,"name":"Time of Event (Mountain Time)","value":"10:55:12"},{"id":151,"name":"Denver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7"/>
      <c r="AL169" s="47"/>
      <c r="AM169" s="142" t="str">
        <f t="shared" si="124"/>
        <v>start /low /b %USERPROFILE%\Documents\GitHub\eaglep3\Utilities\DownloadLogsFromS3.py --loco 4013 --day 2017-09-02</v>
      </c>
      <c r="AN169" s="151" t="str">
        <f t="shared" si="125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16:55:12"},{"id":29,"name":"Sharepoint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660</v>
      </c>
      <c r="B170" s="7">
        <v>4014</v>
      </c>
      <c r="C170" s="21" t="s">
        <v>197</v>
      </c>
      <c r="D170" s="21" t="s">
        <v>826</v>
      </c>
      <c r="E170" s="13">
        <v>42980.462731481479</v>
      </c>
      <c r="F170" s="13">
        <v>42980.464733796296</v>
      </c>
      <c r="G170" s="7">
        <v>93</v>
      </c>
      <c r="H170" s="21" t="s">
        <v>441</v>
      </c>
      <c r="I170" s="13">
        <v>42980.474247685182</v>
      </c>
      <c r="J170" s="7">
        <v>0</v>
      </c>
      <c r="K170" s="89" t="str">
        <f t="shared" si="126"/>
        <v>4013/4014</v>
      </c>
      <c r="L170" s="214" t="str">
        <f>VLOOKUP(A170,'Trips&amp;Operators'!$C$1:$G$99911,5,FALSE)</f>
        <v>LAMAR NEKESHA</v>
      </c>
      <c r="M170" s="6">
        <f t="shared" si="127"/>
        <v>9.5138888864312321E-3</v>
      </c>
      <c r="N170" s="7">
        <f t="shared" si="143"/>
        <v>13.699999996460974</v>
      </c>
      <c r="O170" s="7"/>
      <c r="P170" s="7"/>
      <c r="Q170" s="22"/>
      <c r="R170" s="167"/>
      <c r="S170" s="210">
        <f t="shared" si="132"/>
        <v>1</v>
      </c>
      <c r="T170" s="192" t="str">
        <f t="shared" si="128"/>
        <v>NorthBound</v>
      </c>
      <c r="U170" s="192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3" t="str">
        <f t="shared" si="117"/>
        <v>https://d0f6bd738d7f1b3e5a7ca70fe4ff75f0.us-east-1.aws.found.io/app/kibana#/discover/Steve-Slow-Train-Analysis-(2080s-and-2083s)?_g=(refreshInterval:(display:Off,pause:!f,section:0,value:0),time:(from:'2017-09-02T10:06:20-0600',mode:absolute,to:'2017-09-02T12:22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70" s="194" t="str">
        <f>IF(AA170&lt;VLOOKUP(AG170,Variables!$AC$3:$AD$8,2,FALSE),"Y","N")</f>
        <v>N</v>
      </c>
      <c r="X170" s="194">
        <f t="shared" si="144"/>
        <v>1</v>
      </c>
      <c r="Y170" s="194">
        <f t="shared" si="120"/>
        <v>9.3600000000000003E-2</v>
      </c>
      <c r="Z170" s="194">
        <f t="shared" si="121"/>
        <v>5.8936999999999999</v>
      </c>
      <c r="AA170" s="194">
        <f t="shared" si="129"/>
        <v>5.8000999999999996</v>
      </c>
      <c r="AB170" s="54" t="e">
        <f>VLOOKUP(A170,Enforcements!$C$7:$K$11,8,0)</f>
        <v>#N/A</v>
      </c>
      <c r="AC170" s="51" t="e">
        <f>VLOOKUP(A170,Enforcements!$C$7:$E$11,3,0)</f>
        <v>#N/A</v>
      </c>
      <c r="AD170" s="203">
        <f t="shared" si="130"/>
        <v>1811</v>
      </c>
      <c r="AE170" s="77" t="str">
        <f t="shared" si="118"/>
        <v>aws s3 cp s3://rtdc.mdm.uploadarchive.raw/RTDC4014/ "%USERPROFILE%\AppData\Local\Temp\OnboardLogs"\RTDC4014\2017-09-02 --exclude "*" --recursive --include "*20170902*" &amp; "%USERPROFILE%\Documents\GitHub\mrs-test-scripts\Headless Mode &amp; Sideloading\WalkAndUnGZ.bat" "%USERPROFILE%\AppData\Local\Temp\OnboardLogs"\RTDC4014\2017-09-02 &amp; aws s3 cp s3://rtdc.mdm.uploadarchive.raw/RTDC4014/ "%USERPROFILE%\AppData\Local\Temp\OnboardLogs"\RTDC4014\2017-09-03 --exclude "*" --recursive --include "*20170903*" &amp; "%USERPROFILE%\Documents\GitHub\mrs-test-scripts\Headless Mode &amp; Sideloading\WalkAndUnGZ.bat" "%USERPROFILE%\AppData\Local\Temp\OnboardLogs"\RTDC4014\2017-09-03</v>
      </c>
      <c r="AF170" s="74" t="str">
        <f t="shared" si="119"/>
        <v>"C:\Program Files (x86)\AstroGrep\AstroGrep.exe" /e /r /s /spath="%USERPROFILE%\AppData\Local\Temp\OnboardLogs" /stypes="app*4014*20170902*" /stext=" 17:.+((SYSTEM_STATE.+slice.+state.+changed )|(ment ac)|(multiple cpu faults)|(system.+state.+changed )|(\[timeout)|(PRM\|1\|D)|(kpr)|(kdp)|(train st.+moving)|(\|lc)|(penalty))"</v>
      </c>
      <c r="AG170" s="206" t="str">
        <f t="shared" si="131"/>
        <v>NW</v>
      </c>
      <c r="AH170" s="78" t="str">
        <f t="shared" si="122"/>
        <v>"%USERPROFILE%\Documents\GitHub\eaglep3\Utilities\RefineRTDCRunTimes.py" --tripid 1811-02 --locoid 4014 --swversion DE.1.0.9.0 --startMP 204:936 --initTime 2017-09-02T11:06:20 --startdatetime 2017-09-02T11:09:13 --delay 93 --endMP 300:58937 --enddatetime 2017-09-02T11:22:55 --enforcementcount 0 &gt;&gt;C:\Users\stu\Documents\GitHub\eaglep3-reporting\EC\2017-09-02-refined-times.txt</v>
      </c>
      <c r="AI170" s="96" t="str">
        <f t="shared" si="123"/>
        <v>echo {"issue":{"subject":"","project_id":79,"tracker_id":40,"status_id":1,"priority_id":2,"assigned_to_id":338,"start_date":"2017-09-02","description":"","custom_fields":[{"id":1,"name":"Subdivision","value":"NW"},{"id":4,"name":"Milepost","value":"5.8937"},{"id":17,"name":"Train ID","value":"1811-02"},{"id":16,"name":"Locomotive ID","value":"4014"},{"id":130,"name":"Impact","value":""},{"id":150,"name":"Time of Event (Mountain Time)","value":"11:22:55"},{"id":151,"name":"Denver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0" s="47"/>
      <c r="AL170" s="47"/>
      <c r="AM170" s="142" t="str">
        <f t="shared" si="124"/>
        <v>start /low /b %USERPROFILE%\Documents\GitHub\eaglep3\Utilities\DownloadLogsFromS3.py --loco 4014 --day 2017-09-02</v>
      </c>
      <c r="AN170" s="151" t="str">
        <f t="shared" si="125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17:22:55"},{"id":29,"name":"Sharepoint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x14ac:dyDescent="0.25">
      <c r="A171" s="32" t="s">
        <v>574</v>
      </c>
      <c r="B171" s="7">
        <v>4013</v>
      </c>
      <c r="C171" s="21" t="s">
        <v>197</v>
      </c>
      <c r="D171" s="21" t="s">
        <v>554</v>
      </c>
      <c r="E171" s="13">
        <v>42980.475439814814</v>
      </c>
      <c r="F171" s="13">
        <v>42980.485023148147</v>
      </c>
      <c r="G171" s="7">
        <v>53</v>
      </c>
      <c r="H171" s="21" t="s">
        <v>834</v>
      </c>
      <c r="I171" s="13">
        <v>42980.496435185189</v>
      </c>
      <c r="J171" s="7">
        <v>0</v>
      </c>
      <c r="K171" s="89" t="str">
        <f t="shared" si="126"/>
        <v>4013/4014</v>
      </c>
      <c r="L171" s="214" t="str">
        <f>VLOOKUP(A171,'Trips&amp;Operators'!$C$1:$G$99911,5,FALSE)</f>
        <v>LAMAR NEKESHA</v>
      </c>
      <c r="M171" s="6">
        <f t="shared" si="127"/>
        <v>1.1412037041736767E-2</v>
      </c>
      <c r="N171" s="7">
        <f t="shared" si="143"/>
        <v>16.433333340100944</v>
      </c>
      <c r="O171" s="7"/>
      <c r="P171" s="7"/>
      <c r="Q171" s="22"/>
      <c r="R171" s="167"/>
      <c r="S171" s="210">
        <f t="shared" si="132"/>
        <v>1</v>
      </c>
      <c r="T171" s="192" t="str">
        <f t="shared" si="128"/>
        <v>Southbound</v>
      </c>
      <c r="U171" s="192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3" t="str">
        <f t="shared" si="117"/>
        <v>https://d0f6bd738d7f1b3e5a7ca70fe4ff75f0.us-east-1.aws.found.io/app/kibana#/discover/Steve-Slow-Train-Analysis-(2080s-and-2083s)?_g=(refreshInterval:(display:Off,pause:!f,section:0,value:0),time:(from:'2017-09-02T10:24:38-0600',mode:absolute,to:'2017-09-02T12:54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71" s="194" t="str">
        <f>IF(AA171&lt;VLOOKUP(AG171,Variables!$AC$3:$AD$8,2,FALSE),"Y","N")</f>
        <v>N</v>
      </c>
      <c r="X171" s="194">
        <f t="shared" si="144"/>
        <v>1</v>
      </c>
      <c r="Y171" s="194">
        <f t="shared" si="120"/>
        <v>5.8615000000000004</v>
      </c>
      <c r="Z171" s="194">
        <f t="shared" si="121"/>
        <v>6.5199999999999994E-2</v>
      </c>
      <c r="AA171" s="194">
        <f t="shared" si="129"/>
        <v>5.7963000000000005</v>
      </c>
      <c r="AB171" s="54" t="e">
        <f>VLOOKUP(A171,Enforcements!$C$7:$K$11,8,0)</f>
        <v>#N/A</v>
      </c>
      <c r="AC171" s="51" t="e">
        <f>VLOOKUP(A171,Enforcements!$C$7:$E$11,3,0)</f>
        <v>#N/A</v>
      </c>
      <c r="AD171" s="203">
        <f t="shared" si="130"/>
        <v>1812</v>
      </c>
      <c r="AE171" s="77" t="str">
        <f t="shared" si="118"/>
        <v>aws s3 cp s3://rtdc.mdm.uploadarchive.raw/RTDC4013/ "%USERPROFILE%\AppData\Local\Temp\OnboardLogs"\RTDC4013\2017-09-02 --exclude "*" --recursive --include "*20170902*" &amp; "%USERPROFILE%\Documents\GitHub\mrs-test-scripts\Headless Mode &amp; Sideloading\WalkAndUnGZ.bat" "%USERPROFILE%\AppData\Local\Temp\OnboardLogs"\RTDC4013\2017-09-02 &amp; aws s3 cp s3://rtdc.mdm.uploadarchive.raw/RTDC4013/ "%USERPROFILE%\AppData\Local\Temp\OnboardLogs"\RTDC4013\2017-09-03 --exclude "*" --recursive --include "*20170903*" &amp; "%USERPROFILE%\Documents\GitHub\mrs-test-scripts\Headless Mode &amp; Sideloading\WalkAndUnGZ.bat" "%USERPROFILE%\AppData\Local\Temp\OnboardLogs"\RTDC4013\2017-09-03</v>
      </c>
      <c r="AF171" s="74" t="str">
        <f t="shared" si="119"/>
        <v>"C:\Program Files (x86)\AstroGrep\AstroGrep.exe" /e /r /s /spath="%USERPROFILE%\AppData\Local\Temp\OnboardLogs" /stypes="app*4013*20170902*" /stext=" 17:.+((SYSTEM_STATE.+slice.+state.+changed )|(ment ac)|(multiple cpu faults)|(system.+state.+changed )|(\[timeout)|(PRM\|1\|D)|(kpr)|(kdp)|(train st.+moving)|(\|lc)|(penalty))"</v>
      </c>
      <c r="AG171" s="206" t="str">
        <f t="shared" si="131"/>
        <v>NW</v>
      </c>
      <c r="AH171" s="78" t="str">
        <f t="shared" si="122"/>
        <v>"%USERPROFILE%\Documents\GitHub\eaglep3\Utilities\RefineRTDCRunTimes.py" --tripid 1812-02 --locoid 4013 --swversion DE.1.0.9.0 --startMP 300:58615 --initTime 2017-09-02T11:24:38 --startdatetime 2017-09-02T11:38:26 --delay 53 --endMP 204:652 --enddatetime 2017-09-02T11:54:52 --enforcementcount 0 &gt;&gt;C:\Users\stu\Documents\GitHub\eaglep3-reporting\EC\2017-09-02-refined-times.txt</v>
      </c>
      <c r="AI171" s="96" t="str">
        <f t="shared" si="123"/>
        <v>echo {"issue":{"subject":"","project_id":79,"tracker_id":40,"status_id":1,"priority_id":2,"assigned_to_id":338,"start_date":"2017-09-02","description":"","custom_fields":[{"id":1,"name":"Subdivision","value":"NW"},{"id":4,"name":"Milepost","value":"0.0652"},{"id":17,"name":"Train ID","value":"1812-02"},{"id":16,"name":"Locomotive ID","value":"4013"},{"id":130,"name":"Impact","value":""},{"id":150,"name":"Time of Event (Mountain Time)","value":"11:54:52"},{"id":151,"name":"Denver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7"/>
      <c r="AL171" s="47"/>
      <c r="AM171" s="142" t="str">
        <f t="shared" si="124"/>
        <v>start /low /b %USERPROFILE%\Documents\GitHub\eaglep3\Utilities\DownloadLogsFromS3.py --loco 4013 --day 2017-09-02</v>
      </c>
      <c r="AN171" s="151" t="str">
        <f t="shared" si="125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17:54:52"},{"id":29,"name":"Sharepoint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</row>
    <row r="172" spans="1:91" s="20" customFormat="1" x14ac:dyDescent="0.25">
      <c r="A172" s="32" t="s">
        <v>670</v>
      </c>
      <c r="B172" s="7">
        <v>4014</v>
      </c>
      <c r="C172" s="21" t="s">
        <v>197</v>
      </c>
      <c r="D172" s="21" t="s">
        <v>835</v>
      </c>
      <c r="E172" s="13">
        <v>42980.502627314818</v>
      </c>
      <c r="F172" s="13">
        <v>42980.506643518522</v>
      </c>
      <c r="G172" s="7">
        <v>62</v>
      </c>
      <c r="H172" s="21" t="s">
        <v>557</v>
      </c>
      <c r="I172" s="13">
        <v>42980.515972222223</v>
      </c>
      <c r="J172" s="7">
        <v>0</v>
      </c>
      <c r="K172" s="89" t="str">
        <f t="shared" si="126"/>
        <v>4013/4014</v>
      </c>
      <c r="L172" s="214" t="str">
        <f>VLOOKUP(A172,'Trips&amp;Operators'!$C$1:$G$99911,5,FALSE)</f>
        <v>LAMAR NEKESHA</v>
      </c>
      <c r="M172" s="6">
        <f t="shared" si="127"/>
        <v>9.3287037016125396E-3</v>
      </c>
      <c r="N172" s="7">
        <f t="shared" si="143"/>
        <v>13.433333330322057</v>
      </c>
      <c r="O172" s="7"/>
      <c r="P172" s="7"/>
      <c r="Q172" s="22"/>
      <c r="R172" s="167"/>
      <c r="S172" s="210">
        <f t="shared" si="132"/>
        <v>1</v>
      </c>
      <c r="T172" s="192" t="str">
        <f t="shared" si="128"/>
        <v>NorthBound</v>
      </c>
      <c r="U172" s="192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3" t="str">
        <f t="shared" si="117"/>
        <v>https://d0f6bd738d7f1b3e5a7ca70fe4ff75f0.us-east-1.aws.found.io/app/kibana#/discover/Steve-Slow-Train-Analysis-(2080s-and-2083s)?_g=(refreshInterval:(display:Off,pause:!f,section:0,value:0),time:(from:'2017-09-02T11:03:47-0600',mode:absolute,to:'2017-09-02T13:23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72" s="194" t="str">
        <f>IF(AA172&lt;VLOOKUP(AG172,Variables!$AC$3:$AD$8,2,FALSE),"Y","N")</f>
        <v>N</v>
      </c>
      <c r="X172" s="194">
        <f t="shared" si="144"/>
        <v>1</v>
      </c>
      <c r="Y172" s="194">
        <f t="shared" si="120"/>
        <v>9.1999999999999998E-2</v>
      </c>
      <c r="Z172" s="194">
        <f t="shared" si="121"/>
        <v>5.8939000000000004</v>
      </c>
      <c r="AA172" s="194">
        <f t="shared" si="129"/>
        <v>5.8019000000000007</v>
      </c>
      <c r="AB172" s="54" t="e">
        <f>VLOOKUP(A172,Enforcements!$C$7:$K$11,8,0)</f>
        <v>#N/A</v>
      </c>
      <c r="AC172" s="51" t="e">
        <f>VLOOKUP(A172,Enforcements!$C$7:$E$11,3,0)</f>
        <v>#N/A</v>
      </c>
      <c r="AD172" s="203">
        <f t="shared" si="130"/>
        <v>1813</v>
      </c>
      <c r="AE172" s="77" t="str">
        <f t="shared" si="118"/>
        <v>aws s3 cp s3://rtdc.mdm.uploadarchive.raw/RTDC4014/ "%USERPROFILE%\AppData\Local\Temp\OnboardLogs"\RTDC4014\2017-09-02 --exclude "*" --recursive --include "*20170902*" &amp; "%USERPROFILE%\Documents\GitHub\mrs-test-scripts\Headless Mode &amp; Sideloading\WalkAndUnGZ.bat" "%USERPROFILE%\AppData\Local\Temp\OnboardLogs"\RTDC4014\2017-09-02 &amp; aws s3 cp s3://rtdc.mdm.uploadarchive.raw/RTDC4014/ "%USERPROFILE%\AppData\Local\Temp\OnboardLogs"\RTDC4014\2017-09-03 --exclude "*" --recursive --include "*20170903*" &amp; "%USERPROFILE%\Documents\GitHub\mrs-test-scripts\Headless Mode &amp; Sideloading\WalkAndUnGZ.bat" "%USERPROFILE%\AppData\Local\Temp\OnboardLogs"\RTDC4014\2017-09-03</v>
      </c>
      <c r="AF172" s="74" t="str">
        <f t="shared" si="119"/>
        <v>"C:\Program Files (x86)\AstroGrep\AstroGrep.exe" /e /r /s /spath="%USERPROFILE%\AppData\Local\Temp\OnboardLogs" /stypes="app*4014*20170902*" /stext=" 18:.+((SYSTEM_STATE.+slice.+state.+changed )|(ment ac)|(multiple cpu faults)|(system.+state.+changed )|(\[timeout)|(PRM\|1\|D)|(kpr)|(kdp)|(train st.+moving)|(\|lc)|(penalty))"</v>
      </c>
      <c r="AG172" s="206" t="str">
        <f t="shared" si="131"/>
        <v>NW</v>
      </c>
      <c r="AH172" s="78" t="str">
        <f t="shared" si="122"/>
        <v>"%USERPROFILE%\Documents\GitHub\eaglep3\Utilities\RefineRTDCRunTimes.py" --tripid 1813-02 --locoid 4014 --swversion DE.1.0.9.0 --startMP 204:920 --initTime 2017-09-02T12:03:47 --startdatetime 2017-09-02T12:09:34 --delay 62 --endMP 300:58939 --enddatetime 2017-09-02T12:23:00 --enforcementcount 0 &gt;&gt;C:\Users\stu\Documents\GitHub\eaglep3-reporting\EC\2017-09-02-refined-times.txt</v>
      </c>
      <c r="AI172" s="96" t="str">
        <f t="shared" si="123"/>
        <v>echo {"issue":{"subject":"","project_id":79,"tracker_id":40,"status_id":1,"priority_id":2,"assigned_to_id":338,"start_date":"2017-09-02","description":"","custom_fields":[{"id":1,"name":"Subdivision","value":"NW"},{"id":4,"name":"Milepost","value":"5.8939"},{"id":17,"name":"Train ID","value":"1813-02"},{"id":16,"name":"Locomotive ID","value":"4014"},{"id":130,"name":"Impact","value":""},{"id":150,"name":"Time of Event (Mountain Time)","value":"12:23:00"},{"id":151,"name":"Denver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2" s="47"/>
      <c r="AL172" s="47"/>
      <c r="AM172" s="142" t="str">
        <f t="shared" si="124"/>
        <v>start /low /b %USERPROFILE%\Documents\GitHub\eaglep3\Utilities\DownloadLogsFromS3.py --loco 4014 --day 2017-09-02</v>
      </c>
      <c r="AN172" s="151" t="str">
        <f t="shared" si="125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18:23:00"},{"id":29,"name":"Sharepoint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x14ac:dyDescent="0.25">
      <c r="A173" s="32" t="s">
        <v>679</v>
      </c>
      <c r="B173" s="7">
        <v>4013</v>
      </c>
      <c r="C173" s="21" t="s">
        <v>197</v>
      </c>
      <c r="D173" s="21" t="s">
        <v>460</v>
      </c>
      <c r="E173" s="13">
        <v>42980.517199074071</v>
      </c>
      <c r="F173" s="13">
        <v>42980.526898148149</v>
      </c>
      <c r="G173" s="7">
        <v>57</v>
      </c>
      <c r="H173" s="21" t="s">
        <v>836</v>
      </c>
      <c r="I173" s="13">
        <v>42980.538275462961</v>
      </c>
      <c r="J173" s="7">
        <v>0</v>
      </c>
      <c r="K173" s="89" t="str">
        <f t="shared" si="126"/>
        <v>4013/4014</v>
      </c>
      <c r="L173" s="214" t="str">
        <f>VLOOKUP(A173,'Trips&amp;Operators'!$C$1:$G$99911,5,FALSE)</f>
        <v>LAMAR NEKESHA</v>
      </c>
      <c r="M173" s="6">
        <f t="shared" si="127"/>
        <v>1.137731481139781E-2</v>
      </c>
      <c r="N173" s="7">
        <f t="shared" si="143"/>
        <v>16.383333328412846</v>
      </c>
      <c r="O173" s="7"/>
      <c r="P173" s="7"/>
      <c r="Q173" s="22"/>
      <c r="R173" s="167"/>
      <c r="S173" s="210">
        <f t="shared" si="132"/>
        <v>1</v>
      </c>
      <c r="T173" s="192" t="str">
        <f t="shared" si="128"/>
        <v>Southbound</v>
      </c>
      <c r="U173" s="192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3" t="str">
        <f t="shared" si="117"/>
        <v>https://d0f6bd738d7f1b3e5a7ca70fe4ff75f0.us-east-1.aws.found.io/app/kibana#/discover/Steve-Slow-Train-Analysis-(2080s-and-2083s)?_g=(refreshInterval:(display:Off,pause:!f,section:0,value:0),time:(from:'2017-09-02T11:24:46-0600',mode:absolute,to:'2017-09-02T13:55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73" s="194" t="str">
        <f>IF(AA173&lt;VLOOKUP(AG173,Variables!$AC$3:$AD$8,2,FALSE),"Y","N")</f>
        <v>N</v>
      </c>
      <c r="X173" s="194">
        <f t="shared" si="144"/>
        <v>1</v>
      </c>
      <c r="Y173" s="194">
        <f t="shared" si="120"/>
        <v>5.8620999999999999</v>
      </c>
      <c r="Z173" s="194">
        <f t="shared" si="121"/>
        <v>6.4699999999999994E-2</v>
      </c>
      <c r="AA173" s="194">
        <f t="shared" si="129"/>
        <v>5.7973999999999997</v>
      </c>
      <c r="AB173" s="54" t="e">
        <f>VLOOKUP(A173,Enforcements!$C$7:$K$11,8,0)</f>
        <v>#N/A</v>
      </c>
      <c r="AC173" s="51" t="e">
        <f>VLOOKUP(A173,Enforcements!$C$7:$E$11,3,0)</f>
        <v>#N/A</v>
      </c>
      <c r="AD173" s="203">
        <f t="shared" si="130"/>
        <v>1814</v>
      </c>
      <c r="AE173" s="77" t="str">
        <f t="shared" si="118"/>
        <v>aws s3 cp s3://rtdc.mdm.uploadarchive.raw/RTDC4013/ "%USERPROFILE%\AppData\Local\Temp\OnboardLogs"\RTDC4013\2017-09-02 --exclude "*" --recursive --include "*20170902*" &amp; "%USERPROFILE%\Documents\GitHub\mrs-test-scripts\Headless Mode &amp; Sideloading\WalkAndUnGZ.bat" "%USERPROFILE%\AppData\Local\Temp\OnboardLogs"\RTDC4013\2017-09-02 &amp; aws s3 cp s3://rtdc.mdm.uploadarchive.raw/RTDC4013/ "%USERPROFILE%\AppData\Local\Temp\OnboardLogs"\RTDC4013\2017-09-03 --exclude "*" --recursive --include "*20170903*" &amp; "%USERPROFILE%\Documents\GitHub\mrs-test-scripts\Headless Mode &amp; Sideloading\WalkAndUnGZ.bat" "%USERPROFILE%\AppData\Local\Temp\OnboardLogs"\RTDC4013\2017-09-03</v>
      </c>
      <c r="AF173" s="74" t="str">
        <f t="shared" si="119"/>
        <v>"C:\Program Files (x86)\AstroGrep\AstroGrep.exe" /e /r /s /spath="%USERPROFILE%\AppData\Local\Temp\OnboardLogs" /stypes="app*4013*20170902*" /stext=" 18:.+((SYSTEM_STATE.+slice.+state.+changed )|(ment ac)|(multiple cpu faults)|(system.+state.+changed )|(\[timeout)|(PRM\|1\|D)|(kpr)|(kdp)|(train st.+moving)|(\|lc)|(penalty))"</v>
      </c>
      <c r="AG173" s="206" t="str">
        <f t="shared" si="131"/>
        <v>NW</v>
      </c>
      <c r="AH173" s="78" t="str">
        <f t="shared" si="122"/>
        <v>"%USERPROFILE%\Documents\GitHub\eaglep3\Utilities\RefineRTDCRunTimes.py" --tripid 1814-02 --locoid 4013 --swversion DE.1.0.9.0 --startMP 300:58621 --initTime 2017-09-02T12:24:46 --startdatetime 2017-09-02T12:38:44 --delay 57 --endMP 204:647 --enddatetime 2017-09-02T12:55:07 --enforcementcount 0 &gt;&gt;C:\Users\stu\Documents\GitHub\eaglep3-reporting\EC\2017-09-02-refined-times.txt</v>
      </c>
      <c r="AI173" s="96" t="str">
        <f t="shared" si="123"/>
        <v>echo {"issue":{"subject":"","project_id":79,"tracker_id":40,"status_id":1,"priority_id":2,"assigned_to_id":338,"start_date":"2017-09-02","description":"","custom_fields":[{"id":1,"name":"Subdivision","value":"NW"},{"id":4,"name":"Milepost","value":"0.0647"},{"id":17,"name":"Train ID","value":"1814-02"},{"id":16,"name":"Locomotive ID","value":"4013"},{"id":130,"name":"Impact","value":""},{"id":150,"name":"Time of Event (Mountain Time)","value":"12:55:07"},{"id":151,"name":"Denver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7"/>
      <c r="AL173" s="47"/>
      <c r="AM173" s="142" t="str">
        <f t="shared" si="124"/>
        <v>start /low /b %USERPROFILE%\Documents\GitHub\eaglep3\Utilities\DownloadLogsFromS3.py --loco 4013 --day 2017-09-02</v>
      </c>
      <c r="AN173" s="151" t="str">
        <f t="shared" si="125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18:55:07"},{"id":29,"name":"Sharepoint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</row>
    <row r="174" spans="1:91" x14ac:dyDescent="0.25">
      <c r="A174" s="32" t="s">
        <v>685</v>
      </c>
      <c r="B174" s="7">
        <v>4014</v>
      </c>
      <c r="C174" s="21" t="s">
        <v>197</v>
      </c>
      <c r="D174" s="21" t="s">
        <v>837</v>
      </c>
      <c r="E174" s="13">
        <v>42980.540451388886</v>
      </c>
      <c r="F174" s="13">
        <v>42980.548148148147</v>
      </c>
      <c r="G174" s="7">
        <v>56</v>
      </c>
      <c r="H174" s="21" t="s">
        <v>823</v>
      </c>
      <c r="I174" s="13">
        <v>42980.557974537034</v>
      </c>
      <c r="J174" s="7">
        <v>0</v>
      </c>
      <c r="K174" s="89" t="str">
        <f t="shared" si="126"/>
        <v>4013/4014</v>
      </c>
      <c r="L174" s="214" t="str">
        <f>VLOOKUP(A174,'Trips&amp;Operators'!$C$1:$G$99911,5,FALSE)</f>
        <v>LAMAR NEKESHA</v>
      </c>
      <c r="M174" s="6">
        <f t="shared" si="127"/>
        <v>9.8263888867222704E-3</v>
      </c>
      <c r="N174" s="7">
        <f t="shared" si="143"/>
        <v>14.149999996880069</v>
      </c>
      <c r="O174" s="7"/>
      <c r="P174" s="7"/>
      <c r="Q174" s="22"/>
      <c r="R174" s="167"/>
      <c r="S174" s="210">
        <f t="shared" si="132"/>
        <v>1</v>
      </c>
      <c r="T174" s="192" t="str">
        <f t="shared" si="128"/>
        <v>NorthBound</v>
      </c>
      <c r="U174" s="192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3" t="str">
        <f t="shared" si="117"/>
        <v>https://d0f6bd738d7f1b3e5a7ca70fe4ff75f0.us-east-1.aws.found.io/app/kibana#/discover/Steve-Slow-Train-Analysis-(2080s-and-2083s)?_g=(refreshInterval:(display:Off,pause:!f,section:0,value:0),time:(from:'2017-09-02T11:58:15-0600',mode:absolute,to:'2017-09-02T14:23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74" s="194" t="str">
        <f>IF(AA174&lt;VLOOKUP(AG174,Variables!$AC$3:$AD$8,2,FALSE),"Y","N")</f>
        <v>N</v>
      </c>
      <c r="X174" s="194">
        <f t="shared" si="144"/>
        <v>1</v>
      </c>
      <c r="Y174" s="194">
        <f t="shared" si="120"/>
        <v>9.0399999999999994E-2</v>
      </c>
      <c r="Z174" s="194">
        <f t="shared" si="121"/>
        <v>5.8975</v>
      </c>
      <c r="AA174" s="194">
        <f t="shared" si="129"/>
        <v>5.8071000000000002</v>
      </c>
      <c r="AB174" s="54" t="e">
        <f>VLOOKUP(A174,Enforcements!$C$7:$K$11,8,0)</f>
        <v>#N/A</v>
      </c>
      <c r="AC174" s="51" t="e">
        <f>VLOOKUP(A174,Enforcements!$C$7:$E$11,3,0)</f>
        <v>#N/A</v>
      </c>
      <c r="AD174" s="203">
        <f t="shared" si="130"/>
        <v>1815</v>
      </c>
      <c r="AE174" s="77" t="str">
        <f t="shared" si="118"/>
        <v>aws s3 cp s3://rtdc.mdm.uploadarchive.raw/RTDC4014/ "%USERPROFILE%\AppData\Local\Temp\OnboardLogs"\RTDC4014\2017-09-02 --exclude "*" --recursive --include "*20170902*" &amp; "%USERPROFILE%\Documents\GitHub\mrs-test-scripts\Headless Mode &amp; Sideloading\WalkAndUnGZ.bat" "%USERPROFILE%\AppData\Local\Temp\OnboardLogs"\RTDC4014\2017-09-02 &amp; aws s3 cp s3://rtdc.mdm.uploadarchive.raw/RTDC4014/ "%USERPROFILE%\AppData\Local\Temp\OnboardLogs"\RTDC4014\2017-09-03 --exclude "*" --recursive --include "*20170903*" &amp; "%USERPROFILE%\Documents\GitHub\mrs-test-scripts\Headless Mode &amp; Sideloading\WalkAndUnGZ.bat" "%USERPROFILE%\AppData\Local\Temp\OnboardLogs"\RTDC4014\2017-09-03</v>
      </c>
      <c r="AF174" s="74" t="str">
        <f t="shared" si="119"/>
        <v>"C:\Program Files (x86)\AstroGrep\AstroGrep.exe" /e /r /s /spath="%USERPROFILE%\AppData\Local\Temp\OnboardLogs" /stypes="app*4014*20170902*" /stext=" 19:.+((SYSTEM_STATE.+slice.+state.+changed )|(ment ac)|(multiple cpu faults)|(system.+state.+changed )|(\[timeout)|(PRM\|1\|D)|(kpr)|(kdp)|(train st.+moving)|(\|lc)|(penalty))"</v>
      </c>
      <c r="AG174" s="206" t="str">
        <f t="shared" si="131"/>
        <v>NW</v>
      </c>
      <c r="AH174" s="78" t="str">
        <f t="shared" si="122"/>
        <v>"%USERPROFILE%\Documents\GitHub\eaglep3\Utilities\RefineRTDCRunTimes.py" --tripid 1815-02 --locoid 4014 --swversion DE.1.0.9.0 --startMP 204:904 --initTime 2017-09-02T12:58:15 --startdatetime 2017-09-02T13:09:20 --delay 56 --endMP 300:58975 --enddatetime 2017-09-02T13:23:29 --enforcementcount 0 &gt;&gt;C:\Users\stu\Documents\GitHub\eaglep3-reporting\EC\2017-09-02-refined-times.txt</v>
      </c>
      <c r="AI174" s="96" t="str">
        <f t="shared" si="123"/>
        <v>echo {"issue":{"subject":"","project_id":79,"tracker_id":40,"status_id":1,"priority_id":2,"assigned_to_id":338,"start_date":"2017-09-02","description":"","custom_fields":[{"id":1,"name":"Subdivision","value":"NW"},{"id":4,"name":"Milepost","value":"5.8975"},{"id":17,"name":"Train ID","value":"1815-02"},{"id":16,"name":"Locomotive ID","value":"4014"},{"id":130,"name":"Impact","value":""},{"id":150,"name":"Time of Event (Mountain Time)","value":"13:23:29"},{"id":151,"name":"Denver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7"/>
      <c r="AL174" s="47"/>
      <c r="AM174" s="142" t="str">
        <f t="shared" si="124"/>
        <v>start /low /b %USERPROFILE%\Documents\GitHub\eaglep3\Utilities\DownloadLogsFromS3.py --loco 4014 --day 2017-09-02</v>
      </c>
      <c r="AN174" s="151" t="str">
        <f t="shared" si="125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19:23:29"},{"id":29,"name":"Sharepoint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</row>
    <row r="175" spans="1:91" s="20" customFormat="1" x14ac:dyDescent="0.25">
      <c r="A175" s="32" t="s">
        <v>690</v>
      </c>
      <c r="B175" s="7">
        <v>4013</v>
      </c>
      <c r="C175" s="21" t="s">
        <v>197</v>
      </c>
      <c r="D175" s="21" t="s">
        <v>838</v>
      </c>
      <c r="E175" s="13">
        <v>42980.559062499997</v>
      </c>
      <c r="F175" s="13">
        <v>42980.565011574072</v>
      </c>
      <c r="G175" s="7">
        <v>68</v>
      </c>
      <c r="H175" s="21" t="s">
        <v>839</v>
      </c>
      <c r="I175" s="13">
        <v>42980.580370370371</v>
      </c>
      <c r="J175" s="7">
        <v>0</v>
      </c>
      <c r="K175" s="89" t="str">
        <f t="shared" si="126"/>
        <v>4013/4014</v>
      </c>
      <c r="L175" s="214" t="str">
        <f>VLOOKUP(A175,'Trips&amp;Operators'!$C$1:$G$99911,5,FALSE)</f>
        <v>LAMAR NEKESHA</v>
      </c>
      <c r="M175" s="6">
        <f t="shared" si="127"/>
        <v>1.5358796299551614E-2</v>
      </c>
      <c r="N175" s="7">
        <f t="shared" si="143"/>
        <v>22.116666671354324</v>
      </c>
      <c r="O175" s="7"/>
      <c r="P175" s="7"/>
      <c r="Q175" s="22"/>
      <c r="R175" s="167"/>
      <c r="S175" s="210">
        <f t="shared" si="132"/>
        <v>1</v>
      </c>
      <c r="T175" s="192" t="str">
        <f t="shared" si="128"/>
        <v>Southbound</v>
      </c>
      <c r="U175" s="192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3" t="str">
        <f t="shared" si="117"/>
        <v>https://d0f6bd738d7f1b3e5a7ca70fe4ff75f0.us-east-1.aws.found.io/app/kibana#/discover/Steve-Slow-Train-Analysis-(2080s-and-2083s)?_g=(refreshInterval:(display:Off,pause:!f,section:0,value:0),time:(from:'2017-09-02T12:25:03-0600',mode:absolute,to:'2017-09-02T14:55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75" s="194" t="str">
        <f>IF(AA175&lt;VLOOKUP(AG175,Variables!$AC$3:$AD$8,2,FALSE),"Y","N")</f>
        <v>N</v>
      </c>
      <c r="X175" s="194">
        <f t="shared" si="144"/>
        <v>1</v>
      </c>
      <c r="Y175" s="194">
        <f t="shared" ref="Y175:Y187" si="145">RIGHT(D175,LEN(D175)-4)/10000</f>
        <v>5.8644999999999996</v>
      </c>
      <c r="Z175" s="194">
        <f t="shared" ref="Z175:Z187" si="146">RIGHT(H175,LEN(H175)-4)/10000</f>
        <v>6.3600000000000004E-2</v>
      </c>
      <c r="AA175" s="194">
        <f t="shared" si="129"/>
        <v>5.8008999999999995</v>
      </c>
      <c r="AB175" s="54" t="e">
        <f>VLOOKUP(A175,Enforcements!$C$7:$K$11,8,0)</f>
        <v>#N/A</v>
      </c>
      <c r="AC175" s="51" t="e">
        <f>VLOOKUP(A175,Enforcements!$C$7:$E$11,3,0)</f>
        <v>#N/A</v>
      </c>
      <c r="AD175" s="203">
        <f t="shared" si="130"/>
        <v>1816</v>
      </c>
      <c r="AE175" s="77" t="str">
        <f t="shared" si="118"/>
        <v>aws s3 cp s3://rtdc.mdm.uploadarchive.raw/RTDC4013/ "%USERPROFILE%\AppData\Local\Temp\OnboardLogs"\RTDC4013\2017-09-02 --exclude "*" --recursive --include "*20170902*" &amp; "%USERPROFILE%\Documents\GitHub\mrs-test-scripts\Headless Mode &amp; Sideloading\WalkAndUnGZ.bat" "%USERPROFILE%\AppData\Local\Temp\OnboardLogs"\RTDC4013\2017-09-02 &amp; aws s3 cp s3://rtdc.mdm.uploadarchive.raw/RTDC4013/ "%USERPROFILE%\AppData\Local\Temp\OnboardLogs"\RTDC4013\2017-09-03 --exclude "*" --recursive --include "*20170903*" &amp; "%USERPROFILE%\Documents\GitHub\mrs-test-scripts\Headless Mode &amp; Sideloading\WalkAndUnGZ.bat" "%USERPROFILE%\AppData\Local\Temp\OnboardLogs"\RTDC4013\2017-09-03</v>
      </c>
      <c r="AF175" s="74" t="str">
        <f t="shared" si="119"/>
        <v>"C:\Program Files (x86)\AstroGrep\AstroGrep.exe" /e /r /s /spath="%USERPROFILE%\AppData\Local\Temp\OnboardLogs" /stypes="app*4013*20170902*" /stext=" 19:.+((SYSTEM_STATE.+slice.+state.+changed )|(ment ac)|(multiple cpu faults)|(system.+state.+changed )|(\[timeout)|(PRM\|1\|D)|(kpr)|(kdp)|(train st.+moving)|(\|lc)|(penalty))"</v>
      </c>
      <c r="AG175" s="206" t="str">
        <f t="shared" si="131"/>
        <v>NW</v>
      </c>
      <c r="AH175" s="78" t="str">
        <f t="shared" si="122"/>
        <v>"%USERPROFILE%\Documents\GitHub\eaglep3\Utilities\RefineRTDCRunTimes.py" --tripid 1816-02 --locoid 4013 --swversion DE.1.0.9.0 --startMP 300:58645 --initTime 2017-09-02T13:25:03 --startdatetime 2017-09-02T13:33:37 --delay 68 --endMP 204:636 --enddatetime 2017-09-02T13:55:44 --enforcementcount 0 &gt;&gt;C:\Users\stu\Documents\GitHub\eaglep3-reporting\EC\2017-09-02-refined-times.txt</v>
      </c>
      <c r="AI175" s="96" t="str">
        <f t="shared" si="123"/>
        <v>echo {"issue":{"subject":"","project_id":79,"tracker_id":40,"status_id":1,"priority_id":2,"assigned_to_id":338,"start_date":"2017-09-02","description":"","custom_fields":[{"id":1,"name":"Subdivision","value":"NW"},{"id":4,"name":"Milepost","value":"0.0636"},{"id":17,"name":"Train ID","value":"1816-02"},{"id":16,"name":"Locomotive ID","value":"4013"},{"id":130,"name":"Impact","value":""},{"id":150,"name":"Time of Event (Mountain Time)","value":"13:55:44"},{"id":151,"name":"Denver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5" s="47"/>
      <c r="AL175" s="47"/>
      <c r="AM175" s="142" t="str">
        <f t="shared" si="124"/>
        <v>start /low /b %USERPROFILE%\Documents\GitHub\eaglep3\Utilities\DownloadLogsFromS3.py --loco 4013 --day 2017-09-02</v>
      </c>
      <c r="AN175" s="151" t="str">
        <f t="shared" si="125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19:55:44"},{"id":29,"name":"Sharepoint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32" t="s">
        <v>694</v>
      </c>
      <c r="B176" s="7">
        <v>4014</v>
      </c>
      <c r="C176" s="21" t="s">
        <v>197</v>
      </c>
      <c r="D176" s="21" t="s">
        <v>840</v>
      </c>
      <c r="E176" s="13">
        <v>42980.583344907405</v>
      </c>
      <c r="F176" s="13">
        <v>42980.589780092596</v>
      </c>
      <c r="G176" s="7">
        <v>67</v>
      </c>
      <c r="H176" s="21" t="s">
        <v>458</v>
      </c>
      <c r="I176" s="13">
        <v>42980.599965277775</v>
      </c>
      <c r="J176" s="7">
        <v>0</v>
      </c>
      <c r="K176" s="89" t="str">
        <f t="shared" si="126"/>
        <v>4013/4014</v>
      </c>
      <c r="L176" s="214" t="str">
        <f>VLOOKUP(A176,'Trips&amp;Operators'!$C$1:$G$99911,5,FALSE)</f>
        <v>SMITH MICHAEL</v>
      </c>
      <c r="M176" s="6">
        <f t="shared" si="127"/>
        <v>1.0185185179580003E-2</v>
      </c>
      <c r="N176" s="7">
        <f t="shared" si="143"/>
        <v>14.666666658595204</v>
      </c>
      <c r="O176" s="7"/>
      <c r="P176" s="7"/>
      <c r="Q176" s="22"/>
      <c r="R176" s="167"/>
      <c r="S176" s="210">
        <f t="shared" si="132"/>
        <v>1</v>
      </c>
      <c r="T176" s="192" t="str">
        <f t="shared" si="128"/>
        <v>NorthBound</v>
      </c>
      <c r="U176" s="192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3" t="str">
        <f t="shared" si="117"/>
        <v>https://d0f6bd738d7f1b3e5a7ca70fe4ff75f0.us-east-1.aws.found.io/app/kibana#/discover/Steve-Slow-Train-Analysis-(2080s-and-2083s)?_g=(refreshInterval:(display:Off,pause:!f,section:0,value:0),time:(from:'2017-09-02T13:00:01-0600',mode:absolute,to:'2017-09-02T15:23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76" s="194" t="str">
        <f>IF(AA176&lt;VLOOKUP(AG176,Variables!$AC$3:$AD$8,2,FALSE),"Y","N")</f>
        <v>N</v>
      </c>
      <c r="X176" s="194">
        <f t="shared" si="144"/>
        <v>1</v>
      </c>
      <c r="Y176" s="194">
        <f t="shared" si="145"/>
        <v>9.0200000000000002E-2</v>
      </c>
      <c r="Z176" s="194">
        <f t="shared" si="146"/>
        <v>5.8943000000000003</v>
      </c>
      <c r="AA176" s="194">
        <f t="shared" si="129"/>
        <v>5.8041</v>
      </c>
      <c r="AB176" s="54" t="e">
        <f>VLOOKUP(A176,Enforcements!$C$7:$K$11,8,0)</f>
        <v>#N/A</v>
      </c>
      <c r="AC176" s="51" t="e">
        <f>VLOOKUP(A176,Enforcements!$C$7:$E$11,3,0)</f>
        <v>#N/A</v>
      </c>
      <c r="AD176" s="203">
        <f t="shared" si="130"/>
        <v>1817</v>
      </c>
      <c r="AE176" s="77" t="str">
        <f t="shared" si="118"/>
        <v>aws s3 cp s3://rtdc.mdm.uploadarchive.raw/RTDC4014/ "%USERPROFILE%\AppData\Local\Temp\OnboardLogs"\RTDC4014\2017-09-02 --exclude "*" --recursive --include "*20170902*" &amp; "%USERPROFILE%\Documents\GitHub\mrs-test-scripts\Headless Mode &amp; Sideloading\WalkAndUnGZ.bat" "%USERPROFILE%\AppData\Local\Temp\OnboardLogs"\RTDC4014\2017-09-02 &amp; aws s3 cp s3://rtdc.mdm.uploadarchive.raw/RTDC4014/ "%USERPROFILE%\AppData\Local\Temp\OnboardLogs"\RTDC4014\2017-09-03 --exclude "*" --recursive --include "*20170903*" &amp; "%USERPROFILE%\Documents\GitHub\mrs-test-scripts\Headless Mode &amp; Sideloading\WalkAndUnGZ.bat" "%USERPROFILE%\AppData\Local\Temp\OnboardLogs"\RTDC4014\2017-09-03</v>
      </c>
      <c r="AF176" s="74" t="str">
        <f t="shared" si="119"/>
        <v>"C:\Program Files (x86)\AstroGrep\AstroGrep.exe" /e /r /s /spath="%USERPROFILE%\AppData\Local\Temp\OnboardLogs" /stypes="app*4014*20170902*" /stext=" 20:.+((SYSTEM_STATE.+slice.+state.+changed )|(ment ac)|(multiple cpu faults)|(system.+state.+changed )|(\[timeout)|(PRM\|1\|D)|(kpr)|(kdp)|(train st.+moving)|(\|lc)|(penalty))"</v>
      </c>
      <c r="AG176" s="206" t="str">
        <f t="shared" si="131"/>
        <v>NW</v>
      </c>
      <c r="AH176" s="78" t="str">
        <f t="shared" si="122"/>
        <v>"%USERPROFILE%\Documents\GitHub\eaglep3\Utilities\RefineRTDCRunTimes.py" --tripid 1817-02 --locoid 4014 --swversion DE.1.0.9.0 --startMP 204:902 --initTime 2017-09-02T14:00:01 --startdatetime 2017-09-02T14:09:17 --delay 67 --endMP 300:58943 --enddatetime 2017-09-02T14:23:57 --enforcementcount 0 &gt;&gt;C:\Users\stu\Documents\GitHub\eaglep3-reporting\EC\2017-09-02-refined-times.txt</v>
      </c>
      <c r="AI176" s="96" t="str">
        <f t="shared" si="123"/>
        <v>echo {"issue":{"subject":"","project_id":79,"tracker_id":40,"status_id":1,"priority_id":2,"assigned_to_id":338,"start_date":"2017-09-02","description":"","custom_fields":[{"id":1,"name":"Subdivision","value":"NW"},{"id":4,"name":"Milepost","value":"5.8943"},{"id":17,"name":"Train ID","value":"1817-02"},{"id":16,"name":"Locomotive ID","value":"4014"},{"id":130,"name":"Impact","value":""},{"id":150,"name":"Time of Event (Mountain Time)","value":"14:23:57"},{"id":151,"name":"Denver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6" s="47"/>
      <c r="AL176" s="47"/>
      <c r="AM176" s="142" t="str">
        <f t="shared" si="124"/>
        <v>start /low /b %USERPROFILE%\Documents\GitHub\eaglep3\Utilities\DownloadLogsFromS3.py --loco 4014 --day 2017-09-02</v>
      </c>
      <c r="AN176" s="151" t="str">
        <f t="shared" si="125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20:23:57"},{"id":29,"name":"Sharepoint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32" t="s">
        <v>698</v>
      </c>
      <c r="B177" s="7">
        <v>4013</v>
      </c>
      <c r="C177" s="21" t="s">
        <v>197</v>
      </c>
      <c r="D177" s="21" t="s">
        <v>440</v>
      </c>
      <c r="E177" s="13">
        <v>42980.601909722223</v>
      </c>
      <c r="F177" s="13">
        <v>42980.6096875</v>
      </c>
      <c r="G177" s="7">
        <v>79</v>
      </c>
      <c r="H177" s="21" t="s">
        <v>841</v>
      </c>
      <c r="I177" s="13">
        <v>42980.621307870373</v>
      </c>
      <c r="J177" s="7">
        <v>0</v>
      </c>
      <c r="K177" s="89" t="str">
        <f t="shared" si="126"/>
        <v>4013/4014</v>
      </c>
      <c r="L177" s="214" t="str">
        <f>VLOOKUP(A177,'Trips&amp;Operators'!$C$1:$G$99911,5,FALSE)</f>
        <v>SMITH MICHAEL</v>
      </c>
      <c r="M177" s="6">
        <f t="shared" si="127"/>
        <v>1.1620370372838806E-2</v>
      </c>
      <c r="N177" s="7">
        <f t="shared" si="143"/>
        <v>16.733333336887881</v>
      </c>
      <c r="O177" s="7"/>
      <c r="P177" s="7"/>
      <c r="Q177" s="22"/>
      <c r="R177" s="167"/>
      <c r="S177" s="210">
        <f t="shared" si="132"/>
        <v>1</v>
      </c>
      <c r="T177" s="192" t="str">
        <f t="shared" si="128"/>
        <v>Southbound</v>
      </c>
      <c r="U177" s="192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3" t="str">
        <f t="shared" si="117"/>
        <v>https://d0f6bd738d7f1b3e5a7ca70fe4ff75f0.us-east-1.aws.found.io/app/kibana#/discover/Steve-Slow-Train-Analysis-(2080s-and-2083s)?_g=(refreshInterval:(display:Off,pause:!f,section:0,value:0),time:(from:'2017-09-02T13:26:45-0600',mode:absolute,to:'2017-09-02T15:54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77" s="194" t="str">
        <f>IF(AA177&lt;VLOOKUP(AG177,Variables!$AC$3:$AD$8,2,FALSE),"Y","N")</f>
        <v>N</v>
      </c>
      <c r="X177" s="194">
        <f t="shared" si="144"/>
        <v>1</v>
      </c>
      <c r="Y177" s="194">
        <f t="shared" si="145"/>
        <v>5.8625999999999996</v>
      </c>
      <c r="Z177" s="194">
        <f t="shared" si="146"/>
        <v>6.7299999999999999E-2</v>
      </c>
      <c r="AA177" s="194">
        <f t="shared" si="129"/>
        <v>5.7952999999999992</v>
      </c>
      <c r="AB177" s="54" t="e">
        <f>VLOOKUP(A177,Enforcements!$C$7:$K$11,8,0)</f>
        <v>#N/A</v>
      </c>
      <c r="AC177" s="51" t="e">
        <f>VLOOKUP(A177,Enforcements!$C$7:$E$11,3,0)</f>
        <v>#N/A</v>
      </c>
      <c r="AD177" s="203">
        <f t="shared" si="130"/>
        <v>1818</v>
      </c>
      <c r="AE177" s="77" t="str">
        <f t="shared" si="118"/>
        <v>aws s3 cp s3://rtdc.mdm.uploadarchive.raw/RTDC4013/ "%USERPROFILE%\AppData\Local\Temp\OnboardLogs"\RTDC4013\2017-09-02 --exclude "*" --recursive --include "*20170902*" &amp; "%USERPROFILE%\Documents\GitHub\mrs-test-scripts\Headless Mode &amp; Sideloading\WalkAndUnGZ.bat" "%USERPROFILE%\AppData\Local\Temp\OnboardLogs"\RTDC4013\2017-09-02 &amp; aws s3 cp s3://rtdc.mdm.uploadarchive.raw/RTDC4013/ "%USERPROFILE%\AppData\Local\Temp\OnboardLogs"\RTDC4013\2017-09-03 --exclude "*" --recursive --include "*20170903*" &amp; "%USERPROFILE%\Documents\GitHub\mrs-test-scripts\Headless Mode &amp; Sideloading\WalkAndUnGZ.bat" "%USERPROFILE%\AppData\Local\Temp\OnboardLogs"\RTDC4013\2017-09-03</v>
      </c>
      <c r="AF177" s="74" t="str">
        <f t="shared" si="119"/>
        <v>"C:\Program Files (x86)\AstroGrep\AstroGrep.exe" /e /r /s /spath="%USERPROFILE%\AppData\Local\Temp\OnboardLogs" /stypes="app*4013*20170902*" /stext=" 20:.+((SYSTEM_STATE.+slice.+state.+changed )|(ment ac)|(multiple cpu faults)|(system.+state.+changed )|(\[timeout)|(PRM\|1\|D)|(kpr)|(kdp)|(train st.+moving)|(\|lc)|(penalty))"</v>
      </c>
      <c r="AG177" s="206" t="str">
        <f t="shared" si="131"/>
        <v>NW</v>
      </c>
      <c r="AH177" s="78" t="str">
        <f t="shared" si="122"/>
        <v>"%USERPROFILE%\Documents\GitHub\eaglep3\Utilities\RefineRTDCRunTimes.py" --tripid 1818-02 --locoid 4013 --swversion DE.1.0.9.0 --startMP 300:58626 --initTime 2017-09-02T14:26:45 --startdatetime 2017-09-02T14:37:57 --delay 79 --endMP 204:673 --enddatetime 2017-09-02T14:54:41 --enforcementcount 0 &gt;&gt;C:\Users\stu\Documents\GitHub\eaglep3-reporting\EC\2017-09-02-refined-times.txt</v>
      </c>
      <c r="AI177" s="96" t="str">
        <f t="shared" si="123"/>
        <v>echo {"issue":{"subject":"","project_id":79,"tracker_id":40,"status_id":1,"priority_id":2,"assigned_to_id":338,"start_date":"2017-09-02","description":"","custom_fields":[{"id":1,"name":"Subdivision","value":"NW"},{"id":4,"name":"Milepost","value":"0.0673"},{"id":17,"name":"Train ID","value":"1818-02"},{"id":16,"name":"Locomotive ID","value":"4013"},{"id":130,"name":"Impact","value":""},{"id":150,"name":"Time of Event (Mountain Time)","value":"14:54:41"},{"id":151,"name":"Denver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7" s="47"/>
      <c r="AL177" s="47"/>
      <c r="AM177" s="142" t="str">
        <f t="shared" si="124"/>
        <v>start /low /b %USERPROFILE%\Documents\GitHub\eaglep3\Utilities\DownloadLogsFromS3.py --loco 4013 --day 2017-09-02</v>
      </c>
      <c r="AN177" s="151" t="str">
        <f t="shared" si="125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20:54:41"},{"id":29,"name":"Sharepoint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x14ac:dyDescent="0.25">
      <c r="A178" s="32" t="s">
        <v>701</v>
      </c>
      <c r="B178" s="7">
        <v>4014</v>
      </c>
      <c r="C178" s="21" t="s">
        <v>197</v>
      </c>
      <c r="D178" s="21" t="s">
        <v>842</v>
      </c>
      <c r="E178" s="13">
        <v>42980.626979166664</v>
      </c>
      <c r="F178" s="13">
        <v>42980.632094907407</v>
      </c>
      <c r="G178" s="7">
        <v>72</v>
      </c>
      <c r="H178" s="21" t="s">
        <v>843</v>
      </c>
      <c r="I178" s="13">
        <v>42980.641770833332</v>
      </c>
      <c r="J178" s="7">
        <v>0</v>
      </c>
      <c r="K178" s="89" t="str">
        <f t="shared" si="126"/>
        <v>4013/4014</v>
      </c>
      <c r="L178" s="214" t="str">
        <f>VLOOKUP(A178,'Trips&amp;Operators'!$C$1:$G$99911,5,FALSE)</f>
        <v>SMITH MICHAEL</v>
      </c>
      <c r="M178" s="6">
        <f t="shared" si="127"/>
        <v>9.6759259249665774E-3</v>
      </c>
      <c r="N178" s="7">
        <f t="shared" si="143"/>
        <v>13.933333331951872</v>
      </c>
      <c r="O178" s="7"/>
      <c r="P178" s="7"/>
      <c r="Q178" s="22"/>
      <c r="R178" s="167"/>
      <c r="S178" s="210">
        <f t="shared" si="132"/>
        <v>1</v>
      </c>
      <c r="T178" s="192" t="str">
        <f t="shared" si="128"/>
        <v>NorthBound</v>
      </c>
      <c r="U178" s="192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3" t="str">
        <f t="shared" si="117"/>
        <v>https://d0f6bd738d7f1b3e5a7ca70fe4ff75f0.us-east-1.aws.found.io/app/kibana#/discover/Steve-Slow-Train-Analysis-(2080s-and-2083s)?_g=(refreshInterval:(display:Off,pause:!f,section:0,value:0),time:(from:'2017-09-02T14:02:51-0600',mode:absolute,to:'2017-09-02T16:24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78" s="194" t="str">
        <f>IF(AA178&lt;VLOOKUP(AG178,Variables!$AC$3:$AD$8,2,FALSE),"Y","N")</f>
        <v>N</v>
      </c>
      <c r="X178" s="194">
        <f t="shared" si="144"/>
        <v>1</v>
      </c>
      <c r="Y178" s="194">
        <f t="shared" si="145"/>
        <v>9.5799999999999996E-2</v>
      </c>
      <c r="Z178" s="194">
        <f t="shared" si="146"/>
        <v>5.8948</v>
      </c>
      <c r="AA178" s="194">
        <f t="shared" si="129"/>
        <v>5.7990000000000004</v>
      </c>
      <c r="AB178" s="54" t="e">
        <f>VLOOKUP(A178,Enforcements!$C$7:$K$11,8,0)</f>
        <v>#N/A</v>
      </c>
      <c r="AC178" s="51" t="e">
        <f>VLOOKUP(A178,Enforcements!$C$7:$E$11,3,0)</f>
        <v>#N/A</v>
      </c>
      <c r="AD178" s="203">
        <f t="shared" si="130"/>
        <v>1819</v>
      </c>
      <c r="AE178" s="77" t="str">
        <f t="shared" si="118"/>
        <v>aws s3 cp s3://rtdc.mdm.uploadarchive.raw/RTDC4014/ "%USERPROFILE%\AppData\Local\Temp\OnboardLogs"\RTDC4014\2017-09-02 --exclude "*" --recursive --include "*20170902*" &amp; "%USERPROFILE%\Documents\GitHub\mrs-test-scripts\Headless Mode &amp; Sideloading\WalkAndUnGZ.bat" "%USERPROFILE%\AppData\Local\Temp\OnboardLogs"\RTDC4014\2017-09-02 &amp; aws s3 cp s3://rtdc.mdm.uploadarchive.raw/RTDC4014/ "%USERPROFILE%\AppData\Local\Temp\OnboardLogs"\RTDC4014\2017-09-03 --exclude "*" --recursive --include "*20170903*" &amp; "%USERPROFILE%\Documents\GitHub\mrs-test-scripts\Headless Mode &amp; Sideloading\WalkAndUnGZ.bat" "%USERPROFILE%\AppData\Local\Temp\OnboardLogs"\RTDC4014\2017-09-03</v>
      </c>
      <c r="AF178" s="74" t="str">
        <f t="shared" si="119"/>
        <v>"C:\Program Files (x86)\AstroGrep\AstroGrep.exe" /e /r /s /spath="%USERPROFILE%\AppData\Local\Temp\OnboardLogs" /stypes="app*4014*20170902*" /stext=" 21:.+((SYSTEM_STATE.+slice.+state.+changed )|(ment ac)|(multiple cpu faults)|(system.+state.+changed )|(\[timeout)|(PRM\|1\|D)|(kpr)|(kdp)|(train st.+moving)|(\|lc)|(penalty))"</v>
      </c>
      <c r="AG178" s="206" t="str">
        <f t="shared" si="131"/>
        <v>NW</v>
      </c>
      <c r="AH178" s="78" t="str">
        <f t="shared" si="122"/>
        <v>"%USERPROFILE%\Documents\GitHub\eaglep3\Utilities\RefineRTDCRunTimes.py" --tripid 1819-02 --locoid 4014 --swversion DE.1.0.9.0 --startMP 204:958 --initTime 2017-09-02T15:02:51 --startdatetime 2017-09-02T15:10:13 --delay 72 --endMP 300:58948 --enddatetime 2017-09-02T15:24:09 --enforcementcount 0 &gt;&gt;C:\Users\stu\Documents\GitHub\eaglep3-reporting\EC\2017-09-02-refined-times.txt</v>
      </c>
      <c r="AI178" s="96" t="str">
        <f t="shared" si="123"/>
        <v>echo {"issue":{"subject":"","project_id":79,"tracker_id":40,"status_id":1,"priority_id":2,"assigned_to_id":338,"start_date":"2017-09-02","description":"","custom_fields":[{"id":1,"name":"Subdivision","value":"NW"},{"id":4,"name":"Milepost","value":"5.8948"},{"id":17,"name":"Train ID","value":"1819-02"},{"id":16,"name":"Locomotive ID","value":"4014"},{"id":130,"name":"Impact","value":""},{"id":150,"name":"Time of Event (Mountain Time)","value":"15:24:09"},{"id":151,"name":"Denver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2" t="str">
        <f t="shared" si="124"/>
        <v>start /low /b %USERPROFILE%\Documents\GitHub\eaglep3\Utilities\DownloadLogsFromS3.py --loco 4014 --day 2017-09-02</v>
      </c>
      <c r="AN178" s="151" t="str">
        <f t="shared" si="125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21:24:09"},{"id":29,"name":"Sharepoint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</row>
    <row r="179" spans="1:91" x14ac:dyDescent="0.25">
      <c r="A179" s="32" t="s">
        <v>705</v>
      </c>
      <c r="B179" s="7">
        <v>4013</v>
      </c>
      <c r="C179" s="21" t="s">
        <v>197</v>
      </c>
      <c r="D179" s="21" t="s">
        <v>848</v>
      </c>
      <c r="E179" s="13">
        <v>42980.643425925926</v>
      </c>
      <c r="F179" s="13">
        <v>42980.652349537035</v>
      </c>
      <c r="G179" s="7">
        <v>100</v>
      </c>
      <c r="H179" s="21" t="s">
        <v>555</v>
      </c>
      <c r="I179" s="13">
        <v>42980.662939814814</v>
      </c>
      <c r="J179" s="7">
        <v>0</v>
      </c>
      <c r="K179" s="89" t="str">
        <f t="shared" si="126"/>
        <v>4013/4014</v>
      </c>
      <c r="L179" s="214" t="str">
        <f>VLOOKUP(A179,'Trips&amp;Operators'!$C$1:$G$99911,5,FALSE)</f>
        <v>SMITH MICHAEL</v>
      </c>
      <c r="M179" s="6">
        <f t="shared" si="127"/>
        <v>1.0590277779556345E-2</v>
      </c>
      <c r="N179" s="7">
        <f t="shared" si="143"/>
        <v>15.250000002561137</v>
      </c>
      <c r="O179" s="7"/>
      <c r="P179" s="7"/>
      <c r="Q179" s="22"/>
      <c r="R179" s="167"/>
      <c r="S179" s="210">
        <f t="shared" si="132"/>
        <v>1</v>
      </c>
      <c r="T179" s="192" t="str">
        <f t="shared" si="128"/>
        <v>Southbound</v>
      </c>
      <c r="U179" s="192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3" t="str">
        <f t="shared" si="117"/>
        <v>https://d0f6bd738d7f1b3e5a7ca70fe4ff75f0.us-east-1.aws.found.io/app/kibana#/discover/Steve-Slow-Train-Analysis-(2080s-and-2083s)?_g=(refreshInterval:(display:Off,pause:!f,section:0,value:0),time:(from:'2017-09-02T14:26:32-0600',mode:absolute,to:'2017-09-02T16:54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79" s="194" t="str">
        <f>IF(AA179&lt;VLOOKUP(AG179,Variables!$AC$3:$AD$8,2,FALSE),"Y","N")</f>
        <v>N</v>
      </c>
      <c r="X179" s="194">
        <f t="shared" si="144"/>
        <v>1</v>
      </c>
      <c r="Y179" s="194">
        <f t="shared" si="145"/>
        <v>5.8630000000000004</v>
      </c>
      <c r="Z179" s="194">
        <f t="shared" si="146"/>
        <v>6.9400000000000003E-2</v>
      </c>
      <c r="AA179" s="194">
        <f t="shared" si="129"/>
        <v>5.7936000000000005</v>
      </c>
      <c r="AB179" s="54" t="e">
        <f>VLOOKUP(A179,Enforcements!$C$7:$K$11,8,0)</f>
        <v>#N/A</v>
      </c>
      <c r="AC179" s="51" t="e">
        <f>VLOOKUP(A179,Enforcements!$C$7:$E$11,3,0)</f>
        <v>#N/A</v>
      </c>
      <c r="AD179" s="203">
        <f t="shared" si="130"/>
        <v>1820</v>
      </c>
      <c r="AE179" s="77" t="str">
        <f t="shared" si="118"/>
        <v>aws s3 cp s3://rtdc.mdm.uploadarchive.raw/RTDC4013/ "%USERPROFILE%\AppData\Local\Temp\OnboardLogs"\RTDC4013\2017-09-02 --exclude "*" --recursive --include "*20170902*" &amp; "%USERPROFILE%\Documents\GitHub\mrs-test-scripts\Headless Mode &amp; Sideloading\WalkAndUnGZ.bat" "%USERPROFILE%\AppData\Local\Temp\OnboardLogs"\RTDC4013\2017-09-02 &amp; aws s3 cp s3://rtdc.mdm.uploadarchive.raw/RTDC4013/ "%USERPROFILE%\AppData\Local\Temp\OnboardLogs"\RTDC4013\2017-09-03 --exclude "*" --recursive --include "*20170903*" &amp; "%USERPROFILE%\Documents\GitHub\mrs-test-scripts\Headless Mode &amp; Sideloading\WalkAndUnGZ.bat" "%USERPROFILE%\AppData\Local\Temp\OnboardLogs"\RTDC4013\2017-09-03</v>
      </c>
      <c r="AF179" s="74" t="str">
        <f t="shared" si="119"/>
        <v>"C:\Program Files (x86)\AstroGrep\AstroGrep.exe" /e /r /s /spath="%USERPROFILE%\AppData\Local\Temp\OnboardLogs" /stypes="app*4013*20170902*" /stext=" 21:.+((SYSTEM_STATE.+slice.+state.+changed )|(ment ac)|(multiple cpu faults)|(system.+state.+changed )|(\[timeout)|(PRM\|1\|D)|(kpr)|(kdp)|(train st.+moving)|(\|lc)|(penalty))"</v>
      </c>
      <c r="AG179" s="206" t="str">
        <f t="shared" si="131"/>
        <v>NW</v>
      </c>
      <c r="AH179" s="78" t="str">
        <f t="shared" si="122"/>
        <v>"%USERPROFILE%\Documents\GitHub\eaglep3\Utilities\RefineRTDCRunTimes.py" --tripid 1820-02 --locoid 4013 --swversion DE.1.0.9.0 --startMP 300:58630 --initTime 2017-09-02T15:26:32 --startdatetime 2017-09-02T15:39:23 --delay 100 --endMP 204:694 --enddatetime 2017-09-02T15:54:38 --enforcementcount 0 &gt;&gt;C:\Users\stu\Documents\GitHub\eaglep3-reporting\EC\2017-09-02-refined-times.txt</v>
      </c>
      <c r="AI179" s="96" t="str">
        <f t="shared" si="123"/>
        <v>echo {"issue":{"subject":"","project_id":79,"tracker_id":40,"status_id":1,"priority_id":2,"assigned_to_id":338,"start_date":"2017-09-02","description":"","custom_fields":[{"id":1,"name":"Subdivision","value":"NW"},{"id":4,"name":"Milepost","value":"0.0694"},{"id":17,"name":"Train ID","value":"1820-02"},{"id":16,"name":"Locomotive ID","value":"4013"},{"id":130,"name":"Impact","value":""},{"id":150,"name":"Time of Event (Mountain Time)","value":"15:54:38"},{"id":151,"name":"Denver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2" t="str">
        <f t="shared" si="124"/>
        <v>start /low /b %USERPROFILE%\Documents\GitHub\eaglep3\Utilities\DownloadLogsFromS3.py --loco 4013 --day 2017-09-02</v>
      </c>
      <c r="AN179" s="151" t="str">
        <f t="shared" si="125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21:54:38"},{"id":29,"name":"Sharepoint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</row>
    <row r="180" spans="1:91" s="20" customFormat="1" x14ac:dyDescent="0.25">
      <c r="A180" s="32" t="s">
        <v>711</v>
      </c>
      <c r="B180" s="7">
        <v>4014</v>
      </c>
      <c r="C180" s="21" t="s">
        <v>197</v>
      </c>
      <c r="D180" s="21" t="s">
        <v>849</v>
      </c>
      <c r="E180" s="13">
        <v>42980.666932870372</v>
      </c>
      <c r="F180" s="13">
        <v>42980.673113425924</v>
      </c>
      <c r="G180" s="7">
        <v>72</v>
      </c>
      <c r="H180" s="21" t="s">
        <v>850</v>
      </c>
      <c r="I180" s="13">
        <v>42980.682569444441</v>
      </c>
      <c r="J180" s="7">
        <v>0</v>
      </c>
      <c r="K180" s="89" t="str">
        <f t="shared" ref="K180:K211" si="147">IF(ISEVEN(B180),(B180-1)&amp;"/"&amp;B180,B180&amp;"/"&amp;(B180+1))</f>
        <v>4013/4014</v>
      </c>
      <c r="L180" s="214" t="str">
        <f>VLOOKUP(A180,'Trips&amp;Operators'!$C$1:$G$99911,5,FALSE)</f>
        <v>SMITH MICHAEL</v>
      </c>
      <c r="M180" s="6">
        <f t="shared" ref="M180:M211" si="148">I180-F180</f>
        <v>9.4560185170848854E-3</v>
      </c>
      <c r="N180" s="7">
        <f t="shared" si="143"/>
        <v>13.616666664602235</v>
      </c>
      <c r="O180" s="7"/>
      <c r="P180" s="7"/>
      <c r="Q180" s="22"/>
      <c r="R180" s="167"/>
      <c r="S180" s="210">
        <f t="shared" si="132"/>
        <v>1</v>
      </c>
      <c r="T180" s="192" t="str">
        <f t="shared" ref="T180:T211" si="149">IF(ISEVEN(LEFT(AD180,4)),"Southbound","NorthBound")</f>
        <v>NorthBound</v>
      </c>
      <c r="U180" s="192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3" t="str">
        <f t="shared" si="117"/>
        <v>https://d0f6bd738d7f1b3e5a7ca70fe4ff75f0.us-east-1.aws.found.io/app/kibana#/discover/Steve-Slow-Train-Analysis-(2080s-and-2083s)?_g=(refreshInterval:(display:Off,pause:!f,section:0,value:0),time:(from:'2017-09-02T15:00:23-0600',mode:absolute,to:'2017-09-02T17:22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80" s="194" t="str">
        <f>IF(AA180&lt;VLOOKUP(AG180,Variables!$AC$3:$AD$8,2,FALSE),"Y","N")</f>
        <v>N</v>
      </c>
      <c r="X180" s="194">
        <f t="shared" si="144"/>
        <v>1</v>
      </c>
      <c r="Y180" s="194">
        <f t="shared" si="145"/>
        <v>9.6000000000000002E-2</v>
      </c>
      <c r="Z180" s="194">
        <f t="shared" si="146"/>
        <v>5.8956</v>
      </c>
      <c r="AA180" s="194">
        <f t="shared" ref="AA180:AA211" si="150">ABS(Z180-Y180)</f>
        <v>5.7995999999999999</v>
      </c>
      <c r="AB180" s="54" t="e">
        <f>VLOOKUP(A180,Enforcements!$C$7:$K$11,8,0)</f>
        <v>#N/A</v>
      </c>
      <c r="AC180" s="51" t="e">
        <f>VLOOKUP(A180,Enforcements!$C$7:$E$11,3,0)</f>
        <v>#N/A</v>
      </c>
      <c r="AD180" s="203">
        <f t="shared" ref="AD180:AD211" si="151">VALUE(LEFT(A180,LEN(A180)-3))</f>
        <v>1821</v>
      </c>
      <c r="AE180" s="77" t="str">
        <f t="shared" si="118"/>
        <v>aws s3 cp s3://rtdc.mdm.uploadarchive.raw/RTDC4014/ "%USERPROFILE%\AppData\Local\Temp\OnboardLogs"\RTDC4014\2017-09-02 --exclude "*" --recursive --include "*20170902*" &amp; "%USERPROFILE%\Documents\GitHub\mrs-test-scripts\Headless Mode &amp; Sideloading\WalkAndUnGZ.bat" "%USERPROFILE%\AppData\Local\Temp\OnboardLogs"\RTDC4014\2017-09-02 &amp; aws s3 cp s3://rtdc.mdm.uploadarchive.raw/RTDC4014/ "%USERPROFILE%\AppData\Local\Temp\OnboardLogs"\RTDC4014\2017-09-03 --exclude "*" --recursive --include "*20170903*" &amp; "%USERPROFILE%\Documents\GitHub\mrs-test-scripts\Headless Mode &amp; Sideloading\WalkAndUnGZ.bat" "%USERPROFILE%\AppData\Local\Temp\OnboardLogs"\RTDC4014\2017-09-03</v>
      </c>
      <c r="AF180" s="74" t="str">
        <f t="shared" si="119"/>
        <v>"C:\Program Files (x86)\AstroGrep\AstroGrep.exe" /e /r /s /spath="%USERPROFILE%\AppData\Local\Temp\OnboardLogs" /stypes="app*4014*20170902*" /stext=" 22:.+((SYSTEM_STATE.+slice.+state.+changed )|(ment ac)|(multiple cpu faults)|(system.+state.+changed )|(\[timeout)|(PRM\|1\|D)|(kpr)|(kdp)|(train st.+moving)|(\|lc)|(penalty))"</v>
      </c>
      <c r="AG180" s="206" t="str">
        <f t="shared" ref="AG180:AG211" si="152">DetSubdiv(A180)</f>
        <v>NW</v>
      </c>
      <c r="AH180" s="78" t="str">
        <f t="shared" si="122"/>
        <v>"%USERPROFILE%\Documents\GitHub\eaglep3\Utilities\RefineRTDCRunTimes.py" --tripid 1821-02 --locoid 4014 --swversion DE.1.0.9.0 --startMP 204:960 --initTime 2017-09-02T16:00:23 --startdatetime 2017-09-02T16:09:17 --delay 72 --endMP 300:58956 --enddatetime 2017-09-02T16:22:54 --enforcementcount 0 &gt;&gt;C:\Users\stu\Documents\GitHub\eaglep3-reporting\EC\2017-09-02-refined-times.txt</v>
      </c>
      <c r="AI180" s="96" t="str">
        <f t="shared" si="123"/>
        <v>echo {"issue":{"subject":"","project_id":79,"tracker_id":40,"status_id":1,"priority_id":2,"assigned_to_id":338,"start_date":"2017-09-02","description":"","custom_fields":[{"id":1,"name":"Subdivision","value":"NW"},{"id":4,"name":"Milepost","value":"5.8956"},{"id":17,"name":"Train ID","value":"1821-02"},{"id":16,"name":"Locomotive ID","value":"4014"},{"id":130,"name":"Impact","value":""},{"id":150,"name":"Time of Event (Mountain Time)","value":"16:22:54"},{"id":151,"name":"Denver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0" s="47"/>
      <c r="AL180" s="47"/>
      <c r="AM180" s="142" t="str">
        <f t="shared" si="124"/>
        <v>start /low /b %USERPROFILE%\Documents\GitHub\eaglep3\Utilities\DownloadLogsFromS3.py --loco 4014 --day 2017-09-02</v>
      </c>
      <c r="AN180" s="151" t="str">
        <f t="shared" si="125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22:22:54"},{"id":29,"name":"Sharepoint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32" t="s">
        <v>714</v>
      </c>
      <c r="B181" s="7">
        <v>4013</v>
      </c>
      <c r="C181" s="21" t="s">
        <v>197</v>
      </c>
      <c r="D181" s="21" t="s">
        <v>851</v>
      </c>
      <c r="E181" s="13">
        <v>42980.684282407405</v>
      </c>
      <c r="F181" s="13">
        <v>42980.693912037037</v>
      </c>
      <c r="G181" s="7">
        <v>68</v>
      </c>
      <c r="H181" s="21" t="s">
        <v>852</v>
      </c>
      <c r="I181" s="13">
        <v>42980.705960648149</v>
      </c>
      <c r="J181" s="7">
        <v>0</v>
      </c>
      <c r="K181" s="89" t="str">
        <f t="shared" si="147"/>
        <v>4013/4014</v>
      </c>
      <c r="L181" s="214" t="str">
        <f>VLOOKUP(A181,'Trips&amp;Operators'!$C$1:$G$99911,5,FALSE)</f>
        <v>SMITH MICHAEL</v>
      </c>
      <c r="M181" s="6">
        <f t="shared" si="148"/>
        <v>1.2048611111822538E-2</v>
      </c>
      <c r="N181" s="7">
        <f t="shared" si="143"/>
        <v>17.350000001024455</v>
      </c>
      <c r="O181" s="7"/>
      <c r="P181" s="7"/>
      <c r="Q181" s="22"/>
      <c r="R181" s="167"/>
      <c r="S181" s="210">
        <f t="shared" si="132"/>
        <v>1</v>
      </c>
      <c r="T181" s="192" t="str">
        <f t="shared" si="149"/>
        <v>Southbound</v>
      </c>
      <c r="U181" s="192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3" t="str">
        <f t="shared" si="117"/>
        <v>https://d0f6bd738d7f1b3e5a7ca70fe4ff75f0.us-east-1.aws.found.io/app/kibana#/discover/Steve-Slow-Train-Analysis-(2080s-and-2083s)?_g=(refreshInterval:(display:Off,pause:!f,section:0,value:0),time:(from:'2017-09-02T15:25:22-0600',mode:absolute,to:'2017-09-02T17:56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81" s="194" t="str">
        <f>IF(AA181&lt;VLOOKUP(AG181,Variables!$AC$3:$AD$8,2,FALSE),"Y","N")</f>
        <v>N</v>
      </c>
      <c r="X181" s="194">
        <f t="shared" si="144"/>
        <v>1</v>
      </c>
      <c r="Y181" s="194">
        <f t="shared" si="145"/>
        <v>5.8639999999999999</v>
      </c>
      <c r="Z181" s="194">
        <f t="shared" si="146"/>
        <v>6.6400000000000001E-2</v>
      </c>
      <c r="AA181" s="194">
        <f t="shared" si="150"/>
        <v>5.7976000000000001</v>
      </c>
      <c r="AB181" s="54" t="e">
        <f>VLOOKUP(A181,Enforcements!$C$7:$K$11,8,0)</f>
        <v>#N/A</v>
      </c>
      <c r="AC181" s="51" t="e">
        <f>VLOOKUP(A181,Enforcements!$C$7:$E$11,3,0)</f>
        <v>#N/A</v>
      </c>
      <c r="AD181" s="203">
        <f t="shared" si="151"/>
        <v>1822</v>
      </c>
      <c r="AE181" s="77" t="str">
        <f t="shared" si="118"/>
        <v>aws s3 cp s3://rtdc.mdm.uploadarchive.raw/RTDC4013/ "%USERPROFILE%\AppData\Local\Temp\OnboardLogs"\RTDC4013\2017-09-02 --exclude "*" --recursive --include "*20170902*" &amp; "%USERPROFILE%\Documents\GitHub\mrs-test-scripts\Headless Mode &amp; Sideloading\WalkAndUnGZ.bat" "%USERPROFILE%\AppData\Local\Temp\OnboardLogs"\RTDC4013\2017-09-02 &amp; aws s3 cp s3://rtdc.mdm.uploadarchive.raw/RTDC4013/ "%USERPROFILE%\AppData\Local\Temp\OnboardLogs"\RTDC4013\2017-09-03 --exclude "*" --recursive --include "*20170903*" &amp; "%USERPROFILE%\Documents\GitHub\mrs-test-scripts\Headless Mode &amp; Sideloading\WalkAndUnGZ.bat" "%USERPROFILE%\AppData\Local\Temp\OnboardLogs"\RTDC4013\2017-09-03</v>
      </c>
      <c r="AF181" s="74" t="str">
        <f t="shared" si="119"/>
        <v>"C:\Program Files (x86)\AstroGrep\AstroGrep.exe" /e /r /s /spath="%USERPROFILE%\AppData\Local\Temp\OnboardLogs" /stypes="app*4013*20170902*" /stext=" 22:.+((SYSTEM_STATE.+slice.+state.+changed )|(ment ac)|(multiple cpu faults)|(system.+state.+changed )|(\[timeout)|(PRM\|1\|D)|(kpr)|(kdp)|(train st.+moving)|(\|lc)|(penalty))"</v>
      </c>
      <c r="AG181" s="206" t="str">
        <f t="shared" si="152"/>
        <v>NW</v>
      </c>
      <c r="AH181" s="78" t="str">
        <f t="shared" si="122"/>
        <v>"%USERPROFILE%\Documents\GitHub\eaglep3\Utilities\RefineRTDCRunTimes.py" --tripid 1822-02 --locoid 4013 --swversion DE.1.0.9.0 --startMP 300:58640 --initTime 2017-09-02T16:25:22 --startdatetime 2017-09-02T16:39:14 --delay 68 --endMP 204:664 --enddatetime 2017-09-02T16:56:35 --enforcementcount 0 &gt;&gt;C:\Users\stu\Documents\GitHub\eaglep3-reporting\EC\2017-09-02-refined-times.txt</v>
      </c>
      <c r="AI181" s="96" t="str">
        <f t="shared" si="123"/>
        <v>echo {"issue":{"subject":"","project_id":79,"tracker_id":40,"status_id":1,"priority_id":2,"assigned_to_id":338,"start_date":"2017-09-02","description":"","custom_fields":[{"id":1,"name":"Subdivision","value":"NW"},{"id":4,"name":"Milepost","value":"0.0664"},{"id":17,"name":"Train ID","value":"1822-02"},{"id":16,"name":"Locomotive ID","value":"4013"},{"id":130,"name":"Impact","value":""},{"id":150,"name":"Time of Event (Mountain Time)","value":"16:56:35"},{"id":151,"name":"Denver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1" s="47"/>
      <c r="AL181" s="47"/>
      <c r="AM181" s="142" t="str">
        <f t="shared" si="124"/>
        <v>start /low /b %USERPROFILE%\Documents\GitHub\eaglep3\Utilities\DownloadLogsFromS3.py --loco 4013 --day 2017-09-02</v>
      </c>
      <c r="AN181" s="151" t="str">
        <f t="shared" si="125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22:56:35"},{"id":29,"name":"Sharepoint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x14ac:dyDescent="0.25">
      <c r="A182" s="32" t="s">
        <v>719</v>
      </c>
      <c r="B182" s="7">
        <v>4014</v>
      </c>
      <c r="C182" s="21" t="s">
        <v>197</v>
      </c>
      <c r="D182" s="21" t="s">
        <v>853</v>
      </c>
      <c r="E182" s="13">
        <v>42980.707754629628</v>
      </c>
      <c r="F182" s="13">
        <v>42980.714861111112</v>
      </c>
      <c r="G182" s="7">
        <v>73</v>
      </c>
      <c r="H182" s="21" t="s">
        <v>843</v>
      </c>
      <c r="I182" s="13">
        <v>42980.724016203705</v>
      </c>
      <c r="J182" s="7">
        <v>0</v>
      </c>
      <c r="K182" s="89" t="str">
        <f t="shared" si="147"/>
        <v>4013/4014</v>
      </c>
      <c r="L182" s="214" t="str">
        <f>VLOOKUP(A182,'Trips&amp;Operators'!$C$1:$G$99911,5,FALSE)</f>
        <v>SMITH MICHAEL</v>
      </c>
      <c r="M182" s="6">
        <f t="shared" si="148"/>
        <v>9.1550925935734995E-3</v>
      </c>
      <c r="N182" s="7">
        <f t="shared" si="143"/>
        <v>13.183333334745839</v>
      </c>
      <c r="O182" s="7"/>
      <c r="P182" s="7"/>
      <c r="Q182" s="22"/>
      <c r="R182" s="167"/>
      <c r="S182" s="210">
        <f t="shared" si="132"/>
        <v>1</v>
      </c>
      <c r="T182" s="192" t="str">
        <f t="shared" si="149"/>
        <v>NorthBound</v>
      </c>
      <c r="U182" s="192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3" t="str">
        <f t="shared" si="117"/>
        <v>https://d0f6bd738d7f1b3e5a7ca70fe4ff75f0.us-east-1.aws.found.io/app/kibana#/discover/Steve-Slow-Train-Analysis-(2080s-and-2083s)?_g=(refreshInterval:(display:Off,pause:!f,section:0,value:0),time:(from:'2017-09-02T15:59:10-0600',mode:absolute,to:'2017-09-02T18:22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82" s="194" t="str">
        <f>IF(AA182&lt;VLOOKUP(AG182,Variables!$AC$3:$AD$8,2,FALSE),"Y","N")</f>
        <v>N</v>
      </c>
      <c r="X182" s="194">
        <f t="shared" si="144"/>
        <v>1</v>
      </c>
      <c r="Y182" s="194">
        <f t="shared" si="145"/>
        <v>9.6500000000000002E-2</v>
      </c>
      <c r="Z182" s="194">
        <f t="shared" si="146"/>
        <v>5.8948</v>
      </c>
      <c r="AA182" s="194">
        <f t="shared" si="150"/>
        <v>5.7983000000000002</v>
      </c>
      <c r="AB182" s="54" t="e">
        <f>VLOOKUP(A182,Enforcements!$C$7:$K$11,8,0)</f>
        <v>#N/A</v>
      </c>
      <c r="AC182" s="51" t="e">
        <f>VLOOKUP(A182,Enforcements!$C$7:$E$11,3,0)</f>
        <v>#N/A</v>
      </c>
      <c r="AD182" s="203">
        <f t="shared" si="151"/>
        <v>1823</v>
      </c>
      <c r="AE182" s="77" t="str">
        <f t="shared" si="118"/>
        <v>aws s3 cp s3://rtdc.mdm.uploadarchive.raw/RTDC4014/ "%USERPROFILE%\AppData\Local\Temp\OnboardLogs"\RTDC4014\2017-09-02 --exclude "*" --recursive --include "*20170902*" &amp; "%USERPROFILE%\Documents\GitHub\mrs-test-scripts\Headless Mode &amp; Sideloading\WalkAndUnGZ.bat" "%USERPROFILE%\AppData\Local\Temp\OnboardLogs"\RTDC4014\2017-09-02 &amp; aws s3 cp s3://rtdc.mdm.uploadarchive.raw/RTDC4014/ "%USERPROFILE%\AppData\Local\Temp\OnboardLogs"\RTDC4014\2017-09-03 --exclude "*" --recursive --include "*20170903*" &amp; "%USERPROFILE%\Documents\GitHub\mrs-test-scripts\Headless Mode &amp; Sideloading\WalkAndUnGZ.bat" "%USERPROFILE%\AppData\Local\Temp\OnboardLogs"\RTDC4014\2017-09-03</v>
      </c>
      <c r="AF182" s="74" t="str">
        <f t="shared" si="119"/>
        <v>"C:\Program Files (x86)\AstroGrep\AstroGrep.exe" /e /r /s /spath="%USERPROFILE%\AppData\Local\Temp\OnboardLogs" /stypes="app*4014*20170902*" /stext=" 23:.+((SYSTEM_STATE.+slice.+state.+changed )|(ment ac)|(multiple cpu faults)|(system.+state.+changed )|(\[timeout)|(PRM\|1\|D)|(kpr)|(kdp)|(train st.+moving)|(\|lc)|(penalty))"</v>
      </c>
      <c r="AG182" s="206" t="str">
        <f t="shared" si="152"/>
        <v>NW</v>
      </c>
      <c r="AH182" s="78" t="str">
        <f t="shared" si="122"/>
        <v>"%USERPROFILE%\Documents\GitHub\eaglep3\Utilities\RefineRTDCRunTimes.py" --tripid 1823-02 --locoid 4014 --swversion DE.1.0.9.0 --startMP 204:965 --initTime 2017-09-02T16:59:10 --startdatetime 2017-09-02T17:09:24 --delay 73 --endMP 300:58948 --enddatetime 2017-09-02T17:22:35 --enforcementcount 0 &gt;&gt;C:\Users\stu\Documents\GitHub\eaglep3-reporting\EC\2017-09-02-refined-times.txt</v>
      </c>
      <c r="AI182" s="96" t="str">
        <f t="shared" si="123"/>
        <v>echo {"issue":{"subject":"","project_id":79,"tracker_id":40,"status_id":1,"priority_id":2,"assigned_to_id":338,"start_date":"2017-09-02","description":"","custom_fields":[{"id":1,"name":"Subdivision","value":"NW"},{"id":4,"name":"Milepost","value":"5.8948"},{"id":17,"name":"Train ID","value":"1823-02"},{"id":16,"name":"Locomotive ID","value":"4014"},{"id":130,"name":"Impact","value":""},{"id":150,"name":"Time of Event (Mountain Time)","value":"17:22:35"},{"id":151,"name":"Denver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2" t="str">
        <f t="shared" si="124"/>
        <v>start /low /b %USERPROFILE%\Documents\GitHub\eaglep3\Utilities\DownloadLogsFromS3.py --loco 4014 --day 2017-09-02</v>
      </c>
      <c r="AN182" s="151" t="str">
        <f t="shared" si="125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23:22:35"},{"id":29,"name":"Sharepoint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</row>
    <row r="183" spans="1:91" x14ac:dyDescent="0.25">
      <c r="A183" s="32" t="s">
        <v>723</v>
      </c>
      <c r="B183" s="7">
        <v>4013</v>
      </c>
      <c r="C183" s="21" t="s">
        <v>197</v>
      </c>
      <c r="D183" s="21" t="s">
        <v>854</v>
      </c>
      <c r="E183" s="13">
        <v>42980.724988425929</v>
      </c>
      <c r="F183" s="13">
        <v>42980.738599537035</v>
      </c>
      <c r="G183" s="7">
        <v>63</v>
      </c>
      <c r="H183" s="21" t="s">
        <v>855</v>
      </c>
      <c r="I183" s="13">
        <v>42980.74732638889</v>
      </c>
      <c r="J183" s="7">
        <v>0</v>
      </c>
      <c r="K183" s="89" t="str">
        <f t="shared" si="147"/>
        <v>4013/4014</v>
      </c>
      <c r="L183" s="214" t="str">
        <f>VLOOKUP(A183,'Trips&amp;Operators'!$C$1:$G$99911,5,FALSE)</f>
        <v>SMITH MICHAEL</v>
      </c>
      <c r="M183" s="6">
        <f t="shared" si="148"/>
        <v>8.7268518545897678E-3</v>
      </c>
      <c r="N183" s="7">
        <f t="shared" si="143"/>
        <v>12.566666670609266</v>
      </c>
      <c r="O183" s="7"/>
      <c r="P183" s="7"/>
      <c r="Q183" s="22"/>
      <c r="R183" s="167"/>
      <c r="S183" s="210">
        <f t="shared" si="132"/>
        <v>1</v>
      </c>
      <c r="T183" s="192" t="str">
        <f t="shared" si="149"/>
        <v>Southbound</v>
      </c>
      <c r="U183" s="192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3" t="str">
        <f t="shared" si="117"/>
        <v>https://d0f6bd738d7f1b3e5a7ca70fe4ff75f0.us-east-1.aws.found.io/app/kibana#/discover/Steve-Slow-Train-Analysis-(2080s-and-2083s)?_g=(refreshInterval:(display:Off,pause:!f,section:0,value:0),time:(from:'2017-09-02T16:23:59-0600',mode:absolute,to:'2017-09-02T18:56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83" s="194" t="str">
        <f>IF(AA183&lt;VLOOKUP(AG183,Variables!$AC$3:$AD$8,2,FALSE),"Y","N")</f>
        <v>N</v>
      </c>
      <c r="X183" s="194">
        <f t="shared" si="144"/>
        <v>1</v>
      </c>
      <c r="Y183" s="194">
        <f t="shared" si="145"/>
        <v>5.8638000000000003</v>
      </c>
      <c r="Z183" s="194">
        <f t="shared" si="146"/>
        <v>6.7699999999999996E-2</v>
      </c>
      <c r="AA183" s="194">
        <f t="shared" si="150"/>
        <v>5.7961</v>
      </c>
      <c r="AB183" s="54" t="e">
        <f>VLOOKUP(A183,Enforcements!$C$7:$K$11,8,0)</f>
        <v>#N/A</v>
      </c>
      <c r="AC183" s="51" t="e">
        <f>VLOOKUP(A183,Enforcements!$C$7:$E$11,3,0)</f>
        <v>#N/A</v>
      </c>
      <c r="AD183" s="203">
        <f t="shared" si="151"/>
        <v>1824</v>
      </c>
      <c r="AE183" s="77" t="str">
        <f t="shared" si="118"/>
        <v>aws s3 cp s3://rtdc.mdm.uploadarchive.raw/RTDC4013/ "%USERPROFILE%\AppData\Local\Temp\OnboardLogs"\RTDC4013\2017-09-02 --exclude "*" --recursive --include "*20170902*" &amp; "%USERPROFILE%\Documents\GitHub\mrs-test-scripts\Headless Mode &amp; Sideloading\WalkAndUnGZ.bat" "%USERPROFILE%\AppData\Local\Temp\OnboardLogs"\RTDC4013\2017-09-02 &amp; aws s3 cp s3://rtdc.mdm.uploadarchive.raw/RTDC4013/ "%USERPROFILE%\AppData\Local\Temp\OnboardLogs"\RTDC4013\2017-09-03 --exclude "*" --recursive --include "*20170903*" &amp; "%USERPROFILE%\Documents\GitHub\mrs-test-scripts\Headless Mode &amp; Sideloading\WalkAndUnGZ.bat" "%USERPROFILE%\AppData\Local\Temp\OnboardLogs"\RTDC4013\2017-09-03</v>
      </c>
      <c r="AF183" s="74" t="str">
        <f t="shared" si="119"/>
        <v>"C:\Program Files (x86)\AstroGrep\AstroGrep.exe" /e /r /s /spath="%USERPROFILE%\AppData\Local\Temp\OnboardLogs" /stypes="app*4013*20170902*" /stext=" 23:.+((SYSTEM_STATE.+slice.+state.+changed )|(ment ac)|(multiple cpu faults)|(system.+state.+changed )|(\[timeout)|(PRM\|1\|D)|(kpr)|(kdp)|(train st.+moving)|(\|lc)|(penalty))"</v>
      </c>
      <c r="AG183" s="206" t="str">
        <f t="shared" si="152"/>
        <v>NW</v>
      </c>
      <c r="AH183" s="78" t="str">
        <f t="shared" si="122"/>
        <v>"%USERPROFILE%\Documents\GitHub\eaglep3\Utilities\RefineRTDCRunTimes.py" --tripid 1824-02 --locoid 4013 --swversion DE.1.0.9.0 --startMP 300:58638 --initTime 2017-09-02T17:23:59 --startdatetime 2017-09-02T17:43:35 --delay 63 --endMP 204:677 --enddatetime 2017-09-02T17:56:09 --enforcementcount 0 &gt;&gt;C:\Users\stu\Documents\GitHub\eaglep3-reporting\EC\2017-09-02-refined-times.txt</v>
      </c>
      <c r="AI183" s="96" t="str">
        <f t="shared" si="123"/>
        <v>echo {"issue":{"subject":"","project_id":79,"tracker_id":40,"status_id":1,"priority_id":2,"assigned_to_id":338,"start_date":"2017-09-02","description":"","custom_fields":[{"id":1,"name":"Subdivision","value":"NW"},{"id":4,"name":"Milepost","value":"0.0677"},{"id":17,"name":"Train ID","value":"1824-02"},{"id":16,"name":"Locomotive ID","value":"4013"},{"id":130,"name":"Impact","value":""},{"id":150,"name":"Time of Event (Mountain Time)","value":"17:56:09"},{"id":151,"name":"Denver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7"/>
      <c r="AL183" s="47"/>
      <c r="AM183" s="142" t="str">
        <f t="shared" si="124"/>
        <v>start /low /b %USERPROFILE%\Documents\GitHub\eaglep3\Utilities\DownloadLogsFromS3.py --loco 4013 --day 2017-09-02</v>
      </c>
      <c r="AN183" s="151" t="str">
        <f t="shared" si="125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23:56:09"},{"id":29,"name":"Sharepoint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</row>
    <row r="184" spans="1:91" x14ac:dyDescent="0.25">
      <c r="A184" s="32" t="s">
        <v>730</v>
      </c>
      <c r="B184" s="7">
        <v>4014</v>
      </c>
      <c r="C184" s="21" t="s">
        <v>197</v>
      </c>
      <c r="D184" s="21" t="s">
        <v>936</v>
      </c>
      <c r="E184" s="13">
        <v>42980.749016203707</v>
      </c>
      <c r="F184" s="13">
        <v>42980.75644675926</v>
      </c>
      <c r="G184" s="7">
        <v>78</v>
      </c>
      <c r="H184" s="21" t="s">
        <v>856</v>
      </c>
      <c r="I184" s="13">
        <v>42980.766064814816</v>
      </c>
      <c r="J184" s="7">
        <v>0</v>
      </c>
      <c r="K184" s="89" t="str">
        <f t="shared" si="147"/>
        <v>4013/4014</v>
      </c>
      <c r="L184" s="214" t="str">
        <f>VLOOKUP(A184,'Trips&amp;Operators'!$C$1:$G$99911,5,FALSE)</f>
        <v>SMITH MICHAEL</v>
      </c>
      <c r="M184" s="6">
        <f t="shared" si="148"/>
        <v>9.6180555556202307E-3</v>
      </c>
      <c r="N184" s="7">
        <f t="shared" si="143"/>
        <v>13.850000000093132</v>
      </c>
      <c r="O184" s="7"/>
      <c r="P184" s="7"/>
      <c r="Q184" s="22"/>
      <c r="R184" s="167"/>
      <c r="S184" s="210">
        <f t="shared" si="132"/>
        <v>1</v>
      </c>
      <c r="T184" s="192" t="str">
        <f t="shared" si="149"/>
        <v>NorthBound</v>
      </c>
      <c r="U184" s="192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3" t="str">
        <f t="shared" si="117"/>
        <v>https://d0f6bd738d7f1b3e5a7ca70fe4ff75f0.us-east-1.aws.found.io/app/kibana#/discover/Steve-Slow-Train-Analysis-(2080s-and-2083s)?_g=(refreshInterval:(display:Off,pause:!f,section:0,value:0),time:(from:'2017-09-02T16:58:35-0600',mode:absolute,to:'2017-09-02T19:23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84" s="194" t="str">
        <f>IF(AA184&lt;VLOOKUP(AG184,Variables!$AC$3:$AD$8,2,FALSE),"Y","N")</f>
        <v>N</v>
      </c>
      <c r="X184" s="194">
        <f t="shared" si="144"/>
        <v>1</v>
      </c>
      <c r="Y184" s="194">
        <f t="shared" si="145"/>
        <v>9.6199999999999994E-2</v>
      </c>
      <c r="Z184" s="194">
        <f t="shared" si="146"/>
        <v>5.9006999999999996</v>
      </c>
      <c r="AA184" s="194">
        <f t="shared" si="150"/>
        <v>5.8045</v>
      </c>
      <c r="AB184" s="54" t="e">
        <f>VLOOKUP(A184,Enforcements!$C$7:$K$11,8,0)</f>
        <v>#N/A</v>
      </c>
      <c r="AC184" s="51" t="e">
        <f>VLOOKUP(A184,Enforcements!$C$7:$E$11,3,0)</f>
        <v>#N/A</v>
      </c>
      <c r="AD184" s="203">
        <f t="shared" si="151"/>
        <v>1825</v>
      </c>
      <c r="AE184" s="77" t="str">
        <f t="shared" si="118"/>
        <v>aws s3 cp s3://rtdc.mdm.uploadarchive.raw/RTDC4014/ "%USERPROFILE%\AppData\Local\Temp\OnboardLogs"\RTDC4014\2017-09-02 --exclude "*" --recursive --include "*20170902*" &amp; "%USERPROFILE%\Documents\GitHub\mrs-test-scripts\Headless Mode &amp; Sideloading\WalkAndUnGZ.bat" "%USERPROFILE%\AppData\Local\Temp\OnboardLogs"\RTDC4014\2017-09-02 &amp; aws s3 cp s3://rtdc.mdm.uploadarchive.raw/RTDC4014/ "%USERPROFILE%\AppData\Local\Temp\OnboardLogs"\RTDC4014\2017-09-03 --exclude "*" --recursive --include "*20170903*" &amp; "%USERPROFILE%\Documents\GitHub\mrs-test-scripts\Headless Mode &amp; Sideloading\WalkAndUnGZ.bat" "%USERPROFILE%\AppData\Local\Temp\OnboardLogs"\RTDC4014\2017-09-03</v>
      </c>
      <c r="AF184" s="74" t="str">
        <f t="shared" si="119"/>
        <v>"C:\Program Files (x86)\AstroGrep\AstroGrep.exe" /e /r /s /spath="%USERPROFILE%\AppData\Local\Temp\OnboardLogs" /stypes="app*4014*20170903*" /stext=" 00:.+((SYSTEM_STATE.+slice.+state.+changed )|(ment ac)|(multiple cpu faults)|(system.+state.+changed )|(\[timeout)|(PRM\|1\|D)|(kpr)|(kdp)|(train st.+moving)|(\|lc)|(penalty))"</v>
      </c>
      <c r="AG184" s="206" t="str">
        <f t="shared" si="152"/>
        <v>NW</v>
      </c>
      <c r="AH184" s="78" t="str">
        <f t="shared" si="122"/>
        <v>"%USERPROFILE%\Documents\GitHub\eaglep3\Utilities\RefineRTDCRunTimes.py" --tripid 1825-02 --locoid 4014 --swversion DE.1.0.9.0 --startMP 204:962 --initTime 2017-09-02T17:58:35 --startdatetime 2017-09-02T18:09:17 --delay 78 --endMP 300:59007 --enddatetime 2017-09-02T18:23:08 --enforcementcount 0 &gt;&gt;C:\Users\stu\Documents\GitHub\eaglep3-reporting\EC\2017-09-02-refined-times.txt</v>
      </c>
      <c r="AI184" s="96" t="str">
        <f t="shared" si="123"/>
        <v>echo {"issue":{"subject":"","project_id":79,"tracker_id":40,"status_id":1,"priority_id":2,"assigned_to_id":338,"start_date":"2017-09-02","description":"","custom_fields":[{"id":1,"name":"Subdivision","value":"NW"},{"id":4,"name":"Milepost","value":"5.9007"},{"id":17,"name":"Train ID","value":"1825-02"},{"id":16,"name":"Locomotive ID","value":"4014"},{"id":130,"name":"Impact","value":""},{"id":150,"name":"Time of Event (Mountain Time)","value":"18:23:08"},{"id":151,"name":"Denver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7"/>
      <c r="AL184" s="47"/>
      <c r="AM184" s="142" t="str">
        <f t="shared" si="124"/>
        <v>start /low /b %USERPROFILE%\Documents\GitHub\eaglep3\Utilities\DownloadLogsFromS3.py --loco 4014 --day 2017-09-02</v>
      </c>
      <c r="AN184" s="151" t="str">
        <f t="shared" si="125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00:23:08"},{"id":29,"name":"Sharepoint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</row>
    <row r="185" spans="1:91" x14ac:dyDescent="0.25">
      <c r="A185" s="32" t="s">
        <v>735</v>
      </c>
      <c r="B185" s="7">
        <v>4013</v>
      </c>
      <c r="C185" s="21" t="s">
        <v>197</v>
      </c>
      <c r="D185" s="21" t="s">
        <v>857</v>
      </c>
      <c r="E185" s="13">
        <v>42980.767152777778</v>
      </c>
      <c r="F185" s="13">
        <v>42980.779942129629</v>
      </c>
      <c r="G185" s="7">
        <v>63</v>
      </c>
      <c r="H185" s="21" t="s">
        <v>457</v>
      </c>
      <c r="I185" s="13">
        <v>42980.788124999999</v>
      </c>
      <c r="J185" s="7">
        <v>0</v>
      </c>
      <c r="K185" s="89" t="str">
        <f t="shared" si="147"/>
        <v>4013/4014</v>
      </c>
      <c r="L185" s="214" t="str">
        <f>VLOOKUP(A185,'Trips&amp;Operators'!$C$1:$G$99911,5,FALSE)</f>
        <v>SMITH MICHAEL</v>
      </c>
      <c r="M185" s="6">
        <f t="shared" si="148"/>
        <v>8.182870369637385E-3</v>
      </c>
      <c r="N185" s="7">
        <f t="shared" si="143"/>
        <v>11.783333332277834</v>
      </c>
      <c r="O185" s="7"/>
      <c r="P185" s="7"/>
      <c r="Q185" s="22"/>
      <c r="R185" s="167"/>
      <c r="S185" s="210">
        <f t="shared" si="132"/>
        <v>1</v>
      </c>
      <c r="T185" s="192" t="str">
        <f t="shared" si="149"/>
        <v>Southbound</v>
      </c>
      <c r="U185" s="192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3" t="str">
        <f t="shared" si="117"/>
        <v>https://d0f6bd738d7f1b3e5a7ca70fe4ff75f0.us-east-1.aws.found.io/app/kibana#/discover/Steve-Slow-Train-Analysis-(2080s-and-2083s)?_g=(refreshInterval:(display:Off,pause:!f,section:0,value:0),time:(from:'2017-09-02T17:24:42-0600',mode:absolute,to:'2017-09-02T19:54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85" s="194" t="str">
        <f>IF(AA185&lt;VLOOKUP(AG185,Variables!$AC$3:$AD$8,2,FALSE),"Y","N")</f>
        <v>N</v>
      </c>
      <c r="X185" s="194">
        <f t="shared" si="144"/>
        <v>1</v>
      </c>
      <c r="Y185" s="194">
        <f t="shared" si="145"/>
        <v>5.8697999999999997</v>
      </c>
      <c r="Z185" s="194">
        <f t="shared" si="146"/>
        <v>6.8500000000000005E-2</v>
      </c>
      <c r="AA185" s="194">
        <f t="shared" si="150"/>
        <v>5.8012999999999995</v>
      </c>
      <c r="AB185" s="54" t="e">
        <f>VLOOKUP(A185,Enforcements!$C$7:$K$11,8,0)</f>
        <v>#N/A</v>
      </c>
      <c r="AC185" s="51" t="e">
        <f>VLOOKUP(A185,Enforcements!$C$7:$E$11,3,0)</f>
        <v>#N/A</v>
      </c>
      <c r="AD185" s="203">
        <f t="shared" si="151"/>
        <v>1826</v>
      </c>
      <c r="AE185" s="77" t="str">
        <f t="shared" si="118"/>
        <v>aws s3 cp s3://rtdc.mdm.uploadarchive.raw/RTDC4013/ "%USERPROFILE%\AppData\Local\Temp\OnboardLogs"\RTDC4013\2017-09-02 --exclude "*" --recursive --include "*20170902*" &amp; "%USERPROFILE%\Documents\GitHub\mrs-test-scripts\Headless Mode &amp; Sideloading\WalkAndUnGZ.bat" "%USERPROFILE%\AppData\Local\Temp\OnboardLogs"\RTDC4013\2017-09-02 &amp; aws s3 cp s3://rtdc.mdm.uploadarchive.raw/RTDC4013/ "%USERPROFILE%\AppData\Local\Temp\OnboardLogs"\RTDC4013\2017-09-03 --exclude "*" --recursive --include "*20170903*" &amp; "%USERPROFILE%\Documents\GitHub\mrs-test-scripts\Headless Mode &amp; Sideloading\WalkAndUnGZ.bat" "%USERPROFILE%\AppData\Local\Temp\OnboardLogs"\RTDC4013\2017-09-03</v>
      </c>
      <c r="AF185" s="74" t="str">
        <f t="shared" si="119"/>
        <v>"C:\Program Files (x86)\AstroGrep\AstroGrep.exe" /e /r /s /spath="%USERPROFILE%\AppData\Local\Temp\OnboardLogs" /stypes="app*4013*20170903*" /stext=" 00:.+((SYSTEM_STATE.+slice.+state.+changed )|(ment ac)|(multiple cpu faults)|(system.+state.+changed )|(\[timeout)|(PRM\|1\|D)|(kpr)|(kdp)|(train st.+moving)|(\|lc)|(penalty))"</v>
      </c>
      <c r="AG185" s="206" t="str">
        <f t="shared" si="152"/>
        <v>NW</v>
      </c>
      <c r="AH185" s="78" t="str">
        <f t="shared" si="122"/>
        <v>"%USERPROFILE%\Documents\GitHub\eaglep3\Utilities\RefineRTDCRunTimes.py" --tripid 1826-02 --locoid 4013 --swversion DE.1.0.9.0 --startMP 300:58698 --initTime 2017-09-02T18:24:42 --startdatetime 2017-09-02T18:43:07 --delay 63 --endMP 204:685 --enddatetime 2017-09-02T18:54:54 --enforcementcount 0 &gt;&gt;C:\Users\stu\Documents\GitHub\eaglep3-reporting\EC\2017-09-02-refined-times.txt</v>
      </c>
      <c r="AI185" s="96" t="str">
        <f t="shared" si="123"/>
        <v>echo {"issue":{"subject":"","project_id":79,"tracker_id":40,"status_id":1,"priority_id":2,"assigned_to_id":338,"start_date":"2017-09-02","description":"","custom_fields":[{"id":1,"name":"Subdivision","value":"NW"},{"id":4,"name":"Milepost","value":"0.0685"},{"id":17,"name":"Train ID","value":"1826-02"},{"id":16,"name":"Locomotive ID","value":"4013"},{"id":130,"name":"Impact","value":""},{"id":150,"name":"Time of Event (Mountain Time)","value":"18:54:54"},{"id":151,"name":"Denver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2" t="str">
        <f t="shared" si="124"/>
        <v>start /low /b %USERPROFILE%\Documents\GitHub\eaglep3\Utilities\DownloadLogsFromS3.py --loco 4013 --day 2017-09-02</v>
      </c>
      <c r="AN185" s="151" t="str">
        <f t="shared" si="125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00:54:54"},{"id":29,"name":"Sharepoint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</row>
    <row r="186" spans="1:91" x14ac:dyDescent="0.25">
      <c r="A186" s="32" t="s">
        <v>742</v>
      </c>
      <c r="B186" s="7">
        <v>4014</v>
      </c>
      <c r="C186" s="21" t="s">
        <v>197</v>
      </c>
      <c r="D186" s="21" t="s">
        <v>858</v>
      </c>
      <c r="E186" s="13">
        <v>42980.792916666665</v>
      </c>
      <c r="F186" s="13">
        <v>42980.798101851855</v>
      </c>
      <c r="G186" s="7">
        <v>75</v>
      </c>
      <c r="H186" s="21" t="s">
        <v>492</v>
      </c>
      <c r="I186" s="13">
        <v>42980.808067129627</v>
      </c>
      <c r="J186" s="7">
        <v>0</v>
      </c>
      <c r="K186" s="89" t="str">
        <f t="shared" si="147"/>
        <v>4013/4014</v>
      </c>
      <c r="L186" s="214" t="str">
        <f>VLOOKUP(A186,'Trips&amp;Operators'!$C$1:$G$99911,5,FALSE)</f>
        <v>SMITH MICHAEL</v>
      </c>
      <c r="M186" s="6">
        <f t="shared" si="148"/>
        <v>9.965277771698311E-3</v>
      </c>
      <c r="N186" s="7">
        <f t="shared" si="143"/>
        <v>14.349999991245568</v>
      </c>
      <c r="O186" s="7"/>
      <c r="P186" s="7"/>
      <c r="Q186" s="22"/>
      <c r="R186" s="167"/>
      <c r="S186" s="210">
        <f t="shared" si="132"/>
        <v>1</v>
      </c>
      <c r="T186" s="192" t="str">
        <f t="shared" si="149"/>
        <v>NorthBound</v>
      </c>
      <c r="U186" s="192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3" t="str">
        <f t="shared" si="117"/>
        <v>https://d0f6bd738d7f1b3e5a7ca70fe4ff75f0.us-east-1.aws.found.io/app/kibana#/discover/Steve-Slow-Train-Analysis-(2080s-and-2083s)?_g=(refreshInterval:(display:Off,pause:!f,section:0,value:0),time:(from:'2017-09-02T18:01:48-0600',mode:absolute,to:'2017-09-02T20:23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86" s="194" t="str">
        <f>IF(AA186&lt;VLOOKUP(AG186,Variables!$AC$3:$AD$8,2,FALSE),"Y","N")</f>
        <v>N</v>
      </c>
      <c r="X186" s="194">
        <f t="shared" si="144"/>
        <v>1</v>
      </c>
      <c r="Y186" s="194">
        <f t="shared" si="145"/>
        <v>9.4799999999999995E-2</v>
      </c>
      <c r="Z186" s="194">
        <f t="shared" si="146"/>
        <v>5.8954000000000004</v>
      </c>
      <c r="AA186" s="194">
        <f t="shared" si="150"/>
        <v>5.8006000000000002</v>
      </c>
      <c r="AB186" s="54" t="e">
        <f>VLOOKUP(A186,Enforcements!$C$7:$K$11,8,0)</f>
        <v>#N/A</v>
      </c>
      <c r="AC186" s="51" t="e">
        <f>VLOOKUP(A186,Enforcements!$C$7:$E$11,3,0)</f>
        <v>#N/A</v>
      </c>
      <c r="AD186" s="203">
        <f t="shared" si="151"/>
        <v>1827</v>
      </c>
      <c r="AE186" s="77" t="str">
        <f t="shared" si="118"/>
        <v>aws s3 cp s3://rtdc.mdm.uploadarchive.raw/RTDC4014/ "%USERPROFILE%\AppData\Local\Temp\OnboardLogs"\RTDC4014\2017-09-02 --exclude "*" --recursive --include "*20170902*" &amp; "%USERPROFILE%\Documents\GitHub\mrs-test-scripts\Headless Mode &amp; Sideloading\WalkAndUnGZ.bat" "%USERPROFILE%\AppData\Local\Temp\OnboardLogs"\RTDC4014\2017-09-02 &amp; aws s3 cp s3://rtdc.mdm.uploadarchive.raw/RTDC4014/ "%USERPROFILE%\AppData\Local\Temp\OnboardLogs"\RTDC4014\2017-09-03 --exclude "*" --recursive --include "*20170903*" &amp; "%USERPROFILE%\Documents\GitHub\mrs-test-scripts\Headless Mode &amp; Sideloading\WalkAndUnGZ.bat" "%USERPROFILE%\AppData\Local\Temp\OnboardLogs"\RTDC4014\2017-09-03</v>
      </c>
      <c r="AF186" s="74" t="str">
        <f t="shared" si="119"/>
        <v>"C:\Program Files (x86)\AstroGrep\AstroGrep.exe" /e /r /s /spath="%USERPROFILE%\AppData\Local\Temp\OnboardLogs" /stypes="app*4014*20170903*" /stext=" 01:.+((SYSTEM_STATE.+slice.+state.+changed )|(ment ac)|(multiple cpu faults)|(system.+state.+changed )|(\[timeout)|(PRM\|1\|D)|(kpr)|(kdp)|(train st.+moving)|(\|lc)|(penalty))"</v>
      </c>
      <c r="AG186" s="206" t="str">
        <f t="shared" si="152"/>
        <v>NW</v>
      </c>
      <c r="AH186" s="78" t="str">
        <f t="shared" si="122"/>
        <v>"%USERPROFILE%\Documents\GitHub\eaglep3\Utilities\RefineRTDCRunTimes.py" --tripid 1827-02 --locoid 4014 --swversion DE.1.0.9.0 --startMP 204:948 --initTime 2017-09-02T19:01:48 --startdatetime 2017-09-02T19:09:16 --delay 75 --endMP 300:58954 --enddatetime 2017-09-02T19:23:37 --enforcementcount 0 &gt;&gt;C:\Users\stu\Documents\GitHub\eaglep3-reporting\EC\2017-09-02-refined-times.txt</v>
      </c>
      <c r="AI186" s="96" t="str">
        <f t="shared" si="123"/>
        <v>echo {"issue":{"subject":"","project_id":79,"tracker_id":40,"status_id":1,"priority_id":2,"assigned_to_id":338,"start_date":"2017-09-02","description":"","custom_fields":[{"id":1,"name":"Subdivision","value":"NW"},{"id":4,"name":"Milepost","value":"5.8954"},{"id":17,"name":"Train ID","value":"1827-02"},{"id":16,"name":"Locomotive ID","value":"4014"},{"id":130,"name":"Impact","value":""},{"id":150,"name":"Time of Event (Mountain Time)","value":"19:23:37"},{"id":151,"name":"Denver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2" t="str">
        <f t="shared" si="124"/>
        <v>start /low /b %USERPROFILE%\Documents\GitHub\eaglep3\Utilities\DownloadLogsFromS3.py --loco 4014 --day 2017-09-02</v>
      </c>
      <c r="AN186" s="151" t="str">
        <f t="shared" si="125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01:23:37"},{"id":29,"name":"Sharepoint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</row>
    <row r="187" spans="1:91" x14ac:dyDescent="0.25">
      <c r="A187" s="32" t="s">
        <v>591</v>
      </c>
      <c r="B187" s="7">
        <v>4013</v>
      </c>
      <c r="C187" s="21" t="s">
        <v>197</v>
      </c>
      <c r="D187" s="21" t="s">
        <v>838</v>
      </c>
      <c r="E187" s="13">
        <v>42980.809548611112</v>
      </c>
      <c r="F187" s="13">
        <v>42980.816412037035</v>
      </c>
      <c r="G187" s="7">
        <v>78</v>
      </c>
      <c r="H187" s="21" t="s">
        <v>859</v>
      </c>
      <c r="I187" s="13">
        <v>42980.829861111109</v>
      </c>
      <c r="J187" s="7">
        <v>0</v>
      </c>
      <c r="K187" s="89" t="str">
        <f t="shared" si="147"/>
        <v>4013/4014</v>
      </c>
      <c r="L187" s="214" t="str">
        <f>VLOOKUP(A187,'Trips&amp;Operators'!$C$1:$G$99911,5,FALSE)</f>
        <v>SMITH MICHAEL</v>
      </c>
      <c r="M187" s="6">
        <f t="shared" si="148"/>
        <v>1.3449074074742384E-2</v>
      </c>
      <c r="N187" s="7">
        <f t="shared" si="143"/>
        <v>19.366666667629033</v>
      </c>
      <c r="O187" s="7"/>
      <c r="P187" s="7"/>
      <c r="Q187" s="22"/>
      <c r="R187" s="167"/>
      <c r="S187" s="210">
        <f t="shared" si="132"/>
        <v>1</v>
      </c>
      <c r="T187" s="192" t="str">
        <f t="shared" si="149"/>
        <v>Southbound</v>
      </c>
      <c r="U187" s="192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3" t="str">
        <f t="shared" si="117"/>
        <v>https://d0f6bd738d7f1b3e5a7ca70fe4ff75f0.us-east-1.aws.found.io/app/kibana#/discover/Steve-Slow-Train-Analysis-(2080s-and-2083s)?_g=(refreshInterval:(display:Off,pause:!f,section:0,value:0),time:(from:'2017-09-02T18:25:45-0600',mode:absolute,to:'2017-09-02T20:55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87" s="194" t="str">
        <f>IF(AA187&lt;VLOOKUP(AG187,Variables!$AC$3:$AD$8,2,FALSE),"Y","N")</f>
        <v>N</v>
      </c>
      <c r="X187" s="194">
        <f t="shared" si="144"/>
        <v>1</v>
      </c>
      <c r="Y187" s="194">
        <f t="shared" si="145"/>
        <v>5.8644999999999996</v>
      </c>
      <c r="Z187" s="194">
        <f t="shared" si="146"/>
        <v>6.1699999999999998E-2</v>
      </c>
      <c r="AA187" s="194">
        <f t="shared" si="150"/>
        <v>5.8027999999999995</v>
      </c>
      <c r="AB187" s="54" t="e">
        <f>VLOOKUP(A187,Enforcements!$C$7:$K$11,8,0)</f>
        <v>#N/A</v>
      </c>
      <c r="AC187" s="51" t="e">
        <f>VLOOKUP(A187,Enforcements!$C$7:$E$11,3,0)</f>
        <v>#N/A</v>
      </c>
      <c r="AD187" s="203">
        <f t="shared" si="151"/>
        <v>1828</v>
      </c>
      <c r="AE187" s="77" t="str">
        <f t="shared" si="118"/>
        <v>aws s3 cp s3://rtdc.mdm.uploadarchive.raw/RTDC4013/ "%USERPROFILE%\AppData\Local\Temp\OnboardLogs"\RTDC4013\2017-09-02 --exclude "*" --recursive --include "*20170902*" &amp; "%USERPROFILE%\Documents\GitHub\mrs-test-scripts\Headless Mode &amp; Sideloading\WalkAndUnGZ.bat" "%USERPROFILE%\AppData\Local\Temp\OnboardLogs"\RTDC4013\2017-09-02 &amp; aws s3 cp s3://rtdc.mdm.uploadarchive.raw/RTDC4013/ "%USERPROFILE%\AppData\Local\Temp\OnboardLogs"\RTDC4013\2017-09-03 --exclude "*" --recursive --include "*20170903*" &amp; "%USERPROFILE%\Documents\GitHub\mrs-test-scripts\Headless Mode &amp; Sideloading\WalkAndUnGZ.bat" "%USERPROFILE%\AppData\Local\Temp\OnboardLogs"\RTDC4013\2017-09-03</v>
      </c>
      <c r="AF187" s="74" t="str">
        <f t="shared" si="119"/>
        <v>"C:\Program Files (x86)\AstroGrep\AstroGrep.exe" /e /r /s /spath="%USERPROFILE%\AppData\Local\Temp\OnboardLogs" /stypes="app*4013*20170903*" /stext=" 01:.+((SYSTEM_STATE.+slice.+state.+changed )|(ment ac)|(multiple cpu faults)|(system.+state.+changed )|(\[timeout)|(PRM\|1\|D)|(kpr)|(kdp)|(train st.+moving)|(\|lc)|(penalty))"</v>
      </c>
      <c r="AG187" s="206" t="str">
        <f t="shared" si="152"/>
        <v>NW</v>
      </c>
      <c r="AH187" s="78" t="str">
        <f t="shared" si="122"/>
        <v>"%USERPROFILE%\Documents\GitHub\eaglep3\Utilities\RefineRTDCRunTimes.py" --tripid 1828-02 --locoid 4013 --swversion DE.1.0.9.0 --startMP 300:58645 --initTime 2017-09-02T19:25:45 --startdatetime 2017-09-02T19:35:38 --delay 78 --endMP 204:617 --enddatetime 2017-09-02T19:55:00 --enforcementcount 0 &gt;&gt;C:\Users\stu\Documents\GitHub\eaglep3-reporting\EC\2017-09-02-refined-times.txt</v>
      </c>
      <c r="AI187" s="96" t="str">
        <f t="shared" si="123"/>
        <v>echo {"issue":{"subject":"","project_id":79,"tracker_id":40,"status_id":1,"priority_id":2,"assigned_to_id":338,"start_date":"2017-09-02","description":"","custom_fields":[{"id":1,"name":"Subdivision","value":"NW"},{"id":4,"name":"Milepost","value":"0.0617"},{"id":17,"name":"Train ID","value":"1828-02"},{"id":16,"name":"Locomotive ID","value":"4013"},{"id":130,"name":"Impact","value":""},{"id":150,"name":"Time of Event (Mountain Time)","value":"19:55:00"},{"id":151,"name":"Denver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2" t="str">
        <f t="shared" si="124"/>
        <v>start /low /b %USERPROFILE%\Documents\GitHub\eaglep3\Utilities\DownloadLogsFromS3.py --loco 4013 --day 2017-09-02</v>
      </c>
      <c r="AN187" s="151" t="str">
        <f t="shared" si="125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01:55:00"},{"id":29,"name":"Sharepoint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</row>
    <row r="188" spans="1:91" s="20" customFormat="1" x14ac:dyDescent="0.25">
      <c r="A188" s="32" t="s">
        <v>747</v>
      </c>
      <c r="B188" s="7">
        <v>4014</v>
      </c>
      <c r="C188" s="21" t="s">
        <v>197</v>
      </c>
      <c r="D188" s="21" t="s">
        <v>838</v>
      </c>
      <c r="E188" s="13">
        <v>42980.809548611112</v>
      </c>
      <c r="F188" s="13">
        <v>42980.840127314812</v>
      </c>
      <c r="G188" s="7">
        <v>78</v>
      </c>
      <c r="H188" s="21" t="s">
        <v>859</v>
      </c>
      <c r="I188" s="13">
        <v>42980.849247685182</v>
      </c>
      <c r="J188" s="7">
        <v>0</v>
      </c>
      <c r="K188" s="89" t="str">
        <f t="shared" si="147"/>
        <v>4013/4014</v>
      </c>
      <c r="L188" s="214" t="str">
        <f>VLOOKUP(A188,'Trips&amp;Operators'!$C$1:$G$99911,5,FALSE)</f>
        <v>BIRKHOLZ NADINE</v>
      </c>
      <c r="M188" s="6">
        <f t="shared" si="148"/>
        <v>9.1203703705104999E-3</v>
      </c>
      <c r="N188" s="7">
        <f t="shared" si="143"/>
        <v>13.13333333353512</v>
      </c>
      <c r="O188" s="7"/>
      <c r="P188" s="7"/>
      <c r="Q188" s="22"/>
      <c r="R188" s="167"/>
      <c r="S188" s="210">
        <f t="shared" si="132"/>
        <v>1</v>
      </c>
      <c r="T188" s="192" t="str">
        <f t="shared" si="149"/>
        <v>NorthBound</v>
      </c>
      <c r="U188" s="192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3" t="str">
        <f t="shared" si="117"/>
        <v>https://d0f6bd738d7f1b3e5a7ca70fe4ff75f0.us-east-1.aws.found.io/app/kibana#/discover/Steve-Slow-Train-Analysis-(2080s-and-2083s)?_g=(refreshInterval:(display:Off,pause:!f,section:0,value:0),time:(from:'2017-09-02T18:25:45-0600',mode:absolute,to:'2017-09-02T21:22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88" s="194" t="str">
        <f>IF(AA188&lt;VLOOKUP(AG188,Variables!$AC$3:$AD$8,2,FALSE),"Y","N")</f>
        <v>N</v>
      </c>
      <c r="X188" s="194">
        <f t="shared" si="144"/>
        <v>1</v>
      </c>
      <c r="Y188" s="194">
        <v>9.4799999999999995E-2</v>
      </c>
      <c r="Z188" s="194">
        <v>5.8954000000000004</v>
      </c>
      <c r="AA188" s="194">
        <f t="shared" si="150"/>
        <v>5.8006000000000002</v>
      </c>
      <c r="AB188" s="54" t="e">
        <f>VLOOKUP(A188,Enforcements!$C$7:$K$11,8,0)</f>
        <v>#N/A</v>
      </c>
      <c r="AC188" s="51" t="e">
        <f>VLOOKUP(A188,Enforcements!$C$7:$E$11,3,0)</f>
        <v>#N/A</v>
      </c>
      <c r="AD188" s="203">
        <f t="shared" si="151"/>
        <v>1829</v>
      </c>
      <c r="AE188" s="77" t="str">
        <f t="shared" si="118"/>
        <v>aws s3 cp s3://rtdc.mdm.uploadarchive.raw/RTDC4014/ "%USERPROFILE%\AppData\Local\Temp\OnboardLogs"\RTDC4014\2017-09-02 --exclude "*" --recursive --include "*20170902*" &amp; "%USERPROFILE%\Documents\GitHub\mrs-test-scripts\Headless Mode &amp; Sideloading\WalkAndUnGZ.bat" "%USERPROFILE%\AppData\Local\Temp\OnboardLogs"\RTDC4014\2017-09-02 &amp; aws s3 cp s3://rtdc.mdm.uploadarchive.raw/RTDC4014/ "%USERPROFILE%\AppData\Local\Temp\OnboardLogs"\RTDC4014\2017-09-03 --exclude "*" --recursive --include "*20170903*" &amp; "%USERPROFILE%\Documents\GitHub\mrs-test-scripts\Headless Mode &amp; Sideloading\WalkAndUnGZ.bat" "%USERPROFILE%\AppData\Local\Temp\OnboardLogs"\RTDC4014\2017-09-03</v>
      </c>
      <c r="AF188" s="74" t="str">
        <f t="shared" si="119"/>
        <v>"C:\Program Files (x86)\AstroGrep\AstroGrep.exe" /e /r /s /spath="%USERPROFILE%\AppData\Local\Temp\OnboardLogs" /stypes="app*4014*20170903*" /stext=" 02:.+((SYSTEM_STATE.+slice.+state.+changed )|(ment ac)|(multiple cpu faults)|(system.+state.+changed )|(\[timeout)|(PRM\|1\|D)|(kpr)|(kdp)|(train st.+moving)|(\|lc)|(penalty))"</v>
      </c>
      <c r="AG188" s="206" t="str">
        <f t="shared" si="152"/>
        <v>NW</v>
      </c>
      <c r="AH188" s="78" t="str">
        <f t="shared" ref="AH188" si="153">refinertdcruntimes&amp;" --tripid "&amp;A188&amp;" --locoid "&amp;B188&amp;" --swversion "&amp;C188&amp;" --startMP "&amp;D188&amp;" --initTime "&amp;TEXT(E188,"yyyy-mm-ddTHH:MM:SS")&amp;" --startdatetime "&amp;TEXT(F188,"yyyy-mm-ddTHH:MM:SS")&amp;" --delay "&amp;G188&amp;" --endMP "&amp;H188&amp;" --enddatetime "&amp;TEXT(I188,"yyyy-mm-ddTHH:MM:SS")&amp;" --enforcementcount "&amp;J188&amp;IF(outputrefinedruntimes," &gt;&gt;"&amp;RefinedRTDCRunTimesOutputFile,"")</f>
        <v>"%USERPROFILE%\Documents\GitHub\eaglep3\Utilities\RefineRTDCRunTimes.py" --tripid 1829-02 --locoid 4014 --swversion DE.1.0.9.0 --startMP 300:58645 --initTime 2017-09-02T19:25:45 --startdatetime 2017-09-02T20:09:47 --delay 78 --endMP 204:617 --enddatetime 2017-09-02T20:22:55 --enforcementcount 0 &gt;&gt;C:\Users\stu\Documents\GitHub\eaglep3-reporting\EC\2017-09-02-refined-times.txt</v>
      </c>
      <c r="AI188" s="96" t="str">
        <f t="shared" ref="AI188" si="154">"echo {""issue"":{""subject"":"""&amp;R188&amp;""",""project_id"":79,""tracker_id"":40,""status_id"":"&amp;redmine_status&amp;",""priority_id"":"&amp;redmine_priority&amp;",""assigned_to_id"":"&amp;redmine_assignee&amp;",""start_date"":"""&amp;TEXT(I188,"YYYY-mm-dd")&amp;""",""description"":"""&amp;AJ188&amp;""",""custom_fields"":[{""id"":1,""name"":""Subdivision"",""value"":"""&amp;AG188&amp;"""},{""id"":4,""name"":""Milepost"",""value"":"""&amp;Z188&amp;"""},{""id"":17,""name"":""Train ID"",""value"":"""&amp;A188&amp;"""},{""id"":16,""name"":""Locomotive ID"",""value"":"""&amp;B188&amp;"""},{""id"":130,""name"":""Impact"",""value"":"""&amp;AK188&amp;"""},{""id"":150,""name"":""Time of Event (Mountain Time)"",""value"":"""&amp;TEXT(I188,"hh:mm:ss")&amp;"""},{""id"":151,""name"":""Denver Issue ID"",""value"":"""&amp;"""},{""id"":178,""name"":""Operational Impact"",""value"":"""&amp;redmine_op_impact&amp;"""},{""id"":179,""name"":""Denver Segment Assigned"",""value"":"""&amp;AL188&amp;"""}]}}"&amp;"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{"issue":{"subject":"","project_id":79,"tracker_id":40,"status_id":1,"priority_id":2,"assigned_to_id":338,"start_date":"2017-09-02","description":"","custom_fields":[{"id":1,"name":"Subdivision","value":"NW"},{"id":4,"name":"Milepost","value":"5.8954"},{"id":17,"name":"Train ID","value":"1829-02"},{"id":16,"name":"Locomotive ID","value":"4014"},{"id":130,"name":"Impact","value":""},{"id":150,"name":"Time of Event (Mountain Time)","value":"20:22:55"},{"id":151,"name":"Denver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8" s="47"/>
      <c r="AL188" s="47"/>
      <c r="AM188" s="142" t="str">
        <f t="shared" ref="AM188" si="155">"start /low /b "&amp;dls3logs&amp;" --loco "&amp;B188&amp;" --day "&amp;TEXT(F188,"YYYY-MM-DD")</f>
        <v>start /low /b %USERPROFILE%\Documents\GitHub\eaglep3\Utilities\DownloadLogsFromS3.py --loco 4014 --day 2017-09-02</v>
      </c>
      <c r="AN188" s="151" t="str">
        <f t="shared" ref="AN188" si="156">"echo {""issue"":{""subject"":"""&amp;R188&amp;""",""project_id"":30,""tracker_id"":4,""status_id"":"&amp;redmine_status_wcr&amp;",""priority_id"":"&amp;redmine_priority_wcr&amp;",""assigned_to_id"":"&amp;redmine_assignee_wcr&amp;",""start_date"":"""&amp;TEXT(I188-utc_offset/24,"YYYY-mm-dd")&amp;""",""description"":"""&amp;AJ188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02:22:55"},{"id":29,"name":"Sharepoint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9" spans="1:91" s="20" customFormat="1" x14ac:dyDescent="0.25">
      <c r="A189" s="32" t="s">
        <v>750</v>
      </c>
      <c r="B189" s="7">
        <v>4013</v>
      </c>
      <c r="C189" s="21" t="s">
        <v>197</v>
      </c>
      <c r="D189" s="21" t="s">
        <v>862</v>
      </c>
      <c r="E189" s="13">
        <v>42980.8515162037</v>
      </c>
      <c r="F189" s="13">
        <v>42980.859467592592</v>
      </c>
      <c r="G189" s="7">
        <v>68</v>
      </c>
      <c r="H189" s="21" t="s">
        <v>863</v>
      </c>
      <c r="I189" s="13">
        <v>42980.871863425928</v>
      </c>
      <c r="J189" s="7">
        <v>0</v>
      </c>
      <c r="K189" s="89" t="str">
        <f t="shared" si="147"/>
        <v>4013/4014</v>
      </c>
      <c r="L189" s="214" t="str">
        <f>VLOOKUP(A189,'Trips&amp;Operators'!$C$1:$G$99911,5,FALSE)</f>
        <v>BIRKHOLZ NADINE</v>
      </c>
      <c r="M189" s="6">
        <f t="shared" si="148"/>
        <v>1.2395833335176576E-2</v>
      </c>
      <c r="N189" s="7">
        <f t="shared" si="143"/>
        <v>17.850000002654269</v>
      </c>
      <c r="O189" s="7"/>
      <c r="P189" s="7"/>
      <c r="Q189" s="22"/>
      <c r="R189" s="167"/>
      <c r="S189" s="210">
        <f t="shared" si="132"/>
        <v>1</v>
      </c>
      <c r="T189" s="192" t="str">
        <f t="shared" si="149"/>
        <v>Southbound</v>
      </c>
      <c r="U189" s="192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3" t="str">
        <f t="shared" si="117"/>
        <v>https://d0f6bd738d7f1b3e5a7ca70fe4ff75f0.us-east-1.aws.found.io/app/kibana#/discover/Steve-Slow-Train-Analysis-(2080s-and-2083s)?_g=(refreshInterval:(display:Off,pause:!f,section:0,value:0),time:(from:'2017-09-02T19:26:11-0600',mode:absolute,to:'2017-09-02T21:55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89" s="194" t="str">
        <f>IF(AA189&lt;VLOOKUP(AG189,Variables!$AC$3:$AD$8,2,FALSE),"Y","N")</f>
        <v>N</v>
      </c>
      <c r="X189" s="194">
        <f t="shared" si="144"/>
        <v>1</v>
      </c>
      <c r="Y189" s="194">
        <f t="shared" ref="Y189:Y219" si="157">RIGHT(D189,LEN(D189)-4)/10000</f>
        <v>5.8632</v>
      </c>
      <c r="Z189" s="194">
        <f t="shared" ref="Z189:Z219" si="158">RIGHT(H189,LEN(H189)-4)/10000</f>
        <v>6.7500000000000004E-2</v>
      </c>
      <c r="AA189" s="194">
        <f t="shared" si="150"/>
        <v>5.7957000000000001</v>
      </c>
      <c r="AB189" s="54" t="e">
        <f>VLOOKUP(A189,Enforcements!$C$7:$K$11,8,0)</f>
        <v>#N/A</v>
      </c>
      <c r="AC189" s="51" t="e">
        <f>VLOOKUP(A189,Enforcements!$C$7:$E$11,3,0)</f>
        <v>#N/A</v>
      </c>
      <c r="AD189" s="203">
        <f t="shared" si="151"/>
        <v>1830</v>
      </c>
      <c r="AE189" s="77" t="str">
        <f t="shared" si="118"/>
        <v>aws s3 cp s3://rtdc.mdm.uploadarchive.raw/RTDC4013/ "%USERPROFILE%\AppData\Local\Temp\OnboardLogs"\RTDC4013\2017-09-02 --exclude "*" --recursive --include "*20170902*" &amp; "%USERPROFILE%\Documents\GitHub\mrs-test-scripts\Headless Mode &amp; Sideloading\WalkAndUnGZ.bat" "%USERPROFILE%\AppData\Local\Temp\OnboardLogs"\RTDC4013\2017-09-02 &amp; aws s3 cp s3://rtdc.mdm.uploadarchive.raw/RTDC4013/ "%USERPROFILE%\AppData\Local\Temp\OnboardLogs"\RTDC4013\2017-09-03 --exclude "*" --recursive --include "*20170903*" &amp; "%USERPROFILE%\Documents\GitHub\mrs-test-scripts\Headless Mode &amp; Sideloading\WalkAndUnGZ.bat" "%USERPROFILE%\AppData\Local\Temp\OnboardLogs"\RTDC4013\2017-09-03</v>
      </c>
      <c r="AF189" s="74" t="str">
        <f t="shared" si="119"/>
        <v>"C:\Program Files (x86)\AstroGrep\AstroGrep.exe" /e /r /s /spath="%USERPROFILE%\AppData\Local\Temp\OnboardLogs" /stypes="app*4013*20170903*" /stext=" 02:.+((SYSTEM_STATE.+slice.+state.+changed )|(ment ac)|(multiple cpu faults)|(system.+state.+changed )|(\[timeout)|(PRM\|1\|D)|(kpr)|(kdp)|(train st.+moving)|(\|lc)|(penalty))"</v>
      </c>
      <c r="AG189" s="206" t="str">
        <f t="shared" si="152"/>
        <v>NW</v>
      </c>
      <c r="AH189" s="78" t="str">
        <f t="shared" si="122"/>
        <v>"%USERPROFILE%\Documents\GitHub\eaglep3\Utilities\RefineRTDCRunTimes.py" --tripid 1830-02 --locoid 4013 --swversion DE.1.0.9.0 --startMP 300:58632 --initTime 2017-09-02T20:26:11 --startdatetime 2017-09-02T20:37:38 --delay 68 --endMP 204:675 --enddatetime 2017-09-02T20:55:29 --enforcementcount 0 &gt;&gt;C:\Users\stu\Documents\GitHub\eaglep3-reporting\EC\2017-09-02-refined-times.txt</v>
      </c>
      <c r="AI189" s="96" t="str">
        <f t="shared" si="123"/>
        <v>echo {"issue":{"subject":"","project_id":79,"tracker_id":40,"status_id":1,"priority_id":2,"assigned_to_id":338,"start_date":"2017-09-02","description":"","custom_fields":[{"id":1,"name":"Subdivision","value":"NW"},{"id":4,"name":"Milepost","value":"0.0675"},{"id":17,"name":"Train ID","value":"1830-02"},{"id":16,"name":"Locomotive ID","value":"4013"},{"id":130,"name":"Impact","value":""},{"id":150,"name":"Time of Event (Mountain Time)","value":"20:55:29"},{"id":151,"name":"Denver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9" s="47"/>
      <c r="AL189" s="47"/>
      <c r="AM189" s="142" t="str">
        <f t="shared" si="124"/>
        <v>start /low /b %USERPROFILE%\Documents\GitHub\eaglep3\Utilities\DownloadLogsFromS3.py --loco 4013 --day 2017-09-02</v>
      </c>
      <c r="AN189" s="151" t="str">
        <f t="shared" si="125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02:55:29"},{"id":29,"name":"Sharepoint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x14ac:dyDescent="0.25">
      <c r="A190" s="32" t="s">
        <v>753</v>
      </c>
      <c r="B190" s="7">
        <v>4014</v>
      </c>
      <c r="C190" s="21" t="s">
        <v>197</v>
      </c>
      <c r="D190" s="21" t="s">
        <v>858</v>
      </c>
      <c r="E190" s="13">
        <v>42980.878125000003</v>
      </c>
      <c r="F190" s="13">
        <v>42980.88144675926</v>
      </c>
      <c r="G190" s="7">
        <v>76</v>
      </c>
      <c r="H190" s="21" t="s">
        <v>557</v>
      </c>
      <c r="I190" s="13">
        <v>42980.890949074077</v>
      </c>
      <c r="J190" s="7">
        <v>0</v>
      </c>
      <c r="K190" s="89" t="str">
        <f t="shared" si="147"/>
        <v>4013/4014</v>
      </c>
      <c r="L190" s="214" t="str">
        <f>VLOOKUP(A190,'Trips&amp;Operators'!$C$1:$G$99911,5,FALSE)</f>
        <v>BIRKHOLZ NADINE</v>
      </c>
      <c r="M190" s="6">
        <f t="shared" si="148"/>
        <v>9.5023148169275373E-3</v>
      </c>
      <c r="N190" s="7">
        <f t="shared" si="143"/>
        <v>13.683333336375654</v>
      </c>
      <c r="O190" s="7"/>
      <c r="P190" s="7"/>
      <c r="Q190" s="22"/>
      <c r="R190" s="167"/>
      <c r="S190" s="210">
        <f t="shared" si="132"/>
        <v>1</v>
      </c>
      <c r="T190" s="192" t="str">
        <f t="shared" si="149"/>
        <v>NorthBound</v>
      </c>
      <c r="U190" s="192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3" t="str">
        <f t="shared" si="117"/>
        <v>https://d0f6bd738d7f1b3e5a7ca70fe4ff75f0.us-east-1.aws.found.io/app/kibana#/discover/Steve-Slow-Train-Analysis-(2080s-and-2083s)?_g=(refreshInterval:(display:Off,pause:!f,section:0,value:0),time:(from:'2017-09-02T20:04:30-0600',mode:absolute,to:'2017-09-02T22:22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90" s="194" t="str">
        <f>IF(AA190&lt;VLOOKUP(AG190,Variables!$AC$3:$AD$8,2,FALSE),"Y","N")</f>
        <v>N</v>
      </c>
      <c r="X190" s="194">
        <f t="shared" si="144"/>
        <v>1</v>
      </c>
      <c r="Y190" s="194">
        <f t="shared" si="157"/>
        <v>9.4799999999999995E-2</v>
      </c>
      <c r="Z190" s="194">
        <f t="shared" si="158"/>
        <v>5.8939000000000004</v>
      </c>
      <c r="AA190" s="194">
        <f t="shared" si="150"/>
        <v>5.7991000000000001</v>
      </c>
      <c r="AB190" s="54" t="e">
        <f>VLOOKUP(A190,Enforcements!$C$7:$K$11,8,0)</f>
        <v>#N/A</v>
      </c>
      <c r="AC190" s="51" t="e">
        <f>VLOOKUP(A190,Enforcements!$C$7:$E$11,3,0)</f>
        <v>#N/A</v>
      </c>
      <c r="AD190" s="203">
        <f t="shared" si="151"/>
        <v>1831</v>
      </c>
      <c r="AE190" s="77" t="str">
        <f t="shared" si="118"/>
        <v>aws s3 cp s3://rtdc.mdm.uploadarchive.raw/RTDC4014/ "%USERPROFILE%\AppData\Local\Temp\OnboardLogs"\RTDC4014\2017-09-02 --exclude "*" --recursive --include "*20170902*" &amp; "%USERPROFILE%\Documents\GitHub\mrs-test-scripts\Headless Mode &amp; Sideloading\WalkAndUnGZ.bat" "%USERPROFILE%\AppData\Local\Temp\OnboardLogs"\RTDC4014\2017-09-02 &amp; aws s3 cp s3://rtdc.mdm.uploadarchive.raw/RTDC4014/ "%USERPROFILE%\AppData\Local\Temp\OnboardLogs"\RTDC4014\2017-09-03 --exclude "*" --recursive --include "*20170903*" &amp; "%USERPROFILE%\Documents\GitHub\mrs-test-scripts\Headless Mode &amp; Sideloading\WalkAndUnGZ.bat" "%USERPROFILE%\AppData\Local\Temp\OnboardLogs"\RTDC4014\2017-09-03</v>
      </c>
      <c r="AF190" s="74" t="str">
        <f t="shared" si="119"/>
        <v>"C:\Program Files (x86)\AstroGrep\AstroGrep.exe" /e /r /s /spath="%USERPROFILE%\AppData\Local\Temp\OnboardLogs" /stypes="app*4014*20170903*" /stext=" 03:.+((SYSTEM_STATE.+slice.+state.+changed )|(ment ac)|(multiple cpu faults)|(system.+state.+changed )|(\[timeout)|(PRM\|1\|D)|(kpr)|(kdp)|(train st.+moving)|(\|lc)|(penalty))"</v>
      </c>
      <c r="AG190" s="206" t="str">
        <f t="shared" si="152"/>
        <v>NW</v>
      </c>
      <c r="AH190" s="78" t="str">
        <f t="shared" si="122"/>
        <v>"%USERPROFILE%\Documents\GitHub\eaglep3\Utilities\RefineRTDCRunTimes.py" --tripid 1831-02 --locoid 4014 --swversion DE.1.0.9.0 --startMP 204:948 --initTime 2017-09-02T21:04:30 --startdatetime 2017-09-02T21:09:17 --delay 76 --endMP 300:58939 --enddatetime 2017-09-02T21:22:58 --enforcementcount 0 &gt;&gt;C:\Users\stu\Documents\GitHub\eaglep3-reporting\EC\2017-09-02-refined-times.txt</v>
      </c>
      <c r="AI190" s="96" t="str">
        <f t="shared" si="123"/>
        <v>echo {"issue":{"subject":"","project_id":79,"tracker_id":40,"status_id":1,"priority_id":2,"assigned_to_id":338,"start_date":"2017-09-02","description":"","custom_fields":[{"id":1,"name":"Subdivision","value":"NW"},{"id":4,"name":"Milepost","value":"5.8939"},{"id":17,"name":"Train ID","value":"1831-02"},{"id":16,"name":"Locomotive ID","value":"4014"},{"id":130,"name":"Impact","value":""},{"id":150,"name":"Time of Event (Mountain Time)","value":"21:22:58"},{"id":151,"name":"Denver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2" t="str">
        <f t="shared" si="124"/>
        <v>start /low /b %USERPROFILE%\Documents\GitHub\eaglep3\Utilities\DownloadLogsFromS3.py --loco 4014 --day 2017-09-02</v>
      </c>
      <c r="AN190" s="151" t="str">
        <f t="shared" si="125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03:22:58"},{"id":29,"name":"Sharepoint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</row>
    <row r="191" spans="1:91" x14ac:dyDescent="0.25">
      <c r="A191" s="32" t="s">
        <v>755</v>
      </c>
      <c r="B191" s="7">
        <v>4013</v>
      </c>
      <c r="C191" s="21" t="s">
        <v>197</v>
      </c>
      <c r="D191" s="21" t="s">
        <v>864</v>
      </c>
      <c r="E191" s="13">
        <v>42980.891979166663</v>
      </c>
      <c r="F191" s="13">
        <v>42980.901400462964</v>
      </c>
      <c r="G191" s="7">
        <v>56</v>
      </c>
      <c r="H191" s="21" t="s">
        <v>865</v>
      </c>
      <c r="I191" s="13">
        <v>42980.913541666669</v>
      </c>
      <c r="J191" s="7">
        <v>0</v>
      </c>
      <c r="K191" s="89" t="str">
        <f t="shared" si="147"/>
        <v>4013/4014</v>
      </c>
      <c r="L191" s="214" t="str">
        <f>VLOOKUP(A191,'Trips&amp;Operators'!$C$1:$G$99911,5,FALSE)</f>
        <v>BIRKHOLZ NADINE</v>
      </c>
      <c r="M191" s="6">
        <f t="shared" si="148"/>
        <v>1.2141203704231884E-2</v>
      </c>
      <c r="N191" s="7">
        <f t="shared" si="143"/>
        <v>17.483333334093913</v>
      </c>
      <c r="O191" s="7"/>
      <c r="P191" s="7"/>
      <c r="Q191" s="22"/>
      <c r="R191" s="167"/>
      <c r="S191" s="210">
        <f t="shared" si="132"/>
        <v>1</v>
      </c>
      <c r="T191" s="192" t="str">
        <f t="shared" si="149"/>
        <v>Southbound</v>
      </c>
      <c r="U191" s="192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3" t="str">
        <f t="shared" si="117"/>
        <v>https://d0f6bd738d7f1b3e5a7ca70fe4ff75f0.us-east-1.aws.found.io/app/kibana#/discover/Steve-Slow-Train-Analysis-(2080s-and-2083s)?_g=(refreshInterval:(display:Off,pause:!f,section:0,value:0),time:(from:'2017-09-02T20:24:27-0600',mode:absolute,to:'2017-09-02T22:55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91" s="194" t="str">
        <f>IF(AA191&lt;VLOOKUP(AG191,Variables!$AC$3:$AD$8,2,FALSE),"Y","N")</f>
        <v>N</v>
      </c>
      <c r="X191" s="194">
        <f t="shared" si="144"/>
        <v>1</v>
      </c>
      <c r="Y191" s="194">
        <f t="shared" si="157"/>
        <v>5.8613</v>
      </c>
      <c r="Z191" s="194">
        <f t="shared" si="158"/>
        <v>6.8900000000000003E-2</v>
      </c>
      <c r="AA191" s="194">
        <f t="shared" si="150"/>
        <v>5.7923999999999998</v>
      </c>
      <c r="AB191" s="54" t="e">
        <f>VLOOKUP(A191,Enforcements!$C$7:$K$11,8,0)</f>
        <v>#N/A</v>
      </c>
      <c r="AC191" s="51" t="e">
        <f>VLOOKUP(A191,Enforcements!$C$7:$E$11,3,0)</f>
        <v>#N/A</v>
      </c>
      <c r="AD191" s="203">
        <f t="shared" si="151"/>
        <v>1832</v>
      </c>
      <c r="AE191" s="77" t="str">
        <f t="shared" si="118"/>
        <v>aws s3 cp s3://rtdc.mdm.uploadarchive.raw/RTDC4013/ "%USERPROFILE%\AppData\Local\Temp\OnboardLogs"\RTDC4013\2017-09-02 --exclude "*" --recursive --include "*20170902*" &amp; "%USERPROFILE%\Documents\GitHub\mrs-test-scripts\Headless Mode &amp; Sideloading\WalkAndUnGZ.bat" "%USERPROFILE%\AppData\Local\Temp\OnboardLogs"\RTDC4013\2017-09-02 &amp; aws s3 cp s3://rtdc.mdm.uploadarchive.raw/RTDC4013/ "%USERPROFILE%\AppData\Local\Temp\OnboardLogs"\RTDC4013\2017-09-03 --exclude "*" --recursive --include "*20170903*" &amp; "%USERPROFILE%\Documents\GitHub\mrs-test-scripts\Headless Mode &amp; Sideloading\WalkAndUnGZ.bat" "%USERPROFILE%\AppData\Local\Temp\OnboardLogs"\RTDC4013\2017-09-03</v>
      </c>
      <c r="AF191" s="74" t="str">
        <f t="shared" si="119"/>
        <v>"C:\Program Files (x86)\AstroGrep\AstroGrep.exe" /e /r /s /spath="%USERPROFILE%\AppData\Local\Temp\OnboardLogs" /stypes="app*4013*20170903*" /stext=" 03:.+((SYSTEM_STATE.+slice.+state.+changed )|(ment ac)|(multiple cpu faults)|(system.+state.+changed )|(\[timeout)|(PRM\|1\|D)|(kpr)|(kdp)|(train st.+moving)|(\|lc)|(penalty))"</v>
      </c>
      <c r="AG191" s="206" t="str">
        <f t="shared" si="152"/>
        <v>NW</v>
      </c>
      <c r="AH191" s="78" t="str">
        <f t="shared" si="122"/>
        <v>"%USERPROFILE%\Documents\GitHub\eaglep3\Utilities\RefineRTDCRunTimes.py" --tripid 1832-02 --locoid 4013 --swversion DE.1.0.9.0 --startMP 300:58613 --initTime 2017-09-02T21:24:27 --startdatetime 2017-09-02T21:38:01 --delay 56 --endMP 204:689 --enddatetime 2017-09-02T21:55:30 --enforcementcount 0 &gt;&gt;C:\Users\stu\Documents\GitHub\eaglep3-reporting\EC\2017-09-02-refined-times.txt</v>
      </c>
      <c r="AI191" s="96" t="str">
        <f t="shared" si="123"/>
        <v>echo {"issue":{"subject":"","project_id":79,"tracker_id":40,"status_id":1,"priority_id":2,"assigned_to_id":338,"start_date":"2017-09-02","description":"","custom_fields":[{"id":1,"name":"Subdivision","value":"NW"},{"id":4,"name":"Milepost","value":"0.0689"},{"id":17,"name":"Train ID","value":"1832-02"},{"id":16,"name":"Locomotive ID","value":"4013"},{"id":130,"name":"Impact","value":""},{"id":150,"name":"Time of Event (Mountain Time)","value":"21:55:30"},{"id":151,"name":"Denver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2" t="str">
        <f t="shared" si="124"/>
        <v>start /low /b %USERPROFILE%\Documents\GitHub\eaglep3\Utilities\DownloadLogsFromS3.py --loco 4013 --day 2017-09-02</v>
      </c>
      <c r="AN191" s="151" t="str">
        <f t="shared" si="125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03:55:30"},{"id":29,"name":"Sharepoint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</row>
    <row r="192" spans="1:91" s="20" customFormat="1" x14ac:dyDescent="0.25">
      <c r="A192" s="32" t="s">
        <v>594</v>
      </c>
      <c r="B192" s="7">
        <v>4014</v>
      </c>
      <c r="C192" s="21" t="s">
        <v>197</v>
      </c>
      <c r="D192" s="21" t="s">
        <v>866</v>
      </c>
      <c r="E192" s="13">
        <v>42980.925138888888</v>
      </c>
      <c r="F192" s="13">
        <v>42980.926585648151</v>
      </c>
      <c r="G192" s="7">
        <v>42</v>
      </c>
      <c r="H192" s="21" t="s">
        <v>830</v>
      </c>
      <c r="I192" s="13">
        <v>42980.936828703707</v>
      </c>
      <c r="J192" s="7">
        <v>0</v>
      </c>
      <c r="K192" s="89" t="str">
        <f t="shared" si="147"/>
        <v>4013/4014</v>
      </c>
      <c r="L192" s="214" t="str">
        <f>VLOOKUP(A192,'Trips&amp;Operators'!$C$1:$G$99911,5,FALSE)</f>
        <v>BIRKHOLZ NADINE</v>
      </c>
      <c r="M192" s="6">
        <f t="shared" si="148"/>
        <v>1.0243055556202307E-2</v>
      </c>
      <c r="N192" s="7">
        <f t="shared" si="143"/>
        <v>14.750000000931323</v>
      </c>
      <c r="O192" s="7"/>
      <c r="P192" s="7"/>
      <c r="Q192" s="22"/>
      <c r="R192" s="167" t="s">
        <v>957</v>
      </c>
      <c r="S192" s="210">
        <f t="shared" si="132"/>
        <v>1</v>
      </c>
      <c r="T192" s="192" t="str">
        <f t="shared" si="149"/>
        <v>NorthBound</v>
      </c>
      <c r="U192" s="192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3" t="str">
        <f t="shared" si="117"/>
        <v>https://d0f6bd738d7f1b3e5a7ca70fe4ff75f0.us-east-1.aws.found.io/app/kibana#/discover/Steve-Slow-Train-Analysis-(2080s-and-2083s)?_g=(refreshInterval:(display:Off,pause:!f,section:0,value:0),time:(from:'2017-09-02T21:12:12-0600',mode:absolute,to:'2017-09-02T23:29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92" s="194" t="str">
        <f>IF(AA192&lt;VLOOKUP(AG192,Variables!$AC$3:$AD$8,2,FALSE),"Y","N")</f>
        <v>N</v>
      </c>
      <c r="X192" s="194">
        <f t="shared" ref="X192:X194" si="159">VALUE(LEFT(AD192,4))-VALUE(LEFT(AD191,4))</f>
        <v>1</v>
      </c>
      <c r="Y192" s="194">
        <f t="shared" si="157"/>
        <v>0.16719999999999999</v>
      </c>
      <c r="Z192" s="194">
        <f t="shared" si="158"/>
        <v>5.8940999999999999</v>
      </c>
      <c r="AA192" s="194">
        <f t="shared" si="150"/>
        <v>5.7268999999999997</v>
      </c>
      <c r="AB192" s="54" t="e">
        <f>VLOOKUP(A192,Enforcements!$C$7:$K$11,8,0)</f>
        <v>#N/A</v>
      </c>
      <c r="AC192" s="51" t="e">
        <f>VLOOKUP(A192,Enforcements!$C$7:$E$11,3,0)</f>
        <v>#N/A</v>
      </c>
      <c r="AD192" s="203">
        <f t="shared" si="151"/>
        <v>1833</v>
      </c>
      <c r="AE192" s="77" t="str">
        <f t="shared" si="118"/>
        <v>aws s3 cp s3://rtdc.mdm.uploadarchive.raw/RTDC4014/ "%USERPROFILE%\AppData\Local\Temp\OnboardLogs"\RTDC4014\2017-09-02 --exclude "*" --recursive --include "*20170902*" &amp; "%USERPROFILE%\Documents\GitHub\mrs-test-scripts\Headless Mode &amp; Sideloading\WalkAndUnGZ.bat" "%USERPROFILE%\AppData\Local\Temp\OnboardLogs"\RTDC4014\2017-09-02 &amp; aws s3 cp s3://rtdc.mdm.uploadarchive.raw/RTDC4014/ "%USERPROFILE%\AppData\Local\Temp\OnboardLogs"\RTDC4014\2017-09-03 --exclude "*" --recursive --include "*20170903*" &amp; "%USERPROFILE%\Documents\GitHub\mrs-test-scripts\Headless Mode &amp; Sideloading\WalkAndUnGZ.bat" "%USERPROFILE%\AppData\Local\Temp\OnboardLogs"\RTDC4014\2017-09-03</v>
      </c>
      <c r="AF192" s="74" t="str">
        <f t="shared" si="119"/>
        <v>"C:\Program Files (x86)\AstroGrep\AstroGrep.exe" /e /r /s /spath="%USERPROFILE%\AppData\Local\Temp\OnboardLogs" /stypes="app*4014*20170903*" /stext=" 04:.+((SYSTEM_STATE.+slice.+state.+changed )|(ment ac)|(multiple cpu faults)|(system.+state.+changed )|(\[timeout)|(PRM\|1\|D)|(kpr)|(kdp)|(train st.+moving)|(\|lc)|(penalty))"</v>
      </c>
      <c r="AG192" s="206" t="str">
        <f t="shared" si="152"/>
        <v>NW</v>
      </c>
      <c r="AH192" s="78" t="str">
        <f t="shared" si="122"/>
        <v>"%USERPROFILE%\Documents\GitHub\eaglep3\Utilities\RefineRTDCRunTimes.py" --tripid 1833-02 --locoid 4014 --swversion DE.1.0.9.0 --startMP 204:1672 --initTime 2017-09-02T22:12:12 --startdatetime 2017-09-02T22:14:17 --delay 42 --endMP 300:58941 --enddatetime 2017-09-02T22:29:02 --enforcementcount 0 &gt;&gt;C:\Users\stu\Documents\GitHub\eaglep3-reporting\EC\2017-09-02-refined-times.txt</v>
      </c>
      <c r="AI192" s="96" t="str">
        <f t="shared" si="123"/>
        <v>echo {"issue":{"subject":"Selected wrong track at first","project_id":79,"tracker_id":40,"status_id":1,"priority_id":2,"assigned_to_id":338,"start_date":"2017-09-02","description":"","custom_fields":[{"id":1,"name":"Subdivision","value":"NW"},{"id":4,"name":"Milepost","value":"5.8941"},{"id":17,"name":"Train ID","value":"1833-02"},{"id":16,"name":"Locomotive ID","value":"4014"},{"id":130,"name":"Impact","value":""},{"id":150,"name":"Time of Event (Mountain Time)","value":"22:29:02"},{"id":151,"name":"Denver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2" s="47"/>
      <c r="AL192" s="47"/>
      <c r="AM192" s="142" t="str">
        <f t="shared" si="124"/>
        <v>start /low /b %USERPROFILE%\Documents\GitHub\eaglep3\Utilities\DownloadLogsFromS3.py --loco 4014 --day 2017-09-02</v>
      </c>
      <c r="AN192" s="151" t="str">
        <f t="shared" si="125"/>
        <v>echo {"issue":{"subject":"Selected wrong track at first","project_id":30,"tracker_id":4,"status_id":1,"priority_id":1,"assigned_to_id":10,"start_date":"2017-09-03","description":"","custom_fields":[{"id":30,"name":"Category","value":"Issue"},{"id":3,"name":"Functional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04:29:02"},{"id":29,"name":"Sharepoint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25">
      <c r="A193" s="32" t="s">
        <v>760</v>
      </c>
      <c r="B193" s="7">
        <v>4013</v>
      </c>
      <c r="C193" s="21" t="s">
        <v>197</v>
      </c>
      <c r="D193" s="21" t="s">
        <v>558</v>
      </c>
      <c r="E193" s="13">
        <v>42980.937986111108</v>
      </c>
      <c r="F193" s="13">
        <v>42980.94122685185</v>
      </c>
      <c r="G193" s="7">
        <v>56</v>
      </c>
      <c r="H193" s="21" t="s">
        <v>867</v>
      </c>
      <c r="I193" s="13">
        <v>42980.955416666664</v>
      </c>
      <c r="J193" s="7">
        <v>0</v>
      </c>
      <c r="K193" s="89" t="str">
        <f t="shared" si="147"/>
        <v>4013/4014</v>
      </c>
      <c r="L193" s="214" t="str">
        <f>VLOOKUP(A193,'Trips&amp;Operators'!$C$1:$G$99911,5,FALSE)</f>
        <v>BIRKHOLZ NADINE</v>
      </c>
      <c r="M193" s="6">
        <f t="shared" si="148"/>
        <v>1.4189814814017154E-2</v>
      </c>
      <c r="N193" s="7">
        <f t="shared" si="143"/>
        <v>20.433333332184702</v>
      </c>
      <c r="O193" s="7"/>
      <c r="P193" s="7"/>
      <c r="Q193" s="22"/>
      <c r="R193" s="167"/>
      <c r="S193" s="210">
        <f t="shared" si="132"/>
        <v>1</v>
      </c>
      <c r="T193" s="192" t="str">
        <f t="shared" si="149"/>
        <v>Southbound</v>
      </c>
      <c r="U193" s="192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3" t="str">
        <f t="shared" si="117"/>
        <v>https://d0f6bd738d7f1b3e5a7ca70fe4ff75f0.us-east-1.aws.found.io/app/kibana#/discover/Steve-Slow-Train-Analysis-(2080s-and-2083s)?_g=(refreshInterval:(display:Off,pause:!f,section:0,value:0),time:(from:'2017-09-02T21:30:42-0600',mode:absolute,to:'2017-09-02T23:55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93" s="194" t="str">
        <f>IF(AA193&lt;VLOOKUP(AG193,Variables!$AC$3:$AD$8,2,FALSE),"Y","N")</f>
        <v>N</v>
      </c>
      <c r="X193" s="194">
        <f t="shared" si="159"/>
        <v>1</v>
      </c>
      <c r="Y193" s="194">
        <f t="shared" si="157"/>
        <v>5.8611000000000004</v>
      </c>
      <c r="Z193" s="194">
        <f t="shared" si="158"/>
        <v>7.0499999999999993E-2</v>
      </c>
      <c r="AA193" s="194">
        <f t="shared" si="150"/>
        <v>5.7906000000000004</v>
      </c>
      <c r="AB193" s="54" t="e">
        <f>VLOOKUP(A193,Enforcements!$C$7:$K$11,8,0)</f>
        <v>#N/A</v>
      </c>
      <c r="AC193" s="51" t="e">
        <f>VLOOKUP(A193,Enforcements!$C$7:$E$11,3,0)</f>
        <v>#N/A</v>
      </c>
      <c r="AD193" s="203">
        <f t="shared" si="151"/>
        <v>1834</v>
      </c>
      <c r="AE193" s="77" t="str">
        <f t="shared" si="118"/>
        <v>aws s3 cp s3://rtdc.mdm.uploadarchive.raw/RTDC4013/ "%USERPROFILE%\AppData\Local\Temp\OnboardLogs"\RTDC4013\2017-09-02 --exclude "*" --recursive --include "*20170902*" &amp; "%USERPROFILE%\Documents\GitHub\mrs-test-scripts\Headless Mode &amp; Sideloading\WalkAndUnGZ.bat" "%USERPROFILE%\AppData\Local\Temp\OnboardLogs"\RTDC4013\2017-09-02 &amp; aws s3 cp s3://rtdc.mdm.uploadarchive.raw/RTDC4013/ "%USERPROFILE%\AppData\Local\Temp\OnboardLogs"\RTDC4013\2017-09-03 --exclude "*" --recursive --include "*20170903*" &amp; "%USERPROFILE%\Documents\GitHub\mrs-test-scripts\Headless Mode &amp; Sideloading\WalkAndUnGZ.bat" "%USERPROFILE%\AppData\Local\Temp\OnboardLogs"\RTDC4013\2017-09-03</v>
      </c>
      <c r="AF193" s="74" t="str">
        <f t="shared" si="119"/>
        <v>"C:\Program Files (x86)\AstroGrep\AstroGrep.exe" /e /r /s /spath="%USERPROFILE%\AppData\Local\Temp\OnboardLogs" /stypes="app*4013*20170903*" /stext=" 04:.+((SYSTEM_STATE.+slice.+state.+changed )|(ment ac)|(multiple cpu faults)|(system.+state.+changed )|(\[timeout)|(PRM\|1\|D)|(kpr)|(kdp)|(train st.+moving)|(\|lc)|(penalty))"</v>
      </c>
      <c r="AG193" s="206" t="str">
        <f t="shared" si="152"/>
        <v>NW</v>
      </c>
      <c r="AH193" s="78" t="str">
        <f t="shared" si="122"/>
        <v>"%USERPROFILE%\Documents\GitHub\eaglep3\Utilities\RefineRTDCRunTimes.py" --tripid 1834-02 --locoid 4013 --swversion DE.1.0.9.0 --startMP 300:58611 --initTime 2017-09-02T22:30:42 --startdatetime 2017-09-02T22:35:22 --delay 56 --endMP 204:705 --enddatetime 2017-09-02T22:55:48 --enforcementcount 0 &gt;&gt;C:\Users\stu\Documents\GitHub\eaglep3-reporting\EC\2017-09-02-refined-times.txt</v>
      </c>
      <c r="AI193" s="96" t="str">
        <f t="shared" si="123"/>
        <v>echo {"issue":{"subject":"","project_id":79,"tracker_id":40,"status_id":1,"priority_id":2,"assigned_to_id":338,"start_date":"2017-09-02","description":"","custom_fields":[{"id":1,"name":"Subdivision","value":"NW"},{"id":4,"name":"Milepost","value":"0.0705"},{"id":17,"name":"Train ID","value":"1834-02"},{"id":16,"name":"Locomotive ID","value":"4013"},{"id":130,"name":"Impact","value":""},{"id":150,"name":"Time of Event (Mountain Time)","value":"22:55:48"},{"id":151,"name":"Denver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3" s="47"/>
      <c r="AL193" s="47"/>
      <c r="AM193" s="142" t="str">
        <f t="shared" si="124"/>
        <v>start /low /b %USERPROFILE%\Documents\GitHub\eaglep3\Utilities\DownloadLogsFromS3.py --loco 4013 --day 2017-09-02</v>
      </c>
      <c r="AN193" s="151" t="str">
        <f t="shared" si="125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04:55:48"},{"id":29,"name":"Sharepoint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x14ac:dyDescent="0.25">
      <c r="A194" s="32" t="s">
        <v>763</v>
      </c>
      <c r="B194" s="7">
        <v>4014</v>
      </c>
      <c r="C194" s="21" t="s">
        <v>197</v>
      </c>
      <c r="D194" s="21" t="s">
        <v>868</v>
      </c>
      <c r="E194" s="13">
        <v>42980.956782407404</v>
      </c>
      <c r="F194" s="13">
        <v>42980.964791666665</v>
      </c>
      <c r="G194" s="7">
        <v>69</v>
      </c>
      <c r="H194" s="21" t="s">
        <v>869</v>
      </c>
      <c r="I194" s="13">
        <v>42980.974432870367</v>
      </c>
      <c r="J194" s="7">
        <v>0</v>
      </c>
      <c r="K194" s="89" t="str">
        <f t="shared" si="147"/>
        <v>4013/4014</v>
      </c>
      <c r="L194" s="214" t="str">
        <f>VLOOKUP(A194,'Trips&amp;Operators'!$C$1:$G$99911,5,FALSE)</f>
        <v>SMITH MICHAEL</v>
      </c>
      <c r="M194" s="6">
        <f t="shared" si="148"/>
        <v>9.6412037019035779E-3</v>
      </c>
      <c r="N194" s="7">
        <f t="shared" si="143"/>
        <v>13.883333330741152</v>
      </c>
      <c r="O194" s="7"/>
      <c r="P194" s="7"/>
      <c r="Q194" s="22"/>
      <c r="R194" s="167"/>
      <c r="S194" s="210">
        <f t="shared" ref="S194:S219" si="160">1/IF(AG194="EC",12,1)*SUM(U194:U194)</f>
        <v>1</v>
      </c>
      <c r="T194" s="192" t="str">
        <f t="shared" si="149"/>
        <v>NorthBound</v>
      </c>
      <c r="U194" s="192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3" t="str">
        <f t="shared" si="117"/>
        <v>https://d0f6bd738d7f1b3e5a7ca70fe4ff75f0.us-east-1.aws.found.io/app/kibana#/discover/Steve-Slow-Train-Analysis-(2080s-and-2083s)?_g=(refreshInterval:(display:Off,pause:!f,section:0,value:0),time:(from:'2017-09-02T21:57:46-0600',mode:absolute,to:'2017-09-03T00:23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94" s="194" t="str">
        <f>IF(AA194&lt;VLOOKUP(AG194,Variables!$AC$3:$AD$8,2,FALSE),"Y","N")</f>
        <v>N</v>
      </c>
      <c r="X194" s="194">
        <f t="shared" si="159"/>
        <v>1</v>
      </c>
      <c r="Y194" s="194">
        <f t="shared" si="157"/>
        <v>9.9699999999999997E-2</v>
      </c>
      <c r="Z194" s="194">
        <f t="shared" si="158"/>
        <v>5.8952</v>
      </c>
      <c r="AA194" s="194">
        <f t="shared" si="150"/>
        <v>5.7954999999999997</v>
      </c>
      <c r="AB194" s="54" t="e">
        <f>VLOOKUP(A194,Enforcements!$C$7:$K$11,8,0)</f>
        <v>#N/A</v>
      </c>
      <c r="AC194" s="51" t="e">
        <f>VLOOKUP(A194,Enforcements!$C$7:$E$11,3,0)</f>
        <v>#N/A</v>
      </c>
      <c r="AD194" s="203">
        <f t="shared" si="151"/>
        <v>1835</v>
      </c>
      <c r="AE194" s="77" t="str">
        <f t="shared" si="118"/>
        <v>aws s3 cp s3://rtdc.mdm.uploadarchive.raw/RTDC4014/ "%USERPROFILE%\AppData\Local\Temp\OnboardLogs"\RTDC4014\2017-09-02 --exclude "*" --recursive --include "*20170902*" &amp; "%USERPROFILE%\Documents\GitHub\mrs-test-scripts\Headless Mode &amp; Sideloading\WalkAndUnGZ.bat" "%USERPROFILE%\AppData\Local\Temp\OnboardLogs"\RTDC4014\2017-09-02 &amp; aws s3 cp s3://rtdc.mdm.uploadarchive.raw/RTDC4014/ "%USERPROFILE%\AppData\Local\Temp\OnboardLogs"\RTDC4014\2017-09-03 --exclude "*" --recursive --include "*20170903*" &amp; "%USERPROFILE%\Documents\GitHub\mrs-test-scripts\Headless Mode &amp; Sideloading\WalkAndUnGZ.bat" "%USERPROFILE%\AppData\Local\Temp\OnboardLogs"\RTDC4014\2017-09-03</v>
      </c>
      <c r="AF194" s="74" t="str">
        <f t="shared" si="119"/>
        <v>"C:\Program Files (x86)\AstroGrep\AstroGrep.exe" /e /r /s /spath="%USERPROFILE%\AppData\Local\Temp\OnboardLogs" /stypes="app*4014*20170903*" /stext=" 05:.+((SYSTEM_STATE.+slice.+state.+changed )|(ment ac)|(multiple cpu faults)|(system.+state.+changed )|(\[timeout)|(PRM\|1\|D)|(kpr)|(kdp)|(train st.+moving)|(\|lc)|(penalty))"</v>
      </c>
      <c r="AG194" s="206" t="str">
        <f t="shared" si="152"/>
        <v>NW</v>
      </c>
      <c r="AH194" s="78" t="str">
        <f t="shared" si="122"/>
        <v>"%USERPROFILE%\Documents\GitHub\eaglep3\Utilities\RefineRTDCRunTimes.py" --tripid 1835-02 --locoid 4014 --swversion DE.1.0.9.0 --startMP 204:997 --initTime 2017-09-02T22:57:46 --startdatetime 2017-09-02T23:09:18 --delay 69 --endMP 300:58952 --enddatetime 2017-09-02T23:23:11 --enforcementcount 0 &gt;&gt;C:\Users\stu\Documents\GitHub\eaglep3-reporting\EC\2017-09-02-refined-times.txt</v>
      </c>
      <c r="AI194" s="96" t="str">
        <f t="shared" si="123"/>
        <v>echo {"issue":{"subject":"","project_id":79,"tracker_id":40,"status_id":1,"priority_id":2,"assigned_to_id":338,"start_date":"2017-09-02","description":"","custom_fields":[{"id":1,"name":"Subdivision","value":"NW"},{"id":4,"name":"Milepost","value":"5.8952"},{"id":17,"name":"Train ID","value":"1835-02"},{"id":16,"name":"Locomotive ID","value":"4014"},{"id":130,"name":"Impact","value":""},{"id":150,"name":"Time of Event (Mountain Time)","value":"23:23:11"},{"id":151,"name":"Denver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2" t="str">
        <f t="shared" si="124"/>
        <v>start /low /b %USERPROFILE%\Documents\GitHub\eaglep3\Utilities\DownloadLogsFromS3.py --loco 4014 --day 2017-09-02</v>
      </c>
      <c r="AN194" s="151" t="str">
        <f t="shared" si="125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05:23:11"},{"id":29,"name":"Sharepoint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</row>
    <row r="195" spans="1:91" x14ac:dyDescent="0.25">
      <c r="A195" s="32" t="s">
        <v>738</v>
      </c>
      <c r="B195" s="7">
        <v>4056</v>
      </c>
      <c r="C195" s="21" t="s">
        <v>197</v>
      </c>
      <c r="D195" s="21" t="s">
        <v>363</v>
      </c>
      <c r="E195" s="13">
        <v>42980.778217592589</v>
      </c>
      <c r="F195" s="13">
        <v>42980.782199074078</v>
      </c>
      <c r="G195" s="7">
        <v>71</v>
      </c>
      <c r="H195" s="21" t="s">
        <v>455</v>
      </c>
      <c r="I195" s="13">
        <v>42980.78837962963</v>
      </c>
      <c r="J195" s="7">
        <v>0</v>
      </c>
      <c r="K195" s="89" t="str">
        <f t="shared" si="147"/>
        <v>4055/4056</v>
      </c>
      <c r="L195" s="214" t="str">
        <f>VLOOKUP(A195,'Trips&amp;Operators'!$C$1:$G$99911,5,FALSE)</f>
        <v>SAFIEF AEIMEN</v>
      </c>
      <c r="M195" s="6">
        <f t="shared" si="148"/>
        <v>6.1805555524188094E-3</v>
      </c>
      <c r="N195" s="7">
        <f t="shared" si="143"/>
        <v>8.8999999954830855</v>
      </c>
      <c r="O195" s="7"/>
      <c r="P195" s="7"/>
      <c r="Q195" s="22"/>
      <c r="R195" s="167"/>
      <c r="S195" s="210">
        <f t="shared" si="160"/>
        <v>1</v>
      </c>
      <c r="T195" s="192" t="str">
        <f t="shared" si="149"/>
        <v>NorthBound</v>
      </c>
      <c r="U195" s="192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3" t="str">
        <f t="shared" si="117"/>
        <v>https://d0f6bd738d7f1b3e5a7ca70fe4ff75f0.us-east-1.aws.found.io/app/kibana#/discover/Steve-Slow-Train-Analysis-(2080s-and-2083s)?_g=(refreshInterval:(display:Off,pause:!f,section:0,value:0),time:(from:'2017-09-02T17:40:38-0600',mode:absolute,to:'2017-09-02T19:55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95" s="194" t="str">
        <f>IF(AA195&lt;VLOOKUP(AG195,Variables!$AC$3:$AD$8,2,FALSE),"Y","N")</f>
        <v>Y</v>
      </c>
      <c r="X195" s="194">
        <f t="shared" ref="X195:X219" si="161">VALUE(LEFT(AD195,4))-VALUE(LEFT(AD194,4))</f>
        <v>-1534</v>
      </c>
      <c r="Y195" s="194">
        <f t="shared" si="157"/>
        <v>4.58E-2</v>
      </c>
      <c r="Z195" s="194">
        <f t="shared" si="158"/>
        <v>2.3306</v>
      </c>
      <c r="AA195" s="194">
        <f t="shared" si="150"/>
        <v>2.2848000000000002</v>
      </c>
      <c r="AB195" s="54" t="e">
        <f>VLOOKUP(A195,Enforcements!$C$7:$K$11,8,0)</f>
        <v>#N/A</v>
      </c>
      <c r="AC195" s="51" t="e">
        <f>VLOOKUP(A195,Enforcements!$C$7:$E$11,3,0)</f>
        <v>#N/A</v>
      </c>
      <c r="AD195" s="203">
        <f t="shared" si="151"/>
        <v>301</v>
      </c>
      <c r="AE195" s="77" t="str">
        <f t="shared" si="118"/>
        <v>aws s3 cp s3://rtdc.mdm.uploadarchive.raw/RTDC4056/ "%USERPROFILE%\AppData\Local\Temp\OnboardLogs"\RTDC4056\2017-09-02 --exclude "*" --recursive --include "*20170902*" &amp; "%USERPROFILE%\Documents\GitHub\mrs-test-scripts\Headless Mode &amp; Sideloading\WalkAndUnGZ.bat" "%USERPROFILE%\AppData\Local\Temp\OnboardLogs"\RTDC4056\2017-09-02 &amp; aws s3 cp s3://rtdc.mdm.uploadarchive.raw/RTDC4056/ "%USERPROFILE%\AppData\Local\Temp\OnboardLogs"\RTDC4056\2017-09-03 --exclude "*" --recursive --include "*20170903*" &amp; "%USERPROFILE%\Documents\GitHub\mrs-test-scripts\Headless Mode &amp; Sideloading\WalkAndUnGZ.bat" "%USERPROFILE%\AppData\Local\Temp\OnboardLogs"\RTDC4056\2017-09-03</v>
      </c>
      <c r="AF195" s="74" t="str">
        <f t="shared" si="119"/>
        <v>"C:\Program Files (x86)\AstroGrep\AstroGrep.exe" /e /r /s /spath="%USERPROFILE%\AppData\Local\Temp\OnboardLogs" /stypes="app*4056*20170903*" /stext=" 00:.+((SYSTEM_STATE.+slice.+state.+changed )|(ment ac)|(multiple cpu faults)|(system.+state.+changed )|(\[timeout)|(PRM\|1\|D)|(kpr)|(kdp)|(train st.+moving)|(\|lc)|(penalty))"</v>
      </c>
      <c r="AG195" s="206" t="str">
        <f t="shared" si="152"/>
        <v>Other</v>
      </c>
      <c r="AH195" s="78" t="str">
        <f t="shared" si="122"/>
        <v>"%USERPROFILE%\Documents\GitHub\eaglep3\Utilities\RefineRTDCRunTimes.py" --tripid 301-02 --locoid 4056 --swversion DE.1.0.9.0 --startMP 204:458 --initTime 2017-09-02T18:40:38 --startdatetime 2017-09-02T18:46:22 --delay 71 --endMP 300:23306 --enddatetime 2017-09-02T18:55:16 --enforcementcount 0 &gt;&gt;C:\Users\stu\Documents\GitHub\eaglep3-reporting\EC\2017-09-02-refined-times.txt</v>
      </c>
      <c r="AI195" s="96" t="str">
        <f t="shared" si="123"/>
        <v>echo {"issue":{"subject":"","project_id":79,"tracker_id":40,"status_id":1,"priority_id":2,"assigned_to_id":338,"start_date":"2017-09-02","description":"","custom_fields":[{"id":1,"name":"Subdivision","value":"Other"},{"id":4,"name":"Milepost","value":"2.3306"},{"id":17,"name":"Train ID","value":"301-02"},{"id":16,"name":"Locomotive ID","value":"4056"},{"id":130,"name":"Impact","value":""},{"id":150,"name":"Time of Event (Mountain Time)","value":"18:55:16"},{"id":151,"name":"Denver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2" t="str">
        <f t="shared" si="124"/>
        <v>start /low /b %USERPROFILE%\Documents\GitHub\eaglep3\Utilities\DownloadLogsFromS3.py --loco 4056 --day 2017-09-02</v>
      </c>
      <c r="AN195" s="151" t="str">
        <f t="shared" si="125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00:55:16"},{"id":29,"name":"Sharepoint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</row>
    <row r="196" spans="1:91" x14ac:dyDescent="0.25">
      <c r="A196" s="32" t="s">
        <v>590</v>
      </c>
      <c r="B196" s="7">
        <v>4066</v>
      </c>
      <c r="C196" s="21" t="s">
        <v>197</v>
      </c>
      <c r="D196" s="21" t="s">
        <v>354</v>
      </c>
      <c r="E196" s="13">
        <v>42980.79724537037</v>
      </c>
      <c r="F196" s="13">
        <v>42980.799027777779</v>
      </c>
      <c r="G196" s="7">
        <v>83</v>
      </c>
      <c r="H196" s="21" t="s">
        <v>431</v>
      </c>
      <c r="I196" s="13">
        <v>42980.80605324074</v>
      </c>
      <c r="J196" s="7">
        <v>0</v>
      </c>
      <c r="K196" s="89" t="str">
        <f t="shared" si="147"/>
        <v>4065/4066</v>
      </c>
      <c r="L196" s="214" t="str">
        <f>VLOOKUP(A196,'Trips&amp;Operators'!$C$1:$G$99911,5,FALSE)</f>
        <v>DELGADO DIANAH</v>
      </c>
      <c r="M196" s="6">
        <f t="shared" si="148"/>
        <v>7.025462960882578E-3</v>
      </c>
      <c r="N196" s="7">
        <f t="shared" si="143"/>
        <v>10.116666663670912</v>
      </c>
      <c r="O196" s="7"/>
      <c r="P196" s="7"/>
      <c r="Q196" s="22"/>
      <c r="R196" s="167"/>
      <c r="S196" s="210">
        <f t="shared" si="160"/>
        <v>1</v>
      </c>
      <c r="T196" s="192" t="str">
        <f t="shared" si="149"/>
        <v>NorthBound</v>
      </c>
      <c r="U196" s="192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3" t="str">
        <f t="shared" si="117"/>
        <v>https://d0f6bd738d7f1b3e5a7ca70fe4ff75f0.us-east-1.aws.found.io/app/kibana#/discover/Steve-Slow-Train-Analysis-(2080s-and-2083s)?_g=(refreshInterval:(display:Off,pause:!f,section:0,value:0),time:(from:'2017-09-02T18:08:02-0600',mode:absolute,to:'2017-09-02T20:20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96" s="194" t="str">
        <f>IF(AA196&lt;VLOOKUP(AG196,Variables!$AC$3:$AD$8,2,FALSE),"Y","N")</f>
        <v>Y</v>
      </c>
      <c r="X196" s="194">
        <f t="shared" si="161"/>
        <v>2</v>
      </c>
      <c r="Y196" s="194">
        <f t="shared" si="157"/>
        <v>4.5499999999999999E-2</v>
      </c>
      <c r="Z196" s="194">
        <f t="shared" si="158"/>
        <v>2.331</v>
      </c>
      <c r="AA196" s="194">
        <f t="shared" si="150"/>
        <v>2.2854999999999999</v>
      </c>
      <c r="AB196" s="54" t="e">
        <f>VLOOKUP(A196,Enforcements!$C$7:$K$11,8,0)</f>
        <v>#N/A</v>
      </c>
      <c r="AC196" s="51" t="e">
        <f>VLOOKUP(A196,Enforcements!$C$7:$E$11,3,0)</f>
        <v>#N/A</v>
      </c>
      <c r="AD196" s="203">
        <f t="shared" si="151"/>
        <v>303</v>
      </c>
      <c r="AE196" s="77" t="str">
        <f t="shared" si="118"/>
        <v>aws s3 cp s3://rtdc.mdm.uploadarchive.raw/RTDC4066/ "%USERPROFILE%\AppData\Local\Temp\OnboardLogs"\RTDC4066\2017-09-02 --exclude "*" --recursive --include "*20170902*" &amp; "%USERPROFILE%\Documents\GitHub\mrs-test-scripts\Headless Mode &amp; Sideloading\WalkAndUnGZ.bat" "%USERPROFILE%\AppData\Local\Temp\OnboardLogs"\RTDC4066\2017-09-02 &amp; aws s3 cp s3://rtdc.mdm.uploadarchive.raw/RTDC4066/ "%USERPROFILE%\AppData\Local\Temp\OnboardLogs"\RTDC4066\2017-09-03 --exclude "*" --recursive --include "*20170903*" &amp; "%USERPROFILE%\Documents\GitHub\mrs-test-scripts\Headless Mode &amp; Sideloading\WalkAndUnGZ.bat" "%USERPROFILE%\AppData\Local\Temp\OnboardLogs"\RTDC4066\2017-09-03</v>
      </c>
      <c r="AF196" s="74" t="str">
        <f t="shared" si="119"/>
        <v>"C:\Program Files (x86)\AstroGrep\AstroGrep.exe" /e /r /s /spath="%USERPROFILE%\AppData\Local\Temp\OnboardLogs" /stypes="app*4066*20170903*" /stext=" 01:.+((SYSTEM_STATE.+slice.+state.+changed )|(ment ac)|(multiple cpu faults)|(system.+state.+changed )|(\[timeout)|(PRM\|1\|D)|(kpr)|(kdp)|(train st.+moving)|(\|lc)|(penalty))"</v>
      </c>
      <c r="AG196" s="206" t="str">
        <f t="shared" si="152"/>
        <v>Other</v>
      </c>
      <c r="AH196" s="78" t="str">
        <f t="shared" si="122"/>
        <v>"%USERPROFILE%\Documents\GitHub\eaglep3\Utilities\RefineRTDCRunTimes.py" --tripid 303-02 --locoid 4066 --swversion DE.1.0.9.0 --startMP 204:455 --initTime 2017-09-02T19:08:02 --startdatetime 2017-09-02T19:10:36 --delay 83 --endMP 300:23310 --enddatetime 2017-09-02T19:20:43 --enforcementcount 0 &gt;&gt;C:\Users\stu\Documents\GitHub\eaglep3-reporting\EC\2017-09-02-refined-times.txt</v>
      </c>
      <c r="AI196" s="96" t="str">
        <f t="shared" si="123"/>
        <v>echo {"issue":{"subject":"","project_id":79,"tracker_id":40,"status_id":1,"priority_id":2,"assigned_to_id":338,"start_date":"2017-09-02","description":"","custom_fields":[{"id":1,"name":"Subdivision","value":"Other"},{"id":4,"name":"Milepost","value":"2.331"},{"id":17,"name":"Train ID","value":"303-02"},{"id":16,"name":"Locomotive ID","value":"4066"},{"id":130,"name":"Impact","value":""},{"id":150,"name":"Time of Event (Mountain Time)","value":"19:20:43"},{"id":151,"name":"Denver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2" t="str">
        <f t="shared" si="124"/>
        <v>start /low /b %USERPROFILE%\Documents\GitHub\eaglep3\Utilities\DownloadLogsFromS3.py --loco 4066 --day 2017-09-02</v>
      </c>
      <c r="AN196" s="151" t="str">
        <f t="shared" si="125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01:20:43"},{"id":29,"name":"Sharepoint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</row>
    <row r="197" spans="1:91" x14ac:dyDescent="0.25">
      <c r="A197" s="32" t="s">
        <v>744</v>
      </c>
      <c r="B197" s="7">
        <v>4024</v>
      </c>
      <c r="C197" s="21" t="s">
        <v>197</v>
      </c>
      <c r="D197" s="21" t="s">
        <v>342</v>
      </c>
      <c r="E197" s="13">
        <v>42980.817569444444</v>
      </c>
      <c r="F197" s="13">
        <v>42980.819907407407</v>
      </c>
      <c r="G197" s="7">
        <v>68</v>
      </c>
      <c r="H197" s="21" t="s">
        <v>548</v>
      </c>
      <c r="I197" s="13">
        <v>42980.827187499999</v>
      </c>
      <c r="J197" s="7">
        <v>0</v>
      </c>
      <c r="K197" s="89" t="str">
        <f t="shared" si="147"/>
        <v>4023/4024</v>
      </c>
      <c r="L197" s="214" t="str">
        <f>VLOOKUP(A197,'Trips&amp;Operators'!$C$1:$G$99911,5,FALSE)</f>
        <v>ZEWDU DEREJE</v>
      </c>
      <c r="M197" s="6">
        <f t="shared" si="148"/>
        <v>7.2800925918272696E-3</v>
      </c>
      <c r="N197" s="7">
        <f t="shared" si="143"/>
        <v>10.483333332231268</v>
      </c>
      <c r="O197" s="7"/>
      <c r="P197" s="7"/>
      <c r="Q197" s="22"/>
      <c r="R197" s="167"/>
      <c r="S197" s="210">
        <f t="shared" si="160"/>
        <v>1</v>
      </c>
      <c r="T197" s="192" t="str">
        <f t="shared" si="149"/>
        <v>NorthBound</v>
      </c>
      <c r="U197" s="192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3" t="str">
        <f t="shared" si="117"/>
        <v>https://d0f6bd738d7f1b3e5a7ca70fe4ff75f0.us-east-1.aws.found.io/app/kibana#/discover/Steve-Slow-Train-Analysis-(2080s-and-2083s)?_g=(refreshInterval:(display:Off,pause:!f,section:0,value:0),time:(from:'2017-09-02T18:37:18-0600',mode:absolute,to:'2017-09-02T20:51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97" s="194" t="str">
        <f>IF(AA197&lt;VLOOKUP(AG197,Variables!$AC$3:$AD$8,2,FALSE),"Y","N")</f>
        <v>Y</v>
      </c>
      <c r="X197" s="194">
        <f t="shared" si="161"/>
        <v>2</v>
      </c>
      <c r="Y197" s="194">
        <f t="shared" si="157"/>
        <v>4.53E-2</v>
      </c>
      <c r="Z197" s="194">
        <f t="shared" si="158"/>
        <v>2.3346</v>
      </c>
      <c r="AA197" s="194">
        <f t="shared" si="150"/>
        <v>2.2892999999999999</v>
      </c>
      <c r="AB197" s="54" t="e">
        <f>VLOOKUP(A197,Enforcements!$C$7:$K$11,8,0)</f>
        <v>#N/A</v>
      </c>
      <c r="AC197" s="51" t="e">
        <f>VLOOKUP(A197,Enforcements!$C$7:$E$11,3,0)</f>
        <v>#N/A</v>
      </c>
      <c r="AD197" s="203">
        <f t="shared" si="151"/>
        <v>305</v>
      </c>
      <c r="AE197" s="77" t="str">
        <f t="shared" si="118"/>
        <v>aws s3 cp s3://rtdc.mdm.uploadarchive.raw/RTDC4024/ "%USERPROFILE%\AppData\Local\Temp\OnboardLogs"\RTDC4024\2017-09-02 --exclude "*" --recursive --include "*20170902*" &amp; "%USERPROFILE%\Documents\GitHub\mrs-test-scripts\Headless Mode &amp; Sideloading\WalkAndUnGZ.bat" "%USERPROFILE%\AppData\Local\Temp\OnboardLogs"\RTDC4024\2017-09-02 &amp; aws s3 cp s3://rtdc.mdm.uploadarchive.raw/RTDC4024/ "%USERPROFILE%\AppData\Local\Temp\OnboardLogs"\RTDC4024\2017-09-03 --exclude "*" --recursive --include "*20170903*" &amp; "%USERPROFILE%\Documents\GitHub\mrs-test-scripts\Headless Mode &amp; Sideloading\WalkAndUnGZ.bat" "%USERPROFILE%\AppData\Local\Temp\OnboardLogs"\RTDC4024\2017-09-03</v>
      </c>
      <c r="AF197" s="74" t="str">
        <f t="shared" si="119"/>
        <v>"C:\Program Files (x86)\AstroGrep\AstroGrep.exe" /e /r /s /spath="%USERPROFILE%\AppData\Local\Temp\OnboardLogs" /stypes="app*4024*20170903*" /stext=" 01:.+((SYSTEM_STATE.+slice.+state.+changed )|(ment ac)|(multiple cpu faults)|(system.+state.+changed )|(\[timeout)|(PRM\|1\|D)|(kpr)|(kdp)|(train st.+moving)|(\|lc)|(penalty))"</v>
      </c>
      <c r="AG197" s="206" t="str">
        <f t="shared" si="152"/>
        <v>Other</v>
      </c>
      <c r="AH197" s="78" t="str">
        <f t="shared" si="122"/>
        <v>"%USERPROFILE%\Documents\GitHub\eaglep3\Utilities\RefineRTDCRunTimes.py" --tripid 305-02 --locoid 4024 --swversion DE.1.0.9.0 --startMP 204:453 --initTime 2017-09-02T19:37:18 --startdatetime 2017-09-02T19:40:40 --delay 68 --endMP 300:23346 --enddatetime 2017-09-02T19:51:09 --enforcementcount 0 &gt;&gt;C:\Users\stu\Documents\GitHub\eaglep3-reporting\EC\2017-09-02-refined-times.txt</v>
      </c>
      <c r="AI197" s="96" t="str">
        <f t="shared" si="123"/>
        <v>echo {"issue":{"subject":"","project_id":79,"tracker_id":40,"status_id":1,"priority_id":2,"assigned_to_id":338,"start_date":"2017-09-02","description":"","custom_fields":[{"id":1,"name":"Subdivision","value":"Other"},{"id":4,"name":"Milepost","value":"2.3346"},{"id":17,"name":"Train ID","value":"305-02"},{"id":16,"name":"Locomotive ID","value":"4024"},{"id":130,"name":"Impact","value":""},{"id":150,"name":"Time of Event (Mountain Time)","value":"19:51:09"},{"id":151,"name":"Denver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2" t="str">
        <f t="shared" si="124"/>
        <v>start /low /b %USERPROFILE%\Documents\GitHub\eaglep3\Utilities\DownloadLogsFromS3.py --loco 4024 --day 2017-09-02</v>
      </c>
      <c r="AN197" s="151" t="str">
        <f t="shared" si="125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01:51:09"},{"id":29,"name":"Sharepoint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</row>
    <row r="198" spans="1:91" x14ac:dyDescent="0.25">
      <c r="A198" s="32" t="s">
        <v>773</v>
      </c>
      <c r="B198" s="7">
        <v>4052</v>
      </c>
      <c r="C198" s="21" t="s">
        <v>197</v>
      </c>
      <c r="D198" s="21" t="s">
        <v>369</v>
      </c>
      <c r="E198" s="13">
        <v>42981.046759259261</v>
      </c>
      <c r="F198" s="13">
        <v>42981.050451388888</v>
      </c>
      <c r="G198" s="7">
        <v>67</v>
      </c>
      <c r="H198" s="21" t="s">
        <v>946</v>
      </c>
      <c r="I198" s="13">
        <v>25568.708333333332</v>
      </c>
      <c r="J198" s="7">
        <v>0</v>
      </c>
      <c r="K198" s="89" t="str">
        <f t="shared" si="147"/>
        <v>4051/4052</v>
      </c>
      <c r="L198" s="214" t="str">
        <f>VLOOKUP(A198,'Trips&amp;Operators'!$C$1:$G$99911,5,FALSE)</f>
        <v>FORTUNATO FRANK</v>
      </c>
      <c r="M198" s="6">
        <f t="shared" si="148"/>
        <v>-17412.342118055556</v>
      </c>
      <c r="N198" s="7">
        <f t="shared" si="143"/>
        <v>-25073772.650000002</v>
      </c>
      <c r="O198" s="7"/>
      <c r="P198" s="7"/>
      <c r="Q198" s="22"/>
      <c r="R198" s="167"/>
      <c r="S198" s="210">
        <f t="shared" si="160"/>
        <v>1</v>
      </c>
      <c r="T198" s="192" t="str">
        <f t="shared" si="149"/>
        <v>NorthBound</v>
      </c>
      <c r="U198" s="192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3" t="str">
        <f t="shared" si="117"/>
        <v>https://d0f6bd738d7f1b3e5a7ca70fe4ff75f0.us-east-1.aws.found.io/app/kibana#/discover/Steve-Slow-Train-Analysis-(2080s-and-2083s)?_g=(refreshInterval:(display:Off,pause:!f,section:0,value:0),time:(from:'2017-09-03T00:07:20-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98" s="194" t="str">
        <f>IF(AA198&lt;VLOOKUP(AG198,Variables!$AC$3:$AD$8,2,FALSE),"Y","N")</f>
        <v>Y</v>
      </c>
      <c r="X198" s="194">
        <f t="shared" si="161"/>
        <v>2</v>
      </c>
      <c r="Y198" s="194">
        <f t="shared" si="157"/>
        <v>4.6399999999999997E-2</v>
      </c>
      <c r="Z198" s="194">
        <f t="shared" si="158"/>
        <v>2.3315999999999999</v>
      </c>
      <c r="AA198" s="194">
        <f t="shared" si="150"/>
        <v>2.2851999999999997</v>
      </c>
      <c r="AB198" s="54" t="e">
        <f>VLOOKUP(A198,Enforcements!$C$7:$K$11,8,0)</f>
        <v>#N/A</v>
      </c>
      <c r="AC198" s="51" t="e">
        <f>VLOOKUP(A198,Enforcements!$C$7:$E$11,3,0)</f>
        <v>#N/A</v>
      </c>
      <c r="AD198" s="203">
        <f t="shared" si="151"/>
        <v>307</v>
      </c>
      <c r="AE198" s="77" t="str">
        <f t="shared" si="118"/>
        <v>aws s3 cp s3://rtdc.mdm.uploadarchive.raw/RTDC4052/ "%USERPROFILE%\AppData\Local\Temp\OnboardLogs"\RTDC4052\2017-09-03 --exclude "*" --recursive --include "*20170903*" &amp; "%USERPROFILE%\Documents\GitHub\mrs-test-scripts\Headless Mode &amp; Sideloading\WalkAndUnGZ.bat" "%USERPROFILE%\AppData\Local\Temp\OnboardLogs"\RTDC4052\2017-09-03 &amp; aws s3 cp s3://rtdc.mdm.uploadarchive.raw/RTDC4052/ "%USERPROFILE%\AppData\Local\Temp\OnboardLogs"\RTDC4052\2017-09-04 --exclude "*" --recursive --include "*20170904*" &amp; "%USERPROFILE%\Documents\GitHub\mrs-test-scripts\Headless Mode &amp; Sideloading\WalkAndUnGZ.bat" "%USERPROFILE%\AppData\Local\Temp\OnboardLogs"\RTDC4052\2017-09-04</v>
      </c>
      <c r="AF198" s="74" t="str">
        <f t="shared" si="119"/>
        <v>"C:\Program Files (x86)\AstroGrep\AstroGrep.exe" /e /r /s /spath="%USERPROFILE%\AppData\Local\Temp\OnboardLogs" /stypes="app*4052*19691231*" /stext=" 23:.+((SYSTEM_STATE.+slice.+state.+changed )|(ment ac)|(multiple cpu faults)|(system.+state.+changed )|(\[timeout)|(PRM\|1\|D)|(kpr)|(kdp)|(train st.+moving)|(\|lc)|(penalty))"</v>
      </c>
      <c r="AG198" s="206" t="str">
        <f t="shared" si="152"/>
        <v>Other</v>
      </c>
      <c r="AH198" s="78" t="str">
        <f t="shared" si="122"/>
        <v>"%USERPROFILE%\Documents\GitHub\eaglep3\Utilities\RefineRTDCRunTimes.py" --tripid 307-02 --locoid 4052 --swversion DE.1.0.9.0 --startMP 204:464 --initTime 2017-09-03T01:07:20 --startdatetime 2017-09-03T01:12:39 --delay 67 --endMP 300:23316 --enddatetime 1969-12-31T17:00:00 --enforcementcount 0 &gt;&gt;C:\Users\stu\Documents\GitHub\eaglep3-reporting\EC\2017-09-02-refined-times.txt</v>
      </c>
      <c r="AI198" s="96" t="str">
        <f t="shared" si="123"/>
        <v>echo {"issue":{"subject":"","project_id":79,"tracker_id":40,"status_id":1,"priority_id":2,"assigned_to_id":338,"start_date":"1969-12-31","description":"","custom_fields":[{"id":1,"name":"Subdivision","value":"Other"},{"id":4,"name":"Milepost","value":"2.3316"},{"id":17,"name":"Train ID","value":"307-02"},{"id":16,"name":"Locomotive ID","value":"4052"},{"id":130,"name":"Impact","value":""},{"id":150,"name":"Time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2" t="str">
        <f t="shared" si="124"/>
        <v>start /low /b %USERPROFILE%\Documents\GitHub\eaglep3\Utilities\DownloadLogsFromS3.py --loco 4052 --day 2017-09-03</v>
      </c>
      <c r="AN198" s="151" t="str">
        <f t="shared" si="125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</row>
    <row r="199" spans="1:91" x14ac:dyDescent="0.25">
      <c r="A199" s="32" t="s">
        <v>776</v>
      </c>
      <c r="B199" s="7">
        <v>4032</v>
      </c>
      <c r="C199" s="21" t="s">
        <v>197</v>
      </c>
      <c r="D199" s="21" t="s">
        <v>354</v>
      </c>
      <c r="E199" s="13">
        <v>42981.077638888892</v>
      </c>
      <c r="F199" s="13">
        <v>42981.081562500003</v>
      </c>
      <c r="G199" s="7">
        <v>84</v>
      </c>
      <c r="H199" s="21" t="s">
        <v>456</v>
      </c>
      <c r="I199" s="13">
        <v>42981.110011574077</v>
      </c>
      <c r="J199" s="7">
        <v>0</v>
      </c>
      <c r="K199" s="89" t="str">
        <f t="shared" si="147"/>
        <v>4031/4032</v>
      </c>
      <c r="L199" s="214" t="str">
        <f>VLOOKUP(A199,'Trips&amp;Operators'!$C$1:$G$99911,5,FALSE)</f>
        <v>ANDERS STEVEN</v>
      </c>
      <c r="M199" s="6">
        <f t="shared" si="148"/>
        <v>2.8449074074160308E-2</v>
      </c>
      <c r="N199" s="7">
        <f t="shared" ref="N199:N219" si="162">24*60*SUM($M199:$M199)</f>
        <v>40.966666666790843</v>
      </c>
      <c r="O199" s="7"/>
      <c r="P199" s="7"/>
      <c r="Q199" s="22"/>
      <c r="R199" s="167"/>
      <c r="S199" s="210">
        <f t="shared" si="160"/>
        <v>1</v>
      </c>
      <c r="T199" s="192" t="str">
        <f t="shared" si="149"/>
        <v>NorthBound</v>
      </c>
      <c r="U199" s="192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3" t="str">
        <f t="shared" si="117"/>
        <v>https://d0f6bd738d7f1b3e5a7ca70fe4ff75f0.us-east-1.aws.found.io/app/kibana#/discover/Steve-Slow-Train-Analysis-(2080s-and-2083s)?_g=(refreshInterval:(display:Off,pause:!f,section:0,value:0),time:(from:'2017-09-03T00:51:48-0600',mode:absolute,to:'2017-09-03T03:38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9" s="194" t="str">
        <f>IF(AA199&lt;VLOOKUP(AG199,Variables!$AC$3:$AD$8,2,FALSE),"Y","N")</f>
        <v>Y</v>
      </c>
      <c r="X199" s="194">
        <f t="shared" si="161"/>
        <v>2</v>
      </c>
      <c r="Y199" s="194">
        <f t="shared" si="157"/>
        <v>4.5499999999999999E-2</v>
      </c>
      <c r="Z199" s="194">
        <f t="shared" si="158"/>
        <v>2.3300999999999998</v>
      </c>
      <c r="AA199" s="194">
        <f t="shared" si="150"/>
        <v>2.2845999999999997</v>
      </c>
      <c r="AB199" s="54" t="e">
        <f>VLOOKUP(A199,Enforcements!$C$7:$K$11,8,0)</f>
        <v>#N/A</v>
      </c>
      <c r="AC199" s="51" t="e">
        <f>VLOOKUP(A199,Enforcements!$C$7:$E$11,3,0)</f>
        <v>#N/A</v>
      </c>
      <c r="AD199" s="203">
        <f t="shared" si="151"/>
        <v>309</v>
      </c>
      <c r="AE199" s="77" t="str">
        <f t="shared" si="118"/>
        <v>aws s3 cp s3://rtdc.mdm.uploadarchive.raw/RTDC4032/ "%USERPROFILE%\AppData\Local\Temp\OnboardLogs"\RTDC4032\2017-09-03 --exclude "*" --recursive --include "*20170903*" &amp; "%USERPROFILE%\Documents\GitHub\mrs-test-scripts\Headless Mode &amp; Sideloading\WalkAndUnGZ.bat" "%USERPROFILE%\AppData\Local\Temp\OnboardLogs"\RTDC4032\2017-09-03 &amp; aws s3 cp s3://rtdc.mdm.uploadarchive.raw/RTDC4032/ "%USERPROFILE%\AppData\Local\Temp\OnboardLogs"\RTDC4032\2017-09-04 --exclude "*" --recursive --include "*20170904*" &amp; "%USERPROFILE%\Documents\GitHub\mrs-test-scripts\Headless Mode &amp; Sideloading\WalkAndUnGZ.bat" "%USERPROFILE%\AppData\Local\Temp\OnboardLogs"\RTDC4032\2017-09-04</v>
      </c>
      <c r="AF199" s="74" t="str">
        <f t="shared" si="119"/>
        <v>"C:\Program Files (x86)\AstroGrep\AstroGrep.exe" /e /r /s /spath="%USERPROFILE%\AppData\Local\Temp\OnboardLogs" /stypes="app*4032*20170903*" /stext=" 08:.+((SYSTEM_STATE.+slice.+state.+changed )|(ment ac)|(multiple cpu faults)|(system.+state.+changed )|(\[timeout)|(PRM\|1\|D)|(kpr)|(kdp)|(train st.+moving)|(\|lc)|(penalty))"</v>
      </c>
      <c r="AG199" s="206" t="str">
        <f t="shared" si="152"/>
        <v>Other</v>
      </c>
      <c r="AH199" s="78" t="str">
        <f t="shared" si="122"/>
        <v>"%USERPROFILE%\Documents\GitHub\eaglep3\Utilities\RefineRTDCRunTimes.py" --tripid 309-02 --locoid 4032 --swversion DE.1.0.9.0 --startMP 204:455 --initTime 2017-09-03T01:51:48 --startdatetime 2017-09-03T01:57:27 --delay 84 --endMP 300:23301 --enddatetime 2017-09-03T02:38:25 --enforcementcount 0 &gt;&gt;C:\Users\stu\Documents\GitHub\eaglep3-reporting\EC\2017-09-02-refined-times.txt</v>
      </c>
      <c r="AI199" s="96" t="str">
        <f t="shared" si="123"/>
        <v>echo {"issue":{"subject":"","project_id":79,"tracker_id":40,"status_id":1,"priority_id":2,"assigned_to_id":338,"start_date":"2017-09-03","description":"","custom_fields":[{"id":1,"name":"Subdivision","value":"Other"},{"id":4,"name":"Milepost","value":"2.3301"},{"id":17,"name":"Train ID","value":"309-02"},{"id":16,"name":"Locomotive ID","value":"4032"},{"id":130,"name":"Impact","value":""},{"id":150,"name":"Time of Event (Mountain Time)","value":"02:38:25"},{"id":151,"name":"Denver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2" t="str">
        <f t="shared" si="124"/>
        <v>start /low /b %USERPROFILE%\Documents\GitHub\eaglep3\Utilities\DownloadLogsFromS3.py --loco 4032 --day 2017-09-03</v>
      </c>
      <c r="AN199" s="151" t="str">
        <f t="shared" si="125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08:38:25"},{"id":29,"name":"Sharepoint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</row>
    <row r="200" spans="1:91" x14ac:dyDescent="0.25">
      <c r="A200" s="32" t="s">
        <v>604</v>
      </c>
      <c r="B200" s="7">
        <v>4041</v>
      </c>
      <c r="C200" s="21" t="s">
        <v>197</v>
      </c>
      <c r="D200" s="21" t="s">
        <v>892</v>
      </c>
      <c r="E200" s="13">
        <v>42980.200185185182</v>
      </c>
      <c r="F200" s="13">
        <v>42980.202789351853</v>
      </c>
      <c r="G200" s="7">
        <v>91</v>
      </c>
      <c r="H200" s="21" t="s">
        <v>430</v>
      </c>
      <c r="I200" s="13">
        <v>42980.208495370367</v>
      </c>
      <c r="J200" s="7">
        <v>0</v>
      </c>
      <c r="K200" s="89" t="str">
        <f t="shared" si="147"/>
        <v>4041/4042</v>
      </c>
      <c r="L200" s="214" t="str">
        <f>VLOOKUP(A200,'Trips&amp;Operators'!$C$1:$G$99911,5,FALSE)</f>
        <v>MACDONALD THOMAS</v>
      </c>
      <c r="M200" s="6">
        <f t="shared" si="148"/>
        <v>5.7060185135924257E-3</v>
      </c>
      <c r="N200" s="7">
        <f t="shared" si="162"/>
        <v>8.2166666595730931</v>
      </c>
      <c r="O200" s="7"/>
      <c r="P200" s="7"/>
      <c r="Q200" s="22"/>
      <c r="R200" s="167"/>
      <c r="S200" s="210">
        <f t="shared" si="160"/>
        <v>1</v>
      </c>
      <c r="T200" s="192" t="str">
        <f t="shared" si="149"/>
        <v>Southbound</v>
      </c>
      <c r="U200" s="192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3" t="str">
        <f t="shared" si="117"/>
        <v>https://d0f6bd738d7f1b3e5a7ca70fe4ff75f0.us-east-1.aws.found.io/app/kibana#/discover/Steve-Slow-Train-Analysis-(2080s-and-2083s)?_g=(refreshInterval:(display:Off,pause:!f,section:0,value:0),time:(from:'2017-09-02T03:48:16-0600',mode:absolute,to:'2017-09-02T06:00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00" s="194" t="str">
        <f>IF(AA200&lt;VLOOKUP(AG200,Variables!$AC$3:$AD$8,2,FALSE),"Y","N")</f>
        <v>Y</v>
      </c>
      <c r="X200" s="194">
        <f t="shared" si="161"/>
        <v>1</v>
      </c>
      <c r="Y200" s="194">
        <f t="shared" si="157"/>
        <v>2.3513999999999999</v>
      </c>
      <c r="Z200" s="194">
        <f t="shared" si="158"/>
        <v>1.67E-2</v>
      </c>
      <c r="AA200" s="194">
        <f t="shared" si="150"/>
        <v>2.3346999999999998</v>
      </c>
      <c r="AB200" s="54" t="e">
        <f>VLOOKUP(A200,Enforcements!$C$7:$K$11,8,0)</f>
        <v>#N/A</v>
      </c>
      <c r="AC200" s="51" t="e">
        <f>VLOOKUP(A200,Enforcements!$C$7:$E$11,3,0)</f>
        <v>#N/A</v>
      </c>
      <c r="AD200" s="203">
        <f t="shared" si="151"/>
        <v>310</v>
      </c>
      <c r="AE200" s="77" t="str">
        <f t="shared" si="118"/>
        <v>aws s3 cp s3://rtdc.mdm.uploadarchive.raw/RTDC4041/ "%USERPROFILE%\AppData\Local\Temp\OnboardLogs"\RTDC4041\2017-09-02 --exclude "*" --recursive --include "*20170902*" &amp; "%USERPROFILE%\Documents\GitHub\mrs-test-scripts\Headless Mode &amp; Sideloading\WalkAndUnGZ.bat" "%USERPROFILE%\AppData\Local\Temp\OnboardLogs"\RTDC4041\2017-09-02 &amp; aws s3 cp s3://rtdc.mdm.uploadarchive.raw/RTDC4041/ "%USERPROFILE%\AppData\Local\Temp\OnboardLogs"\RTDC4041\2017-09-03 --exclude "*" --recursive --include "*20170903*" &amp; "%USERPROFILE%\Documents\GitHub\mrs-test-scripts\Headless Mode &amp; Sideloading\WalkAndUnGZ.bat" "%USERPROFILE%\AppData\Local\Temp\OnboardLogs"\RTDC4041\2017-09-03</v>
      </c>
      <c r="AF200" s="74" t="str">
        <f t="shared" si="119"/>
        <v>"C:\Program Files (x86)\AstroGrep\AstroGrep.exe" /e /r /s /spath="%USERPROFILE%\AppData\Local\Temp\OnboardLogs" /stypes="app*4041*20170902*" /stext=" 11:.+((SYSTEM_STATE.+slice.+state.+changed )|(ment ac)|(multiple cpu faults)|(system.+state.+changed )|(\[timeout)|(PRM\|1\|D)|(kpr)|(kdp)|(train st.+moving)|(\|lc)|(penalty))"</v>
      </c>
      <c r="AG200" s="206" t="str">
        <f t="shared" si="152"/>
        <v>Other</v>
      </c>
      <c r="AH200" s="78" t="str">
        <f t="shared" si="122"/>
        <v>"%USERPROFILE%\Documents\GitHub\eaglep3\Utilities\RefineRTDCRunTimes.py" --tripid 310-02 --locoid 4041 --swversion DE.1.0.9.0 --startMP 300:23514 --initTime 2017-09-02T04:48:16 --startdatetime 2017-09-02T04:52:01 --delay 91 --endMP 204:167 --enddatetime 2017-09-02T05:00:14 --enforcementcount 0 &gt;&gt;C:\Users\stu\Documents\GitHub\eaglep3-reporting\EC\2017-09-02-refined-times.txt</v>
      </c>
      <c r="AI200" s="96" t="str">
        <f t="shared" si="123"/>
        <v>echo {"issue":{"subject":"","project_id":79,"tracker_id":40,"status_id":1,"priority_id":2,"assigned_to_id":338,"start_date":"2017-09-02","description":"","custom_fields":[{"id":1,"name":"Subdivision","value":"Other"},{"id":4,"name":"Milepost","value":"0.0167"},{"id":17,"name":"Train ID","value":"310-02"},{"id":16,"name":"Locomotive ID","value":"4041"},{"id":130,"name":"Impact","value":""},{"id":150,"name":"Time of Event (Mountain Time)","value":"05:00:14"},{"id":151,"name":"Denver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2" t="str">
        <f t="shared" si="124"/>
        <v>start /low /b %USERPROFILE%\Documents\GitHub\eaglep3\Utilities\DownloadLogsFromS3.py --loco 4041 --day 2017-09-02</v>
      </c>
      <c r="AN200" s="151" t="str">
        <f t="shared" si="125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11:00:14"},{"id":29,"name":"Sharepoint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</row>
    <row r="201" spans="1:91" x14ac:dyDescent="0.25">
      <c r="A201" s="32" t="s">
        <v>777</v>
      </c>
      <c r="B201" s="7">
        <v>4028</v>
      </c>
      <c r="C201" s="21" t="s">
        <v>197</v>
      </c>
      <c r="D201" s="21" t="s">
        <v>454</v>
      </c>
      <c r="E201" s="13">
        <v>42981.089456018519</v>
      </c>
      <c r="F201" s="13">
        <v>42981.091006944444</v>
      </c>
      <c r="G201" s="7">
        <v>66</v>
      </c>
      <c r="H201" s="21" t="s">
        <v>456</v>
      </c>
      <c r="I201" s="13">
        <v>42981.098796296297</v>
      </c>
      <c r="J201" s="7">
        <v>0</v>
      </c>
      <c r="K201" s="89" t="str">
        <f t="shared" si="147"/>
        <v>4027/4028</v>
      </c>
      <c r="L201" s="214" t="str">
        <f>VLOOKUP(A201,'Trips&amp;Operators'!$C$1:$G$99911,5,FALSE)</f>
        <v>PERKINS DARREN</v>
      </c>
      <c r="M201" s="6">
        <f t="shared" si="148"/>
        <v>7.7893518537166528E-3</v>
      </c>
      <c r="N201" s="7">
        <f t="shared" si="162"/>
        <v>11.21666666935198</v>
      </c>
      <c r="O201" s="7"/>
      <c r="P201" s="7"/>
      <c r="Q201" s="22"/>
      <c r="R201" s="167"/>
      <c r="S201" s="210">
        <f t="shared" si="160"/>
        <v>1</v>
      </c>
      <c r="T201" s="192" t="str">
        <f t="shared" si="149"/>
        <v>NorthBound</v>
      </c>
      <c r="U201" s="192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3" t="str">
        <f t="shared" si="117"/>
        <v>https://d0f6bd738d7f1b3e5a7ca70fe4ff75f0.us-east-1.aws.found.io/app/kibana#/discover/Steve-Slow-Train-Analysis-(2080s-and-2083s)?_g=(refreshInterval:(display:Off,pause:!f,section:0,value:0),time:(from:'2017-09-03T01:08:49-0600',mode:absolute,to:'2017-09-03T03:22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01" s="194" t="str">
        <f>IF(AA201&lt;VLOOKUP(AG201,Variables!$AC$3:$AD$8,2,FALSE),"Y","N")</f>
        <v>Y</v>
      </c>
      <c r="X201" s="194">
        <f t="shared" si="161"/>
        <v>1</v>
      </c>
      <c r="Y201" s="194">
        <f t="shared" si="157"/>
        <v>4.3999999999999997E-2</v>
      </c>
      <c r="Z201" s="194">
        <f t="shared" si="158"/>
        <v>2.3300999999999998</v>
      </c>
      <c r="AA201" s="194">
        <f t="shared" si="150"/>
        <v>2.2860999999999998</v>
      </c>
      <c r="AB201" s="54" t="e">
        <f>VLOOKUP(A201,Enforcements!$C$7:$K$11,8,0)</f>
        <v>#N/A</v>
      </c>
      <c r="AC201" s="51" t="e">
        <f>VLOOKUP(A201,Enforcements!$C$7:$E$11,3,0)</f>
        <v>#N/A</v>
      </c>
      <c r="AD201" s="203">
        <f t="shared" si="151"/>
        <v>311</v>
      </c>
      <c r="AE201" s="77" t="str">
        <f t="shared" si="118"/>
        <v>aws s3 cp s3://rtdc.mdm.uploadarchive.raw/RTDC4028/ "%USERPROFILE%\AppData\Local\Temp\OnboardLogs"\RTDC4028\2017-09-03 --exclude "*" --recursive --include "*20170903*" &amp; "%USERPROFILE%\Documents\GitHub\mrs-test-scripts\Headless Mode &amp; Sideloading\WalkAndUnGZ.bat" "%USERPROFILE%\AppData\Local\Temp\OnboardLogs"\RTDC4028\2017-09-03 &amp; aws s3 cp s3://rtdc.mdm.uploadarchive.raw/RTDC4028/ "%USERPROFILE%\AppData\Local\Temp\OnboardLogs"\RTDC4028\2017-09-04 --exclude "*" --recursive --include "*20170904*" &amp; "%USERPROFILE%\Documents\GitHub\mrs-test-scripts\Headless Mode &amp; Sideloading\WalkAndUnGZ.bat" "%USERPROFILE%\AppData\Local\Temp\OnboardLogs"\RTDC4028\2017-09-04</v>
      </c>
      <c r="AF201" s="74" t="str">
        <f t="shared" si="119"/>
        <v>"C:\Program Files (x86)\AstroGrep\AstroGrep.exe" /e /r /s /spath="%USERPROFILE%\AppData\Local\Temp\OnboardLogs" /stypes="app*4028*20170903*" /stext=" 08:.+((SYSTEM_STATE.+slice.+state.+changed )|(ment ac)|(multiple cpu faults)|(system.+state.+changed )|(\[timeout)|(PRM\|1\|D)|(kpr)|(kdp)|(train st.+moving)|(\|lc)|(penalty))"</v>
      </c>
      <c r="AG201" s="206" t="str">
        <f t="shared" si="152"/>
        <v>Other</v>
      </c>
      <c r="AH201" s="78" t="str">
        <f t="shared" si="122"/>
        <v>"%USERPROFILE%\Documents\GitHub\eaglep3\Utilities\RefineRTDCRunTimes.py" --tripid 311-02 --locoid 4028 --swversion DE.1.0.9.0 --startMP 204:440 --initTime 2017-09-03T02:08:49 --startdatetime 2017-09-03T02:11:03 --delay 66 --endMP 300:23301 --enddatetime 2017-09-03T02:22:16 --enforcementcount 0 &gt;&gt;C:\Users\stu\Documents\GitHub\eaglep3-reporting\EC\2017-09-02-refined-times.txt</v>
      </c>
      <c r="AI201" s="96" t="str">
        <f t="shared" si="123"/>
        <v>echo {"issue":{"subject":"","project_id":79,"tracker_id":40,"status_id":1,"priority_id":2,"assigned_to_id":338,"start_date":"2017-09-03","description":"","custom_fields":[{"id":1,"name":"Subdivision","value":"Other"},{"id":4,"name":"Milepost","value":"2.3301"},{"id":17,"name":"Train ID","value":"311-02"},{"id":16,"name":"Locomotive ID","value":"4028"},{"id":130,"name":"Impact","value":""},{"id":150,"name":"Time of Event (Mountain Time)","value":"02:22:16"},{"id":151,"name":"Denver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2" t="str">
        <f t="shared" si="124"/>
        <v>start /low /b %USERPROFILE%\Documents\GitHub\eaglep3\Utilities\DownloadLogsFromS3.py --loco 4028 --day 2017-09-03</v>
      </c>
      <c r="AN201" s="151" t="str">
        <f t="shared" si="125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08:22:16"},{"id":29,"name":"Sharepoint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</row>
    <row r="202" spans="1:91" x14ac:dyDescent="0.25">
      <c r="A202" s="32" t="s">
        <v>613</v>
      </c>
      <c r="B202" s="7">
        <v>4051</v>
      </c>
      <c r="C202" s="21" t="s">
        <v>197</v>
      </c>
      <c r="D202" s="21" t="s">
        <v>893</v>
      </c>
      <c r="E202" s="13">
        <v>42980.224328703705</v>
      </c>
      <c r="F202" s="13">
        <v>42980.227442129632</v>
      </c>
      <c r="G202" s="7">
        <v>81</v>
      </c>
      <c r="H202" s="21" t="s">
        <v>400</v>
      </c>
      <c r="I202" s="13">
        <v>42980.233576388891</v>
      </c>
      <c r="J202" s="7">
        <v>0</v>
      </c>
      <c r="K202" s="89" t="str">
        <f t="shared" si="147"/>
        <v>4051/4052</v>
      </c>
      <c r="L202" s="214" t="str">
        <f>VLOOKUP(A202,'Trips&amp;Operators'!$C$1:$G$99911,5,FALSE)</f>
        <v>WILLIAMS DONTE</v>
      </c>
      <c r="M202" s="6">
        <f t="shared" si="148"/>
        <v>6.1342592598521151E-3</v>
      </c>
      <c r="N202" s="7">
        <f t="shared" si="162"/>
        <v>8.8333333341870457</v>
      </c>
      <c r="O202" s="7"/>
      <c r="P202" s="7"/>
      <c r="Q202" s="22"/>
      <c r="R202" s="167"/>
      <c r="S202" s="210">
        <f t="shared" si="160"/>
        <v>1</v>
      </c>
      <c r="T202" s="192" t="str">
        <f t="shared" si="149"/>
        <v>Southbound</v>
      </c>
      <c r="U202" s="192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3" t="str">
        <f t="shared" si="117"/>
        <v>https://d0f6bd738d7f1b3e5a7ca70fe4ff75f0.us-east-1.aws.found.io/app/kibana#/discover/Steve-Slow-Train-Analysis-(2080s-and-2083s)?_g=(refreshInterval:(display:Off,pause:!f,section:0,value:0),time:(from:'2017-09-02T04:23:02-0600',mode:absolute,to:'2017-09-02T06:36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02" s="194" t="str">
        <f>IF(AA202&lt;VLOOKUP(AG202,Variables!$AC$3:$AD$8,2,FALSE),"Y","N")</f>
        <v>Y</v>
      </c>
      <c r="X202" s="194">
        <f t="shared" si="161"/>
        <v>1</v>
      </c>
      <c r="Y202" s="194">
        <f t="shared" si="157"/>
        <v>2.3818999999999999</v>
      </c>
      <c r="Z202" s="194">
        <f t="shared" si="158"/>
        <v>1.61E-2</v>
      </c>
      <c r="AA202" s="194">
        <f t="shared" si="150"/>
        <v>2.3658000000000001</v>
      </c>
      <c r="AB202" s="54" t="e">
        <f>VLOOKUP(A202,Enforcements!$C$7:$K$11,8,0)</f>
        <v>#N/A</v>
      </c>
      <c r="AC202" s="51" t="e">
        <f>VLOOKUP(A202,Enforcements!$C$7:$E$11,3,0)</f>
        <v>#N/A</v>
      </c>
      <c r="AD202" s="203">
        <f t="shared" si="151"/>
        <v>312</v>
      </c>
      <c r="AE202" s="77" t="str">
        <f t="shared" si="118"/>
        <v>aws s3 cp s3://rtdc.mdm.uploadarchive.raw/RTDC4051/ "%USERPROFILE%\AppData\Local\Temp\OnboardLogs"\RTDC4051\2017-09-02 --exclude "*" --recursive --include "*20170902*" &amp; "%USERPROFILE%\Documents\GitHub\mrs-test-scripts\Headless Mode &amp; Sideloading\WalkAndUnGZ.bat" "%USERPROFILE%\AppData\Local\Temp\OnboardLogs"\RTDC4051\2017-09-02 &amp; aws s3 cp s3://rtdc.mdm.uploadarchive.raw/RTDC4051/ "%USERPROFILE%\AppData\Local\Temp\OnboardLogs"\RTDC4051\2017-09-03 --exclude "*" --recursive --include "*20170903*" &amp; "%USERPROFILE%\Documents\GitHub\mrs-test-scripts\Headless Mode &amp; Sideloading\WalkAndUnGZ.bat" "%USERPROFILE%\AppData\Local\Temp\OnboardLogs"\RTDC4051\2017-09-03</v>
      </c>
      <c r="AF202" s="74" t="str">
        <f t="shared" si="119"/>
        <v>"C:\Program Files (x86)\AstroGrep\AstroGrep.exe" /e /r /s /spath="%USERPROFILE%\AppData\Local\Temp\OnboardLogs" /stypes="app*4051*20170902*" /stext=" 11:.+((SYSTEM_STATE.+slice.+state.+changed )|(ment ac)|(multiple cpu faults)|(system.+state.+changed )|(\[timeout)|(PRM\|1\|D)|(kpr)|(kdp)|(train st.+moving)|(\|lc)|(penalty))"</v>
      </c>
      <c r="AG202" s="206" t="str">
        <f t="shared" si="152"/>
        <v>Other</v>
      </c>
      <c r="AH202" s="78" t="str">
        <f t="shared" si="122"/>
        <v>"%USERPROFILE%\Documents\GitHub\eaglep3\Utilities\RefineRTDCRunTimes.py" --tripid 312-02 --locoid 4051 --swversion DE.1.0.9.0 --startMP 300:23819 --initTime 2017-09-02T05:23:02 --startdatetime 2017-09-02T05:27:31 --delay 81 --endMP 204:161 --enddatetime 2017-09-02T05:36:21 --enforcementcount 0 &gt;&gt;C:\Users\stu\Documents\GitHub\eaglep3-reporting\EC\2017-09-02-refined-times.txt</v>
      </c>
      <c r="AI202" s="96" t="str">
        <f t="shared" si="123"/>
        <v>echo {"issue":{"subject":"","project_id":79,"tracker_id":40,"status_id":1,"priority_id":2,"assigned_to_id":338,"start_date":"2017-09-02","description":"","custom_fields":[{"id":1,"name":"Subdivision","value":"Other"},{"id":4,"name":"Milepost","value":"0.0161"},{"id":17,"name":"Train ID","value":"312-02"},{"id":16,"name":"Locomotive ID","value":"4051"},{"id":130,"name":"Impact","value":""},{"id":150,"name":"Time of Event (Mountain Time)","value":"05:36:21"},{"id":151,"name":"Denver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2" t="str">
        <f t="shared" si="124"/>
        <v>start /low /b %USERPROFILE%\Documents\GitHub\eaglep3\Utilities\DownloadLogsFromS3.py --loco 4051 --day 2017-09-02</v>
      </c>
      <c r="AN202" s="151" t="str">
        <f t="shared" si="125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11:36:21"},{"id":29,"name":"Sharepoint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</row>
    <row r="203" spans="1:91" s="20" customFormat="1" x14ac:dyDescent="0.25">
      <c r="A203" s="32" t="s">
        <v>610</v>
      </c>
      <c r="B203" s="7">
        <v>4030</v>
      </c>
      <c r="C203" s="21" t="s">
        <v>197</v>
      </c>
      <c r="D203" s="21" t="s">
        <v>874</v>
      </c>
      <c r="E203" s="13">
        <v>42980.218935185185</v>
      </c>
      <c r="F203" s="13">
        <v>42980.225127314814</v>
      </c>
      <c r="G203" s="7">
        <v>124</v>
      </c>
      <c r="H203" s="21" t="s">
        <v>875</v>
      </c>
      <c r="I203" s="13">
        <v>42980.231122685182</v>
      </c>
      <c r="J203" s="7">
        <v>0</v>
      </c>
      <c r="K203" s="89" t="str">
        <f t="shared" si="147"/>
        <v>4029/4030</v>
      </c>
      <c r="L203" s="214" t="str">
        <f>VLOOKUP(A203,'Trips&amp;Operators'!$C$1:$G$99911,5,FALSE)</f>
        <v>LAMAR NEKESHA</v>
      </c>
      <c r="M203" s="6">
        <f t="shared" si="148"/>
        <v>5.9953703676001169E-3</v>
      </c>
      <c r="N203" s="7">
        <f t="shared" si="162"/>
        <v>8.6333333293441683</v>
      </c>
      <c r="O203" s="7"/>
      <c r="P203" s="7"/>
      <c r="Q203" s="22"/>
      <c r="R203" s="167"/>
      <c r="S203" s="210">
        <f t="shared" si="160"/>
        <v>0</v>
      </c>
      <c r="T203" s="192" t="str">
        <f t="shared" si="149"/>
        <v>NorthBound</v>
      </c>
      <c r="U203" s="192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0</v>
      </c>
      <c r="V203" s="193" t="str">
        <f t="shared" si="117"/>
        <v>https://d0f6bd738d7f1b3e5a7ca70fe4ff75f0.us-east-1.aws.found.io/app/kibana#/discover/Steve-Slow-Train-Analysis-(2080s-and-2083s)?_g=(refreshInterval:(display:Off,pause:!f,section:0,value:0),time:(from:'2017-09-02T04:15:16-0600',mode:absolute,to:'2017-09-02T06:32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3" s="194" t="str">
        <f>IF(AA203&lt;VLOOKUP(AG203,Variables!$AC$3:$AD$8,2,FALSE),"Y","N")</f>
        <v>Y</v>
      </c>
      <c r="X203" s="194">
        <f t="shared" si="161"/>
        <v>1589</v>
      </c>
      <c r="Y203" s="194">
        <f t="shared" si="157"/>
        <v>2.9765000000000001</v>
      </c>
      <c r="Z203" s="194">
        <f t="shared" si="158"/>
        <v>5.8983999999999996</v>
      </c>
      <c r="AA203" s="194">
        <f t="shared" si="150"/>
        <v>2.9218999999999995</v>
      </c>
      <c r="AB203" s="54" t="e">
        <f>VLOOKUP(A203,Enforcements!$C$7:$K$11,8,0)</f>
        <v>#N/A</v>
      </c>
      <c r="AC203" s="51" t="e">
        <f>VLOOKUP(A203,Enforcements!$C$7:$E$11,3,0)</f>
        <v>#N/A</v>
      </c>
      <c r="AD203" s="203">
        <f t="shared" si="151"/>
        <v>1901</v>
      </c>
      <c r="AE203" s="77" t="str">
        <f t="shared" si="118"/>
        <v>aws s3 cp s3://rtdc.mdm.uploadarchive.raw/RTDC4030/ "%USERPROFILE%\AppData\Local\Temp\OnboardLogs"\RTDC4030\2017-09-02 --exclude "*" --recursive --include "*20170902*" &amp; "%USERPROFILE%\Documents\GitHub\mrs-test-scripts\Headless Mode &amp; Sideloading\WalkAndUnGZ.bat" "%USERPROFILE%\AppData\Local\Temp\OnboardLogs"\RTDC4030\2017-09-02 &amp; aws s3 cp s3://rtdc.mdm.uploadarchive.raw/RTDC4030/ "%USERPROFILE%\AppData\Local\Temp\OnboardLogs"\RTDC4030\2017-09-03 --exclude "*" --recursive --include "*20170903*" &amp; "%USERPROFILE%\Documents\GitHub\mrs-test-scripts\Headless Mode &amp; Sideloading\WalkAndUnGZ.bat" "%USERPROFILE%\AppData\Local\Temp\OnboardLogs"\RTDC4030\2017-09-03</v>
      </c>
      <c r="AF203" s="74" t="str">
        <f t="shared" si="119"/>
        <v>"C:\Program Files (x86)\AstroGrep\AstroGrep.exe" /e /r /s /spath="%USERPROFILE%\AppData\Local\Temp\OnboardLogs" /stypes="app*4030*20170902*" /stext=" 11:.+((SYSTEM_STATE.+slice.+state.+changed )|(ment ac)|(multiple cpu faults)|(system.+state.+changed )|(\[timeout)|(PRM\|1\|D)|(kpr)|(kdp)|(train st.+moving)|(\|lc)|(penalty))"</v>
      </c>
      <c r="AG203" s="206" t="str">
        <f t="shared" si="152"/>
        <v>Other</v>
      </c>
      <c r="AH203" s="78" t="str">
        <f t="shared" si="122"/>
        <v>"%USERPROFILE%\Documents\GitHub\eaglep3\Utilities\RefineRTDCRunTimes.py" --tripid 1901-02 --locoid 4030 --swversion DE.1.0.9.0 --startMP 300:29765 --initTime 2017-09-02T05:15:16 --startdatetime 2017-09-02T05:24:11 --delay 124 --endMP 300:58984 --enddatetime 2017-09-02T05:32:49 --enforcementcount 0 &gt;&gt;C:\Users\stu\Documents\GitHub\eaglep3-reporting\EC\2017-09-02-refined-times.txt</v>
      </c>
      <c r="AI203" s="96" t="str">
        <f t="shared" si="123"/>
        <v>echo {"issue":{"subject":"","project_id":79,"tracker_id":40,"status_id":1,"priority_id":2,"assigned_to_id":338,"start_date":"2017-09-02","description":"","custom_fields":[{"id":1,"name":"Subdivision","value":"Other"},{"id":4,"name":"Milepost","value":"5.8984"},{"id":17,"name":"Train ID","value":"1901-02"},{"id":16,"name":"Locomotive ID","value":"4030"},{"id":130,"name":"Impact","value":""},{"id":150,"name":"Time of Event (Mountain Time)","value":"05:32:49"},{"id":151,"name":"Denver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3" s="47"/>
      <c r="AL203" s="47"/>
      <c r="AM203" s="142" t="str">
        <f t="shared" si="124"/>
        <v>start /low /b %USERPROFILE%\Documents\GitHub\eaglep3\Utilities\DownloadLogsFromS3.py --loco 4030 --day 2017-09-02</v>
      </c>
      <c r="AN203" s="151" t="str">
        <f t="shared" si="125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11:32:49"},{"id":29,"name":"Sharepoint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25">
      <c r="A204" s="32" t="s">
        <v>766</v>
      </c>
      <c r="B204" s="7">
        <v>4013</v>
      </c>
      <c r="C204" s="21" t="s">
        <v>197</v>
      </c>
      <c r="D204" s="21" t="s">
        <v>459</v>
      </c>
      <c r="E204" s="13">
        <v>42980.976226851853</v>
      </c>
      <c r="F204" s="13">
        <v>42980.979837962965</v>
      </c>
      <c r="G204" s="7">
        <v>223</v>
      </c>
      <c r="H204" s="21" t="s">
        <v>876</v>
      </c>
      <c r="I204" s="13">
        <v>42980.991006944445</v>
      </c>
      <c r="J204" s="7">
        <v>0</v>
      </c>
      <c r="K204" s="89" t="str">
        <f t="shared" si="147"/>
        <v>4013/4014</v>
      </c>
      <c r="L204" s="214" t="str">
        <f>VLOOKUP(A204,'Trips&amp;Operators'!$C$1:$G$99911,5,FALSE)</f>
        <v>SMITH MICHAEL</v>
      </c>
      <c r="M204" s="6">
        <f t="shared" si="148"/>
        <v>1.116898148029577E-2</v>
      </c>
      <c r="N204" s="7">
        <f t="shared" si="162"/>
        <v>16.083333331625909</v>
      </c>
      <c r="O204" s="7"/>
      <c r="P204" s="7"/>
      <c r="Q204" s="22"/>
      <c r="R204" s="167"/>
      <c r="S204" s="210">
        <f t="shared" si="160"/>
        <v>0</v>
      </c>
      <c r="T204" s="192" t="str">
        <f t="shared" si="149"/>
        <v>Southbound</v>
      </c>
      <c r="U204" s="192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0</v>
      </c>
      <c r="V204" s="193" t="str">
        <f t="shared" si="117"/>
        <v>https://d0f6bd738d7f1b3e5a7ca70fe4ff75f0.us-east-1.aws.found.io/app/kibana#/discover/Steve-Slow-Train-Analysis-(2080s-and-2083s)?_g=(refreshInterval:(display:Off,pause:!f,section:0,value:0),time:(from:'2017-09-02T22:25:46-0600',mode:absolute,to:'2017-09-03T00:47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04" s="194" t="str">
        <f>IF(AA204&lt;VLOOKUP(AG204,Variables!$AC$3:$AD$8,2,FALSE),"Y","N")</f>
        <v>Y</v>
      </c>
      <c r="X204" s="194">
        <f t="shared" si="161"/>
        <v>1</v>
      </c>
      <c r="Y204" s="194">
        <f t="shared" si="157"/>
        <v>5.8628</v>
      </c>
      <c r="Z204" s="194">
        <f t="shared" si="158"/>
        <v>2.8788</v>
      </c>
      <c r="AA204" s="194">
        <f t="shared" si="150"/>
        <v>2.984</v>
      </c>
      <c r="AB204" s="54" t="e">
        <f>VLOOKUP(A204,Enforcements!$C$7:$K$11,8,0)</f>
        <v>#N/A</v>
      </c>
      <c r="AC204" s="51" t="e">
        <f>VLOOKUP(A204,Enforcements!$C$7:$E$11,3,0)</f>
        <v>#N/A</v>
      </c>
      <c r="AD204" s="203">
        <f t="shared" si="151"/>
        <v>1902</v>
      </c>
      <c r="AE204" s="77" t="str">
        <f t="shared" si="118"/>
        <v>aws s3 cp s3://rtdc.mdm.uploadarchive.raw/RTDC4013/ "%USERPROFILE%\AppData\Local\Temp\OnboardLogs"\RTDC4013\2017-09-02 --exclude "*" --recursive --include "*20170902*" &amp; "%USERPROFILE%\Documents\GitHub\mrs-test-scripts\Headless Mode &amp; Sideloading\WalkAndUnGZ.bat" "%USERPROFILE%\AppData\Local\Temp\OnboardLogs"\RTDC4013\2017-09-02 &amp; aws s3 cp s3://rtdc.mdm.uploadarchive.raw/RTDC4013/ "%USERPROFILE%\AppData\Local\Temp\OnboardLogs"\RTDC4013\2017-09-03 --exclude "*" --recursive --include "*20170903*" &amp; "%USERPROFILE%\Documents\GitHub\mrs-test-scripts\Headless Mode &amp; Sideloading\WalkAndUnGZ.bat" "%USERPROFILE%\AppData\Local\Temp\OnboardLogs"\RTDC4013\2017-09-03</v>
      </c>
      <c r="AF204" s="74" t="str">
        <f t="shared" si="119"/>
        <v>"C:\Program Files (x86)\AstroGrep\AstroGrep.exe" /e /r /s /spath="%USERPROFILE%\AppData\Local\Temp\OnboardLogs" /stypes="app*4013*20170903*" /stext=" 05:.+((SYSTEM_STATE.+slice.+state.+changed )|(ment ac)|(multiple cpu faults)|(system.+state.+changed )|(\[timeout)|(PRM\|1\|D)|(kpr)|(kdp)|(train st.+moving)|(\|lc)|(penalty))"</v>
      </c>
      <c r="AG204" s="206" t="str">
        <f t="shared" si="152"/>
        <v>Other</v>
      </c>
      <c r="AH204" s="78" t="str">
        <f t="shared" si="122"/>
        <v>"%USERPROFILE%\Documents\GitHub\eaglep3\Utilities\RefineRTDCRunTimes.py" --tripid 1902-02 --locoid 4013 --swversion DE.1.0.9.0 --startMP 300:58628 --initTime 2017-09-02T23:25:46 --startdatetime 2017-09-02T23:30:58 --delay 223 --endMP 300:28788 --enddatetime 2017-09-02T23:47:03 --enforcementcount 0 &gt;&gt;C:\Users\stu\Documents\GitHub\eaglep3-reporting\EC\2017-09-02-refined-times.txt</v>
      </c>
      <c r="AI204" s="96" t="str">
        <f t="shared" si="123"/>
        <v>echo {"issue":{"subject":"","project_id":79,"tracker_id":40,"status_id":1,"priority_id":2,"assigned_to_id":338,"start_date":"2017-09-02","description":"","custom_fields":[{"id":1,"name":"Subdivision","value":"Other"},{"id":4,"name":"Milepost","value":"2.8788"},{"id":17,"name":"Train ID","value":"1902-02"},{"id":16,"name":"Locomotive ID","value":"4013"},{"id":130,"name":"Impact","value":""},{"id":150,"name":"Time of Event (Mountain Time)","value":"23:47:03"},{"id":151,"name":"Denver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4" s="47"/>
      <c r="AL204" s="47"/>
      <c r="AM204" s="142" t="str">
        <f t="shared" si="124"/>
        <v>start /low /b %USERPROFILE%\Documents\GitHub\eaglep3\Utilities\DownloadLogsFromS3.py --loco 4013 --day 2017-09-02</v>
      </c>
      <c r="AN204" s="151" t="str">
        <f t="shared" si="125"/>
        <v>echo {"issue":{"subject":"","project_id":30,"tracker_id":4,"status_id":1,"priority_id":1,"assigned_to_id":10,"start_date":"2017-09-03","description":"","custom_fields":[{"id":30,"name":"Category","value":"Issue"},{"id":3,"name":"Functional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UTC","value":"2017-09-03 05:47:03"},{"id":29,"name":"Sharepoint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x14ac:dyDescent="0.25">
      <c r="A205" s="32" t="s">
        <v>601</v>
      </c>
      <c r="B205" s="7">
        <v>4014</v>
      </c>
      <c r="C205" s="21" t="s">
        <v>197</v>
      </c>
      <c r="D205" s="21" t="s">
        <v>894</v>
      </c>
      <c r="E205" s="13">
        <v>42980.195949074077</v>
      </c>
      <c r="F205" s="13">
        <v>25568.708333333332</v>
      </c>
      <c r="G205" s="7">
        <v>49</v>
      </c>
      <c r="H205" s="21" t="s">
        <v>895</v>
      </c>
      <c r="I205" s="13">
        <v>25568.708333333332</v>
      </c>
      <c r="J205" s="7">
        <v>0</v>
      </c>
      <c r="K205" s="89" t="str">
        <f t="shared" si="147"/>
        <v>4013/4014</v>
      </c>
      <c r="L205" s="214" t="str">
        <f>VLOOKUP(A205,'Trips&amp;Operators'!$C$1:$G$99911,5,FALSE)</f>
        <v>MAELZER KURT</v>
      </c>
      <c r="M205" s="6">
        <f t="shared" si="148"/>
        <v>0</v>
      </c>
      <c r="N205" s="7">
        <f t="shared" si="162"/>
        <v>0</v>
      </c>
      <c r="O205" s="7"/>
      <c r="P205" s="7"/>
      <c r="Q205" s="22"/>
      <c r="R205" s="167"/>
      <c r="S205" s="210">
        <f t="shared" si="160"/>
        <v>0</v>
      </c>
      <c r="T205" s="192" t="str">
        <f t="shared" si="149"/>
        <v>NorthBound</v>
      </c>
      <c r="U205" s="192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0</v>
      </c>
      <c r="V205" s="193" t="str">
        <f t="shared" ref="V205:V219" si="163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-09-02T03:42:10-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05" s="194" t="str">
        <f>IF(AA205&lt;VLOOKUP(AG205,Variables!$AC$3:$AD$8,2,FALSE),"Y","N")</f>
        <v>Y</v>
      </c>
      <c r="X205" s="194">
        <f t="shared" si="161"/>
        <v>-1849</v>
      </c>
      <c r="Y205" s="194">
        <f t="shared" si="157"/>
        <v>0.1467</v>
      </c>
      <c r="Z205" s="194">
        <f t="shared" si="158"/>
        <v>0.1469</v>
      </c>
      <c r="AA205" s="194">
        <f t="shared" si="150"/>
        <v>2.0000000000000573E-4</v>
      </c>
      <c r="AB205" s="54" t="e">
        <f>VLOOKUP(A205,Enforcements!$C$7:$K$11,8,0)</f>
        <v>#N/A</v>
      </c>
      <c r="AC205" s="51" t="e">
        <f>VLOOKUP(A205,Enforcements!$C$7:$E$11,3,0)</f>
        <v>#N/A</v>
      </c>
      <c r="AD205" s="203">
        <f t="shared" si="151"/>
        <v>53</v>
      </c>
      <c r="AE205" s="77" t="str">
        <f t="shared" ref="AE205:AE219" si="164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s3://rtdc.mdm.uploadarchive.raw/RTDC4014/ "%USERPROFILE%\AppData\Local\Temp\OnboardLogs"\RTDC4014\1969-12-31 --exclude "*" --recursive --include "*19691231*" &amp; "%USERPROFILE%\Documents\GitHub\mrs-test-scripts\Headless Mode &amp; Sideloading\WalkAndUnGZ.bat" "%USERPROFILE%\AppData\Local\Temp\OnboardLogs"\RTDC4014\1969-12-31 &amp; aws s3 cp s3://rtdc.mdm.uploadarchive.raw/RTDC4014/ "%USERPROFILE%\AppData\Local\Temp\OnboardLogs"\RTDC4014\1970-01-01 --exclude "*" --recursive --include "*19700101*" &amp; "%USERPROFILE%\Documents\GitHub\mrs-test-scripts\Headless Mode &amp; Sideloading\WalkAndUnGZ.bat" "%USERPROFILE%\AppData\Local\Temp\OnboardLogs"\RTDC4014\1970-01-01</v>
      </c>
      <c r="AF205" s="74" t="str">
        <f t="shared" ref="AF205:AF219" si="165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/stypes="app*4014*19691231*" /stext=" 23:.+((SYSTEM_STATE.+slice.+state.+changed )|(ment ac)|(multiple cpu faults)|(system.+state.+changed )|(\[timeout)|(PRM\|1\|D)|(kpr)|(kdp)|(train st.+moving)|(\|lc)|(penalty))"</v>
      </c>
      <c r="AG205" s="206" t="str">
        <f t="shared" si="152"/>
        <v>Shuttle/Test</v>
      </c>
      <c r="AH205" s="78" t="str">
        <f t="shared" si="122"/>
        <v>"%USERPROFILE%\Documents\GitHub\eaglep3\Utilities\RefineRTDCRunTimes.py" --tripid 53-02 --locoid 4014 --swversion DE.1.0.9.0 --startMP 204:1467 --initTime 2017-09-02T04:42:10 --startdatetime 1969-12-31T17:00:00 --delay 49 --endMP 204:1469 --enddatetime 1969-12-31T17:00:00 --enforcementcount 0 &gt;&gt;C:\Users\stu\Documents\GitHub\eaglep3-reporting\EC\2017-09-02-refined-times.txt</v>
      </c>
      <c r="AI205" s="96" t="str">
        <f t="shared" si="123"/>
        <v>echo {"issue":{"subject":"","project_id":79,"tracker_id":40,"status_id":1,"priority_id":2,"assigned_to_id":338,"start_date":"1969-12-31","description":"","custom_fields":[{"id":1,"name":"Subdivision","value":"Shuttle/Test"},{"id":4,"name":"Milepost","value":"0.1469"},{"id":17,"name":"Train ID","value":"53-02"},{"id":16,"name":"Locomotive ID","value":"4014"},{"id":130,"name":"Impact","value":""},{"id":150,"name":"Time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2" t="str">
        <f t="shared" si="124"/>
        <v>start /low /b %USERPROFILE%\Documents\GitHub\eaglep3\Utilities\DownloadLogsFromS3.py --loco 4014 --day 1969-12-31</v>
      </c>
      <c r="AN205" s="151" t="str">
        <f t="shared" si="125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</row>
    <row r="206" spans="1:91" x14ac:dyDescent="0.25">
      <c r="A206" s="32" t="s">
        <v>601</v>
      </c>
      <c r="B206" s="7">
        <v>4013</v>
      </c>
      <c r="C206" s="21" t="s">
        <v>197</v>
      </c>
      <c r="D206" s="21" t="s">
        <v>896</v>
      </c>
      <c r="E206" s="13">
        <v>42980.395520833335</v>
      </c>
      <c r="F206" s="13">
        <v>42980.397268518522</v>
      </c>
      <c r="G206" s="7">
        <v>70</v>
      </c>
      <c r="H206" s="21" t="s">
        <v>552</v>
      </c>
      <c r="I206" s="13">
        <v>42980.399375000001</v>
      </c>
      <c r="J206" s="7">
        <v>0</v>
      </c>
      <c r="K206" s="89" t="str">
        <f t="shared" si="147"/>
        <v>4013/4014</v>
      </c>
      <c r="L206" s="214" t="str">
        <f>VLOOKUP(A206,'Trips&amp;Operators'!$C$1:$G$99911,5,FALSE)</f>
        <v>MAELZER KURT</v>
      </c>
      <c r="M206" s="6">
        <f t="shared" si="148"/>
        <v>2.1064814791316167E-3</v>
      </c>
      <c r="N206" s="7">
        <f t="shared" si="162"/>
        <v>3.033333329949528</v>
      </c>
      <c r="O206" s="7"/>
      <c r="P206" s="7"/>
      <c r="Q206" s="22"/>
      <c r="R206" s="167"/>
      <c r="S206" s="210">
        <f t="shared" si="160"/>
        <v>0</v>
      </c>
      <c r="T206" s="192" t="str">
        <f t="shared" si="149"/>
        <v>NorthBound</v>
      </c>
      <c r="U206" s="192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0</v>
      </c>
      <c r="V206" s="193" t="str">
        <f t="shared" si="163"/>
        <v>https://d0f6bd738d7f1b3e5a7ca70fe4ff75f0.us-east-1.aws.found.io/app/kibana#/discover/Steve-Slow-Train-Analysis-(2080s-and-2083s)?_g=(refreshInterval:(display:Off,pause:!f,section:0,value:0),time:(from:'2017-09-02T08:29:33-0600',mode:absolute,to:'2017-09-02T10:35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06" s="194" t="str">
        <f>IF(AA206&lt;VLOOKUP(AG206,Variables!$AC$3:$AD$8,2,FALSE),"Y","N")</f>
        <v>Y</v>
      </c>
      <c r="X206" s="194">
        <f t="shared" si="161"/>
        <v>0</v>
      </c>
      <c r="Y206" s="194">
        <f t="shared" si="157"/>
        <v>0.5202</v>
      </c>
      <c r="Z206" s="194">
        <f t="shared" si="158"/>
        <v>6.9599999999999995E-2</v>
      </c>
      <c r="AA206" s="194">
        <f t="shared" si="150"/>
        <v>0.4506</v>
      </c>
      <c r="AB206" s="54" t="e">
        <f>VLOOKUP(A206,Enforcements!$C$7:$K$11,8,0)</f>
        <v>#N/A</v>
      </c>
      <c r="AC206" s="51" t="e">
        <f>VLOOKUP(A206,Enforcements!$C$7:$E$11,3,0)</f>
        <v>#N/A</v>
      </c>
      <c r="AD206" s="203">
        <f t="shared" si="151"/>
        <v>53</v>
      </c>
      <c r="AE206" s="77" t="str">
        <f t="shared" si="164"/>
        <v>aws s3 cp s3://rtdc.mdm.uploadarchive.raw/RTDC4013/ "%USERPROFILE%\AppData\Local\Temp\OnboardLogs"\RTDC4013\2017-09-02 --exclude "*" --recursive --include "*20170902*" &amp; "%USERPROFILE%\Documents\GitHub\mrs-test-scripts\Headless Mode &amp; Sideloading\WalkAndUnGZ.bat" "%USERPROFILE%\AppData\Local\Temp\OnboardLogs"\RTDC4013\2017-09-02 &amp; aws s3 cp s3://rtdc.mdm.uploadarchive.raw/RTDC4013/ "%USERPROFILE%\AppData\Local\Temp\OnboardLogs"\RTDC4013\2017-09-03 --exclude "*" --recursive --include "*20170903*" &amp; "%USERPROFILE%\Documents\GitHub\mrs-test-scripts\Headless Mode &amp; Sideloading\WalkAndUnGZ.bat" "%USERPROFILE%\AppData\Local\Temp\OnboardLogs"\RTDC4013\2017-09-03</v>
      </c>
      <c r="AF206" s="74" t="str">
        <f t="shared" si="165"/>
        <v>"C:\Program Files (x86)\AstroGrep\AstroGrep.exe" /e /r /s /spath="%USERPROFILE%\AppData\Local\Temp\OnboardLogs" /stypes="app*4013*20170902*" /stext=" 15:.+((SYSTEM_STATE.+slice.+state.+changed )|(ment ac)|(multiple cpu faults)|(system.+state.+changed )|(\[timeout)|(PRM\|1\|D)|(kpr)|(kdp)|(train st.+moving)|(\|lc)|(penalty))"</v>
      </c>
      <c r="AG206" s="206" t="str">
        <f t="shared" si="152"/>
        <v>Shuttle/Test</v>
      </c>
      <c r="AH206" s="78" t="str">
        <f t="shared" si="122"/>
        <v>"%USERPROFILE%\Documents\GitHub\eaglep3\Utilities\RefineRTDCRunTimes.py" --tripid 53-02 --locoid 4013 --swversion DE.1.0.9.0 --startMP 300:5202 --initTime 2017-09-02T09:29:33 --startdatetime 2017-09-02T09:32:04 --delay 70 --endMP 204:696 --enddatetime 2017-09-02T09:35:06 --enforcementcount 0 &gt;&gt;C:\Users\stu\Documents\GitHub\eaglep3-reporting\EC\2017-09-02-refined-times.txt</v>
      </c>
      <c r="AI206" s="96" t="str">
        <f t="shared" si="123"/>
        <v>echo {"issue":{"subject":"","project_id":79,"tracker_id":40,"status_id":1,"priority_id":2,"assigned_to_id":338,"start_date":"2017-09-02","description":"","custom_fields":[{"id":1,"name":"Subdivision","value":"Shuttle/Test"},{"id":4,"name":"Milepost","value":"0.0696"},{"id":17,"name":"Train ID","value":"53-02"},{"id":16,"name":"Locomotive ID","value":"4013"},{"id":130,"name":"Impact","value":""},{"id":150,"name":"Time of Event (Mountain Time)","value":"09:35:06"},{"id":151,"name":"Denver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2" t="str">
        <f t="shared" si="124"/>
        <v>start /low /b %USERPROFILE%\Documents\GitHub\eaglep3\Utilities\DownloadLogsFromS3.py --loco 4013 --day 2017-09-02</v>
      </c>
      <c r="AN206" s="151" t="str">
        <f t="shared" si="125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15:35:06"},{"id":29,"name":"Sharepoint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</row>
    <row r="207" spans="1:91" s="20" customFormat="1" x14ac:dyDescent="0.25">
      <c r="A207" s="32" t="s">
        <v>601</v>
      </c>
      <c r="B207" s="7">
        <v>4014</v>
      </c>
      <c r="C207" s="21" t="s">
        <v>197</v>
      </c>
      <c r="D207" s="21" t="s">
        <v>897</v>
      </c>
      <c r="E207" s="13">
        <v>42980.390590277777</v>
      </c>
      <c r="F207" s="13">
        <v>42980.397268518522</v>
      </c>
      <c r="G207" s="7">
        <v>133</v>
      </c>
      <c r="H207" s="21" t="s">
        <v>898</v>
      </c>
      <c r="I207" s="13">
        <v>42980.399375000001</v>
      </c>
      <c r="J207" s="7">
        <v>0</v>
      </c>
      <c r="K207" s="89" t="str">
        <f t="shared" si="147"/>
        <v>4013/4014</v>
      </c>
      <c r="L207" s="214" t="str">
        <f>VLOOKUP(A207,'Trips&amp;Operators'!$C$1:$G$99911,5,FALSE)</f>
        <v>MAELZER KURT</v>
      </c>
      <c r="M207" s="6">
        <f t="shared" si="148"/>
        <v>2.1064814791316167E-3</v>
      </c>
      <c r="N207" s="7">
        <f t="shared" si="162"/>
        <v>3.033333329949528</v>
      </c>
      <c r="O207" s="7"/>
      <c r="P207" s="7"/>
      <c r="Q207" s="22"/>
      <c r="R207" s="167"/>
      <c r="S207" s="210">
        <f t="shared" si="160"/>
        <v>0</v>
      </c>
      <c r="T207" s="192" t="str">
        <f t="shared" si="149"/>
        <v>NorthBound</v>
      </c>
      <c r="U207" s="192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193" t="str">
        <f t="shared" si="163"/>
        <v>https://d0f6bd738d7f1b3e5a7ca70fe4ff75f0.us-east-1.aws.found.io/app/kibana#/discover/Steve-Slow-Train-Analysis-(2080s-and-2083s)?_g=(refreshInterval:(display:Off,pause:!f,section:0,value:0),time:(from:'2017-09-02T08:22:27-0600',mode:absolute,to:'2017-09-02T10:35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07" s="194" t="str">
        <f>IF(AA207&lt;VLOOKUP(AG207,Variables!$AC$3:$AD$8,2,FALSE),"Y","N")</f>
        <v>Y</v>
      </c>
      <c r="X207" s="194">
        <f t="shared" si="161"/>
        <v>0</v>
      </c>
      <c r="Y207" s="194">
        <f t="shared" si="157"/>
        <v>0.1477</v>
      </c>
      <c r="Z207" s="194">
        <f t="shared" si="158"/>
        <v>0.54890000000000005</v>
      </c>
      <c r="AA207" s="194">
        <f t="shared" si="150"/>
        <v>0.40120000000000006</v>
      </c>
      <c r="AB207" s="54" t="e">
        <f>VLOOKUP(A207,Enforcements!$C$7:$K$11,8,0)</f>
        <v>#N/A</v>
      </c>
      <c r="AC207" s="51" t="e">
        <f>VLOOKUP(A207,Enforcements!$C$7:$E$11,3,0)</f>
        <v>#N/A</v>
      </c>
      <c r="AD207" s="203">
        <f t="shared" si="151"/>
        <v>53</v>
      </c>
      <c r="AE207" s="77" t="str">
        <f t="shared" si="164"/>
        <v>aws s3 cp s3://rtdc.mdm.uploadarchive.raw/RTDC4014/ "%USERPROFILE%\AppData\Local\Temp\OnboardLogs"\RTDC4014\2017-09-02 --exclude "*" --recursive --include "*20170902*" &amp; "%USERPROFILE%\Documents\GitHub\mrs-test-scripts\Headless Mode &amp; Sideloading\WalkAndUnGZ.bat" "%USERPROFILE%\AppData\Local\Temp\OnboardLogs"\RTDC4014\2017-09-02 &amp; aws s3 cp s3://rtdc.mdm.uploadarchive.raw/RTDC4014/ "%USERPROFILE%\AppData\Local\Temp\OnboardLogs"\RTDC4014\2017-09-03 --exclude "*" --recursive --include "*20170903*" &amp; "%USERPROFILE%\Documents\GitHub\mrs-test-scripts\Headless Mode &amp; Sideloading\WalkAndUnGZ.bat" "%USERPROFILE%\AppData\Local\Temp\OnboardLogs"\RTDC4014\2017-09-03</v>
      </c>
      <c r="AF207" s="74" t="str">
        <f t="shared" si="165"/>
        <v>"C:\Program Files (x86)\AstroGrep\AstroGrep.exe" /e /r /s /spath="%USERPROFILE%\AppData\Local\Temp\OnboardLogs" /stypes="app*4014*20170902*" /stext=" 15:.+((SYSTEM_STATE.+slice.+state.+changed )|(ment ac)|(multiple cpu faults)|(system.+state.+changed )|(\[timeout)|(PRM\|1\|D)|(kpr)|(kdp)|(train st.+moving)|(\|lc)|(penalty))"</v>
      </c>
      <c r="AG207" s="206" t="str">
        <f t="shared" si="152"/>
        <v>Shuttle/Test</v>
      </c>
      <c r="AH207" s="78" t="str">
        <f t="shared" si="122"/>
        <v>"%USERPROFILE%\Documents\GitHub\eaglep3\Utilities\RefineRTDCRunTimes.py" --tripid 53-02 --locoid 4014 --swversion DE.1.0.9.0 --startMP 204:1477 --initTime 2017-09-02T09:22:27 --startdatetime 2017-09-02T09:32:04 --delay 133 --endMP 300:5489 --enddatetime 2017-09-02T09:35:06 --enforcementcount 0 &gt;&gt;C:\Users\stu\Documents\GitHub\eaglep3-reporting\EC\2017-09-02-refined-times.txt</v>
      </c>
      <c r="AI207" s="96" t="str">
        <f t="shared" si="123"/>
        <v>echo {"issue":{"subject":"","project_id":79,"tracker_id":40,"status_id":1,"priority_id":2,"assigned_to_id":338,"start_date":"2017-09-02","description":"","custom_fields":[{"id":1,"name":"Subdivision","value":"Shuttle/Test"},{"id":4,"name":"Milepost","value":"0.5489"},{"id":17,"name":"Train ID","value":"53-02"},{"id":16,"name":"Locomotive ID","value":"4014"},{"id":130,"name":"Impact","value":""},{"id":150,"name":"Time of Event (Mountain Time)","value":"09:35:06"},{"id":151,"name":"Denver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7" s="47"/>
      <c r="AL207" s="47"/>
      <c r="AM207" s="142" t="str">
        <f t="shared" si="124"/>
        <v>start /low /b %USERPROFILE%\Documents\GitHub\eaglep3\Utilities\DownloadLogsFromS3.py --loco 4014 --day 2017-09-02</v>
      </c>
      <c r="AN207" s="151" t="str">
        <f t="shared" si="125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15:35:06"},{"id":29,"name":"Sharepoint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x14ac:dyDescent="0.25">
      <c r="A208" s="32" t="s">
        <v>726</v>
      </c>
      <c r="B208" s="7">
        <v>4057</v>
      </c>
      <c r="C208" s="21" t="s">
        <v>197</v>
      </c>
      <c r="D208" s="21" t="s">
        <v>899</v>
      </c>
      <c r="E208" s="13">
        <v>42980.736574074072</v>
      </c>
      <c r="F208" s="13">
        <v>42980.739340277774</v>
      </c>
      <c r="G208" s="7">
        <v>128</v>
      </c>
      <c r="H208" s="21" t="s">
        <v>900</v>
      </c>
      <c r="I208" s="13">
        <v>42980.749548611115</v>
      </c>
      <c r="J208" s="7">
        <v>0</v>
      </c>
      <c r="K208" s="89" t="str">
        <f t="shared" si="147"/>
        <v>4057/4058</v>
      </c>
      <c r="L208" s="214" t="str">
        <f>VLOOKUP(A208,'Trips&amp;Operators'!$C$1:$G$99911,5,FALSE)</f>
        <v>ELBAUM MIKE</v>
      </c>
      <c r="M208" s="6">
        <f t="shared" si="148"/>
        <v>1.0208333340415265E-2</v>
      </c>
      <c r="N208" s="7">
        <f t="shared" si="162"/>
        <v>14.700000010197982</v>
      </c>
      <c r="O208" s="7"/>
      <c r="P208" s="7"/>
      <c r="Q208" s="22"/>
      <c r="R208" s="167"/>
      <c r="S208" s="210">
        <f t="shared" si="160"/>
        <v>1</v>
      </c>
      <c r="T208" s="192" t="str">
        <f t="shared" si="149"/>
        <v>Southbound</v>
      </c>
      <c r="U208" s="192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3" t="str">
        <f t="shared" si="163"/>
        <v>https://d0f6bd738d7f1b3e5a7ca70fe4ff75f0.us-east-1.aws.found.io/app/kibana#/discover/Steve-Slow-Train-Analysis-(2080s-and-2083s)?_g=(refreshInterval:(display:Off,pause:!f,section:0,value:0),time:(from:'2017-09-02T16:40:40-0600',mode:absolute,to:'2017-09-02T18:59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08" s="194" t="str">
        <f>IF(AA208&lt;VLOOKUP(AG208,Variables!$AC$3:$AD$8,2,FALSE),"Y","N")</f>
        <v>Y</v>
      </c>
      <c r="X208" s="194">
        <f t="shared" si="161"/>
        <v>3</v>
      </c>
      <c r="Y208" s="194">
        <f t="shared" si="157"/>
        <v>2.3677999999999999</v>
      </c>
      <c r="Z208" s="194">
        <f t="shared" si="158"/>
        <v>0.25259999999999999</v>
      </c>
      <c r="AA208" s="194">
        <f t="shared" si="150"/>
        <v>2.1151999999999997</v>
      </c>
      <c r="AB208" s="54" t="e">
        <f>VLOOKUP(A208,Enforcements!$C$7:$K$11,8,0)</f>
        <v>#N/A</v>
      </c>
      <c r="AC208" s="51" t="e">
        <f>VLOOKUP(A208,Enforcements!$C$7:$E$11,3,0)</f>
        <v>#N/A</v>
      </c>
      <c r="AD208" s="203">
        <f t="shared" si="151"/>
        <v>56</v>
      </c>
      <c r="AE208" s="77" t="str">
        <f t="shared" si="164"/>
        <v>aws s3 cp s3://rtdc.mdm.uploadarchive.raw/RTDC4057/ "%USERPROFILE%\AppData\Local\Temp\OnboardLogs"\RTDC4057\2017-09-02 --exclude "*" --recursive --include "*20170902*" &amp; "%USERPROFILE%\Documents\GitHub\mrs-test-scripts\Headless Mode &amp; Sideloading\WalkAndUnGZ.bat" "%USERPROFILE%\AppData\Local\Temp\OnboardLogs"\RTDC4057\2017-09-02 &amp; aws s3 cp s3://rtdc.mdm.uploadarchive.raw/RTDC4057/ "%USERPROFILE%\AppData\Local\Temp\OnboardLogs"\RTDC4057\2017-09-03 --exclude "*" --recursive --include "*20170903*" &amp; "%USERPROFILE%\Documents\GitHub\mrs-test-scripts\Headless Mode &amp; Sideloading\WalkAndUnGZ.bat" "%USERPROFILE%\AppData\Local\Temp\OnboardLogs"\RTDC4057\2017-09-03</v>
      </c>
      <c r="AF208" s="74" t="str">
        <f t="shared" si="165"/>
        <v>"C:\Program Files (x86)\AstroGrep\AstroGrep.exe" /e /r /s /spath="%USERPROFILE%\AppData\Local\Temp\OnboardLogs" /stypes="app*4057*20170902*" /stext=" 23:.+((SYSTEM_STATE.+slice.+state.+changed )|(ment ac)|(multiple cpu faults)|(system.+state.+changed )|(\[timeout)|(PRM\|1\|D)|(kpr)|(kdp)|(train st.+moving)|(\|lc)|(penalty))"</v>
      </c>
      <c r="AG208" s="206" t="str">
        <f t="shared" si="152"/>
        <v>Shuttle/Test</v>
      </c>
      <c r="AH208" s="78" t="str">
        <f t="shared" si="122"/>
        <v>"%USERPROFILE%\Documents\GitHub\eaglep3\Utilities\RefineRTDCRunTimes.py" --tripid 56-02 --locoid 4057 --swversion DE.1.0.9.0 --startMP 300:23678 --initTime 2017-09-02T17:40:40 --startdatetime 2017-09-02T17:44:39 --delay 128 --endMP 204:2526 --enddatetime 2017-09-02T17:59:21 --enforcementcount 0 &gt;&gt;C:\Users\stu\Documents\GitHub\eaglep3-reporting\EC\2017-09-02-refined-times.txt</v>
      </c>
      <c r="AI208" s="96" t="str">
        <f t="shared" si="123"/>
        <v>echo {"issue":{"subject":"","project_id":79,"tracker_id":40,"status_id":1,"priority_id":2,"assigned_to_id":338,"start_date":"2017-09-02","description":"","custom_fields":[{"id":1,"name":"Subdivision","value":"Shuttle/Test"},{"id":4,"name":"Milepost","value":"0.2526"},{"id":17,"name":"Train ID","value":"56-02"},{"id":16,"name":"Locomotive ID","value":"4057"},{"id":130,"name":"Impact","value":""},{"id":150,"name":"Time of Event (Mountain Time)","value":"17:59:21"},{"id":151,"name":"Denver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2" t="str">
        <f t="shared" si="124"/>
        <v>start /low /b %USERPROFILE%\Documents\GitHub\eaglep3\Utilities\DownloadLogsFromS3.py --loco 4057 --day 2017-09-02</v>
      </c>
      <c r="AN208" s="151" t="str">
        <f t="shared" si="125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23:59:21"},{"id":29,"name":"Sharepoint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</row>
    <row r="209" spans="1:91" x14ac:dyDescent="0.25">
      <c r="A209" s="32" t="s">
        <v>665</v>
      </c>
      <c r="B209" s="7">
        <v>4051</v>
      </c>
      <c r="C209" s="21" t="s">
        <v>197</v>
      </c>
      <c r="D209" s="21" t="s">
        <v>901</v>
      </c>
      <c r="E209" s="13">
        <v>42980.485694444447</v>
      </c>
      <c r="F209" s="13">
        <v>42980.487407407411</v>
      </c>
      <c r="G209" s="7">
        <v>81</v>
      </c>
      <c r="H209" s="21" t="s">
        <v>902</v>
      </c>
      <c r="I209" s="13">
        <v>42980.500798611109</v>
      </c>
      <c r="J209" s="7">
        <v>0</v>
      </c>
      <c r="K209" s="89" t="str">
        <f t="shared" si="147"/>
        <v>4051/4052</v>
      </c>
      <c r="L209" s="214" t="str">
        <f>VLOOKUP(A209,'Trips&amp;Operators'!$C$1:$G$99911,5,FALSE)</f>
        <v>WILLIAMS DONTE</v>
      </c>
      <c r="M209" s="6">
        <f t="shared" si="148"/>
        <v>1.339120369812008E-2</v>
      </c>
      <c r="N209" s="7">
        <f t="shared" si="162"/>
        <v>19.283333325292915</v>
      </c>
      <c r="O209" s="7"/>
      <c r="P209" s="7"/>
      <c r="Q209" s="22"/>
      <c r="R209" s="167"/>
      <c r="S209" s="210">
        <f t="shared" si="160"/>
        <v>1</v>
      </c>
      <c r="T209" s="192" t="str">
        <f t="shared" si="149"/>
        <v>Southbound</v>
      </c>
      <c r="U209" s="192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3" t="str">
        <f t="shared" si="163"/>
        <v>https://d0f6bd738d7f1b3e5a7ca70fe4ff75f0.us-east-1.aws.found.io/app/kibana#/discover/Steve-Slow-Train-Analysis-(2080s-and-2083s)?_g=(refreshInterval:(display:Off,pause:!f,section:0,value:0),time:(from:'2017-09-02T10:39:24-0600',mode:absolute,to:'2017-09-02T13:01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09" s="194" t="str">
        <f>IF(AA209&lt;VLOOKUP(AG209,Variables!$AC$3:$AD$8,2,FALSE),"Y","N")</f>
        <v>Y</v>
      </c>
      <c r="X209" s="194">
        <f t="shared" si="161"/>
        <v>4</v>
      </c>
      <c r="Y209" s="194">
        <f t="shared" si="157"/>
        <v>6.9737</v>
      </c>
      <c r="Z209" s="194">
        <f t="shared" si="158"/>
        <v>8.9300000000000004E-2</v>
      </c>
      <c r="AA209" s="194">
        <f t="shared" si="150"/>
        <v>6.8844000000000003</v>
      </c>
      <c r="AB209" s="54" t="e">
        <f>VLOOKUP(A209,Enforcements!$C$7:$K$11,8,0)</f>
        <v>#N/A</v>
      </c>
      <c r="AC209" s="51" t="e">
        <f>VLOOKUP(A209,Enforcements!$C$7:$E$11,3,0)</f>
        <v>#N/A</v>
      </c>
      <c r="AD209" s="203">
        <f t="shared" si="151"/>
        <v>60</v>
      </c>
      <c r="AE209" s="77" t="str">
        <f t="shared" si="164"/>
        <v>aws s3 cp s3://rtdc.mdm.uploadarchive.raw/RTDC4051/ "%USERPROFILE%\AppData\Local\Temp\OnboardLogs"\RTDC4051\2017-09-02 --exclude "*" --recursive --include "*20170902*" &amp; "%USERPROFILE%\Documents\GitHub\mrs-test-scripts\Headless Mode &amp; Sideloading\WalkAndUnGZ.bat" "%USERPROFILE%\AppData\Local\Temp\OnboardLogs"\RTDC4051\2017-09-02 &amp; aws s3 cp s3://rtdc.mdm.uploadarchive.raw/RTDC4051/ "%USERPROFILE%\AppData\Local\Temp\OnboardLogs"\RTDC4051\2017-09-03 --exclude "*" --recursive --include "*20170903*" &amp; "%USERPROFILE%\Documents\GitHub\mrs-test-scripts\Headless Mode &amp; Sideloading\WalkAndUnGZ.bat" "%USERPROFILE%\AppData\Local\Temp\OnboardLogs"\RTDC4051\2017-09-03</v>
      </c>
      <c r="AF209" s="74" t="str">
        <f t="shared" si="165"/>
        <v>"C:\Program Files (x86)\AstroGrep\AstroGrep.exe" /e /r /s /spath="%USERPROFILE%\AppData\Local\Temp\OnboardLogs" /stypes="app*4051*20170902*" /stext=" 18:.+((SYSTEM_STATE.+slice.+state.+changed )|(ment ac)|(multiple cpu faults)|(system.+state.+changed )|(\[timeout)|(PRM\|1\|D)|(kpr)|(kdp)|(train st.+moving)|(\|lc)|(penalty))"</v>
      </c>
      <c r="AG209" s="206" t="str">
        <f t="shared" si="152"/>
        <v>Shuttle/Test</v>
      </c>
      <c r="AH209" s="78" t="str">
        <f t="shared" si="122"/>
        <v>"%USERPROFILE%\Documents\GitHub\eaglep3\Utilities\RefineRTDCRunTimes.py" --tripid 60-02 --locoid 4051 --swversion DE.1.0.9.0 --startMP 204:69737 --initTime 2017-09-02T11:39:24 --startdatetime 2017-09-02T11:41:52 --delay 81 --endMP 204:893 --enddatetime 2017-09-02T12:01:09 --enforcementcount 0 &gt;&gt;C:\Users\stu\Documents\GitHub\eaglep3-reporting\EC\2017-09-02-refined-times.txt</v>
      </c>
      <c r="AI209" s="96" t="str">
        <f t="shared" si="123"/>
        <v>echo {"issue":{"subject":"","project_id":79,"tracker_id":40,"status_id":1,"priority_id":2,"assigned_to_id":338,"start_date":"2017-09-02","description":"","custom_fields":[{"id":1,"name":"Subdivision","value":"Shuttle/Test"},{"id":4,"name":"Milepost","value":"0.0893"},{"id":17,"name":"Train ID","value":"60-02"},{"id":16,"name":"Locomotive ID","value":"4051"},{"id":130,"name":"Impact","value":""},{"id":150,"name":"Time of Event (Mountain Time)","value":"12:01:09"},{"id":151,"name":"Denver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2" t="str">
        <f t="shared" si="124"/>
        <v>start /low /b %USERPROFILE%\Documents\GitHub\eaglep3\Utilities\DownloadLogsFromS3.py --loco 4051 --day 2017-09-02</v>
      </c>
      <c r="AN209" s="151" t="str">
        <f t="shared" si="125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18:01:09"},{"id":29,"name":"Sharepoint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</row>
    <row r="210" spans="1:91" x14ac:dyDescent="0.25">
      <c r="A210" s="32" t="s">
        <v>665</v>
      </c>
      <c r="B210" s="7">
        <v>4042</v>
      </c>
      <c r="C210" s="21" t="s">
        <v>197</v>
      </c>
      <c r="D210" s="21" t="s">
        <v>903</v>
      </c>
      <c r="E210" s="13">
        <v>42980.612361111111</v>
      </c>
      <c r="F210" s="13">
        <v>42980.621874999997</v>
      </c>
      <c r="G210" s="7">
        <v>47</v>
      </c>
      <c r="H210" s="21" t="s">
        <v>548</v>
      </c>
      <c r="I210" s="13">
        <v>42980.660810185182</v>
      </c>
      <c r="J210" s="7">
        <v>0</v>
      </c>
      <c r="K210" s="89" t="str">
        <f t="shared" si="147"/>
        <v>4041/4042</v>
      </c>
      <c r="L210" s="214" t="str">
        <f>VLOOKUP(A210,'Trips&amp;Operators'!$C$1:$G$99911,5,FALSE)</f>
        <v>WILLIAMS DONTE</v>
      </c>
      <c r="M210" s="6">
        <f t="shared" si="148"/>
        <v>3.8935185184527654E-2</v>
      </c>
      <c r="N210" s="7">
        <f t="shared" si="162"/>
        <v>56.066666665719822</v>
      </c>
      <c r="O210" s="7"/>
      <c r="P210" s="7"/>
      <c r="Q210" s="22"/>
      <c r="R210" s="167"/>
      <c r="S210" s="210">
        <f t="shared" si="160"/>
        <v>0</v>
      </c>
      <c r="T210" s="192" t="str">
        <f t="shared" si="149"/>
        <v>Southbound</v>
      </c>
      <c r="U210" s="192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193" t="str">
        <f t="shared" si="163"/>
        <v>https://d0f6bd738d7f1b3e5a7ca70fe4ff75f0.us-east-1.aws.found.io/app/kibana#/discover/Steve-Slow-Train-Analysis-(2080s-and-2083s)?_g=(refreshInterval:(display:Off,pause:!f,section:0,value:0),time:(from:'2017-09-02T13:41:48-0600',mode:absolute,to:'2017-09-02T16:51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0" s="194" t="str">
        <f>IF(AA210&lt;VLOOKUP(AG210,Variables!$AC$3:$AD$8,2,FALSE),"Y","N")</f>
        <v>Y</v>
      </c>
      <c r="X210" s="194">
        <f t="shared" si="161"/>
        <v>0</v>
      </c>
      <c r="Y210" s="194">
        <f t="shared" si="157"/>
        <v>3.1399999999999997E-2</v>
      </c>
      <c r="Z210" s="194">
        <f t="shared" si="158"/>
        <v>2.3346</v>
      </c>
      <c r="AA210" s="194">
        <f t="shared" si="150"/>
        <v>2.3031999999999999</v>
      </c>
      <c r="AB210" s="54" t="e">
        <f>VLOOKUP(A210,Enforcements!$C$7:$K$11,8,0)</f>
        <v>#N/A</v>
      </c>
      <c r="AC210" s="51" t="e">
        <f>VLOOKUP(A210,Enforcements!$C$7:$E$11,3,0)</f>
        <v>#N/A</v>
      </c>
      <c r="AD210" s="203">
        <f t="shared" si="151"/>
        <v>60</v>
      </c>
      <c r="AE210" s="77" t="str">
        <f t="shared" si="164"/>
        <v>aws s3 cp s3://rtdc.mdm.uploadarchive.raw/RTDC4042/ "%USERPROFILE%\AppData\Local\Temp\OnboardLogs"\RTDC4042\2017-09-02 --exclude "*" --recursive --include "*20170902*" &amp; "%USERPROFILE%\Documents\GitHub\mrs-test-scripts\Headless Mode &amp; Sideloading\WalkAndUnGZ.bat" "%USERPROFILE%\AppData\Local\Temp\OnboardLogs"\RTDC4042\2017-09-02 &amp; aws s3 cp s3://rtdc.mdm.uploadarchive.raw/RTDC4042/ "%USERPROFILE%\AppData\Local\Temp\OnboardLogs"\RTDC4042\2017-09-03 --exclude "*" --recursive --include "*20170903*" &amp; "%USERPROFILE%\Documents\GitHub\mrs-test-scripts\Headless Mode &amp; Sideloading\WalkAndUnGZ.bat" "%USERPROFILE%\AppData\Local\Temp\OnboardLogs"\RTDC4042\2017-09-03</v>
      </c>
      <c r="AF210" s="74" t="str">
        <f t="shared" si="165"/>
        <v>"C:\Program Files (x86)\AstroGrep\AstroGrep.exe" /e /r /s /spath="%USERPROFILE%\AppData\Local\Temp\OnboardLogs" /stypes="app*4042*20170902*" /stext=" 21:.+((SYSTEM_STATE.+slice.+state.+changed )|(ment ac)|(multiple cpu faults)|(system.+state.+changed )|(\[timeout)|(PRM\|1\|D)|(kpr)|(kdp)|(train st.+moving)|(\|lc)|(penalty))"</v>
      </c>
      <c r="AG210" s="206" t="str">
        <f t="shared" si="152"/>
        <v>Shuttle/Test</v>
      </c>
      <c r="AH210" s="78" t="str">
        <f t="shared" si="122"/>
        <v>"%USERPROFILE%\Documents\GitHub\eaglep3\Utilities\RefineRTDCRunTimes.py" --tripid 60-02 --locoid 4042 --swversion DE.1.0.9.0 --startMP 204:314 --initTime 2017-09-02T14:41:48 --startdatetime 2017-09-02T14:55:30 --delay 47 --endMP 300:23346 --enddatetime 2017-09-02T15:51:34 --enforcementcount 0 &gt;&gt;C:\Users\stu\Documents\GitHub\eaglep3-reporting\EC\2017-09-02-refined-times.txt</v>
      </c>
      <c r="AI210" s="96" t="str">
        <f t="shared" si="123"/>
        <v>echo {"issue":{"subject":"","project_id":79,"tracker_id":40,"status_id":1,"priority_id":2,"assigned_to_id":338,"start_date":"2017-09-02","description":"","custom_fields":[{"id":1,"name":"Subdivision","value":"Shuttle/Test"},{"id":4,"name":"Milepost","value":"2.3346"},{"id":17,"name":"Train ID","value":"60-02"},{"id":16,"name":"Locomotive ID","value":"4042"},{"id":130,"name":"Impact","value":""},{"id":150,"name":"Time of Event (Mountain Time)","value":"15:51:34"},{"id":151,"name":"Denver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2" t="str">
        <f t="shared" si="124"/>
        <v>start /low /b %USERPROFILE%\Documents\GitHub\eaglep3\Utilities\DownloadLogsFromS3.py --loco 4042 --day 2017-09-02</v>
      </c>
      <c r="AN210" s="151" t="str">
        <f t="shared" si="125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21:51:34"},{"id":29,"name":"Sharepoint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</row>
    <row r="211" spans="1:91" x14ac:dyDescent="0.25">
      <c r="A211" s="32" t="s">
        <v>674</v>
      </c>
      <c r="B211" s="7">
        <v>4018</v>
      </c>
      <c r="C211" s="21" t="s">
        <v>197</v>
      </c>
      <c r="D211" s="21" t="s">
        <v>904</v>
      </c>
      <c r="E211" s="13">
        <v>42980.5158912037</v>
      </c>
      <c r="F211" s="13">
        <v>42980.52034722222</v>
      </c>
      <c r="G211" s="7">
        <v>56</v>
      </c>
      <c r="H211" s="21" t="s">
        <v>905</v>
      </c>
      <c r="I211" s="13">
        <v>42980.521736111114</v>
      </c>
      <c r="J211" s="7">
        <v>0</v>
      </c>
      <c r="K211" s="89" t="str">
        <f t="shared" si="147"/>
        <v>4017/4018</v>
      </c>
      <c r="L211" s="214" t="str">
        <f>VLOOKUP(A211,'Trips&amp;Operators'!$C$1:$G$99911,5,FALSE)</f>
        <v>MCREYNOLDS KYLE</v>
      </c>
      <c r="M211" s="6">
        <f t="shared" si="148"/>
        <v>1.3888888934161514E-3</v>
      </c>
      <c r="N211" s="7">
        <f t="shared" si="162"/>
        <v>2.000000006519258</v>
      </c>
      <c r="O211" s="7"/>
      <c r="P211" s="7"/>
      <c r="Q211" s="22"/>
      <c r="R211" s="167"/>
      <c r="S211" s="210">
        <f t="shared" si="160"/>
        <v>0</v>
      </c>
      <c r="T211" s="192" t="str">
        <f t="shared" si="149"/>
        <v>NorthBound</v>
      </c>
      <c r="U211" s="192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193" t="str">
        <f t="shared" si="163"/>
        <v>https://d0f6bd738d7f1b3e5a7ca70fe4ff75f0.us-east-1.aws.found.io/app/kibana#/discover/Steve-Slow-Train-Analysis-(2080s-and-2083s)?_g=(refreshInterval:(display:Off,pause:!f,section:0,value:0),time:(from:'2017-09-02T11:22:53-0600',mode:absolute,to:'2017-09-02T13:31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1" s="194" t="str">
        <f>IF(AA211&lt;VLOOKUP(AG211,Variables!$AC$3:$AD$8,2,FALSE),"Y","N")</f>
        <v>Y</v>
      </c>
      <c r="X211" s="194">
        <f t="shared" si="161"/>
        <v>1</v>
      </c>
      <c r="Y211" s="194">
        <f t="shared" si="157"/>
        <v>0.1148</v>
      </c>
      <c r="Z211" s="194">
        <f t="shared" si="158"/>
        <v>0.35070000000000001</v>
      </c>
      <c r="AA211" s="194">
        <f t="shared" si="150"/>
        <v>0.2359</v>
      </c>
      <c r="AB211" s="54" t="e">
        <f>VLOOKUP(A211,Enforcements!$C$7:$K$11,8,0)</f>
        <v>#N/A</v>
      </c>
      <c r="AC211" s="51" t="e">
        <f>VLOOKUP(A211,Enforcements!$C$7:$E$11,3,0)</f>
        <v>#N/A</v>
      </c>
      <c r="AD211" s="203">
        <f t="shared" si="151"/>
        <v>61</v>
      </c>
      <c r="AE211" s="77" t="str">
        <f t="shared" si="164"/>
        <v>aws s3 cp s3://rtdc.mdm.uploadarchive.raw/RTDC4018/ "%USERPROFILE%\AppData\Local\Temp\OnboardLogs"\RTDC4018\2017-09-02 --exclude "*" --recursive --include "*20170902*" &amp; "%USERPROFILE%\Documents\GitHub\mrs-test-scripts\Headless Mode &amp; Sideloading\WalkAndUnGZ.bat" "%USERPROFILE%\AppData\Local\Temp\OnboardLogs"\RTDC4018\2017-09-02 &amp; aws s3 cp s3://rtdc.mdm.uploadarchive.raw/RTDC4018/ "%USERPROFILE%\AppData\Local\Temp\OnboardLogs"\RTDC4018\2017-09-03 --exclude "*" --recursive --include "*20170903*" &amp; "%USERPROFILE%\Documents\GitHub\mrs-test-scripts\Headless Mode &amp; Sideloading\WalkAndUnGZ.bat" "%USERPROFILE%\AppData\Local\Temp\OnboardLogs"\RTDC4018\2017-09-03</v>
      </c>
      <c r="AF211" s="74" t="str">
        <f t="shared" si="165"/>
        <v>"C:\Program Files (x86)\AstroGrep\AstroGrep.exe" /e /r /s /spath="%USERPROFILE%\AppData\Local\Temp\OnboardLogs" /stypes="app*4018*20170902*" /stext=" 18:.+((SYSTEM_STATE.+slice.+state.+changed )|(ment ac)|(multiple cpu faults)|(system.+state.+changed )|(\[timeout)|(PRM\|1\|D)|(kpr)|(kdp)|(train st.+moving)|(\|lc)|(penalty))"</v>
      </c>
      <c r="AG211" s="206" t="str">
        <f t="shared" si="152"/>
        <v>Shuttle/Test</v>
      </c>
      <c r="AH211" s="78" t="str">
        <f t="shared" si="122"/>
        <v>"%USERPROFILE%\Documents\GitHub\eaglep3\Utilities\RefineRTDCRunTimes.py" --tripid 61-02 --locoid 4018 --swversion DE.1.0.9.0 --startMP 204:1148 --initTime 2017-09-02T12:22:53 --startdatetime 2017-09-02T12:29:18 --delay 56 --endMP 204:3507 --enddatetime 2017-09-02T12:31:18 --enforcementcount 0 &gt;&gt;C:\Users\stu\Documents\GitHub\eaglep3-reporting\EC\2017-09-02-refined-times.txt</v>
      </c>
      <c r="AI211" s="96" t="str">
        <f t="shared" si="123"/>
        <v>echo {"issue":{"subject":"","project_id":79,"tracker_id":40,"status_id":1,"priority_id":2,"assigned_to_id":338,"start_date":"2017-09-02","description":"","custom_fields":[{"id":1,"name":"Subdivision","value":"Shuttle/Test"},{"id":4,"name":"Milepost","value":"0.3507"},{"id":17,"name":"Train ID","value":"61-02"},{"id":16,"name":"Locomotive ID","value":"4018"},{"id":130,"name":"Impact","value":""},{"id":150,"name":"Time of Event (Mountain Time)","value":"12:31:18"},{"id":151,"name":"Denver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2" t="str">
        <f t="shared" si="124"/>
        <v>start /low /b %USERPROFILE%\Documents\GitHub\eaglep3\Utilities\DownloadLogsFromS3.py --loco 4018 --day 2017-09-02</v>
      </c>
      <c r="AN211" s="151" t="str">
        <f t="shared" si="125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18:31:18"},{"id":29,"name":"Sharepoint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</row>
    <row r="212" spans="1:91" x14ac:dyDescent="0.25">
      <c r="A212" s="32" t="s">
        <v>674</v>
      </c>
      <c r="B212" s="7">
        <v>4017</v>
      </c>
      <c r="C212" s="21" t="s">
        <v>197</v>
      </c>
      <c r="D212" s="21" t="s">
        <v>906</v>
      </c>
      <c r="E212" s="13">
        <v>42980.518923611111</v>
      </c>
      <c r="F212" s="13">
        <v>42980.52034722222</v>
      </c>
      <c r="G212" s="7">
        <v>67</v>
      </c>
      <c r="H212" s="21" t="s">
        <v>364</v>
      </c>
      <c r="I212" s="13">
        <v>42980.521736111114</v>
      </c>
      <c r="J212" s="7">
        <v>0</v>
      </c>
      <c r="K212" s="89" t="str">
        <f t="shared" ref="K212:K219" si="166">IF(ISEVEN(B212),(B212-1)&amp;"/"&amp;B212,B212&amp;"/"&amp;(B212+1))</f>
        <v>4017/4018</v>
      </c>
      <c r="L212" s="214" t="str">
        <f>VLOOKUP(A212,'Trips&amp;Operators'!$C$1:$G$99911,5,FALSE)</f>
        <v>MCREYNOLDS KYLE</v>
      </c>
      <c r="M212" s="6">
        <f t="shared" ref="M212:M219" si="167">I212-F212</f>
        <v>1.3888888934161514E-3</v>
      </c>
      <c r="N212" s="7">
        <f t="shared" si="162"/>
        <v>2.000000006519258</v>
      </c>
      <c r="O212" s="7"/>
      <c r="P212" s="7"/>
      <c r="Q212" s="22"/>
      <c r="R212" s="167"/>
      <c r="S212" s="210">
        <f t="shared" si="160"/>
        <v>0</v>
      </c>
      <c r="T212" s="192" t="str">
        <f t="shared" ref="T212:T219" si="168">IF(ISEVEN(LEFT(AD212,4)),"Southbound","NorthBound")</f>
        <v>NorthBound</v>
      </c>
      <c r="U212" s="192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93" t="str">
        <f t="shared" si="163"/>
        <v>https://d0f6bd738d7f1b3e5a7ca70fe4ff75f0.us-east-1.aws.found.io/app/kibana#/discover/Steve-Slow-Train-Analysis-(2080s-and-2083s)?_g=(refreshInterval:(display:Off,pause:!f,section:0,value:0),time:(from:'2017-09-02T11:27:15-0600',mode:absolute,to:'2017-09-02T13:31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12" s="194" t="str">
        <f>IF(AA212&lt;VLOOKUP(AG212,Variables!$AC$3:$AD$8,2,FALSE),"Y","N")</f>
        <v>Y</v>
      </c>
      <c r="X212" s="194">
        <f t="shared" si="161"/>
        <v>0</v>
      </c>
      <c r="Y212" s="194">
        <f t="shared" si="157"/>
        <v>0.31690000000000002</v>
      </c>
      <c r="Z212" s="194">
        <f t="shared" si="158"/>
        <v>1.52E-2</v>
      </c>
      <c r="AA212" s="194">
        <f t="shared" ref="AA212:AA243" si="169">ABS(Z212-Y212)</f>
        <v>0.30170000000000002</v>
      </c>
      <c r="AB212" s="54" t="e">
        <f>VLOOKUP(A212,Enforcements!$C$7:$K$11,8,0)</f>
        <v>#N/A</v>
      </c>
      <c r="AC212" s="51" t="e">
        <f>VLOOKUP(A212,Enforcements!$C$7:$E$11,3,0)</f>
        <v>#N/A</v>
      </c>
      <c r="AD212" s="203">
        <f t="shared" ref="AD212:AD219" si="170">VALUE(LEFT(A212,LEN(A212)-3))</f>
        <v>61</v>
      </c>
      <c r="AE212" s="77" t="str">
        <f t="shared" si="164"/>
        <v>aws s3 cp s3://rtdc.mdm.uploadarchive.raw/RTDC4017/ "%USERPROFILE%\AppData\Local\Temp\OnboardLogs"\RTDC4017\2017-09-02 --exclude "*" --recursive --include "*20170902*" &amp; "%USERPROFILE%\Documents\GitHub\mrs-test-scripts\Headless Mode &amp; Sideloading\WalkAndUnGZ.bat" "%USERPROFILE%\AppData\Local\Temp\OnboardLogs"\RTDC4017\2017-09-02 &amp; aws s3 cp s3://rtdc.mdm.uploadarchive.raw/RTDC4017/ "%USERPROFILE%\AppData\Local\Temp\OnboardLogs"\RTDC4017\2017-09-03 --exclude "*" --recursive --include "*20170903*" &amp; "%USERPROFILE%\Documents\GitHub\mrs-test-scripts\Headless Mode &amp; Sideloading\WalkAndUnGZ.bat" "%USERPROFILE%\AppData\Local\Temp\OnboardLogs"\RTDC4017\2017-09-03</v>
      </c>
      <c r="AF212" s="74" t="str">
        <f t="shared" si="165"/>
        <v>"C:\Program Files (x86)\AstroGrep\AstroGrep.exe" /e /r /s /spath="%USERPROFILE%\AppData\Local\Temp\OnboardLogs" /stypes="app*4017*20170902*" /stext=" 18:.+((SYSTEM_STATE.+slice.+state.+changed )|(ment ac)|(multiple cpu faults)|(system.+state.+changed )|(\[timeout)|(PRM\|1\|D)|(kpr)|(kdp)|(train st.+moving)|(\|lc)|(penalty))"</v>
      </c>
      <c r="AG212" s="206" t="str">
        <f t="shared" ref="AG212:AG219" si="171">DetSubdiv(A212)</f>
        <v>Shuttle/Test</v>
      </c>
      <c r="AH212" s="78" t="str">
        <f t="shared" si="122"/>
        <v>"%USERPROFILE%\Documents\GitHub\eaglep3\Utilities\RefineRTDCRunTimes.py" --tripid 61-02 --locoid 4017 --swversion DE.1.0.9.0 --startMP 204:3169 --initTime 2017-09-02T12:27:15 --startdatetime 2017-09-02T12:29:18 --delay 67 --endMP 204:152 --enddatetime 2017-09-02T12:31:18 --enforcementcount 0 &gt;&gt;C:\Users\stu\Documents\GitHub\eaglep3-reporting\EC\2017-09-02-refined-times.txt</v>
      </c>
      <c r="AI212" s="96" t="str">
        <f t="shared" si="123"/>
        <v>echo {"issue":{"subject":"","project_id":79,"tracker_id":40,"status_id":1,"priority_id":2,"assigned_to_id":338,"start_date":"2017-09-02","description":"","custom_fields":[{"id":1,"name":"Subdivision","value":"Shuttle/Test"},{"id":4,"name":"Milepost","value":"0.0152"},{"id":17,"name":"Train ID","value":"61-02"},{"id":16,"name":"Locomotive ID","value":"4017"},{"id":130,"name":"Impact","value":""},{"id":150,"name":"Time of Event (Mountain Time)","value":"12:31:18"},{"id":151,"name":"Denver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2" t="str">
        <f t="shared" si="124"/>
        <v>start /low /b %USERPROFILE%\Documents\GitHub\eaglep3\Utilities\DownloadLogsFromS3.py --loco 4017 --day 2017-09-02</v>
      </c>
      <c r="AN212" s="151" t="str">
        <f t="shared" si="125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18:31:18"},{"id":29,"name":"Sharepoint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</row>
    <row r="213" spans="1:91" x14ac:dyDescent="0.25">
      <c r="A213" s="32" t="s">
        <v>704</v>
      </c>
      <c r="B213" s="7">
        <v>4023</v>
      </c>
      <c r="C213" s="21" t="s">
        <v>197</v>
      </c>
      <c r="D213" s="21" t="s">
        <v>907</v>
      </c>
      <c r="E213" s="13">
        <v>42980.635520833333</v>
      </c>
      <c r="F213" s="13">
        <v>42980.639386574076</v>
      </c>
      <c r="G213" s="7">
        <v>185</v>
      </c>
      <c r="H213" s="21" t="s">
        <v>908</v>
      </c>
      <c r="I213" s="13">
        <v>42980.646979166668</v>
      </c>
      <c r="J213" s="7">
        <v>0</v>
      </c>
      <c r="K213" s="89" t="str">
        <f t="shared" si="166"/>
        <v>4023/4024</v>
      </c>
      <c r="L213" s="214" t="str">
        <f>VLOOKUP(A213,'Trips&amp;Operators'!$C$1:$G$99911,5,FALSE)</f>
        <v>MCREYNOLDS KYLE</v>
      </c>
      <c r="M213" s="6">
        <f t="shared" si="167"/>
        <v>7.5925925921183079E-3</v>
      </c>
      <c r="N213" s="7">
        <f t="shared" si="162"/>
        <v>10.933333332650363</v>
      </c>
      <c r="O213" s="7"/>
      <c r="P213" s="7"/>
      <c r="Q213" s="22"/>
      <c r="R213" s="167"/>
      <c r="S213" s="210">
        <f t="shared" si="160"/>
        <v>1</v>
      </c>
      <c r="T213" s="192" t="str">
        <f t="shared" si="168"/>
        <v>Southbound</v>
      </c>
      <c r="U213" s="192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3" t="str">
        <f t="shared" si="163"/>
        <v>https://d0f6bd738d7f1b3e5a7ca70fe4ff75f0.us-east-1.aws.found.io/app/kibana#/discover/Steve-Slow-Train-Analysis-(2080s-and-2083s)?_g=(refreshInterval:(display:Off,pause:!f,section:0,value:0),time:(from:'2017-09-02T14:15:09-0600',mode:absolute,to:'2017-09-02T16:31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13" s="194" t="str">
        <f>IF(AA213&lt;VLOOKUP(AG213,Variables!$AC$3:$AD$8,2,FALSE),"Y","N")</f>
        <v>Y</v>
      </c>
      <c r="X213" s="194">
        <f t="shared" si="161"/>
        <v>3</v>
      </c>
      <c r="Y213" s="194">
        <f t="shared" si="157"/>
        <v>2.3742999999999999</v>
      </c>
      <c r="Z213" s="194">
        <f t="shared" si="158"/>
        <v>0.11600000000000001</v>
      </c>
      <c r="AA213" s="194">
        <f t="shared" si="169"/>
        <v>2.2582999999999998</v>
      </c>
      <c r="AB213" s="54" t="e">
        <f>VLOOKUP(A213,Enforcements!$C$7:$K$11,8,0)</f>
        <v>#N/A</v>
      </c>
      <c r="AC213" s="51" t="e">
        <f>VLOOKUP(A213,Enforcements!$C$7:$E$11,3,0)</f>
        <v>#N/A</v>
      </c>
      <c r="AD213" s="203">
        <f t="shared" si="170"/>
        <v>64</v>
      </c>
      <c r="AE213" s="77" t="str">
        <f t="shared" si="164"/>
        <v>aws s3 cp s3://rtdc.mdm.uploadarchive.raw/RTDC4023/ "%USERPROFILE%\AppData\Local\Temp\OnboardLogs"\RTDC4023\2017-09-02 --exclude "*" --recursive --include "*20170902*" &amp; "%USERPROFILE%\Documents\GitHub\mrs-test-scripts\Headless Mode &amp; Sideloading\WalkAndUnGZ.bat" "%USERPROFILE%\AppData\Local\Temp\OnboardLogs"\RTDC4023\2017-09-02 &amp; aws s3 cp s3://rtdc.mdm.uploadarchive.raw/RTDC4023/ "%USERPROFILE%\AppData\Local\Temp\OnboardLogs"\RTDC4023\2017-09-03 --exclude "*" --recursive --include "*20170903*" &amp; "%USERPROFILE%\Documents\GitHub\mrs-test-scripts\Headless Mode &amp; Sideloading\WalkAndUnGZ.bat" "%USERPROFILE%\AppData\Local\Temp\OnboardLogs"\RTDC4023\2017-09-03</v>
      </c>
      <c r="AF213" s="74" t="str">
        <f t="shared" si="165"/>
        <v>"C:\Program Files (x86)\AstroGrep\AstroGrep.exe" /e /r /s /spath="%USERPROFILE%\AppData\Local\Temp\OnboardLogs" /stypes="app*4023*20170902*" /stext=" 21:.+((SYSTEM_STATE.+slice.+state.+changed )|(ment ac)|(multiple cpu faults)|(system.+state.+changed )|(\[timeout)|(PRM\|1\|D)|(kpr)|(kdp)|(train st.+moving)|(\|lc)|(penalty))"</v>
      </c>
      <c r="AG213" s="206" t="str">
        <f t="shared" si="171"/>
        <v>Shuttle/Test</v>
      </c>
      <c r="AH213" s="78" t="str">
        <f t="shared" ref="AH213:AH219" si="172">refinertdcruntimes&amp;" --tripid "&amp;A213&amp;" --locoid "&amp;B213&amp;" --swversion "&amp;C213&amp;" --startMP "&amp;D213&amp;" --initTime "&amp;TEXT(E213,"yyyy-mm-ddTHH:MM:SS")&amp;" --startdatetime "&amp;TEXT(F213,"yyyy-mm-ddTHH:MM:SS")&amp;" --delay "&amp;G213&amp;" --endMP "&amp;H213&amp;" --enddatetime "&amp;TEXT(I213,"yyyy-mm-ddTHH:MM:SS")&amp;" --enforcementcount "&amp;J213&amp;IF(outputrefinedruntimes," &gt;&gt;"&amp;RefinedRTDCRunTimesOutputFile,"")</f>
        <v>"%USERPROFILE%\Documents\GitHub\eaglep3\Utilities\RefineRTDCRunTimes.py" --tripid 64-02 --locoid 4023 --swversion DE.1.0.9.0 --startMP 300:23743 --initTime 2017-09-02T15:15:09 --startdatetime 2017-09-02T15:20:43 --delay 185 --endMP 204:1160 --enddatetime 2017-09-02T15:31:39 --enforcementcount 0 &gt;&gt;C:\Users\stu\Documents\GitHub\eaglep3-reporting\EC\2017-09-02-refined-times.txt</v>
      </c>
      <c r="AI213" s="96" t="str">
        <f t="shared" ref="AI213:AI219" si="173">"echo {""issue"":{""subject"":"""&amp;R213&amp;""",""project_id"":79,""tracker_id"":40,""status_id"":"&amp;redmine_status&amp;",""priority_id"":"&amp;redmine_priority&amp;",""assigned_to_id"":"&amp;redmine_assignee&amp;",""start_date"":"""&amp;TEXT(I213,"YYYY-mm-dd")&amp;""",""description"":"""&amp;AJ213&amp;""",""custom_fields"":[{""id"":1,""name"":""Subdivision"",""value"":"""&amp;AG213&amp;"""},{""id"":4,""name"":""Milepost"",""value"":"""&amp;Z213&amp;"""},{""id"":17,""name"":""Train ID"",""value"":"""&amp;A213&amp;"""},{""id"":16,""name"":""Locomotive ID"",""value"":"""&amp;B213&amp;"""},{""id"":130,""name"":""Impact"",""value"":"""&amp;AK213&amp;"""},{""id"":150,""name"":""Time of Event (Mountain Time)"",""value"":"""&amp;TEXT(I213,"hh:mm:ss")&amp;"""},{""id"":151,""name"":""Denver Issue ID"",""value"":"""&amp;"""},{""id"":178,""name"":""Operational Impact"",""value"":"""&amp;redmine_op_impact&amp;"""},{""id"":179,""name"":""Denver Segment Assigned"",""value"":"""&amp;AL213&amp;"""}]}}"&amp;"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-02","description":"","custom_fields":[{"id":1,"name":"Subdivision","value":"Shuttle/Test"},{"id":4,"name":"Milepost","value":"0.116"},{"id":17,"name":"Train ID","value":"64-02"},{"id":16,"name":"Locomotive ID","value":"4023"},{"id":130,"name":"Impact","value":""},{"id":150,"name":"Time of Event (Mountain Time)","value":"15:31:39"},{"id":151,"name":"Denver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2" t="str">
        <f t="shared" ref="AM213:AM219" si="174">"start /low /b "&amp;dls3logs&amp;" --loco "&amp;B213&amp;" --day "&amp;TEXT(F213,"YYYY-MM-DD")</f>
        <v>start /low /b %USERPROFILE%\Documents\GitHub\eaglep3\Utilities\DownloadLogsFromS3.py --loco 4023 --day 2017-09-02</v>
      </c>
      <c r="AN213" s="151" t="str">
        <f t="shared" ref="AN213:AN219" si="175">"echo {""issue"":{""subject"":"""&amp;R213&amp;""",""project_id"":30,""tracker_id"":4,""status_id"":"&amp;redmine_status_wcr&amp;",""priority_id"":"&amp;redmine_priority_wcr&amp;",""assigned_to_id"":"&amp;redmine_assignee_wcr&amp;",""start_date"":"""&amp;TEXT(I213-utc_offset/24,"YYYY-mm-dd")&amp;""",""description"":"""&amp;AJ213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21:31:39"},{"id":29,"name":"Sharepoint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</row>
    <row r="214" spans="1:91" x14ac:dyDescent="0.25">
      <c r="A214" s="32" t="s">
        <v>681</v>
      </c>
      <c r="B214" s="7">
        <v>4052</v>
      </c>
      <c r="C214" s="21" t="s">
        <v>197</v>
      </c>
      <c r="D214" s="21" t="s">
        <v>909</v>
      </c>
      <c r="E214" s="13">
        <v>42980.527766203704</v>
      </c>
      <c r="F214" s="13">
        <v>42980.538587962961</v>
      </c>
      <c r="G214" s="7">
        <v>67</v>
      </c>
      <c r="H214" s="21" t="s">
        <v>910</v>
      </c>
      <c r="I214" s="13">
        <v>42980.540185185186</v>
      </c>
      <c r="J214" s="7">
        <v>0</v>
      </c>
      <c r="K214" s="89" t="str">
        <f t="shared" si="166"/>
        <v>4051/4052</v>
      </c>
      <c r="L214" s="214" t="str">
        <f>VLOOKUP(A214,'Trips&amp;Operators'!$C$1:$G$99911,5,FALSE)</f>
        <v>LOPES KIMBERLY</v>
      </c>
      <c r="M214" s="6">
        <f t="shared" si="167"/>
        <v>1.5972222245181911E-3</v>
      </c>
      <c r="N214" s="7">
        <f t="shared" si="162"/>
        <v>2.3000000033061951</v>
      </c>
      <c r="O214" s="7"/>
      <c r="P214" s="7"/>
      <c r="Q214" s="22"/>
      <c r="R214" s="167"/>
      <c r="S214" s="210">
        <f t="shared" si="160"/>
        <v>0</v>
      </c>
      <c r="T214" s="192" t="str">
        <f t="shared" si="168"/>
        <v>NorthBound</v>
      </c>
      <c r="U214" s="192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93" t="str">
        <f t="shared" si="163"/>
        <v>https://d0f6bd738d7f1b3e5a7ca70fe4ff75f0.us-east-1.aws.found.io/app/kibana#/discover/Steve-Slow-Train-Analysis-(2080s-and-2083s)?_g=(refreshInterval:(display:Off,pause:!f,section:0,value:0),time:(from:'2017-09-02T11:39:59-0600',mode:absolute,to:'2017-09-02T13:57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14" s="194" t="str">
        <f>IF(AA214&lt;VLOOKUP(AG214,Variables!$AC$3:$AD$8,2,FALSE),"Y","N")</f>
        <v>Y</v>
      </c>
      <c r="X214" s="194">
        <f t="shared" si="161"/>
        <v>3</v>
      </c>
      <c r="Y214" s="194">
        <f t="shared" si="157"/>
        <v>0.121</v>
      </c>
      <c r="Z214" s="194">
        <f t="shared" si="158"/>
        <v>0.54139999999999999</v>
      </c>
      <c r="AA214" s="194">
        <f t="shared" si="169"/>
        <v>0.4204</v>
      </c>
      <c r="AB214" s="54" t="e">
        <f>VLOOKUP(A214,Enforcements!$C$7:$K$11,8,0)</f>
        <v>#N/A</v>
      </c>
      <c r="AC214" s="51" t="e">
        <f>VLOOKUP(A214,Enforcements!$C$7:$E$11,3,0)</f>
        <v>#N/A</v>
      </c>
      <c r="AD214" s="203">
        <f t="shared" si="170"/>
        <v>67</v>
      </c>
      <c r="AE214" s="77" t="str">
        <f t="shared" si="164"/>
        <v>aws s3 cp s3://rtdc.mdm.uploadarchive.raw/RTDC4052/ "%USERPROFILE%\AppData\Local\Temp\OnboardLogs"\RTDC4052\2017-09-02 --exclude "*" --recursive --include "*20170902*" &amp; "%USERPROFILE%\Documents\GitHub\mrs-test-scripts\Headless Mode &amp; Sideloading\WalkAndUnGZ.bat" "%USERPROFILE%\AppData\Local\Temp\OnboardLogs"\RTDC4052\2017-09-02 &amp; aws s3 cp s3://rtdc.mdm.uploadarchive.raw/RTDC4052/ "%USERPROFILE%\AppData\Local\Temp\OnboardLogs"\RTDC4052\2017-09-03 --exclude "*" --recursive --include "*20170903*" &amp; "%USERPROFILE%\Documents\GitHub\mrs-test-scripts\Headless Mode &amp; Sideloading\WalkAndUnGZ.bat" "%USERPROFILE%\AppData\Local\Temp\OnboardLogs"\RTDC4052\2017-09-03</v>
      </c>
      <c r="AF214" s="74" t="str">
        <f t="shared" si="165"/>
        <v>"C:\Program Files (x86)\AstroGrep\AstroGrep.exe" /e /r /s /spath="%USERPROFILE%\AppData\Local\Temp\OnboardLogs" /stypes="app*4052*20170902*" /stext=" 18:.+((SYSTEM_STATE.+slice.+state.+changed )|(ment ac)|(multiple cpu faults)|(system.+state.+changed )|(\[timeout)|(PRM\|1\|D)|(kpr)|(kdp)|(train st.+moving)|(\|lc)|(penalty))"</v>
      </c>
      <c r="AG214" s="206" t="str">
        <f t="shared" si="171"/>
        <v>Shuttle/Test</v>
      </c>
      <c r="AH214" s="78" t="str">
        <f t="shared" si="172"/>
        <v>"%USERPROFILE%\Documents\GitHub\eaglep3\Utilities\RefineRTDCRunTimes.py" --tripid 67-02 --locoid 4052 --swversion DE.1.0.9.0 --startMP 204:1210 --initTime 2017-09-02T12:39:59 --startdatetime 2017-09-02T12:55:34 --delay 67 --endMP 300:5414 --enddatetime 2017-09-02T12:57:52 --enforcementcount 0 &gt;&gt;C:\Users\stu\Documents\GitHub\eaglep3-reporting\EC\2017-09-02-refined-times.txt</v>
      </c>
      <c r="AI214" s="96" t="str">
        <f t="shared" si="173"/>
        <v>echo {"issue":{"subject":"","project_id":79,"tracker_id":40,"status_id":1,"priority_id":2,"assigned_to_id":338,"start_date":"2017-09-02","description":"","custom_fields":[{"id":1,"name":"Subdivision","value":"Shuttle/Test"},{"id":4,"name":"Milepost","value":"0.5414"},{"id":17,"name":"Train ID","value":"67-02"},{"id":16,"name":"Locomotive ID","value":"4052"},{"id":130,"name":"Impact","value":""},{"id":150,"name":"Time of Event (Mountain Time)","value":"12:57:52"},{"id":151,"name":"Denver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2" t="str">
        <f t="shared" si="174"/>
        <v>start /low /b %USERPROFILE%\Documents\GitHub\eaglep3\Utilities\DownloadLogsFromS3.py --loco 4052 --day 2017-09-02</v>
      </c>
      <c r="AN214" s="151" t="str">
        <f t="shared" si="175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18:57:52"},{"id":29,"name":"Sharepoint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</row>
    <row r="215" spans="1:91" x14ac:dyDescent="0.25">
      <c r="A215" s="32" t="s">
        <v>681</v>
      </c>
      <c r="B215" s="7">
        <v>4051</v>
      </c>
      <c r="C215" s="21" t="s">
        <v>197</v>
      </c>
      <c r="D215" s="21" t="s">
        <v>911</v>
      </c>
      <c r="E215" s="13">
        <v>42980.534131944441</v>
      </c>
      <c r="F215" s="13">
        <v>42980.538587962961</v>
      </c>
      <c r="G215" s="7">
        <v>43</v>
      </c>
      <c r="H215" s="21" t="s">
        <v>908</v>
      </c>
      <c r="I215" s="13">
        <v>42980.540185185186</v>
      </c>
      <c r="J215" s="7">
        <v>0</v>
      </c>
      <c r="K215" s="89" t="str">
        <f t="shared" si="166"/>
        <v>4051/4052</v>
      </c>
      <c r="L215" s="214" t="str">
        <f>VLOOKUP(A215,'Trips&amp;Operators'!$C$1:$G$99911,5,FALSE)</f>
        <v>LOPES KIMBERLY</v>
      </c>
      <c r="M215" s="6">
        <f t="shared" si="167"/>
        <v>1.5972222245181911E-3</v>
      </c>
      <c r="N215" s="7">
        <f t="shared" si="162"/>
        <v>2.3000000033061951</v>
      </c>
      <c r="O215" s="7"/>
      <c r="P215" s="7"/>
      <c r="Q215" s="22"/>
      <c r="R215" s="167"/>
      <c r="S215" s="210">
        <f t="shared" si="160"/>
        <v>0</v>
      </c>
      <c r="T215" s="192" t="str">
        <f t="shared" si="168"/>
        <v>NorthBound</v>
      </c>
      <c r="U215" s="192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93" t="str">
        <f t="shared" si="163"/>
        <v>https://d0f6bd738d7f1b3e5a7ca70fe4ff75f0.us-east-1.aws.found.io/app/kibana#/discover/Steve-Slow-Train-Analysis-(2080s-and-2083s)?_g=(refreshInterval:(display:Off,pause:!f,section:0,value:0),time:(from:'2017-09-02T11:49:09-0600',mode:absolute,to:'2017-09-02T13:57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15" s="194" t="str">
        <f>IF(AA215&lt;VLOOKUP(AG215,Variables!$AC$3:$AD$8,2,FALSE),"Y","N")</f>
        <v>Y</v>
      </c>
      <c r="X215" s="194">
        <f t="shared" si="161"/>
        <v>0</v>
      </c>
      <c r="Y215" s="194">
        <f t="shared" si="157"/>
        <v>0.51290000000000002</v>
      </c>
      <c r="Z215" s="194">
        <f t="shared" si="158"/>
        <v>0.11600000000000001</v>
      </c>
      <c r="AA215" s="194">
        <f t="shared" si="169"/>
        <v>0.39690000000000003</v>
      </c>
      <c r="AB215" s="54" t="e">
        <f>VLOOKUP(A215,Enforcements!$C$7:$K$11,8,0)</f>
        <v>#N/A</v>
      </c>
      <c r="AC215" s="51" t="e">
        <f>VLOOKUP(A215,Enforcements!$C$7:$E$11,3,0)</f>
        <v>#N/A</v>
      </c>
      <c r="AD215" s="203">
        <f t="shared" si="170"/>
        <v>67</v>
      </c>
      <c r="AE215" s="77" t="str">
        <f t="shared" si="164"/>
        <v>aws s3 cp s3://rtdc.mdm.uploadarchive.raw/RTDC4051/ "%USERPROFILE%\AppData\Local\Temp\OnboardLogs"\RTDC4051\2017-09-02 --exclude "*" --recursive --include "*20170902*" &amp; "%USERPROFILE%\Documents\GitHub\mrs-test-scripts\Headless Mode &amp; Sideloading\WalkAndUnGZ.bat" "%USERPROFILE%\AppData\Local\Temp\OnboardLogs"\RTDC4051\2017-09-02 &amp; aws s3 cp s3://rtdc.mdm.uploadarchive.raw/RTDC4051/ "%USERPROFILE%\AppData\Local\Temp\OnboardLogs"\RTDC4051\2017-09-03 --exclude "*" --recursive --include "*20170903*" &amp; "%USERPROFILE%\Documents\GitHub\mrs-test-scripts\Headless Mode &amp; Sideloading\WalkAndUnGZ.bat" "%USERPROFILE%\AppData\Local\Temp\OnboardLogs"\RTDC4051\2017-09-03</v>
      </c>
      <c r="AF215" s="74" t="str">
        <f t="shared" si="165"/>
        <v>"C:\Program Files (x86)\AstroGrep\AstroGrep.exe" /e /r /s /spath="%USERPROFILE%\AppData\Local\Temp\OnboardLogs" /stypes="app*4051*20170902*" /stext=" 18:.+((SYSTEM_STATE.+slice.+state.+changed )|(ment ac)|(multiple cpu faults)|(system.+state.+changed )|(\[timeout)|(PRM\|1\|D)|(kpr)|(kdp)|(train st.+moving)|(\|lc)|(penalty))"</v>
      </c>
      <c r="AG215" s="206" t="str">
        <f t="shared" si="171"/>
        <v>Shuttle/Test</v>
      </c>
      <c r="AH215" s="78" t="str">
        <f t="shared" si="172"/>
        <v>"%USERPROFILE%\Documents\GitHub\eaglep3\Utilities\RefineRTDCRunTimes.py" --tripid 67-02 --locoid 4051 --swversion DE.1.0.9.0 --startMP 300:5129 --initTime 2017-09-02T12:49:09 --startdatetime 2017-09-02T12:55:34 --delay 43 --endMP 204:1160 --enddatetime 2017-09-02T12:57:52 --enforcementcount 0 &gt;&gt;C:\Users\stu\Documents\GitHub\eaglep3-reporting\EC\2017-09-02-refined-times.txt</v>
      </c>
      <c r="AI215" s="96" t="str">
        <f t="shared" si="173"/>
        <v>echo {"issue":{"subject":"","project_id":79,"tracker_id":40,"status_id":1,"priority_id":2,"assigned_to_id":338,"start_date":"2017-09-02","description":"","custom_fields":[{"id":1,"name":"Subdivision","value":"Shuttle/Test"},{"id":4,"name":"Milepost","value":"0.116"},{"id":17,"name":"Train ID","value":"67-02"},{"id":16,"name":"Locomotive ID","value":"4051"},{"id":130,"name":"Impact","value":""},{"id":150,"name":"Time of Event (Mountain Time)","value":"12:57:52"},{"id":151,"name":"Denver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2" t="str">
        <f t="shared" si="174"/>
        <v>start /low /b %USERPROFILE%\Documents\GitHub\eaglep3\Utilities\DownloadLogsFromS3.py --loco 4051 --day 2017-09-02</v>
      </c>
      <c r="AN215" s="151" t="str">
        <f t="shared" si="175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18:57:52"},{"id":29,"name":"Sharepoint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</row>
    <row r="216" spans="1:91" x14ac:dyDescent="0.25">
      <c r="A216" s="32" t="s">
        <v>681</v>
      </c>
      <c r="B216" s="7">
        <v>4024</v>
      </c>
      <c r="C216" s="21" t="s">
        <v>197</v>
      </c>
      <c r="D216" s="21" t="s">
        <v>894</v>
      </c>
      <c r="E216" s="13">
        <v>42980.662118055552</v>
      </c>
      <c r="F216" s="13">
        <v>42980.667534722219</v>
      </c>
      <c r="G216" s="7">
        <v>62</v>
      </c>
      <c r="H216" s="21" t="s">
        <v>912</v>
      </c>
      <c r="I216" s="13">
        <v>42980.668842592589</v>
      </c>
      <c r="J216" s="7">
        <v>0</v>
      </c>
      <c r="K216" s="89" t="str">
        <f t="shared" si="166"/>
        <v>4023/4024</v>
      </c>
      <c r="L216" s="214" t="str">
        <f>VLOOKUP(A216,'Trips&amp;Operators'!$C$1:$G$99911,5,FALSE)</f>
        <v>LOPES KIMBERLY</v>
      </c>
      <c r="M216" s="6">
        <f t="shared" si="167"/>
        <v>1.3078703705104999E-3</v>
      </c>
      <c r="N216" s="7">
        <f t="shared" si="162"/>
        <v>1.8833333335351199</v>
      </c>
      <c r="O216" s="7"/>
      <c r="P216" s="7"/>
      <c r="Q216" s="22"/>
      <c r="R216" s="167"/>
      <c r="S216" s="210">
        <f t="shared" si="160"/>
        <v>0</v>
      </c>
      <c r="T216" s="192" t="str">
        <f t="shared" si="168"/>
        <v>NorthBound</v>
      </c>
      <c r="U216" s="192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93" t="str">
        <f t="shared" si="163"/>
        <v>https://d0f6bd738d7f1b3e5a7ca70fe4ff75f0.us-east-1.aws.found.io/app/kibana#/discover/Steve-Slow-Train-Analysis-(2080s-and-2083s)?_g=(refreshInterval:(display:Off,pause:!f,section:0,value:0),time:(from:'2017-09-02T14:53:27-0600',mode:absolute,to:'2017-09-02T17:03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16" s="194" t="str">
        <f>IF(AA216&lt;VLOOKUP(AG216,Variables!$AC$3:$AD$8,2,FALSE),"Y","N")</f>
        <v>Y</v>
      </c>
      <c r="X216" s="194">
        <f t="shared" si="161"/>
        <v>0</v>
      </c>
      <c r="Y216" s="194">
        <f t="shared" si="157"/>
        <v>0.1467</v>
      </c>
      <c r="Z216" s="194">
        <f t="shared" si="158"/>
        <v>0.35120000000000001</v>
      </c>
      <c r="AA216" s="194">
        <f t="shared" si="169"/>
        <v>0.20450000000000002</v>
      </c>
      <c r="AB216" s="54" t="e">
        <f>VLOOKUP(A216,Enforcements!$C$7:$K$11,8,0)</f>
        <v>#N/A</v>
      </c>
      <c r="AC216" s="51" t="e">
        <f>VLOOKUP(A216,Enforcements!$C$7:$E$11,3,0)</f>
        <v>#N/A</v>
      </c>
      <c r="AD216" s="203">
        <f t="shared" si="170"/>
        <v>67</v>
      </c>
      <c r="AE216" s="77" t="str">
        <f t="shared" si="164"/>
        <v>aws s3 cp s3://rtdc.mdm.uploadarchive.raw/RTDC4024/ "%USERPROFILE%\AppData\Local\Temp\OnboardLogs"\RTDC4024\2017-09-02 --exclude "*" --recursive --include "*20170902*" &amp; "%USERPROFILE%\Documents\GitHub\mrs-test-scripts\Headless Mode &amp; Sideloading\WalkAndUnGZ.bat" "%USERPROFILE%\AppData\Local\Temp\OnboardLogs"\RTDC4024\2017-09-02 &amp; aws s3 cp s3://rtdc.mdm.uploadarchive.raw/RTDC4024/ "%USERPROFILE%\AppData\Local\Temp\OnboardLogs"\RTDC4024\2017-09-03 --exclude "*" --recursive --include "*20170903*" &amp; "%USERPROFILE%\Documents\GitHub\mrs-test-scripts\Headless Mode &amp; Sideloading\WalkAndUnGZ.bat" "%USERPROFILE%\AppData\Local\Temp\OnboardLogs"\RTDC4024\2017-09-03</v>
      </c>
      <c r="AF216" s="74" t="str">
        <f t="shared" si="165"/>
        <v>"C:\Program Files (x86)\AstroGrep\AstroGrep.exe" /e /r /s /spath="%USERPROFILE%\AppData\Local\Temp\OnboardLogs" /stypes="app*4024*20170902*" /stext=" 22:.+((SYSTEM_STATE.+slice.+state.+changed )|(ment ac)|(multiple cpu faults)|(system.+state.+changed )|(\[timeout)|(PRM\|1\|D)|(kpr)|(kdp)|(train st.+moving)|(\|lc)|(penalty))"</v>
      </c>
      <c r="AG216" s="206" t="str">
        <f t="shared" si="171"/>
        <v>Shuttle/Test</v>
      </c>
      <c r="AH216" s="78" t="str">
        <f t="shared" si="172"/>
        <v>"%USERPROFILE%\Documents\GitHub\eaglep3\Utilities\RefineRTDCRunTimes.py" --tripid 67-02 --locoid 4024 --swversion DE.1.0.9.0 --startMP 204:1467 --initTime 2017-09-02T15:53:27 --startdatetime 2017-09-02T16:01:15 --delay 62 --endMP 204:3512 --enddatetime 2017-09-02T16:03:08 --enforcementcount 0 &gt;&gt;C:\Users\stu\Documents\GitHub\eaglep3-reporting\EC\2017-09-02-refined-times.txt</v>
      </c>
      <c r="AI216" s="96" t="str">
        <f t="shared" si="173"/>
        <v>echo {"issue":{"subject":"","project_id":79,"tracker_id":40,"status_id":1,"priority_id":2,"assigned_to_id":338,"start_date":"2017-09-02","description":"","custom_fields":[{"id":1,"name":"Subdivision","value":"Shuttle/Test"},{"id":4,"name":"Milepost","value":"0.3512"},{"id":17,"name":"Train ID","value":"67-02"},{"id":16,"name":"Locomotive ID","value":"4024"},{"id":130,"name":"Impact","value":""},{"id":150,"name":"Time of Event (Mountain Time)","value":"16:03:08"},{"id":151,"name":"Denver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2" t="str">
        <f t="shared" si="174"/>
        <v>start /low /b %USERPROFILE%\Documents\GitHub\eaglep3\Utilities\DownloadLogsFromS3.py --loco 4024 --day 2017-09-02</v>
      </c>
      <c r="AN216" s="151" t="str">
        <f t="shared" si="175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22:03:08"},{"id":29,"name":"Sharepoint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/>
    </row>
    <row r="217" spans="1:91" x14ac:dyDescent="0.25">
      <c r="A217" s="32" t="s">
        <v>681</v>
      </c>
      <c r="B217" s="7">
        <v>4023</v>
      </c>
      <c r="C217" s="21" t="s">
        <v>197</v>
      </c>
      <c r="D217" s="21" t="s">
        <v>947</v>
      </c>
      <c r="E217" s="13">
        <v>42980.66574074074</v>
      </c>
      <c r="F217" s="13">
        <v>42980.667534722219</v>
      </c>
      <c r="G217" s="7">
        <v>88</v>
      </c>
      <c r="H217" s="21" t="s">
        <v>430</v>
      </c>
      <c r="I217" s="13">
        <v>42980.668842592589</v>
      </c>
      <c r="J217" s="7">
        <v>0</v>
      </c>
      <c r="K217" s="89" t="str">
        <f t="shared" si="166"/>
        <v>4023/4024</v>
      </c>
      <c r="L217" s="214" t="str">
        <f>VLOOKUP(A217,'Trips&amp;Operators'!$C$1:$G$99911,5,FALSE)</f>
        <v>LOPES KIMBERLY</v>
      </c>
      <c r="M217" s="6">
        <f t="shared" si="167"/>
        <v>1.3078703705104999E-3</v>
      </c>
      <c r="N217" s="7">
        <f t="shared" si="162"/>
        <v>1.8833333335351199</v>
      </c>
      <c r="O217" s="7"/>
      <c r="P217" s="7"/>
      <c r="Q217" s="22"/>
      <c r="R217" s="167"/>
      <c r="S217" s="210">
        <f t="shared" si="160"/>
        <v>0</v>
      </c>
      <c r="T217" s="192" t="str">
        <f t="shared" si="168"/>
        <v>NorthBound</v>
      </c>
      <c r="U217" s="192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93" t="str">
        <f t="shared" si="163"/>
        <v>https://d0f6bd738d7f1b3e5a7ca70fe4ff75f0.us-east-1.aws.found.io/app/kibana#/discover/Steve-Slow-Train-Analysis-(2080s-and-2083s)?_g=(refreshInterval:(display:Off,pause:!f,section:0,value:0),time:(from:'2017-09-02T14:58:40-0600',mode:absolute,to:'2017-09-02T17:03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17" s="194" t="str">
        <f>IF(AA217&lt;VLOOKUP(AG217,Variables!$AC$3:$AD$8,2,FALSE),"Y","N")</f>
        <v>Y</v>
      </c>
      <c r="X217" s="194">
        <f t="shared" si="161"/>
        <v>0</v>
      </c>
      <c r="Y217" s="194">
        <f t="shared" si="157"/>
        <v>0.3216</v>
      </c>
      <c r="Z217" s="194">
        <f t="shared" si="158"/>
        <v>1.67E-2</v>
      </c>
      <c r="AA217" s="194">
        <f t="shared" si="169"/>
        <v>0.3049</v>
      </c>
      <c r="AB217" s="54" t="e">
        <f>VLOOKUP(A217,Enforcements!$C$7:$K$11,8,0)</f>
        <v>#N/A</v>
      </c>
      <c r="AC217" s="51" t="e">
        <f>VLOOKUP(A217,Enforcements!$C$7:$E$11,3,0)</f>
        <v>#N/A</v>
      </c>
      <c r="AD217" s="203">
        <f t="shared" si="170"/>
        <v>67</v>
      </c>
      <c r="AE217" s="77" t="str">
        <f t="shared" si="164"/>
        <v>aws s3 cp s3://rtdc.mdm.uploadarchive.raw/RTDC4023/ "%USERPROFILE%\AppData\Local\Temp\OnboardLogs"\RTDC4023\2017-09-02 --exclude "*" --recursive --include "*20170902*" &amp; "%USERPROFILE%\Documents\GitHub\mrs-test-scripts\Headless Mode &amp; Sideloading\WalkAndUnGZ.bat" "%USERPROFILE%\AppData\Local\Temp\OnboardLogs"\RTDC4023\2017-09-02 &amp; aws s3 cp s3://rtdc.mdm.uploadarchive.raw/RTDC4023/ "%USERPROFILE%\AppData\Local\Temp\OnboardLogs"\RTDC4023\2017-09-03 --exclude "*" --recursive --include "*20170903*" &amp; "%USERPROFILE%\Documents\GitHub\mrs-test-scripts\Headless Mode &amp; Sideloading\WalkAndUnGZ.bat" "%USERPROFILE%\AppData\Local\Temp\OnboardLogs"\RTDC4023\2017-09-03</v>
      </c>
      <c r="AF217" s="74" t="str">
        <f t="shared" si="165"/>
        <v>"C:\Program Files (x86)\AstroGrep\AstroGrep.exe" /e /r /s /spath="%USERPROFILE%\AppData\Local\Temp\OnboardLogs" /stypes="app*4023*20170902*" /stext=" 22:.+((SYSTEM_STATE.+slice.+state.+changed )|(ment ac)|(multiple cpu faults)|(system.+state.+changed )|(\[timeout)|(PRM\|1\|D)|(kpr)|(kdp)|(train st.+moving)|(\|lc)|(penalty))"</v>
      </c>
      <c r="AG217" s="206" t="str">
        <f t="shared" si="171"/>
        <v>Shuttle/Test</v>
      </c>
      <c r="AH217" s="78" t="str">
        <f t="shared" si="172"/>
        <v>"%USERPROFILE%\Documents\GitHub\eaglep3\Utilities\RefineRTDCRunTimes.py" --tripid 67-02 --locoid 4023 --swversion DE.1.0.9.0 --startMP 204:3216 --initTime 2017-09-02T15:58:40 --startdatetime 2017-09-02T16:01:15 --delay 88 --endMP 204:167 --enddatetime 2017-09-02T16:03:08 --enforcementcount 0 &gt;&gt;C:\Users\stu\Documents\GitHub\eaglep3-reporting\EC\2017-09-02-refined-times.txt</v>
      </c>
      <c r="AI217" s="96" t="str">
        <f t="shared" si="173"/>
        <v>echo {"issue":{"subject":"","project_id":79,"tracker_id":40,"status_id":1,"priority_id":2,"assigned_to_id":338,"start_date":"2017-09-02","description":"","custom_fields":[{"id":1,"name":"Subdivision","value":"Shuttle/Test"},{"id":4,"name":"Milepost","value":"0.0167"},{"id":17,"name":"Train ID","value":"67-02"},{"id":16,"name":"Locomotive ID","value":"4023"},{"id":130,"name":"Impact","value":""},{"id":150,"name":"Time of Event (Mountain Time)","value":"16:03:08"},{"id":151,"name":"Denver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2" t="str">
        <f t="shared" si="174"/>
        <v>start /low /b %USERPROFILE%\Documents\GitHub\eaglep3\Utilities\DownloadLogsFromS3.py --loco 4023 --day 2017-09-02</v>
      </c>
      <c r="AN217" s="151" t="str">
        <f t="shared" si="175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22:03:08"},{"id":29,"name":"Sharepoint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/>
    </row>
    <row r="218" spans="1:91" s="20" customFormat="1" x14ac:dyDescent="0.25">
      <c r="A218" s="32" t="s">
        <v>575</v>
      </c>
      <c r="B218" s="7">
        <v>4030</v>
      </c>
      <c r="C218" s="21" t="s">
        <v>197</v>
      </c>
      <c r="D218" s="21" t="s">
        <v>915</v>
      </c>
      <c r="E218" s="13">
        <v>42980.526006944441</v>
      </c>
      <c r="F218" s="13">
        <v>42980.531666666669</v>
      </c>
      <c r="G218" s="7">
        <v>58</v>
      </c>
      <c r="H218" s="21" t="s">
        <v>916</v>
      </c>
      <c r="I218" s="13">
        <v>42980.531805555554</v>
      </c>
      <c r="J218" s="7">
        <v>0</v>
      </c>
      <c r="K218" s="89" t="str">
        <f t="shared" si="166"/>
        <v>4029/4030</v>
      </c>
      <c r="L218" s="214" t="str">
        <f>VLOOKUP(A218,'Trips&amp;Operators'!$C$1:$G$99911,5,FALSE)</f>
        <v>MCREYNOLDS KYLE</v>
      </c>
      <c r="M218" s="6">
        <f t="shared" si="167"/>
        <v>1.3888888497604057E-4</v>
      </c>
      <c r="N218" s="7">
        <f t="shared" si="162"/>
        <v>0.19999999436549842</v>
      </c>
      <c r="O218" s="7"/>
      <c r="P218" s="7"/>
      <c r="Q218" s="22"/>
      <c r="R218" s="167"/>
      <c r="S218" s="210">
        <f t="shared" si="160"/>
        <v>0</v>
      </c>
      <c r="T218" s="192" t="str">
        <f t="shared" si="168"/>
        <v>Southbound</v>
      </c>
      <c r="U218" s="192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93" t="str">
        <f t="shared" si="163"/>
        <v>https://d0f6bd738d7f1b3e5a7ca70fe4ff75f0.us-east-1.aws.found.io/app/kibana#/discover/Steve-Slow-Train-Analysis-(2080s-and-2083s)?_g=(refreshInterval:(display:Off,pause:!f,section:0,value:0),time:(from:'2017-09-02T11:37:27-0600',mode:absolute,to:'2017-09-02T13:45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18" s="194" t="str">
        <f>IF(AA218&lt;VLOOKUP(AG218,Variables!$AC$3:$AD$8,2,FALSE),"Y","N")</f>
        <v>Y</v>
      </c>
      <c r="X218" s="194">
        <f t="shared" si="161"/>
        <v>1</v>
      </c>
      <c r="Y218" s="194">
        <f t="shared" si="157"/>
        <v>3.6499999999999998E-2</v>
      </c>
      <c r="Z218" s="194">
        <f t="shared" si="158"/>
        <v>0.5292</v>
      </c>
      <c r="AA218" s="194">
        <f t="shared" si="169"/>
        <v>0.49270000000000003</v>
      </c>
      <c r="AB218" s="54" t="e">
        <f>VLOOKUP(A218,Enforcements!$C$7:$K$11,8,0)</f>
        <v>#N/A</v>
      </c>
      <c r="AC218" s="51" t="e">
        <f>VLOOKUP(A218,Enforcements!$C$7:$E$11,3,0)</f>
        <v>#N/A</v>
      </c>
      <c r="AD218" s="203">
        <f t="shared" si="170"/>
        <v>68</v>
      </c>
      <c r="AE218" s="77" t="str">
        <f t="shared" si="164"/>
        <v>aws s3 cp s3://rtdc.mdm.uploadarchive.raw/RTDC4030/ "%USERPROFILE%\AppData\Local\Temp\OnboardLogs"\RTDC4030\2017-09-02 --exclude "*" --recursive --include "*20170902*" &amp; "%USERPROFILE%\Documents\GitHub\mrs-test-scripts\Headless Mode &amp; Sideloading\WalkAndUnGZ.bat" "%USERPROFILE%\AppData\Local\Temp\OnboardLogs"\RTDC4030\2017-09-02 &amp; aws s3 cp s3://rtdc.mdm.uploadarchive.raw/RTDC4030/ "%USERPROFILE%\AppData\Local\Temp\OnboardLogs"\RTDC4030\2017-09-03 --exclude "*" --recursive --include "*20170903*" &amp; "%USERPROFILE%\Documents\GitHub\mrs-test-scripts\Headless Mode &amp; Sideloading\WalkAndUnGZ.bat" "%USERPROFILE%\AppData\Local\Temp\OnboardLogs"\RTDC4030\2017-09-03</v>
      </c>
      <c r="AF218" s="74" t="str">
        <f t="shared" si="165"/>
        <v>"C:\Program Files (x86)\AstroGrep\AstroGrep.exe" /e /r /s /spath="%USERPROFILE%\AppData\Local\Temp\OnboardLogs" /stypes="app*4030*20170902*" /stext=" 18:.+((SYSTEM_STATE.+slice.+state.+changed )|(ment ac)|(multiple cpu faults)|(system.+state.+changed )|(\[timeout)|(PRM\|1\|D)|(kpr)|(kdp)|(train st.+moving)|(\|lc)|(penalty))"</v>
      </c>
      <c r="AG218" s="206" t="str">
        <f t="shared" si="171"/>
        <v>Shuttle/Test</v>
      </c>
      <c r="AH218" s="78" t="str">
        <f t="shared" si="172"/>
        <v>"%USERPROFILE%\Documents\GitHub\eaglep3\Utilities\RefineRTDCRunTimes.py" --tripid 68-02 --locoid 4030 --swversion DE.1.0.9.0 --startMP 204:365 --initTime 2017-09-02T12:37:27 --startdatetime 2017-09-02T12:45:36 --delay 58 --endMP 300:5292 --enddatetime 2017-09-02T12:45:48 --enforcementcount 0 &gt;&gt;C:\Users\stu\Documents\GitHub\eaglep3-reporting\EC\2017-09-02-refined-times.txt</v>
      </c>
      <c r="AI218" s="96" t="str">
        <f t="shared" si="173"/>
        <v>echo {"issue":{"subject":"","project_id":79,"tracker_id":40,"status_id":1,"priority_id":2,"assigned_to_id":338,"start_date":"2017-09-02","description":"","custom_fields":[{"id":1,"name":"Subdivision","value":"Shuttle/Test"},{"id":4,"name":"Milepost","value":"0.5292"},{"id":17,"name":"Train ID","value":"68-02"},{"id":16,"name":"Locomotive ID","value":"4030"},{"id":130,"name":"Impact","value":""},{"id":150,"name":"Time of Event (Mountain Time)","value":"12:45:48"},{"id":151,"name":"Denver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8" s="47"/>
      <c r="AL218" s="47"/>
      <c r="AM218" s="142" t="str">
        <f t="shared" si="174"/>
        <v>start /low /b %USERPROFILE%\Documents\GitHub\eaglep3\Utilities\DownloadLogsFromS3.py --loco 4030 --day 2017-09-02</v>
      </c>
      <c r="AN218" s="151" t="str">
        <f t="shared" si="175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18:45:48"},{"id":29,"name":"Sharepoint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x14ac:dyDescent="0.25">
      <c r="A219" s="32" t="s">
        <v>575</v>
      </c>
      <c r="B219" s="7">
        <v>4029</v>
      </c>
      <c r="C219" s="21" t="s">
        <v>197</v>
      </c>
      <c r="D219" s="21" t="s">
        <v>913</v>
      </c>
      <c r="E219" s="13">
        <v>42980.529918981483</v>
      </c>
      <c r="F219" s="13">
        <v>42980.531666666669</v>
      </c>
      <c r="G219" s="7">
        <v>61</v>
      </c>
      <c r="H219" s="21" t="s">
        <v>914</v>
      </c>
      <c r="I219" s="13">
        <v>42980.531805555554</v>
      </c>
      <c r="J219" s="7">
        <v>0</v>
      </c>
      <c r="K219" s="89" t="str">
        <f t="shared" si="166"/>
        <v>4029/4030</v>
      </c>
      <c r="L219" s="214" t="str">
        <f>VLOOKUP(A219,'Trips&amp;Operators'!$C$1:$G$99911,5,FALSE)</f>
        <v>MCREYNOLDS KYLE</v>
      </c>
      <c r="M219" s="6">
        <f t="shared" si="167"/>
        <v>1.3888888497604057E-4</v>
      </c>
      <c r="N219" s="7">
        <f t="shared" si="162"/>
        <v>0.19999999436549842</v>
      </c>
      <c r="O219" s="7"/>
      <c r="P219" s="7"/>
      <c r="Q219" s="22"/>
      <c r="R219" s="167"/>
      <c r="S219" s="210">
        <f t="shared" si="160"/>
        <v>0</v>
      </c>
      <c r="T219" s="192" t="str">
        <f t="shared" si="168"/>
        <v>Southbound</v>
      </c>
      <c r="U219" s="192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93" t="str">
        <f t="shared" si="163"/>
        <v>https://d0f6bd738d7f1b3e5a7ca70fe4ff75f0.us-east-1.aws.found.io/app/kibana#/discover/Steve-Slow-Train-Analysis-(2080s-and-2083s)?_g=(refreshInterval:(display:Off,pause:!f,section:0,value:0),time:(from:'2017-09-02T11:43:05-0600',mode:absolute,to:'2017-09-02T13:45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19" s="194" t="str">
        <f>IF(AA219&lt;VLOOKUP(AG219,Variables!$AC$3:$AD$8,2,FALSE),"Y","N")</f>
        <v>Y</v>
      </c>
      <c r="X219" s="194">
        <f t="shared" si="161"/>
        <v>0</v>
      </c>
      <c r="Y219" s="194">
        <f t="shared" si="157"/>
        <v>0.5</v>
      </c>
      <c r="Z219" s="194">
        <f t="shared" si="158"/>
        <v>0.46510000000000001</v>
      </c>
      <c r="AA219" s="194">
        <f t="shared" si="169"/>
        <v>3.4899999999999987E-2</v>
      </c>
      <c r="AB219" s="54" t="e">
        <f>VLOOKUP(A219,Enforcements!$C$7:$K$11,8,0)</f>
        <v>#N/A</v>
      </c>
      <c r="AC219" s="51" t="e">
        <f>VLOOKUP(A219,Enforcements!$C$7:$E$11,3,0)</f>
        <v>#N/A</v>
      </c>
      <c r="AD219" s="203">
        <f t="shared" si="170"/>
        <v>68</v>
      </c>
      <c r="AE219" s="77" t="str">
        <f t="shared" si="164"/>
        <v>aws s3 cp s3://rtdc.mdm.uploadarchive.raw/RTDC4029/ "%USERPROFILE%\AppData\Local\Temp\OnboardLogs"\RTDC4029\2017-09-02 --exclude "*" --recursive --include "*20170902*" &amp; "%USERPROFILE%\Documents\GitHub\mrs-test-scripts\Headless Mode &amp; Sideloading\WalkAndUnGZ.bat" "%USERPROFILE%\AppData\Local\Temp\OnboardLogs"\RTDC4029\2017-09-02 &amp; aws s3 cp s3://rtdc.mdm.uploadarchive.raw/RTDC4029/ "%USERPROFILE%\AppData\Local\Temp\OnboardLogs"\RTDC4029\2017-09-03 --exclude "*" --recursive --include "*20170903*" &amp; "%USERPROFILE%\Documents\GitHub\mrs-test-scripts\Headless Mode &amp; Sideloading\WalkAndUnGZ.bat" "%USERPROFILE%\AppData\Local\Temp\OnboardLogs"\RTDC4029\2017-09-03</v>
      </c>
      <c r="AF219" s="74" t="str">
        <f t="shared" si="165"/>
        <v>"C:\Program Files (x86)\AstroGrep\AstroGrep.exe" /e /r /s /spath="%USERPROFILE%\AppData\Local\Temp\OnboardLogs" /stypes="app*4029*20170902*" /stext=" 18:.+((SYSTEM_STATE.+slice.+state.+changed )|(ment ac)|(multiple cpu faults)|(system.+state.+changed )|(\[timeout)|(PRM\|1\|D)|(kpr)|(kdp)|(train st.+moving)|(\|lc)|(penalty))"</v>
      </c>
      <c r="AG219" s="206" t="str">
        <f t="shared" si="171"/>
        <v>Shuttle/Test</v>
      </c>
      <c r="AH219" s="78" t="str">
        <f t="shared" si="172"/>
        <v>"%USERPROFILE%\Documents\GitHub\eaglep3\Utilities\RefineRTDCRunTimes.py" --tripid 68-02 --locoid 4029 --swversion DE.1.0.9.0 --startMP 300:5000 --initTime 2017-09-02T12:43:05 --startdatetime 2017-09-02T12:45:36 --delay 61 --endMP 204:4651 --enddatetime 2017-09-02T12:45:48 --enforcementcount 0 &gt;&gt;C:\Users\stu\Documents\GitHub\eaglep3-reporting\EC\2017-09-02-refined-times.txt</v>
      </c>
      <c r="AI219" s="96" t="str">
        <f t="shared" si="173"/>
        <v>echo {"issue":{"subject":"","project_id":79,"tracker_id":40,"status_id":1,"priority_id":2,"assigned_to_id":338,"start_date":"2017-09-02","description":"","custom_fields":[{"id":1,"name":"Subdivision","value":"Shuttle/Test"},{"id":4,"name":"Milepost","value":"0.4651"},{"id":17,"name":"Train ID","value":"68-02"},{"id":16,"name":"Locomotive ID","value":"4029"},{"id":130,"name":"Impact","value":""},{"id":150,"name":"Time of Event (Mountain Time)","value":"12:45:48"},{"id":151,"name":"Denver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2" t="str">
        <f t="shared" si="174"/>
        <v>start /low /b %USERPROFILE%\Documents\GitHub\eaglep3\Utilities\DownloadLogsFromS3.py --loco 4029 --day 2017-09-02</v>
      </c>
      <c r="AN219" s="151" t="str">
        <f t="shared" si="175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18:45:48"},{"id":29,"name":"Sharepoint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/>
    </row>
    <row r="220" spans="1:9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M220"/>
      <c r="AO220"/>
    </row>
    <row r="221" spans="1:9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M221"/>
      <c r="AO221"/>
    </row>
    <row r="222" spans="1:9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M222"/>
      <c r="AO222"/>
    </row>
    <row r="223" spans="1:9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M223"/>
      <c r="AO223"/>
    </row>
    <row r="224" spans="1:91" s="20" customFormat="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4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M225"/>
      <c r="AO225"/>
    </row>
    <row r="226" spans="1:4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M226"/>
      <c r="AO226"/>
    </row>
    <row r="227" spans="1:4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M227"/>
      <c r="AO227"/>
    </row>
    <row r="228" spans="1:4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M228"/>
      <c r="AO228"/>
    </row>
    <row r="229" spans="1:4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M229"/>
      <c r="AO229"/>
    </row>
    <row r="230" spans="1:4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M230"/>
      <c r="AO230"/>
    </row>
    <row r="231" spans="1:4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M231"/>
      <c r="AO231"/>
    </row>
    <row r="232" spans="1:4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M232"/>
      <c r="AO232"/>
    </row>
    <row r="233" spans="1:4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M233"/>
      <c r="AO233"/>
    </row>
    <row r="234" spans="1:4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M234"/>
      <c r="AO234"/>
    </row>
    <row r="235" spans="1:4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M235"/>
      <c r="AO235"/>
    </row>
    <row r="236" spans="1:4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M236"/>
      <c r="AO236"/>
    </row>
    <row r="237" spans="1:4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M237"/>
      <c r="AO237"/>
    </row>
    <row r="238" spans="1:4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M238"/>
      <c r="AO238"/>
    </row>
    <row r="239" spans="1:4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M239"/>
      <c r="AO239"/>
    </row>
    <row r="240" spans="1:4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M240"/>
      <c r="AO240"/>
    </row>
    <row r="241" spans="1:91" s="20" customForma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M242"/>
      <c r="AO242"/>
    </row>
    <row r="243" spans="1:9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M243"/>
      <c r="AO243"/>
    </row>
    <row r="244" spans="1:9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M244"/>
      <c r="AO244"/>
    </row>
    <row r="245" spans="1:91" s="20" customForma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M246"/>
      <c r="AO246"/>
    </row>
    <row r="247" spans="1:9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M247"/>
      <c r="AO247"/>
    </row>
    <row r="248" spans="1:9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M248"/>
      <c r="AO248"/>
    </row>
    <row r="249" spans="1:9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M249"/>
      <c r="AO249"/>
    </row>
    <row r="250" spans="1:9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M250"/>
      <c r="AO250"/>
    </row>
    <row r="251" spans="1:9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M251"/>
      <c r="AO251"/>
    </row>
    <row r="252" spans="1:9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M252"/>
      <c r="AO252"/>
    </row>
    <row r="253" spans="1:9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9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9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9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4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4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4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O259"/>
    </row>
    <row r="260" spans="1:4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  <c r="AO260"/>
    </row>
    <row r="261" spans="1:4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  <row r="262" spans="1:4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M262"/>
      <c r="AO262"/>
    </row>
    <row r="263" spans="1:4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M263"/>
      <c r="AO263"/>
    </row>
    <row r="264" spans="1:4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M264"/>
      <c r="AO264"/>
    </row>
    <row r="265" spans="1:4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M265"/>
      <c r="AO265"/>
    </row>
    <row r="266" spans="1:4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M266"/>
      <c r="AO266"/>
    </row>
  </sheetData>
  <autoFilter ref="A12:AG261"/>
  <sortState ref="A13:AN216">
    <sortCondition ref="AG13:AG216"/>
    <sortCondition ref="AD13:AD216"/>
  </sortState>
  <mergeCells count="1">
    <mergeCell ref="A11:P11"/>
  </mergeCells>
  <conditionalFormatting sqref="W11:W12 W267:X1048576 W13:X18 W20:W21 X19:X21 W22:X219">
    <cfRule type="cellIs" dxfId="15" priority="422" operator="equal">
      <formula>"Y"</formula>
    </cfRule>
  </conditionalFormatting>
  <conditionalFormatting sqref="X267:X1048576 X13:X219">
    <cfRule type="cellIs" dxfId="14" priority="405" operator="greaterThan">
      <formula>1</formula>
    </cfRule>
  </conditionalFormatting>
  <conditionalFormatting sqref="X267:X1048576 X12:X219">
    <cfRule type="cellIs" dxfId="13" priority="402" operator="equal">
      <formula>0</formula>
    </cfRule>
  </conditionalFormatting>
  <conditionalFormatting sqref="A13:S18 A20:S219">
    <cfRule type="expression" dxfId="12" priority="396" stopIfTrue="1">
      <formula>$P13&gt;0</formula>
    </cfRule>
    <cfRule type="expression" dxfId="11" priority="397" stopIfTrue="1">
      <formula>$O13&gt;0</formula>
    </cfRule>
  </conditionalFormatting>
  <conditionalFormatting sqref="W19">
    <cfRule type="cellIs" dxfId="10" priority="7" operator="equal">
      <formula>"Y"</formula>
    </cfRule>
  </conditionalFormatting>
  <conditionalFormatting sqref="A19:S19">
    <cfRule type="expression" dxfId="9" priority="2" stopIfTrue="1">
      <formula>$P19&gt;0</formula>
    </cfRule>
    <cfRule type="expression" dxfId="8" priority="3" stopIfTrue="1">
      <formula>$O19&gt;0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8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A13:S18 A20:S219</xm:sqref>
        </x14:conditionalFormatting>
        <x14:conditionalFormatting xmlns:xm="http://schemas.microsoft.com/office/excel/2006/main">
          <x14:cfRule type="expression" priority="81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A13:S18 A20:S219</xm:sqref>
        </x14:conditionalFormatting>
        <x14:conditionalFormatting xmlns:xm="http://schemas.microsoft.com/office/excel/2006/main">
          <x14:cfRule type="expression" priority="4" stopIfTrue="1" id="{7AD915D2-1CAB-4684-B02A-76E63B4A1CE0}">
            <xm:f>IF($AG19="EC",OR($N19&gt;Variables!$C$2,$N19&lt;Variables!$C$5),OR($N19&gt;Variables!$D$2,$N19&lt;Variables!$D$5))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A19:S19</xm:sqref>
        </x14:conditionalFormatting>
        <x14:conditionalFormatting xmlns:xm="http://schemas.microsoft.com/office/excel/2006/main">
          <x14:cfRule type="expression" priority="1" stopIfTrue="1" id="{8C89EA74-664F-484E-B4E0-12CD68926ED5}">
            <xm:f>IF($AG19="EC",OR($N19&gt;Variables!#REF!,$N19&lt;Variables!#REF!),OR($N19&gt;Variables!#REF!,$N19&lt;Variables!#REF!))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A19:S19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AK13:AK219</xm:sqref>
        </x14:dataValidation>
        <x14:dataValidation type="list" allowBlank="1" showInputMessage="1" showErrorMessage="1">
          <x14:formula1>
            <xm:f>'Redmine List Values'!$C$2:$C$15</xm:f>
          </x14:formula1>
          <xm:sqref>AL13:AL219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59"/>
  <sheetViews>
    <sheetView tabSelected="1" topLeftCell="A2" workbookViewId="0">
      <selection activeCell="P19" sqref="P19:P26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13.1406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69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9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197">
        <f>COUNTIF($O$7:$O$256,"=Y")</f>
        <v>3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198">
        <f>COUNTA($O$7:$O$256)-O2</f>
        <v>31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69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18" t="str">
        <f>"Eagle P3 Braking Events - "&amp;TEXT(Variables!$A$2,"YYYY-mm-dd")</f>
        <v>Eagle P3 Braking Events - 2017-09-02</v>
      </c>
      <c r="B5" s="218"/>
      <c r="C5" s="218"/>
      <c r="D5" s="218"/>
      <c r="E5" s="218"/>
      <c r="F5" s="218"/>
      <c r="G5" s="218"/>
      <c r="H5" s="218"/>
      <c r="I5" s="218"/>
      <c r="J5" s="218"/>
      <c r="K5" s="218"/>
      <c r="L5" s="218"/>
      <c r="M5" s="218"/>
      <c r="N5" s="218"/>
      <c r="O5" s="218"/>
      <c r="P5" s="128"/>
      <c r="R5" s="80"/>
      <c r="S5" s="83"/>
      <c r="T5" s="85"/>
      <c r="V5" s="44"/>
      <c r="X5" s="204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199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362</v>
      </c>
      <c r="X6" s="205" t="s">
        <v>355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192</v>
      </c>
    </row>
    <row r="7" spans="1:32" s="1" customFormat="1" x14ac:dyDescent="0.25">
      <c r="A7" s="31">
        <v>42980.570787037039</v>
      </c>
      <c r="B7" s="30" t="s">
        <v>405</v>
      </c>
      <c r="C7" s="30" t="s">
        <v>576</v>
      </c>
      <c r="D7" s="30" t="s">
        <v>96</v>
      </c>
      <c r="E7" s="30" t="s">
        <v>187</v>
      </c>
      <c r="F7" s="42">
        <v>0</v>
      </c>
      <c r="G7" s="42">
        <v>174</v>
      </c>
      <c r="H7" s="42">
        <v>30957</v>
      </c>
      <c r="I7" s="42">
        <v>30823</v>
      </c>
      <c r="J7" s="30" t="s">
        <v>188</v>
      </c>
      <c r="K7" s="42">
        <v>30970</v>
      </c>
      <c r="L7" s="131" t="s">
        <v>51</v>
      </c>
      <c r="M7" s="132">
        <f t="shared" ref="M7:M40" si="0">CONVERT((I7-K7)/10000,"mi","ft")*IF(L7="Increasing Mileposts (1)",-1,1)</f>
        <v>-77.616</v>
      </c>
      <c r="N7" s="133" t="str">
        <f>VLOOKUP(C7,'Trips&amp;Operators'!$C$1:$G$99911,5,FALSE)</f>
        <v>STORY SAMANTHA</v>
      </c>
      <c r="O7" s="200" t="s">
        <v>180</v>
      </c>
      <c r="P7" s="134" t="s">
        <v>379</v>
      </c>
      <c r="Q7" s="30"/>
      <c r="R7" s="81" t="str">
        <f>VLOOKUP(C7,'Train Runs'!$A$13:$AE$9920,31,0)</f>
        <v>aws s3 cp s3://rtdc.mdm.uploadarchive.raw/RTDC4041/ "%USERPROFILE%\AppData\Local\Temp\OnboardLogs"\RTDC4041\2017-09-02 --exclude "*" --recursive --include "*20170902*" &amp; "%USERPROFILE%\Documents\GitHub\mrs-test-scripts\Headless Mode &amp; Sideloading\WalkAndUnGZ.bat" "%USERPROFILE%\AppData\Local\Temp\OnboardLogs"\RTDC4041\2017-09-02 &amp; aws s3 cp s3://rtdc.mdm.uploadarchive.raw/RTDC4041/ "%USERPROFILE%\AppData\Local\Temp\OnboardLogs"\RTDC4041\2017-09-03 --exclude "*" --recursive --include "*20170903*" &amp; "%USERPROFILE%\Documents\GitHub\mrs-test-scripts\Headless Mode &amp; Sideloading\WalkAndUnGZ.bat" "%USERPROFILE%\AppData\Local\Temp\OnboardLogs"\RTDC4041\2017-09-03</v>
      </c>
      <c r="S7" s="84" t="str">
        <f>VLOOKUP(C7,'Train Runs'!$A$13:$AE$9920,22,0)</f>
        <v>https://d0f6bd738d7f1b3e5a7ca70fe4ff75f0.us-east-1.aws.found.io/app/kibana#/discover/Steve-Slow-Train-Analysis-(2080s-and-2083s)?_g=(refreshInterval:(display:Off,pause:!f,section:0,value:0),time:(from:'2017-09-02T12:07:22-0600',mode:absolute,to:'2017-09-02T14:50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7" s="86" t="str">
        <f t="shared" ref="T7:T40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/stypes="*4041*201709021*" /stext=" 19:.+((SYSTEM_STATE.+slice.+state.+changed )|(ment ac)|(multiple cpu faults)|(system.+state.+changed )|(\[timeout)|(PRM\|1\|D)|(kpr)|(kdp)|(train st.+moving)|(\|lc)|(penalty))"</v>
      </c>
      <c r="U7" s="9" t="str">
        <f t="shared" ref="U7:U40" si="2">MID(B7,13,4)</f>
        <v>4041</v>
      </c>
      <c r="V7" s="31">
        <f t="shared" ref="V7:V40" si="3">A7-utc_offset/24</f>
        <v>42980.820787037039</v>
      </c>
      <c r="W7" s="45" t="str">
        <f t="shared" ref="W7:W40" si="4">DetSubdiv(C7)</f>
        <v>EC</v>
      </c>
      <c r="X7" s="22">
        <f t="shared" ref="X7:X40" si="5">VALUE(LEFT(C7,LEN(C7)-3))</f>
        <v>170</v>
      </c>
      <c r="Y7" s="96" t="str">
        <f t="shared" ref="Y7:Y40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Arrival","project_id":79,"tracker_id":40,"status_id":1,"priority_id":2,"assigned_to_id":338,"start_date":"2017-09-02","description":"","custom_fields":[{"id":1,"name":"Subdivision","value":"EC"},{"id":4,"name":"Milepost","value":"3.097"},{"id":17,"name":"Train ID","value":"170-02"},{"id":16,"name":"Locomotive ID","value":"4041"},{"id":130,"name":"Impact","value":""},{"id":150,"name":"Time of Event (Mountain Time)","value":"13:41:56"},{"id":151,"name":"Denver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40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/c/Users/stu/AppData/Local/Temp/OnboardLogs/RTDC4041 --include="*4041*201709021*"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"%USERPROFILE%\AppData\Local\Temp\OnboardLogs"\RTDC4041\*4041*201709021* &gt;&gt; 2017-09-02-SliceDisagreementCheck.txt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4041 --day 2017-09-02</v>
      </c>
    </row>
    <row r="8" spans="1:32" s="1" customFormat="1" x14ac:dyDescent="0.25">
      <c r="A8" s="31">
        <v>42980.72755787037</v>
      </c>
      <c r="B8" s="30" t="s">
        <v>583</v>
      </c>
      <c r="C8" s="30" t="s">
        <v>589</v>
      </c>
      <c r="D8" s="30" t="s">
        <v>49</v>
      </c>
      <c r="E8" s="30" t="s">
        <v>187</v>
      </c>
      <c r="F8" s="42">
        <v>240</v>
      </c>
      <c r="G8" s="42">
        <v>427</v>
      </c>
      <c r="H8" s="42">
        <v>44037</v>
      </c>
      <c r="I8" s="42">
        <v>42797</v>
      </c>
      <c r="J8" s="30" t="s">
        <v>188</v>
      </c>
      <c r="K8" s="42">
        <v>42961</v>
      </c>
      <c r="L8" s="131" t="s">
        <v>51</v>
      </c>
      <c r="M8" s="132">
        <f t="shared" si="0"/>
        <v>-86.592000000000013</v>
      </c>
      <c r="N8" s="133" t="str">
        <f>VLOOKUP(C8,'Trips&amp;Operators'!$C$1:$G$99911,5,FALSE)</f>
        <v>STORY SAMANTHA</v>
      </c>
      <c r="O8" s="200" t="s">
        <v>180</v>
      </c>
      <c r="P8" s="134" t="s">
        <v>379</v>
      </c>
      <c r="Q8" s="30"/>
      <c r="R8" s="81" t="str">
        <f>VLOOKUP(C8,'Train Runs'!$A$13:$AE$9920,31,0)</f>
        <v>aws s3 cp s3://rtdc.mdm.uploadarchive.raw/RTDC4051/ "%USERPROFILE%\AppData\Local\Temp\OnboardLogs"\RTDC4051\2017-09-02 --exclude "*" --recursive --include "*20170902*" &amp; "%USERPROFILE%\Documents\GitHub\mrs-test-scripts\Headless Mode &amp; Sideloading\WalkAndUnGZ.bat" "%USERPROFILE%\AppData\Local\Temp\OnboardLogs"\RTDC4051\2017-09-02 &amp; aws s3 cp s3://rtdc.mdm.uploadarchive.raw/RTDC4051/ "%USERPROFILE%\AppData\Local\Temp\OnboardLogs"\RTDC4051\2017-09-03 --exclude "*" --recursive --include "*20170903*" &amp; "%USERPROFILE%\Documents\GitHub\mrs-test-scripts\Headless Mode &amp; Sideloading\WalkAndUnGZ.bat" "%USERPROFILE%\AppData\Local\Temp\OnboardLogs"\RTDC4051\2017-09-03</v>
      </c>
      <c r="S8" s="84" t="str">
        <f>VLOOKUP(C8,'Train Runs'!$A$13:$AE$9920,22,0)</f>
        <v>https://d0f6bd738d7f1b3e5a7ca70fe4ff75f0.us-east-1.aws.found.io/app/kibana#/discover/Steve-Slow-Train-Analysis-(2080s-and-2083s)?_g=(refreshInterval:(display:Off,pause:!f,section:0,value:0),time:(from:'2017-09-02T15:53:27-0600',mode:absolute,to:'2017-09-02T18:40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8" s="86" t="str">
        <f t="shared" si="1"/>
        <v>"C:\Program Files (x86)\AstroGrep\AstroGrep.exe" /e /r /s /spath="%USERPROFILE%\AppData\Local\Temp\OnboardLogs" /stypes="*4051*201709022*" /stext=" 23:.+((SYSTEM_STATE.+slice.+state.+changed )|(ment ac)|(multiple cpu faults)|(system.+state.+changed )|(\[timeout)|(PRM\|1\|D)|(kpr)|(kdp)|(train st.+moving)|(\|lc)|(penalty))"</v>
      </c>
      <c r="U8" s="9" t="str">
        <f t="shared" si="2"/>
        <v>4051</v>
      </c>
      <c r="V8" s="31">
        <f t="shared" si="3"/>
        <v>42980.97755787037</v>
      </c>
      <c r="W8" s="45" t="str">
        <f t="shared" si="4"/>
        <v>EC</v>
      </c>
      <c r="X8" s="22">
        <f t="shared" si="5"/>
        <v>200</v>
      </c>
      <c r="Y8" s="96" t="str">
        <f t="shared" si="6"/>
        <v>echo {"issue":{"subject":"Early Arrival","project_id":79,"tracker_id":40,"status_id":1,"priority_id":2,"assigned_to_id":338,"start_date":"2017-09-02","description":"","custom_fields":[{"id":1,"name":"Subdivision","value":"EC"},{"id":4,"name":"Milepost","value":"4.2961"},{"id":17,"name":"Train ID","value":"200-02"},{"id":16,"name":"Locomotive ID","value":"4051"},{"id":130,"name":"Impact","value":""},{"id":150,"name":"Time of Event (Mountain Time)","value":"17:27:41"},{"id":151,"name":"Denver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/c/Users/stu/AppData/Local/Temp/OnboardLogs/RTDC4051 --include="*4051*201709022*"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"%USERPROFILE%\AppData\Local\Temp\OnboardLogs"\RTDC4051\*4051*201709022* &gt;&gt; 2017-09-02-SliceDisagreementCheck.txt</v>
      </c>
      <c r="AE8" s="145" t="str">
        <f t="shared" ref="AE8:AE40" si="9">"start /low /b "&amp;dls3logs&amp;" --loco "&amp;U8&amp;" --day "&amp;TEXT(V8,"YYYY-MM-DD")</f>
        <v>start /low /b %USERPROFILE%\Documents\GitHub\eaglep3\Utilities\DownloadLogsFromS3.py --loco 4051 --day 2017-09-02</v>
      </c>
    </row>
    <row r="9" spans="1:32" s="1" customFormat="1" x14ac:dyDescent="0.25">
      <c r="A9" s="31">
        <v>42980.641875000001</v>
      </c>
      <c r="B9" s="30" t="s">
        <v>583</v>
      </c>
      <c r="C9" s="30" t="s">
        <v>584</v>
      </c>
      <c r="D9" s="30" t="s">
        <v>49</v>
      </c>
      <c r="E9" s="30" t="s">
        <v>187</v>
      </c>
      <c r="F9" s="42">
        <v>480</v>
      </c>
      <c r="G9" s="42">
        <v>547</v>
      </c>
      <c r="H9" s="42">
        <v>49387</v>
      </c>
      <c r="I9" s="42">
        <v>47000</v>
      </c>
      <c r="J9" s="30" t="s">
        <v>188</v>
      </c>
      <c r="K9" s="42">
        <v>48048</v>
      </c>
      <c r="L9" s="131" t="s">
        <v>51</v>
      </c>
      <c r="M9" s="132">
        <f t="shared" si="0"/>
        <v>-553.34400000000005</v>
      </c>
      <c r="N9" s="133" t="str">
        <f>VLOOKUP(C9,'Trips&amp;Operators'!$C$1:$G$99911,5,FALSE)</f>
        <v>STORY SAMANTHA</v>
      </c>
      <c r="O9" s="200" t="s">
        <v>180</v>
      </c>
      <c r="P9" s="134" t="s">
        <v>379</v>
      </c>
      <c r="Q9" s="30"/>
      <c r="R9" s="81" t="str">
        <f>VLOOKUP(C9,'Train Runs'!$A$13:$AE$9920,31,0)</f>
        <v>aws s3 cp s3://rtdc.mdm.uploadarchive.raw/RTDC4051/ "%USERPROFILE%\AppData\Local\Temp\OnboardLogs"\RTDC4051\2017-09-02 --exclude "*" --recursive --include "*20170902*" &amp; "%USERPROFILE%\Documents\GitHub\mrs-test-scripts\Headless Mode &amp; Sideloading\WalkAndUnGZ.bat" "%USERPROFILE%\AppData\Local\Temp\OnboardLogs"\RTDC4051\2017-09-02 &amp; aws s3 cp s3://rtdc.mdm.uploadarchive.raw/RTDC4051/ "%USERPROFILE%\AppData\Local\Temp\OnboardLogs"\RTDC4051\2017-09-03 --exclude "*" --recursive --include "*20170903*" &amp; "%USERPROFILE%\Documents\GitHub\mrs-test-scripts\Headless Mode &amp; Sideloading\WalkAndUnGZ.bat" "%USERPROFILE%\AppData\Local\Temp\OnboardLogs"\RTDC4051\2017-09-03</v>
      </c>
      <c r="S9" s="84" t="str">
        <f>VLOOKUP(C9,'Train Runs'!$A$13:$AE$9920,22,0)</f>
        <v>https://d0f6bd738d7f1b3e5a7ca70fe4ff75f0.us-east-1.aws.found.io/app/kibana#/discover/Steve-Slow-Train-Analysis-(2080s-and-2083s)?_g=(refreshInterval:(display:Off,pause:!f,section:0,value:0),time:(from:'2017-09-02T13:52:50-0600',mode:absolute,to:'2017-09-02T16:37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9" s="86" t="str">
        <f t="shared" si="1"/>
        <v>"C:\Program Files (x86)\AstroGrep\AstroGrep.exe" /e /r /s /spath="%USERPROFILE%\AppData\Local\Temp\OnboardLogs" /stypes="*4051*201709022*" /stext=" 21:.+((SYSTEM_STATE.+slice.+state.+changed )|(ment ac)|(multiple cpu faults)|(system.+state.+changed )|(\[timeout)|(PRM\|1\|D)|(kpr)|(kdp)|(train st.+moving)|(\|lc)|(penalty))"</v>
      </c>
      <c r="U9" s="9" t="str">
        <f t="shared" si="2"/>
        <v>4051</v>
      </c>
      <c r="V9" s="31">
        <f t="shared" si="3"/>
        <v>42980.891875000001</v>
      </c>
      <c r="W9" s="45" t="str">
        <f t="shared" si="4"/>
        <v>EC</v>
      </c>
      <c r="X9" s="22">
        <f t="shared" si="5"/>
        <v>184</v>
      </c>
      <c r="Y9" s="96" t="str">
        <f t="shared" si="6"/>
        <v>echo {"issue":{"subject":"Early Arrival","project_id":79,"tracker_id":40,"status_id":1,"priority_id":2,"assigned_to_id":338,"start_date":"2017-09-02","description":"","custom_fields":[{"id":1,"name":"Subdivision","value":"EC"},{"id":4,"name":"Milepost","value":"4.8048"},{"id":17,"name":"Train ID","value":"184-02"},{"id":16,"name":"Locomotive ID","value":"4051"},{"id":130,"name":"Impact","value":""},{"id":150,"name":"Time of Event (Mountain Time)","value":"15:24:18"},{"id":151,"name":"Denver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/c/Users/stu/AppData/Local/Temp/OnboardLogs/RTDC4051 --include="*4051*201709022*"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"%USERPROFILE%\AppData\Local\Temp\OnboardLogs"\RTDC4051\*4051*201709022* &gt;&gt; 2017-09-02-SliceDisagreementCheck.txt</v>
      </c>
      <c r="AE9" s="145" t="str">
        <f t="shared" si="9"/>
        <v>start /low /b %USERPROFILE%\Documents\GitHub\eaglep3\Utilities\DownloadLogsFromS3.py --loco 4051 --day 2017-09-02</v>
      </c>
    </row>
    <row r="10" spans="1:32" s="1" customFormat="1" x14ac:dyDescent="0.25">
      <c r="A10" s="31">
        <v>42980.588865740741</v>
      </c>
      <c r="B10" s="30" t="s">
        <v>463</v>
      </c>
      <c r="C10" s="30" t="s">
        <v>577</v>
      </c>
      <c r="D10" s="30" t="s">
        <v>49</v>
      </c>
      <c r="E10" s="30" t="s">
        <v>187</v>
      </c>
      <c r="F10" s="42">
        <v>0</v>
      </c>
      <c r="G10" s="42">
        <v>743</v>
      </c>
      <c r="H10" s="42">
        <v>69149</v>
      </c>
      <c r="I10" s="42">
        <v>66186</v>
      </c>
      <c r="J10" s="30" t="s">
        <v>188</v>
      </c>
      <c r="K10" s="42">
        <v>63309</v>
      </c>
      <c r="L10" s="131" t="s">
        <v>51</v>
      </c>
      <c r="M10" s="132">
        <f t="shared" si="0"/>
        <v>1519.056</v>
      </c>
      <c r="N10" s="133" t="str">
        <f>VLOOKUP(C10,'Trips&amp;Operators'!$C$1:$G$99911,5,FALSE)</f>
        <v>HOLCOMB KAMDEN</v>
      </c>
      <c r="O10" s="200" t="s">
        <v>180</v>
      </c>
      <c r="P10" s="134" t="s">
        <v>379</v>
      </c>
      <c r="Q10" s="30"/>
      <c r="R10" s="81" t="str">
        <f>VLOOKUP(C10,'Train Runs'!$A$13:$AE$9920,31,0)</f>
        <v>aws s3 cp s3://rtdc.mdm.uploadarchive.raw/RTDC4017/ "%USERPROFILE%\AppData\Local\Temp\OnboardLogs"\RTDC4017\2017-09-02 --exclude "*" --recursive --include "*20170902*" &amp; "%USERPROFILE%\Documents\GitHub\mrs-test-scripts\Headless Mode &amp; Sideloading\WalkAndUnGZ.bat" "%USERPROFILE%\AppData\Local\Temp\OnboardLogs"\RTDC4017\2017-09-02 &amp; aws s3 cp s3://rtdc.mdm.uploadarchive.raw/RTDC4017/ "%USERPROFILE%\AppData\Local\Temp\OnboardLogs"\RTDC4017\2017-09-03 --exclude "*" --recursive --include "*20170903*" &amp; "%USERPROFILE%\Documents\GitHub\mrs-test-scripts\Headless Mode &amp; Sideloading\WalkAndUnGZ.bat" "%USERPROFILE%\AppData\Local\Temp\OnboardLogs"\RTDC4017\2017-09-03</v>
      </c>
      <c r="S10" s="84" t="str">
        <f>VLOOKUP(C10,'Train Runs'!$A$13:$AE$9920,22,0)</f>
        <v>https://d0f6bd738d7f1b3e5a7ca70fe4ff75f0.us-east-1.aws.found.io/app/kibana#/discover/Steve-Slow-Train-Analysis-(2080s-and-2083s)?_g=(refreshInterval:(display:Off,pause:!f,section:0,value:0),time:(from:'2017-09-02T12:38:29-0600',mode:absolute,to:'2017-09-02T15:24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0" s="86" t="str">
        <f t="shared" si="1"/>
        <v>"C:\Program Files (x86)\AstroGrep\AstroGrep.exe" /e /r /s /spath="%USERPROFILE%\AppData\Local\Temp\OnboardLogs" /stypes="*4017*201709022*" /stext=" 20:.+((SYSTEM_STATE.+slice.+state.+changed )|(ment ac)|(multiple cpu faults)|(system.+state.+changed )|(\[timeout)|(PRM\|1\|D)|(kpr)|(kdp)|(train st.+moving)|(\|lc)|(penalty))"</v>
      </c>
      <c r="U10" s="9" t="str">
        <f t="shared" si="2"/>
        <v>4017</v>
      </c>
      <c r="V10" s="31">
        <f t="shared" si="3"/>
        <v>42980.838865740741</v>
      </c>
      <c r="W10" s="45" t="str">
        <f t="shared" si="4"/>
        <v>EC</v>
      </c>
      <c r="X10" s="22">
        <f t="shared" si="5"/>
        <v>174</v>
      </c>
      <c r="Y10" s="96" t="str">
        <f t="shared" si="6"/>
        <v>echo {"issue":{"subject":"Early Arrival","project_id":79,"tracker_id":40,"status_id":1,"priority_id":2,"assigned_to_id":338,"start_date":"2017-09-02","description":"","custom_fields":[{"id":1,"name":"Subdivision","value":"EC"},{"id":4,"name":"Milepost","value":"6.3309"},{"id":17,"name":"Train ID","value":"174-02"},{"id":16,"name":"Locomotive ID","value":"4017"},{"id":130,"name":"Impact","value":""},{"id":150,"name":"Time of Event (Mountain Time)","value":"14:07:58"},{"id":151,"name":"Denver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/c/Users/stu/AppData/Local/Temp/OnboardLogs/RTDC4017 --include="*4017*201709022*"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"%USERPROFILE%\AppData\Local\Temp\OnboardLogs"\RTDC4017\*4017*201709022* &gt;&gt; 2017-09-02-SliceDisagreementCheck.txt</v>
      </c>
      <c r="AE10" s="145" t="str">
        <f t="shared" si="9"/>
        <v>start /low /b %USERPROFILE%\Documents\GitHub\eaglep3\Utilities\DownloadLogsFromS3.py --loco 4017 --day 2017-09-02</v>
      </c>
    </row>
    <row r="11" spans="1:32" s="1" customFormat="1" x14ac:dyDescent="0.25">
      <c r="A11" s="31">
        <v>42980.646261574075</v>
      </c>
      <c r="B11" s="30" t="s">
        <v>583</v>
      </c>
      <c r="C11" s="30" t="s">
        <v>584</v>
      </c>
      <c r="D11" s="30" t="s">
        <v>49</v>
      </c>
      <c r="E11" s="30" t="s">
        <v>195</v>
      </c>
      <c r="F11" s="42">
        <v>300</v>
      </c>
      <c r="G11" s="42">
        <v>491</v>
      </c>
      <c r="H11" s="42">
        <v>24535</v>
      </c>
      <c r="I11" s="42">
        <v>23054</v>
      </c>
      <c r="J11" s="30" t="s">
        <v>196</v>
      </c>
      <c r="K11" s="42">
        <v>21848</v>
      </c>
      <c r="L11" s="131" t="s">
        <v>51</v>
      </c>
      <c r="M11" s="132">
        <f t="shared" si="0"/>
        <v>636.76800000000003</v>
      </c>
      <c r="N11" s="133" t="str">
        <f>VLOOKUP(C11,'Trips&amp;Operators'!$C$1:$G$99911,5,FALSE)</f>
        <v>STORY SAMANTHA</v>
      </c>
      <c r="O11" s="200" t="s">
        <v>180</v>
      </c>
      <c r="P11" s="134"/>
      <c r="Q11" s="30"/>
      <c r="R11" s="81" t="str">
        <f>VLOOKUP(C11,'Train Runs'!$A$13:$AE$9920,31,0)</f>
        <v>aws s3 cp s3://rtdc.mdm.uploadarchive.raw/RTDC4051/ "%USERPROFILE%\AppData\Local\Temp\OnboardLogs"\RTDC4051\2017-09-02 --exclude "*" --recursive --include "*20170902*" &amp; "%USERPROFILE%\Documents\GitHub\mrs-test-scripts\Headless Mode &amp; Sideloading\WalkAndUnGZ.bat" "%USERPROFILE%\AppData\Local\Temp\OnboardLogs"\RTDC4051\2017-09-02 &amp; aws s3 cp s3://rtdc.mdm.uploadarchive.raw/RTDC4051/ "%USERPROFILE%\AppData\Local\Temp\OnboardLogs"\RTDC4051\2017-09-03 --exclude "*" --recursive --include "*20170903*" &amp; "%USERPROFILE%\Documents\GitHub\mrs-test-scripts\Headless Mode &amp; Sideloading\WalkAndUnGZ.bat" "%USERPROFILE%\AppData\Local\Temp\OnboardLogs"\RTDC4051\2017-09-03</v>
      </c>
      <c r="S11" s="84" t="str">
        <f>VLOOKUP(C11,'Train Runs'!$A$13:$AE$9920,22,0)</f>
        <v>https://d0f6bd738d7f1b3e5a7ca70fe4ff75f0.us-east-1.aws.found.io/app/kibana#/discover/Steve-Slow-Train-Analysis-(2080s-and-2083s)?_g=(refreshInterval:(display:Off,pause:!f,section:0,value:0),time:(from:'2017-09-02T13:52:50-0600',mode:absolute,to:'2017-09-02T16:37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11" s="86" t="str">
        <f t="shared" si="1"/>
        <v>"C:\Program Files (x86)\AstroGrep\AstroGrep.exe" /e /r /s /spath="%USERPROFILE%\AppData\Local\Temp\OnboardLogs" /stypes="*4051*201709022*" /stext=" 21:.+((SYSTEM_STATE.+slice.+state.+changed )|(ment ac)|(multiple cpu faults)|(system.+state.+changed )|(\[timeout)|(PRM\|1\|D)|(kpr)|(kdp)|(train st.+moving)|(\|lc)|(penalty))"</v>
      </c>
      <c r="U11" s="9" t="str">
        <f t="shared" si="2"/>
        <v>4051</v>
      </c>
      <c r="V11" s="31">
        <f t="shared" si="3"/>
        <v>42980.896261574075</v>
      </c>
      <c r="W11" s="45" t="str">
        <f t="shared" si="4"/>
        <v>EC</v>
      </c>
      <c r="X11" s="22">
        <f t="shared" si="5"/>
        <v>184</v>
      </c>
      <c r="Y11" s="96" t="str">
        <f t="shared" si="6"/>
        <v>echo {"issue":{"subject":"","project_id":79,"tracker_id":40,"status_id":1,"priority_id":2,"assigned_to_id":338,"start_date":"2017-09-02","description":"","custom_fields":[{"id":1,"name":"Subdivision","value":"EC"},{"id":4,"name":"Milepost","value":"2.1848"},{"id":17,"name":"Train ID","value":"184-02"},{"id":16,"name":"Locomotive ID","value":"4051"},{"id":130,"name":"Impact","value":""},{"id":150,"name":"Time of Event (Mountain Time)","value":"15:30:37"},{"id":151,"name":"Denver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/c/Users/stu/AppData/Local/Temp/OnboardLogs/RTDC4051 --include="*4051*201709022*"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"%USERPROFILE%\AppData\Local\Temp\OnboardLogs"\RTDC4051\*4051*201709022* &gt;&gt; 2017-09-02-SliceDisagreementCheck.txt</v>
      </c>
      <c r="AE11" s="145" t="str">
        <f t="shared" si="9"/>
        <v>start /low /b %USERPROFILE%\Documents\GitHub\eaglep3\Utilities\DownloadLogsFromS3.py --loco 4051 --day 2017-09-02</v>
      </c>
    </row>
    <row r="12" spans="1:32" x14ac:dyDescent="0.25">
      <c r="A12" s="31">
        <v>42980.917164351849</v>
      </c>
      <c r="B12" s="30" t="s">
        <v>382</v>
      </c>
      <c r="C12" s="30" t="s">
        <v>593</v>
      </c>
      <c r="D12" s="30" t="s">
        <v>49</v>
      </c>
      <c r="E12" s="30" t="s">
        <v>195</v>
      </c>
      <c r="F12" s="42">
        <v>300</v>
      </c>
      <c r="G12" s="42">
        <v>391</v>
      </c>
      <c r="H12" s="42">
        <v>22612</v>
      </c>
      <c r="I12" s="42">
        <v>21639</v>
      </c>
      <c r="J12" s="30" t="s">
        <v>196</v>
      </c>
      <c r="K12" s="42">
        <v>21848</v>
      </c>
      <c r="L12" s="131" t="s">
        <v>51</v>
      </c>
      <c r="M12" s="132">
        <f t="shared" si="0"/>
        <v>-110.352</v>
      </c>
      <c r="N12" s="133" t="str">
        <f>VLOOKUP(C12,'Trips&amp;Operators'!$C$1:$G$99911,5,FALSE)</f>
        <v>PERKINS DARREN</v>
      </c>
      <c r="O12" s="200" t="s">
        <v>180</v>
      </c>
      <c r="P12" s="134"/>
      <c r="Q12" s="30"/>
      <c r="R12" s="81" t="str">
        <f>VLOOKUP(C12,'Train Runs'!$A$13:$AE$9920,31,0)</f>
        <v>aws s3 cp s3://rtdc.mdm.uploadarchive.raw/RTDC4027/ "%USERPROFILE%\AppData\Local\Temp\OnboardLogs"\RTDC4027\2017-09-02 --exclude "*" --recursive --include "*20170902*" &amp; "%USERPROFILE%\Documents\GitHub\mrs-test-scripts\Headless Mode &amp; Sideloading\WalkAndUnGZ.bat" "%USERPROFILE%\AppData\Local\Temp\OnboardLogs"\RTDC4027\2017-09-02 &amp; aws s3 cp s3://rtdc.mdm.uploadarchive.raw/RTDC4027/ "%USERPROFILE%\AppData\Local\Temp\OnboardLogs"\RTDC4027\2017-09-03 --exclude "*" --recursive --include "*20170903*" &amp; "%USERPROFILE%\Documents\GitHub\mrs-test-scripts\Headless Mode &amp; Sideloading\WalkAndUnGZ.bat" "%USERPROFILE%\AppData\Local\Temp\OnboardLogs"\RTDC4027\2017-09-03</v>
      </c>
      <c r="S12" s="84" t="str">
        <f>VLOOKUP(C12,'Train Runs'!$A$13:$AE$9920,22,0)</f>
        <v>https://d0f6bd738d7f1b3e5a7ca70fe4ff75f0.us-east-1.aws.found.io/app/kibana#/discover/Steve-Slow-Train-Analysis-(2080s-and-2083s)?_g=(refreshInterval:(display:Off,pause:!f,section:0,value:0),time:(from:'2017-09-02T20:08:44-0600',mode:absolute,to:'2017-09-02T23:07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12" s="86" t="str">
        <f t="shared" si="1"/>
        <v>"C:\Program Files (x86)\AstroGrep\AstroGrep.exe" /e /r /s /spath="%USERPROFILE%\AppData\Local\Temp\OnboardLogs" /stypes="*4027*201709030*" /stext=" 04:.+((SYSTEM_STATE.+slice.+state.+changed )|(ment ac)|(multiple cpu faults)|(system.+state.+changed )|(\[timeout)|(PRM\|1\|D)|(kpr)|(kdp)|(train st.+moving)|(\|lc)|(penalty))"</v>
      </c>
      <c r="U12" s="9" t="str">
        <f t="shared" si="2"/>
        <v>4027</v>
      </c>
      <c r="V12" s="31">
        <f t="shared" si="3"/>
        <v>42981.167164351849</v>
      </c>
      <c r="W12" s="45" t="str">
        <f t="shared" si="4"/>
        <v>EC</v>
      </c>
      <c r="X12" s="22">
        <f t="shared" si="5"/>
        <v>228</v>
      </c>
      <c r="Y12" s="96" t="str">
        <f t="shared" si="6"/>
        <v>echo {"issue":{"subject":"","project_id":79,"tracker_id":40,"status_id":1,"priority_id":2,"assigned_to_id":338,"start_date":"2017-09-02","description":"","custom_fields":[{"id":1,"name":"Subdivision","value":"EC"},{"id":4,"name":"Milepost","value":"2.1848"},{"id":17,"name":"Train ID","value":"228-02"},{"id":16,"name":"Locomotive ID","value":"4027"},{"id":130,"name":"Impact","value":""},{"id":150,"name":"Time of Event (Mountain Time)","value":"22:00:43"},{"id":151,"name":"Denver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/c/Users/stu/AppData/Local/Temp/OnboardLogs/RTDC4027 --include="*4027*201709030*"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"%USERPROFILE%\AppData\Local\Temp\OnboardLogs"\RTDC4027\*4027*201709030* &gt;&gt; 2017-09-02-SliceDisagreementCheck.txt</v>
      </c>
      <c r="AE12" s="145" t="str">
        <f t="shared" si="9"/>
        <v>start /low /b %USERPROFILE%\Documents\GitHub\eaglep3\Utilities\DownloadLogsFromS3.py --loco 4027 --day 2017-09-03</v>
      </c>
      <c r="AF12" s="1"/>
    </row>
    <row r="13" spans="1:32" x14ac:dyDescent="0.25">
      <c r="A13" s="31">
        <v>42980.452222222222</v>
      </c>
      <c r="B13" s="30" t="s">
        <v>384</v>
      </c>
      <c r="C13" s="30" t="s">
        <v>571</v>
      </c>
      <c r="D13" s="30" t="s">
        <v>49</v>
      </c>
      <c r="E13" s="30" t="s">
        <v>195</v>
      </c>
      <c r="F13" s="42">
        <v>400</v>
      </c>
      <c r="G13" s="42">
        <v>563</v>
      </c>
      <c r="H13" s="42">
        <v>115609</v>
      </c>
      <c r="I13" s="42">
        <v>117244</v>
      </c>
      <c r="J13" s="30" t="s">
        <v>196</v>
      </c>
      <c r="K13" s="42">
        <v>116838</v>
      </c>
      <c r="L13" s="131" t="s">
        <v>50</v>
      </c>
      <c r="M13" s="132">
        <f t="shared" si="0"/>
        <v>-214.36799999999999</v>
      </c>
      <c r="N13" s="133" t="str">
        <f>VLOOKUP(C13,'Trips&amp;Operators'!$C$1:$G$99911,5,FALSE)</f>
        <v>MACDONALD THOMAS</v>
      </c>
      <c r="O13" s="200" t="s">
        <v>180</v>
      </c>
      <c r="P13" s="134"/>
      <c r="Q13" s="30"/>
      <c r="R13" s="81" t="str">
        <f>VLOOKUP(C13,'Train Runs'!$A$13:$AE$9920,31,0)</f>
        <v>aws s3 cp s3://rtdc.mdm.uploadarchive.raw/RTDC4042/ "%USERPROFILE%\AppData\Local\Temp\OnboardLogs"\RTDC4042\2017-09-02 --exclude "*" --recursive --include "*20170902*" &amp; "%USERPROFILE%\Documents\GitHub\mrs-test-scripts\Headless Mode &amp; Sideloading\WalkAndUnGZ.bat" "%USERPROFILE%\AppData\Local\Temp\OnboardLogs"\RTDC4042\2017-09-02 &amp; aws s3 cp s3://rtdc.mdm.uploadarchive.raw/RTDC4042/ "%USERPROFILE%\AppData\Local\Temp\OnboardLogs"\RTDC4042\2017-09-03 --exclude "*" --recursive --include "*20170903*" &amp; "%USERPROFILE%\Documents\GitHub\mrs-test-scripts\Headless Mode &amp; Sideloading\WalkAndUnGZ.bat" "%USERPROFILE%\AppData\Local\Temp\OnboardLogs"\RTDC4042\2017-09-03</v>
      </c>
      <c r="S13" s="84" t="str">
        <f>VLOOKUP(C13,'Train Runs'!$A$13:$AE$9920,22,0)</f>
        <v>https://d0f6bd738d7f1b3e5a7ca70fe4ff75f0.us-east-1.aws.found.io/app/kibana#/discover/Steve-Slow-Train-Analysis-(2080s-and-2083s)?_g=(refreshInterval:(display:Off,pause:!f,section:0,value:0),time:(from:'2017-09-02T09:26:59-0600',mode:absolute,to:'2017-09-02T12:07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13" s="86" t="str">
        <f t="shared" si="1"/>
        <v>"C:\Program Files (x86)\AstroGrep\AstroGrep.exe" /e /r /s /spath="%USERPROFILE%\AppData\Local\Temp\OnboardLogs" /stypes="*4042*201709021*" /stext=" 16:.+((SYSTEM_STATE.+slice.+state.+changed )|(ment ac)|(multiple cpu faults)|(system.+state.+changed )|(\[timeout)|(PRM\|1\|D)|(kpr)|(kdp)|(train st.+moving)|(\|lc)|(penalty))"</v>
      </c>
      <c r="U13" s="9" t="str">
        <f t="shared" si="2"/>
        <v>4042</v>
      </c>
      <c r="V13" s="31">
        <f t="shared" si="3"/>
        <v>42980.702222222222</v>
      </c>
      <c r="W13" s="45" t="str">
        <f t="shared" si="4"/>
        <v>EC</v>
      </c>
      <c r="X13" s="22">
        <f t="shared" si="5"/>
        <v>155</v>
      </c>
      <c r="Y13" s="96" t="str">
        <f t="shared" si="6"/>
        <v>echo {"issue":{"subject":"","project_id":79,"tracker_id":40,"status_id":1,"priority_id":2,"assigned_to_id":338,"start_date":"2017-09-02","description":"","custom_fields":[{"id":1,"name":"Subdivision","value":"EC"},{"id":4,"name":"Milepost","value":"11.6838"},{"id":17,"name":"Train ID","value":"155-02"},{"id":16,"name":"Locomotive ID","value":"4042"},{"id":130,"name":"Impact","value":""},{"id":150,"name":"Time of Event (Mountain Time)","value":"10:51:12"},{"id":151,"name":"Denver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/c/Users/stu/AppData/Local/Temp/OnboardLogs/RTDC4042 --include="*4042*201709021*"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"%USERPROFILE%\AppData\Local\Temp\OnboardLogs"\RTDC4042\*4042*201709021* &gt;&gt; 2017-09-02-SliceDisagreementCheck.txt</v>
      </c>
      <c r="AE13" s="145" t="str">
        <f t="shared" si="9"/>
        <v>start /low /b %USERPROFILE%\Documents\GitHub\eaglep3\Utilities\DownloadLogsFromS3.py --loco 4042 --day 2017-09-02</v>
      </c>
      <c r="AF13" s="1"/>
    </row>
    <row r="14" spans="1:32" x14ac:dyDescent="0.25">
      <c r="A14" s="31">
        <v>42980.619039351855</v>
      </c>
      <c r="B14" s="30" t="s">
        <v>580</v>
      </c>
      <c r="C14" s="30" t="s">
        <v>581</v>
      </c>
      <c r="D14" s="30" t="s">
        <v>96</v>
      </c>
      <c r="E14" s="30" t="s">
        <v>195</v>
      </c>
      <c r="F14" s="42">
        <v>600</v>
      </c>
      <c r="G14" s="42">
        <v>651</v>
      </c>
      <c r="H14" s="42">
        <v>125612</v>
      </c>
      <c r="I14" s="42">
        <v>127976</v>
      </c>
      <c r="J14" s="30" t="s">
        <v>196</v>
      </c>
      <c r="K14" s="42">
        <v>119716</v>
      </c>
      <c r="L14" s="131" t="s">
        <v>50</v>
      </c>
      <c r="M14" s="132">
        <f t="shared" si="0"/>
        <v>-4361.28</v>
      </c>
      <c r="N14" s="133" t="str">
        <f>VLOOKUP(C14,'Trips&amp;Operators'!$C$1:$G$99911,5,FALSE)</f>
        <v>HOLCOMB KAMDEN</v>
      </c>
      <c r="O14" s="200" t="s">
        <v>180</v>
      </c>
      <c r="P14" s="134"/>
      <c r="Q14" s="30"/>
      <c r="R14" s="81" t="str">
        <f>VLOOKUP(C14,'Train Runs'!$A$13:$AE$9920,31,0)</f>
        <v>aws s3 cp s3://rtdc.mdm.uploadarchive.raw/RTDC4018/ "%USERPROFILE%\AppData\Local\Temp\OnboardLogs"\RTDC4018\2017-09-02 --exclude "*" --recursive --include "*20170902*" &amp; "%USERPROFILE%\Documents\GitHub\mrs-test-scripts\Headless Mode &amp; Sideloading\WalkAndUnGZ.bat" "%USERPROFILE%\AppData\Local\Temp\OnboardLogs"\RTDC4018\2017-09-02 &amp; aws s3 cp s3://rtdc.mdm.uploadarchive.raw/RTDC4018/ "%USERPROFILE%\AppData\Local\Temp\OnboardLogs"\RTDC4018\2017-09-03 --exclude "*" --recursive --include "*20170903*" &amp; "%USERPROFILE%\Documents\GitHub\mrs-test-scripts\Headless Mode &amp; Sideloading\WalkAndUnGZ.bat" "%USERPROFILE%\AppData\Local\Temp\OnboardLogs"\RTDC4018\2017-09-03</v>
      </c>
      <c r="S14" s="84" t="str">
        <f>VLOOKUP(C14,'Train Runs'!$A$13:$AE$9920,22,0)</f>
        <v>https://d0f6bd738d7f1b3e5a7ca70fe4ff75f0.us-east-1.aws.found.io/app/kibana#/discover/Steve-Slow-Train-Analysis-(2080s-and-2083s)?_g=(refreshInterval:(display:Off,pause:!f,section:0,value:0),time:(from:'2017-09-02T13:26:06-0600',mode:absolute,to:'2017-09-02T16:07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14" s="86" t="str">
        <f t="shared" si="1"/>
        <v>"C:\Program Files (x86)\AstroGrep\AstroGrep.exe" /e /r /s /spath="%USERPROFILE%\AppData\Local\Temp\OnboardLogs" /stypes="*4018*201709022*" /stext=" 20:.+((SYSTEM_STATE.+slice.+state.+changed )|(ment ac)|(multiple cpu faults)|(system.+state.+changed )|(\[timeout)|(PRM\|1\|D)|(kpr)|(kdp)|(train st.+moving)|(\|lc)|(penalty))"</v>
      </c>
      <c r="U14" s="9" t="str">
        <f t="shared" si="2"/>
        <v>4018</v>
      </c>
      <c r="V14" s="31">
        <f t="shared" si="3"/>
        <v>42980.869039351855</v>
      </c>
      <c r="W14" s="45" t="str">
        <f t="shared" si="4"/>
        <v>EC</v>
      </c>
      <c r="X14" s="22">
        <f t="shared" si="5"/>
        <v>187</v>
      </c>
      <c r="Y14" s="96" t="str">
        <f t="shared" si="6"/>
        <v>echo {"issue":{"subject":"","project_id":79,"tracker_id":40,"status_id":1,"priority_id":2,"assigned_to_id":338,"start_date":"2017-09-02","description":"","custom_fields":[{"id":1,"name":"Subdivision","value":"EC"},{"id":4,"name":"Milepost","value":"11.9716"},{"id":17,"name":"Train ID","value":"187-02"},{"id":16,"name":"Locomotive ID","value":"4018"},{"id":130,"name":"Impact","value":""},{"id":150,"name":"Time of Event (Mountain Time)","value":"14:51:25"},{"id":151,"name":"Denver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/c/Users/stu/AppData/Local/Temp/OnboardLogs/RTDC4018 --include="*4018*201709022*"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"%USERPROFILE%\AppData\Local\Temp\OnboardLogs"\RTDC4018\*4018*201709022* &gt;&gt; 2017-09-02-SliceDisagreementCheck.txt</v>
      </c>
      <c r="AE14" s="145" t="str">
        <f t="shared" si="9"/>
        <v>start /low /b %USERPROFILE%\Documents\GitHub\eaglep3\Utilities\DownloadLogsFromS3.py --loco 4018 --day 2017-09-02</v>
      </c>
      <c r="AF14" s="1"/>
    </row>
    <row r="15" spans="1:32" x14ac:dyDescent="0.25">
      <c r="A15" s="31">
        <v>42980.467812499999</v>
      </c>
      <c r="B15" s="30" t="s">
        <v>510</v>
      </c>
      <c r="C15" s="30" t="s">
        <v>573</v>
      </c>
      <c r="D15" s="30" t="s">
        <v>49</v>
      </c>
      <c r="E15" s="30" t="s">
        <v>195</v>
      </c>
      <c r="F15" s="42">
        <v>600</v>
      </c>
      <c r="G15" s="42">
        <v>743</v>
      </c>
      <c r="H15" s="42">
        <v>180989</v>
      </c>
      <c r="I15" s="42">
        <v>184307</v>
      </c>
      <c r="J15" s="30" t="s">
        <v>196</v>
      </c>
      <c r="K15" s="42">
        <v>183829</v>
      </c>
      <c r="L15" s="131" t="s">
        <v>50</v>
      </c>
      <c r="M15" s="132">
        <f t="shared" si="0"/>
        <v>-252.38399999999999</v>
      </c>
      <c r="N15" s="133" t="str">
        <f>VLOOKUP(C15,'Trips&amp;Operators'!$C$1:$G$99911,5,FALSE)</f>
        <v>BRUDER RICHARD</v>
      </c>
      <c r="O15" s="200" t="s">
        <v>180</v>
      </c>
      <c r="P15" s="134"/>
      <c r="Q15" s="30"/>
      <c r="R15" s="81" t="str">
        <f>VLOOKUP(C15,'Train Runs'!$A$13:$AE$9920,31,0)</f>
        <v>aws s3 cp s3://rtdc.mdm.uploadarchive.raw/RTDC4032/ "%USERPROFILE%\AppData\Local\Temp\OnboardLogs"\RTDC4032\2017-09-02 --exclude "*" --recursive --include "*20170902*" &amp; "%USERPROFILE%\Documents\GitHub\mrs-test-scripts\Headless Mode &amp; Sideloading\WalkAndUnGZ.bat" "%USERPROFILE%\AppData\Local\Temp\OnboardLogs"\RTDC4032\2017-09-02 &amp; aws s3 cp s3://rtdc.mdm.uploadarchive.raw/RTDC4032/ "%USERPROFILE%\AppData\Local\Temp\OnboardLogs"\RTDC4032\2017-09-03 --exclude "*" --recursive --include "*20170903*" &amp; "%USERPROFILE%\Documents\GitHub\mrs-test-scripts\Headless Mode &amp; Sideloading\WalkAndUnGZ.bat" "%USERPROFILE%\AppData\Local\Temp\OnboardLogs"\RTDC4032\2017-09-03</v>
      </c>
      <c r="S15" s="84" t="str">
        <f>VLOOKUP(C15,'Train Runs'!$A$13:$AE$9920,22,0)</f>
        <v>https://d0f6bd738d7f1b3e5a7ca70fe4ff75f0.us-east-1.aws.found.io/app/kibana#/discover/Steve-Slow-Train-Analysis-(2080s-and-2083s)?_g=(refreshInterval:(display:Off,pause:!f,section:0,value:0),time:(from:'2017-09-02T09:39:35-0600',mode:absolute,to:'2017-09-02T12:20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15" s="86" t="str">
        <f t="shared" si="1"/>
        <v>"C:\Program Files (x86)\AstroGrep\AstroGrep.exe" /e /r /s /spath="%USERPROFILE%\AppData\Local\Temp\OnboardLogs" /stypes="*4032*201709021*" /stext=" 17:.+((SYSTEM_STATE.+slice.+state.+changed )|(ment ac)|(multiple cpu faults)|(system.+state.+changed )|(\[timeout)|(PRM\|1\|D)|(kpr)|(kdp)|(train st.+moving)|(\|lc)|(penalty))"</v>
      </c>
      <c r="U15" s="9" t="str">
        <f t="shared" si="2"/>
        <v>4032</v>
      </c>
      <c r="V15" s="31">
        <f t="shared" si="3"/>
        <v>42980.717812499999</v>
      </c>
      <c r="W15" s="45" t="str">
        <f t="shared" si="4"/>
        <v>EC</v>
      </c>
      <c r="X15" s="22">
        <f t="shared" si="5"/>
        <v>157</v>
      </c>
      <c r="Y15" s="96" t="str">
        <f t="shared" si="6"/>
        <v>echo {"issue":{"subject":"","project_id":79,"tracker_id":40,"status_id":1,"priority_id":2,"assigned_to_id":338,"start_date":"2017-09-02","description":"","custom_fields":[{"id":1,"name":"Subdivision","value":"EC"},{"id":4,"name":"Milepost","value":"18.3829"},{"id":17,"name":"Train ID","value":"157-02"},{"id":16,"name":"Locomotive ID","value":"4032"},{"id":130,"name":"Impact","value":""},{"id":150,"name":"Time of Event (Mountain Time)","value":"11:13:39"},{"id":151,"name":"Denver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/c/Users/stu/AppData/Local/Temp/OnboardLogs/RTDC4032 --include="*4032*201709021*"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"%USERPROFILE%\AppData\Local\Temp\OnboardLogs"\RTDC4032\*4032*201709021* &gt;&gt; 2017-09-02-SliceDisagreementCheck.txt</v>
      </c>
      <c r="AE15" s="145" t="str">
        <f t="shared" si="9"/>
        <v>start /low /b %USERPROFILE%\Documents\GitHub\eaglep3\Utilities\DownloadLogsFromS3.py --loco 4032 --day 2017-09-02</v>
      </c>
      <c r="AF15" s="1"/>
    </row>
    <row r="16" spans="1:32" x14ac:dyDescent="0.25">
      <c r="A16" s="31">
        <v>42980.221759259257</v>
      </c>
      <c r="B16" s="30" t="s">
        <v>382</v>
      </c>
      <c r="C16" s="30" t="s">
        <v>561</v>
      </c>
      <c r="D16" s="30" t="s">
        <v>96</v>
      </c>
      <c r="E16" s="30" t="s">
        <v>195</v>
      </c>
      <c r="F16" s="42">
        <v>600</v>
      </c>
      <c r="G16" s="42">
        <v>650</v>
      </c>
      <c r="H16" s="42">
        <v>184532</v>
      </c>
      <c r="I16" s="42">
        <v>181832</v>
      </c>
      <c r="J16" s="30" t="s">
        <v>196</v>
      </c>
      <c r="K16" s="42">
        <v>190834</v>
      </c>
      <c r="L16" s="131" t="s">
        <v>51</v>
      </c>
      <c r="M16" s="132">
        <f t="shared" si="0"/>
        <v>-4753.0559999999996</v>
      </c>
      <c r="N16" s="133" t="str">
        <f>VLOOKUP(C16,'Trips&amp;Operators'!$C$1:$G$99911,5,FALSE)</f>
        <v>DAVIS WENDY</v>
      </c>
      <c r="O16" s="200" t="s">
        <v>180</v>
      </c>
      <c r="P16" s="134"/>
      <c r="Q16" s="30"/>
      <c r="R16" s="81" t="str">
        <f>VLOOKUP(C16,'Train Runs'!$A$13:$AE$9920,31,0)</f>
        <v>aws s3 cp s3://rtdc.mdm.uploadarchive.raw/RTDC4027/ "%USERPROFILE%\AppData\Local\Temp\OnboardLogs"\RTDC4027\2017-09-02 --exclude "*" --recursive --include "*20170902*" &amp; "%USERPROFILE%\Documents\GitHub\mrs-test-scripts\Headless Mode &amp; Sideloading\WalkAndUnGZ.bat" "%USERPROFILE%\AppData\Local\Temp\OnboardLogs"\RTDC4027\2017-09-02 &amp; aws s3 cp s3://rtdc.mdm.uploadarchive.raw/RTDC4027/ "%USERPROFILE%\AppData\Local\Temp\OnboardLogs"\RTDC4027\2017-09-03 --exclude "*" --recursive --include "*20170903*" &amp; "%USERPROFILE%\Documents\GitHub\mrs-test-scripts\Headless Mode &amp; Sideloading\WalkAndUnGZ.bat" "%USERPROFILE%\AppData\Local\Temp\OnboardLogs"\RTDC4027\2017-09-03</v>
      </c>
      <c r="S16" s="84" t="str">
        <f>VLOOKUP(C16,'Train Runs'!$A$13:$AE$9920,22,0)</f>
        <v>https://d0f6bd738d7f1b3e5a7ca70fe4ff75f0.us-east-1.aws.found.io/app/kibana#/discover/Steve-Slow-Train-Analysis-(2080s-and-2083s)?_g=(refreshInterval:(display:Off,pause:!f,section:0,value:0),time:(from:'2017-09-02T03:54:16-0600',mode:absolute,to:'2017-09-02T06:52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16" s="86" t="str">
        <f t="shared" si="1"/>
        <v>"C:\Program Files (x86)\AstroGrep\AstroGrep.exe" /e /r /s /spath="%USERPROFILE%\AppData\Local\Temp\OnboardLogs" /stypes="*4027*201709021*" /stext=" 11:.+((SYSTEM_STATE.+slice.+state.+changed )|(ment ac)|(multiple cpu faults)|(system.+state.+changed )|(\[timeout)|(PRM\|1\|D)|(kpr)|(kdp)|(train st.+moving)|(\|lc)|(penalty))"</v>
      </c>
      <c r="U16" s="9" t="str">
        <f t="shared" si="2"/>
        <v>4027</v>
      </c>
      <c r="V16" s="31">
        <f t="shared" si="3"/>
        <v>42980.471759259257</v>
      </c>
      <c r="W16" s="45" t="str">
        <f t="shared" si="4"/>
        <v>EC</v>
      </c>
      <c r="X16" s="22">
        <f t="shared" si="5"/>
        <v>106</v>
      </c>
      <c r="Y16" s="96" t="str">
        <f t="shared" si="6"/>
        <v>echo {"issue":{"subject":"","project_id":79,"tracker_id":40,"status_id":1,"priority_id":2,"assigned_to_id":338,"start_date":"2017-09-02","description":"","custom_fields":[{"id":1,"name":"Subdivision","value":"EC"},{"id":4,"name":"Milepost","value":"19.0834"},{"id":17,"name":"Train ID","value":"106-02"},{"id":16,"name":"Locomotive ID","value":"4027"},{"id":130,"name":"Impact","value":""},{"id":150,"name":"Time of Event (Mountain Time)","value":"05:19:20"},{"id":151,"name":"Denver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/c/Users/stu/AppData/Local/Temp/OnboardLogs/RTDC4027 --include="*4027*201709021*"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"%USERPROFILE%\AppData\Local\Temp\OnboardLogs"\RTDC4027\*4027*201709021* &gt;&gt; 2017-09-02-SliceDisagreementCheck.txt</v>
      </c>
      <c r="AE16" s="145" t="str">
        <f t="shared" si="9"/>
        <v>start /low /b %USERPROFILE%\Documents\GitHub\eaglep3\Utilities\DownloadLogsFromS3.py --loco 4027 --day 2017-09-02</v>
      </c>
      <c r="AF16" s="1"/>
    </row>
    <row r="17" spans="1:32" x14ac:dyDescent="0.25">
      <c r="A17" s="31">
        <v>42980.328240740739</v>
      </c>
      <c r="B17" s="30" t="s">
        <v>564</v>
      </c>
      <c r="C17" s="30" t="s">
        <v>565</v>
      </c>
      <c r="D17" s="30" t="s">
        <v>96</v>
      </c>
      <c r="E17" s="30" t="s">
        <v>195</v>
      </c>
      <c r="F17" s="42">
        <v>600</v>
      </c>
      <c r="G17" s="42">
        <v>652</v>
      </c>
      <c r="H17" s="42">
        <v>184354</v>
      </c>
      <c r="I17" s="42">
        <v>181177</v>
      </c>
      <c r="J17" s="30" t="s">
        <v>196</v>
      </c>
      <c r="K17" s="42">
        <v>190834</v>
      </c>
      <c r="L17" s="131" t="s">
        <v>51</v>
      </c>
      <c r="M17" s="132">
        <f t="shared" si="0"/>
        <v>-5098.8959999999997</v>
      </c>
      <c r="N17" s="133" t="str">
        <f>VLOOKUP(C17,'Trips&amp;Operators'!$C$1:$G$99911,5,FALSE)</f>
        <v>THOMPSON LESTER</v>
      </c>
      <c r="O17" s="200" t="s">
        <v>180</v>
      </c>
      <c r="P17" s="134"/>
      <c r="Q17" s="30"/>
      <c r="R17" s="81" t="str">
        <f>VLOOKUP(C17,'Train Runs'!$A$13:$AE$9920,31,0)</f>
        <v>aws s3 cp s3://rtdc.mdm.uploadarchive.raw/RTDC4065/ "%USERPROFILE%\AppData\Local\Temp\OnboardLogs"\RTDC4065\2017-09-02 --exclude "*" --recursive --include "*20170902*" &amp; "%USERPROFILE%\Documents\GitHub\mrs-test-scripts\Headless Mode &amp; Sideloading\WalkAndUnGZ.bat" "%USERPROFILE%\AppData\Local\Temp\OnboardLogs"\RTDC4065\2017-09-02 &amp; aws s3 cp s3://rtdc.mdm.uploadarchive.raw/RTDC4065/ "%USERPROFILE%\AppData\Local\Temp\OnboardLogs"\RTDC4065\2017-09-03 --exclude "*" --recursive --include "*20170903*" &amp; "%USERPROFILE%\Documents\GitHub\mrs-test-scripts\Headless Mode &amp; Sideloading\WalkAndUnGZ.bat" "%USERPROFILE%\AppData\Local\Temp\OnboardLogs"\RTDC4065\2017-09-03</v>
      </c>
      <c r="S17" s="84" t="str">
        <f>VLOOKUP(C17,'Train Runs'!$A$13:$AE$9920,22,0)</f>
        <v>https://d0f6bd738d7f1b3e5a7ca70fe4ff75f0.us-east-1.aws.found.io/app/kibana#/discover/Steve-Slow-Train-Analysis-(2080s-and-2083s)?_g=(refreshInterval:(display:Off,pause:!f,section:0,value:0),time:(from:'2017-09-02T06:41:09-0600',mode:absolute,to:'2017-09-02T09:25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17" s="86" t="str">
        <f t="shared" si="1"/>
        <v>"C:\Program Files (x86)\AstroGrep\AstroGrep.exe" /e /r /s /spath="%USERPROFILE%\AppData\Local\Temp\OnboardLogs" /stypes="*4065*201709021*" /stext=" 13:.+((SYSTEM_STATE.+slice.+state.+changed )|(ment ac)|(multiple cpu faults)|(system.+state.+changed )|(\[timeout)|(PRM\|1\|D)|(kpr)|(kdp)|(train st.+moving)|(\|lc)|(penalty))"</v>
      </c>
      <c r="U17" s="9" t="str">
        <f t="shared" si="2"/>
        <v>4065</v>
      </c>
      <c r="V17" s="31">
        <f t="shared" si="3"/>
        <v>42980.578240740739</v>
      </c>
      <c r="W17" s="45" t="str">
        <f t="shared" si="4"/>
        <v>EC</v>
      </c>
      <c r="X17" s="22">
        <f t="shared" si="5"/>
        <v>126</v>
      </c>
      <c r="Y17" s="96" t="str">
        <f t="shared" si="6"/>
        <v>echo {"issue":{"subject":"","project_id":79,"tracker_id":40,"status_id":1,"priority_id":2,"assigned_to_id":338,"start_date":"2017-09-02","description":"","custom_fields":[{"id":1,"name":"Subdivision","value":"EC"},{"id":4,"name":"Milepost","value":"19.0834"},{"id":17,"name":"Train ID","value":"126-02"},{"id":16,"name":"Locomotive ID","value":"4065"},{"id":130,"name":"Impact","value":""},{"id":150,"name":"Time of Event (Mountain Time)","value":"07:52:40"},{"id":151,"name":"Denver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/c/Users/stu/AppData/Local/Temp/OnboardLogs/RTDC4065 --include="*4065*201709021*"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"%USERPROFILE%\AppData\Local\Temp\OnboardLogs"\RTDC4065\*4065*201709021* &gt;&gt; 2017-09-02-SliceDisagreementCheck.txt</v>
      </c>
      <c r="AE17" s="145" t="str">
        <f t="shared" si="9"/>
        <v>start /low /b %USERPROFILE%\Documents\GitHub\eaglep3\Utilities\DownloadLogsFromS3.py --loco 4065 --day 2017-09-02</v>
      </c>
      <c r="AF17" s="1"/>
    </row>
    <row r="18" spans="1:32" x14ac:dyDescent="0.25">
      <c r="A18" s="31">
        <v>42980.323900462965</v>
      </c>
      <c r="B18" s="30" t="s">
        <v>564</v>
      </c>
      <c r="C18" s="30" t="s">
        <v>565</v>
      </c>
      <c r="D18" s="30" t="s">
        <v>96</v>
      </c>
      <c r="E18" s="30" t="s">
        <v>195</v>
      </c>
      <c r="F18" s="42">
        <v>350</v>
      </c>
      <c r="G18" s="42">
        <v>402</v>
      </c>
      <c r="H18" s="42">
        <v>224728</v>
      </c>
      <c r="I18" s="42">
        <v>223623</v>
      </c>
      <c r="J18" s="30" t="s">
        <v>196</v>
      </c>
      <c r="K18" s="42">
        <v>228668</v>
      </c>
      <c r="L18" s="131" t="s">
        <v>51</v>
      </c>
      <c r="M18" s="132">
        <f t="shared" si="0"/>
        <v>-2663.7599999999998</v>
      </c>
      <c r="N18" s="133" t="str">
        <f>VLOOKUP(C18,'Trips&amp;Operators'!$C$1:$G$99911,5,FALSE)</f>
        <v>THOMPSON LESTER</v>
      </c>
      <c r="O18" s="200" t="s">
        <v>180</v>
      </c>
      <c r="P18" s="134"/>
      <c r="Q18" s="30"/>
      <c r="R18" s="81" t="str">
        <f>VLOOKUP(C18,'Train Runs'!$A$13:$AE$9920,31,0)</f>
        <v>aws s3 cp s3://rtdc.mdm.uploadarchive.raw/RTDC4065/ "%USERPROFILE%\AppData\Local\Temp\OnboardLogs"\RTDC4065\2017-09-02 --exclude "*" --recursive --include "*20170902*" &amp; "%USERPROFILE%\Documents\GitHub\mrs-test-scripts\Headless Mode &amp; Sideloading\WalkAndUnGZ.bat" "%USERPROFILE%\AppData\Local\Temp\OnboardLogs"\RTDC4065\2017-09-02 &amp; aws s3 cp s3://rtdc.mdm.uploadarchive.raw/RTDC4065/ "%USERPROFILE%\AppData\Local\Temp\OnboardLogs"\RTDC4065\2017-09-03 --exclude "*" --recursive --include "*20170903*" &amp; "%USERPROFILE%\Documents\GitHub\mrs-test-scripts\Headless Mode &amp; Sideloading\WalkAndUnGZ.bat" "%USERPROFILE%\AppData\Local\Temp\OnboardLogs"\RTDC4065\2017-09-03</v>
      </c>
      <c r="S18" s="84" t="str">
        <f>VLOOKUP(C18,'Train Runs'!$A$13:$AE$9920,22,0)</f>
        <v>https://d0f6bd738d7f1b3e5a7ca70fe4ff75f0.us-east-1.aws.found.io/app/kibana#/discover/Steve-Slow-Train-Analysis-(2080s-and-2083s)?_g=(refreshInterval:(display:Off,pause:!f,section:0,value:0),time:(from:'2017-09-02T06:41:09-0600',mode:absolute,to:'2017-09-02T09:25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18" s="86" t="str">
        <f t="shared" si="1"/>
        <v>"C:\Program Files (x86)\AstroGrep\AstroGrep.exe" /e /r /s /spath="%USERPROFILE%\AppData\Local\Temp\OnboardLogs" /stypes="*4065*201709021*" /stext=" 13:.+((SYSTEM_STATE.+slice.+state.+changed )|(ment ac)|(multiple cpu faults)|(system.+state.+changed )|(\[timeout)|(PRM\|1\|D)|(kpr)|(kdp)|(train st.+moving)|(\|lc)|(penalty))"</v>
      </c>
      <c r="U18" s="9" t="str">
        <f t="shared" si="2"/>
        <v>4065</v>
      </c>
      <c r="V18" s="31">
        <f t="shared" si="3"/>
        <v>42980.573900462965</v>
      </c>
      <c r="W18" s="45" t="str">
        <f t="shared" si="4"/>
        <v>EC</v>
      </c>
      <c r="X18" s="22">
        <f t="shared" si="5"/>
        <v>126</v>
      </c>
      <c r="Y18" s="96" t="str">
        <f t="shared" si="6"/>
        <v>echo {"issue":{"subject":"","project_id":79,"tracker_id":40,"status_id":1,"priority_id":2,"assigned_to_id":338,"start_date":"2017-09-02","description":"","custom_fields":[{"id":1,"name":"Subdivision","value":"EC"},{"id":4,"name":"Milepost","value":"22.8668"},{"id":17,"name":"Train ID","value":"126-02"},{"id":16,"name":"Locomotive ID","value":"4065"},{"id":130,"name":"Impact","value":""},{"id":150,"name":"Time of Event (Mountain Time)","value":"07:46:25"},{"id":151,"name":"Denver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/c/Users/stu/AppData/Local/Temp/OnboardLogs/RTDC4065 --include="*4065*201709021*"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"%USERPROFILE%\AppData\Local\Temp\OnboardLogs"\RTDC4065\*4065*201709021* &gt;&gt; 2017-09-02-SliceDisagreementCheck.txt</v>
      </c>
      <c r="AE18" s="145" t="str">
        <f t="shared" si="9"/>
        <v>start /low /b %USERPROFILE%\Documents\GitHub\eaglep3\Utilities\DownloadLogsFromS3.py --loco 4065 --day 2017-09-02</v>
      </c>
      <c r="AF18" s="1"/>
    </row>
    <row r="19" spans="1:32" x14ac:dyDescent="0.25">
      <c r="A19" s="31">
        <v>42980.447939814818</v>
      </c>
      <c r="B19" s="30" t="s">
        <v>495</v>
      </c>
      <c r="C19" s="30" t="s">
        <v>570</v>
      </c>
      <c r="D19" s="30" t="s">
        <v>96</v>
      </c>
      <c r="E19" s="30" t="s">
        <v>195</v>
      </c>
      <c r="F19" s="42">
        <v>350</v>
      </c>
      <c r="G19" s="42">
        <v>401</v>
      </c>
      <c r="H19" s="42">
        <v>225966</v>
      </c>
      <c r="I19" s="42">
        <v>224995</v>
      </c>
      <c r="J19" s="30" t="s">
        <v>196</v>
      </c>
      <c r="K19" s="42">
        <v>228668</v>
      </c>
      <c r="L19" s="131" t="s">
        <v>51</v>
      </c>
      <c r="M19" s="132">
        <f t="shared" si="0"/>
        <v>-1939.3440000000001</v>
      </c>
      <c r="N19" s="133" t="str">
        <f>VLOOKUP(C19,'Trips&amp;Operators'!$C$1:$G$99911,5,FALSE)</f>
        <v>GEBRETEKLE DAGNEW</v>
      </c>
      <c r="O19" s="200" t="s">
        <v>180</v>
      </c>
      <c r="P19" s="134"/>
      <c r="Q19" s="30"/>
      <c r="R19" s="81" t="str">
        <f>VLOOKUP(C19,'Train Runs'!$A$13:$AE$9920,31,0)</f>
        <v>aws s3 cp s3://rtdc.mdm.uploadarchive.raw/RTDC4055/ "%USERPROFILE%\AppData\Local\Temp\OnboardLogs"\RTDC4055\2017-09-02 --exclude "*" --recursive --include "*20170902*" &amp; "%USERPROFILE%\Documents\GitHub\mrs-test-scripts\Headless Mode &amp; Sideloading\WalkAndUnGZ.bat" "%USERPROFILE%\AppData\Local\Temp\OnboardLogs"\RTDC4055\2017-09-02 &amp; aws s3 cp s3://rtdc.mdm.uploadarchive.raw/RTDC4055/ "%USERPROFILE%\AppData\Local\Temp\OnboardLogs"\RTDC4055\2017-09-03 --exclude "*" --recursive --include "*20170903*" &amp; "%USERPROFILE%\Documents\GitHub\mrs-test-scripts\Headless Mode &amp; Sideloading\WalkAndUnGZ.bat" "%USERPROFILE%\AppData\Local\Temp\OnboardLogs"\RTDC4055\2017-09-03</v>
      </c>
      <c r="S19" s="84" t="str">
        <f>VLOOKUP(C19,'Train Runs'!$A$13:$AE$9920,22,0)</f>
        <v>https://d0f6bd738d7f1b3e5a7ca70fe4ff75f0.us-east-1.aws.found.io/app/kibana#/discover/Steve-Slow-Train-Analysis-(2080s-and-2083s)?_g=(refreshInterval:(display:Off,pause:!f,section:0,value:0),time:(from:'2017-09-02T09:21:22-0600',mode:absolute,to:'2017-09-02T12:20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19" s="86" t="str">
        <f t="shared" si="1"/>
        <v>"C:\Program Files (x86)\AstroGrep\AstroGrep.exe" /e /r /s /spath="%USERPROFILE%\AppData\Local\Temp\OnboardLogs" /stypes="*4055*201709021*" /stext=" 16:.+((SYSTEM_STATE.+slice.+state.+changed )|(ment ac)|(multiple cpu faults)|(system.+state.+changed )|(\[timeout)|(PRM\|1\|D)|(kpr)|(kdp)|(train st.+moving)|(\|lc)|(penalty))"</v>
      </c>
      <c r="U19" s="9" t="str">
        <f t="shared" si="2"/>
        <v>4055</v>
      </c>
      <c r="V19" s="31">
        <f t="shared" si="3"/>
        <v>42980.697939814818</v>
      </c>
      <c r="W19" s="45" t="str">
        <f t="shared" si="4"/>
        <v>EC</v>
      </c>
      <c r="X19" s="22">
        <f t="shared" si="5"/>
        <v>150</v>
      </c>
      <c r="Y19" s="96" t="str">
        <f t="shared" si="6"/>
        <v>echo {"issue":{"subject":"","project_id":79,"tracker_id":40,"status_id":1,"priority_id":2,"assigned_to_id":338,"start_date":"2017-09-02","description":"","custom_fields":[{"id":1,"name":"Subdivision","value":"EC"},{"id":4,"name":"Milepost","value":"22.8668"},{"id":17,"name":"Train ID","value":"150-02"},{"id":16,"name":"Locomotive ID","value":"4055"},{"id":130,"name":"Impact","value":""},{"id":150,"name":"Time of Event (Mountain Time)","value":"10:45:02"},{"id":151,"name":"Denver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/c/Users/stu/AppData/Local/Temp/OnboardLogs/RTDC4055 --include="*4055*201709021*"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"%USERPROFILE%\AppData\Local\Temp\OnboardLogs"\RTDC4055\*4055*201709021* &gt;&gt; 2017-09-02-SliceDisagreementCheck.txt</v>
      </c>
      <c r="AE19" s="145" t="str">
        <f t="shared" si="9"/>
        <v>start /low /b %USERPROFILE%\Documents\GitHub\eaglep3\Utilities\DownloadLogsFromS3.py --loco 4055 --day 2017-09-02</v>
      </c>
      <c r="AF19" s="1"/>
    </row>
    <row r="20" spans="1:32" x14ac:dyDescent="0.25">
      <c r="A20" s="31">
        <v>42980.588877314818</v>
      </c>
      <c r="B20" s="30" t="s">
        <v>578</v>
      </c>
      <c r="C20" s="30" t="s">
        <v>579</v>
      </c>
      <c r="D20" s="30" t="s">
        <v>96</v>
      </c>
      <c r="E20" s="30" t="s">
        <v>367</v>
      </c>
      <c r="F20" s="42">
        <v>0</v>
      </c>
      <c r="G20" s="42">
        <v>69</v>
      </c>
      <c r="H20" s="42">
        <v>1843</v>
      </c>
      <c r="I20" s="42">
        <v>1902</v>
      </c>
      <c r="J20" s="30" t="s">
        <v>368</v>
      </c>
      <c r="K20" s="42">
        <v>1692</v>
      </c>
      <c r="L20" s="131" t="s">
        <v>50</v>
      </c>
      <c r="M20" s="132">
        <f t="shared" si="0"/>
        <v>-110.88</v>
      </c>
      <c r="N20" s="133" t="str">
        <f>VLOOKUP(C20,'Trips&amp;Operators'!$C$1:$G$99911,5,FALSE)</f>
        <v>STORY SAMANTHA</v>
      </c>
      <c r="O20" s="200" t="s">
        <v>180</v>
      </c>
      <c r="P20" s="134" t="s">
        <v>967</v>
      </c>
      <c r="Q20" s="30"/>
      <c r="R20" s="81" t="str">
        <f>VLOOKUP(C20,'Train Runs'!$A$13:$AE$9920,31,0)</f>
        <v>aws s3 cp s3://rtdc.mdm.uploadarchive.raw/RTDC4052/ "%USERPROFILE%\AppData\Local\Temp\OnboardLogs"\RTDC4052\2017-09-02 --exclude "*" --recursive --include "*20170902*" &amp; "%USERPROFILE%\Documents\GitHub\mrs-test-scripts\Headless Mode &amp; Sideloading\WalkAndUnGZ.bat" "%USERPROFILE%\AppData\Local\Temp\OnboardLogs"\RTDC4052\2017-09-02 &amp; aws s3 cp s3://rtdc.mdm.uploadarchive.raw/RTDC4052/ "%USERPROFILE%\AppData\Local\Temp\OnboardLogs"\RTDC4052\2017-09-03 --exclude "*" --recursive --include "*20170903*" &amp; "%USERPROFILE%\Documents\GitHub\mrs-test-scripts\Headless Mode &amp; Sideloading\WalkAndUnGZ.bat" "%USERPROFILE%\AppData\Local\Temp\OnboardLogs"\RTDC4052\2017-09-03</v>
      </c>
      <c r="S20" s="84" t="str">
        <f>VLOOKUP(C20,'Train Runs'!$A$13:$AE$9920,22,0)</f>
        <v>https://d0f6bd738d7f1b3e5a7ca70fe4ff75f0.us-east-1.aws.found.io/app/kibana#/discover/Steve-Slow-Train-Analysis-(2080s-and-2083s)?_g=(refreshInterval:(display:Off,pause:!f,section:0,value:0),time:(from:'2017-09-02T12:52:16-0600',mode:absolute,to:'2017-09-02T15:38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20" s="86" t="str">
        <f t="shared" si="1"/>
        <v>"C:\Program Files (x86)\AstroGrep\AstroGrep.exe" /e /r /s /spath="%USERPROFILE%\AppData\Local\Temp\OnboardLogs" /stypes="*4052*201709022*" /stext=" 20:.+((SYSTEM_STATE.+slice.+state.+changed )|(ment ac)|(multiple cpu faults)|(system.+state.+changed )|(\[timeout)|(PRM\|1\|D)|(kpr)|(kdp)|(train st.+moving)|(\|lc)|(penalty))"</v>
      </c>
      <c r="U20" s="9" t="str">
        <f t="shared" si="2"/>
        <v>4052</v>
      </c>
      <c r="V20" s="31">
        <f t="shared" si="3"/>
        <v>42980.838877314818</v>
      </c>
      <c r="W20" s="45" t="str">
        <f t="shared" si="4"/>
        <v>EC</v>
      </c>
      <c r="X20" s="22">
        <f t="shared" si="5"/>
        <v>183</v>
      </c>
      <c r="Y20" s="96" t="str">
        <f t="shared" si="6"/>
        <v>echo {"issue":{"subject":"Main 3 departure","project_id":79,"tracker_id":40,"status_id":1,"priority_id":2,"assigned_to_id":338,"start_date":"2017-09-02","description":"","custom_fields":[{"id":1,"name":"Subdivision","value":"EC"},{"id":4,"name":"Milepost","value":"0.1692"},{"id":17,"name":"Train ID","value":"183-02"},{"id":16,"name":"Locomotive ID","value":"4052"},{"id":130,"name":"Impact","value":""},{"id":150,"name":"Time of Event (Mountain Time)","value":"14:07:59"},{"id":151,"name":"Denver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/c/Users/stu/AppData/Local/Temp/OnboardLogs/RTDC4052 --include="*4052*201709022*"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"%USERPROFILE%\AppData\Local\Temp\OnboardLogs"\RTDC4052\*4052*201709022* &gt;&gt; 2017-09-02-SliceDisagreementCheck.txt</v>
      </c>
      <c r="AE20" s="145" t="str">
        <f t="shared" si="9"/>
        <v>start /low /b %USERPROFILE%\Documents\GitHub\eaglep3\Utilities\DownloadLogsFromS3.py --loco 4052 --day 2017-09-02</v>
      </c>
      <c r="AF20" s="1"/>
    </row>
    <row r="21" spans="1:32" x14ac:dyDescent="0.25">
      <c r="A21" s="31">
        <v>42980.593993055554</v>
      </c>
      <c r="B21" s="30" t="s">
        <v>578</v>
      </c>
      <c r="C21" s="30" t="s">
        <v>579</v>
      </c>
      <c r="D21" s="30" t="s">
        <v>96</v>
      </c>
      <c r="E21" s="30" t="s">
        <v>367</v>
      </c>
      <c r="F21" s="42">
        <v>200</v>
      </c>
      <c r="G21" s="42">
        <v>301</v>
      </c>
      <c r="H21" s="42">
        <v>20304</v>
      </c>
      <c r="I21" s="42">
        <v>20917</v>
      </c>
      <c r="J21" s="30" t="s">
        <v>368</v>
      </c>
      <c r="K21" s="42">
        <v>10800</v>
      </c>
      <c r="L21" s="131" t="s">
        <v>50</v>
      </c>
      <c r="M21" s="132">
        <f t="shared" si="0"/>
        <v>-5341.7759999999998</v>
      </c>
      <c r="N21" s="133" t="str">
        <f>VLOOKUP(C21,'Trips&amp;Operators'!$C$1:$G$99911,5,FALSE)</f>
        <v>STORY SAMANTHA</v>
      </c>
      <c r="O21" s="200" t="s">
        <v>180</v>
      </c>
      <c r="P21" s="134" t="s">
        <v>968</v>
      </c>
      <c r="Q21" s="30"/>
      <c r="R21" s="81" t="str">
        <f>VLOOKUP(C21,'Train Runs'!$A$13:$AE$9920,31,0)</f>
        <v>aws s3 cp s3://rtdc.mdm.uploadarchive.raw/RTDC4052/ "%USERPROFILE%\AppData\Local\Temp\OnboardLogs"\RTDC4052\2017-09-02 --exclude "*" --recursive --include "*20170902*" &amp; "%USERPROFILE%\Documents\GitHub\mrs-test-scripts\Headless Mode &amp; Sideloading\WalkAndUnGZ.bat" "%USERPROFILE%\AppData\Local\Temp\OnboardLogs"\RTDC4052\2017-09-02 &amp; aws s3 cp s3://rtdc.mdm.uploadarchive.raw/RTDC4052/ "%USERPROFILE%\AppData\Local\Temp\OnboardLogs"\RTDC4052\2017-09-03 --exclude "*" --recursive --include "*20170903*" &amp; "%USERPROFILE%\Documents\GitHub\mrs-test-scripts\Headless Mode &amp; Sideloading\WalkAndUnGZ.bat" "%USERPROFILE%\AppData\Local\Temp\OnboardLogs"\RTDC4052\2017-09-03</v>
      </c>
      <c r="S21" s="84" t="str">
        <f>VLOOKUP(C21,'Train Runs'!$A$13:$AE$9920,22,0)</f>
        <v>https://d0f6bd738d7f1b3e5a7ca70fe4ff75f0.us-east-1.aws.found.io/app/kibana#/discover/Steve-Slow-Train-Analysis-(2080s-and-2083s)?_g=(refreshInterval:(display:Off,pause:!f,section:0,value:0),time:(from:'2017-09-02T12:52:16-0600',mode:absolute,to:'2017-09-02T15:38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21" s="86" t="str">
        <f t="shared" si="1"/>
        <v>"C:\Program Files (x86)\AstroGrep\AstroGrep.exe" /e /r /s /spath="%USERPROFILE%\AppData\Local\Temp\OnboardLogs" /stypes="*4052*201709022*" /stext=" 20:.+((SYSTEM_STATE.+slice.+state.+changed )|(ment ac)|(multiple cpu faults)|(system.+state.+changed )|(\[timeout)|(PRM\|1\|D)|(kpr)|(kdp)|(train st.+moving)|(\|lc)|(penalty))"</v>
      </c>
      <c r="U21" s="9" t="str">
        <f t="shared" si="2"/>
        <v>4052</v>
      </c>
      <c r="V21" s="31">
        <f t="shared" si="3"/>
        <v>42980.843993055554</v>
      </c>
      <c r="W21" s="45" t="str">
        <f t="shared" si="4"/>
        <v>EC</v>
      </c>
      <c r="X21" s="22">
        <f t="shared" si="5"/>
        <v>183</v>
      </c>
      <c r="Y21" s="96" t="str">
        <f t="shared" si="6"/>
        <v>echo {"issue":{"subject":"Overspeed","project_id":79,"tracker_id":40,"status_id":1,"priority_id":2,"assigned_to_id":338,"start_date":"2017-09-02","description":"","custom_fields":[{"id":1,"name":"Subdivision","value":"EC"},{"id":4,"name":"Milepost","value":"1.08"},{"id":17,"name":"Train ID","value":"183-02"},{"id":16,"name":"Locomotive ID","value":"4052"},{"id":130,"name":"Impact","value":""},{"id":150,"name":"Time of Event (Mountain Time)","value":"14:15:21"},{"id":151,"name":"Denver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/c/Users/stu/AppData/Local/Temp/OnboardLogs/RTDC4052 --include="*4052*201709022*"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"%USERPROFILE%\AppData\Local\Temp\OnboardLogs"\RTDC4052\*4052*201709022* &gt;&gt; 2017-09-02-SliceDisagreementCheck.txt</v>
      </c>
      <c r="AE21" s="145" t="str">
        <f t="shared" si="9"/>
        <v>start /low /b %USERPROFILE%\Documents\GitHub\eaglep3\Utilities\DownloadLogsFromS3.py --loco 4052 --day 2017-09-02</v>
      </c>
      <c r="AF21" s="1"/>
    </row>
    <row r="22" spans="1:32" x14ac:dyDescent="0.25">
      <c r="A22" s="31">
        <v>42980.661157407405</v>
      </c>
      <c r="B22" s="30" t="s">
        <v>463</v>
      </c>
      <c r="C22" s="30" t="s">
        <v>585</v>
      </c>
      <c r="D22" s="30" t="s">
        <v>49</v>
      </c>
      <c r="E22" s="30" t="s">
        <v>367</v>
      </c>
      <c r="F22" s="42">
        <v>0</v>
      </c>
      <c r="G22" s="42">
        <v>147</v>
      </c>
      <c r="H22" s="42">
        <v>128076</v>
      </c>
      <c r="I22" s="42">
        <v>127919</v>
      </c>
      <c r="J22" s="30" t="s">
        <v>368</v>
      </c>
      <c r="K22" s="42">
        <v>127587</v>
      </c>
      <c r="L22" s="131" t="s">
        <v>51</v>
      </c>
      <c r="M22" s="132">
        <f t="shared" si="0"/>
        <v>175.29599999999999</v>
      </c>
      <c r="N22" s="133" t="str">
        <f>VLOOKUP(C22,'Trips&amp;Operators'!$C$1:$G$99911,5,FALSE)</f>
        <v>HOLCOMB KAMDEN</v>
      </c>
      <c r="O22" s="200" t="s">
        <v>180</v>
      </c>
      <c r="P22" s="134" t="s">
        <v>969</v>
      </c>
      <c r="Q22" s="30"/>
      <c r="R22" s="81" t="str">
        <f>VLOOKUP(C22,'Train Runs'!$A$13:$AE$9920,31,0)</f>
        <v>aws s3 cp s3://rtdc.mdm.uploadarchive.raw/RTDC4017/ "%USERPROFILE%\AppData\Local\Temp\OnboardLogs"\RTDC4017\2017-09-02 --exclude "*" --recursive --include "*20170902*" &amp; "%USERPROFILE%\Documents\GitHub\mrs-test-scripts\Headless Mode &amp; Sideloading\WalkAndUnGZ.bat" "%USERPROFILE%\AppData\Local\Temp\OnboardLogs"\RTDC4017\2017-09-02 &amp; aws s3 cp s3://rtdc.mdm.uploadarchive.raw/RTDC4017/ "%USERPROFILE%\AppData\Local\Temp\OnboardLogs"\RTDC4017\2017-09-03 --exclude "*" --recursive --include "*20170903*" &amp; "%USERPROFILE%\Documents\GitHub\mrs-test-scripts\Headless Mode &amp; Sideloading\WalkAndUnGZ.bat" "%USERPROFILE%\AppData\Local\Temp\OnboardLogs"\RTDC4017\2017-09-03</v>
      </c>
      <c r="S22" s="84" t="str">
        <f>VLOOKUP(C22,'Train Runs'!$A$13:$AE$9920,22,0)</f>
        <v>https://d0f6bd738d7f1b3e5a7ca70fe4ff75f0.us-east-1.aws.found.io/app/kibana#/discover/Steve-Slow-Train-Analysis-(2080s-and-2083s)?_g=(refreshInterval:(display:Off,pause:!f,section:0,value:0),time:(from:'2017-09-02T14:22:15-0600',mode:absolute,to:'2017-09-02T17:21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22" s="86" t="str">
        <f t="shared" si="1"/>
        <v>"C:\Program Files (x86)\AstroGrep\AstroGrep.exe" /e /r /s /spath="%USERPROFILE%\AppData\Local\Temp\OnboardLogs" /stypes="*4017*201709022*" /stext=" 21:.+((SYSTEM_STATE.+slice.+state.+changed )|(ment ac)|(multiple cpu faults)|(system.+state.+changed )|(\[timeout)|(PRM\|1\|D)|(kpr)|(kdp)|(train st.+moving)|(\|lc)|(penalty))"</v>
      </c>
      <c r="U22" s="9" t="str">
        <f t="shared" si="2"/>
        <v>4017</v>
      </c>
      <c r="V22" s="31">
        <f t="shared" si="3"/>
        <v>42980.911157407405</v>
      </c>
      <c r="W22" s="45" t="str">
        <f t="shared" si="4"/>
        <v>EC</v>
      </c>
      <c r="X22" s="22">
        <f t="shared" si="5"/>
        <v>188</v>
      </c>
      <c r="Y22" s="96" t="str">
        <f t="shared" si="6"/>
        <v>echo {"issue":{"subject":"40th 4S STOP, cleared after","project_id":79,"tracker_id":40,"status_id":1,"priority_id":2,"assigned_to_id":338,"start_date":"2017-09-02","description":"","custom_fields":[{"id":1,"name":"Subdivision","value":"EC"},{"id":4,"name":"Milepost","value":"12.7587"},{"id":17,"name":"Train ID","value":"188-02"},{"id":16,"name":"Locomotive ID","value":"4017"},{"id":130,"name":"Impact","value":""},{"id":150,"name":"Time of Event (Mountain Time)","value":"15:52:04"},{"id":151,"name":"Denver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/c/Users/stu/AppData/Local/Temp/OnboardLogs/RTDC4017 --include="*4017*201709022*"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"%USERPROFILE%\AppData\Local\Temp\OnboardLogs"\RTDC4017\*4017*201709022* &gt;&gt; 2017-09-02-SliceDisagreementCheck.txt</v>
      </c>
      <c r="AE22" s="145" t="str">
        <f t="shared" si="9"/>
        <v>start /low /b %USERPROFILE%\Documents\GitHub\eaglep3\Utilities\DownloadLogsFromS3.py --loco 4017 --day 2017-09-02</v>
      </c>
      <c r="AF22" s="1"/>
    </row>
    <row r="23" spans="1:32" x14ac:dyDescent="0.25">
      <c r="A23" s="31">
        <v>42980.610243055555</v>
      </c>
      <c r="B23" s="30" t="s">
        <v>578</v>
      </c>
      <c r="C23" s="30" t="s">
        <v>579</v>
      </c>
      <c r="D23" s="30" t="s">
        <v>49</v>
      </c>
      <c r="E23" s="30" t="s">
        <v>367</v>
      </c>
      <c r="F23" s="42">
        <v>0</v>
      </c>
      <c r="G23" s="42">
        <v>347</v>
      </c>
      <c r="H23" s="42">
        <v>155579</v>
      </c>
      <c r="I23" s="42">
        <v>157353</v>
      </c>
      <c r="J23" s="30" t="s">
        <v>368</v>
      </c>
      <c r="K23" s="42">
        <v>155600</v>
      </c>
      <c r="L23" s="131" t="s">
        <v>50</v>
      </c>
      <c r="M23" s="132">
        <f t="shared" si="0"/>
        <v>-925.58399999999995</v>
      </c>
      <c r="N23" s="133" t="str">
        <f>VLOOKUP(C23,'Trips&amp;Operators'!$C$1:$G$99911,5,FALSE)</f>
        <v>STORY SAMANTHA</v>
      </c>
      <c r="O23" s="200" t="s">
        <v>370</v>
      </c>
      <c r="P23" s="134" t="s">
        <v>960</v>
      </c>
      <c r="Q23" s="30"/>
      <c r="R23" s="81" t="str">
        <f>VLOOKUP(C23,'Train Runs'!$A$13:$AE$9920,31,0)</f>
        <v>aws s3 cp s3://rtdc.mdm.uploadarchive.raw/RTDC4052/ "%USERPROFILE%\AppData\Local\Temp\OnboardLogs"\RTDC4052\2017-09-02 --exclude "*" --recursive --include "*20170902*" &amp; "%USERPROFILE%\Documents\GitHub\mrs-test-scripts\Headless Mode &amp; Sideloading\WalkAndUnGZ.bat" "%USERPROFILE%\AppData\Local\Temp\OnboardLogs"\RTDC4052\2017-09-02 &amp; aws s3 cp s3://rtdc.mdm.uploadarchive.raw/RTDC4052/ "%USERPROFILE%\AppData\Local\Temp\OnboardLogs"\RTDC4052\2017-09-03 --exclude "*" --recursive --include "*20170903*" &amp; "%USERPROFILE%\Documents\GitHub\mrs-test-scripts\Headless Mode &amp; Sideloading\WalkAndUnGZ.bat" "%USERPROFILE%\AppData\Local\Temp\OnboardLogs"\RTDC4052\2017-09-03</v>
      </c>
      <c r="S23" s="84" t="str">
        <f>VLOOKUP(C23,'Train Runs'!$A$13:$AE$9920,22,0)</f>
        <v>https://d0f6bd738d7f1b3e5a7ca70fe4ff75f0.us-east-1.aws.found.io/app/kibana#/discover/Steve-Slow-Train-Analysis-(2080s-and-2083s)?_g=(refreshInterval:(display:Off,pause:!f,section:0,value:0),time:(from:'2017-09-02T12:52:16-0600',mode:absolute,to:'2017-09-02T15:38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23" s="86" t="str">
        <f t="shared" si="1"/>
        <v>"C:\Program Files (x86)\AstroGrep\AstroGrep.exe" /e /r /s /spath="%USERPROFILE%\AppData\Local\Temp\OnboardLogs" /stypes="*4052*201709022*" /stext=" 20:.+((SYSTEM_STATE.+slice.+state.+changed )|(ment ac)|(multiple cpu faults)|(system.+state.+changed )|(\[timeout)|(PRM\|1\|D)|(kpr)|(kdp)|(train st.+moving)|(\|lc)|(penalty))"</v>
      </c>
      <c r="U23" s="9" t="str">
        <f t="shared" si="2"/>
        <v>4052</v>
      </c>
      <c r="V23" s="31">
        <f t="shared" si="3"/>
        <v>42980.860243055555</v>
      </c>
      <c r="W23" s="45" t="str">
        <f t="shared" si="4"/>
        <v>EC</v>
      </c>
      <c r="X23" s="22">
        <f t="shared" si="5"/>
        <v>183</v>
      </c>
      <c r="Y23" s="96" t="str">
        <f t="shared" si="6"/>
        <v>echo {"issue":{"subject":"False occupancy @ ML1680","project_id":79,"tracker_id":40,"status_id":1,"priority_id":2,"assigned_to_id":338,"start_date":"2017-09-02","description":"","custom_fields":[{"id":1,"name":"Subdivision","value":"EC"},{"id":4,"name":"Milepost","value":"15.56"},{"id":17,"name":"Train ID","value":"183-02"},{"id":16,"name":"Locomotive ID","value":"4052"},{"id":130,"name":"Impact","value":""},{"id":150,"name":"Time of Event (Mountain Time)","value":"14:38:45"},{"id":151,"name":"Denver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/c/Users/stu/AppData/Local/Temp/OnboardLogs/RTDC4052 --include="*4052*201709022*"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"%USERPROFILE%\AppData\Local\Temp\OnboardLogs"\RTDC4052\*4052*201709022* &gt;&gt; 2017-09-02-SliceDisagreementCheck.txt</v>
      </c>
      <c r="AE23" s="145" t="str">
        <f t="shared" si="9"/>
        <v>start /low /b %USERPROFILE%\Documents\GitHub\eaglep3\Utilities\DownloadLogsFromS3.py --loco 4052 --day 2017-09-02</v>
      </c>
      <c r="AF23" s="1"/>
    </row>
    <row r="24" spans="1:32" x14ac:dyDescent="0.25">
      <c r="A24" s="31">
        <v>42980.62</v>
      </c>
      <c r="B24" s="30" t="s">
        <v>564</v>
      </c>
      <c r="C24" s="30" t="s">
        <v>582</v>
      </c>
      <c r="D24" s="30" t="s">
        <v>96</v>
      </c>
      <c r="E24" s="30" t="s">
        <v>367</v>
      </c>
      <c r="F24" s="42">
        <v>0</v>
      </c>
      <c r="G24" s="42">
        <v>650</v>
      </c>
      <c r="H24" s="42">
        <v>182885</v>
      </c>
      <c r="I24" s="42">
        <v>179636</v>
      </c>
      <c r="J24" s="30" t="s">
        <v>368</v>
      </c>
      <c r="K24" s="42">
        <v>182920</v>
      </c>
      <c r="L24" s="131" t="s">
        <v>51</v>
      </c>
      <c r="M24" s="132">
        <f t="shared" si="0"/>
        <v>-1733.952</v>
      </c>
      <c r="N24" s="133" t="str">
        <f>VLOOKUP(C24,'Trips&amp;Operators'!$C$1:$G$99911,5,FALSE)</f>
        <v>DELGADO DIANAH</v>
      </c>
      <c r="O24" s="200" t="s">
        <v>370</v>
      </c>
      <c r="P24" s="134" t="s">
        <v>960</v>
      </c>
      <c r="Q24" s="30"/>
      <c r="R24" s="81" t="str">
        <f>VLOOKUP(C24,'Train Runs'!$A$13:$AE$9920,31,0)</f>
        <v>aws s3 cp s3://rtdc.mdm.uploadarchive.raw/RTDC4065/ "%USERPROFILE%\AppData\Local\Temp\OnboardLogs"\RTDC4065\2017-09-02 --exclude "*" --recursive --include "*20170902*" &amp; "%USERPROFILE%\Documents\GitHub\mrs-test-scripts\Headless Mode &amp; Sideloading\WalkAndUnGZ.bat" "%USERPROFILE%\AppData\Local\Temp\OnboardLogs"\RTDC4065\2017-09-02 &amp; aws s3 cp s3://rtdc.mdm.uploadarchive.raw/RTDC4065/ "%USERPROFILE%\AppData\Local\Temp\OnboardLogs"\RTDC4065\2017-09-03 --exclude "*" --recursive --include "*20170903*" &amp; "%USERPROFILE%\Documents\GitHub\mrs-test-scripts\Headless Mode &amp; Sideloading\WalkAndUnGZ.bat" "%USERPROFILE%\AppData\Local\Temp\OnboardLogs"\RTDC4065\2017-09-03</v>
      </c>
      <c r="S24" s="84" t="str">
        <f>VLOOKUP(C24,'Train Runs'!$A$13:$AE$9920,22,0)</f>
        <v>https://d0f6bd738d7f1b3e5a7ca70fe4ff75f0.us-east-1.aws.found.io/app/kibana#/discover/Steve-Slow-Train-Analysis-(2080s-and-2083s)?_g=(refreshInterval:(display:Off,pause:!f,section:0,value:0),time:(from:'2017-09-02T13:35:44-0600',mode:absolute,to:'2017-09-02T16:25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24" s="86" t="str">
        <f t="shared" si="1"/>
        <v>"C:\Program Files (x86)\AstroGrep\AstroGrep.exe" /e /r /s /spath="%USERPROFILE%\AppData\Local\Temp\OnboardLogs" /stypes="*4065*201709022*" /stext=" 20:.+((SYSTEM_STATE.+slice.+state.+changed )|(ment ac)|(multiple cpu faults)|(system.+state.+changed )|(\[timeout)|(PRM\|1\|D)|(kpr)|(kdp)|(train st.+moving)|(\|lc)|(penalty))"</v>
      </c>
      <c r="U24" s="9" t="str">
        <f t="shared" si="2"/>
        <v>4065</v>
      </c>
      <c r="V24" s="31">
        <f t="shared" si="3"/>
        <v>42980.87</v>
      </c>
      <c r="W24" s="45" t="str">
        <f t="shared" si="4"/>
        <v>EC</v>
      </c>
      <c r="X24" s="22">
        <f t="shared" si="5"/>
        <v>182</v>
      </c>
      <c r="Y24" s="96" t="str">
        <f t="shared" si="6"/>
        <v>echo {"issue":{"subject":"False occupancy @ ML1680","project_id":79,"tracker_id":40,"status_id":1,"priority_id":2,"assigned_to_id":338,"start_date":"2017-09-02","description":"","custom_fields":[{"id":1,"name":"Subdivision","value":"EC"},{"id":4,"name":"Milepost","value":"18.292"},{"id":17,"name":"Train ID","value":"182-02"},{"id":16,"name":"Locomotive ID","value":"4065"},{"id":130,"name":"Impact","value":""},{"id":150,"name":"Time of Event (Mountain Time)","value":"14:52:48"},{"id":151,"name":"Denver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/c/Users/stu/AppData/Local/Temp/OnboardLogs/RTDC4065 --include="*4065*201709022*"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"%USERPROFILE%\AppData\Local\Temp\OnboardLogs"\RTDC4065\*4065*201709022* &gt;&gt; 2017-09-02-SliceDisagreementCheck.txt</v>
      </c>
      <c r="AE24" s="145" t="str">
        <f t="shared" si="9"/>
        <v>start /low /b %USERPROFILE%\Documents\GitHub\eaglep3\Utilities\DownloadLogsFromS3.py --loco 4065 --day 2017-09-02</v>
      </c>
      <c r="AF24" s="1"/>
    </row>
    <row r="25" spans="1:32" x14ac:dyDescent="0.25">
      <c r="A25" s="31">
        <v>42980.700868055559</v>
      </c>
      <c r="B25" s="30" t="s">
        <v>510</v>
      </c>
      <c r="C25" s="30" t="s">
        <v>588</v>
      </c>
      <c r="D25" s="30" t="s">
        <v>96</v>
      </c>
      <c r="E25" s="30" t="s">
        <v>442</v>
      </c>
      <c r="F25" s="42">
        <v>0</v>
      </c>
      <c r="G25" s="42">
        <v>614</v>
      </c>
      <c r="H25" s="42">
        <v>104329</v>
      </c>
      <c r="I25" s="42">
        <v>0</v>
      </c>
      <c r="J25" s="30" t="s">
        <v>443</v>
      </c>
      <c r="K25" s="42">
        <v>103445</v>
      </c>
      <c r="L25" s="131" t="s">
        <v>50</v>
      </c>
      <c r="M25" s="132">
        <f t="shared" si="0"/>
        <v>54618.96</v>
      </c>
      <c r="N25" s="133" t="str">
        <f>VLOOKUP(C25,'Trips&amp;Operators'!$C$1:$G$99911,5,FALSE)</f>
        <v>BRUDER RICHARD</v>
      </c>
      <c r="O25" s="200" t="s">
        <v>370</v>
      </c>
      <c r="P25" s="134" t="s">
        <v>970</v>
      </c>
      <c r="Q25" s="30"/>
      <c r="R25" s="81" t="str">
        <f>VLOOKUP(C25,'Train Runs'!$A$13:$AE$9920,31,0)</f>
        <v>aws s3 cp s3://rtdc.mdm.uploadarchive.raw/RTDC4032/ "%USERPROFILE%\AppData\Local\Temp\OnboardLogs"\RTDC4032\2017-09-02 --exclude "*" --recursive --include "*20170902*" &amp; "%USERPROFILE%\Documents\GitHub\mrs-test-scripts\Headless Mode &amp; Sideloading\WalkAndUnGZ.bat" "%USERPROFILE%\AppData\Local\Temp\OnboardLogs"\RTDC4032\2017-09-02 &amp; aws s3 cp s3://rtdc.mdm.uploadarchive.raw/RTDC4032/ "%USERPROFILE%\AppData\Local\Temp\OnboardLogs"\RTDC4032\2017-09-03 --exclude "*" --recursive --include "*20170903*" &amp; "%USERPROFILE%\Documents\GitHub\mrs-test-scripts\Headless Mode &amp; Sideloading\WalkAndUnGZ.bat" "%USERPROFILE%\AppData\Local\Temp\OnboardLogs"\RTDC4032\2017-09-03</v>
      </c>
      <c r="S25" s="84" t="str">
        <f>VLOOKUP(C25,'Train Runs'!$A$13:$AE$9920,22,0)</f>
        <v>https://d0f6bd738d7f1b3e5a7ca70fe4ff75f0.us-east-1.aws.found.io/app/kibana#/discover/Steve-Slow-Train-Analysis-(2080s-and-2083s)?_g=(refreshInterval:(display:Off,pause:!f,section:0,value:0),time:(from:'2017-09-02T15:21:13-0600',mode:absolute,to:'2017-09-02T18:08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25" s="86" t="str">
        <f t="shared" si="1"/>
        <v>"C:\Program Files (x86)\AstroGrep\AstroGrep.exe" /e /r /s /spath="%USERPROFILE%\AppData\Local\Temp\OnboardLogs" /stypes="*4032*201709022*" /stext=" 22:.+((SYSTEM_STATE.+slice.+state.+changed )|(ment ac)|(multiple cpu faults)|(system.+state.+changed )|(\[timeout)|(PRM\|1\|D)|(kpr)|(kdp)|(train st.+moving)|(\|lc)|(penalty))"</v>
      </c>
      <c r="U25" s="9" t="str">
        <f t="shared" si="2"/>
        <v>4032</v>
      </c>
      <c r="V25" s="31">
        <f t="shared" si="3"/>
        <v>42980.950868055559</v>
      </c>
      <c r="W25" s="45" t="str">
        <f t="shared" si="4"/>
        <v>EC</v>
      </c>
      <c r="X25" s="22">
        <f t="shared" si="5"/>
        <v>203</v>
      </c>
      <c r="Y25" s="96" t="str">
        <f t="shared" si="6"/>
        <v>echo {"issue":{"subject":"Wi-MAX data drop","project_id":79,"tracker_id":40,"status_id":1,"priority_id":2,"assigned_to_id":338,"start_date":"2017-09-02","description":"","custom_fields":[{"id":1,"name":"Subdivision","value":"EC"},{"id":4,"name":"Milepost","value":"10.3445"},{"id":17,"name":"Train ID","value":"203-02"},{"id":16,"name":"Locomotive ID","value":"4032"},{"id":130,"name":"Impact","value":""},{"id":150,"name":"Time of Event (Mountain Time)","value":"16:49:15"},{"id":151,"name":"Denver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/c/Users/stu/AppData/Local/Temp/OnboardLogs/RTDC4032 --include="*4032*201709022*"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"%USERPROFILE%\AppData\Local\Temp\OnboardLogs"\RTDC4032\*4032*201709022* &gt;&gt; 2017-09-02-SliceDisagreementCheck.txt</v>
      </c>
      <c r="AE25" s="145" t="str">
        <f t="shared" si="9"/>
        <v>start /low /b %USERPROFILE%\Documents\GitHub\eaglep3\Utilities\DownloadLogsFromS3.py --loco 4032 --day 2017-09-02</v>
      </c>
      <c r="AF25" s="1"/>
    </row>
    <row r="26" spans="1:32" x14ac:dyDescent="0.25">
      <c r="A26" s="31">
        <v>42980.389618055553</v>
      </c>
      <c r="B26" s="30" t="s">
        <v>382</v>
      </c>
      <c r="C26" s="30" t="s">
        <v>568</v>
      </c>
      <c r="D26" s="30" t="s">
        <v>49</v>
      </c>
      <c r="E26" s="30" t="s">
        <v>181</v>
      </c>
      <c r="F26" s="42">
        <v>0</v>
      </c>
      <c r="G26" s="42">
        <v>68</v>
      </c>
      <c r="H26" s="42">
        <v>223</v>
      </c>
      <c r="I26" s="42">
        <v>123</v>
      </c>
      <c r="J26" s="30" t="s">
        <v>182</v>
      </c>
      <c r="K26" s="42">
        <v>1</v>
      </c>
      <c r="L26" s="131" t="s">
        <v>51</v>
      </c>
      <c r="M26" s="132">
        <f t="shared" si="0"/>
        <v>64.415999999999997</v>
      </c>
      <c r="N26" s="133" t="str">
        <f>VLOOKUP(C26,'Trips&amp;Operators'!$C$1:$G$99911,5,FALSE)</f>
        <v>DAVIS WENDY</v>
      </c>
      <c r="O26" s="200" t="s">
        <v>180</v>
      </c>
      <c r="P26" s="134"/>
      <c r="Q26" s="30"/>
      <c r="R26" s="81" t="str">
        <f>VLOOKUP(C26,'Train Runs'!$A$13:$AE$9920,31,0)</f>
        <v>aws s3 cp s3://rtdc.mdm.uploadarchive.raw/RTDC4027/ "%USERPROFILE%\AppData\Local\Temp\OnboardLogs"\RTDC4027\2017-09-02 --exclude "*" --recursive --include "*20170902*" &amp; "%USERPROFILE%\Documents\GitHub\mrs-test-scripts\Headless Mode &amp; Sideloading\WalkAndUnGZ.bat" "%USERPROFILE%\AppData\Local\Temp\OnboardLogs"\RTDC4027\2017-09-02 &amp; aws s3 cp s3://rtdc.mdm.uploadarchive.raw/RTDC4027/ "%USERPROFILE%\AppData\Local\Temp\OnboardLogs"\RTDC4027\2017-09-03 --exclude "*" --recursive --include "*20170903*" &amp; "%USERPROFILE%\Documents\GitHub\mrs-test-scripts\Headless Mode &amp; Sideloading\WalkAndUnGZ.bat" "%USERPROFILE%\AppData\Local\Temp\OnboardLogs"\RTDC4027\2017-09-03</v>
      </c>
      <c r="S26" s="84" t="str">
        <f>VLOOKUP(C26,'Train Runs'!$A$13:$AE$9920,22,0)</f>
        <v>https://d0f6bd738d7f1b3e5a7ca70fe4ff75f0.us-east-1.aws.found.io/app/kibana#/discover/Steve-Slow-Train-Analysis-(2080s-and-2083s)?_g=(refreshInterval:(display:Off,pause:!f,section:0,value:0),time:(from:'2017-09-02T06:37:37-0600',mode:absolute,to:'2017-09-02T10:21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26" s="86" t="str">
        <f t="shared" si="1"/>
        <v>"C:\Program Files (x86)\AstroGrep\AstroGrep.exe" /e /r /s /spath="%USERPROFILE%\AppData\Local\Temp\OnboardLogs" /stypes="*4027*201709021*" /stext=" 15:.+((SYSTEM_STATE.+slice.+state.+changed )|(ment ac)|(multiple cpu faults)|(system.+state.+changed )|(\[timeout)|(PRM\|1\|D)|(kpr)|(kdp)|(train st.+moving)|(\|lc)|(penalty))"</v>
      </c>
      <c r="U26" s="9" t="str">
        <f t="shared" si="2"/>
        <v>4027</v>
      </c>
      <c r="V26" s="31">
        <f t="shared" si="3"/>
        <v>42980.639618055553</v>
      </c>
      <c r="W26" s="45" t="str">
        <f t="shared" si="4"/>
        <v>EC</v>
      </c>
      <c r="X26" s="22">
        <f t="shared" si="5"/>
        <v>134</v>
      </c>
      <c r="Y26" s="96" t="str">
        <f t="shared" si="6"/>
        <v>echo {"issue":{"subject":"","project_id":79,"tracker_id":40,"status_id":1,"priority_id":2,"assigned_to_id":338,"start_date":"2017-09-02","description":"","custom_fields":[{"id":1,"name":"Subdivision","value":"EC"},{"id":4,"name":"Milepost","value":"0.0001"},{"id":17,"name":"Train ID","value":"134-02"},{"id":16,"name":"Locomotive ID","value":"4027"},{"id":130,"name":"Impact","value":""},{"id":150,"name":"Time of Event (Mountain Time)","value":"09:21:03"},{"id":151,"name":"Denver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/c/Users/stu/AppData/Local/Temp/OnboardLogs/RTDC4027 --include="*4027*201709021*"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"%USERPROFILE%\AppData\Local\Temp\OnboardLogs"\RTDC4027\*4027*201709021* &gt;&gt; 2017-09-02-SliceDisagreementCheck.txt</v>
      </c>
      <c r="AE26" s="145" t="str">
        <f t="shared" si="9"/>
        <v>start /low /b %USERPROFILE%\Documents\GitHub\eaglep3\Utilities\DownloadLogsFromS3.py --loco 4027 --day 2017-09-02</v>
      </c>
      <c r="AF26" s="1"/>
    </row>
    <row r="27" spans="1:32" x14ac:dyDescent="0.25">
      <c r="A27" s="31">
        <v>42980.430925925924</v>
      </c>
      <c r="B27" s="30" t="s">
        <v>405</v>
      </c>
      <c r="C27" s="30" t="s">
        <v>569</v>
      </c>
      <c r="D27" s="30" t="s">
        <v>49</v>
      </c>
      <c r="E27" s="30" t="s">
        <v>181</v>
      </c>
      <c r="F27" s="42">
        <v>0</v>
      </c>
      <c r="G27" s="42">
        <v>58</v>
      </c>
      <c r="H27" s="42">
        <v>185</v>
      </c>
      <c r="I27" s="42">
        <v>136</v>
      </c>
      <c r="J27" s="30" t="s">
        <v>182</v>
      </c>
      <c r="K27" s="42">
        <v>1</v>
      </c>
      <c r="L27" s="131" t="s">
        <v>51</v>
      </c>
      <c r="M27" s="132">
        <f t="shared" si="0"/>
        <v>71.28</v>
      </c>
      <c r="N27" s="133" t="str">
        <f>VLOOKUP(C27,'Trips&amp;Operators'!$C$1:$G$99911,5,FALSE)</f>
        <v>MACDONALD THOMAS</v>
      </c>
      <c r="O27" s="200" t="s">
        <v>180</v>
      </c>
      <c r="P27" s="134"/>
      <c r="Q27" s="30"/>
      <c r="R27" s="81" t="str">
        <f>VLOOKUP(C27,'Train Runs'!$A$13:$AE$9920,31,0)</f>
        <v>aws s3 cp s3://rtdc.mdm.uploadarchive.raw/RTDC4041/ "%USERPROFILE%\AppData\Local\Temp\OnboardLogs"\RTDC4041\2017-09-02 --exclude "*" --recursive --include "*20170902*" &amp; "%USERPROFILE%\Documents\GitHub\mrs-test-scripts\Headless Mode &amp; Sideloading\WalkAndUnGZ.bat" "%USERPROFILE%\AppData\Local\Temp\OnboardLogs"\RTDC4041\2017-09-02 &amp; aws s3 cp s3://rtdc.mdm.uploadarchive.raw/RTDC4041/ "%USERPROFILE%\AppData\Local\Temp\OnboardLogs"\RTDC4041\2017-09-03 --exclude "*" --recursive --include "*20170903*" &amp; "%USERPROFILE%\Documents\GitHub\mrs-test-scripts\Headless Mode &amp; Sideloading\WalkAndUnGZ.bat" "%USERPROFILE%\AppData\Local\Temp\OnboardLogs"\RTDC4041\2017-09-03</v>
      </c>
      <c r="S27" s="84" t="str">
        <f>VLOOKUP(C27,'Train Runs'!$A$13:$AE$9920,22,0)</f>
        <v>https://d0f6bd738d7f1b3e5a7ca70fe4ff75f0.us-east-1.aws.found.io/app/kibana#/discover/Steve-Slow-Train-Analysis-(2080s-and-2083s)?_g=(refreshInterval:(display:Off,pause:!f,section:0,value:0),time:(from:'2017-09-02T08:39:41-0600',mode:absolute,to:'2017-09-02T11:20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7" s="86" t="str">
        <f t="shared" si="1"/>
        <v>"C:\Program Files (x86)\AstroGrep\AstroGrep.exe" /e /r /s /spath="%USERPROFILE%\AppData\Local\Temp\OnboardLogs" /stypes="*4041*201709021*" /stext=" 16:.+((SYSTEM_STATE.+slice.+state.+changed )|(ment ac)|(multiple cpu faults)|(system.+state.+changed )|(\[timeout)|(PRM\|1\|D)|(kpr)|(kdp)|(train st.+moving)|(\|lc)|(penalty))"</v>
      </c>
      <c r="U27" s="9" t="str">
        <f t="shared" si="2"/>
        <v>4041</v>
      </c>
      <c r="V27" s="31">
        <f t="shared" si="3"/>
        <v>42980.680925925924</v>
      </c>
      <c r="W27" s="45" t="str">
        <f t="shared" si="4"/>
        <v>EC</v>
      </c>
      <c r="X27" s="22">
        <f t="shared" si="5"/>
        <v>142</v>
      </c>
      <c r="Y27" s="96" t="str">
        <f t="shared" si="6"/>
        <v>echo {"issue":{"subject":"","project_id":79,"tracker_id":40,"status_id":1,"priority_id":2,"assigned_to_id":338,"start_date":"2017-09-02","description":"","custom_fields":[{"id":1,"name":"Subdivision","value":"EC"},{"id":4,"name":"Milepost","value":"0.0001"},{"id":17,"name":"Train ID","value":"142-02"},{"id":16,"name":"Locomotive ID","value":"4041"},{"id":130,"name":"Impact","value":""},{"id":150,"name":"Time of Event (Mountain Time)","value":"10:20:32"},{"id":151,"name":"Denver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/c/Users/stu/AppData/Local/Temp/OnboardLogs/RTDC4041 --include="*4041*201709021*"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"%USERPROFILE%\AppData\Local\Temp\OnboardLogs"\RTDC4041\*4041*201709021* &gt;&gt; 2017-09-02-SliceDisagreementCheck.txt</v>
      </c>
      <c r="AE27" s="145" t="str">
        <f t="shared" si="9"/>
        <v>start /low /b %USERPROFILE%\Documents\GitHub\eaglep3\Utilities\DownloadLogsFromS3.py --loco 4041 --day 2017-09-02</v>
      </c>
      <c r="AF27" s="1"/>
    </row>
    <row r="28" spans="1:32" x14ac:dyDescent="0.25">
      <c r="A28" s="31">
        <v>42980.836527777778</v>
      </c>
      <c r="B28" s="30" t="s">
        <v>382</v>
      </c>
      <c r="C28" s="30" t="s">
        <v>592</v>
      </c>
      <c r="D28" s="30" t="s">
        <v>49</v>
      </c>
      <c r="E28" s="30" t="s">
        <v>181</v>
      </c>
      <c r="F28" s="42">
        <v>0</v>
      </c>
      <c r="G28" s="42">
        <v>104</v>
      </c>
      <c r="H28" s="42">
        <v>400</v>
      </c>
      <c r="I28" s="42">
        <v>278</v>
      </c>
      <c r="J28" s="30" t="s">
        <v>182</v>
      </c>
      <c r="K28" s="42">
        <v>1</v>
      </c>
      <c r="L28" s="131" t="s">
        <v>51</v>
      </c>
      <c r="M28" s="132">
        <f t="shared" si="0"/>
        <v>146.256</v>
      </c>
      <c r="N28" s="133" t="str">
        <f>VLOOKUP(C28,'Trips&amp;Operators'!$C$1:$G$99911,5,FALSE)</f>
        <v>PERKINS DARREN</v>
      </c>
      <c r="O28" s="200" t="s">
        <v>180</v>
      </c>
      <c r="P28" s="134"/>
      <c r="Q28" s="30"/>
      <c r="R28" s="81" t="str">
        <f>VLOOKUP(C28,'Train Runs'!$A$13:$AE$9920,31,0)</f>
        <v>aws s3 cp s3://rtdc.mdm.uploadarchive.raw/RTDC4027/ "%USERPROFILE%\AppData\Local\Temp\OnboardLogs"\RTDC4027\2017-09-02 --exclude "*" --recursive --include "*20170902*" &amp; "%USERPROFILE%\Documents\GitHub\mrs-test-scripts\Headless Mode &amp; Sideloading\WalkAndUnGZ.bat" "%USERPROFILE%\AppData\Local\Temp\OnboardLogs"\RTDC4027\2017-09-02 &amp; aws s3 cp s3://rtdc.mdm.uploadarchive.raw/RTDC4027/ "%USERPROFILE%\AppData\Local\Temp\OnboardLogs"\RTDC4027\2017-09-03 --exclude "*" --recursive --include "*20170903*" &amp; "%USERPROFILE%\Documents\GitHub\mrs-test-scripts\Headless Mode &amp; Sideloading\WalkAndUnGZ.bat" "%USERPROFILE%\AppData\Local\Temp\OnboardLogs"\RTDC4027\2017-09-03</v>
      </c>
      <c r="S28" s="84" t="str">
        <f>VLOOKUP(C28,'Train Runs'!$A$13:$AE$9920,22,0)</f>
        <v>https://d0f6bd738d7f1b3e5a7ca70fe4ff75f0.us-east-1.aws.found.io/app/kibana#/discover/Steve-Slow-Train-Analysis-(2080s-and-2083s)?_g=(refreshInterval:(display:Off,pause:!f,section:0,value:0),time:(from:'2017-09-02T18:19:42-0600',mode:absolute,to:'2017-09-02T21:04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28" s="86" t="str">
        <f t="shared" si="1"/>
        <v>"C:\Program Files (x86)\AstroGrep\AstroGrep.exe" /e /r /s /spath="%USERPROFILE%\AppData\Local\Temp\OnboardLogs" /stypes="*4027*201709030*" /stext=" 02:.+((SYSTEM_STATE.+slice.+state.+changed )|(ment ac)|(multiple cpu faults)|(system.+state.+changed )|(\[timeout)|(PRM\|1\|D)|(kpr)|(kdp)|(train st.+moving)|(\|lc)|(penalty))"</v>
      </c>
      <c r="U28" s="9" t="str">
        <f t="shared" si="2"/>
        <v>4027</v>
      </c>
      <c r="V28" s="31">
        <f t="shared" si="3"/>
        <v>42981.086527777778</v>
      </c>
      <c r="W28" s="45" t="str">
        <f t="shared" si="4"/>
        <v>EC</v>
      </c>
      <c r="X28" s="22">
        <f t="shared" si="5"/>
        <v>220</v>
      </c>
      <c r="Y28" s="96" t="str">
        <f t="shared" si="6"/>
        <v>echo {"issue":{"subject":"","project_id":79,"tracker_id":40,"status_id":1,"priority_id":2,"assigned_to_id":338,"start_date":"2017-09-02","description":"","custom_fields":[{"id":1,"name":"Subdivision","value":"EC"},{"id":4,"name":"Milepost","value":"0.0001"},{"id":17,"name":"Train ID","value":"220-02"},{"id":16,"name":"Locomotive ID","value":"4027"},{"id":130,"name":"Impact","value":""},{"id":150,"name":"Time of Event (Mountain Time)","value":"20:04:36"},{"id":151,"name":"Denver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/c/Users/stu/AppData/Local/Temp/OnboardLogs/RTDC4027 --include="*4027*201709030*"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"%USERPROFILE%\AppData\Local\Temp\OnboardLogs"\RTDC4027\*4027*201709030* &gt;&gt; 2017-09-02-SliceDisagreementCheck.txt</v>
      </c>
      <c r="AE28" s="145" t="str">
        <f t="shared" si="9"/>
        <v>start /low /b %USERPROFILE%\Documents\GitHub\eaglep3\Utilities\DownloadLogsFromS3.py --loco 4027 --day 2017-09-03</v>
      </c>
      <c r="AF28" s="1"/>
    </row>
    <row r="29" spans="1:32" x14ac:dyDescent="0.25">
      <c r="A29" s="31">
        <v>42980.674224537041</v>
      </c>
      <c r="B29" s="30" t="s">
        <v>586</v>
      </c>
      <c r="C29" s="30" t="s">
        <v>587</v>
      </c>
      <c r="D29" s="30" t="s">
        <v>49</v>
      </c>
      <c r="E29" s="30" t="s">
        <v>181</v>
      </c>
      <c r="F29" s="42">
        <v>0</v>
      </c>
      <c r="G29" s="42">
        <v>40</v>
      </c>
      <c r="H29" s="42">
        <v>233346</v>
      </c>
      <c r="I29" s="42">
        <v>233370</v>
      </c>
      <c r="J29" s="30" t="s">
        <v>182</v>
      </c>
      <c r="K29" s="42">
        <v>233491</v>
      </c>
      <c r="L29" s="131" t="s">
        <v>50</v>
      </c>
      <c r="M29" s="132">
        <f t="shared" si="0"/>
        <v>63.887999999999998</v>
      </c>
      <c r="N29" s="133" t="str">
        <f>VLOOKUP(C29,'Trips&amp;Operators'!$C$1:$G$99911,5,FALSE)</f>
        <v>DELGADO DIANAH</v>
      </c>
      <c r="O29" s="200" t="s">
        <v>180</v>
      </c>
      <c r="P29" s="134"/>
      <c r="Q29" s="30"/>
      <c r="R29" s="81" t="str">
        <f>VLOOKUP(C29,'Train Runs'!$A$13:$AE$9920,31,0)</f>
        <v>aws s3 cp s3://rtdc.mdm.uploadarchive.raw/RTDC4066/ "%USERPROFILE%\AppData\Local\Temp\OnboardLogs"\RTDC4066\2017-09-02 --exclude "*" --recursive --include "*20170902*" &amp; "%USERPROFILE%\Documents\GitHub\mrs-test-scripts\Headless Mode &amp; Sideloading\WalkAndUnGZ.bat" "%USERPROFILE%\AppData\Local\Temp\OnboardLogs"\RTDC4066\2017-09-02 &amp; aws s3 cp s3://rtdc.mdm.uploadarchive.raw/RTDC4066/ "%USERPROFILE%\AppData\Local\Temp\OnboardLogs"\RTDC4066\2017-09-03 --exclude "*" --recursive --include "*20170903*" &amp; "%USERPROFILE%\Documents\GitHub\mrs-test-scripts\Headless Mode &amp; Sideloading\WalkAndUnGZ.bat" "%USERPROFILE%\AppData\Local\Temp\OnboardLogs"\RTDC4066\2017-09-03</v>
      </c>
      <c r="S29" s="84" t="str">
        <f>VLOOKUP(C29,'Train Runs'!$A$13:$AE$9920,22,0)</f>
        <v>https://d0f6bd738d7f1b3e5a7ca70fe4ff75f0.us-east-1.aws.found.io/app/kibana#/discover/Steve-Slow-Train-Analysis-(2080s-and-2083s)?_g=(refreshInterval:(display:Off,pause:!f,section:0,value:0),time:(from:'2017-09-02T14:27:31-0600',mode:absolute,to:'2017-09-02T17:10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T29" s="86" t="str">
        <f t="shared" si="1"/>
        <v>"C:\Program Files (x86)\AstroGrep\AstroGrep.exe" /e /r /s /spath="%USERPROFILE%\AppData\Local\Temp\OnboardLogs" /stypes="*4066*201709022*" /stext=" 22:.+((SYSTEM_STATE.+slice.+state.+changed )|(ment ac)|(multiple cpu faults)|(system.+state.+changed )|(\[timeout)|(PRM\|1\|D)|(kpr)|(kdp)|(train st.+moving)|(\|lc)|(penalty))"</v>
      </c>
      <c r="U29" s="9" t="str">
        <f t="shared" si="2"/>
        <v>4066</v>
      </c>
      <c r="V29" s="31">
        <f t="shared" si="3"/>
        <v>42980.924224537041</v>
      </c>
      <c r="W29" s="45" t="str">
        <f t="shared" si="4"/>
        <v>EC</v>
      </c>
      <c r="X29" s="22">
        <f t="shared" si="5"/>
        <v>195</v>
      </c>
      <c r="Y29" s="96" t="str">
        <f t="shared" si="6"/>
        <v>echo {"issue":{"subject":"","project_id":79,"tracker_id":40,"status_id":1,"priority_id":2,"assigned_to_id":338,"start_date":"2017-09-02","description":"","custom_fields":[{"id":1,"name":"Subdivision","value":"EC"},{"id":4,"name":"Milepost","value":"23.3491"},{"id":17,"name":"Train ID","value":"195-02"},{"id":16,"name":"Locomotive ID","value":"4066"},{"id":130,"name":"Impact","value":""},{"id":150,"name":"Time of Event (Mountain Time)","value":"16:10:53"},{"id":151,"name":"Denver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/c/Users/stu/AppData/Local/Temp/OnboardLogs/RTDC4066 --include="*4066*201709022*"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"%USERPROFILE%\AppData\Local\Temp\OnboardLogs"\RTDC4066\*4066*201709022* &gt;&gt; 2017-09-02-SliceDisagreementCheck.txt</v>
      </c>
      <c r="AE29" s="145" t="str">
        <f t="shared" si="9"/>
        <v>start /low /b %USERPROFILE%\Documents\GitHub\eaglep3\Utilities\DownloadLogsFromS3.py --loco 4066 --day 2017-09-02</v>
      </c>
      <c r="AF29" s="1"/>
    </row>
    <row r="30" spans="1:32" x14ac:dyDescent="0.25">
      <c r="A30" s="31">
        <v>42980.365416666667</v>
      </c>
      <c r="B30" s="30" t="s">
        <v>393</v>
      </c>
      <c r="C30" s="30" t="s">
        <v>567</v>
      </c>
      <c r="D30" s="30" t="s">
        <v>96</v>
      </c>
      <c r="E30" s="30" t="s">
        <v>195</v>
      </c>
      <c r="F30" s="42">
        <v>400</v>
      </c>
      <c r="G30" s="42">
        <v>460</v>
      </c>
      <c r="H30" s="42">
        <v>48172</v>
      </c>
      <c r="I30" s="42">
        <v>46704</v>
      </c>
      <c r="J30" s="30" t="s">
        <v>196</v>
      </c>
      <c r="K30" s="42">
        <v>49775</v>
      </c>
      <c r="L30" s="131" t="s">
        <v>51</v>
      </c>
      <c r="M30" s="132">
        <f t="shared" si="0"/>
        <v>-1621.4880000000001</v>
      </c>
      <c r="N30" s="133" t="str">
        <f>VLOOKUP(C30,'Trips&amp;Operators'!$C$1:$G$99911,5,FALSE)</f>
        <v>LAMAR NEKESHA</v>
      </c>
      <c r="O30" s="200" t="s">
        <v>180</v>
      </c>
      <c r="P30" s="134"/>
      <c r="Q30" s="30"/>
      <c r="R30" s="81" t="str">
        <f>VLOOKUP(C30,'Train Runs'!$A$13:$AE$9920,31,0)</f>
        <v>aws s3 cp s3://rtdc.mdm.uploadarchive.raw/RTDC4029/ "%USERPROFILE%\AppData\Local\Temp\OnboardLogs"\RTDC4029\2017-09-02 --exclude "*" --recursive --include "*20170902*" &amp; "%USERPROFILE%\Documents\GitHub\mrs-test-scripts\Headless Mode &amp; Sideloading\WalkAndUnGZ.bat" "%USERPROFILE%\AppData\Local\Temp\OnboardLogs"\RTDC4029\2017-09-02 &amp; aws s3 cp s3://rtdc.mdm.uploadarchive.raw/RTDC4029/ "%USERPROFILE%\AppData\Local\Temp\OnboardLogs"\RTDC4029\2017-09-03 --exclude "*" --recursive --include "*20170903*" &amp; "%USERPROFILE%\Documents\GitHub\mrs-test-scripts\Headless Mode &amp; Sideloading\WalkAndUnGZ.bat" "%USERPROFILE%\AppData\Local\Temp\OnboardLogs"\RTDC4029\2017-09-03</v>
      </c>
      <c r="S30" s="84" t="str">
        <f>VLOOKUP(C30,'Train Runs'!$A$13:$AE$9920,22,0)</f>
        <v>https://d0f6bd738d7f1b3e5a7ca70fe4ff75f0.us-east-1.aws.found.io/app/kibana#/discover/Steve-Slow-Train-Analysis-(2080s-and-2083s)?_g=(refreshInterval:(display:Off,pause:!f,section:0,value:0),time:(from:'2017-09-02T07:29:26-0600',mode:absolute,to:'2017-09-02T09:57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30" s="86" t="str">
        <f t="shared" si="1"/>
        <v>"C:\Program Files (x86)\AstroGrep\AstroGrep.exe" /e /r /s /spath="%USERPROFILE%\AppData\Local\Temp\OnboardLogs" /stypes="*4029*201709021*" /stext=" 14:.+((SYSTEM_STATE.+slice.+state.+changed )|(ment ac)|(multiple cpu faults)|(system.+state.+changed )|(\[timeout)|(PRM\|1\|D)|(kpr)|(kdp)|(train st.+moving)|(\|lc)|(penalty))"</v>
      </c>
      <c r="U30" s="9" t="str">
        <f t="shared" si="2"/>
        <v>4029</v>
      </c>
      <c r="V30" s="31">
        <f t="shared" si="3"/>
        <v>42980.615416666667</v>
      </c>
      <c r="W30" s="45" t="str">
        <f t="shared" si="4"/>
        <v>NW</v>
      </c>
      <c r="X30" s="22">
        <f t="shared" si="5"/>
        <v>1806</v>
      </c>
      <c r="Y30" s="96" t="str">
        <f t="shared" si="6"/>
        <v>echo {"issue":{"subject":"","project_id":79,"tracker_id":40,"status_id":1,"priority_id":2,"assigned_to_id":338,"start_date":"2017-09-02","description":"","custom_fields":[{"id":1,"name":"Subdivision","value":"NW"},{"id":4,"name":"Milepost","value":"4.9775"},{"id":17,"name":"Train ID","value":"1806-02"},{"id":16,"name":"Locomotive ID","value":"4029"},{"id":130,"name":"Impact","value":""},{"id":150,"name":"Time of Event (Mountain Time)","value":"08:46:12"},{"id":151,"name":"Denver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/c/Users/stu/AppData/Local/Temp/OnboardLogs/RTDC4029 --include="*4029*201709021*"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"%USERPROFILE%\AppData\Local\Temp\OnboardLogs"\RTDC4029\*4029*201709021* &gt;&gt; 2017-09-02-SliceDisagreementCheck.txt</v>
      </c>
      <c r="AE30" s="145" t="str">
        <f t="shared" si="9"/>
        <v>start /low /b %USERPROFILE%\Documents\GitHub\eaglep3\Utilities\DownloadLogsFromS3.py --loco 4029 --day 2017-09-02</v>
      </c>
      <c r="AF30" s="1"/>
    </row>
    <row r="31" spans="1:32" x14ac:dyDescent="0.25">
      <c r="A31" s="31">
        <v>42980.923634259256</v>
      </c>
      <c r="B31" s="30" t="s">
        <v>406</v>
      </c>
      <c r="C31" s="30" t="s">
        <v>594</v>
      </c>
      <c r="D31" s="30" t="s">
        <v>49</v>
      </c>
      <c r="E31" s="30" t="s">
        <v>367</v>
      </c>
      <c r="F31" s="42">
        <v>0</v>
      </c>
      <c r="G31" s="42">
        <v>43</v>
      </c>
      <c r="H31" s="42">
        <v>1629</v>
      </c>
      <c r="I31" s="42">
        <v>1682</v>
      </c>
      <c r="J31" s="30" t="s">
        <v>368</v>
      </c>
      <c r="K31" s="42">
        <v>1725</v>
      </c>
      <c r="L31" s="131" t="s">
        <v>50</v>
      </c>
      <c r="M31" s="132">
        <f t="shared" si="0"/>
        <v>22.704000000000001</v>
      </c>
      <c r="N31" s="133" t="str">
        <f>VLOOKUP(C31,'Trips&amp;Operators'!$C$1:$G$99911,5,FALSE)</f>
        <v>BIRKHOLZ NADINE</v>
      </c>
      <c r="O31" s="200" t="s">
        <v>180</v>
      </c>
      <c r="P31" s="134" t="s">
        <v>966</v>
      </c>
      <c r="Q31" s="30"/>
      <c r="R31" s="81" t="str">
        <f>VLOOKUP(C31,'Train Runs'!$A$13:$AE$9920,31,0)</f>
        <v>aws s3 cp s3://rtdc.mdm.uploadarchive.raw/RTDC4014/ "%USERPROFILE%\AppData\Local\Temp\OnboardLogs"\RTDC4014\2017-09-02 --exclude "*" --recursive --include "*20170902*" &amp; "%USERPROFILE%\Documents\GitHub\mrs-test-scripts\Headless Mode &amp; Sideloading\WalkAndUnGZ.bat" "%USERPROFILE%\AppData\Local\Temp\OnboardLogs"\RTDC4014\2017-09-02 &amp; aws s3 cp s3://rtdc.mdm.uploadarchive.raw/RTDC4014/ "%USERPROFILE%\AppData\Local\Temp\OnboardLogs"\RTDC4014\2017-09-03 --exclude "*" --recursive --include "*20170903*" &amp; "%USERPROFILE%\Documents\GitHub\mrs-test-scripts\Headless Mode &amp; Sideloading\WalkAndUnGZ.bat" "%USERPROFILE%\AppData\Local\Temp\OnboardLogs"\RTDC4014\2017-09-03</v>
      </c>
      <c r="S31" s="84" t="str">
        <f>VLOOKUP(C31,'Train Runs'!$A$13:$AE$9920,22,0)</f>
        <v>https://d0f6bd738d7f1b3e5a7ca70fe4ff75f0.us-east-1.aws.found.io/app/kibana#/discover/Steve-Slow-Train-Analysis-(2080s-and-2083s)?_g=(refreshInterval:(display:Off,pause:!f,section:0,value:0),time:(from:'2017-09-02T21:12:12-0600',mode:absolute,to:'2017-09-02T23:29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31" s="86" t="str">
        <f t="shared" si="1"/>
        <v>"C:\Program Files (x86)\AstroGrep\AstroGrep.exe" /e /r /s /spath="%USERPROFILE%\AppData\Local\Temp\OnboardLogs" /stypes="*4014*201709030*" /stext=" 04:.+((SYSTEM_STATE.+slice.+state.+changed )|(ment ac)|(multiple cpu faults)|(system.+state.+changed )|(\[timeout)|(PRM\|1\|D)|(kpr)|(kdp)|(train st.+moving)|(\|lc)|(penalty))"</v>
      </c>
      <c r="U31" s="9" t="str">
        <f t="shared" si="2"/>
        <v>4014</v>
      </c>
      <c r="V31" s="31">
        <f t="shared" si="3"/>
        <v>42981.173634259256</v>
      </c>
      <c r="W31" s="45" t="str">
        <f t="shared" si="4"/>
        <v>NW</v>
      </c>
      <c r="X31" s="22">
        <f t="shared" si="5"/>
        <v>1833</v>
      </c>
      <c r="Y31" s="96" t="str">
        <f t="shared" si="6"/>
        <v>echo {"issue":{"subject":"Selected wrong track","project_id":79,"tracker_id":40,"status_id":1,"priority_id":2,"assigned_to_id":338,"start_date":"2017-09-02","description":"","custom_fields":[{"id":1,"name":"Subdivision","value":"NW"},{"id":4,"name":"Milepost","value":"0.1725"},{"id":17,"name":"Train ID","value":"1833-02"},{"id":16,"name":"Locomotive ID","value":"4014"},{"id":130,"name":"Impact","value":""},{"id":150,"name":"Time of Event (Mountain Time)","value":"22:10:02"},{"id":151,"name":"Denver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 t="shared" si="7"/>
        <v>grep -hrE -A400 "Enforcement Action" /c/Users/stu/AppData/Local/Temp/OnboardLogs/RTDC4014 --include="*4014*201709030*"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"%USERPROFILE%\AppData\Local\Temp\OnboardLogs"\RTDC4014\*4014*201709030* &gt;&gt; 2017-09-02-SliceDisagreementCheck.txt</v>
      </c>
      <c r="AE31" s="145" t="str">
        <f t="shared" si="9"/>
        <v>start /low /b %USERPROFILE%\Documents\GitHub\eaglep3\Utilities\DownloadLogsFromS3.py --loco 4014 --day 2017-09-03</v>
      </c>
      <c r="AF31" s="1"/>
    </row>
    <row r="32" spans="1:32" x14ac:dyDescent="0.25">
      <c r="A32" s="31">
        <v>42980.288124999999</v>
      </c>
      <c r="B32" s="30" t="s">
        <v>393</v>
      </c>
      <c r="C32" s="30" t="s">
        <v>562</v>
      </c>
      <c r="D32" s="30" t="s">
        <v>49</v>
      </c>
      <c r="E32" s="30" t="s">
        <v>181</v>
      </c>
      <c r="F32" s="42">
        <v>0</v>
      </c>
      <c r="G32" s="42">
        <v>20</v>
      </c>
      <c r="H32" s="42">
        <v>621</v>
      </c>
      <c r="I32" s="42">
        <v>596</v>
      </c>
      <c r="J32" s="30" t="s">
        <v>182</v>
      </c>
      <c r="K32" s="42">
        <v>575</v>
      </c>
      <c r="L32" s="131" t="s">
        <v>51</v>
      </c>
      <c r="M32" s="132">
        <f t="shared" si="0"/>
        <v>11.087999999999999</v>
      </c>
      <c r="N32" s="133" t="str">
        <f>VLOOKUP(C32,'Trips&amp;Operators'!$C$1:$G$99911,5,FALSE)</f>
        <v>LAMAR NEKESHA</v>
      </c>
      <c r="O32" s="200" t="s">
        <v>180</v>
      </c>
      <c r="P32" s="134"/>
      <c r="Q32" s="30"/>
      <c r="R32" s="81" t="str">
        <f>VLOOKUP(C32,'Train Runs'!$A$13:$AE$9920,31,0)</f>
        <v>aws s3 cp s3://rtdc.mdm.uploadarchive.raw/RTDC4029/ "%USERPROFILE%\AppData\Local\Temp\OnboardLogs"\RTDC4029\2017-09-02 --exclude "*" --recursive --include "*20170902*" &amp; "%USERPROFILE%\Documents\GitHub\mrs-test-scripts\Headless Mode &amp; Sideloading\WalkAndUnGZ.bat" "%USERPROFILE%\AppData\Local\Temp\OnboardLogs"\RTDC4029\2017-09-02 &amp; aws s3 cp s3://rtdc.mdm.uploadarchive.raw/RTDC4029/ "%USERPROFILE%\AppData\Local\Temp\OnboardLogs"\RTDC4029\2017-09-03 --exclude "*" --recursive --include "*20170903*" &amp; "%USERPROFILE%\Documents\GitHub\mrs-test-scripts\Headless Mode &amp; Sideloading\WalkAndUnGZ.bat" "%USERPROFILE%\AppData\Local\Temp\OnboardLogs"\RTDC4029\2017-09-03</v>
      </c>
      <c r="S32" s="84" t="str">
        <f>VLOOKUP(C32,'Train Runs'!$A$13:$AE$9920,22,0)</f>
        <v>https://d0f6bd738d7f1b3e5a7ca70fe4ff75f0.us-east-1.aws.found.io/app/kibana#/discover/Steve-Slow-Train-Analysis-(2080s-and-2083s)?_g=(refreshInterval:(display:Off,pause:!f,section:0,value:0),time:(from:'2017-09-02T05:25:57-0600',mode:absolute,to:'2017-09-02T07:54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32" s="86" t="str">
        <f t="shared" si="1"/>
        <v>"C:\Program Files (x86)\AstroGrep\AstroGrep.exe" /e /r /s /spath="%USERPROFILE%\AppData\Local\Temp\OnboardLogs" /stypes="*4029*201709021*" /stext=" 12:.+((SYSTEM_STATE.+slice.+state.+changed )|(ment ac)|(multiple cpu faults)|(system.+state.+changed )|(\[timeout)|(PRM\|1\|D)|(kpr)|(kdp)|(train st.+moving)|(\|lc)|(penalty))"</v>
      </c>
      <c r="U32" s="9" t="str">
        <f t="shared" si="2"/>
        <v>4029</v>
      </c>
      <c r="V32" s="31">
        <f t="shared" si="3"/>
        <v>42980.538124999999</v>
      </c>
      <c r="W32" s="45" t="str">
        <f t="shared" si="4"/>
        <v>NW</v>
      </c>
      <c r="X32" s="22">
        <f t="shared" si="5"/>
        <v>1802</v>
      </c>
      <c r="Y32" s="96" t="str">
        <f t="shared" si="6"/>
        <v>echo {"issue":{"subject":"","project_id":79,"tracker_id":40,"status_id":1,"priority_id":2,"assigned_to_id":338,"start_date":"2017-09-02","description":"","custom_fields":[{"id":1,"name":"Subdivision","value":"NW"},{"id":4,"name":"Milepost","value":"0.0575"},{"id":17,"name":"Train ID","value":"1802-02"},{"id":16,"name":"Locomotive ID","value":"4029"},{"id":130,"name":"Impact","value":""},{"id":150,"name":"Time of Event (Mountain Time)","value":"06:54:54"},{"id":151,"name":"Denver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 t="shared" si="7"/>
        <v>grep -hrE -A400 "Enforcement Action" /c/Users/stu/AppData/Local/Temp/OnboardLogs/RTDC4029 --include="*4029*201709021*"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"%USERPROFILE%\AppData\Local\Temp\OnboardLogs"\RTDC4029\*4029*201709021* &gt;&gt; 2017-09-02-SliceDisagreementCheck.txt</v>
      </c>
      <c r="AE32" s="145" t="str">
        <f t="shared" si="9"/>
        <v>start /low /b %USERPROFILE%\Documents\GitHub\eaglep3\Utilities\DownloadLogsFromS3.py --loco 4029 --day 2017-09-02</v>
      </c>
      <c r="AF32" s="1"/>
    </row>
    <row r="33" spans="1:32" x14ac:dyDescent="0.25">
      <c r="A33" s="31">
        <v>42980.329421296294</v>
      </c>
      <c r="B33" s="30" t="s">
        <v>393</v>
      </c>
      <c r="C33" s="30" t="s">
        <v>566</v>
      </c>
      <c r="D33" s="30" t="s">
        <v>49</v>
      </c>
      <c r="E33" s="30" t="s">
        <v>181</v>
      </c>
      <c r="F33" s="42">
        <v>0</v>
      </c>
      <c r="G33" s="42">
        <v>48</v>
      </c>
      <c r="H33" s="42">
        <v>647</v>
      </c>
      <c r="I33" s="42">
        <v>607</v>
      </c>
      <c r="J33" s="30" t="s">
        <v>182</v>
      </c>
      <c r="K33" s="42">
        <v>575</v>
      </c>
      <c r="L33" s="131" t="s">
        <v>51</v>
      </c>
      <c r="M33" s="132">
        <f t="shared" si="0"/>
        <v>16.896000000000001</v>
      </c>
      <c r="N33" s="133" t="str">
        <f>VLOOKUP(C33,'Trips&amp;Operators'!$C$1:$G$99911,5,FALSE)</f>
        <v>LAMAR NEKESHA</v>
      </c>
      <c r="O33" s="200" t="s">
        <v>180</v>
      </c>
      <c r="P33" s="134"/>
      <c r="Q33" s="30"/>
      <c r="R33" s="81" t="str">
        <f>VLOOKUP(C33,'Train Runs'!$A$13:$AE$9920,31,0)</f>
        <v>aws s3 cp s3://rtdc.mdm.uploadarchive.raw/RTDC4029/ "%USERPROFILE%\AppData\Local\Temp\OnboardLogs"\RTDC4029\2017-09-02 --exclude "*" --recursive --include "*20170902*" &amp; "%USERPROFILE%\Documents\GitHub\mrs-test-scripts\Headless Mode &amp; Sideloading\WalkAndUnGZ.bat" "%USERPROFILE%\AppData\Local\Temp\OnboardLogs"\RTDC4029\2017-09-02 &amp; aws s3 cp s3://rtdc.mdm.uploadarchive.raw/RTDC4029/ "%USERPROFILE%\AppData\Local\Temp\OnboardLogs"\RTDC4029\2017-09-03 --exclude "*" --recursive --include "*20170903*" &amp; "%USERPROFILE%\Documents\GitHub\mrs-test-scripts\Headless Mode &amp; Sideloading\WalkAndUnGZ.bat" "%USERPROFILE%\AppData\Local\Temp\OnboardLogs"\RTDC4029\2017-09-03</v>
      </c>
      <c r="S33" s="84" t="str">
        <f>VLOOKUP(C33,'Train Runs'!$A$13:$AE$9920,22,0)</f>
        <v>https://d0f6bd738d7f1b3e5a7ca70fe4ff75f0.us-east-1.aws.found.io/app/kibana#/discover/Steve-Slow-Train-Analysis-(2080s-and-2083s)?_g=(refreshInterval:(display:Off,pause:!f,section:0,value:0),time:(from:'2017-09-02T06:23:57-0600',mode:absolute,to:'2017-09-02T08:54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33" s="86" t="str">
        <f t="shared" si="1"/>
        <v>"C:\Program Files (x86)\AstroGrep\AstroGrep.exe" /e /r /s /spath="%USERPROFILE%\AppData\Local\Temp\OnboardLogs" /stypes="*4029*201709021*" /stext=" 13:.+((SYSTEM_STATE.+slice.+state.+changed )|(ment ac)|(multiple cpu faults)|(system.+state.+changed )|(\[timeout)|(PRM\|1\|D)|(kpr)|(kdp)|(train st.+moving)|(\|lc)|(penalty))"</v>
      </c>
      <c r="U33" s="9" t="str">
        <f t="shared" si="2"/>
        <v>4029</v>
      </c>
      <c r="V33" s="31">
        <f t="shared" si="3"/>
        <v>42980.579421296294</v>
      </c>
      <c r="W33" s="45" t="str">
        <f t="shared" si="4"/>
        <v>NW</v>
      </c>
      <c r="X33" s="22">
        <f t="shared" si="5"/>
        <v>1804</v>
      </c>
      <c r="Y33" s="96" t="str">
        <f t="shared" si="6"/>
        <v>echo {"issue":{"subject":"","project_id":79,"tracker_id":40,"status_id":1,"priority_id":2,"assigned_to_id":338,"start_date":"2017-09-02","description":"","custom_fields":[{"id":1,"name":"Subdivision","value":"NW"},{"id":4,"name":"Milepost","value":"0.0575"},{"id":17,"name":"Train ID","value":"1804-02"},{"id":16,"name":"Locomotive ID","value":"4029"},{"id":130,"name":"Impact","value":""},{"id":150,"name":"Time of Event (Mountain Time)","value":"07:54:22"},{"id":151,"name":"Denver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 t="shared" si="7"/>
        <v>grep -hrE -A400 "Enforcement Action" /c/Users/stu/AppData/Local/Temp/OnboardLogs/RTDC4029 --include="*4029*201709021*"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"%USERPROFILE%\AppData\Local\Temp\OnboardLogs"\RTDC4029\*4029*201709021* &gt;&gt; 2017-09-02-SliceDisagreementCheck.txt</v>
      </c>
      <c r="AE33" s="145" t="str">
        <f t="shared" si="9"/>
        <v>start /low /b %USERPROFILE%\Documents\GitHub\eaglep3\Utilities\DownloadLogsFromS3.py --loco 4029 --day 2017-09-02</v>
      </c>
      <c r="AF33" s="1"/>
    </row>
    <row r="34" spans="1:32" x14ac:dyDescent="0.25">
      <c r="A34" s="31">
        <v>42980.37290509259</v>
      </c>
      <c r="B34" s="30" t="s">
        <v>393</v>
      </c>
      <c r="C34" s="30" t="s">
        <v>567</v>
      </c>
      <c r="D34" s="30" t="s">
        <v>49</v>
      </c>
      <c r="E34" s="30" t="s">
        <v>181</v>
      </c>
      <c r="F34" s="42">
        <v>0</v>
      </c>
      <c r="G34" s="42">
        <v>16</v>
      </c>
      <c r="H34" s="42">
        <v>586</v>
      </c>
      <c r="I34" s="42">
        <v>574</v>
      </c>
      <c r="J34" s="30" t="s">
        <v>182</v>
      </c>
      <c r="K34" s="42">
        <v>575</v>
      </c>
      <c r="L34" s="131" t="s">
        <v>51</v>
      </c>
      <c r="M34" s="132">
        <f t="shared" si="0"/>
        <v>-0.52800000000000002</v>
      </c>
      <c r="N34" s="133" t="str">
        <f>VLOOKUP(C34,'Trips&amp;Operators'!$C$1:$G$99911,5,FALSE)</f>
        <v>LAMAR NEKESHA</v>
      </c>
      <c r="O34" s="200" t="s">
        <v>180</v>
      </c>
      <c r="P34" s="134"/>
      <c r="Q34" s="30"/>
      <c r="R34" s="81" t="str">
        <f>VLOOKUP(C34,'Train Runs'!$A$13:$AE$9920,31,0)</f>
        <v>aws s3 cp s3://rtdc.mdm.uploadarchive.raw/RTDC4029/ "%USERPROFILE%\AppData\Local\Temp\OnboardLogs"\RTDC4029\2017-09-02 --exclude "*" --recursive --include "*20170902*" &amp; "%USERPROFILE%\Documents\GitHub\mrs-test-scripts\Headless Mode &amp; Sideloading\WalkAndUnGZ.bat" "%USERPROFILE%\AppData\Local\Temp\OnboardLogs"\RTDC4029\2017-09-02 &amp; aws s3 cp s3://rtdc.mdm.uploadarchive.raw/RTDC4029/ "%USERPROFILE%\AppData\Local\Temp\OnboardLogs"\RTDC4029\2017-09-03 --exclude "*" --recursive --include "*20170903*" &amp; "%USERPROFILE%\Documents\GitHub\mrs-test-scripts\Headless Mode &amp; Sideloading\WalkAndUnGZ.bat" "%USERPROFILE%\AppData\Local\Temp\OnboardLogs"\RTDC4029\2017-09-03</v>
      </c>
      <c r="S34" s="84" t="str">
        <f>VLOOKUP(C34,'Train Runs'!$A$13:$AE$9920,22,0)</f>
        <v>https://d0f6bd738d7f1b3e5a7ca70fe4ff75f0.us-east-1.aws.found.io/app/kibana#/discover/Steve-Slow-Train-Analysis-(2080s-and-2083s)?_g=(refreshInterval:(display:Off,pause:!f,section:0,value:0),time:(from:'2017-09-02T07:29:26-0600',mode:absolute,to:'2017-09-02T09:57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34" s="86" t="str">
        <f t="shared" si="1"/>
        <v>"C:\Program Files (x86)\AstroGrep\AstroGrep.exe" /e /r /s /spath="%USERPROFILE%\AppData\Local\Temp\OnboardLogs" /stypes="*4029*201709021*" /stext=" 14:.+((SYSTEM_STATE.+slice.+state.+changed )|(ment ac)|(multiple cpu faults)|(system.+state.+changed )|(\[timeout)|(PRM\|1\|D)|(kpr)|(kdp)|(train st.+moving)|(\|lc)|(penalty))"</v>
      </c>
      <c r="U34" s="9" t="str">
        <f t="shared" si="2"/>
        <v>4029</v>
      </c>
      <c r="V34" s="31">
        <f t="shared" si="3"/>
        <v>42980.62290509259</v>
      </c>
      <c r="W34" s="45" t="str">
        <f t="shared" si="4"/>
        <v>NW</v>
      </c>
      <c r="X34" s="22">
        <f t="shared" si="5"/>
        <v>1806</v>
      </c>
      <c r="Y34" s="96" t="str">
        <f t="shared" si="6"/>
        <v>echo {"issue":{"subject":"","project_id":79,"tracker_id":40,"status_id":1,"priority_id":2,"assigned_to_id":338,"start_date":"2017-09-02","description":"","custom_fields":[{"id":1,"name":"Subdivision","value":"NW"},{"id":4,"name":"Milepost","value":"0.0575"},{"id":17,"name":"Train ID","value":"1806-02"},{"id":16,"name":"Locomotive ID","value":"4029"},{"id":130,"name":"Impact","value":""},{"id":150,"name":"Time of Event (Mountain Time)","value":"08:56:59"},{"id":151,"name":"Denver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 t="shared" si="7"/>
        <v>grep -hrE -A400 "Enforcement Action" /c/Users/stu/AppData/Local/Temp/OnboardLogs/RTDC4029 --include="*4029*201709021*"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"%USERPROFILE%\AppData\Local\Temp\OnboardLogs"\RTDC4029\*4029*201709021* &gt;&gt; 2017-09-02-SliceDisagreementCheck.txt</v>
      </c>
      <c r="AE34" s="145" t="str">
        <f t="shared" si="9"/>
        <v>start /low /b %USERPROFILE%\Documents\GitHub\eaglep3\Utilities\DownloadLogsFromS3.py --loco 4029 --day 2017-09-02</v>
      </c>
      <c r="AF34" s="1"/>
    </row>
    <row r="35" spans="1:32" x14ac:dyDescent="0.25">
      <c r="A35" s="31">
        <v>42980.455000000002</v>
      </c>
      <c r="B35" s="30" t="s">
        <v>404</v>
      </c>
      <c r="C35" s="30" t="s">
        <v>572</v>
      </c>
      <c r="D35" s="30" t="s">
        <v>49</v>
      </c>
      <c r="E35" s="30" t="s">
        <v>181</v>
      </c>
      <c r="F35" s="42">
        <v>0</v>
      </c>
      <c r="G35" s="42">
        <v>15</v>
      </c>
      <c r="H35" s="42">
        <v>601</v>
      </c>
      <c r="I35" s="42">
        <v>594</v>
      </c>
      <c r="J35" s="30" t="s">
        <v>182</v>
      </c>
      <c r="K35" s="42">
        <v>575</v>
      </c>
      <c r="L35" s="131" t="s">
        <v>51</v>
      </c>
      <c r="M35" s="132">
        <f t="shared" si="0"/>
        <v>10.032</v>
      </c>
      <c r="N35" s="133" t="str">
        <f>VLOOKUP(C35,'Trips&amp;Operators'!$C$1:$G$99911,5,FALSE)</f>
        <v>LAMAR NEKESHA</v>
      </c>
      <c r="O35" s="200" t="s">
        <v>180</v>
      </c>
      <c r="P35" s="134"/>
      <c r="Q35" s="30"/>
      <c r="R35" s="81" t="str">
        <f>VLOOKUP(C35,'Train Runs'!$A$13:$AE$9920,31,0)</f>
        <v>aws s3 cp s3://rtdc.mdm.uploadarchive.raw/RTDC4013/ "%USERPROFILE%\AppData\Local\Temp\OnboardLogs"\RTDC4013\2017-09-02 --exclude "*" --recursive --include "*20170902*" &amp; "%USERPROFILE%\Documents\GitHub\mrs-test-scripts\Headless Mode &amp; Sideloading\WalkAndUnGZ.bat" "%USERPROFILE%\AppData\Local\Temp\OnboardLogs"\RTDC4013\2017-09-02 &amp; aws s3 cp s3://rtdc.mdm.uploadarchive.raw/RTDC4013/ "%USERPROFILE%\AppData\Local\Temp\OnboardLogs"\RTDC4013\2017-09-03 --exclude "*" --recursive --include "*20170903*" &amp; "%USERPROFILE%\Documents\GitHub\mrs-test-scripts\Headless Mode &amp; Sideloading\WalkAndUnGZ.bat" "%USERPROFILE%\AppData\Local\Temp\OnboardLogs"\RTDC4013\2017-09-03</v>
      </c>
      <c r="S35" s="84" t="str">
        <f>VLOOKUP(C35,'Train Runs'!$A$13:$AE$9920,22,0)</f>
        <v>https://d0f6bd738d7f1b3e5a7ca70fe4ff75f0.us-east-1.aws.found.io/app/kibana#/discover/Steve-Slow-Train-Analysis-(2080s-and-2083s)?_g=(refreshInterval:(display:Off,pause:!f,section:0,value:0),time:(from:'2017-09-02T09:35:39-0600',mode:absolute,to:'2017-09-02T11:55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35" s="86" t="str">
        <f t="shared" si="1"/>
        <v>"C:\Program Files (x86)\AstroGrep\AstroGrep.exe" /e /r /s /spath="%USERPROFILE%\AppData\Local\Temp\OnboardLogs" /stypes="*4013*201709021*" /stext=" 16:.+((SYSTEM_STATE.+slice.+state.+changed )|(ment ac)|(multiple cpu faults)|(system.+state.+changed )|(\[timeout)|(PRM\|1\|D)|(kpr)|(kdp)|(train st.+moving)|(\|lc)|(penalty))"</v>
      </c>
      <c r="U35" s="9" t="str">
        <f t="shared" si="2"/>
        <v>4013</v>
      </c>
      <c r="V35" s="31">
        <f t="shared" si="3"/>
        <v>42980.705000000002</v>
      </c>
      <c r="W35" s="45" t="str">
        <f t="shared" si="4"/>
        <v>NW</v>
      </c>
      <c r="X35" s="22">
        <f t="shared" si="5"/>
        <v>1810</v>
      </c>
      <c r="Y35" s="96" t="str">
        <f t="shared" si="6"/>
        <v>echo {"issue":{"subject":"","project_id":79,"tracker_id":40,"status_id":1,"priority_id":2,"assigned_to_id":338,"start_date":"2017-09-02","description":"","custom_fields":[{"id":1,"name":"Subdivision","value":"NW"},{"id":4,"name":"Milepost","value":"0.0575"},{"id":17,"name":"Train ID","value":"1810-02"},{"id":16,"name":"Locomotive ID","value":"4013"},{"id":130,"name":"Impact","value":""},{"id":150,"name":"Time of Event (Mountain Time)","value":"10:55:12"},{"id":151,"name":"Denver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 t="shared" si="7"/>
        <v>grep -hrE -A400 "Enforcement Action" /c/Users/stu/AppData/Local/Temp/OnboardLogs/RTDC4013 --include="*4013*201709021*"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"%USERPROFILE%\AppData\Local\Temp\OnboardLogs"\RTDC4013\*4013*201709021* &gt;&gt; 2017-09-02-SliceDisagreementCheck.txt</v>
      </c>
      <c r="AE35" s="145" t="str">
        <f t="shared" si="9"/>
        <v>start /low /b %USERPROFILE%\Documents\GitHub\eaglep3\Utilities\DownloadLogsFromS3.py --loco 4013 --day 2017-09-02</v>
      </c>
      <c r="AF35" s="1"/>
    </row>
    <row r="36" spans="1:32" x14ac:dyDescent="0.25">
      <c r="A36" s="31">
        <v>42980.496435185189</v>
      </c>
      <c r="B36" s="30" t="s">
        <v>404</v>
      </c>
      <c r="C36" s="30" t="s">
        <v>574</v>
      </c>
      <c r="D36" s="30" t="s">
        <v>49</v>
      </c>
      <c r="E36" s="30" t="s">
        <v>181</v>
      </c>
      <c r="F36" s="42">
        <v>0</v>
      </c>
      <c r="G36" s="42">
        <v>24</v>
      </c>
      <c r="H36" s="42">
        <v>638</v>
      </c>
      <c r="I36" s="42">
        <v>622</v>
      </c>
      <c r="J36" s="30" t="s">
        <v>182</v>
      </c>
      <c r="K36" s="42">
        <v>575</v>
      </c>
      <c r="L36" s="131" t="s">
        <v>51</v>
      </c>
      <c r="M36" s="132">
        <f t="shared" si="0"/>
        <v>24.815999999999999</v>
      </c>
      <c r="N36" s="133" t="str">
        <f>VLOOKUP(C36,'Trips&amp;Operators'!$C$1:$G$99911,5,FALSE)</f>
        <v>LAMAR NEKESHA</v>
      </c>
      <c r="O36" s="200" t="s">
        <v>180</v>
      </c>
      <c r="P36" s="134"/>
      <c r="Q36" s="30"/>
      <c r="R36" s="81" t="str">
        <f>VLOOKUP(C36,'Train Runs'!$A$13:$AE$9920,31,0)</f>
        <v>aws s3 cp s3://rtdc.mdm.uploadarchive.raw/RTDC4013/ "%USERPROFILE%\AppData\Local\Temp\OnboardLogs"\RTDC4013\2017-09-02 --exclude "*" --recursive --include "*20170902*" &amp; "%USERPROFILE%\Documents\GitHub\mrs-test-scripts\Headless Mode &amp; Sideloading\WalkAndUnGZ.bat" "%USERPROFILE%\AppData\Local\Temp\OnboardLogs"\RTDC4013\2017-09-02 &amp; aws s3 cp s3://rtdc.mdm.uploadarchive.raw/RTDC4013/ "%USERPROFILE%\AppData\Local\Temp\OnboardLogs"\RTDC4013\2017-09-03 --exclude "*" --recursive --include "*20170903*" &amp; "%USERPROFILE%\Documents\GitHub\mrs-test-scripts\Headless Mode &amp; Sideloading\WalkAndUnGZ.bat" "%USERPROFILE%\AppData\Local\Temp\OnboardLogs"\RTDC4013\2017-09-03</v>
      </c>
      <c r="S36" s="84" t="str">
        <f>VLOOKUP(C36,'Train Runs'!$A$13:$AE$9920,22,0)</f>
        <v>https://d0f6bd738d7f1b3e5a7ca70fe4ff75f0.us-east-1.aws.found.io/app/kibana#/discover/Steve-Slow-Train-Analysis-(2080s-and-2083s)?_g=(refreshInterval:(display:Off,pause:!f,section:0,value:0),time:(from:'2017-09-02T10:24:38-0600',mode:absolute,to:'2017-09-02T12:54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36" s="86" t="str">
        <f t="shared" si="1"/>
        <v>"C:\Program Files (x86)\AstroGrep\AstroGrep.exe" /e /r /s /spath="%USERPROFILE%\AppData\Local\Temp\OnboardLogs" /stypes="*4013*201709021*" /stext=" 17:.+((SYSTEM_STATE.+slice.+state.+changed )|(ment ac)|(multiple cpu faults)|(system.+state.+changed )|(\[timeout)|(PRM\|1\|D)|(kpr)|(kdp)|(train st.+moving)|(\|lc)|(penalty))"</v>
      </c>
      <c r="U36" s="9" t="str">
        <f t="shared" si="2"/>
        <v>4013</v>
      </c>
      <c r="V36" s="31">
        <f t="shared" si="3"/>
        <v>42980.746435185189</v>
      </c>
      <c r="W36" s="45" t="str">
        <f t="shared" si="4"/>
        <v>NW</v>
      </c>
      <c r="X36" s="22">
        <f t="shared" si="5"/>
        <v>1812</v>
      </c>
      <c r="Y36" s="96" t="str">
        <f t="shared" si="6"/>
        <v>echo {"issue":{"subject":"","project_id":79,"tracker_id":40,"status_id":1,"priority_id":2,"assigned_to_id":338,"start_date":"2017-09-02","description":"","custom_fields":[{"id":1,"name":"Subdivision","value":"NW"},{"id":4,"name":"Milepost","value":"0.0575"},{"id":17,"name":"Train ID","value":"1812-02"},{"id":16,"name":"Locomotive ID","value":"4013"},{"id":130,"name":"Impact","value":""},{"id":150,"name":"Time of Event (Mountain Time)","value":"11:54:52"},{"id":151,"name":"Denver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 t="shared" si="7"/>
        <v>grep -hrE -A400 "Enforcement Action" /c/Users/stu/AppData/Local/Temp/OnboardLogs/RTDC4013 --include="*4013*201709021*"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"%USERPROFILE%\AppData\Local\Temp\OnboardLogs"\RTDC4013\*4013*201709021* &gt;&gt; 2017-09-02-SliceDisagreementCheck.txt</v>
      </c>
      <c r="AE36" s="145" t="str">
        <f t="shared" si="9"/>
        <v>start /low /b %USERPROFILE%\Documents\GitHub\eaglep3\Utilities\DownloadLogsFromS3.py --loco 4013 --day 2017-09-02</v>
      </c>
      <c r="AF36" s="1"/>
    </row>
    <row r="37" spans="1:32" x14ac:dyDescent="0.25">
      <c r="A37" s="31">
        <v>42980.829861111109</v>
      </c>
      <c r="B37" s="30" t="s">
        <v>404</v>
      </c>
      <c r="C37" s="30" t="s">
        <v>591</v>
      </c>
      <c r="D37" s="30" t="s">
        <v>49</v>
      </c>
      <c r="E37" s="30" t="s">
        <v>181</v>
      </c>
      <c r="F37" s="42">
        <v>0</v>
      </c>
      <c r="G37" s="42">
        <v>17</v>
      </c>
      <c r="H37" s="42">
        <v>601</v>
      </c>
      <c r="I37" s="42">
        <v>589</v>
      </c>
      <c r="J37" s="30" t="s">
        <v>182</v>
      </c>
      <c r="K37" s="42">
        <v>575</v>
      </c>
      <c r="L37" s="131" t="s">
        <v>51</v>
      </c>
      <c r="M37" s="132">
        <f t="shared" si="0"/>
        <v>7.3920000000000003</v>
      </c>
      <c r="N37" s="133" t="str">
        <f>VLOOKUP(C37,'Trips&amp;Operators'!$C$1:$G$99911,5,FALSE)</f>
        <v>SMITH MICHAEL</v>
      </c>
      <c r="O37" s="200" t="s">
        <v>180</v>
      </c>
      <c r="P37" s="134"/>
      <c r="Q37" s="30"/>
      <c r="R37" s="81" t="str">
        <f>VLOOKUP(C37,'Train Runs'!$A$13:$AE$9920,31,0)</f>
        <v>aws s3 cp s3://rtdc.mdm.uploadarchive.raw/RTDC4013/ "%USERPROFILE%\AppData\Local\Temp\OnboardLogs"\RTDC4013\2017-09-02 --exclude "*" --recursive --include "*20170902*" &amp; "%USERPROFILE%\Documents\GitHub\mrs-test-scripts\Headless Mode &amp; Sideloading\WalkAndUnGZ.bat" "%USERPROFILE%\AppData\Local\Temp\OnboardLogs"\RTDC4013\2017-09-02 &amp; aws s3 cp s3://rtdc.mdm.uploadarchive.raw/RTDC4013/ "%USERPROFILE%\AppData\Local\Temp\OnboardLogs"\RTDC4013\2017-09-03 --exclude "*" --recursive --include "*20170903*" &amp; "%USERPROFILE%\Documents\GitHub\mrs-test-scripts\Headless Mode &amp; Sideloading\WalkAndUnGZ.bat" "%USERPROFILE%\AppData\Local\Temp\OnboardLogs"\RTDC4013\2017-09-03</v>
      </c>
      <c r="S37" s="84" t="str">
        <f>VLOOKUP(C37,'Train Runs'!$A$13:$AE$9920,22,0)</f>
        <v>https://d0f6bd738d7f1b3e5a7ca70fe4ff75f0.us-east-1.aws.found.io/app/kibana#/discover/Steve-Slow-Train-Analysis-(2080s-and-2083s)?_g=(refreshInterval:(display:Off,pause:!f,section:0,value:0),time:(from:'2017-09-02T18:25:45-0600',mode:absolute,to:'2017-09-02T20:55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37" s="86" t="str">
        <f t="shared" si="1"/>
        <v>"C:\Program Files (x86)\AstroGrep\AstroGrep.exe" /e /r /s /spath="%USERPROFILE%\AppData\Local\Temp\OnboardLogs" /stypes="*4013*201709030*" /stext=" 01:.+((SYSTEM_STATE.+slice.+state.+changed )|(ment ac)|(multiple cpu faults)|(system.+state.+changed )|(\[timeout)|(PRM\|1\|D)|(kpr)|(kdp)|(train st.+moving)|(\|lc)|(penalty))"</v>
      </c>
      <c r="U37" s="9" t="str">
        <f t="shared" si="2"/>
        <v>4013</v>
      </c>
      <c r="V37" s="31">
        <f t="shared" si="3"/>
        <v>42981.079861111109</v>
      </c>
      <c r="W37" s="45" t="str">
        <f t="shared" si="4"/>
        <v>NW</v>
      </c>
      <c r="X37" s="22">
        <f t="shared" si="5"/>
        <v>1828</v>
      </c>
      <c r="Y37" s="96" t="str">
        <f t="shared" si="6"/>
        <v>echo {"issue":{"subject":"","project_id":79,"tracker_id":40,"status_id":1,"priority_id":2,"assigned_to_id":338,"start_date":"2017-09-02","description":"","custom_fields":[{"id":1,"name":"Subdivision","value":"NW"},{"id":4,"name":"Milepost","value":"0.0575"},{"id":17,"name":"Train ID","value":"1828-02"},{"id":16,"name":"Locomotive ID","value":"4013"},{"id":130,"name":"Impact","value":""},{"id":150,"name":"Time of Event (Mountain Time)","value":"19:55:00"},{"id":151,"name":"Denver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 t="shared" si="7"/>
        <v>grep -hrE -A400 "Enforcement Action" /c/Users/stu/AppData/Local/Temp/OnboardLogs/RTDC4013 --include="*4013*201709030*"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"%USERPROFILE%\AppData\Local\Temp\OnboardLogs"\RTDC4013\*4013*201709030* &gt;&gt; 2017-09-02-SliceDisagreementCheck.txt</v>
      </c>
      <c r="AE37" s="145" t="str">
        <f t="shared" si="9"/>
        <v>start /low /b %USERPROFILE%\Documents\GitHub\eaglep3\Utilities\DownloadLogsFromS3.py --loco 4013 --day 2017-09-03</v>
      </c>
      <c r="AF37" s="1"/>
    </row>
    <row r="38" spans="1:32" x14ac:dyDescent="0.25">
      <c r="A38" s="31">
        <v>42980.307210648149</v>
      </c>
      <c r="B38" s="30" t="s">
        <v>392</v>
      </c>
      <c r="C38" s="30" t="s">
        <v>563</v>
      </c>
      <c r="D38" s="30" t="s">
        <v>49</v>
      </c>
      <c r="E38" s="30" t="s">
        <v>181</v>
      </c>
      <c r="F38" s="42">
        <v>0</v>
      </c>
      <c r="G38" s="42">
        <v>38</v>
      </c>
      <c r="H38" s="42">
        <v>58931</v>
      </c>
      <c r="I38" s="42">
        <v>58952</v>
      </c>
      <c r="J38" s="30" t="s">
        <v>182</v>
      </c>
      <c r="K38" s="42">
        <v>59048</v>
      </c>
      <c r="L38" s="131" t="s">
        <v>50</v>
      </c>
      <c r="M38" s="132">
        <f t="shared" si="0"/>
        <v>50.688000000000002</v>
      </c>
      <c r="N38" s="133" t="str">
        <f>VLOOKUP(C38,'Trips&amp;Operators'!$C$1:$G$99911,5,FALSE)</f>
        <v>LAMAR NEKESHA</v>
      </c>
      <c r="O38" s="200" t="s">
        <v>180</v>
      </c>
      <c r="P38" s="134"/>
      <c r="Q38" s="30"/>
      <c r="R38" s="81" t="str">
        <f>VLOOKUP(C38,'Train Runs'!$A$13:$AE$9920,31,0)</f>
        <v>aws s3 cp s3://rtdc.mdm.uploadarchive.raw/RTDC4030/ "%USERPROFILE%\AppData\Local\Temp\OnboardLogs"\RTDC4030\2017-09-02 --exclude "*" --recursive --include "*20170902*" &amp; "%USERPROFILE%\Documents\GitHub\mrs-test-scripts\Headless Mode &amp; Sideloading\WalkAndUnGZ.bat" "%USERPROFILE%\AppData\Local\Temp\OnboardLogs"\RTDC4030\2017-09-02 &amp; aws s3 cp s3://rtdc.mdm.uploadarchive.raw/RTDC4030/ "%USERPROFILE%\AppData\Local\Temp\OnboardLogs"\RTDC4030\2017-09-03 --exclude "*" --recursive --include "*20170903*" &amp; "%USERPROFILE%\Documents\GitHub\mrs-test-scripts\Headless Mode &amp; Sideloading\WalkAndUnGZ.bat" "%USERPROFILE%\AppData\Local\Temp\OnboardLogs"\RTDC4030\2017-09-03</v>
      </c>
      <c r="S38" s="84" t="str">
        <f>VLOOKUP(C38,'Train Runs'!$A$13:$AE$9920,22,0)</f>
        <v>https://d0f6bd738d7f1b3e5a7ca70fe4ff75f0.us-east-1.aws.found.io/app/kibana#/discover/Steve-Slow-Train-Analysis-(2080s-and-2083s)?_g=(refreshInterval:(display:Off,pause:!f,section:0,value:0),time:(from:'2017-09-02T05:57:30-0600',mode:absolute,to:'2017-09-02T08:22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38" s="86" t="str">
        <f t="shared" si="1"/>
        <v>"C:\Program Files (x86)\AstroGrep\AstroGrep.exe" /e /r /s /spath="%USERPROFILE%\AppData\Local\Temp\OnboardLogs" /stypes="*4030*201709021*" /stext=" 13:.+((SYSTEM_STATE.+slice.+state.+changed )|(ment ac)|(multiple cpu faults)|(system.+state.+changed )|(\[timeout)|(PRM\|1\|D)|(kpr)|(kdp)|(train st.+moving)|(\|lc)|(penalty))"</v>
      </c>
      <c r="U38" s="9" t="str">
        <f t="shared" si="2"/>
        <v>4030</v>
      </c>
      <c r="V38" s="31">
        <f t="shared" si="3"/>
        <v>42980.557210648149</v>
      </c>
      <c r="W38" s="45" t="str">
        <f t="shared" si="4"/>
        <v>NW</v>
      </c>
      <c r="X38" s="22">
        <f t="shared" si="5"/>
        <v>1803</v>
      </c>
      <c r="Y38" s="96" t="str">
        <f t="shared" si="6"/>
        <v>echo {"issue":{"subject":"","project_id":79,"tracker_id":40,"status_id":1,"priority_id":2,"assigned_to_id":338,"start_date":"2017-09-02","description":"","custom_fields":[{"id":1,"name":"Subdivision","value":"NW"},{"id":4,"name":"Milepost","value":"5.9048"},{"id":17,"name":"Train ID","value":"1803-02"},{"id":16,"name":"Locomotive ID","value":"4030"},{"id":130,"name":"Impact","value":""},{"id":150,"name":"Time of Event (Mountain Time)","value":"07:22:23"},{"id":151,"name":"Denver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 t="shared" si="7"/>
        <v>grep -hrE -A400 "Enforcement Action" /c/Users/stu/AppData/Local/Temp/OnboardLogs/RTDC4030 --include="*4030*201709021*"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"%USERPROFILE%\AppData\Local\Temp\OnboardLogs"\RTDC4030\*4030*201709021* &gt;&gt; 2017-09-02-SliceDisagreementCheck.txt</v>
      </c>
      <c r="AE38" s="145" t="str">
        <f t="shared" si="9"/>
        <v>start /low /b %USERPROFILE%\Documents\GitHub\eaglep3\Utilities\DownloadLogsFromS3.py --loco 4030 --day 2017-09-02</v>
      </c>
      <c r="AF38" s="1"/>
    </row>
    <row r="39" spans="1:32" x14ac:dyDescent="0.25">
      <c r="A39" s="31">
        <v>42980.801701388889</v>
      </c>
      <c r="B39" s="30" t="s">
        <v>586</v>
      </c>
      <c r="C39" s="30" t="s">
        <v>590</v>
      </c>
      <c r="D39" s="30" t="s">
        <v>49</v>
      </c>
      <c r="E39" s="30" t="s">
        <v>187</v>
      </c>
      <c r="F39" s="42">
        <v>0</v>
      </c>
      <c r="G39" s="42">
        <v>439</v>
      </c>
      <c r="H39" s="42">
        <v>10581</v>
      </c>
      <c r="I39" s="42">
        <v>12196</v>
      </c>
      <c r="J39" s="30" t="s">
        <v>188</v>
      </c>
      <c r="K39" s="42">
        <v>10716</v>
      </c>
      <c r="L39" s="131" t="s">
        <v>50</v>
      </c>
      <c r="M39" s="132">
        <f t="shared" si="0"/>
        <v>-781.44</v>
      </c>
      <c r="N39" s="133" t="str">
        <f>VLOOKUP(C39,'Trips&amp;Operators'!$C$1:$G$99911,5,FALSE)</f>
        <v>DELGADO DIANAH</v>
      </c>
      <c r="O39" s="200" t="s">
        <v>180</v>
      </c>
      <c r="P39" s="134"/>
      <c r="Q39" s="30"/>
      <c r="R39" s="81" t="str">
        <f>VLOOKUP(C39,'Train Runs'!$A$13:$AE$9920,31,0)</f>
        <v>aws s3 cp s3://rtdc.mdm.uploadarchive.raw/RTDC4066/ "%USERPROFILE%\AppData\Local\Temp\OnboardLogs"\RTDC4066\2017-09-02 --exclude "*" --recursive --include "*20170902*" &amp; "%USERPROFILE%\Documents\GitHub\mrs-test-scripts\Headless Mode &amp; Sideloading\WalkAndUnGZ.bat" "%USERPROFILE%\AppData\Local\Temp\OnboardLogs"\RTDC4066\2017-09-02 &amp; aws s3 cp s3://rtdc.mdm.uploadarchive.raw/RTDC4066/ "%USERPROFILE%\AppData\Local\Temp\OnboardLogs"\RTDC4066\2017-09-03 --exclude "*" --recursive --include "*20170903*" &amp; "%USERPROFILE%\Documents\GitHub\mrs-test-scripts\Headless Mode &amp; Sideloading\WalkAndUnGZ.bat" "%USERPROFILE%\AppData\Local\Temp\OnboardLogs"\RTDC4066\2017-09-03</v>
      </c>
      <c r="S39" s="84" t="str">
        <f>VLOOKUP(C39,'Train Runs'!$A$13:$AE$9920,22,0)</f>
        <v>https://d0f6bd738d7f1b3e5a7ca70fe4ff75f0.us-east-1.aws.found.io/app/kibana#/discover/Steve-Slow-Train-Analysis-(2080s-and-2083s)?_g=(refreshInterval:(display:Off,pause:!f,section:0,value:0),time:(from:'2017-09-02T18:08:02-0600',mode:absolute,to:'2017-09-02T20:20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T39" s="86" t="str">
        <f t="shared" si="1"/>
        <v>"C:\Program Files (x86)\AstroGrep\AstroGrep.exe" /e /r /s /spath="%USERPROFILE%\AppData\Local\Temp\OnboardLogs" /stypes="*4066*201709030*" /stext=" 01:.+((SYSTEM_STATE.+slice.+state.+changed )|(ment ac)|(multiple cpu faults)|(system.+state.+changed )|(\[timeout)|(PRM\|1\|D)|(kpr)|(kdp)|(train st.+moving)|(\|lc)|(penalty))"</v>
      </c>
      <c r="U39" s="9" t="str">
        <f t="shared" si="2"/>
        <v>4066</v>
      </c>
      <c r="V39" s="31">
        <f t="shared" si="3"/>
        <v>42981.051701388889</v>
      </c>
      <c r="W39" s="45" t="str">
        <f t="shared" si="4"/>
        <v>Other</v>
      </c>
      <c r="X39" s="22">
        <f t="shared" si="5"/>
        <v>303</v>
      </c>
      <c r="Y39" s="96" t="str">
        <f t="shared" si="6"/>
        <v>echo {"issue":{"subject":"","project_id":79,"tracker_id":40,"status_id":1,"priority_id":2,"assigned_to_id":338,"start_date":"2017-09-02","description":"","custom_fields":[{"id":1,"name":"Subdivision","value":"Other"},{"id":4,"name":"Milepost","value":"1.0716"},{"id":17,"name":"Train ID","value":"303-02"},{"id":16,"name":"Locomotive ID","value":"4066"},{"id":130,"name":"Impact","value":""},{"id":150,"name":"Time of Event (Mountain Time)","value":"19:14:27"},{"id":151,"name":"Denver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59"/>
      <c r="AA39" s="47"/>
      <c r="AB39" s="47"/>
      <c r="AC39" s="115" t="str">
        <f t="shared" si="7"/>
        <v>grep -hrE -A400 "Enforcement Action" /c/Users/stu/AppData/Local/Temp/OnboardLogs/RTDC4066 --include="*4066*201709030*"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"%USERPROFILE%\AppData\Local\Temp\OnboardLogs"\RTDC4066\*4066*201709030* &gt;&gt; 2017-09-02-SliceDisagreementCheck.txt</v>
      </c>
      <c r="AE39" s="145" t="str">
        <f t="shared" si="9"/>
        <v>start /low /b %USERPROFILE%\Documents\GitHub\eaglep3\Utilities\DownloadLogsFromS3.py --loco 4066 --day 2017-09-03</v>
      </c>
      <c r="AF39" s="1"/>
    </row>
    <row r="40" spans="1:32" x14ac:dyDescent="0.25">
      <c r="A40" s="31">
        <v>42980.531805555554</v>
      </c>
      <c r="B40" s="30" t="s">
        <v>393</v>
      </c>
      <c r="C40" s="30" t="s">
        <v>575</v>
      </c>
      <c r="D40" s="30" t="s">
        <v>96</v>
      </c>
      <c r="E40" s="30" t="s">
        <v>367</v>
      </c>
      <c r="F40" s="42">
        <v>0</v>
      </c>
      <c r="G40" s="42">
        <v>54</v>
      </c>
      <c r="H40" s="42">
        <v>4694</v>
      </c>
      <c r="I40" s="42">
        <v>4610</v>
      </c>
      <c r="J40" s="30" t="s">
        <v>368</v>
      </c>
      <c r="K40" s="42">
        <v>4798</v>
      </c>
      <c r="L40" s="131" t="s">
        <v>51</v>
      </c>
      <c r="M40" s="132">
        <f t="shared" si="0"/>
        <v>-99.263999999999996</v>
      </c>
      <c r="N40" s="133" t="str">
        <f>VLOOKUP(C40,'Trips&amp;Operators'!$C$1:$G$99911,5,FALSE)</f>
        <v>MCREYNOLDS KYLE</v>
      </c>
      <c r="O40" s="200" t="s">
        <v>180</v>
      </c>
      <c r="P40" s="134"/>
      <c r="Q40" s="30"/>
      <c r="R40" s="81" t="str">
        <f>VLOOKUP(C40,'Train Runs'!$A$13:$AE$9920,31,0)</f>
        <v>aws s3 cp s3://rtdc.mdm.uploadarchive.raw/RTDC4030/ "%USERPROFILE%\AppData\Local\Temp\OnboardLogs"\RTDC4030\2017-09-02 --exclude "*" --recursive --include "*20170902*" &amp; "%USERPROFILE%\Documents\GitHub\mrs-test-scripts\Headless Mode &amp; Sideloading\WalkAndUnGZ.bat" "%USERPROFILE%\AppData\Local\Temp\OnboardLogs"\RTDC4030\2017-09-02 &amp; aws s3 cp s3://rtdc.mdm.uploadarchive.raw/RTDC4030/ "%USERPROFILE%\AppData\Local\Temp\OnboardLogs"\RTDC4030\2017-09-03 --exclude "*" --recursive --include "*20170903*" &amp; "%USERPROFILE%\Documents\GitHub\mrs-test-scripts\Headless Mode &amp; Sideloading\WalkAndUnGZ.bat" "%USERPROFILE%\AppData\Local\Temp\OnboardLogs"\RTDC4030\2017-09-03</v>
      </c>
      <c r="S40" s="84" t="str">
        <f>VLOOKUP(C40,'Train Runs'!$A$13:$AE$9920,22,0)</f>
        <v>https://d0f6bd738d7f1b3e5a7ca70fe4ff75f0.us-east-1.aws.found.io/app/kibana#/discover/Steve-Slow-Train-Analysis-(2080s-and-2083s)?_g=(refreshInterval:(display:Off,pause:!f,section:0,value:0),time:(from:'2017-09-02T11:37:27-0600',mode:absolute,to:'2017-09-02T13:45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40" s="86" t="str">
        <f t="shared" si="1"/>
        <v>"C:\Program Files (x86)\AstroGrep\AstroGrep.exe" /e /r /s /spath="%USERPROFILE%\AppData\Local\Temp\OnboardLogs" /stypes="*4029*201709021*" /stext=" 18:.+((SYSTEM_STATE.+slice.+state.+changed )|(ment ac)|(multiple cpu faults)|(system.+state.+changed )|(\[timeout)|(PRM\|1\|D)|(kpr)|(kdp)|(train st.+moving)|(\|lc)|(penalty))"</v>
      </c>
      <c r="U40" s="9" t="str">
        <f t="shared" si="2"/>
        <v>4029</v>
      </c>
      <c r="V40" s="31">
        <f t="shared" si="3"/>
        <v>42980.781805555554</v>
      </c>
      <c r="W40" s="45" t="str">
        <f t="shared" si="4"/>
        <v>Shuttle/Test</v>
      </c>
      <c r="X40" s="22">
        <f t="shared" si="5"/>
        <v>68</v>
      </c>
      <c r="Y40" s="96" t="str">
        <f t="shared" si="6"/>
        <v>echo {"issue":{"subject":"","project_id":79,"tracker_id":40,"status_id":1,"priority_id":2,"assigned_to_id":338,"start_date":"2017-09-02","description":"","custom_fields":[{"id":1,"name":"Subdivision","value":"Shuttle/Test"},{"id":4,"name":"Milepost","value":"0.4798"},{"id":17,"name":"Train ID","value":"68-02"},{"id":16,"name":"Locomotive ID","value":"4029"},{"id":130,"name":"Impact","value":""},{"id":150,"name":"Time of Event (Mountain Time)","value":"12:45:48"},{"id":151,"name":"Denver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59"/>
      <c r="AA40" s="47"/>
      <c r="AB40" s="47"/>
      <c r="AC40" s="115" t="str">
        <f t="shared" si="7"/>
        <v>grep -hrE -A400 "Enforcement Action" /c/Users/stu/AppData/Local/Temp/OnboardLogs/RTDC4029 --include="*4029*201709021*"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"%USERPROFILE%\AppData\Local\Temp\OnboardLogs"\RTDC4029\*4029*201709021* &gt;&gt; 2017-09-02-SliceDisagreementCheck.txt</v>
      </c>
      <c r="AE40" s="145" t="str">
        <f t="shared" si="9"/>
        <v>start /low /b %USERPROFILE%\Documents\GitHub\eaglep3\Utilities\DownloadLogsFromS3.py --loco 4029 --day 2017-09-02</v>
      </c>
      <c r="AF40" s="1"/>
    </row>
    <row r="41" spans="1:32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X41"/>
      <c r="Z41"/>
      <c r="AC41"/>
      <c r="AE4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X42"/>
      <c r="Z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X43"/>
      <c r="Z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X44"/>
      <c r="Z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X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X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X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X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X59"/>
      <c r="Z59"/>
      <c r="AC59"/>
      <c r="AE59"/>
    </row>
  </sheetData>
  <autoFilter ref="A6:AC54">
    <sortState ref="A7:AC54">
      <sortCondition ref="W7:W40"/>
      <sortCondition ref="E7:E40"/>
      <sortCondition ref="K7:K40"/>
      <sortCondition ref="F7:F40"/>
    </sortState>
  </autoFilter>
  <sortState ref="A7:AE35">
    <sortCondition ref="W7:W35"/>
    <sortCondition ref="E7:E35"/>
    <sortCondition ref="K7:K35"/>
    <sortCondition ref="C7:C35"/>
    <sortCondition ref="F7:F35"/>
  </sortState>
  <mergeCells count="1">
    <mergeCell ref="A5:O5"/>
  </mergeCells>
  <conditionalFormatting sqref="O6:P6 R6 O60:O1048576 O7:O40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0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AA7:AA40</xm:sqref>
        </x14:dataValidation>
        <x14:dataValidation type="list" allowBlank="1" showInputMessage="1" showErrorMessage="1">
          <x14:formula1>
            <xm:f>'Redmine List Values'!$C$2:$C$15</xm:f>
          </x14:formula1>
          <xm:sqref>AB7:AB40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66"/>
  <sheetViews>
    <sheetView workbookViewId="0">
      <selection activeCell="I4" sqref="I4"/>
    </sheetView>
  </sheetViews>
  <sheetFormatPr defaultRowHeight="15" x14ac:dyDescent="0.25"/>
  <cols>
    <col min="1" max="1" width="9.140625" style="169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9"/>
      <c r="B1" s="219" t="str">
        <f>"Trips that did not appear in PTC Data "&amp;TEXT(Variables!$A$2,"YYYY-mm-dd")</f>
        <v>Trips that did not appear in PTC Data 2017-09-02</v>
      </c>
      <c r="C1" s="219"/>
      <c r="D1" s="219"/>
      <c r="E1" s="219"/>
      <c r="F1" s="219"/>
    </row>
    <row r="2" spans="1:10" s="23" customFormat="1" ht="45" x14ac:dyDescent="0.25">
      <c r="A2" s="196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102</v>
      </c>
    </row>
    <row r="3" spans="1:10" x14ac:dyDescent="0.25">
      <c r="A3" s="192">
        <v>160</v>
      </c>
      <c r="B3" s="42" t="str">
        <f>A3&amp;"-"&amp;IF(DAY(Variables!$A$2)&lt;10,0,"")&amp;DAY(Variables!$A$2)</f>
        <v>160-02</v>
      </c>
      <c r="C3" s="135"/>
      <c r="D3" s="153"/>
      <c r="E3" s="30" t="s">
        <v>959</v>
      </c>
      <c r="F3" s="21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45" t="str">
        <f t="shared" ref="I3:I10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22160-02%22)),sort:!(Time.ISO8601,asc))</v>
      </c>
      <c r="J3" s="30" t="e">
        <f>VLOOKUP(B3,'Train Runs'!$A$13:$A$99917,1,FALSE)</f>
        <v>#N/A</v>
      </c>
    </row>
    <row r="4" spans="1:10" s="20" customFormat="1" x14ac:dyDescent="0.25">
      <c r="A4" s="192">
        <v>197</v>
      </c>
      <c r="B4" s="42" t="str">
        <f>A4&amp;"-"&amp;IF(DAY(Variables!$A$2)&lt;10,0,"")&amp;DAY(Variables!$A$2)</f>
        <v>197-02</v>
      </c>
      <c r="C4" s="135"/>
      <c r="D4" s="153"/>
      <c r="E4" s="30" t="s">
        <v>962</v>
      </c>
      <c r="F4" s="21" t="str">
        <f>VLOOKUP(B4,'Trips&amp;Operators'!$C$2:$E$9912,3,FALSE)</f>
        <v>STORY</v>
      </c>
      <c r="G4" s="21" t="str">
        <f>VLOOKUP(B4,'Trips&amp;Operators'!$C$1:$F$9912,4,FALSE)</f>
        <v>SAMANTHA</v>
      </c>
      <c r="H4" s="29" t="str">
        <f>VLOOKUP(B4,'Trips&amp;Operators'!$C$1:$H$9912,5,FALSE)</f>
        <v>STORY SAMANTHA</v>
      </c>
      <c r="I4" s="45" t="str">
        <f t="shared" ref="I4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22197-02%22)),sort:!(Time.ISO8601,asc))</v>
      </c>
      <c r="J4" s="30" t="e">
        <f>VLOOKUP(B4,'Train Runs'!$A$13:$A$99917,1,FALSE)</f>
        <v>#N/A</v>
      </c>
    </row>
    <row r="5" spans="1:10" x14ac:dyDescent="0.25">
      <c r="A5" s="192">
        <v>198</v>
      </c>
      <c r="B5" s="42" t="str">
        <f>A5&amp;"-"&amp;IF(DAY(Variables!$A$2)&lt;10,0,"")&amp;DAY(Variables!$A$2)</f>
        <v>198-02</v>
      </c>
      <c r="C5" s="135"/>
      <c r="D5" s="153"/>
      <c r="E5" s="30" t="s">
        <v>962</v>
      </c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22198-02%22)),sort:!(Time.ISO8601,asc))</v>
      </c>
      <c r="J5" s="30" t="e">
        <f>VLOOKUP(B5,'Train Runs'!$A$13:$A$99917,1,FALSE)</f>
        <v>#N/A</v>
      </c>
    </row>
    <row r="6" spans="1:10" x14ac:dyDescent="0.25">
      <c r="A6" s="192"/>
      <c r="B6" s="42" t="str">
        <f>A6&amp;"-"&amp;IF(DAY(Variables!$A$2)&lt;10,0,"")&amp;DAY(Variables!$A$2)</f>
        <v>-02</v>
      </c>
      <c r="C6" s="135"/>
      <c r="D6" s="153"/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6" s="30" t="e">
        <f>VLOOKUP(B6,'Train Runs'!$A$13:$A$99917,1,FALSE)</f>
        <v>#N/A</v>
      </c>
    </row>
    <row r="7" spans="1:10" x14ac:dyDescent="0.25">
      <c r="A7" s="192"/>
      <c r="B7" s="42" t="str">
        <f>A7&amp;"-"&amp;IF(DAY(Variables!$A$2)&lt;10,0,"")&amp;DAY(Variables!$A$2)</f>
        <v>-02</v>
      </c>
      <c r="C7" s="135"/>
      <c r="D7" s="153"/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7" s="30" t="e">
        <f>VLOOKUP(B7,'Train Runs'!$A$13:$A$99917,1,FALSE)</f>
        <v>#N/A</v>
      </c>
    </row>
    <row r="8" spans="1:10" x14ac:dyDescent="0.25">
      <c r="A8" s="192"/>
      <c r="B8" s="42" t="str">
        <f>A8&amp;"-"&amp;IF(DAY(Variables!$A$2)&lt;10,0,"")&amp;DAY(Variables!$A$2)</f>
        <v>-02</v>
      </c>
      <c r="C8" s="135"/>
      <c r="D8" s="153"/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8" s="30" t="e">
        <f>VLOOKUP(B8,'Train Runs'!$A$13:$A$99917,1,FALSE)</f>
        <v>#N/A</v>
      </c>
    </row>
    <row r="9" spans="1:10" x14ac:dyDescent="0.25">
      <c r="A9" s="192"/>
      <c r="B9" s="42" t="str">
        <f>A9&amp;"-"&amp;IF(DAY(Variables!$A$2)&lt;10,0,"")&amp;DAY(Variables!$A$2)</f>
        <v>-02</v>
      </c>
      <c r="C9" s="135"/>
      <c r="D9" s="153"/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9" s="30" t="e">
        <f>VLOOKUP(B9,'Train Runs'!$A$13:$A$99917,1,FALSE)</f>
        <v>#N/A</v>
      </c>
    </row>
    <row r="10" spans="1:10" x14ac:dyDescent="0.25">
      <c r="A10" s="192"/>
      <c r="B10" s="42" t="str">
        <f>A10&amp;"-"&amp;IF(DAY(Variables!$A$2)&lt;10,0,"")&amp;DAY(Variables!$A$2)</f>
        <v>-02</v>
      </c>
      <c r="C10" s="135"/>
      <c r="D10" s="153"/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0" s="30" t="e">
        <f>VLOOKUP(B10,'Train Runs'!$A$13:$A$99917,1,FALSE)</f>
        <v>#N/A</v>
      </c>
    </row>
    <row r="11" spans="1:10" x14ac:dyDescent="0.25">
      <c r="A11" s="192"/>
      <c r="B11" s="42"/>
      <c r="C11" s="135"/>
      <c r="D11" s="153"/>
      <c r="E11" s="30"/>
      <c r="F11" s="21"/>
      <c r="G11" s="21"/>
      <c r="H11" s="29"/>
      <c r="I11" s="45"/>
      <c r="J11" s="30"/>
    </row>
    <row r="12" spans="1:10" x14ac:dyDescent="0.25">
      <c r="A12" s="192"/>
      <c r="B12" s="42"/>
      <c r="C12" s="135"/>
      <c r="D12" s="153"/>
      <c r="E12" s="30"/>
      <c r="F12" s="21"/>
      <c r="G12" s="21"/>
      <c r="H12" s="29"/>
      <c r="I12" s="45"/>
      <c r="J12" s="30"/>
    </row>
    <row r="13" spans="1:10" x14ac:dyDescent="0.25">
      <c r="A13" s="192"/>
      <c r="B13" s="42"/>
      <c r="C13" s="135"/>
      <c r="D13" s="153"/>
      <c r="E13" s="30"/>
      <c r="F13" s="21"/>
      <c r="G13" s="21"/>
      <c r="H13" s="29"/>
      <c r="I13" s="45"/>
      <c r="J13" s="30"/>
    </row>
    <row r="14" spans="1:10" x14ac:dyDescent="0.25">
      <c r="A14" s="192"/>
      <c r="B14" s="42"/>
      <c r="C14" s="135"/>
      <c r="D14" s="153"/>
      <c r="E14" s="30"/>
      <c r="F14" s="21"/>
      <c r="G14" s="21"/>
      <c r="H14" s="29"/>
      <c r="I14" s="45"/>
      <c r="J14" s="30"/>
    </row>
    <row r="15" spans="1:10" x14ac:dyDescent="0.25">
      <c r="A15" s="192"/>
      <c r="B15" s="42"/>
      <c r="C15" s="135"/>
      <c r="D15" s="153"/>
      <c r="E15" s="30"/>
      <c r="F15" s="21"/>
      <c r="G15" s="21"/>
      <c r="H15" s="29"/>
      <c r="I15" s="45"/>
      <c r="J15" s="30"/>
    </row>
    <row r="16" spans="1:10" x14ac:dyDescent="0.25">
      <c r="A16" s="192"/>
      <c r="B16" s="42"/>
      <c r="C16" s="135"/>
      <c r="D16" s="153"/>
      <c r="E16" s="30"/>
      <c r="F16" s="21"/>
      <c r="G16" s="21"/>
      <c r="H16" s="29"/>
      <c r="I16" s="45"/>
      <c r="J16" s="30"/>
    </row>
    <row r="17" spans="1:10" x14ac:dyDescent="0.25">
      <c r="A17" s="192"/>
      <c r="B17" s="42"/>
      <c r="C17" s="135"/>
      <c r="D17" s="153"/>
      <c r="E17" s="30"/>
      <c r="F17" s="21"/>
      <c r="G17" s="21"/>
      <c r="H17" s="29"/>
      <c r="I17" s="45"/>
      <c r="J17" s="30"/>
    </row>
    <row r="18" spans="1:10" x14ac:dyDescent="0.25">
      <c r="A18" s="192"/>
      <c r="B18" s="42"/>
      <c r="C18" s="135"/>
      <c r="D18" s="153"/>
      <c r="E18" s="30"/>
      <c r="F18" s="21"/>
      <c r="G18" s="21"/>
      <c r="H18" s="29"/>
      <c r="I18" s="45"/>
      <c r="J18" s="30"/>
    </row>
    <row r="19" spans="1:10" x14ac:dyDescent="0.25">
      <c r="A19" s="192"/>
      <c r="B19" s="42"/>
      <c r="C19" s="135"/>
      <c r="D19" s="153"/>
      <c r="E19" s="30"/>
      <c r="F19" s="21"/>
      <c r="G19" s="21"/>
      <c r="H19" s="29"/>
      <c r="I19" s="45"/>
      <c r="J19" s="30"/>
    </row>
    <row r="20" spans="1:10" x14ac:dyDescent="0.25">
      <c r="A20" s="192"/>
      <c r="B20" s="42"/>
      <c r="C20" s="135"/>
      <c r="D20" s="153"/>
      <c r="E20" s="30"/>
      <c r="F20" s="21"/>
      <c r="G20" s="21"/>
      <c r="H20" s="29"/>
      <c r="I20" s="45"/>
      <c r="J20" s="30"/>
    </row>
    <row r="21" spans="1:10" x14ac:dyDescent="0.25">
      <c r="A21" s="192"/>
      <c r="B21" s="42"/>
      <c r="C21" s="135"/>
      <c r="D21" s="153"/>
      <c r="E21" s="30"/>
      <c r="F21" s="21"/>
      <c r="G21" s="21"/>
      <c r="H21" s="29"/>
      <c r="I21" s="45"/>
      <c r="J21" s="30"/>
    </row>
    <row r="22" spans="1:10" x14ac:dyDescent="0.25">
      <c r="A22" s="192"/>
      <c r="B22" s="42"/>
      <c r="C22" s="135"/>
      <c r="D22" s="153"/>
      <c r="E22" s="30"/>
      <c r="F22" s="21"/>
      <c r="G22" s="21"/>
      <c r="H22" s="29"/>
      <c r="I22" s="45"/>
      <c r="J22" s="30"/>
    </row>
    <row r="23" spans="1:10" x14ac:dyDescent="0.25">
      <c r="A23" s="192"/>
      <c r="B23" s="42"/>
      <c r="C23" s="135"/>
      <c r="D23" s="153"/>
      <c r="E23" s="30"/>
      <c r="F23" s="21"/>
      <c r="G23" s="21"/>
      <c r="H23" s="29"/>
      <c r="I23" s="45"/>
      <c r="J23" s="30"/>
    </row>
    <row r="24" spans="1:10" x14ac:dyDescent="0.25">
      <c r="A24" s="192"/>
      <c r="B24" s="42"/>
      <c r="C24" s="135"/>
      <c r="D24" s="153"/>
      <c r="E24" s="30"/>
      <c r="F24" s="21"/>
      <c r="G24" s="21"/>
      <c r="H24" s="29"/>
      <c r="I24" s="45"/>
      <c r="J24" s="30"/>
    </row>
    <row r="25" spans="1:10" x14ac:dyDescent="0.25">
      <c r="A25" s="192"/>
      <c r="B25" s="42"/>
      <c r="C25" s="135"/>
      <c r="D25" s="153"/>
      <c r="E25" s="30"/>
      <c r="F25" s="21"/>
      <c r="G25" s="21"/>
      <c r="H25" s="29"/>
      <c r="I25" s="45"/>
      <c r="J25" s="30"/>
    </row>
    <row r="26" spans="1:10" x14ac:dyDescent="0.25">
      <c r="A26" s="192"/>
      <c r="B26" s="42"/>
      <c r="C26" s="135"/>
      <c r="D26" s="153"/>
      <c r="E26" s="30"/>
      <c r="F26" s="21"/>
      <c r="G26" s="21"/>
      <c r="H26" s="29"/>
      <c r="I26" s="45"/>
      <c r="J26" s="30"/>
    </row>
    <row r="27" spans="1:10" x14ac:dyDescent="0.25">
      <c r="A27" s="192"/>
      <c r="B27" s="42"/>
      <c r="C27" s="135"/>
      <c r="D27" s="153"/>
      <c r="E27" s="30"/>
      <c r="F27" s="21"/>
      <c r="G27" s="21"/>
      <c r="H27" s="29"/>
      <c r="I27" s="45"/>
      <c r="J27" s="30"/>
    </row>
    <row r="28" spans="1:10" x14ac:dyDescent="0.25">
      <c r="A28" s="192"/>
      <c r="B28" s="42"/>
      <c r="C28" s="135"/>
      <c r="D28" s="153"/>
      <c r="E28" s="30"/>
      <c r="F28" s="21"/>
      <c r="G28" s="21"/>
      <c r="H28" s="29"/>
      <c r="I28" s="45"/>
      <c r="J28" s="30"/>
    </row>
    <row r="29" spans="1:10" x14ac:dyDescent="0.25">
      <c r="A29" s="192"/>
      <c r="B29" s="42"/>
      <c r="C29" s="135"/>
      <c r="D29" s="153"/>
      <c r="E29" s="30"/>
      <c r="F29" s="21"/>
      <c r="G29" s="21"/>
      <c r="H29" s="29"/>
      <c r="I29" s="45"/>
      <c r="J29" s="30"/>
    </row>
    <row r="30" spans="1:10" x14ac:dyDescent="0.25">
      <c r="A30" s="192"/>
      <c r="B30" s="42"/>
      <c r="C30" s="135"/>
      <c r="D30" s="153"/>
      <c r="E30" s="30"/>
      <c r="F30" s="21"/>
      <c r="G30" s="21"/>
      <c r="H30" s="29"/>
      <c r="I30" s="45"/>
      <c r="J30" s="30"/>
    </row>
    <row r="31" spans="1:10" x14ac:dyDescent="0.25">
      <c r="A31" s="192"/>
      <c r="B31" s="42"/>
      <c r="C31" s="135"/>
      <c r="D31" s="153"/>
      <c r="E31" s="30"/>
      <c r="F31" s="21"/>
      <c r="G31" s="21"/>
      <c r="H31" s="29"/>
      <c r="I31" s="45"/>
      <c r="J31" s="30"/>
    </row>
    <row r="32" spans="1:10" x14ac:dyDescent="0.25">
      <c r="A32" s="192"/>
      <c r="B32" s="42"/>
      <c r="C32" s="135"/>
      <c r="D32" s="153"/>
      <c r="E32" s="30"/>
      <c r="F32" s="21"/>
      <c r="G32" s="21"/>
      <c r="H32" s="29"/>
      <c r="I32" s="45"/>
      <c r="J32" s="30"/>
    </row>
    <row r="33" spans="1:10" x14ac:dyDescent="0.25">
      <c r="A33" s="192"/>
      <c r="B33" s="42"/>
      <c r="C33" s="135"/>
      <c r="D33" s="153"/>
      <c r="E33" s="30"/>
      <c r="F33" s="21"/>
      <c r="G33" s="21"/>
      <c r="H33" s="29"/>
      <c r="I33" s="45"/>
      <c r="J33" s="30"/>
    </row>
    <row r="34" spans="1:10" x14ac:dyDescent="0.25">
      <c r="A34" s="192"/>
      <c r="B34" s="42"/>
      <c r="C34" s="135"/>
      <c r="D34" s="153"/>
      <c r="E34" s="30"/>
      <c r="F34" s="21"/>
      <c r="G34" s="21"/>
      <c r="H34" s="29"/>
      <c r="I34" s="45"/>
      <c r="J34" s="30"/>
    </row>
    <row r="35" spans="1:10" x14ac:dyDescent="0.25">
      <c r="A35" s="192"/>
      <c r="B35" s="42"/>
      <c r="C35" s="135"/>
      <c r="D35" s="153"/>
      <c r="E35" s="30"/>
      <c r="F35" s="21"/>
      <c r="G35" s="21"/>
      <c r="H35" s="29"/>
      <c r="I35" s="45"/>
      <c r="J35" s="30"/>
    </row>
    <row r="36" spans="1:10" x14ac:dyDescent="0.25">
      <c r="A36" s="192"/>
      <c r="B36" s="42"/>
      <c r="C36" s="135"/>
      <c r="D36" s="153"/>
      <c r="E36" s="30"/>
      <c r="F36" s="21"/>
      <c r="G36" s="21"/>
      <c r="H36" s="29"/>
      <c r="I36" s="45"/>
      <c r="J36" s="30"/>
    </row>
    <row r="37" spans="1:10" x14ac:dyDescent="0.25">
      <c r="A37" s="192"/>
      <c r="B37" s="42"/>
      <c r="C37" s="135"/>
      <c r="D37" s="153"/>
      <c r="E37" s="30"/>
      <c r="F37" s="21"/>
      <c r="G37" s="21"/>
      <c r="H37" s="29"/>
      <c r="I37" s="45"/>
      <c r="J37" s="30"/>
    </row>
    <row r="38" spans="1:10" x14ac:dyDescent="0.25">
      <c r="A38" s="192"/>
      <c r="B38" s="42"/>
      <c r="C38" s="135"/>
      <c r="D38" s="153"/>
      <c r="E38" s="30"/>
      <c r="F38" s="21"/>
      <c r="G38" s="21"/>
      <c r="H38" s="29"/>
      <c r="I38" s="45"/>
      <c r="J38" s="30"/>
    </row>
    <row r="39" spans="1:10" x14ac:dyDescent="0.25">
      <c r="A39" s="192"/>
      <c r="B39" s="42"/>
      <c r="C39" s="135"/>
      <c r="D39" s="153"/>
      <c r="E39" s="30"/>
      <c r="F39" s="21"/>
      <c r="G39" s="21"/>
      <c r="H39" s="29"/>
      <c r="I39" s="45"/>
      <c r="J39" s="30"/>
    </row>
    <row r="40" spans="1:10" x14ac:dyDescent="0.25">
      <c r="A40" s="192"/>
      <c r="B40" s="42"/>
      <c r="C40" s="135"/>
      <c r="D40" s="153"/>
      <c r="E40" s="30"/>
      <c r="F40" s="21"/>
      <c r="G40" s="21"/>
      <c r="H40" s="29"/>
      <c r="I40" s="45"/>
      <c r="J40" s="30"/>
    </row>
    <row r="41" spans="1:10" x14ac:dyDescent="0.25">
      <c r="A41" s="192"/>
      <c r="B41" s="42"/>
      <c r="C41" s="135"/>
      <c r="D41" s="153"/>
      <c r="E41" s="30"/>
      <c r="F41" s="21"/>
      <c r="G41" s="21"/>
      <c r="H41" s="29"/>
      <c r="I41" s="45"/>
      <c r="J41" s="30"/>
    </row>
    <row r="42" spans="1:10" x14ac:dyDescent="0.25">
      <c r="A42" s="192"/>
      <c r="B42" s="42"/>
      <c r="C42" s="135"/>
      <c r="D42" s="153"/>
      <c r="E42" s="30"/>
      <c r="F42" s="21"/>
      <c r="G42" s="21"/>
      <c r="H42" s="29"/>
      <c r="I42" s="45"/>
      <c r="J42" s="30"/>
    </row>
    <row r="43" spans="1:10" x14ac:dyDescent="0.25">
      <c r="A43" s="192"/>
      <c r="B43" s="42"/>
      <c r="C43" s="135"/>
      <c r="D43" s="153"/>
      <c r="E43" s="30"/>
      <c r="F43" s="21"/>
      <c r="G43" s="21"/>
      <c r="H43" s="29"/>
      <c r="I43" s="45"/>
      <c r="J43" s="30"/>
    </row>
    <row r="44" spans="1:10" x14ac:dyDescent="0.25">
      <c r="A44" s="192"/>
      <c r="B44" s="42"/>
      <c r="C44" s="135"/>
      <c r="D44" s="153"/>
      <c r="E44" s="30"/>
      <c r="F44" s="21"/>
      <c r="G44" s="21"/>
      <c r="H44" s="29"/>
      <c r="I44" s="45"/>
      <c r="J44" s="30"/>
    </row>
    <row r="45" spans="1:10" x14ac:dyDescent="0.25">
      <c r="A45" s="192"/>
      <c r="B45" s="42"/>
      <c r="C45" s="135"/>
      <c r="D45" s="153"/>
      <c r="E45" s="30"/>
      <c r="F45" s="21"/>
      <c r="G45" s="21"/>
      <c r="H45" s="29"/>
      <c r="I45" s="45"/>
      <c r="J45" s="30"/>
    </row>
    <row r="46" spans="1:10" x14ac:dyDescent="0.25">
      <c r="A46" s="192"/>
      <c r="B46" s="42"/>
      <c r="C46" s="135"/>
      <c r="D46" s="153"/>
      <c r="E46" s="30"/>
      <c r="F46" s="21"/>
      <c r="G46" s="21"/>
      <c r="H46" s="29"/>
      <c r="I46" s="45"/>
      <c r="J46" s="30"/>
    </row>
    <row r="47" spans="1:10" x14ac:dyDescent="0.25">
      <c r="A47" s="192"/>
      <c r="B47" s="42"/>
      <c r="C47" s="135"/>
      <c r="D47" s="153"/>
      <c r="E47" s="30"/>
      <c r="F47" s="21"/>
      <c r="G47" s="21"/>
      <c r="H47" s="29"/>
      <c r="I47" s="45"/>
      <c r="J47" s="30"/>
    </row>
    <row r="48" spans="1:10" x14ac:dyDescent="0.25">
      <c r="A48" s="192"/>
      <c r="B48" s="42"/>
      <c r="C48" s="135"/>
      <c r="D48" s="153"/>
      <c r="E48" s="30"/>
      <c r="F48" s="21"/>
      <c r="G48" s="21"/>
      <c r="H48" s="29"/>
      <c r="I48" s="45"/>
      <c r="J48" s="30"/>
    </row>
    <row r="49" spans="1:10" x14ac:dyDescent="0.25">
      <c r="A49" s="192"/>
      <c r="B49" s="42"/>
      <c r="C49" s="135"/>
      <c r="D49" s="153"/>
      <c r="E49" s="30"/>
      <c r="F49" s="21"/>
      <c r="G49" s="21"/>
      <c r="H49" s="29"/>
      <c r="I49" s="45"/>
      <c r="J49" s="30"/>
    </row>
    <row r="50" spans="1:10" x14ac:dyDescent="0.25">
      <c r="A50" s="192"/>
      <c r="B50" s="42"/>
      <c r="C50" s="135"/>
      <c r="D50" s="153"/>
      <c r="E50" s="30"/>
      <c r="F50" s="21"/>
      <c r="G50" s="21"/>
      <c r="H50" s="29"/>
      <c r="I50" s="45"/>
      <c r="J50" s="30"/>
    </row>
    <row r="51" spans="1:10" x14ac:dyDescent="0.25">
      <c r="A51" s="192"/>
      <c r="B51" s="42"/>
      <c r="C51" s="135"/>
      <c r="D51" s="153"/>
      <c r="E51" s="30"/>
      <c r="F51" s="21"/>
      <c r="G51" s="21"/>
      <c r="H51" s="29"/>
      <c r="I51" s="45"/>
      <c r="J51" s="30"/>
    </row>
    <row r="52" spans="1:10" x14ac:dyDescent="0.25">
      <c r="A52" s="192"/>
      <c r="B52" s="42"/>
      <c r="C52" s="135"/>
      <c r="D52" s="153"/>
      <c r="E52" s="30"/>
      <c r="F52" s="21"/>
      <c r="G52" s="21"/>
      <c r="H52" s="29"/>
      <c r="I52" s="45"/>
      <c r="J52" s="30"/>
    </row>
    <row r="53" spans="1:10" x14ac:dyDescent="0.25">
      <c r="A53" s="192"/>
      <c r="B53" s="42"/>
      <c r="C53" s="135"/>
      <c r="D53" s="153"/>
      <c r="E53" s="30"/>
      <c r="F53" s="21"/>
      <c r="G53" s="21"/>
      <c r="H53" s="29"/>
      <c r="I53" s="45"/>
      <c r="J53" s="30"/>
    </row>
    <row r="54" spans="1:10" x14ac:dyDescent="0.25">
      <c r="A54" s="192"/>
      <c r="B54" s="42"/>
      <c r="C54" s="135"/>
      <c r="D54" s="153"/>
      <c r="E54" s="30"/>
      <c r="F54" s="21"/>
      <c r="G54" s="21"/>
      <c r="H54" s="29"/>
      <c r="I54" s="45"/>
      <c r="J54" s="30"/>
    </row>
    <row r="55" spans="1:10" x14ac:dyDescent="0.25">
      <c r="A55" s="192"/>
      <c r="B55" s="42"/>
      <c r="C55" s="135"/>
      <c r="D55" s="153"/>
      <c r="E55" s="30"/>
      <c r="F55" s="21"/>
      <c r="G55" s="21"/>
      <c r="H55" s="29"/>
      <c r="I55" s="45"/>
      <c r="J55" s="30"/>
    </row>
    <row r="56" spans="1:10" x14ac:dyDescent="0.25">
      <c r="A56" s="192"/>
      <c r="B56" s="42"/>
      <c r="C56" s="135"/>
      <c r="D56" s="153"/>
      <c r="E56" s="30"/>
      <c r="F56" s="21"/>
      <c r="G56" s="21"/>
      <c r="H56" s="29"/>
      <c r="I56" s="45"/>
      <c r="J56" s="30"/>
    </row>
    <row r="57" spans="1:10" x14ac:dyDescent="0.25">
      <c r="A57" s="192"/>
      <c r="B57" s="42"/>
      <c r="C57" s="135"/>
      <c r="D57" s="153"/>
      <c r="E57" s="30"/>
      <c r="F57" s="21"/>
      <c r="G57" s="21"/>
      <c r="H57" s="29"/>
      <c r="I57" s="45"/>
      <c r="J57" s="30"/>
    </row>
    <row r="58" spans="1:10" x14ac:dyDescent="0.25">
      <c r="A58" s="192"/>
      <c r="B58" s="42"/>
      <c r="C58" s="135"/>
      <c r="D58" s="153"/>
      <c r="E58" s="30"/>
      <c r="F58" s="21"/>
      <c r="G58" s="21"/>
      <c r="H58" s="29"/>
      <c r="I58" s="45"/>
      <c r="J58" s="30"/>
    </row>
    <row r="59" spans="1:10" x14ac:dyDescent="0.25">
      <c r="A59" s="192"/>
      <c r="B59" s="42"/>
      <c r="C59" s="135"/>
      <c r="D59" s="153"/>
      <c r="E59" s="30"/>
      <c r="F59" s="21"/>
      <c r="G59" s="21"/>
      <c r="H59" s="29"/>
      <c r="I59" s="45"/>
      <c r="J59" s="30"/>
    </row>
    <row r="60" spans="1:10" x14ac:dyDescent="0.25">
      <c r="A60" s="192"/>
      <c r="B60" s="42"/>
      <c r="C60" s="135"/>
      <c r="D60" s="153"/>
      <c r="E60" s="30"/>
      <c r="F60" s="21"/>
      <c r="G60" s="21"/>
      <c r="H60" s="29"/>
      <c r="I60" s="45"/>
      <c r="J60" s="30"/>
    </row>
    <row r="61" spans="1:10" x14ac:dyDescent="0.25">
      <c r="A61" s="192"/>
      <c r="B61" s="42"/>
      <c r="C61" s="135"/>
      <c r="D61" s="153"/>
      <c r="E61" s="30"/>
      <c r="F61" s="21"/>
      <c r="G61" s="21"/>
      <c r="H61" s="29"/>
      <c r="I61" s="45"/>
      <c r="J61" s="30"/>
    </row>
    <row r="62" spans="1:10" x14ac:dyDescent="0.25">
      <c r="A62" s="192"/>
      <c r="B62" s="42"/>
      <c r="C62" s="135"/>
      <c r="D62" s="153"/>
      <c r="E62" s="30"/>
      <c r="F62" s="21"/>
      <c r="G62" s="21"/>
      <c r="H62" s="29"/>
      <c r="I62" s="45"/>
      <c r="J62" s="30"/>
    </row>
    <row r="63" spans="1:10" x14ac:dyDescent="0.25">
      <c r="A63" s="192"/>
      <c r="B63" s="42"/>
      <c r="C63" s="135"/>
      <c r="D63" s="153"/>
      <c r="E63" s="30"/>
      <c r="F63" s="21"/>
      <c r="G63" s="21"/>
      <c r="H63" s="29"/>
      <c r="I63" s="45"/>
      <c r="J63" s="30"/>
    </row>
    <row r="64" spans="1:10" x14ac:dyDescent="0.25">
      <c r="A64" s="192"/>
      <c r="B64" s="42"/>
      <c r="C64" s="135"/>
      <c r="D64" s="153"/>
      <c r="E64" s="30"/>
      <c r="F64" s="21"/>
      <c r="G64" s="21"/>
      <c r="H64" s="29"/>
      <c r="I64" s="45"/>
      <c r="J64" s="30"/>
    </row>
    <row r="65" spans="1:10" x14ac:dyDescent="0.25">
      <c r="A65" s="192"/>
      <c r="B65" s="42"/>
      <c r="C65" s="135"/>
      <c r="D65" s="153"/>
      <c r="E65" s="30"/>
      <c r="F65" s="21"/>
      <c r="G65" s="21"/>
      <c r="H65" s="29"/>
      <c r="I65" s="45"/>
      <c r="J65" s="30"/>
    </row>
    <row r="66" spans="1:10" x14ac:dyDescent="0.25">
      <c r="A66" s="192"/>
      <c r="B66" s="42"/>
      <c r="C66" s="135"/>
      <c r="D66" s="153"/>
      <c r="E66" s="30"/>
      <c r="F66" s="21"/>
      <c r="G66" s="21"/>
      <c r="H66" s="29"/>
      <c r="I66" s="45"/>
      <c r="J66" s="30"/>
    </row>
  </sheetData>
  <autoFilter ref="A2:J18"/>
  <sortState ref="A3:J97">
    <sortCondition ref="A3:A97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260"/>
  <sheetViews>
    <sheetView topLeftCell="A233" workbookViewId="0">
      <selection sqref="A1:F232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190</v>
      </c>
      <c r="G1" s="8" t="s">
        <v>189</v>
      </c>
    </row>
    <row r="2" spans="1:7" x14ac:dyDescent="0.25">
      <c r="A2" s="8">
        <v>42980.035219907404</v>
      </c>
      <c r="B2" s="20" t="s">
        <v>500</v>
      </c>
      <c r="C2" s="20" t="s">
        <v>523</v>
      </c>
      <c r="D2" s="138">
        <v>2620000</v>
      </c>
      <c r="E2" s="20" t="s">
        <v>425</v>
      </c>
      <c r="F2" s="20" t="s">
        <v>426</v>
      </c>
      <c r="G2" s="8" t="str">
        <f>E2&amp;" "&amp;F2</f>
        <v>PERKINS DARREN</v>
      </c>
    </row>
    <row r="3" spans="1:7" x14ac:dyDescent="0.25">
      <c r="A3" s="8">
        <v>42980.048043981478</v>
      </c>
      <c r="B3" s="20" t="s">
        <v>445</v>
      </c>
      <c r="C3" s="20" t="s">
        <v>524</v>
      </c>
      <c r="D3" s="138">
        <v>2730000</v>
      </c>
      <c r="E3" s="20" t="s">
        <v>394</v>
      </c>
      <c r="F3" s="20" t="s">
        <v>395</v>
      </c>
      <c r="G3" s="8" t="str">
        <f t="shared" ref="G3:G66" si="0">E3&amp;" "&amp;F3</f>
        <v>YANG JAN</v>
      </c>
    </row>
    <row r="4" spans="1:7" x14ac:dyDescent="0.25">
      <c r="A4" s="8">
        <v>42980.058796296296</v>
      </c>
      <c r="B4" s="20" t="s">
        <v>462</v>
      </c>
      <c r="C4" s="20" t="s">
        <v>525</v>
      </c>
      <c r="D4" s="138">
        <v>3320000</v>
      </c>
      <c r="E4" s="20" t="s">
        <v>480</v>
      </c>
      <c r="F4" s="20" t="s">
        <v>481</v>
      </c>
      <c r="G4" s="8" t="str">
        <f t="shared" si="0"/>
        <v>NICHOLSON WESLEY</v>
      </c>
    </row>
    <row r="5" spans="1:7" x14ac:dyDescent="0.25">
      <c r="A5" s="8">
        <v>42980.073506944442</v>
      </c>
      <c r="B5" s="20" t="s">
        <v>493</v>
      </c>
      <c r="C5" s="20" t="s">
        <v>526</v>
      </c>
      <c r="D5" s="138">
        <v>2620000</v>
      </c>
      <c r="E5" s="20" t="s">
        <v>425</v>
      </c>
      <c r="F5" s="20" t="s">
        <v>426</v>
      </c>
      <c r="G5" s="8" t="str">
        <f t="shared" si="0"/>
        <v>PERKINS DARREN</v>
      </c>
    </row>
    <row r="6" spans="1:7" x14ac:dyDescent="0.25">
      <c r="A6" s="8">
        <v>42980.075868055559</v>
      </c>
      <c r="B6" s="20" t="s">
        <v>498</v>
      </c>
      <c r="C6" s="20" t="s">
        <v>527</v>
      </c>
      <c r="D6" s="138">
        <v>3340000</v>
      </c>
      <c r="E6" s="20" t="s">
        <v>513</v>
      </c>
      <c r="F6" s="20" t="s">
        <v>514</v>
      </c>
      <c r="G6" s="8" t="str">
        <f t="shared" si="0"/>
        <v>ELBAUM MIKE</v>
      </c>
    </row>
    <row r="7" spans="1:7" x14ac:dyDescent="0.25">
      <c r="A7" s="8">
        <v>42980.077870370369</v>
      </c>
      <c r="B7" s="20" t="s">
        <v>462</v>
      </c>
      <c r="C7" s="20" t="s">
        <v>525</v>
      </c>
      <c r="D7" s="138">
        <v>3320000</v>
      </c>
      <c r="E7" s="20" t="s">
        <v>480</v>
      </c>
      <c r="F7" s="20" t="s">
        <v>481</v>
      </c>
      <c r="G7" s="8" t="str">
        <f t="shared" si="0"/>
        <v>NICHOLSON WESLEY</v>
      </c>
    </row>
    <row r="8" spans="1:7" x14ac:dyDescent="0.25">
      <c r="A8" s="8">
        <v>42980.110462962963</v>
      </c>
      <c r="B8" s="20" t="s">
        <v>466</v>
      </c>
      <c r="C8" s="20" t="s">
        <v>528</v>
      </c>
      <c r="D8" s="138">
        <v>3340000</v>
      </c>
      <c r="E8" s="20" t="s">
        <v>513</v>
      </c>
      <c r="F8" s="20" t="s">
        <v>514</v>
      </c>
      <c r="G8" s="8" t="str">
        <f t="shared" si="0"/>
        <v>ELBAUM MIKE</v>
      </c>
    </row>
    <row r="9" spans="1:7" ht="15.75" thickBot="1" x14ac:dyDescent="0.3">
      <c r="A9" s="24">
        <v>42980.111145833333</v>
      </c>
      <c r="B9" s="20" t="s">
        <v>466</v>
      </c>
      <c r="C9" s="20" t="s">
        <v>528</v>
      </c>
      <c r="D9" s="138">
        <v>3340000</v>
      </c>
      <c r="E9" s="20" t="s">
        <v>513</v>
      </c>
      <c r="F9" s="20" t="s">
        <v>514</v>
      </c>
      <c r="G9" s="8" t="str">
        <f t="shared" si="0"/>
        <v>ELBAUM MIKE</v>
      </c>
    </row>
    <row r="10" spans="1:7" x14ac:dyDescent="0.25">
      <c r="A10" s="8">
        <v>42980.116018518522</v>
      </c>
      <c r="B10" s="20" t="s">
        <v>497</v>
      </c>
      <c r="C10" s="20" t="s">
        <v>595</v>
      </c>
      <c r="D10" s="138">
        <v>3120000</v>
      </c>
      <c r="E10" s="20" t="s">
        <v>596</v>
      </c>
      <c r="F10" s="20" t="s">
        <v>597</v>
      </c>
      <c r="G10" s="8" t="str">
        <f t="shared" si="0"/>
        <v>THOMPSON LESTER</v>
      </c>
    </row>
    <row r="11" spans="1:7" x14ac:dyDescent="0.25">
      <c r="A11" s="8">
        <v>42980.116712962961</v>
      </c>
      <c r="B11" s="20" t="s">
        <v>497</v>
      </c>
      <c r="C11" s="20" t="s">
        <v>595</v>
      </c>
      <c r="D11" s="138">
        <v>3120000</v>
      </c>
      <c r="E11" s="20" t="s">
        <v>596</v>
      </c>
      <c r="F11" s="20" t="s">
        <v>597</v>
      </c>
      <c r="G11" s="8" t="str">
        <f t="shared" si="0"/>
        <v>THOMPSON LESTER</v>
      </c>
    </row>
    <row r="12" spans="1:7" x14ac:dyDescent="0.25">
      <c r="A12" s="8">
        <v>42980.148460648146</v>
      </c>
      <c r="B12" s="20" t="s">
        <v>510</v>
      </c>
      <c r="C12" s="20" t="s">
        <v>598</v>
      </c>
      <c r="D12" s="138">
        <v>3300000</v>
      </c>
      <c r="E12" s="20" t="s">
        <v>504</v>
      </c>
      <c r="F12" s="20" t="s">
        <v>505</v>
      </c>
      <c r="G12" s="8" t="str">
        <f t="shared" si="0"/>
        <v>LANGERAK WILLIAM</v>
      </c>
    </row>
    <row r="13" spans="1:7" x14ac:dyDescent="0.25">
      <c r="A13" s="8">
        <v>42980.159305555557</v>
      </c>
      <c r="B13" s="20" t="s">
        <v>382</v>
      </c>
      <c r="C13" s="20" t="s">
        <v>599</v>
      </c>
      <c r="D13" s="138">
        <v>1990000</v>
      </c>
      <c r="E13" s="20" t="s">
        <v>348</v>
      </c>
      <c r="F13" s="20" t="s">
        <v>469</v>
      </c>
      <c r="G13" s="8" t="str">
        <f t="shared" si="0"/>
        <v>DAVIS WENDY</v>
      </c>
    </row>
    <row r="14" spans="1:7" x14ac:dyDescent="0.25">
      <c r="A14" s="8">
        <v>42980.192002314812</v>
      </c>
      <c r="B14" s="20" t="s">
        <v>497</v>
      </c>
      <c r="C14" s="20" t="s">
        <v>600</v>
      </c>
      <c r="D14" s="138">
        <v>3300000</v>
      </c>
      <c r="E14" s="20" t="s">
        <v>504</v>
      </c>
      <c r="F14" s="20" t="s">
        <v>505</v>
      </c>
      <c r="G14" s="8" t="str">
        <f t="shared" si="0"/>
        <v>LANGERAK WILLIAM</v>
      </c>
    </row>
    <row r="15" spans="1:7" x14ac:dyDescent="0.25">
      <c r="A15" s="8">
        <v>42980.193425925929</v>
      </c>
      <c r="B15" s="20" t="s">
        <v>406</v>
      </c>
      <c r="C15" s="20" t="s">
        <v>601</v>
      </c>
      <c r="D15" s="138">
        <v>2010000</v>
      </c>
      <c r="E15" s="20" t="s">
        <v>467</v>
      </c>
      <c r="F15" s="20" t="s">
        <v>468</v>
      </c>
      <c r="G15" s="8" t="str">
        <f t="shared" si="0"/>
        <v>MAELZER KURT</v>
      </c>
    </row>
    <row r="16" spans="1:7" x14ac:dyDescent="0.25">
      <c r="A16" s="8">
        <v>42980.194282407407</v>
      </c>
      <c r="B16" s="20" t="s">
        <v>406</v>
      </c>
      <c r="C16" s="20" t="s">
        <v>601</v>
      </c>
      <c r="D16" s="138">
        <v>2010000</v>
      </c>
      <c r="E16" s="20" t="s">
        <v>467</v>
      </c>
      <c r="F16" s="20" t="s">
        <v>468</v>
      </c>
      <c r="G16" s="8" t="str">
        <f t="shared" si="0"/>
        <v>MAELZER KURT</v>
      </c>
    </row>
    <row r="17" spans="1:7" x14ac:dyDescent="0.25">
      <c r="A17" s="8">
        <v>42980.1953587963</v>
      </c>
      <c r="B17" s="20" t="s">
        <v>602</v>
      </c>
      <c r="C17" s="20" t="s">
        <v>603</v>
      </c>
      <c r="D17" s="138">
        <v>2530000</v>
      </c>
      <c r="E17" s="20" t="s">
        <v>506</v>
      </c>
      <c r="F17" s="20" t="s">
        <v>507</v>
      </c>
      <c r="G17" s="8" t="str">
        <f t="shared" si="0"/>
        <v>LALONDE GREGORY</v>
      </c>
    </row>
    <row r="18" spans="1:7" x14ac:dyDescent="0.25">
      <c r="A18" s="8">
        <v>42980.196319444447</v>
      </c>
      <c r="B18" s="20" t="s">
        <v>406</v>
      </c>
      <c r="C18" s="20" t="s">
        <v>601</v>
      </c>
      <c r="D18" s="138">
        <v>2010000</v>
      </c>
      <c r="E18" s="20" t="s">
        <v>467</v>
      </c>
      <c r="F18" s="20" t="s">
        <v>468</v>
      </c>
      <c r="G18" s="8" t="str">
        <f t="shared" si="0"/>
        <v>MAELZER KURT</v>
      </c>
    </row>
    <row r="19" spans="1:7" x14ac:dyDescent="0.25">
      <c r="A19" s="8">
        <v>42980.201041666667</v>
      </c>
      <c r="B19" s="20" t="s">
        <v>405</v>
      </c>
      <c r="C19" s="20" t="s">
        <v>604</v>
      </c>
      <c r="D19" s="138">
        <v>2560000</v>
      </c>
      <c r="E19" s="20" t="s">
        <v>501</v>
      </c>
      <c r="F19" s="20" t="s">
        <v>502</v>
      </c>
      <c r="G19" s="8" t="str">
        <f t="shared" si="0"/>
        <v>MACDONALD THOMAS</v>
      </c>
    </row>
    <row r="20" spans="1:7" x14ac:dyDescent="0.25">
      <c r="A20" s="8">
        <v>42980.204710648148</v>
      </c>
      <c r="B20" s="20" t="s">
        <v>382</v>
      </c>
      <c r="C20" s="20" t="s">
        <v>561</v>
      </c>
      <c r="D20" s="138">
        <v>1990000</v>
      </c>
      <c r="E20" s="20" t="s">
        <v>348</v>
      </c>
      <c r="F20" s="20" t="s">
        <v>469</v>
      </c>
      <c r="G20" s="8" t="str">
        <f t="shared" si="0"/>
        <v>DAVIS WENDY</v>
      </c>
    </row>
    <row r="21" spans="1:7" x14ac:dyDescent="0.25">
      <c r="A21" s="8">
        <v>42980.206574074073</v>
      </c>
      <c r="B21" s="20" t="s">
        <v>586</v>
      </c>
      <c r="C21" s="20" t="s">
        <v>605</v>
      </c>
      <c r="D21" s="138">
        <v>3120000</v>
      </c>
      <c r="E21" s="20" t="s">
        <v>596</v>
      </c>
      <c r="F21" s="20" t="s">
        <v>597</v>
      </c>
      <c r="G21" s="8" t="str">
        <f t="shared" si="0"/>
        <v>THOMPSON LESTER</v>
      </c>
    </row>
    <row r="22" spans="1:7" x14ac:dyDescent="0.25">
      <c r="A22" s="26">
        <v>42980.212824074071</v>
      </c>
      <c r="B22" s="20" t="s">
        <v>384</v>
      </c>
      <c r="C22" s="20" t="s">
        <v>606</v>
      </c>
      <c r="D22" s="138">
        <v>2560000</v>
      </c>
      <c r="E22" s="20" t="s">
        <v>501</v>
      </c>
      <c r="F22" s="20" t="s">
        <v>502</v>
      </c>
      <c r="G22" s="8" t="str">
        <f t="shared" si="0"/>
        <v>MACDONALD THOMAS</v>
      </c>
    </row>
    <row r="23" spans="1:7" x14ac:dyDescent="0.25">
      <c r="A23" s="8">
        <v>42980.216192129628</v>
      </c>
      <c r="B23" s="20" t="s">
        <v>495</v>
      </c>
      <c r="C23" s="20" t="s">
        <v>607</v>
      </c>
      <c r="D23" s="138">
        <v>1100000</v>
      </c>
      <c r="E23" s="20" t="s">
        <v>608</v>
      </c>
      <c r="F23" s="20" t="s">
        <v>609</v>
      </c>
      <c r="G23" s="8" t="str">
        <f t="shared" si="0"/>
        <v>GEBRETEKLE DAGNEW</v>
      </c>
    </row>
    <row r="24" spans="1:7" x14ac:dyDescent="0.25">
      <c r="A24" s="8">
        <v>42980.219907407409</v>
      </c>
      <c r="B24" s="20" t="s">
        <v>392</v>
      </c>
      <c r="C24" s="20" t="s">
        <v>610</v>
      </c>
      <c r="D24" s="138">
        <v>3090000</v>
      </c>
      <c r="E24" s="20" t="s">
        <v>409</v>
      </c>
      <c r="F24" s="20" t="s">
        <v>410</v>
      </c>
      <c r="G24" s="8" t="str">
        <f t="shared" si="0"/>
        <v>LAMAR NEKESHA</v>
      </c>
    </row>
    <row r="25" spans="1:7" x14ac:dyDescent="0.25">
      <c r="A25" s="8">
        <v>42980.223854166667</v>
      </c>
      <c r="B25" s="20" t="s">
        <v>611</v>
      </c>
      <c r="C25" s="20" t="s">
        <v>612</v>
      </c>
      <c r="D25" s="138">
        <v>2530000</v>
      </c>
      <c r="E25" s="20" t="s">
        <v>506</v>
      </c>
      <c r="F25" s="20" t="s">
        <v>507</v>
      </c>
      <c r="G25" s="8" t="str">
        <f t="shared" si="0"/>
        <v>LALONDE GREGORY</v>
      </c>
    </row>
    <row r="26" spans="1:7" x14ac:dyDescent="0.25">
      <c r="A26" s="8">
        <v>42980.225023148145</v>
      </c>
      <c r="B26" s="20" t="s">
        <v>583</v>
      </c>
      <c r="C26" s="20" t="s">
        <v>613</v>
      </c>
      <c r="D26" s="138">
        <v>3040000</v>
      </c>
      <c r="E26" s="20" t="s">
        <v>423</v>
      </c>
      <c r="F26" s="20" t="s">
        <v>424</v>
      </c>
      <c r="G26" s="8" t="str">
        <f t="shared" si="0"/>
        <v>WILLIAMS DONTE</v>
      </c>
    </row>
    <row r="27" spans="1:7" x14ac:dyDescent="0.25">
      <c r="A27" s="8">
        <v>42980.227766203701</v>
      </c>
      <c r="B27" s="20" t="s">
        <v>510</v>
      </c>
      <c r="C27" s="20" t="s">
        <v>614</v>
      </c>
      <c r="D27" s="138">
        <v>2010000</v>
      </c>
      <c r="E27" s="20" t="s">
        <v>467</v>
      </c>
      <c r="F27" s="20" t="s">
        <v>468</v>
      </c>
      <c r="G27" s="8" t="str">
        <f t="shared" si="0"/>
        <v>MAELZER KURT</v>
      </c>
    </row>
    <row r="28" spans="1:7" x14ac:dyDescent="0.25">
      <c r="A28" s="8">
        <v>42980.233287037037</v>
      </c>
      <c r="B28" s="20" t="s">
        <v>393</v>
      </c>
      <c r="C28" s="20" t="s">
        <v>615</v>
      </c>
      <c r="D28" s="138">
        <v>3090000</v>
      </c>
      <c r="E28" s="20" t="s">
        <v>409</v>
      </c>
      <c r="F28" s="20" t="s">
        <v>410</v>
      </c>
      <c r="G28" s="8" t="str">
        <f t="shared" si="0"/>
        <v>LAMAR NEKESHA</v>
      </c>
    </row>
    <row r="29" spans="1:7" x14ac:dyDescent="0.25">
      <c r="A29" s="8">
        <v>42980.237407407411</v>
      </c>
      <c r="B29" s="20" t="s">
        <v>578</v>
      </c>
      <c r="C29" s="20" t="s">
        <v>616</v>
      </c>
      <c r="D29" s="138">
        <v>2040000</v>
      </c>
      <c r="E29" s="20" t="s">
        <v>472</v>
      </c>
      <c r="F29" s="20" t="s">
        <v>473</v>
      </c>
      <c r="G29" s="8" t="str">
        <f t="shared" si="0"/>
        <v>MOSES BRADLEY</v>
      </c>
    </row>
    <row r="30" spans="1:7" x14ac:dyDescent="0.25">
      <c r="A30" s="8">
        <v>42980.246736111112</v>
      </c>
      <c r="B30" s="20" t="s">
        <v>564</v>
      </c>
      <c r="C30" s="20" t="s">
        <v>617</v>
      </c>
      <c r="D30" s="138">
        <v>3120000</v>
      </c>
      <c r="E30" s="20" t="s">
        <v>596</v>
      </c>
      <c r="F30" s="20" t="s">
        <v>597</v>
      </c>
      <c r="G30" s="8" t="str">
        <f t="shared" si="0"/>
        <v>THOMPSON LESTER</v>
      </c>
    </row>
    <row r="31" spans="1:7" x14ac:dyDescent="0.25">
      <c r="A31" s="8">
        <v>42980.247465277775</v>
      </c>
      <c r="B31" s="20" t="s">
        <v>383</v>
      </c>
      <c r="C31" s="20" t="s">
        <v>618</v>
      </c>
      <c r="D31" s="138">
        <v>1990000</v>
      </c>
      <c r="E31" s="20" t="s">
        <v>348</v>
      </c>
      <c r="F31" s="20" t="s">
        <v>469</v>
      </c>
      <c r="G31" s="8" t="str">
        <f t="shared" si="0"/>
        <v>DAVIS WENDY</v>
      </c>
    </row>
    <row r="32" spans="1:7" x14ac:dyDescent="0.25">
      <c r="A32" s="8">
        <v>42980.249074074076</v>
      </c>
      <c r="B32" s="20" t="s">
        <v>392</v>
      </c>
      <c r="C32" s="20" t="s">
        <v>619</v>
      </c>
      <c r="D32" s="138">
        <v>3090000</v>
      </c>
      <c r="E32" s="20" t="s">
        <v>409</v>
      </c>
      <c r="F32" s="20" t="s">
        <v>410</v>
      </c>
      <c r="G32" s="8" t="str">
        <f t="shared" si="0"/>
        <v>LAMAR NEKESHA</v>
      </c>
    </row>
    <row r="33" spans="1:7" x14ac:dyDescent="0.25">
      <c r="A33" s="8">
        <v>42980.255543981482</v>
      </c>
      <c r="B33" s="20" t="s">
        <v>405</v>
      </c>
      <c r="C33" s="20" t="s">
        <v>620</v>
      </c>
      <c r="D33" s="138">
        <v>2560000</v>
      </c>
      <c r="E33" s="20" t="s">
        <v>501</v>
      </c>
      <c r="F33" s="20" t="s">
        <v>502</v>
      </c>
      <c r="G33" s="8" t="str">
        <f t="shared" si="0"/>
        <v>MACDONALD THOMAS</v>
      </c>
    </row>
    <row r="34" spans="1:7" x14ac:dyDescent="0.25">
      <c r="A34" s="8">
        <v>42980.262638888889</v>
      </c>
      <c r="B34" s="20" t="s">
        <v>497</v>
      </c>
      <c r="C34" s="20" t="s">
        <v>621</v>
      </c>
      <c r="D34" s="138">
        <v>2010000</v>
      </c>
      <c r="E34" s="20" t="s">
        <v>467</v>
      </c>
      <c r="F34" s="20" t="s">
        <v>468</v>
      </c>
      <c r="G34" s="8" t="str">
        <f t="shared" si="0"/>
        <v>MAELZER KURT</v>
      </c>
    </row>
    <row r="35" spans="1:7" x14ac:dyDescent="0.25">
      <c r="A35" s="8">
        <v>42980.266469907408</v>
      </c>
      <c r="B35" s="20" t="s">
        <v>494</v>
      </c>
      <c r="C35" s="20" t="s">
        <v>622</v>
      </c>
      <c r="D35" s="138">
        <v>1100000</v>
      </c>
      <c r="E35" s="20" t="s">
        <v>608</v>
      </c>
      <c r="F35" s="20" t="s">
        <v>609</v>
      </c>
      <c r="G35" s="8" t="str">
        <f t="shared" si="0"/>
        <v>GEBRETEKLE DAGNEW</v>
      </c>
    </row>
    <row r="36" spans="1:7" x14ac:dyDescent="0.25">
      <c r="A36" s="8">
        <v>42980.268576388888</v>
      </c>
      <c r="B36" s="20" t="s">
        <v>602</v>
      </c>
      <c r="C36" s="20" t="s">
        <v>623</v>
      </c>
      <c r="D36" s="138">
        <v>3180000</v>
      </c>
      <c r="E36" s="20" t="s">
        <v>470</v>
      </c>
      <c r="F36" s="20" t="s">
        <v>471</v>
      </c>
      <c r="G36" s="8" t="str">
        <f t="shared" si="0"/>
        <v>HUFFSMITH MONTY</v>
      </c>
    </row>
    <row r="37" spans="1:7" x14ac:dyDescent="0.25">
      <c r="A37" s="8">
        <v>42980.269317129627</v>
      </c>
      <c r="B37" s="20" t="s">
        <v>393</v>
      </c>
      <c r="C37" s="20" t="s">
        <v>562</v>
      </c>
      <c r="D37" s="138">
        <v>3090000</v>
      </c>
      <c r="E37" s="20" t="s">
        <v>409</v>
      </c>
      <c r="F37" s="20" t="s">
        <v>410</v>
      </c>
      <c r="G37" s="8" t="str">
        <f t="shared" si="0"/>
        <v>LAMAR NEKESHA</v>
      </c>
    </row>
    <row r="38" spans="1:7" x14ac:dyDescent="0.25">
      <c r="A38" s="8">
        <v>42980.275173611109</v>
      </c>
      <c r="B38" s="20" t="s">
        <v>583</v>
      </c>
      <c r="C38" s="20" t="s">
        <v>624</v>
      </c>
      <c r="D38" s="138">
        <v>2040000</v>
      </c>
      <c r="E38" s="20" t="s">
        <v>472</v>
      </c>
      <c r="F38" s="20" t="s">
        <v>473</v>
      </c>
      <c r="G38" s="8" t="str">
        <f t="shared" si="0"/>
        <v>MOSES BRADLEY</v>
      </c>
    </row>
    <row r="39" spans="1:7" x14ac:dyDescent="0.25">
      <c r="A39" s="8">
        <v>42980.278703703705</v>
      </c>
      <c r="B39" s="20" t="s">
        <v>382</v>
      </c>
      <c r="C39" s="20" t="s">
        <v>625</v>
      </c>
      <c r="D39" s="138">
        <v>1990000</v>
      </c>
      <c r="E39" s="20" t="s">
        <v>348</v>
      </c>
      <c r="F39" s="20" t="s">
        <v>469</v>
      </c>
      <c r="G39" s="8" t="str">
        <f t="shared" si="0"/>
        <v>DAVIS WENDY</v>
      </c>
    </row>
    <row r="40" spans="1:7" x14ac:dyDescent="0.25">
      <c r="A40" s="8">
        <v>42980.278831018521</v>
      </c>
      <c r="B40" s="25" t="s">
        <v>586</v>
      </c>
      <c r="C40" s="20" t="s">
        <v>626</v>
      </c>
      <c r="D40" s="138">
        <v>3120000</v>
      </c>
      <c r="E40" s="20" t="s">
        <v>596</v>
      </c>
      <c r="F40" s="20" t="s">
        <v>597</v>
      </c>
      <c r="G40" s="8" t="str">
        <f t="shared" si="0"/>
        <v>THOMPSON LESTER</v>
      </c>
    </row>
    <row r="41" spans="1:7" x14ac:dyDescent="0.25">
      <c r="A41" s="8">
        <v>42980.290636574071</v>
      </c>
      <c r="B41" s="20" t="s">
        <v>392</v>
      </c>
      <c r="C41" s="20" t="s">
        <v>563</v>
      </c>
      <c r="D41" s="138">
        <v>3090000</v>
      </c>
      <c r="E41" s="20" t="s">
        <v>409</v>
      </c>
      <c r="F41" s="20" t="s">
        <v>410</v>
      </c>
      <c r="G41" s="8" t="str">
        <f t="shared" si="0"/>
        <v>LAMAR NEKESHA</v>
      </c>
    </row>
    <row r="42" spans="1:7" x14ac:dyDescent="0.25">
      <c r="A42" s="8">
        <v>42980.29074074074</v>
      </c>
      <c r="B42" s="20" t="s">
        <v>495</v>
      </c>
      <c r="C42" s="20" t="s">
        <v>627</v>
      </c>
      <c r="D42" s="138">
        <v>1100000</v>
      </c>
      <c r="E42" s="20" t="s">
        <v>608</v>
      </c>
      <c r="F42" s="20" t="s">
        <v>609</v>
      </c>
      <c r="G42" s="8" t="str">
        <f t="shared" si="0"/>
        <v>GEBRETEKLE DAGNEW</v>
      </c>
    </row>
    <row r="43" spans="1:7" x14ac:dyDescent="0.25">
      <c r="A43" s="8">
        <v>42980.291655092595</v>
      </c>
      <c r="B43" s="20" t="s">
        <v>384</v>
      </c>
      <c r="C43" s="20" t="s">
        <v>628</v>
      </c>
      <c r="D43" s="138">
        <v>2560000</v>
      </c>
      <c r="E43" s="20" t="s">
        <v>501</v>
      </c>
      <c r="F43" s="20" t="s">
        <v>502</v>
      </c>
      <c r="G43" s="8" t="str">
        <f t="shared" si="0"/>
        <v>MACDONALD THOMAS</v>
      </c>
    </row>
    <row r="44" spans="1:7" x14ac:dyDescent="0.25">
      <c r="A44" s="8">
        <v>42980.299351851849</v>
      </c>
      <c r="B44" s="20" t="s">
        <v>510</v>
      </c>
      <c r="C44" s="20" t="s">
        <v>629</v>
      </c>
      <c r="D44" s="138">
        <v>2010000</v>
      </c>
      <c r="E44" s="20" t="s">
        <v>467</v>
      </c>
      <c r="F44" s="20" t="s">
        <v>468</v>
      </c>
      <c r="G44" s="8" t="str">
        <f t="shared" si="0"/>
        <v>MAELZER KURT</v>
      </c>
    </row>
    <row r="45" spans="1:7" x14ac:dyDescent="0.25">
      <c r="A45" s="8">
        <v>42980.306620370371</v>
      </c>
      <c r="B45" s="20" t="s">
        <v>611</v>
      </c>
      <c r="C45" s="20" t="s">
        <v>630</v>
      </c>
      <c r="D45" s="138">
        <v>3180000</v>
      </c>
      <c r="E45" s="20" t="s">
        <v>470</v>
      </c>
      <c r="F45" s="20" t="s">
        <v>471</v>
      </c>
      <c r="G45" s="8" t="str">
        <f t="shared" si="0"/>
        <v>HUFFSMITH MONTY</v>
      </c>
    </row>
    <row r="46" spans="1:7" x14ac:dyDescent="0.25">
      <c r="A46" s="8">
        <v>42980.308888888889</v>
      </c>
      <c r="B46" s="20" t="s">
        <v>393</v>
      </c>
      <c r="C46" s="20" t="s">
        <v>566</v>
      </c>
      <c r="D46" s="138">
        <v>3090000</v>
      </c>
      <c r="E46" s="20" t="s">
        <v>409</v>
      </c>
      <c r="F46" s="20" t="s">
        <v>410</v>
      </c>
      <c r="G46" s="8" t="str">
        <f t="shared" si="0"/>
        <v>LAMAR NEKESHA</v>
      </c>
    </row>
    <row r="47" spans="1:7" x14ac:dyDescent="0.25">
      <c r="A47" s="8">
        <v>42980.309849537036</v>
      </c>
      <c r="B47" s="20" t="s">
        <v>578</v>
      </c>
      <c r="C47" s="20" t="s">
        <v>631</v>
      </c>
      <c r="D47" s="138">
        <v>3040000</v>
      </c>
      <c r="E47" s="20" t="s">
        <v>423</v>
      </c>
      <c r="F47" s="20" t="s">
        <v>424</v>
      </c>
      <c r="G47" s="8" t="str">
        <f t="shared" si="0"/>
        <v>WILLIAMS DONTE</v>
      </c>
    </row>
    <row r="48" spans="1:7" x14ac:dyDescent="0.25">
      <c r="A48" s="8">
        <v>42980.318229166667</v>
      </c>
      <c r="B48" s="20" t="s">
        <v>383</v>
      </c>
      <c r="C48" s="20" t="s">
        <v>632</v>
      </c>
      <c r="D48" s="138">
        <v>1990000</v>
      </c>
      <c r="E48" s="20" t="s">
        <v>348</v>
      </c>
      <c r="F48" s="20" t="s">
        <v>469</v>
      </c>
      <c r="G48" s="8" t="str">
        <f t="shared" si="0"/>
        <v>DAVIS WENDY</v>
      </c>
    </row>
    <row r="49" spans="1:7" x14ac:dyDescent="0.25">
      <c r="A49" s="8">
        <v>42980.320775462962</v>
      </c>
      <c r="B49" s="20" t="s">
        <v>564</v>
      </c>
      <c r="C49" s="20" t="s">
        <v>565</v>
      </c>
      <c r="D49" s="138">
        <v>3120000</v>
      </c>
      <c r="E49" s="20" t="s">
        <v>596</v>
      </c>
      <c r="F49" s="20" t="s">
        <v>597</v>
      </c>
      <c r="G49" s="8" t="str">
        <f t="shared" si="0"/>
        <v>THOMPSON LESTER</v>
      </c>
    </row>
    <row r="50" spans="1:7" x14ac:dyDescent="0.25">
      <c r="A50" s="8">
        <v>42980.32885416667</v>
      </c>
      <c r="B50" s="20" t="s">
        <v>494</v>
      </c>
      <c r="C50" s="20" t="s">
        <v>633</v>
      </c>
      <c r="D50" s="138">
        <v>1100000</v>
      </c>
      <c r="E50" s="20" t="s">
        <v>608</v>
      </c>
      <c r="F50" s="20" t="s">
        <v>609</v>
      </c>
      <c r="G50" s="8" t="str">
        <f t="shared" si="0"/>
        <v>GEBRETEKLE DAGNEW</v>
      </c>
    </row>
    <row r="51" spans="1:7" x14ac:dyDescent="0.25">
      <c r="A51" s="8">
        <v>42980.33</v>
      </c>
      <c r="B51" s="20" t="s">
        <v>405</v>
      </c>
      <c r="C51" s="20" t="s">
        <v>634</v>
      </c>
      <c r="D51" s="138">
        <v>2560000</v>
      </c>
      <c r="E51" s="20" t="s">
        <v>501</v>
      </c>
      <c r="F51" s="20" t="s">
        <v>502</v>
      </c>
      <c r="G51" s="8" t="str">
        <f t="shared" si="0"/>
        <v>MACDONALD THOMAS</v>
      </c>
    </row>
    <row r="52" spans="1:7" x14ac:dyDescent="0.25">
      <c r="A52" s="8">
        <v>42980.335347222222</v>
      </c>
      <c r="B52" s="20" t="s">
        <v>497</v>
      </c>
      <c r="C52" s="20" t="s">
        <v>635</v>
      </c>
      <c r="D52" s="138">
        <v>2010000</v>
      </c>
      <c r="E52" s="20" t="s">
        <v>467</v>
      </c>
      <c r="F52" s="20" t="s">
        <v>468</v>
      </c>
      <c r="G52" s="8" t="str">
        <f t="shared" si="0"/>
        <v>MAELZER KURT</v>
      </c>
    </row>
    <row r="53" spans="1:7" x14ac:dyDescent="0.25">
      <c r="A53" s="8">
        <v>42980.339756944442</v>
      </c>
      <c r="B53" s="20" t="s">
        <v>602</v>
      </c>
      <c r="C53" s="20" t="s">
        <v>636</v>
      </c>
      <c r="D53" s="138">
        <v>2530000</v>
      </c>
      <c r="E53" s="20" t="s">
        <v>506</v>
      </c>
      <c r="F53" s="20" t="s">
        <v>507</v>
      </c>
      <c r="G53" s="8" t="str">
        <f t="shared" si="0"/>
        <v>LALONDE GREGORY</v>
      </c>
    </row>
    <row r="54" spans="1:7" x14ac:dyDescent="0.25">
      <c r="A54" s="8">
        <v>42980.34983796296</v>
      </c>
      <c r="B54" s="20" t="s">
        <v>583</v>
      </c>
      <c r="C54" s="20" t="s">
        <v>637</v>
      </c>
      <c r="D54" s="138">
        <v>3040000</v>
      </c>
      <c r="E54" s="20" t="s">
        <v>423</v>
      </c>
      <c r="F54" s="20" t="s">
        <v>424</v>
      </c>
      <c r="G54" s="8" t="str">
        <f t="shared" si="0"/>
        <v>WILLIAMS DONTE</v>
      </c>
    </row>
    <row r="55" spans="1:7" x14ac:dyDescent="0.25">
      <c r="A55" s="8">
        <v>42980.353518518517</v>
      </c>
      <c r="B55" s="20" t="s">
        <v>586</v>
      </c>
      <c r="C55" s="20" t="s">
        <v>638</v>
      </c>
      <c r="D55" s="138">
        <v>3120000</v>
      </c>
      <c r="E55" s="20" t="s">
        <v>596</v>
      </c>
      <c r="F55" s="20" t="s">
        <v>597</v>
      </c>
      <c r="G55" s="8" t="str">
        <f t="shared" si="0"/>
        <v>THOMPSON LESTER</v>
      </c>
    </row>
    <row r="56" spans="1:7" x14ac:dyDescent="0.25">
      <c r="A56" s="8">
        <v>42980.354155092595</v>
      </c>
      <c r="B56" s="20" t="s">
        <v>393</v>
      </c>
      <c r="C56" s="20" t="s">
        <v>567</v>
      </c>
      <c r="D56" s="138">
        <v>3090000</v>
      </c>
      <c r="E56" s="20" t="s">
        <v>409</v>
      </c>
      <c r="F56" s="20" t="s">
        <v>410</v>
      </c>
      <c r="G56" s="8" t="str">
        <f t="shared" si="0"/>
        <v>LAMAR NEKESHA</v>
      </c>
    </row>
    <row r="57" spans="1:7" x14ac:dyDescent="0.25">
      <c r="A57" s="8">
        <v>42980.359513888892</v>
      </c>
      <c r="B57" s="20" t="s">
        <v>495</v>
      </c>
      <c r="C57" s="20" t="s">
        <v>639</v>
      </c>
      <c r="D57" s="138">
        <v>1100000</v>
      </c>
      <c r="E57" s="20" t="s">
        <v>608</v>
      </c>
      <c r="F57" s="20" t="s">
        <v>609</v>
      </c>
      <c r="G57" s="8" t="str">
        <f t="shared" si="0"/>
        <v>GEBRETEKLE DAGNEW</v>
      </c>
    </row>
    <row r="58" spans="1:7" x14ac:dyDescent="0.25">
      <c r="A58" s="8">
        <v>42980.360324074078</v>
      </c>
      <c r="B58" s="20" t="s">
        <v>382</v>
      </c>
      <c r="C58" s="20" t="s">
        <v>568</v>
      </c>
      <c r="D58" s="138">
        <v>1990000</v>
      </c>
      <c r="E58" s="20" t="s">
        <v>348</v>
      </c>
      <c r="F58" s="20" t="s">
        <v>469</v>
      </c>
      <c r="G58" s="8" t="str">
        <f t="shared" si="0"/>
        <v>DAVIS WENDY</v>
      </c>
    </row>
    <row r="59" spans="1:7" x14ac:dyDescent="0.25">
      <c r="A59" s="8">
        <v>42980.362800925926</v>
      </c>
      <c r="B59" s="20" t="s">
        <v>384</v>
      </c>
      <c r="C59" s="20" t="s">
        <v>640</v>
      </c>
      <c r="D59" s="138">
        <v>2560000</v>
      </c>
      <c r="E59" s="20" t="s">
        <v>501</v>
      </c>
      <c r="F59" s="20" t="s">
        <v>502</v>
      </c>
      <c r="G59" s="8" t="str">
        <f t="shared" si="0"/>
        <v>MACDONALD THOMAS</v>
      </c>
    </row>
    <row r="60" spans="1:7" x14ac:dyDescent="0.25">
      <c r="A60" s="8">
        <v>42980.369062500002</v>
      </c>
      <c r="B60" s="20" t="s">
        <v>384</v>
      </c>
      <c r="C60" s="20" t="s">
        <v>640</v>
      </c>
      <c r="D60" s="138">
        <v>2560000</v>
      </c>
      <c r="E60" s="20" t="s">
        <v>501</v>
      </c>
      <c r="F60" s="20" t="s">
        <v>502</v>
      </c>
      <c r="G60" s="8" t="str">
        <f t="shared" si="0"/>
        <v>MACDONALD THOMAS</v>
      </c>
    </row>
    <row r="61" spans="1:7" x14ac:dyDescent="0.25">
      <c r="A61" s="8">
        <v>42980.37027777778</v>
      </c>
      <c r="B61" s="20" t="s">
        <v>510</v>
      </c>
      <c r="C61" s="20" t="s">
        <v>641</v>
      </c>
      <c r="D61" s="138">
        <v>2010000</v>
      </c>
      <c r="E61" s="20" t="s">
        <v>467</v>
      </c>
      <c r="F61" s="20" t="s">
        <v>468</v>
      </c>
      <c r="G61" s="8" t="str">
        <f t="shared" si="0"/>
        <v>MAELZER KURT</v>
      </c>
    </row>
    <row r="62" spans="1:7" x14ac:dyDescent="0.25">
      <c r="A62" s="8">
        <v>42980.370682870373</v>
      </c>
      <c r="B62" s="20" t="s">
        <v>611</v>
      </c>
      <c r="C62" s="20" t="s">
        <v>642</v>
      </c>
      <c r="D62" s="138">
        <v>2530000</v>
      </c>
      <c r="E62" s="20" t="s">
        <v>506</v>
      </c>
      <c r="F62" s="20" t="s">
        <v>507</v>
      </c>
      <c r="G62" s="8" t="str">
        <f t="shared" si="0"/>
        <v>LALONDE GREGORY</v>
      </c>
    </row>
    <row r="63" spans="1:7" x14ac:dyDescent="0.25">
      <c r="A63" s="8">
        <v>42980.374965277777</v>
      </c>
      <c r="B63" s="20" t="s">
        <v>392</v>
      </c>
      <c r="C63" s="20" t="s">
        <v>643</v>
      </c>
      <c r="D63" s="138">
        <v>3090000</v>
      </c>
      <c r="E63" s="20" t="s">
        <v>409</v>
      </c>
      <c r="F63" s="20" t="s">
        <v>410</v>
      </c>
      <c r="G63" s="8" t="str">
        <f t="shared" si="0"/>
        <v>LAMAR NEKESHA</v>
      </c>
    </row>
    <row r="64" spans="1:7" x14ac:dyDescent="0.25">
      <c r="A64" s="26">
        <v>42980.381423611114</v>
      </c>
      <c r="B64" s="20" t="s">
        <v>392</v>
      </c>
      <c r="C64" s="20" t="s">
        <v>643</v>
      </c>
      <c r="D64" s="138">
        <v>3090000</v>
      </c>
      <c r="E64" s="20" t="s">
        <v>409</v>
      </c>
      <c r="F64" s="20" t="s">
        <v>410</v>
      </c>
      <c r="G64" s="8" t="str">
        <f t="shared" si="0"/>
        <v>LAMAR NEKESHA</v>
      </c>
    </row>
    <row r="65" spans="1:7" x14ac:dyDescent="0.25">
      <c r="A65" s="8">
        <v>42980.383009259262</v>
      </c>
      <c r="B65" s="20" t="s">
        <v>392</v>
      </c>
      <c r="C65" s="20" t="s">
        <v>643</v>
      </c>
      <c r="D65" s="138">
        <v>3090000</v>
      </c>
      <c r="E65" s="20" t="s">
        <v>409</v>
      </c>
      <c r="F65" s="20" t="s">
        <v>410</v>
      </c>
      <c r="G65" s="8" t="str">
        <f t="shared" si="0"/>
        <v>LAMAR NEKESHA</v>
      </c>
    </row>
    <row r="66" spans="1:7" x14ac:dyDescent="0.25">
      <c r="A66" s="8">
        <v>42980.383321759262</v>
      </c>
      <c r="B66" s="20" t="s">
        <v>578</v>
      </c>
      <c r="C66" s="20" t="s">
        <v>644</v>
      </c>
      <c r="D66" s="138">
        <v>3040000</v>
      </c>
      <c r="E66" s="20" t="s">
        <v>423</v>
      </c>
      <c r="F66" s="20" t="s">
        <v>424</v>
      </c>
      <c r="G66" s="8" t="str">
        <f t="shared" si="0"/>
        <v>WILLIAMS DONTE</v>
      </c>
    </row>
    <row r="67" spans="1:7" x14ac:dyDescent="0.25">
      <c r="A67" s="8">
        <v>42980.391921296294</v>
      </c>
      <c r="B67" s="20" t="s">
        <v>406</v>
      </c>
      <c r="C67" s="20" t="s">
        <v>601</v>
      </c>
      <c r="D67" s="138">
        <v>3300000</v>
      </c>
      <c r="E67" s="20" t="s">
        <v>504</v>
      </c>
      <c r="F67" s="20" t="s">
        <v>505</v>
      </c>
      <c r="G67" s="8" t="str">
        <f t="shared" ref="G67:G130" si="1">E67&amp;" "&amp;F67</f>
        <v>LANGERAK WILLIAM</v>
      </c>
    </row>
    <row r="68" spans="1:7" x14ac:dyDescent="0.25">
      <c r="A68" s="8">
        <v>42980.39230324074</v>
      </c>
      <c r="B68" s="20" t="s">
        <v>383</v>
      </c>
      <c r="C68" s="20" t="s">
        <v>645</v>
      </c>
      <c r="D68" s="138">
        <v>1990000</v>
      </c>
      <c r="E68" s="20" t="s">
        <v>348</v>
      </c>
      <c r="F68" s="20" t="s">
        <v>469</v>
      </c>
      <c r="G68" s="8" t="str">
        <f t="shared" si="1"/>
        <v>DAVIS WENDY</v>
      </c>
    </row>
    <row r="69" spans="1:7" x14ac:dyDescent="0.25">
      <c r="A69" s="8">
        <v>42980.39261574074</v>
      </c>
      <c r="B69" s="20" t="s">
        <v>392</v>
      </c>
      <c r="C69" s="20" t="s">
        <v>643</v>
      </c>
      <c r="D69" s="138">
        <v>3090000</v>
      </c>
      <c r="E69" s="20" t="s">
        <v>409</v>
      </c>
      <c r="F69" s="20" t="s">
        <v>410</v>
      </c>
      <c r="G69" s="8" t="str">
        <f t="shared" si="1"/>
        <v>LAMAR NEKESHA</v>
      </c>
    </row>
    <row r="70" spans="1:7" x14ac:dyDescent="0.25">
      <c r="A70" s="8">
        <v>42980.392824074072</v>
      </c>
      <c r="B70" s="20" t="s">
        <v>564</v>
      </c>
      <c r="C70" s="20" t="s">
        <v>646</v>
      </c>
      <c r="D70" s="138">
        <v>3120000</v>
      </c>
      <c r="E70" s="20" t="s">
        <v>596</v>
      </c>
      <c r="F70" s="20" t="s">
        <v>597</v>
      </c>
      <c r="G70" s="8" t="str">
        <f t="shared" si="1"/>
        <v>THOMPSON LESTER</v>
      </c>
    </row>
    <row r="71" spans="1:7" x14ac:dyDescent="0.25">
      <c r="A71" s="8">
        <v>42980.396053240744</v>
      </c>
      <c r="B71" s="20" t="s">
        <v>393</v>
      </c>
      <c r="C71" s="20" t="s">
        <v>647</v>
      </c>
      <c r="D71" s="138">
        <v>3090000</v>
      </c>
      <c r="E71" s="20" t="s">
        <v>409</v>
      </c>
      <c r="F71" s="20" t="s">
        <v>410</v>
      </c>
      <c r="G71" s="8" t="str">
        <f t="shared" si="1"/>
        <v>LAMAR NEKESHA</v>
      </c>
    </row>
    <row r="72" spans="1:7" x14ac:dyDescent="0.25">
      <c r="A72" s="8">
        <v>42980.396122685182</v>
      </c>
      <c r="B72" s="20" t="s">
        <v>404</v>
      </c>
      <c r="C72" s="20" t="s">
        <v>601</v>
      </c>
      <c r="D72" s="138">
        <v>3300000</v>
      </c>
      <c r="E72" s="20" t="s">
        <v>504</v>
      </c>
      <c r="F72" s="20" t="s">
        <v>505</v>
      </c>
      <c r="G72" s="8" t="str">
        <f t="shared" si="1"/>
        <v>LANGERAK WILLIAM</v>
      </c>
    </row>
    <row r="73" spans="1:7" x14ac:dyDescent="0.25">
      <c r="A73" s="8">
        <v>42980.402986111112</v>
      </c>
      <c r="B73" s="20" t="s">
        <v>405</v>
      </c>
      <c r="C73" s="20" t="s">
        <v>569</v>
      </c>
      <c r="D73" s="138">
        <v>2560000</v>
      </c>
      <c r="E73" s="20" t="s">
        <v>501</v>
      </c>
      <c r="F73" s="20" t="s">
        <v>502</v>
      </c>
      <c r="G73" s="8" t="str">
        <f t="shared" si="1"/>
        <v>MACDONALD THOMAS</v>
      </c>
    </row>
    <row r="74" spans="1:7" x14ac:dyDescent="0.25">
      <c r="A74" s="8">
        <v>42980.403460648151</v>
      </c>
      <c r="B74" s="20" t="s">
        <v>494</v>
      </c>
      <c r="C74" s="20" t="s">
        <v>648</v>
      </c>
      <c r="D74" s="138">
        <v>1100000</v>
      </c>
      <c r="E74" s="20" t="s">
        <v>608</v>
      </c>
      <c r="F74" s="20" t="s">
        <v>609</v>
      </c>
      <c r="G74" s="8" t="str">
        <f t="shared" si="1"/>
        <v>GEBRETEKLE DAGNEW</v>
      </c>
    </row>
    <row r="75" spans="1:7" x14ac:dyDescent="0.25">
      <c r="A75" s="8">
        <v>42980.411041666666</v>
      </c>
      <c r="B75" s="20" t="s">
        <v>497</v>
      </c>
      <c r="C75" s="20" t="s">
        <v>649</v>
      </c>
      <c r="D75" s="138">
        <v>2010000</v>
      </c>
      <c r="E75" s="20" t="s">
        <v>467</v>
      </c>
      <c r="F75" s="20" t="s">
        <v>468</v>
      </c>
      <c r="G75" s="8" t="str">
        <f t="shared" si="1"/>
        <v>MAELZER KURT</v>
      </c>
    </row>
    <row r="76" spans="1:7" x14ac:dyDescent="0.25">
      <c r="A76" s="8">
        <v>42980.413356481484</v>
      </c>
      <c r="B76" s="20" t="s">
        <v>602</v>
      </c>
      <c r="C76" s="20" t="s">
        <v>650</v>
      </c>
      <c r="D76" s="138">
        <v>2530000</v>
      </c>
      <c r="E76" s="20" t="s">
        <v>506</v>
      </c>
      <c r="F76" s="20" t="s">
        <v>507</v>
      </c>
      <c r="G76" s="8" t="str">
        <f t="shared" si="1"/>
        <v>LALONDE GREGORY</v>
      </c>
    </row>
    <row r="77" spans="1:7" x14ac:dyDescent="0.25">
      <c r="A77" s="8">
        <v>42980.418900462966</v>
      </c>
      <c r="B77" s="20" t="s">
        <v>406</v>
      </c>
      <c r="C77" s="20" t="s">
        <v>651</v>
      </c>
      <c r="D77" s="138">
        <v>3090000</v>
      </c>
      <c r="E77" s="20" t="s">
        <v>409</v>
      </c>
      <c r="F77" s="20" t="s">
        <v>410</v>
      </c>
      <c r="G77" s="8" t="str">
        <f t="shared" si="1"/>
        <v>LAMAR NEKESHA</v>
      </c>
    </row>
    <row r="78" spans="1:7" x14ac:dyDescent="0.25">
      <c r="A78" s="8">
        <v>42980.420995370368</v>
      </c>
      <c r="B78" s="20" t="s">
        <v>583</v>
      </c>
      <c r="C78" s="20" t="s">
        <v>652</v>
      </c>
      <c r="D78" s="138">
        <v>3040000</v>
      </c>
      <c r="E78" s="20" t="s">
        <v>423</v>
      </c>
      <c r="F78" s="20" t="s">
        <v>424</v>
      </c>
      <c r="G78" s="8" t="str">
        <f t="shared" si="1"/>
        <v>WILLIAMS DONTE</v>
      </c>
    </row>
    <row r="79" spans="1:7" x14ac:dyDescent="0.25">
      <c r="A79" s="8">
        <v>42980.424201388887</v>
      </c>
      <c r="B79" s="20" t="s">
        <v>586</v>
      </c>
      <c r="C79" s="20" t="s">
        <v>653</v>
      </c>
      <c r="D79" s="138">
        <v>2470000</v>
      </c>
      <c r="E79" s="20" t="s">
        <v>654</v>
      </c>
      <c r="F79" s="20" t="s">
        <v>655</v>
      </c>
      <c r="G79" s="8" t="str">
        <f t="shared" si="1"/>
        <v>ROMERO CHAD</v>
      </c>
    </row>
    <row r="80" spans="1:7" x14ac:dyDescent="0.25">
      <c r="A80" s="8">
        <v>42980.431840277779</v>
      </c>
      <c r="B80" s="20" t="s">
        <v>495</v>
      </c>
      <c r="C80" s="20" t="s">
        <v>570</v>
      </c>
      <c r="D80" s="138">
        <v>1100000</v>
      </c>
      <c r="E80" s="20" t="s">
        <v>608</v>
      </c>
      <c r="F80" s="20" t="s">
        <v>609</v>
      </c>
      <c r="G80" s="8" t="str">
        <f t="shared" si="1"/>
        <v>GEBRETEKLE DAGNEW</v>
      </c>
    </row>
    <row r="81" spans="1:7" x14ac:dyDescent="0.25">
      <c r="A81" s="8">
        <v>42980.432175925926</v>
      </c>
      <c r="B81" s="20" t="s">
        <v>382</v>
      </c>
      <c r="C81" s="20" t="s">
        <v>656</v>
      </c>
      <c r="D81" s="138">
        <v>1990000</v>
      </c>
      <c r="E81" s="20" t="s">
        <v>348</v>
      </c>
      <c r="F81" s="20" t="s">
        <v>469</v>
      </c>
      <c r="G81" s="8" t="str">
        <f t="shared" si="1"/>
        <v>DAVIS WENDY</v>
      </c>
    </row>
    <row r="82" spans="1:7" x14ac:dyDescent="0.25">
      <c r="A82" s="8">
        <v>42980.435763888891</v>
      </c>
      <c r="B82" s="20" t="s">
        <v>384</v>
      </c>
      <c r="C82" s="20" t="s">
        <v>571</v>
      </c>
      <c r="D82" s="138">
        <v>2560000</v>
      </c>
      <c r="E82" s="20" t="s">
        <v>501</v>
      </c>
      <c r="F82" s="20" t="s">
        <v>502</v>
      </c>
      <c r="G82" s="8" t="str">
        <f t="shared" si="1"/>
        <v>MACDONALD THOMAS</v>
      </c>
    </row>
    <row r="83" spans="1:7" x14ac:dyDescent="0.25">
      <c r="A83" s="8">
        <v>42980.442037037035</v>
      </c>
      <c r="B83" s="20" t="s">
        <v>404</v>
      </c>
      <c r="C83" s="20" t="s">
        <v>572</v>
      </c>
      <c r="D83" s="138">
        <v>3090000</v>
      </c>
      <c r="E83" s="20" t="s">
        <v>409</v>
      </c>
      <c r="F83" s="20" t="s">
        <v>410</v>
      </c>
      <c r="G83" s="8" t="str">
        <f t="shared" si="1"/>
        <v>LAMAR NEKESHA</v>
      </c>
    </row>
    <row r="84" spans="1:7" x14ac:dyDescent="0.25">
      <c r="A84" s="8">
        <v>42980.443506944444</v>
      </c>
      <c r="B84" s="20" t="s">
        <v>611</v>
      </c>
      <c r="C84" s="20" t="s">
        <v>657</v>
      </c>
      <c r="D84" s="138">
        <v>2530000</v>
      </c>
      <c r="E84" s="20" t="s">
        <v>506</v>
      </c>
      <c r="F84" s="20" t="s">
        <v>507</v>
      </c>
      <c r="G84" s="8" t="str">
        <f t="shared" si="1"/>
        <v>LALONDE GREGORY</v>
      </c>
    </row>
    <row r="85" spans="1:7" x14ac:dyDescent="0.25">
      <c r="A85" s="8">
        <v>42980.445185185185</v>
      </c>
      <c r="B85" s="20" t="s">
        <v>510</v>
      </c>
      <c r="C85" s="20" t="s">
        <v>573</v>
      </c>
      <c r="D85" s="138">
        <v>1770000</v>
      </c>
      <c r="E85" s="20" t="s">
        <v>446</v>
      </c>
      <c r="F85" s="20" t="s">
        <v>447</v>
      </c>
      <c r="G85" s="8" t="str">
        <f t="shared" si="1"/>
        <v>BRUDER RICHARD</v>
      </c>
    </row>
    <row r="86" spans="1:7" x14ac:dyDescent="0.25">
      <c r="A86" s="8">
        <v>42980.452719907407</v>
      </c>
      <c r="B86" s="20" t="s">
        <v>564</v>
      </c>
      <c r="C86" s="20" t="s">
        <v>658</v>
      </c>
      <c r="D86" s="138">
        <v>2470000</v>
      </c>
      <c r="E86" s="20" t="s">
        <v>654</v>
      </c>
      <c r="F86" s="20" t="s">
        <v>655</v>
      </c>
      <c r="G86" s="8" t="str">
        <f t="shared" si="1"/>
        <v>ROMERO CHAD</v>
      </c>
    </row>
    <row r="87" spans="1:7" x14ac:dyDescent="0.25">
      <c r="A87" s="8">
        <v>42980.45449074074</v>
      </c>
      <c r="B87" s="20" t="s">
        <v>578</v>
      </c>
      <c r="C87" s="20" t="s">
        <v>659</v>
      </c>
      <c r="D87" s="138">
        <v>3040000</v>
      </c>
      <c r="E87" s="20" t="s">
        <v>423</v>
      </c>
      <c r="F87" s="20" t="s">
        <v>424</v>
      </c>
      <c r="G87" s="8" t="str">
        <f t="shared" si="1"/>
        <v>WILLIAMS DONTE</v>
      </c>
    </row>
    <row r="88" spans="1:7" x14ac:dyDescent="0.25">
      <c r="A88" s="8">
        <v>42980.463599537034</v>
      </c>
      <c r="B88" s="20" t="s">
        <v>406</v>
      </c>
      <c r="C88" s="20" t="s">
        <v>660</v>
      </c>
      <c r="D88" s="138">
        <v>3090000</v>
      </c>
      <c r="E88" s="20" t="s">
        <v>409</v>
      </c>
      <c r="F88" s="20" t="s">
        <v>410</v>
      </c>
      <c r="G88" s="8" t="str">
        <f t="shared" si="1"/>
        <v>LAMAR NEKESHA</v>
      </c>
    </row>
    <row r="89" spans="1:7" x14ac:dyDescent="0.25">
      <c r="A89" s="8">
        <v>42980.465254629627</v>
      </c>
      <c r="B89" s="20" t="s">
        <v>383</v>
      </c>
      <c r="C89" s="20" t="s">
        <v>661</v>
      </c>
      <c r="D89" s="138">
        <v>920000</v>
      </c>
      <c r="E89" s="20" t="s">
        <v>348</v>
      </c>
      <c r="F89" s="20" t="s">
        <v>191</v>
      </c>
      <c r="G89" s="8" t="str">
        <f t="shared" si="1"/>
        <v>DAVIS MICHAEL</v>
      </c>
    </row>
    <row r="90" spans="1:7" x14ac:dyDescent="0.25">
      <c r="A90" s="8">
        <v>42980.475844907407</v>
      </c>
      <c r="B90" s="20" t="s">
        <v>404</v>
      </c>
      <c r="C90" s="20" t="s">
        <v>574</v>
      </c>
      <c r="D90" s="138">
        <v>3090000</v>
      </c>
      <c r="E90" s="20" t="s">
        <v>409</v>
      </c>
      <c r="F90" s="20" t="s">
        <v>410</v>
      </c>
      <c r="G90" s="8" t="str">
        <f t="shared" si="1"/>
        <v>LAMAR NEKESHA</v>
      </c>
    </row>
    <row r="91" spans="1:7" x14ac:dyDescent="0.25">
      <c r="A91" s="8">
        <v>42980.476273148146</v>
      </c>
      <c r="B91" s="20" t="s">
        <v>405</v>
      </c>
      <c r="C91" s="20" t="s">
        <v>662</v>
      </c>
      <c r="D91" s="138">
        <v>2560000</v>
      </c>
      <c r="E91" s="20" t="s">
        <v>501</v>
      </c>
      <c r="F91" s="20" t="s">
        <v>502</v>
      </c>
      <c r="G91" s="8" t="str">
        <f t="shared" si="1"/>
        <v>MACDONALD THOMAS</v>
      </c>
    </row>
    <row r="92" spans="1:7" x14ac:dyDescent="0.25">
      <c r="A92" s="8">
        <v>42980.476400462961</v>
      </c>
      <c r="B92" s="20" t="s">
        <v>494</v>
      </c>
      <c r="C92" s="20" t="s">
        <v>663</v>
      </c>
      <c r="D92" s="138">
        <v>2630000</v>
      </c>
      <c r="E92" s="20" t="s">
        <v>508</v>
      </c>
      <c r="F92" s="20" t="s">
        <v>509</v>
      </c>
      <c r="G92" s="8" t="str">
        <f t="shared" si="1"/>
        <v>SAFIEF AEIMEN</v>
      </c>
    </row>
    <row r="93" spans="1:7" x14ac:dyDescent="0.25">
      <c r="A93" s="8">
        <v>42980.484953703701</v>
      </c>
      <c r="B93" s="20" t="s">
        <v>497</v>
      </c>
      <c r="C93" s="20" t="s">
        <v>664</v>
      </c>
      <c r="D93" s="138">
        <v>1770000</v>
      </c>
      <c r="E93" s="20" t="s">
        <v>446</v>
      </c>
      <c r="F93" s="20" t="s">
        <v>447</v>
      </c>
      <c r="G93" s="8" t="str">
        <f t="shared" si="1"/>
        <v>BRUDER RICHARD</v>
      </c>
    </row>
    <row r="94" spans="1:7" x14ac:dyDescent="0.25">
      <c r="A94" s="8">
        <v>42980.486307870371</v>
      </c>
      <c r="B94" s="20" t="s">
        <v>583</v>
      </c>
      <c r="C94" s="20" t="s">
        <v>665</v>
      </c>
      <c r="D94" s="138">
        <v>3040000</v>
      </c>
      <c r="E94" s="20" t="s">
        <v>423</v>
      </c>
      <c r="F94" s="20" t="s">
        <v>424</v>
      </c>
      <c r="G94" s="8" t="str">
        <f t="shared" si="1"/>
        <v>WILLIAMS DONTE</v>
      </c>
    </row>
    <row r="95" spans="1:7" x14ac:dyDescent="0.25">
      <c r="A95" s="8">
        <v>42980.487962962965</v>
      </c>
      <c r="B95" s="20" t="s">
        <v>602</v>
      </c>
      <c r="C95" s="20" t="s">
        <v>666</v>
      </c>
      <c r="D95" s="138">
        <v>2970000</v>
      </c>
      <c r="E95" s="20" t="s">
        <v>667</v>
      </c>
      <c r="F95" s="20" t="s">
        <v>668</v>
      </c>
      <c r="G95" s="8" t="str">
        <f t="shared" si="1"/>
        <v>GUZMAN DANNY</v>
      </c>
    </row>
    <row r="96" spans="1:7" x14ac:dyDescent="0.25">
      <c r="A96" s="8">
        <v>42980.497349537036</v>
      </c>
      <c r="B96" s="20" t="s">
        <v>586</v>
      </c>
      <c r="C96" s="20" t="s">
        <v>669</v>
      </c>
      <c r="D96" s="138">
        <v>2370000</v>
      </c>
      <c r="E96" s="20" t="s">
        <v>474</v>
      </c>
      <c r="F96" s="20" t="s">
        <v>475</v>
      </c>
      <c r="G96" s="8" t="str">
        <f t="shared" si="1"/>
        <v>DELGADO DIANAH</v>
      </c>
    </row>
    <row r="97" spans="1:7" x14ac:dyDescent="0.25">
      <c r="A97" s="8">
        <v>42980.50309027778</v>
      </c>
      <c r="B97" s="20" t="s">
        <v>406</v>
      </c>
      <c r="C97" s="20" t="s">
        <v>670</v>
      </c>
      <c r="D97" s="138">
        <v>3090000</v>
      </c>
      <c r="E97" s="20" t="s">
        <v>409</v>
      </c>
      <c r="F97" s="20" t="s">
        <v>410</v>
      </c>
      <c r="G97" s="8" t="str">
        <f t="shared" si="1"/>
        <v>LAMAR NEKESHA</v>
      </c>
    </row>
    <row r="98" spans="1:7" x14ac:dyDescent="0.25">
      <c r="A98" s="8">
        <v>42980.507395833331</v>
      </c>
      <c r="B98" s="20" t="s">
        <v>384</v>
      </c>
      <c r="C98" s="20" t="s">
        <v>671</v>
      </c>
      <c r="D98" s="138">
        <v>1740000</v>
      </c>
      <c r="E98" s="20" t="s">
        <v>476</v>
      </c>
      <c r="F98" s="20" t="s">
        <v>477</v>
      </c>
      <c r="G98" s="8" t="str">
        <f t="shared" si="1"/>
        <v>STORY SAMANTHA</v>
      </c>
    </row>
    <row r="99" spans="1:7" x14ac:dyDescent="0.25">
      <c r="A99" s="8">
        <v>42980.508067129631</v>
      </c>
      <c r="B99" s="20" t="s">
        <v>382</v>
      </c>
      <c r="C99" s="20" t="s">
        <v>672</v>
      </c>
      <c r="D99" s="138">
        <v>920000</v>
      </c>
      <c r="E99" s="20" t="s">
        <v>348</v>
      </c>
      <c r="F99" s="20" t="s">
        <v>191</v>
      </c>
      <c r="G99" s="8" t="str">
        <f t="shared" si="1"/>
        <v>DAVIS MICHAEL</v>
      </c>
    </row>
    <row r="100" spans="1:7" x14ac:dyDescent="0.25">
      <c r="A100" s="8">
        <v>42980.511180555557</v>
      </c>
      <c r="B100" s="20" t="s">
        <v>495</v>
      </c>
      <c r="C100" s="20" t="s">
        <v>673</v>
      </c>
      <c r="D100" s="138">
        <v>2630000</v>
      </c>
      <c r="E100" s="20" t="s">
        <v>508</v>
      </c>
      <c r="F100" s="20" t="s">
        <v>509</v>
      </c>
      <c r="G100" s="8" t="str">
        <f t="shared" si="1"/>
        <v>SAFIEF AEIMEN</v>
      </c>
    </row>
    <row r="101" spans="1:7" x14ac:dyDescent="0.25">
      <c r="A101" s="8">
        <v>42980.516331018516</v>
      </c>
      <c r="B101" s="20" t="s">
        <v>580</v>
      </c>
      <c r="C101" s="20" t="s">
        <v>674</v>
      </c>
      <c r="D101" s="138">
        <v>2540000</v>
      </c>
      <c r="E101" s="20" t="s">
        <v>675</v>
      </c>
      <c r="F101" s="20" t="s">
        <v>676</v>
      </c>
      <c r="G101" s="8" t="str">
        <f t="shared" si="1"/>
        <v>MCREYNOLDS KYLE</v>
      </c>
    </row>
    <row r="102" spans="1:7" x14ac:dyDescent="0.25">
      <c r="A102" s="8">
        <v>42980.516388888886</v>
      </c>
      <c r="B102" s="20" t="s">
        <v>611</v>
      </c>
      <c r="C102" s="20" t="s">
        <v>677</v>
      </c>
      <c r="D102" s="138">
        <v>2970000</v>
      </c>
      <c r="E102" s="20" t="s">
        <v>667</v>
      </c>
      <c r="F102" s="20" t="s">
        <v>668</v>
      </c>
      <c r="G102" s="8" t="str">
        <f t="shared" si="1"/>
        <v>GUZMAN DANNY</v>
      </c>
    </row>
    <row r="103" spans="1:7" x14ac:dyDescent="0.25">
      <c r="A103" s="8">
        <v>42980.516979166663</v>
      </c>
      <c r="B103" s="20" t="s">
        <v>510</v>
      </c>
      <c r="C103" s="20" t="s">
        <v>678</v>
      </c>
      <c r="D103" s="138">
        <v>1770000</v>
      </c>
      <c r="E103" s="20" t="s">
        <v>446</v>
      </c>
      <c r="F103" s="20" t="s">
        <v>447</v>
      </c>
      <c r="G103" s="8" t="str">
        <f t="shared" si="1"/>
        <v>BRUDER RICHARD</v>
      </c>
    </row>
    <row r="104" spans="1:7" x14ac:dyDescent="0.25">
      <c r="A104" s="8">
        <v>42980.51761574074</v>
      </c>
      <c r="B104" s="20" t="s">
        <v>404</v>
      </c>
      <c r="C104" s="20" t="s">
        <v>679</v>
      </c>
      <c r="D104" s="138">
        <v>3090000</v>
      </c>
      <c r="E104" s="20" t="s">
        <v>409</v>
      </c>
      <c r="F104" s="20" t="s">
        <v>410</v>
      </c>
      <c r="G104" s="8" t="str">
        <f t="shared" si="1"/>
        <v>LAMAR NEKESHA</v>
      </c>
    </row>
    <row r="105" spans="1:7" x14ac:dyDescent="0.25">
      <c r="A105" s="8">
        <v>42980.519490740742</v>
      </c>
      <c r="B105" s="20" t="s">
        <v>463</v>
      </c>
      <c r="C105" s="20" t="s">
        <v>674</v>
      </c>
      <c r="D105" s="138">
        <v>2540000</v>
      </c>
      <c r="E105" s="20" t="s">
        <v>675</v>
      </c>
      <c r="F105" s="20" t="s">
        <v>676</v>
      </c>
      <c r="G105" s="8" t="str">
        <f t="shared" si="1"/>
        <v>MCREYNOLDS KYLE</v>
      </c>
    </row>
    <row r="106" spans="1:7" x14ac:dyDescent="0.25">
      <c r="A106" s="8">
        <v>42980.524409722224</v>
      </c>
      <c r="B106" s="20" t="s">
        <v>580</v>
      </c>
      <c r="C106" s="20" t="s">
        <v>680</v>
      </c>
      <c r="D106" s="138">
        <v>2420000</v>
      </c>
      <c r="E106" s="20" t="s">
        <v>511</v>
      </c>
      <c r="F106" s="20" t="s">
        <v>512</v>
      </c>
      <c r="G106" s="8" t="str">
        <f t="shared" si="1"/>
        <v>HOLCOMB KAMDEN</v>
      </c>
    </row>
    <row r="107" spans="1:7" x14ac:dyDescent="0.25">
      <c r="A107" s="8">
        <v>42980.526469907411</v>
      </c>
      <c r="B107" s="20" t="s">
        <v>392</v>
      </c>
      <c r="C107" s="20" t="s">
        <v>575</v>
      </c>
      <c r="D107" s="138">
        <v>2540000</v>
      </c>
      <c r="E107" s="20" t="s">
        <v>675</v>
      </c>
      <c r="F107" s="20" t="s">
        <v>676</v>
      </c>
      <c r="G107" s="8" t="str">
        <f t="shared" si="1"/>
        <v>MCREYNOLDS KYLE</v>
      </c>
    </row>
    <row r="108" spans="1:7" x14ac:dyDescent="0.25">
      <c r="A108" s="8">
        <v>42980.528321759259</v>
      </c>
      <c r="B108" s="20" t="s">
        <v>578</v>
      </c>
      <c r="C108" s="20" t="s">
        <v>681</v>
      </c>
      <c r="D108" s="138">
        <v>2440000</v>
      </c>
      <c r="E108" s="20" t="s">
        <v>682</v>
      </c>
      <c r="F108" s="20" t="s">
        <v>683</v>
      </c>
      <c r="G108" s="8" t="str">
        <f t="shared" si="1"/>
        <v>LOPES KIMBERLY</v>
      </c>
    </row>
    <row r="109" spans="1:7" x14ac:dyDescent="0.25">
      <c r="A109" s="8">
        <v>42980.530393518522</v>
      </c>
      <c r="B109" s="20" t="s">
        <v>393</v>
      </c>
      <c r="C109" s="20" t="s">
        <v>575</v>
      </c>
      <c r="D109" s="138">
        <v>2540000</v>
      </c>
      <c r="E109" s="20" t="s">
        <v>675</v>
      </c>
      <c r="F109" s="20" t="s">
        <v>676</v>
      </c>
      <c r="G109" s="8" t="str">
        <f t="shared" si="1"/>
        <v>MCREYNOLDS KYLE</v>
      </c>
    </row>
    <row r="110" spans="1:7" x14ac:dyDescent="0.25">
      <c r="A110" s="8">
        <v>42980.531990740739</v>
      </c>
      <c r="B110" s="20" t="s">
        <v>564</v>
      </c>
      <c r="C110" s="20" t="s">
        <v>684</v>
      </c>
      <c r="D110" s="138">
        <v>2370000</v>
      </c>
      <c r="E110" s="20" t="s">
        <v>474</v>
      </c>
      <c r="F110" s="20" t="s">
        <v>475</v>
      </c>
      <c r="G110" s="8" t="str">
        <f t="shared" si="1"/>
        <v>DELGADO DIANAH</v>
      </c>
    </row>
    <row r="111" spans="1:7" x14ac:dyDescent="0.25">
      <c r="A111" s="8">
        <v>42980.533796296295</v>
      </c>
      <c r="B111" s="20" t="s">
        <v>583</v>
      </c>
      <c r="C111" s="20" t="s">
        <v>681</v>
      </c>
      <c r="D111" s="138">
        <v>2440000</v>
      </c>
      <c r="E111" s="20" t="s">
        <v>682</v>
      </c>
      <c r="F111" s="20" t="s">
        <v>683</v>
      </c>
      <c r="G111" s="8" t="str">
        <f t="shared" si="1"/>
        <v>LOPES KIMBERLY</v>
      </c>
    </row>
    <row r="112" spans="1:7" x14ac:dyDescent="0.25">
      <c r="A112" s="8">
        <v>42980.534421296295</v>
      </c>
      <c r="B112" s="20" t="s">
        <v>583</v>
      </c>
      <c r="C112" s="20" t="s">
        <v>681</v>
      </c>
      <c r="D112" s="138">
        <v>2440000</v>
      </c>
      <c r="E112" s="20" t="s">
        <v>682</v>
      </c>
      <c r="F112" s="20" t="s">
        <v>683</v>
      </c>
      <c r="G112" s="8" t="str">
        <f t="shared" si="1"/>
        <v>LOPES KIMBERLY</v>
      </c>
    </row>
    <row r="113" spans="1:7" x14ac:dyDescent="0.25">
      <c r="A113" s="8">
        <v>42980.540891203702</v>
      </c>
      <c r="B113" s="20" t="s">
        <v>406</v>
      </c>
      <c r="C113" s="20" t="s">
        <v>685</v>
      </c>
      <c r="D113" s="138">
        <v>3090000</v>
      </c>
      <c r="E113" s="20" t="s">
        <v>409</v>
      </c>
      <c r="F113" s="20" t="s">
        <v>410</v>
      </c>
      <c r="G113" s="8" t="str">
        <f t="shared" si="1"/>
        <v>LAMAR NEKESHA</v>
      </c>
    </row>
    <row r="114" spans="1:7" x14ac:dyDescent="0.25">
      <c r="A114" s="8">
        <v>42980.541516203702</v>
      </c>
      <c r="B114" s="20" t="s">
        <v>383</v>
      </c>
      <c r="C114" s="20" t="s">
        <v>686</v>
      </c>
      <c r="D114" s="138">
        <v>920000</v>
      </c>
      <c r="E114" s="20" t="s">
        <v>348</v>
      </c>
      <c r="F114" s="20" t="s">
        <v>191</v>
      </c>
      <c r="G114" s="8" t="str">
        <f t="shared" si="1"/>
        <v>DAVIS MICHAEL</v>
      </c>
    </row>
    <row r="115" spans="1:7" x14ac:dyDescent="0.25">
      <c r="A115" s="8">
        <v>42980.547210648147</v>
      </c>
      <c r="B115" s="20" t="s">
        <v>494</v>
      </c>
      <c r="C115" s="20" t="s">
        <v>687</v>
      </c>
      <c r="D115" s="138">
        <v>2630000</v>
      </c>
      <c r="E115" s="20" t="s">
        <v>508</v>
      </c>
      <c r="F115" s="20" t="s">
        <v>509</v>
      </c>
      <c r="G115" s="8" t="str">
        <f t="shared" si="1"/>
        <v>SAFIEF AEIMEN</v>
      </c>
    </row>
    <row r="116" spans="1:7" x14ac:dyDescent="0.25">
      <c r="A116" s="8">
        <v>42980.547523148147</v>
      </c>
      <c r="B116" s="20" t="s">
        <v>405</v>
      </c>
      <c r="C116" s="20" t="s">
        <v>576</v>
      </c>
      <c r="D116" s="138">
        <v>1740000</v>
      </c>
      <c r="E116" s="20" t="s">
        <v>476</v>
      </c>
      <c r="F116" s="20" t="s">
        <v>477</v>
      </c>
      <c r="G116" s="8" t="str">
        <f t="shared" si="1"/>
        <v>STORY SAMANTHA</v>
      </c>
    </row>
    <row r="117" spans="1:7" x14ac:dyDescent="0.25">
      <c r="A117" s="8">
        <v>42980.558541666665</v>
      </c>
      <c r="B117" s="20" t="s">
        <v>497</v>
      </c>
      <c r="C117" s="20" t="s">
        <v>688</v>
      </c>
      <c r="D117" s="138">
        <v>1770000</v>
      </c>
      <c r="E117" s="20" t="s">
        <v>446</v>
      </c>
      <c r="F117" s="20" t="s">
        <v>447</v>
      </c>
      <c r="G117" s="8" t="str">
        <f t="shared" si="1"/>
        <v>BRUDER RICHARD</v>
      </c>
    </row>
    <row r="118" spans="1:7" x14ac:dyDescent="0.25">
      <c r="A118" s="8">
        <v>42980.558877314812</v>
      </c>
      <c r="B118" s="20" t="s">
        <v>602</v>
      </c>
      <c r="C118" s="20" t="s">
        <v>689</v>
      </c>
      <c r="D118" s="138">
        <v>2970000</v>
      </c>
      <c r="E118" s="20" t="s">
        <v>667</v>
      </c>
      <c r="F118" s="20" t="s">
        <v>668</v>
      </c>
      <c r="G118" s="8" t="str">
        <f t="shared" si="1"/>
        <v>GUZMAN DANNY</v>
      </c>
    </row>
    <row r="119" spans="1:7" x14ac:dyDescent="0.25">
      <c r="A119" s="8">
        <v>42980.559571759259</v>
      </c>
      <c r="B119" s="20" t="s">
        <v>404</v>
      </c>
      <c r="C119" s="20" t="s">
        <v>690</v>
      </c>
      <c r="D119" s="138">
        <v>3090000</v>
      </c>
      <c r="E119" s="20" t="s">
        <v>409</v>
      </c>
      <c r="F119" s="20" t="s">
        <v>410</v>
      </c>
      <c r="G119" s="8" t="str">
        <f t="shared" si="1"/>
        <v>LAMAR NEKESHA</v>
      </c>
    </row>
    <row r="120" spans="1:7" x14ac:dyDescent="0.25">
      <c r="A120" s="8">
        <v>42980.568541666667</v>
      </c>
      <c r="B120" s="20" t="s">
        <v>586</v>
      </c>
      <c r="C120" s="20" t="s">
        <v>691</v>
      </c>
      <c r="D120" s="138">
        <v>2370000</v>
      </c>
      <c r="E120" s="20" t="s">
        <v>474</v>
      </c>
      <c r="F120" s="20" t="s">
        <v>475</v>
      </c>
      <c r="G120" s="8" t="str">
        <f t="shared" si="1"/>
        <v>DELGADO DIANAH</v>
      </c>
    </row>
    <row r="121" spans="1:7" x14ac:dyDescent="0.25">
      <c r="A121" s="8">
        <v>42980.568888888891</v>
      </c>
      <c r="B121" s="20" t="s">
        <v>463</v>
      </c>
      <c r="C121" s="20" t="s">
        <v>577</v>
      </c>
      <c r="D121" s="138">
        <v>2420000</v>
      </c>
      <c r="E121" s="20" t="s">
        <v>511</v>
      </c>
      <c r="F121" s="20" t="s">
        <v>512</v>
      </c>
      <c r="G121" s="8" t="str">
        <f t="shared" si="1"/>
        <v>HOLCOMB KAMDEN</v>
      </c>
    </row>
    <row r="122" spans="1:7" x14ac:dyDescent="0.25">
      <c r="A122" s="8">
        <v>42980.578449074077</v>
      </c>
      <c r="B122" s="25" t="s">
        <v>384</v>
      </c>
      <c r="C122" s="20" t="s">
        <v>579</v>
      </c>
      <c r="D122" s="138">
        <v>1740000</v>
      </c>
      <c r="E122" s="20" t="s">
        <v>476</v>
      </c>
      <c r="F122" s="20" t="s">
        <v>477</v>
      </c>
      <c r="G122" s="8" t="str">
        <f t="shared" si="1"/>
        <v>STORY SAMANTHA</v>
      </c>
    </row>
    <row r="123" spans="1:7" x14ac:dyDescent="0.25">
      <c r="A123" s="8">
        <v>42980.57980324074</v>
      </c>
      <c r="B123" s="20" t="s">
        <v>382</v>
      </c>
      <c r="C123" s="20" t="s">
        <v>692</v>
      </c>
      <c r="D123" s="138">
        <v>920000</v>
      </c>
      <c r="E123" s="20" t="s">
        <v>348</v>
      </c>
      <c r="F123" s="20" t="s">
        <v>191</v>
      </c>
      <c r="G123" s="8" t="str">
        <f t="shared" si="1"/>
        <v>DAVIS MICHAEL</v>
      </c>
    </row>
    <row r="124" spans="1:7" x14ac:dyDescent="0.25">
      <c r="A124" s="8">
        <v>42980.583854166667</v>
      </c>
      <c r="B124" s="20" t="s">
        <v>495</v>
      </c>
      <c r="C124" s="20" t="s">
        <v>693</v>
      </c>
      <c r="D124" s="138">
        <v>2630000</v>
      </c>
      <c r="E124" s="20" t="s">
        <v>508</v>
      </c>
      <c r="F124" s="20" t="s">
        <v>509</v>
      </c>
      <c r="G124" s="8" t="str">
        <f t="shared" si="1"/>
        <v>SAFIEF AEIMEN</v>
      </c>
    </row>
    <row r="125" spans="1:7" x14ac:dyDescent="0.25">
      <c r="A125" s="8">
        <v>42980.58390046296</v>
      </c>
      <c r="B125" s="20" t="s">
        <v>406</v>
      </c>
      <c r="C125" s="20" t="s">
        <v>694</v>
      </c>
      <c r="D125" s="138">
        <v>2230000</v>
      </c>
      <c r="E125" s="20" t="s">
        <v>695</v>
      </c>
      <c r="F125" s="20" t="s">
        <v>191</v>
      </c>
      <c r="G125" s="8" t="str">
        <f t="shared" si="1"/>
        <v>SMITH MICHAEL</v>
      </c>
    </row>
    <row r="126" spans="1:7" x14ac:dyDescent="0.25">
      <c r="A126" s="8">
        <v>42980.58452546296</v>
      </c>
      <c r="B126" s="20" t="s">
        <v>578</v>
      </c>
      <c r="C126" s="20" t="s">
        <v>579</v>
      </c>
      <c r="D126" s="138">
        <v>1740000</v>
      </c>
      <c r="E126" s="20" t="s">
        <v>476</v>
      </c>
      <c r="F126" s="20" t="s">
        <v>477</v>
      </c>
      <c r="G126" s="8" t="str">
        <f t="shared" si="1"/>
        <v>STORY SAMANTHA</v>
      </c>
    </row>
    <row r="127" spans="1:7" x14ac:dyDescent="0.25">
      <c r="A127" s="8">
        <v>42980.585104166668</v>
      </c>
      <c r="B127" s="20" t="s">
        <v>578</v>
      </c>
      <c r="C127" s="20" t="s">
        <v>579</v>
      </c>
      <c r="D127" s="138">
        <v>1740000</v>
      </c>
      <c r="E127" s="20" t="s">
        <v>476</v>
      </c>
      <c r="F127" s="20" t="s">
        <v>477</v>
      </c>
      <c r="G127" s="8" t="str">
        <f t="shared" si="1"/>
        <v>STORY SAMANTHA</v>
      </c>
    </row>
    <row r="128" spans="1:7" x14ac:dyDescent="0.25">
      <c r="A128" s="8">
        <v>42980.585787037038</v>
      </c>
      <c r="B128" s="20" t="s">
        <v>578</v>
      </c>
      <c r="C128" s="20" t="s">
        <v>579</v>
      </c>
      <c r="D128" s="138">
        <v>1740000</v>
      </c>
      <c r="E128" s="20" t="s">
        <v>476</v>
      </c>
      <c r="F128" s="20" t="s">
        <v>477</v>
      </c>
      <c r="G128" s="8" t="str">
        <f t="shared" si="1"/>
        <v>STORY SAMANTHA</v>
      </c>
    </row>
    <row r="129" spans="1:7" x14ac:dyDescent="0.25">
      <c r="A129" s="8">
        <v>42980.590624999997</v>
      </c>
      <c r="B129" s="20" t="s">
        <v>510</v>
      </c>
      <c r="C129" s="20" t="s">
        <v>696</v>
      </c>
      <c r="D129" s="138">
        <v>1770000</v>
      </c>
      <c r="E129" s="20" t="s">
        <v>446</v>
      </c>
      <c r="F129" s="20" t="s">
        <v>447</v>
      </c>
      <c r="G129" s="8" t="str">
        <f t="shared" si="1"/>
        <v>BRUDER RICHARD</v>
      </c>
    </row>
    <row r="130" spans="1:7" x14ac:dyDescent="0.25">
      <c r="A130" s="8">
        <v>42980.591099537036</v>
      </c>
      <c r="B130" s="20" t="s">
        <v>611</v>
      </c>
      <c r="C130" s="20" t="s">
        <v>697</v>
      </c>
      <c r="D130" s="138">
        <v>2970000</v>
      </c>
      <c r="E130" s="20" t="s">
        <v>667</v>
      </c>
      <c r="F130" s="20" t="s">
        <v>668</v>
      </c>
      <c r="G130" s="8" t="str">
        <f t="shared" si="1"/>
        <v>GUZMAN DANNY</v>
      </c>
    </row>
    <row r="131" spans="1:7" x14ac:dyDescent="0.25">
      <c r="A131" s="8">
        <v>42980.593113425923</v>
      </c>
      <c r="B131" s="20" t="s">
        <v>578</v>
      </c>
      <c r="C131" s="20" t="s">
        <v>579</v>
      </c>
      <c r="D131" s="138">
        <v>1740000</v>
      </c>
      <c r="E131" s="20" t="s">
        <v>476</v>
      </c>
      <c r="F131" s="20" t="s">
        <v>477</v>
      </c>
      <c r="G131" s="8" t="str">
        <f t="shared" ref="G131:G194" si="2">E131&amp;" "&amp;F131</f>
        <v>STORY SAMANTHA</v>
      </c>
    </row>
    <row r="132" spans="1:7" x14ac:dyDescent="0.25">
      <c r="A132" s="8">
        <v>42980.601817129631</v>
      </c>
      <c r="B132" s="20" t="s">
        <v>580</v>
      </c>
      <c r="C132" s="20" t="s">
        <v>581</v>
      </c>
      <c r="D132" s="138">
        <v>2420000</v>
      </c>
      <c r="E132" s="20" t="s">
        <v>511</v>
      </c>
      <c r="F132" s="20" t="s">
        <v>512</v>
      </c>
      <c r="G132" s="8" t="str">
        <f t="shared" si="2"/>
        <v>HOLCOMB KAMDEN</v>
      </c>
    </row>
    <row r="133" spans="1:7" x14ac:dyDescent="0.25">
      <c r="A133" s="8">
        <v>42980.602569444447</v>
      </c>
      <c r="B133" s="20" t="s">
        <v>404</v>
      </c>
      <c r="C133" s="20" t="s">
        <v>698</v>
      </c>
      <c r="D133" s="138">
        <v>2230000</v>
      </c>
      <c r="E133" s="20" t="s">
        <v>695</v>
      </c>
      <c r="F133" s="20" t="s">
        <v>191</v>
      </c>
      <c r="G133" s="8" t="str">
        <f t="shared" si="2"/>
        <v>SMITH MICHAEL</v>
      </c>
    </row>
    <row r="134" spans="1:7" x14ac:dyDescent="0.25">
      <c r="A134" s="8">
        <v>42980.608622685184</v>
      </c>
      <c r="B134" s="20" t="s">
        <v>564</v>
      </c>
      <c r="C134" s="20" t="s">
        <v>582</v>
      </c>
      <c r="D134" s="138">
        <v>2370000</v>
      </c>
      <c r="E134" s="20" t="s">
        <v>474</v>
      </c>
      <c r="F134" s="20" t="s">
        <v>475</v>
      </c>
      <c r="G134" s="8" t="str">
        <f t="shared" si="2"/>
        <v>DELGADO DIANAH</v>
      </c>
    </row>
    <row r="135" spans="1:7" x14ac:dyDescent="0.25">
      <c r="A135" s="8">
        <v>42980.610833333332</v>
      </c>
      <c r="B135" s="20" t="s">
        <v>384</v>
      </c>
      <c r="C135" s="20" t="s">
        <v>665</v>
      </c>
      <c r="D135" s="138">
        <v>2540000</v>
      </c>
      <c r="E135" s="20" t="s">
        <v>675</v>
      </c>
      <c r="F135" s="20" t="s">
        <v>676</v>
      </c>
      <c r="G135" s="8" t="str">
        <f t="shared" si="2"/>
        <v>MCREYNOLDS KYLE</v>
      </c>
    </row>
    <row r="136" spans="1:7" x14ac:dyDescent="0.25">
      <c r="A136" s="8">
        <v>42980.612696759257</v>
      </c>
      <c r="B136" s="20" t="s">
        <v>384</v>
      </c>
      <c r="C136" s="20" t="s">
        <v>665</v>
      </c>
      <c r="D136" s="138">
        <v>2540000</v>
      </c>
      <c r="E136" s="20" t="s">
        <v>675</v>
      </c>
      <c r="F136" s="20" t="s">
        <v>676</v>
      </c>
      <c r="G136" s="8" t="str">
        <f t="shared" si="2"/>
        <v>MCREYNOLDS KYLE</v>
      </c>
    </row>
    <row r="137" spans="1:7" x14ac:dyDescent="0.25">
      <c r="A137" s="8">
        <v>42980.613587962966</v>
      </c>
      <c r="B137" s="20" t="s">
        <v>383</v>
      </c>
      <c r="C137" s="20" t="s">
        <v>699</v>
      </c>
      <c r="D137" s="138">
        <v>920000</v>
      </c>
      <c r="E137" s="20" t="s">
        <v>348</v>
      </c>
      <c r="F137" s="20" t="s">
        <v>191</v>
      </c>
      <c r="G137" s="8" t="str">
        <f t="shared" si="2"/>
        <v>DAVIS MICHAEL</v>
      </c>
    </row>
    <row r="138" spans="1:7" x14ac:dyDescent="0.25">
      <c r="A138" s="8">
        <v>42980.620532407411</v>
      </c>
      <c r="B138" s="20" t="s">
        <v>583</v>
      </c>
      <c r="C138" s="20" t="s">
        <v>584</v>
      </c>
      <c r="D138" s="138">
        <v>1740000</v>
      </c>
      <c r="E138" s="20" t="s">
        <v>476</v>
      </c>
      <c r="F138" s="20" t="s">
        <v>477</v>
      </c>
      <c r="G138" s="8" t="str">
        <f t="shared" si="2"/>
        <v>STORY SAMANTHA</v>
      </c>
    </row>
    <row r="139" spans="1:7" x14ac:dyDescent="0.25">
      <c r="A139" s="8">
        <v>42980.623206018521</v>
      </c>
      <c r="B139" s="20" t="s">
        <v>494</v>
      </c>
      <c r="C139" s="20" t="s">
        <v>700</v>
      </c>
      <c r="D139" s="138">
        <v>2630000</v>
      </c>
      <c r="E139" s="20" t="s">
        <v>508</v>
      </c>
      <c r="F139" s="20" t="s">
        <v>509</v>
      </c>
      <c r="G139" s="8" t="str">
        <f t="shared" si="2"/>
        <v>SAFIEF AEIMEN</v>
      </c>
    </row>
    <row r="140" spans="1:7" x14ac:dyDescent="0.25">
      <c r="A140" s="8">
        <v>42980.625879629632</v>
      </c>
      <c r="B140" s="20" t="s">
        <v>564</v>
      </c>
      <c r="C140" s="20" t="s">
        <v>582</v>
      </c>
      <c r="D140" s="138">
        <v>2370000</v>
      </c>
      <c r="E140" s="20" t="s">
        <v>474</v>
      </c>
      <c r="F140" s="20" t="s">
        <v>475</v>
      </c>
      <c r="G140" s="8" t="str">
        <f t="shared" si="2"/>
        <v>DELGADO DIANAH</v>
      </c>
    </row>
    <row r="141" spans="1:7" x14ac:dyDescent="0.25">
      <c r="A141" s="8">
        <v>42980.627604166664</v>
      </c>
      <c r="B141" s="20" t="s">
        <v>406</v>
      </c>
      <c r="C141" s="20" t="s">
        <v>701</v>
      </c>
      <c r="D141" s="138">
        <v>2230000</v>
      </c>
      <c r="E141" s="20" t="s">
        <v>695</v>
      </c>
      <c r="F141" s="20" t="s">
        <v>191</v>
      </c>
      <c r="G141" s="8" t="str">
        <f t="shared" si="2"/>
        <v>SMITH MICHAEL</v>
      </c>
    </row>
    <row r="142" spans="1:7" x14ac:dyDescent="0.25">
      <c r="A142" s="8">
        <v>42980.630532407406</v>
      </c>
      <c r="B142" s="20" t="s">
        <v>602</v>
      </c>
      <c r="C142" s="20" t="s">
        <v>702</v>
      </c>
      <c r="D142" s="138">
        <v>2970000</v>
      </c>
      <c r="E142" s="20" t="s">
        <v>667</v>
      </c>
      <c r="F142" s="20" t="s">
        <v>668</v>
      </c>
      <c r="G142" s="8" t="str">
        <f t="shared" si="2"/>
        <v>GUZMAN DANNY</v>
      </c>
    </row>
    <row r="143" spans="1:7" x14ac:dyDescent="0.25">
      <c r="A143" s="8">
        <v>42980.630567129629</v>
      </c>
      <c r="B143" s="20" t="s">
        <v>497</v>
      </c>
      <c r="C143" s="20" t="s">
        <v>703</v>
      </c>
      <c r="D143" s="138">
        <v>1770000</v>
      </c>
      <c r="E143" s="20" t="s">
        <v>446</v>
      </c>
      <c r="F143" s="20" t="s">
        <v>447</v>
      </c>
      <c r="G143" s="8" t="str">
        <f t="shared" si="2"/>
        <v>BRUDER RICHARD</v>
      </c>
    </row>
    <row r="144" spans="1:7" x14ac:dyDescent="0.25">
      <c r="A144" s="8">
        <v>42980.637430555558</v>
      </c>
      <c r="B144" s="20" t="s">
        <v>465</v>
      </c>
      <c r="C144" s="20" t="s">
        <v>704</v>
      </c>
      <c r="D144" s="138">
        <v>2540000</v>
      </c>
      <c r="E144" s="20" t="s">
        <v>675</v>
      </c>
      <c r="F144" s="20" t="s">
        <v>676</v>
      </c>
      <c r="G144" s="8" t="str">
        <f t="shared" si="2"/>
        <v>MCREYNOLDS KYLE</v>
      </c>
    </row>
    <row r="145" spans="1:7" x14ac:dyDescent="0.25">
      <c r="A145" s="8">
        <v>42980.640798611108</v>
      </c>
      <c r="B145" s="20" t="s">
        <v>463</v>
      </c>
      <c r="C145" s="20" t="s">
        <v>585</v>
      </c>
      <c r="D145" s="138">
        <v>2420000</v>
      </c>
      <c r="E145" s="20" t="s">
        <v>511</v>
      </c>
      <c r="F145" s="20" t="s">
        <v>512</v>
      </c>
      <c r="G145" s="8" t="str">
        <f t="shared" si="2"/>
        <v>HOLCOMB KAMDEN</v>
      </c>
    </row>
    <row r="146" spans="1:7" x14ac:dyDescent="0.25">
      <c r="A146" s="8">
        <v>42980.644062500003</v>
      </c>
      <c r="B146" s="20" t="s">
        <v>404</v>
      </c>
      <c r="C146" s="20" t="s">
        <v>705</v>
      </c>
      <c r="D146" s="138">
        <v>2230000</v>
      </c>
      <c r="E146" s="20" t="s">
        <v>695</v>
      </c>
      <c r="F146" s="20" t="s">
        <v>191</v>
      </c>
      <c r="G146" s="8" t="str">
        <f t="shared" si="2"/>
        <v>SMITH MICHAEL</v>
      </c>
    </row>
    <row r="147" spans="1:7" x14ac:dyDescent="0.25">
      <c r="A147" s="8">
        <v>42980.644618055558</v>
      </c>
      <c r="B147" s="20" t="s">
        <v>586</v>
      </c>
      <c r="C147" s="20" t="s">
        <v>587</v>
      </c>
      <c r="D147" s="138">
        <v>2370000</v>
      </c>
      <c r="E147" s="20" t="s">
        <v>474</v>
      </c>
      <c r="F147" s="20" t="s">
        <v>475</v>
      </c>
      <c r="G147" s="8" t="str">
        <f t="shared" si="2"/>
        <v>DELGADO DIANAH</v>
      </c>
    </row>
    <row r="148" spans="1:7" x14ac:dyDescent="0.25">
      <c r="A148" s="8">
        <v>42980.65253472222</v>
      </c>
      <c r="B148" s="20" t="s">
        <v>495</v>
      </c>
      <c r="C148" s="20" t="s">
        <v>706</v>
      </c>
      <c r="D148" s="138">
        <v>2630000</v>
      </c>
      <c r="E148" s="20" t="s">
        <v>508</v>
      </c>
      <c r="F148" s="20" t="s">
        <v>509</v>
      </c>
      <c r="G148" s="8" t="str">
        <f t="shared" si="2"/>
        <v>SAFIEF AEIMEN</v>
      </c>
    </row>
    <row r="149" spans="1:7" x14ac:dyDescent="0.25">
      <c r="A149" s="8">
        <v>42980.653182870374</v>
      </c>
      <c r="B149" s="20" t="s">
        <v>382</v>
      </c>
      <c r="C149" s="20" t="s">
        <v>707</v>
      </c>
      <c r="D149" s="138">
        <v>920000</v>
      </c>
      <c r="E149" s="20" t="s">
        <v>348</v>
      </c>
      <c r="F149" s="20" t="s">
        <v>191</v>
      </c>
      <c r="G149" s="8" t="str">
        <f t="shared" si="2"/>
        <v>DAVIS MICHAEL</v>
      </c>
    </row>
    <row r="150" spans="1:7" x14ac:dyDescent="0.25">
      <c r="A150" s="8">
        <v>42980.653668981482</v>
      </c>
      <c r="B150" s="20" t="s">
        <v>578</v>
      </c>
      <c r="C150" s="20" t="s">
        <v>708</v>
      </c>
      <c r="D150" s="138">
        <v>1740000</v>
      </c>
      <c r="E150" s="20" t="s">
        <v>476</v>
      </c>
      <c r="F150" s="20" t="s">
        <v>477</v>
      </c>
      <c r="G150" s="8" t="str">
        <f t="shared" si="2"/>
        <v>STORY SAMANTHA</v>
      </c>
    </row>
    <row r="151" spans="1:7" x14ac:dyDescent="0.25">
      <c r="A151" s="8">
        <v>42980.662615740737</v>
      </c>
      <c r="B151" s="20" t="s">
        <v>464</v>
      </c>
      <c r="C151" s="20" t="s">
        <v>681</v>
      </c>
      <c r="D151" s="138">
        <v>2540000</v>
      </c>
      <c r="E151" s="20" t="s">
        <v>675</v>
      </c>
      <c r="F151" s="20" t="s">
        <v>676</v>
      </c>
      <c r="G151" s="8" t="str">
        <f t="shared" si="2"/>
        <v>MCREYNOLDS KYLE</v>
      </c>
    </row>
    <row r="152" spans="1:7" x14ac:dyDescent="0.25">
      <c r="A152" s="8">
        <v>42980.664560185185</v>
      </c>
      <c r="B152" s="20" t="s">
        <v>578</v>
      </c>
      <c r="C152" s="20" t="s">
        <v>709</v>
      </c>
      <c r="D152" s="138">
        <v>1740000</v>
      </c>
      <c r="E152" s="20" t="s">
        <v>476</v>
      </c>
      <c r="F152" s="20" t="s">
        <v>477</v>
      </c>
      <c r="G152" s="8" t="str">
        <f t="shared" si="2"/>
        <v>STORY SAMANTHA</v>
      </c>
    </row>
    <row r="153" spans="1:7" x14ac:dyDescent="0.25">
      <c r="A153" s="8">
        <v>42980.665462962963</v>
      </c>
      <c r="B153" s="20" t="s">
        <v>611</v>
      </c>
      <c r="C153" s="20" t="s">
        <v>710</v>
      </c>
      <c r="D153" s="138">
        <v>2970000</v>
      </c>
      <c r="E153" s="20" t="s">
        <v>667</v>
      </c>
      <c r="F153" s="20" t="s">
        <v>668</v>
      </c>
      <c r="G153" s="8" t="str">
        <f t="shared" si="2"/>
        <v>GUZMAN DANNY</v>
      </c>
    </row>
    <row r="154" spans="1:7" x14ac:dyDescent="0.25">
      <c r="A154" s="8">
        <v>42980.666550925926</v>
      </c>
      <c r="B154" s="20" t="s">
        <v>465</v>
      </c>
      <c r="C154" s="20" t="s">
        <v>681</v>
      </c>
      <c r="D154" s="138">
        <v>2540000</v>
      </c>
      <c r="E154" s="20" t="s">
        <v>675</v>
      </c>
      <c r="F154" s="20" t="s">
        <v>676</v>
      </c>
      <c r="G154" s="8" t="str">
        <f t="shared" si="2"/>
        <v>MCREYNOLDS KYLE</v>
      </c>
    </row>
    <row r="155" spans="1:7" x14ac:dyDescent="0.25">
      <c r="A155" s="8">
        <v>42980.667557870373</v>
      </c>
      <c r="B155" s="20" t="s">
        <v>406</v>
      </c>
      <c r="C155" s="20" t="s">
        <v>711</v>
      </c>
      <c r="D155" s="138">
        <v>2230000</v>
      </c>
      <c r="E155" s="20" t="s">
        <v>695</v>
      </c>
      <c r="F155" s="20" t="s">
        <v>191</v>
      </c>
      <c r="G155" s="8" t="str">
        <f t="shared" si="2"/>
        <v>SMITH MICHAEL</v>
      </c>
    </row>
    <row r="156" spans="1:7" x14ac:dyDescent="0.25">
      <c r="A156" s="8">
        <v>42980.672418981485</v>
      </c>
      <c r="B156" s="20" t="s">
        <v>464</v>
      </c>
      <c r="C156" s="20" t="s">
        <v>712</v>
      </c>
      <c r="D156" s="138">
        <v>2540000</v>
      </c>
      <c r="E156" s="20" t="s">
        <v>675</v>
      </c>
      <c r="F156" s="20" t="s">
        <v>676</v>
      </c>
      <c r="G156" s="8" t="str">
        <f t="shared" si="2"/>
        <v>MCREYNOLDS KYLE</v>
      </c>
    </row>
    <row r="157" spans="1:7" x14ac:dyDescent="0.25">
      <c r="A157" s="8">
        <v>42980.68037037037</v>
      </c>
      <c r="B157" s="20" t="s">
        <v>564</v>
      </c>
      <c r="C157" s="20" t="s">
        <v>713</v>
      </c>
      <c r="D157" s="138">
        <v>2370000</v>
      </c>
      <c r="E157" s="20" t="s">
        <v>474</v>
      </c>
      <c r="F157" s="20" t="s">
        <v>475</v>
      </c>
      <c r="G157" s="8" t="str">
        <f t="shared" si="2"/>
        <v>DELGADO DIANAH</v>
      </c>
    </row>
    <row r="158" spans="1:7" x14ac:dyDescent="0.25">
      <c r="A158" s="8">
        <v>42980.682002314818</v>
      </c>
      <c r="B158" s="20" t="s">
        <v>510</v>
      </c>
      <c r="C158" s="20" t="s">
        <v>588</v>
      </c>
      <c r="D158" s="138">
        <v>1770000</v>
      </c>
      <c r="E158" s="20" t="s">
        <v>446</v>
      </c>
      <c r="F158" s="20" t="s">
        <v>447</v>
      </c>
      <c r="G158" s="8" t="str">
        <f t="shared" si="2"/>
        <v>BRUDER RICHARD</v>
      </c>
    </row>
    <row r="159" spans="1:7" x14ac:dyDescent="0.25">
      <c r="A159" s="8">
        <v>42980.684814814813</v>
      </c>
      <c r="B159" s="20" t="s">
        <v>404</v>
      </c>
      <c r="C159" s="20" t="s">
        <v>714</v>
      </c>
      <c r="D159" s="138">
        <v>2230000</v>
      </c>
      <c r="E159" s="20" t="s">
        <v>695</v>
      </c>
      <c r="F159" s="20" t="s">
        <v>191</v>
      </c>
      <c r="G159" s="8" t="str">
        <f t="shared" si="2"/>
        <v>SMITH MICHAEL</v>
      </c>
    </row>
    <row r="160" spans="1:7" x14ac:dyDescent="0.25">
      <c r="A160" s="8">
        <v>42980.692164351851</v>
      </c>
      <c r="B160" s="20" t="s">
        <v>580</v>
      </c>
      <c r="C160" s="20" t="s">
        <v>715</v>
      </c>
      <c r="D160" s="138">
        <v>2440000</v>
      </c>
      <c r="E160" s="20" t="s">
        <v>682</v>
      </c>
      <c r="F160" s="20" t="s">
        <v>683</v>
      </c>
      <c r="G160" s="8" t="str">
        <f t="shared" si="2"/>
        <v>LOPES KIMBERLY</v>
      </c>
    </row>
    <row r="161" spans="1:7" x14ac:dyDescent="0.25">
      <c r="A161" s="8">
        <v>42980.695034722223</v>
      </c>
      <c r="B161" s="20" t="s">
        <v>383</v>
      </c>
      <c r="C161" s="20" t="s">
        <v>716</v>
      </c>
      <c r="D161" s="138">
        <v>920000</v>
      </c>
      <c r="E161" s="20" t="s">
        <v>348</v>
      </c>
      <c r="F161" s="20" t="s">
        <v>191</v>
      </c>
      <c r="G161" s="8" t="str">
        <f t="shared" si="2"/>
        <v>DAVIS MICHAEL</v>
      </c>
    </row>
    <row r="162" spans="1:7" x14ac:dyDescent="0.25">
      <c r="A162" s="8">
        <v>42980.704039351855</v>
      </c>
      <c r="B162" s="20" t="s">
        <v>465</v>
      </c>
      <c r="C162" s="20" t="s">
        <v>717</v>
      </c>
      <c r="D162" s="138">
        <v>2540000</v>
      </c>
      <c r="E162" s="20" t="s">
        <v>675</v>
      </c>
      <c r="F162" s="20" t="s">
        <v>676</v>
      </c>
      <c r="G162" s="8" t="str">
        <f t="shared" si="2"/>
        <v>MCREYNOLDS KYLE</v>
      </c>
    </row>
    <row r="163" spans="1:7" x14ac:dyDescent="0.25">
      <c r="A163" s="8">
        <v>42980.704143518517</v>
      </c>
      <c r="B163" s="20" t="s">
        <v>583</v>
      </c>
      <c r="C163" s="20" t="s">
        <v>589</v>
      </c>
      <c r="D163" s="138">
        <v>1740000</v>
      </c>
      <c r="E163" s="20" t="s">
        <v>476</v>
      </c>
      <c r="F163" s="20" t="s">
        <v>477</v>
      </c>
      <c r="G163" s="8" t="str">
        <f t="shared" si="2"/>
        <v>STORY SAMANTHA</v>
      </c>
    </row>
    <row r="164" spans="1:7" x14ac:dyDescent="0.25">
      <c r="A164" s="8">
        <v>42980.704756944448</v>
      </c>
      <c r="B164" s="20" t="s">
        <v>494</v>
      </c>
      <c r="C164" s="20" t="s">
        <v>718</v>
      </c>
      <c r="D164" s="138">
        <v>2630000</v>
      </c>
      <c r="E164" s="20" t="s">
        <v>508</v>
      </c>
      <c r="F164" s="20" t="s">
        <v>509</v>
      </c>
      <c r="G164" s="8" t="str">
        <f t="shared" si="2"/>
        <v>SAFIEF AEIMEN</v>
      </c>
    </row>
    <row r="165" spans="1:7" x14ac:dyDescent="0.25">
      <c r="A165" s="8">
        <v>42980.708379629628</v>
      </c>
      <c r="B165" s="20" t="s">
        <v>406</v>
      </c>
      <c r="C165" s="20" t="s">
        <v>719</v>
      </c>
      <c r="D165" s="138">
        <v>2230000</v>
      </c>
      <c r="E165" s="20" t="s">
        <v>695</v>
      </c>
      <c r="F165" s="20" t="s">
        <v>191</v>
      </c>
      <c r="G165" s="8" t="str">
        <f t="shared" si="2"/>
        <v>SMITH MICHAEL</v>
      </c>
    </row>
    <row r="166" spans="1:7" x14ac:dyDescent="0.25">
      <c r="A166" s="8">
        <v>42980.709814814814</v>
      </c>
      <c r="B166" s="20" t="s">
        <v>602</v>
      </c>
      <c r="C166" s="20" t="s">
        <v>720</v>
      </c>
      <c r="D166" s="138">
        <v>2970000</v>
      </c>
      <c r="E166" s="20" t="s">
        <v>667</v>
      </c>
      <c r="F166" s="20" t="s">
        <v>668</v>
      </c>
      <c r="G166" s="8" t="str">
        <f t="shared" si="2"/>
        <v>GUZMAN DANNY</v>
      </c>
    </row>
    <row r="167" spans="1:7" x14ac:dyDescent="0.25">
      <c r="A167" s="8">
        <v>42980.714756944442</v>
      </c>
      <c r="B167" s="20" t="s">
        <v>586</v>
      </c>
      <c r="C167" s="20" t="s">
        <v>721</v>
      </c>
      <c r="D167" s="138">
        <v>2370000</v>
      </c>
      <c r="E167" s="20" t="s">
        <v>474</v>
      </c>
      <c r="F167" s="20" t="s">
        <v>475</v>
      </c>
      <c r="G167" s="8" t="str">
        <f t="shared" si="2"/>
        <v>DELGADO DIANAH</v>
      </c>
    </row>
    <row r="168" spans="1:7" x14ac:dyDescent="0.25">
      <c r="A168" s="8">
        <v>42980.724456018521</v>
      </c>
      <c r="B168" s="20" t="s">
        <v>497</v>
      </c>
      <c r="C168" s="20" t="s">
        <v>722</v>
      </c>
      <c r="D168" s="138">
        <v>1770000</v>
      </c>
      <c r="E168" s="20" t="s">
        <v>446</v>
      </c>
      <c r="F168" s="20" t="s">
        <v>447</v>
      </c>
      <c r="G168" s="8" t="str">
        <f t="shared" si="2"/>
        <v>BRUDER RICHARD</v>
      </c>
    </row>
    <row r="169" spans="1:7" x14ac:dyDescent="0.25">
      <c r="A169" s="8">
        <v>42980.725324074076</v>
      </c>
      <c r="B169" s="20" t="s">
        <v>497</v>
      </c>
      <c r="C169" s="20" t="s">
        <v>722</v>
      </c>
      <c r="D169" s="138">
        <v>1770000</v>
      </c>
      <c r="E169" s="20" t="s">
        <v>446</v>
      </c>
      <c r="F169" s="20" t="s">
        <v>447</v>
      </c>
      <c r="G169" s="8" t="str">
        <f t="shared" si="2"/>
        <v>BRUDER RICHARD</v>
      </c>
    </row>
    <row r="170" spans="1:7" x14ac:dyDescent="0.25">
      <c r="A170" s="8">
        <v>42980.725486111114</v>
      </c>
      <c r="B170" s="20" t="s">
        <v>404</v>
      </c>
      <c r="C170" s="20" t="s">
        <v>723</v>
      </c>
      <c r="D170" s="138">
        <v>2230000</v>
      </c>
      <c r="E170" s="20" t="s">
        <v>695</v>
      </c>
      <c r="F170" s="20" t="s">
        <v>191</v>
      </c>
      <c r="G170" s="8" t="str">
        <f t="shared" si="2"/>
        <v>SMITH MICHAEL</v>
      </c>
    </row>
    <row r="171" spans="1:7" x14ac:dyDescent="0.25">
      <c r="A171" s="8">
        <v>42980.726087962961</v>
      </c>
      <c r="B171" s="20" t="s">
        <v>497</v>
      </c>
      <c r="C171" s="20" t="s">
        <v>722</v>
      </c>
      <c r="D171" s="138">
        <v>1770000</v>
      </c>
      <c r="E171" s="20" t="s">
        <v>446</v>
      </c>
      <c r="F171" s="20" t="s">
        <v>447</v>
      </c>
      <c r="G171" s="8" t="str">
        <f t="shared" si="2"/>
        <v>BRUDER RICHARD</v>
      </c>
    </row>
    <row r="172" spans="1:7" x14ac:dyDescent="0.25">
      <c r="A172" s="8">
        <v>42980.737187500003</v>
      </c>
      <c r="B172" s="20" t="s">
        <v>495</v>
      </c>
      <c r="C172" s="20" t="s">
        <v>724</v>
      </c>
      <c r="D172" s="138">
        <v>2630000</v>
      </c>
      <c r="E172" s="20" t="s">
        <v>508</v>
      </c>
      <c r="F172" s="20" t="s">
        <v>509</v>
      </c>
      <c r="G172" s="8" t="str">
        <f t="shared" si="2"/>
        <v>SAFIEF AEIMEN</v>
      </c>
    </row>
    <row r="173" spans="1:7" x14ac:dyDescent="0.25">
      <c r="A173" s="8">
        <v>42980.737199074072</v>
      </c>
      <c r="B173" s="20" t="s">
        <v>382</v>
      </c>
      <c r="C173" s="20" t="s">
        <v>725</v>
      </c>
      <c r="D173" s="138">
        <v>920000</v>
      </c>
      <c r="E173" s="20" t="s">
        <v>348</v>
      </c>
      <c r="F173" s="20" t="s">
        <v>191</v>
      </c>
      <c r="G173" s="8" t="str">
        <f t="shared" si="2"/>
        <v>DAVIS MICHAEL</v>
      </c>
    </row>
    <row r="174" spans="1:7" x14ac:dyDescent="0.25">
      <c r="A174" s="8">
        <v>42980.737604166665</v>
      </c>
      <c r="B174" s="20" t="s">
        <v>496</v>
      </c>
      <c r="C174" s="20" t="s">
        <v>726</v>
      </c>
      <c r="D174" s="138">
        <v>3340000</v>
      </c>
      <c r="E174" s="20" t="s">
        <v>513</v>
      </c>
      <c r="F174" s="20" t="s">
        <v>514</v>
      </c>
      <c r="G174" s="8" t="str">
        <f t="shared" si="2"/>
        <v>ELBAUM MIKE</v>
      </c>
    </row>
    <row r="175" spans="1:7" x14ac:dyDescent="0.25">
      <c r="A175" s="8">
        <v>42980.738946759258</v>
      </c>
      <c r="B175" s="20" t="s">
        <v>578</v>
      </c>
      <c r="C175" s="20" t="s">
        <v>727</v>
      </c>
      <c r="D175" s="138">
        <v>3000000</v>
      </c>
      <c r="E175" s="20" t="s">
        <v>396</v>
      </c>
      <c r="F175" s="20" t="s">
        <v>397</v>
      </c>
      <c r="G175" s="8" t="str">
        <f t="shared" si="2"/>
        <v>FORTUNATO FRANK</v>
      </c>
    </row>
    <row r="176" spans="1:7" x14ac:dyDescent="0.25">
      <c r="A176" s="8">
        <v>42980.745011574072</v>
      </c>
      <c r="B176" s="20" t="s">
        <v>464</v>
      </c>
      <c r="C176" s="20" t="s">
        <v>728</v>
      </c>
      <c r="D176" s="138">
        <v>2420000</v>
      </c>
      <c r="E176" s="20" t="s">
        <v>511</v>
      </c>
      <c r="F176" s="20" t="s">
        <v>512</v>
      </c>
      <c r="G176" s="8" t="str">
        <f t="shared" si="2"/>
        <v>HOLCOMB KAMDEN</v>
      </c>
    </row>
    <row r="177" spans="1:7" x14ac:dyDescent="0.25">
      <c r="A177" s="8">
        <v>42980.747083333335</v>
      </c>
      <c r="B177" s="20" t="s">
        <v>611</v>
      </c>
      <c r="C177" s="20" t="s">
        <v>729</v>
      </c>
      <c r="D177" s="138">
        <v>2970000</v>
      </c>
      <c r="E177" s="20" t="s">
        <v>667</v>
      </c>
      <c r="F177" s="20" t="s">
        <v>668</v>
      </c>
      <c r="G177" s="8" t="str">
        <f t="shared" si="2"/>
        <v>GUZMAN DANNY</v>
      </c>
    </row>
    <row r="178" spans="1:7" x14ac:dyDescent="0.25">
      <c r="A178" s="8">
        <v>42980.749641203707</v>
      </c>
      <c r="B178" s="20" t="s">
        <v>406</v>
      </c>
      <c r="C178" s="20" t="s">
        <v>730</v>
      </c>
      <c r="D178" s="138">
        <v>2230000</v>
      </c>
      <c r="E178" s="20" t="s">
        <v>695</v>
      </c>
      <c r="F178" s="20" t="s">
        <v>191</v>
      </c>
      <c r="G178" s="8" t="str">
        <f t="shared" si="2"/>
        <v>SMITH MICHAEL</v>
      </c>
    </row>
    <row r="179" spans="1:7" x14ac:dyDescent="0.25">
      <c r="A179" s="8">
        <v>42980.756458333337</v>
      </c>
      <c r="B179" s="20" t="s">
        <v>564</v>
      </c>
      <c r="C179" s="20" t="s">
        <v>731</v>
      </c>
      <c r="D179" s="138">
        <v>2370000</v>
      </c>
      <c r="E179" s="20" t="s">
        <v>474</v>
      </c>
      <c r="F179" s="20" t="s">
        <v>475</v>
      </c>
      <c r="G179" s="8" t="str">
        <f t="shared" si="2"/>
        <v>DELGADO DIANAH</v>
      </c>
    </row>
    <row r="180" spans="1:7" x14ac:dyDescent="0.25">
      <c r="A180" s="8">
        <v>42980.757662037038</v>
      </c>
      <c r="B180" s="20" t="s">
        <v>503</v>
      </c>
      <c r="C180" s="20" t="s">
        <v>732</v>
      </c>
      <c r="D180" s="138">
        <v>3310000</v>
      </c>
      <c r="E180" s="20" t="s">
        <v>733</v>
      </c>
      <c r="F180" s="20" t="s">
        <v>734</v>
      </c>
      <c r="G180" s="8" t="str">
        <f t="shared" si="2"/>
        <v>ANDERS STEVEN</v>
      </c>
    </row>
    <row r="181" spans="1:7" x14ac:dyDescent="0.25">
      <c r="A181" s="8">
        <v>42980.76766203704</v>
      </c>
      <c r="B181" s="20" t="s">
        <v>404</v>
      </c>
      <c r="C181" s="20" t="s">
        <v>735</v>
      </c>
      <c r="D181" s="138">
        <v>2230000</v>
      </c>
      <c r="E181" s="20" t="s">
        <v>695</v>
      </c>
      <c r="F181" s="20" t="s">
        <v>191</v>
      </c>
      <c r="G181" s="8" t="str">
        <f t="shared" si="2"/>
        <v>SMITH MICHAEL</v>
      </c>
    </row>
    <row r="182" spans="1:7" x14ac:dyDescent="0.25">
      <c r="A182" s="8">
        <v>42980.768750000003</v>
      </c>
      <c r="B182" s="20" t="s">
        <v>383</v>
      </c>
      <c r="C182" s="20" t="s">
        <v>736</v>
      </c>
      <c r="D182" s="138">
        <v>2620000</v>
      </c>
      <c r="E182" s="20" t="s">
        <v>425</v>
      </c>
      <c r="F182" s="20" t="s">
        <v>426</v>
      </c>
      <c r="G182" s="8" t="str">
        <f t="shared" si="2"/>
        <v>PERKINS DARREN</v>
      </c>
    </row>
    <row r="183" spans="1:7" x14ac:dyDescent="0.25">
      <c r="A183" s="8">
        <v>42980.770972222221</v>
      </c>
      <c r="B183" s="20" t="s">
        <v>583</v>
      </c>
      <c r="C183" s="20" t="s">
        <v>737</v>
      </c>
      <c r="D183" s="138">
        <v>3000000</v>
      </c>
      <c r="E183" s="20" t="s">
        <v>396</v>
      </c>
      <c r="F183" s="20" t="s">
        <v>397</v>
      </c>
      <c r="G183" s="8" t="str">
        <f t="shared" si="2"/>
        <v>FORTUNATO FRANK</v>
      </c>
    </row>
    <row r="184" spans="1:7" x14ac:dyDescent="0.25">
      <c r="A184" s="8">
        <v>42980.778761574074</v>
      </c>
      <c r="B184" s="20" t="s">
        <v>494</v>
      </c>
      <c r="C184" s="20" t="s">
        <v>738</v>
      </c>
      <c r="D184" s="138">
        <v>2630000</v>
      </c>
      <c r="E184" s="20" t="s">
        <v>508</v>
      </c>
      <c r="F184" s="20" t="s">
        <v>509</v>
      </c>
      <c r="G184" s="8" t="str">
        <f t="shared" si="2"/>
        <v>SAFIEF AEIMEN</v>
      </c>
    </row>
    <row r="185" spans="1:7" x14ac:dyDescent="0.25">
      <c r="A185" s="8">
        <v>42980.786168981482</v>
      </c>
      <c r="B185" s="20" t="s">
        <v>465</v>
      </c>
      <c r="C185" s="20" t="s">
        <v>739</v>
      </c>
      <c r="D185" s="138">
        <v>2420000</v>
      </c>
      <c r="E185" s="20" t="s">
        <v>511</v>
      </c>
      <c r="F185" s="20" t="s">
        <v>512</v>
      </c>
      <c r="G185" s="8" t="str">
        <f t="shared" si="2"/>
        <v>HOLCOMB KAMDEN</v>
      </c>
    </row>
    <row r="186" spans="1:7" x14ac:dyDescent="0.25">
      <c r="A186" s="8">
        <v>42980.789895833332</v>
      </c>
      <c r="B186" s="20" t="s">
        <v>602</v>
      </c>
      <c r="C186" s="20" t="s">
        <v>740</v>
      </c>
      <c r="D186" s="138">
        <v>3320000</v>
      </c>
      <c r="E186" s="20" t="s">
        <v>480</v>
      </c>
      <c r="F186" s="20" t="s">
        <v>481</v>
      </c>
      <c r="G186" s="8" t="str">
        <f t="shared" si="2"/>
        <v>NICHOLSON WESLEY</v>
      </c>
    </row>
    <row r="187" spans="1:7" x14ac:dyDescent="0.25">
      <c r="A187" s="8">
        <v>42980.790300925924</v>
      </c>
      <c r="B187" s="20" t="s">
        <v>496</v>
      </c>
      <c r="C187" s="20" t="s">
        <v>741</v>
      </c>
      <c r="D187" s="138">
        <v>3310000</v>
      </c>
      <c r="E187" s="20" t="s">
        <v>733</v>
      </c>
      <c r="F187" s="20" t="s">
        <v>734</v>
      </c>
      <c r="G187" s="8" t="str">
        <f t="shared" si="2"/>
        <v>ANDERS STEVEN</v>
      </c>
    </row>
    <row r="188" spans="1:7" x14ac:dyDescent="0.25">
      <c r="A188" s="8">
        <v>42980.793449074074</v>
      </c>
      <c r="B188" s="20" t="s">
        <v>406</v>
      </c>
      <c r="C188" s="20" t="s">
        <v>742</v>
      </c>
      <c r="D188" s="138">
        <v>2230000</v>
      </c>
      <c r="E188" s="20" t="s">
        <v>695</v>
      </c>
      <c r="F188" s="20" t="s">
        <v>191</v>
      </c>
      <c r="G188" s="8" t="str">
        <f t="shared" si="2"/>
        <v>SMITH MICHAEL</v>
      </c>
    </row>
    <row r="189" spans="1:7" x14ac:dyDescent="0.25">
      <c r="A189" s="8">
        <v>42980.797951388886</v>
      </c>
      <c r="B189" s="20" t="s">
        <v>586</v>
      </c>
      <c r="C189" s="20" t="s">
        <v>590</v>
      </c>
      <c r="D189" s="138">
        <v>2370000</v>
      </c>
      <c r="E189" s="20" t="s">
        <v>474</v>
      </c>
      <c r="F189" s="20" t="s">
        <v>475</v>
      </c>
      <c r="G189" s="8" t="str">
        <f t="shared" si="2"/>
        <v>DELGADO DIANAH</v>
      </c>
    </row>
    <row r="190" spans="1:7" x14ac:dyDescent="0.25">
      <c r="A190" s="8">
        <v>42980.798472222225</v>
      </c>
      <c r="B190" s="20" t="s">
        <v>496</v>
      </c>
      <c r="C190" s="20" t="s">
        <v>741</v>
      </c>
      <c r="D190" s="138">
        <v>3310000</v>
      </c>
      <c r="E190" s="20" t="s">
        <v>733</v>
      </c>
      <c r="F190" s="20" t="s">
        <v>734</v>
      </c>
      <c r="G190" s="8" t="str">
        <f t="shared" si="2"/>
        <v>ANDERS STEVEN</v>
      </c>
    </row>
    <row r="191" spans="1:7" x14ac:dyDescent="0.25">
      <c r="A191" s="8">
        <v>42980.805891203701</v>
      </c>
      <c r="B191" s="20" t="s">
        <v>382</v>
      </c>
      <c r="C191" s="20" t="s">
        <v>592</v>
      </c>
      <c r="D191" s="138">
        <v>2620000</v>
      </c>
      <c r="E191" s="20" t="s">
        <v>425</v>
      </c>
      <c r="F191" s="20" t="s">
        <v>426</v>
      </c>
      <c r="G191" s="8" t="str">
        <f t="shared" si="2"/>
        <v>PERKINS DARREN</v>
      </c>
    </row>
    <row r="192" spans="1:7" x14ac:dyDescent="0.25">
      <c r="A192" s="8">
        <v>42980.808854166666</v>
      </c>
      <c r="B192" s="20" t="s">
        <v>578</v>
      </c>
      <c r="C192" s="20" t="s">
        <v>743</v>
      </c>
      <c r="D192" s="138">
        <v>3000000</v>
      </c>
      <c r="E192" s="20" t="s">
        <v>396</v>
      </c>
      <c r="F192" s="20" t="s">
        <v>397</v>
      </c>
      <c r="G192" s="8" t="str">
        <f t="shared" si="2"/>
        <v>FORTUNATO FRANK</v>
      </c>
    </row>
    <row r="193" spans="1:7" x14ac:dyDescent="0.25">
      <c r="A193" s="8">
        <v>42980.810231481482</v>
      </c>
      <c r="B193" s="20" t="s">
        <v>404</v>
      </c>
      <c r="C193" s="20" t="s">
        <v>591</v>
      </c>
      <c r="D193" s="138">
        <v>2230000</v>
      </c>
      <c r="E193" s="20" t="s">
        <v>695</v>
      </c>
      <c r="F193" s="20" t="s">
        <v>191</v>
      </c>
      <c r="G193" s="8" t="str">
        <f t="shared" si="2"/>
        <v>SMITH MICHAEL</v>
      </c>
    </row>
    <row r="194" spans="1:7" x14ac:dyDescent="0.25">
      <c r="A194" s="8">
        <v>42980.818101851852</v>
      </c>
      <c r="B194" s="20" t="s">
        <v>464</v>
      </c>
      <c r="C194" s="20" t="s">
        <v>744</v>
      </c>
      <c r="D194" s="138">
        <v>3130000</v>
      </c>
      <c r="E194" s="20" t="s">
        <v>478</v>
      </c>
      <c r="F194" s="20" t="s">
        <v>479</v>
      </c>
      <c r="G194" s="8" t="str">
        <f t="shared" si="2"/>
        <v>ZEWDU DEREJE</v>
      </c>
    </row>
    <row r="195" spans="1:7" x14ac:dyDescent="0.25">
      <c r="A195" s="8">
        <v>42980.822291666664</v>
      </c>
      <c r="B195" s="20" t="s">
        <v>611</v>
      </c>
      <c r="C195" s="20" t="s">
        <v>745</v>
      </c>
      <c r="D195" s="138">
        <v>3320000</v>
      </c>
      <c r="E195" s="20" t="s">
        <v>480</v>
      </c>
      <c r="F195" s="20" t="s">
        <v>481</v>
      </c>
      <c r="G195" s="8" t="str">
        <f t="shared" ref="G195:G258" si="3">E195&amp;" "&amp;F195</f>
        <v>NICHOLSON WESLEY</v>
      </c>
    </row>
    <row r="196" spans="1:7" x14ac:dyDescent="0.25">
      <c r="A196" s="8">
        <v>42980.831053240741</v>
      </c>
      <c r="B196" s="20" t="s">
        <v>503</v>
      </c>
      <c r="C196" s="20" t="s">
        <v>746</v>
      </c>
      <c r="D196" s="138">
        <v>3310000</v>
      </c>
      <c r="E196" s="20" t="s">
        <v>733</v>
      </c>
      <c r="F196" s="20" t="s">
        <v>734</v>
      </c>
      <c r="G196" s="8" t="str">
        <f t="shared" si="3"/>
        <v>ANDERS STEVEN</v>
      </c>
    </row>
    <row r="197" spans="1:7" x14ac:dyDescent="0.25">
      <c r="A197" s="8">
        <v>42980.833148148151</v>
      </c>
      <c r="B197" s="20" t="s">
        <v>406</v>
      </c>
      <c r="C197" s="20" t="s">
        <v>747</v>
      </c>
      <c r="D197" s="138">
        <v>3280000</v>
      </c>
      <c r="E197" s="20" t="s">
        <v>448</v>
      </c>
      <c r="F197" s="20" t="s">
        <v>449</v>
      </c>
      <c r="G197" s="8" t="str">
        <f t="shared" si="3"/>
        <v>BIRKHOLZ NADINE</v>
      </c>
    </row>
    <row r="198" spans="1:7" x14ac:dyDescent="0.25">
      <c r="A198" s="8">
        <v>42980.839201388888</v>
      </c>
      <c r="B198" s="20" t="s">
        <v>583</v>
      </c>
      <c r="C198" s="20" t="s">
        <v>748</v>
      </c>
      <c r="D198" s="138">
        <v>3000000</v>
      </c>
      <c r="E198" s="20" t="s">
        <v>396</v>
      </c>
      <c r="F198" s="20" t="s">
        <v>397</v>
      </c>
      <c r="G198" s="8" t="str">
        <f t="shared" si="3"/>
        <v>FORTUNATO FRANK</v>
      </c>
    </row>
    <row r="199" spans="1:7" x14ac:dyDescent="0.25">
      <c r="A199" s="8">
        <v>42980.842314814814</v>
      </c>
      <c r="B199" s="20" t="s">
        <v>383</v>
      </c>
      <c r="C199" s="20" t="s">
        <v>749</v>
      </c>
      <c r="D199" s="138">
        <v>2620000</v>
      </c>
      <c r="E199" s="20" t="s">
        <v>425</v>
      </c>
      <c r="F199" s="20" t="s">
        <v>426</v>
      </c>
      <c r="G199" s="8" t="str">
        <f t="shared" si="3"/>
        <v>PERKINS DARREN</v>
      </c>
    </row>
    <row r="200" spans="1:7" x14ac:dyDescent="0.25">
      <c r="A200" s="8">
        <v>42980.852071759262</v>
      </c>
      <c r="B200" s="20" t="s">
        <v>404</v>
      </c>
      <c r="C200" s="20" t="s">
        <v>750</v>
      </c>
      <c r="D200" s="138">
        <v>3280000</v>
      </c>
      <c r="E200" s="20" t="s">
        <v>448</v>
      </c>
      <c r="F200" s="20" t="s">
        <v>449</v>
      </c>
      <c r="G200" s="8" t="str">
        <f t="shared" si="3"/>
        <v>BIRKHOLZ NADINE</v>
      </c>
    </row>
    <row r="201" spans="1:7" x14ac:dyDescent="0.25">
      <c r="A201" s="8">
        <v>42980.862071759257</v>
      </c>
      <c r="B201" s="20" t="s">
        <v>496</v>
      </c>
      <c r="C201" s="20" t="s">
        <v>751</v>
      </c>
      <c r="D201" s="138">
        <v>3310000</v>
      </c>
      <c r="E201" s="20" t="s">
        <v>733</v>
      </c>
      <c r="F201" s="20" t="s">
        <v>734</v>
      </c>
      <c r="G201" s="8" t="str">
        <f t="shared" si="3"/>
        <v>ANDERS STEVEN</v>
      </c>
    </row>
    <row r="202" spans="1:7" x14ac:dyDescent="0.25">
      <c r="A202" s="26">
        <v>42980.86681712963</v>
      </c>
      <c r="B202" s="20" t="s">
        <v>602</v>
      </c>
      <c r="C202" s="20" t="s">
        <v>752</v>
      </c>
      <c r="D202" s="138">
        <v>3320000</v>
      </c>
      <c r="E202" s="20" t="s">
        <v>480</v>
      </c>
      <c r="F202" s="20" t="s">
        <v>481</v>
      </c>
      <c r="G202" s="8" t="str">
        <f t="shared" si="3"/>
        <v>NICHOLSON WESLEY</v>
      </c>
    </row>
    <row r="203" spans="1:7" x14ac:dyDescent="0.25">
      <c r="A203" s="8">
        <v>42980.878784722219</v>
      </c>
      <c r="B203" s="20" t="s">
        <v>406</v>
      </c>
      <c r="C203" s="20" t="s">
        <v>753</v>
      </c>
      <c r="D203" s="138">
        <v>3280000</v>
      </c>
      <c r="E203" s="20" t="s">
        <v>448</v>
      </c>
      <c r="F203" s="20" t="s">
        <v>449</v>
      </c>
      <c r="G203" s="8" t="str">
        <f t="shared" si="3"/>
        <v>BIRKHOLZ NADINE</v>
      </c>
    </row>
    <row r="204" spans="1:7" x14ac:dyDescent="0.25">
      <c r="A204" s="8">
        <v>42980.880439814813</v>
      </c>
      <c r="B204" s="20" t="s">
        <v>578</v>
      </c>
      <c r="C204" s="20" t="s">
        <v>754</v>
      </c>
      <c r="D204" s="138">
        <v>3000000</v>
      </c>
      <c r="E204" s="20" t="s">
        <v>396</v>
      </c>
      <c r="F204" s="20" t="s">
        <v>397</v>
      </c>
      <c r="G204" s="8" t="str">
        <f t="shared" si="3"/>
        <v>FORTUNATO FRANK</v>
      </c>
    </row>
    <row r="205" spans="1:7" x14ac:dyDescent="0.25">
      <c r="A205" s="8">
        <v>42980.881435185183</v>
      </c>
      <c r="B205" s="20" t="s">
        <v>382</v>
      </c>
      <c r="C205" s="20" t="s">
        <v>593</v>
      </c>
      <c r="D205" s="138">
        <v>2620000</v>
      </c>
      <c r="E205" s="20" t="s">
        <v>425</v>
      </c>
      <c r="F205" s="20" t="s">
        <v>426</v>
      </c>
      <c r="G205" s="8" t="str">
        <f t="shared" si="3"/>
        <v>PERKINS DARREN</v>
      </c>
    </row>
    <row r="206" spans="1:7" x14ac:dyDescent="0.25">
      <c r="A206" s="8">
        <v>42980.892407407409</v>
      </c>
      <c r="B206" s="20" t="s">
        <v>404</v>
      </c>
      <c r="C206" s="20" t="s">
        <v>755</v>
      </c>
      <c r="D206" s="138">
        <v>3280000</v>
      </c>
      <c r="E206" s="20" t="s">
        <v>448</v>
      </c>
      <c r="F206" s="20" t="s">
        <v>449</v>
      </c>
      <c r="G206" s="8" t="str">
        <f t="shared" si="3"/>
        <v>BIRKHOLZ NADINE</v>
      </c>
    </row>
    <row r="207" spans="1:7" x14ac:dyDescent="0.25">
      <c r="A207" s="8">
        <v>42980.908032407409</v>
      </c>
      <c r="B207" s="20" t="s">
        <v>611</v>
      </c>
      <c r="C207" s="20" t="s">
        <v>756</v>
      </c>
      <c r="D207" s="138">
        <v>3320000</v>
      </c>
      <c r="E207" s="20" t="s">
        <v>480</v>
      </c>
      <c r="F207" s="20" t="s">
        <v>481</v>
      </c>
      <c r="G207" s="8" t="str">
        <f t="shared" si="3"/>
        <v>NICHOLSON WESLEY</v>
      </c>
    </row>
    <row r="208" spans="1:7" x14ac:dyDescent="0.25">
      <c r="A208" s="8">
        <v>42980.911249999997</v>
      </c>
      <c r="B208" s="20" t="s">
        <v>503</v>
      </c>
      <c r="C208" s="20" t="s">
        <v>757</v>
      </c>
      <c r="D208" s="138">
        <v>3310000</v>
      </c>
      <c r="E208" s="20" t="s">
        <v>733</v>
      </c>
      <c r="F208" s="20" t="s">
        <v>734</v>
      </c>
      <c r="G208" s="8" t="str">
        <f t="shared" si="3"/>
        <v>ANDERS STEVEN</v>
      </c>
    </row>
    <row r="209" spans="1:7" x14ac:dyDescent="0.25">
      <c r="A209" s="8">
        <v>42980.918310185189</v>
      </c>
      <c r="B209" s="20" t="s">
        <v>406</v>
      </c>
      <c r="C209" s="20" t="s">
        <v>594</v>
      </c>
      <c r="D209" s="138">
        <v>3280000</v>
      </c>
      <c r="E209" s="20" t="s">
        <v>448</v>
      </c>
      <c r="F209" s="20" t="s">
        <v>449</v>
      </c>
      <c r="G209" s="8" t="str">
        <f t="shared" si="3"/>
        <v>BIRKHOLZ NADINE</v>
      </c>
    </row>
    <row r="210" spans="1:7" x14ac:dyDescent="0.25">
      <c r="A210" s="8">
        <v>42980.922407407408</v>
      </c>
      <c r="B210" s="20" t="s">
        <v>583</v>
      </c>
      <c r="C210" s="20" t="s">
        <v>758</v>
      </c>
      <c r="D210" s="138">
        <v>3000000</v>
      </c>
      <c r="E210" s="20" t="s">
        <v>396</v>
      </c>
      <c r="F210" s="20" t="s">
        <v>397</v>
      </c>
      <c r="G210" s="8" t="str">
        <f t="shared" si="3"/>
        <v>FORTUNATO FRANK</v>
      </c>
    </row>
    <row r="211" spans="1:7" x14ac:dyDescent="0.25">
      <c r="A211" s="8">
        <v>42980.923263888886</v>
      </c>
      <c r="B211" s="20" t="s">
        <v>383</v>
      </c>
      <c r="C211" s="20" t="s">
        <v>759</v>
      </c>
      <c r="D211" s="138">
        <v>2620000</v>
      </c>
      <c r="E211" s="20" t="s">
        <v>425</v>
      </c>
      <c r="F211" s="20" t="s">
        <v>426</v>
      </c>
      <c r="G211" s="8" t="str">
        <f t="shared" si="3"/>
        <v>PERKINS DARREN</v>
      </c>
    </row>
    <row r="212" spans="1:7" x14ac:dyDescent="0.25">
      <c r="A212" s="8">
        <v>42980.925405092596</v>
      </c>
      <c r="B212" s="20" t="s">
        <v>406</v>
      </c>
      <c r="C212" s="20" t="s">
        <v>594</v>
      </c>
      <c r="D212" s="138">
        <v>3280000</v>
      </c>
      <c r="E212" s="20" t="s">
        <v>448</v>
      </c>
      <c r="F212" s="20" t="s">
        <v>449</v>
      </c>
      <c r="G212" s="8" t="str">
        <f t="shared" si="3"/>
        <v>BIRKHOLZ NADINE</v>
      </c>
    </row>
    <row r="213" spans="1:7" x14ac:dyDescent="0.25">
      <c r="A213" s="8">
        <v>42980.938414351855</v>
      </c>
      <c r="B213" s="20" t="s">
        <v>404</v>
      </c>
      <c r="C213" s="20" t="s">
        <v>760</v>
      </c>
      <c r="D213" s="138">
        <v>3280000</v>
      </c>
      <c r="E213" s="20" t="s">
        <v>448</v>
      </c>
      <c r="F213" s="20" t="s">
        <v>449</v>
      </c>
      <c r="G213" s="8" t="str">
        <f t="shared" si="3"/>
        <v>BIRKHOLZ NADINE</v>
      </c>
    </row>
    <row r="214" spans="1:7" x14ac:dyDescent="0.25">
      <c r="A214" s="8">
        <v>42980.952997685185</v>
      </c>
      <c r="B214" s="20" t="s">
        <v>602</v>
      </c>
      <c r="C214" s="20" t="s">
        <v>761</v>
      </c>
      <c r="D214" s="138">
        <v>3320000</v>
      </c>
      <c r="E214" s="20" t="s">
        <v>480</v>
      </c>
      <c r="F214" s="20" t="s">
        <v>481</v>
      </c>
      <c r="G214" s="8" t="str">
        <f t="shared" si="3"/>
        <v>NICHOLSON WESLEY</v>
      </c>
    </row>
    <row r="215" spans="1:7" x14ac:dyDescent="0.25">
      <c r="A215" s="8">
        <v>42980.953043981484</v>
      </c>
      <c r="B215" s="20" t="s">
        <v>496</v>
      </c>
      <c r="C215" s="20" t="s">
        <v>762</v>
      </c>
      <c r="D215" s="138">
        <v>3310000</v>
      </c>
      <c r="E215" s="20" t="s">
        <v>733</v>
      </c>
      <c r="F215" s="20" t="s">
        <v>734</v>
      </c>
      <c r="G215" s="8" t="str">
        <f t="shared" si="3"/>
        <v>ANDERS STEVEN</v>
      </c>
    </row>
    <row r="216" spans="1:7" x14ac:dyDescent="0.25">
      <c r="A216" s="8">
        <v>42980.957361111112</v>
      </c>
      <c r="B216" s="20" t="s">
        <v>406</v>
      </c>
      <c r="C216" s="20" t="s">
        <v>763</v>
      </c>
      <c r="D216" s="138">
        <v>2230000</v>
      </c>
      <c r="E216" s="20" t="s">
        <v>695</v>
      </c>
      <c r="F216" s="20" t="s">
        <v>191</v>
      </c>
      <c r="G216" s="8" t="str">
        <f t="shared" si="3"/>
        <v>SMITH MICHAEL</v>
      </c>
    </row>
    <row r="217" spans="1:7" x14ac:dyDescent="0.25">
      <c r="A217" s="8">
        <v>42980.963877314818</v>
      </c>
      <c r="B217" s="20" t="s">
        <v>578</v>
      </c>
      <c r="C217" s="20" t="s">
        <v>764</v>
      </c>
      <c r="D217" s="138">
        <v>3000000</v>
      </c>
      <c r="E217" s="20" t="s">
        <v>396</v>
      </c>
      <c r="F217" s="20" t="s">
        <v>397</v>
      </c>
      <c r="G217" s="8" t="str">
        <f t="shared" si="3"/>
        <v>FORTUNATO FRANK</v>
      </c>
    </row>
    <row r="218" spans="1:7" x14ac:dyDescent="0.25">
      <c r="A218" s="8">
        <v>42980.96539351852</v>
      </c>
      <c r="B218" s="20" t="s">
        <v>382</v>
      </c>
      <c r="C218" s="20" t="s">
        <v>765</v>
      </c>
      <c r="D218" s="138">
        <v>2620000</v>
      </c>
      <c r="E218" s="20" t="s">
        <v>425</v>
      </c>
      <c r="F218" s="20" t="s">
        <v>426</v>
      </c>
      <c r="G218" s="8" t="str">
        <f t="shared" si="3"/>
        <v>PERKINS DARREN</v>
      </c>
    </row>
    <row r="219" spans="1:7" x14ac:dyDescent="0.25">
      <c r="A219" s="8">
        <v>42980.978576388887</v>
      </c>
      <c r="B219" s="20" t="s">
        <v>404</v>
      </c>
      <c r="C219" s="20" t="s">
        <v>766</v>
      </c>
      <c r="D219" s="138">
        <v>2230000</v>
      </c>
      <c r="E219" s="20" t="s">
        <v>695</v>
      </c>
      <c r="F219" s="20" t="s">
        <v>191</v>
      </c>
      <c r="G219" s="8" t="str">
        <f t="shared" si="3"/>
        <v>SMITH MICHAEL</v>
      </c>
    </row>
    <row r="220" spans="1:7" x14ac:dyDescent="0.25">
      <c r="A220" s="8">
        <v>42980.994803240741</v>
      </c>
      <c r="B220" s="20" t="s">
        <v>611</v>
      </c>
      <c r="C220" s="20" t="s">
        <v>767</v>
      </c>
      <c r="D220" s="138">
        <v>3320000</v>
      </c>
      <c r="E220" s="20" t="s">
        <v>480</v>
      </c>
      <c r="F220" s="20" t="s">
        <v>481</v>
      </c>
      <c r="G220" s="8" t="str">
        <f t="shared" si="3"/>
        <v>NICHOLSON WESLEY</v>
      </c>
    </row>
    <row r="221" spans="1:7" x14ac:dyDescent="0.25">
      <c r="A221" s="8">
        <v>42980.998854166668</v>
      </c>
      <c r="B221" s="20" t="s">
        <v>503</v>
      </c>
      <c r="C221" s="20" t="s">
        <v>768</v>
      </c>
      <c r="D221" s="138">
        <v>3310000</v>
      </c>
      <c r="E221" s="20" t="s">
        <v>733</v>
      </c>
      <c r="F221" s="20" t="s">
        <v>734</v>
      </c>
      <c r="G221" s="8" t="str">
        <f t="shared" si="3"/>
        <v>ANDERS STEVEN</v>
      </c>
    </row>
    <row r="222" spans="1:7" x14ac:dyDescent="0.25">
      <c r="A222" s="8">
        <v>42981.006215277775</v>
      </c>
      <c r="B222" s="20" t="s">
        <v>383</v>
      </c>
      <c r="C222" s="20" t="s">
        <v>769</v>
      </c>
      <c r="D222" s="138">
        <v>2620000</v>
      </c>
      <c r="E222" s="20" t="s">
        <v>425</v>
      </c>
      <c r="F222" s="20" t="s">
        <v>426</v>
      </c>
      <c r="G222" s="8" t="str">
        <f t="shared" si="3"/>
        <v>PERKINS DARREN</v>
      </c>
    </row>
    <row r="223" spans="1:7" x14ac:dyDescent="0.25">
      <c r="A223" s="8">
        <v>42981.006458333337</v>
      </c>
      <c r="B223" s="20" t="s">
        <v>583</v>
      </c>
      <c r="C223" s="20" t="s">
        <v>770</v>
      </c>
      <c r="D223" s="138">
        <v>3000000</v>
      </c>
      <c r="E223" s="20" t="s">
        <v>396</v>
      </c>
      <c r="F223" s="20" t="s">
        <v>397</v>
      </c>
      <c r="G223" s="8" t="str">
        <f t="shared" si="3"/>
        <v>FORTUNATO FRANK</v>
      </c>
    </row>
    <row r="224" spans="1:7" x14ac:dyDescent="0.25">
      <c r="A224" s="8">
        <v>42981.031053240738</v>
      </c>
      <c r="B224" t="s">
        <v>602</v>
      </c>
      <c r="C224" t="s">
        <v>771</v>
      </c>
      <c r="D224" s="138">
        <v>3320000</v>
      </c>
      <c r="E224" t="s">
        <v>480</v>
      </c>
      <c r="F224" s="20" t="s">
        <v>481</v>
      </c>
      <c r="G224" s="8" t="str">
        <f t="shared" si="3"/>
        <v>NICHOLSON WESLEY</v>
      </c>
    </row>
    <row r="225" spans="1:7" x14ac:dyDescent="0.25">
      <c r="A225" s="8">
        <v>42981.034166666665</v>
      </c>
      <c r="B225" t="s">
        <v>496</v>
      </c>
      <c r="C225" t="s">
        <v>772</v>
      </c>
      <c r="D225" s="138">
        <v>3310000</v>
      </c>
      <c r="E225" t="s">
        <v>733</v>
      </c>
      <c r="F225" s="20" t="s">
        <v>734</v>
      </c>
      <c r="G225" s="8" t="str">
        <f t="shared" si="3"/>
        <v>ANDERS STEVEN</v>
      </c>
    </row>
    <row r="226" spans="1:7" x14ac:dyDescent="0.25">
      <c r="A226" s="8">
        <v>42981.047314814816</v>
      </c>
      <c r="B226" t="s">
        <v>578</v>
      </c>
      <c r="C226" t="s">
        <v>773</v>
      </c>
      <c r="D226" s="138">
        <v>3000000</v>
      </c>
      <c r="E226" t="s">
        <v>396</v>
      </c>
      <c r="F226" s="20" t="s">
        <v>397</v>
      </c>
      <c r="G226" s="8" t="str">
        <f t="shared" si="3"/>
        <v>FORTUNATO FRANK</v>
      </c>
    </row>
    <row r="227" spans="1:7" x14ac:dyDescent="0.25">
      <c r="A227" s="8">
        <v>42981.054027777776</v>
      </c>
      <c r="B227" t="s">
        <v>382</v>
      </c>
      <c r="C227" t="s">
        <v>774</v>
      </c>
      <c r="D227" s="138">
        <v>2620000</v>
      </c>
      <c r="E227" t="s">
        <v>425</v>
      </c>
      <c r="F227" s="20" t="s">
        <v>426</v>
      </c>
      <c r="G227" s="8" t="str">
        <f t="shared" si="3"/>
        <v>PERKINS DARREN</v>
      </c>
    </row>
    <row r="228" spans="1:7" x14ac:dyDescent="0.25">
      <c r="A228" s="8">
        <v>42981.070173611108</v>
      </c>
      <c r="B228" t="s">
        <v>611</v>
      </c>
      <c r="C228" t="s">
        <v>775</v>
      </c>
      <c r="D228" s="138">
        <v>3320000</v>
      </c>
      <c r="E228" t="s">
        <v>480</v>
      </c>
      <c r="F228" s="20" t="s">
        <v>481</v>
      </c>
      <c r="G228" s="8" t="str">
        <f t="shared" si="3"/>
        <v>NICHOLSON WESLEY</v>
      </c>
    </row>
    <row r="229" spans="1:7" x14ac:dyDescent="0.25">
      <c r="A229" s="8">
        <v>42981.0783912037</v>
      </c>
      <c r="B229" t="s">
        <v>510</v>
      </c>
      <c r="C229" t="s">
        <v>776</v>
      </c>
      <c r="D229" s="138">
        <v>3310000</v>
      </c>
      <c r="E229" t="s">
        <v>733</v>
      </c>
      <c r="F229" s="20" t="s">
        <v>734</v>
      </c>
      <c r="G229" s="8" t="str">
        <f t="shared" si="3"/>
        <v>ANDERS STEVEN</v>
      </c>
    </row>
    <row r="230" spans="1:7" x14ac:dyDescent="0.25">
      <c r="A230" s="8">
        <v>42981.09</v>
      </c>
      <c r="B230" t="s">
        <v>383</v>
      </c>
      <c r="C230" t="s">
        <v>777</v>
      </c>
      <c r="D230" s="138">
        <v>2620000</v>
      </c>
      <c r="E230" t="s">
        <v>425</v>
      </c>
      <c r="F230" s="20" t="s">
        <v>426</v>
      </c>
      <c r="G230" s="8" t="str">
        <f t="shared" si="3"/>
        <v>PERKINS DARREN</v>
      </c>
    </row>
    <row r="231" spans="1:7" x14ac:dyDescent="0.25">
      <c r="A231" s="8">
        <v>42981.112986111111</v>
      </c>
      <c r="B231" t="s">
        <v>602</v>
      </c>
      <c r="C231" t="s">
        <v>778</v>
      </c>
      <c r="D231" s="138">
        <v>3320000</v>
      </c>
      <c r="E231" t="s">
        <v>480</v>
      </c>
      <c r="F231" s="20" t="s">
        <v>481</v>
      </c>
      <c r="G231" s="8" t="str">
        <f t="shared" si="3"/>
        <v>NICHOLSON WESLEY</v>
      </c>
    </row>
    <row r="232" spans="1:7" x14ac:dyDescent="0.25">
      <c r="A232" s="8">
        <v>42981.113240740742</v>
      </c>
      <c r="B232" t="s">
        <v>779</v>
      </c>
      <c r="C232" t="s">
        <v>780</v>
      </c>
      <c r="D232" s="138">
        <v>3120000</v>
      </c>
      <c r="E232" t="s">
        <v>596</v>
      </c>
      <c r="F232" s="20" t="s">
        <v>597</v>
      </c>
      <c r="G232" s="8" t="str">
        <f t="shared" si="3"/>
        <v>THOMPSON LESTER</v>
      </c>
    </row>
    <row r="233" spans="1:7" x14ac:dyDescent="0.25">
      <c r="A233" s="8">
        <v>42979.958333333336</v>
      </c>
      <c r="B233" t="s">
        <v>494</v>
      </c>
      <c r="C233" t="s">
        <v>515</v>
      </c>
      <c r="D233" s="138">
        <v>3500000</v>
      </c>
      <c r="E233" t="s">
        <v>435</v>
      </c>
      <c r="F233" s="20" t="s">
        <v>436</v>
      </c>
      <c r="G233" s="8" t="str">
        <f t="shared" si="3"/>
        <v>GUNTHIER ERIC</v>
      </c>
    </row>
    <row r="234" spans="1:7" x14ac:dyDescent="0.25">
      <c r="A234" s="8">
        <v>42979.97247685185</v>
      </c>
      <c r="B234" t="s">
        <v>462</v>
      </c>
      <c r="C234" t="s">
        <v>516</v>
      </c>
      <c r="D234" s="138">
        <v>3320000</v>
      </c>
      <c r="E234" t="s">
        <v>480</v>
      </c>
      <c r="F234" s="20" t="s">
        <v>481</v>
      </c>
      <c r="G234" s="8" t="str">
        <f t="shared" si="3"/>
        <v>NICHOLSON WESLEY</v>
      </c>
    </row>
    <row r="235" spans="1:7" x14ac:dyDescent="0.25">
      <c r="A235" s="8">
        <v>42979.973321759258</v>
      </c>
      <c r="B235" t="s">
        <v>445</v>
      </c>
      <c r="C235" t="s">
        <v>517</v>
      </c>
      <c r="D235" s="138">
        <v>2730000</v>
      </c>
      <c r="E235" t="s">
        <v>394</v>
      </c>
      <c r="F235" s="20" t="s">
        <v>395</v>
      </c>
      <c r="G235" s="8" t="str">
        <f t="shared" si="3"/>
        <v>YANG JAN</v>
      </c>
    </row>
    <row r="236" spans="1:7" x14ac:dyDescent="0.25">
      <c r="A236" s="8">
        <v>42979.977141203701</v>
      </c>
      <c r="B236" t="s">
        <v>495</v>
      </c>
      <c r="C236" t="s">
        <v>518</v>
      </c>
      <c r="D236" s="138">
        <v>3500000</v>
      </c>
      <c r="E236" t="s">
        <v>435</v>
      </c>
      <c r="F236" s="20" t="s">
        <v>436</v>
      </c>
      <c r="G236" s="8" t="str">
        <f t="shared" si="3"/>
        <v>GUNTHIER ERIC</v>
      </c>
    </row>
    <row r="237" spans="1:7" x14ac:dyDescent="0.25">
      <c r="A237" s="8">
        <v>42979.987291666665</v>
      </c>
      <c r="B237" t="s">
        <v>493</v>
      </c>
      <c r="C237" t="s">
        <v>519</v>
      </c>
      <c r="D237" s="138">
        <v>2620000</v>
      </c>
      <c r="E237" t="s">
        <v>425</v>
      </c>
      <c r="F237" s="20" t="s">
        <v>426</v>
      </c>
      <c r="G237" s="8" t="str">
        <f t="shared" si="3"/>
        <v>PERKINS DARREN</v>
      </c>
    </row>
    <row r="238" spans="1:7" x14ac:dyDescent="0.25">
      <c r="A238" s="8">
        <v>42979.990671296298</v>
      </c>
      <c r="B238" t="s">
        <v>498</v>
      </c>
      <c r="C238" t="s">
        <v>499</v>
      </c>
      <c r="D238" s="138">
        <v>3340000</v>
      </c>
      <c r="E238" t="s">
        <v>513</v>
      </c>
      <c r="F238" s="20" t="s">
        <v>514</v>
      </c>
      <c r="G238" s="8" t="str">
        <f t="shared" si="3"/>
        <v>ELBAUM MIKE</v>
      </c>
    </row>
    <row r="239" spans="1:7" x14ac:dyDescent="0.25">
      <c r="A239" s="8">
        <v>42980.01425925926</v>
      </c>
      <c r="B239" t="s">
        <v>461</v>
      </c>
      <c r="C239" t="s">
        <v>520</v>
      </c>
      <c r="D239" s="138">
        <v>3320000</v>
      </c>
      <c r="E239" t="s">
        <v>480</v>
      </c>
      <c r="F239" s="20" t="s">
        <v>481</v>
      </c>
      <c r="G239" s="8" t="str">
        <f t="shared" si="3"/>
        <v>NICHOLSON WESLEY</v>
      </c>
    </row>
    <row r="240" spans="1:7" x14ac:dyDescent="0.25">
      <c r="A240" s="8">
        <v>42980.015636574077</v>
      </c>
      <c r="B240" t="s">
        <v>444</v>
      </c>
      <c r="C240" t="s">
        <v>521</v>
      </c>
      <c r="D240" s="138">
        <v>2730000</v>
      </c>
      <c r="E240" t="s">
        <v>394</v>
      </c>
      <c r="F240" s="20" t="s">
        <v>395</v>
      </c>
      <c r="G240" s="8" t="str">
        <f t="shared" si="3"/>
        <v>YANG JAN</v>
      </c>
    </row>
    <row r="241" spans="1:7" x14ac:dyDescent="0.25">
      <c r="A241" s="8">
        <v>42980.028900462959</v>
      </c>
      <c r="B241" t="s">
        <v>466</v>
      </c>
      <c r="C241" t="s">
        <v>522</v>
      </c>
      <c r="D241" s="138">
        <v>3340000</v>
      </c>
      <c r="E241" t="s">
        <v>513</v>
      </c>
      <c r="F241" s="20" t="s">
        <v>514</v>
      </c>
      <c r="G241" s="8" t="str">
        <f t="shared" si="3"/>
        <v>ELBAUM MIKE</v>
      </c>
    </row>
    <row r="242" spans="1:7" x14ac:dyDescent="0.25">
      <c r="A242" s="8">
        <v>42980.035219907404</v>
      </c>
      <c r="B242" t="s">
        <v>500</v>
      </c>
      <c r="C242" t="s">
        <v>523</v>
      </c>
      <c r="D242" s="138">
        <v>2620000</v>
      </c>
      <c r="E242" t="s">
        <v>425</v>
      </c>
      <c r="F242" s="20" t="s">
        <v>426</v>
      </c>
      <c r="G242" s="8" t="str">
        <f t="shared" si="3"/>
        <v>PERKINS DARREN</v>
      </c>
    </row>
    <row r="243" spans="1:7" x14ac:dyDescent="0.25">
      <c r="A243" s="8">
        <v>42980.048043981478</v>
      </c>
      <c r="B243" t="s">
        <v>445</v>
      </c>
      <c r="C243" t="s">
        <v>524</v>
      </c>
      <c r="D243" s="138">
        <v>2730000</v>
      </c>
      <c r="E243" t="s">
        <v>394</v>
      </c>
      <c r="F243" s="20" t="s">
        <v>395</v>
      </c>
      <c r="G243" s="8" t="str">
        <f t="shared" si="3"/>
        <v>YANG JAN</v>
      </c>
    </row>
    <row r="244" spans="1:7" x14ac:dyDescent="0.25">
      <c r="A244" s="8">
        <v>42980.058796296296</v>
      </c>
      <c r="B244" t="s">
        <v>462</v>
      </c>
      <c r="C244" t="s">
        <v>525</v>
      </c>
      <c r="D244" s="138">
        <v>3320000</v>
      </c>
      <c r="E244" t="s">
        <v>480</v>
      </c>
      <c r="F244" s="20" t="s">
        <v>481</v>
      </c>
      <c r="G244" s="8" t="str">
        <f t="shared" si="3"/>
        <v>NICHOLSON WESLEY</v>
      </c>
    </row>
    <row r="245" spans="1:7" x14ac:dyDescent="0.25">
      <c r="A245" s="8">
        <v>42980.073506944442</v>
      </c>
      <c r="B245" t="s">
        <v>493</v>
      </c>
      <c r="C245" t="s">
        <v>526</v>
      </c>
      <c r="D245" s="138">
        <v>2620000</v>
      </c>
      <c r="E245" t="s">
        <v>425</v>
      </c>
      <c r="F245" s="20" t="s">
        <v>426</v>
      </c>
      <c r="G245" s="8" t="str">
        <f t="shared" si="3"/>
        <v>PERKINS DARREN</v>
      </c>
    </row>
    <row r="246" spans="1:7" x14ac:dyDescent="0.25">
      <c r="A246" s="8">
        <v>42980.075868055559</v>
      </c>
      <c r="B246" t="s">
        <v>498</v>
      </c>
      <c r="C246" t="s">
        <v>527</v>
      </c>
      <c r="D246" s="138">
        <v>3340000</v>
      </c>
      <c r="E246" t="s">
        <v>513</v>
      </c>
      <c r="F246" s="20" t="s">
        <v>514</v>
      </c>
      <c r="G246" s="8" t="str">
        <f t="shared" si="3"/>
        <v>ELBAUM MIKE</v>
      </c>
    </row>
    <row r="247" spans="1:7" x14ac:dyDescent="0.25">
      <c r="A247" s="8">
        <v>42980.077870370369</v>
      </c>
      <c r="B247" t="s">
        <v>462</v>
      </c>
      <c r="C247" t="s">
        <v>525</v>
      </c>
      <c r="D247" s="138">
        <v>3320000</v>
      </c>
      <c r="E247" t="s">
        <v>480</v>
      </c>
      <c r="F247" s="20" t="s">
        <v>481</v>
      </c>
      <c r="G247" s="8" t="str">
        <f t="shared" si="3"/>
        <v>NICHOLSON WESLEY</v>
      </c>
    </row>
    <row r="248" spans="1:7" x14ac:dyDescent="0.25">
      <c r="A248" s="8">
        <v>42980.110462962963</v>
      </c>
      <c r="B248" t="s">
        <v>466</v>
      </c>
      <c r="C248" t="s">
        <v>528</v>
      </c>
      <c r="D248" s="138">
        <v>3340000</v>
      </c>
      <c r="E248" t="s">
        <v>513</v>
      </c>
      <c r="F248" s="20" t="s">
        <v>514</v>
      </c>
      <c r="G248" s="8" t="str">
        <f t="shared" si="3"/>
        <v>ELBAUM MIKE</v>
      </c>
    </row>
    <row r="249" spans="1:7" x14ac:dyDescent="0.25">
      <c r="A249" s="8">
        <v>42980.111145833333</v>
      </c>
      <c r="B249" t="s">
        <v>466</v>
      </c>
      <c r="C249" t="s">
        <v>528</v>
      </c>
      <c r="D249" s="138">
        <v>3340000</v>
      </c>
      <c r="E249" t="s">
        <v>513</v>
      </c>
      <c r="F249" s="20" t="s">
        <v>514</v>
      </c>
      <c r="G249" s="8" t="str">
        <f t="shared" si="3"/>
        <v>ELBAUM MIKE</v>
      </c>
    </row>
    <row r="250" spans="1:7" x14ac:dyDescent="0.25">
      <c r="A250" s="8">
        <v>42970.976006944446</v>
      </c>
      <c r="B250" t="s">
        <v>384</v>
      </c>
      <c r="C250" t="s">
        <v>411</v>
      </c>
      <c r="D250" s="138">
        <v>3220000</v>
      </c>
      <c r="E250" t="s">
        <v>407</v>
      </c>
      <c r="F250" s="20" t="s">
        <v>408</v>
      </c>
      <c r="G250" s="8" t="str">
        <f t="shared" si="3"/>
        <v>RESPASS AARON</v>
      </c>
    </row>
    <row r="251" spans="1:7" x14ac:dyDescent="0.25">
      <c r="A251" s="8">
        <v>42970.985254629632</v>
      </c>
      <c r="B251" t="s">
        <v>404</v>
      </c>
      <c r="C251" t="s">
        <v>412</v>
      </c>
      <c r="D251" s="138">
        <v>3000000</v>
      </c>
      <c r="E251" t="s">
        <v>396</v>
      </c>
      <c r="F251" s="20" t="s">
        <v>397</v>
      </c>
      <c r="G251" s="8" t="str">
        <f t="shared" si="3"/>
        <v>FORTUNATO FRANK</v>
      </c>
    </row>
    <row r="252" spans="1:7" x14ac:dyDescent="0.25">
      <c r="A252" s="8">
        <v>42970.986562500002</v>
      </c>
      <c r="B252" t="s">
        <v>383</v>
      </c>
      <c r="C252" t="s">
        <v>413</v>
      </c>
      <c r="D252" s="138">
        <v>3490000</v>
      </c>
      <c r="E252" t="s">
        <v>385</v>
      </c>
      <c r="F252" s="20" t="s">
        <v>386</v>
      </c>
      <c r="G252" s="8" t="str">
        <f t="shared" si="3"/>
        <v>WEST BRYAN</v>
      </c>
    </row>
    <row r="253" spans="1:7" x14ac:dyDescent="0.25">
      <c r="A253" s="8">
        <v>42971.015821759262</v>
      </c>
      <c r="B253" t="s">
        <v>405</v>
      </c>
      <c r="C253" t="s">
        <v>414</v>
      </c>
      <c r="D253" s="138">
        <v>3220000</v>
      </c>
      <c r="E253" t="s">
        <v>407</v>
      </c>
      <c r="F253" s="20" t="s">
        <v>408</v>
      </c>
      <c r="G253" s="8" t="str">
        <f t="shared" si="3"/>
        <v>RESPASS AARON</v>
      </c>
    </row>
    <row r="254" spans="1:7" x14ac:dyDescent="0.25">
      <c r="A254" s="8">
        <v>42971.017129629632</v>
      </c>
      <c r="B254" t="s">
        <v>392</v>
      </c>
      <c r="C254" t="s">
        <v>415</v>
      </c>
      <c r="D254" s="138">
        <v>3090000</v>
      </c>
      <c r="E254" t="s">
        <v>409</v>
      </c>
      <c r="F254" s="20" t="s">
        <v>410</v>
      </c>
      <c r="G254" s="8" t="str">
        <f t="shared" si="3"/>
        <v>LAMAR NEKESHA</v>
      </c>
    </row>
    <row r="255" spans="1:7" x14ac:dyDescent="0.25">
      <c r="A255" s="8">
        <v>42971.026342592595</v>
      </c>
      <c r="B255" t="s">
        <v>406</v>
      </c>
      <c r="C255" t="s">
        <v>416</v>
      </c>
      <c r="D255" s="138">
        <v>3000000</v>
      </c>
      <c r="E255" t="s">
        <v>396</v>
      </c>
      <c r="F255" s="20" t="s">
        <v>397</v>
      </c>
      <c r="G255" s="8" t="str">
        <f t="shared" si="3"/>
        <v>FORTUNATO FRANK</v>
      </c>
    </row>
    <row r="256" spans="1:7" x14ac:dyDescent="0.25">
      <c r="A256" s="8">
        <v>42971.029131944444</v>
      </c>
      <c r="B256" t="s">
        <v>382</v>
      </c>
      <c r="C256" t="s">
        <v>417</v>
      </c>
      <c r="D256" s="138">
        <v>3490000</v>
      </c>
      <c r="E256" t="s">
        <v>385</v>
      </c>
      <c r="F256" s="20" t="s">
        <v>386</v>
      </c>
      <c r="G256" s="8" t="str">
        <f t="shared" si="3"/>
        <v>WEST BRYAN</v>
      </c>
    </row>
    <row r="257" spans="1:7" x14ac:dyDescent="0.25">
      <c r="A257" s="8">
        <v>42971.049212962964</v>
      </c>
      <c r="B257" t="s">
        <v>384</v>
      </c>
      <c r="C257" t="s">
        <v>418</v>
      </c>
      <c r="D257" s="138">
        <v>3220000</v>
      </c>
      <c r="E257" t="s">
        <v>407</v>
      </c>
      <c r="F257" s="20" t="s">
        <v>408</v>
      </c>
      <c r="G257" s="8" t="str">
        <f t="shared" si="3"/>
        <v>RESPASS AARON</v>
      </c>
    </row>
    <row r="258" spans="1:7" x14ac:dyDescent="0.25">
      <c r="A258" s="8">
        <v>42971.055162037039</v>
      </c>
      <c r="B258" t="s">
        <v>393</v>
      </c>
      <c r="C258" t="s">
        <v>419</v>
      </c>
      <c r="D258" s="138">
        <v>3090000</v>
      </c>
      <c r="E258" t="s">
        <v>409</v>
      </c>
      <c r="F258" s="20" t="s">
        <v>410</v>
      </c>
      <c r="G258" s="8" t="str">
        <f t="shared" si="3"/>
        <v>LAMAR NEKESHA</v>
      </c>
    </row>
    <row r="259" spans="1:7" x14ac:dyDescent="0.25">
      <c r="A259" s="8">
        <v>42971.068877314814</v>
      </c>
      <c r="B259" t="s">
        <v>383</v>
      </c>
      <c r="C259" t="s">
        <v>420</v>
      </c>
      <c r="D259" s="138">
        <v>3490000</v>
      </c>
      <c r="E259" t="s">
        <v>385</v>
      </c>
      <c r="F259" s="20" t="s">
        <v>386</v>
      </c>
      <c r="G259" s="8" t="str">
        <f t="shared" ref="G259:G260" si="4">E259&amp;" "&amp;F259</f>
        <v>WEST BRYAN</v>
      </c>
    </row>
    <row r="260" spans="1:7" x14ac:dyDescent="0.25">
      <c r="A260" s="8">
        <v>42971.089328703703</v>
      </c>
      <c r="B260" t="s">
        <v>392</v>
      </c>
      <c r="C260" t="s">
        <v>421</v>
      </c>
      <c r="D260" s="138">
        <v>3090000</v>
      </c>
      <c r="E260" t="s">
        <v>409</v>
      </c>
      <c r="F260" s="20" t="s">
        <v>410</v>
      </c>
      <c r="G260" s="8" t="str">
        <f t="shared" si="4"/>
        <v>LAMAR NEKESHA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R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168" t="s">
        <v>158</v>
      </c>
      <c r="B1" s="168" t="s">
        <v>161</v>
      </c>
      <c r="C1" s="168" t="s">
        <v>154</v>
      </c>
      <c r="D1" s="136" t="s">
        <v>166</v>
      </c>
      <c r="E1" s="168" t="s">
        <v>155</v>
      </c>
      <c r="F1" s="168" t="s">
        <v>153</v>
      </c>
      <c r="G1" s="168" t="s">
        <v>151</v>
      </c>
      <c r="H1" s="168" t="s">
        <v>164</v>
      </c>
      <c r="I1" s="168" t="s">
        <v>165</v>
      </c>
      <c r="J1" s="168" t="s">
        <v>159</v>
      </c>
      <c r="K1" s="168" t="s">
        <v>157</v>
      </c>
      <c r="L1" s="168" t="s">
        <v>152</v>
      </c>
      <c r="M1" s="168" t="s">
        <v>162</v>
      </c>
      <c r="N1" s="168" t="s">
        <v>352</v>
      </c>
      <c r="O1" s="168" t="s">
        <v>156</v>
      </c>
      <c r="P1" s="168" t="s">
        <v>163</v>
      </c>
      <c r="Q1" s="168" t="s">
        <v>353</v>
      </c>
      <c r="R1" s="168" t="s">
        <v>160</v>
      </c>
      <c r="S1"/>
    </row>
    <row r="2" spans="1:19" x14ac:dyDescent="0.25">
      <c r="A2" s="169">
        <v>64.37</v>
      </c>
      <c r="B2" s="169">
        <v>0.03</v>
      </c>
      <c r="C2" s="169">
        <v>45.14</v>
      </c>
      <c r="D2" s="8">
        <v>42980</v>
      </c>
      <c r="E2" s="169">
        <v>0.5</v>
      </c>
      <c r="F2" s="169" t="s">
        <v>375</v>
      </c>
      <c r="G2" s="169">
        <v>278.77</v>
      </c>
      <c r="H2" s="169">
        <v>0</v>
      </c>
      <c r="I2" s="169">
        <v>0</v>
      </c>
      <c r="J2" s="169">
        <v>1016.09</v>
      </c>
      <c r="K2" s="169" t="s">
        <v>374</v>
      </c>
      <c r="L2" s="169">
        <v>64.37</v>
      </c>
      <c r="M2" s="169">
        <v>1504332000</v>
      </c>
      <c r="N2" s="169">
        <v>0</v>
      </c>
      <c r="O2" s="169">
        <v>3.71</v>
      </c>
      <c r="P2" s="169">
        <v>190</v>
      </c>
      <c r="Q2" s="169">
        <v>2.86</v>
      </c>
      <c r="R2" s="169">
        <v>1.19</v>
      </c>
      <c r="S2"/>
    </row>
    <row r="3" spans="1:19" x14ac:dyDescent="0.25">
      <c r="A3" s="169">
        <v>62.65</v>
      </c>
      <c r="B3" s="169">
        <v>0.01</v>
      </c>
      <c r="C3" s="169">
        <v>44.82</v>
      </c>
      <c r="D3" s="8">
        <v>42980.041666666664</v>
      </c>
      <c r="E3" s="169">
        <v>0.52</v>
      </c>
      <c r="F3" s="169" t="s">
        <v>375</v>
      </c>
      <c r="G3" s="169">
        <v>278.18</v>
      </c>
      <c r="H3" s="169">
        <v>0</v>
      </c>
      <c r="I3" s="169">
        <v>0</v>
      </c>
      <c r="J3" s="169">
        <v>1016.43</v>
      </c>
      <c r="K3" s="169" t="s">
        <v>374</v>
      </c>
      <c r="L3" s="169">
        <v>62.65</v>
      </c>
      <c r="M3" s="169">
        <v>1504335600</v>
      </c>
      <c r="N3" s="169">
        <v>0</v>
      </c>
      <c r="O3" s="169">
        <v>3.29</v>
      </c>
      <c r="P3" s="169">
        <v>185</v>
      </c>
      <c r="Q3" s="169">
        <v>2.99</v>
      </c>
      <c r="R3" s="169">
        <v>1.08</v>
      </c>
      <c r="S3"/>
    </row>
    <row r="4" spans="1:19" x14ac:dyDescent="0.25">
      <c r="A4" s="169">
        <v>61.46</v>
      </c>
      <c r="B4" s="169">
        <v>0</v>
      </c>
      <c r="C4" s="169">
        <v>44.76</v>
      </c>
      <c r="D4" s="8">
        <v>42980.083333333336</v>
      </c>
      <c r="E4" s="169">
        <v>0.54</v>
      </c>
      <c r="F4" s="169" t="s">
        <v>375</v>
      </c>
      <c r="G4" s="169">
        <v>277.7</v>
      </c>
      <c r="H4" s="169">
        <v>0</v>
      </c>
      <c r="I4" s="169">
        <v>0</v>
      </c>
      <c r="J4" s="169">
        <v>1016.57</v>
      </c>
      <c r="K4" s="169" t="s">
        <v>374</v>
      </c>
      <c r="L4" s="169">
        <v>61.46</v>
      </c>
      <c r="M4" s="169">
        <v>1504339200</v>
      </c>
      <c r="N4" s="169">
        <v>0</v>
      </c>
      <c r="O4" s="169">
        <v>2.4</v>
      </c>
      <c r="P4" s="169">
        <v>200</v>
      </c>
      <c r="Q4" s="169">
        <v>3.01</v>
      </c>
      <c r="R4" s="169">
        <v>1.1599999999999999</v>
      </c>
      <c r="S4"/>
    </row>
    <row r="5" spans="1:19" x14ac:dyDescent="0.25">
      <c r="A5" s="169">
        <v>60.51</v>
      </c>
      <c r="B5" s="169">
        <v>0</v>
      </c>
      <c r="C5" s="169">
        <v>44.65</v>
      </c>
      <c r="D5" s="8">
        <v>42980.125</v>
      </c>
      <c r="E5" s="169">
        <v>0.56000000000000005</v>
      </c>
      <c r="F5" s="169" t="s">
        <v>375</v>
      </c>
      <c r="G5" s="169">
        <v>277.35000000000002</v>
      </c>
      <c r="H5" s="169">
        <v>0</v>
      </c>
      <c r="I5" s="169">
        <v>0</v>
      </c>
      <c r="J5" s="169">
        <v>1016.16</v>
      </c>
      <c r="K5" s="169" t="s">
        <v>374</v>
      </c>
      <c r="L5" s="169">
        <v>60.51</v>
      </c>
      <c r="M5" s="169">
        <v>1504342800</v>
      </c>
      <c r="N5" s="169">
        <v>0</v>
      </c>
      <c r="O5" s="169">
        <v>3.53</v>
      </c>
      <c r="P5" s="169">
        <v>223</v>
      </c>
      <c r="Q5" s="169">
        <v>2.82</v>
      </c>
      <c r="R5" s="169">
        <v>1.24</v>
      </c>
      <c r="S5"/>
    </row>
    <row r="6" spans="1:19" x14ac:dyDescent="0.25">
      <c r="A6" s="169">
        <v>58.79</v>
      </c>
      <c r="B6" s="169">
        <v>0</v>
      </c>
      <c r="C6" s="169">
        <v>44.64</v>
      </c>
      <c r="D6" s="8">
        <v>42980.166666666664</v>
      </c>
      <c r="E6" s="169">
        <v>0.59</v>
      </c>
      <c r="F6" s="169" t="s">
        <v>375</v>
      </c>
      <c r="G6" s="169">
        <v>277.35000000000002</v>
      </c>
      <c r="H6" s="169">
        <v>0</v>
      </c>
      <c r="I6" s="169">
        <v>0</v>
      </c>
      <c r="J6" s="169">
        <v>1016.35</v>
      </c>
      <c r="K6" s="169" t="s">
        <v>374</v>
      </c>
      <c r="L6" s="169">
        <v>58.79</v>
      </c>
      <c r="M6" s="169">
        <v>1504346400</v>
      </c>
      <c r="N6" s="169">
        <v>0</v>
      </c>
      <c r="O6" s="169">
        <v>3.14</v>
      </c>
      <c r="P6" s="169">
        <v>237</v>
      </c>
      <c r="Q6" s="169">
        <v>2.36</v>
      </c>
      <c r="R6" s="169">
        <v>1.1599999999999999</v>
      </c>
      <c r="S6"/>
    </row>
    <row r="7" spans="1:19" x14ac:dyDescent="0.25">
      <c r="A7" s="169">
        <v>57.67</v>
      </c>
      <c r="B7" s="169">
        <v>0</v>
      </c>
      <c r="C7" s="169">
        <v>44.64</v>
      </c>
      <c r="D7" s="8">
        <v>42980.208333333336</v>
      </c>
      <c r="E7" s="169">
        <v>0.62</v>
      </c>
      <c r="F7" s="169" t="s">
        <v>375</v>
      </c>
      <c r="G7" s="169">
        <v>277.48</v>
      </c>
      <c r="H7" s="169">
        <v>0</v>
      </c>
      <c r="I7" s="169">
        <v>0</v>
      </c>
      <c r="J7" s="169">
        <v>1016.96</v>
      </c>
      <c r="K7" s="169" t="s">
        <v>374</v>
      </c>
      <c r="L7" s="169">
        <v>57.67</v>
      </c>
      <c r="M7" s="169">
        <v>1504350000</v>
      </c>
      <c r="N7" s="169">
        <v>0</v>
      </c>
      <c r="O7" s="169">
        <v>3.61</v>
      </c>
      <c r="P7" s="169">
        <v>247</v>
      </c>
      <c r="Q7" s="169">
        <v>2.09</v>
      </c>
      <c r="R7" s="169">
        <v>1.01</v>
      </c>
      <c r="S7"/>
    </row>
    <row r="8" spans="1:19" x14ac:dyDescent="0.25">
      <c r="A8" s="169">
        <v>56.92</v>
      </c>
      <c r="B8" s="169">
        <v>0</v>
      </c>
      <c r="C8" s="169">
        <v>44.48</v>
      </c>
      <c r="D8" s="8">
        <v>42980.25</v>
      </c>
      <c r="E8" s="169">
        <v>0.63</v>
      </c>
      <c r="F8" s="169" t="s">
        <v>375</v>
      </c>
      <c r="G8" s="169">
        <v>276.76</v>
      </c>
      <c r="H8" s="169">
        <v>0</v>
      </c>
      <c r="I8" s="169">
        <v>0</v>
      </c>
      <c r="J8" s="169">
        <v>1017.81</v>
      </c>
      <c r="K8" s="169" t="s">
        <v>374</v>
      </c>
      <c r="L8" s="169">
        <v>56.92</v>
      </c>
      <c r="M8" s="169">
        <v>1504353600</v>
      </c>
      <c r="N8" s="169">
        <v>0</v>
      </c>
      <c r="O8" s="169">
        <v>3.09</v>
      </c>
      <c r="P8" s="169">
        <v>272</v>
      </c>
      <c r="Q8" s="169">
        <v>2.34</v>
      </c>
      <c r="R8" s="169">
        <v>0.81</v>
      </c>
      <c r="S8"/>
    </row>
    <row r="9" spans="1:19" x14ac:dyDescent="0.25">
      <c r="A9" s="169">
        <v>56.76</v>
      </c>
      <c r="B9" s="169">
        <v>0.04</v>
      </c>
      <c r="C9" s="169">
        <v>44.4</v>
      </c>
      <c r="D9" s="8">
        <v>42980.291666666664</v>
      </c>
      <c r="E9" s="169">
        <v>0.63</v>
      </c>
      <c r="F9" s="169" t="s">
        <v>373</v>
      </c>
      <c r="G9" s="169">
        <v>277</v>
      </c>
      <c r="H9" s="169">
        <v>0</v>
      </c>
      <c r="I9" s="169">
        <v>0</v>
      </c>
      <c r="J9" s="169">
        <v>1018.9</v>
      </c>
      <c r="K9" s="169" t="s">
        <v>374</v>
      </c>
      <c r="L9" s="169">
        <v>56.76</v>
      </c>
      <c r="M9" s="169">
        <v>1504357200</v>
      </c>
      <c r="N9" s="169">
        <v>0</v>
      </c>
      <c r="O9" s="169">
        <v>2.71</v>
      </c>
      <c r="P9" s="169">
        <v>240</v>
      </c>
      <c r="Q9" s="169">
        <v>2.74</v>
      </c>
      <c r="R9" s="169">
        <v>0.89</v>
      </c>
      <c r="S9"/>
    </row>
    <row r="10" spans="1:19" x14ac:dyDescent="0.25">
      <c r="A10" s="169">
        <v>62.12</v>
      </c>
      <c r="B10" s="169">
        <v>0</v>
      </c>
      <c r="C10" s="169">
        <v>45.93</v>
      </c>
      <c r="D10" s="8">
        <v>42980.333333333336</v>
      </c>
      <c r="E10" s="169">
        <v>0.55000000000000004</v>
      </c>
      <c r="F10" s="169" t="s">
        <v>373</v>
      </c>
      <c r="G10" s="169">
        <v>277.36</v>
      </c>
      <c r="H10" s="169">
        <v>0</v>
      </c>
      <c r="I10" s="169">
        <v>0</v>
      </c>
      <c r="J10" s="169">
        <v>1019.43</v>
      </c>
      <c r="K10" s="169" t="s">
        <v>374</v>
      </c>
      <c r="L10" s="169">
        <v>62.12</v>
      </c>
      <c r="M10" s="169">
        <v>1504360800</v>
      </c>
      <c r="N10" s="169">
        <v>1</v>
      </c>
      <c r="O10" s="169">
        <v>10</v>
      </c>
      <c r="P10" s="169">
        <v>258</v>
      </c>
      <c r="Q10" s="169">
        <v>4.97</v>
      </c>
      <c r="R10" s="169">
        <v>0.81</v>
      </c>
      <c r="S10"/>
    </row>
    <row r="11" spans="1:19" x14ac:dyDescent="0.25">
      <c r="A11" s="169">
        <v>68.849999999999994</v>
      </c>
      <c r="B11" s="169">
        <v>0.02</v>
      </c>
      <c r="C11" s="169">
        <v>45.7</v>
      </c>
      <c r="D11" s="8">
        <v>42980.375</v>
      </c>
      <c r="E11" s="169">
        <v>0.43</v>
      </c>
      <c r="F11" s="169" t="s">
        <v>373</v>
      </c>
      <c r="G11" s="169">
        <v>277.72000000000003</v>
      </c>
      <c r="H11" s="169">
        <v>0</v>
      </c>
      <c r="I11" s="169">
        <v>0</v>
      </c>
      <c r="J11" s="169">
        <v>1019.85</v>
      </c>
      <c r="K11" s="169" t="s">
        <v>374</v>
      </c>
      <c r="L11" s="169">
        <v>68.849999999999994</v>
      </c>
      <c r="M11" s="169">
        <v>1504364400</v>
      </c>
      <c r="N11" s="169">
        <v>2</v>
      </c>
      <c r="O11" s="169">
        <v>3.44</v>
      </c>
      <c r="P11" s="169">
        <v>318</v>
      </c>
      <c r="Q11" s="169">
        <v>4.5599999999999996</v>
      </c>
      <c r="R11" s="169">
        <v>1.1499999999999999</v>
      </c>
      <c r="S11"/>
    </row>
    <row r="12" spans="1:19" x14ac:dyDescent="0.25">
      <c r="A12" s="169">
        <v>73.59</v>
      </c>
      <c r="B12" s="169">
        <v>0.01</v>
      </c>
      <c r="C12" s="169">
        <v>45.58</v>
      </c>
      <c r="D12" s="8">
        <v>42980.416666666664</v>
      </c>
      <c r="E12" s="169">
        <v>0.37</v>
      </c>
      <c r="F12" s="169" t="s">
        <v>373</v>
      </c>
      <c r="G12" s="169">
        <v>277.95999999999998</v>
      </c>
      <c r="H12" s="169">
        <v>0</v>
      </c>
      <c r="I12" s="169">
        <v>0</v>
      </c>
      <c r="J12" s="169">
        <v>1019.8</v>
      </c>
      <c r="K12" s="169" t="s">
        <v>374</v>
      </c>
      <c r="L12" s="169">
        <v>73.59</v>
      </c>
      <c r="M12" s="169">
        <v>1504368000</v>
      </c>
      <c r="N12" s="169">
        <v>4</v>
      </c>
      <c r="O12" s="169">
        <v>3.22</v>
      </c>
      <c r="P12" s="169">
        <v>314</v>
      </c>
      <c r="Q12" s="169">
        <v>4.95</v>
      </c>
      <c r="R12" s="169">
        <v>1.35</v>
      </c>
      <c r="S12"/>
    </row>
    <row r="13" spans="1:19" x14ac:dyDescent="0.25">
      <c r="A13" s="169">
        <v>77.41</v>
      </c>
      <c r="B13" s="169">
        <v>0.02</v>
      </c>
      <c r="C13" s="169">
        <v>46.31</v>
      </c>
      <c r="D13" s="8">
        <v>42980.458333333336</v>
      </c>
      <c r="E13" s="169">
        <v>0.33</v>
      </c>
      <c r="F13" s="169" t="s">
        <v>373</v>
      </c>
      <c r="G13" s="169">
        <v>278.31</v>
      </c>
      <c r="H13" s="169">
        <v>0</v>
      </c>
      <c r="I13" s="169">
        <v>0</v>
      </c>
      <c r="J13" s="169">
        <v>1019.38</v>
      </c>
      <c r="K13" s="169" t="s">
        <v>374</v>
      </c>
      <c r="L13" s="169">
        <v>77.41</v>
      </c>
      <c r="M13" s="169">
        <v>1504371600</v>
      </c>
      <c r="N13" s="169">
        <v>6</v>
      </c>
      <c r="O13" s="169">
        <v>3.15</v>
      </c>
      <c r="P13" s="169">
        <v>356</v>
      </c>
      <c r="Q13" s="169">
        <v>5.22</v>
      </c>
      <c r="R13" s="169">
        <v>1.45</v>
      </c>
      <c r="S13"/>
    </row>
    <row r="14" spans="1:19" x14ac:dyDescent="0.25">
      <c r="A14" s="169">
        <v>81.040000000000006</v>
      </c>
      <c r="B14" s="169">
        <v>0.04</v>
      </c>
      <c r="C14" s="169">
        <v>45.51</v>
      </c>
      <c r="D14" s="8">
        <v>42980.5</v>
      </c>
      <c r="E14" s="169">
        <v>0.28999999999999998</v>
      </c>
      <c r="F14" s="169" t="s">
        <v>373</v>
      </c>
      <c r="G14" s="169">
        <v>277.36</v>
      </c>
      <c r="H14" s="169">
        <v>0</v>
      </c>
      <c r="I14" s="169">
        <v>0</v>
      </c>
      <c r="J14" s="169">
        <v>1018.96</v>
      </c>
      <c r="K14" s="169" t="s">
        <v>374</v>
      </c>
      <c r="L14" s="169">
        <v>81.040000000000006</v>
      </c>
      <c r="M14" s="169">
        <v>1504375200</v>
      </c>
      <c r="N14" s="169">
        <v>8</v>
      </c>
      <c r="O14" s="169">
        <v>2.97</v>
      </c>
      <c r="P14" s="169">
        <v>17</v>
      </c>
      <c r="Q14" s="169">
        <v>6.44</v>
      </c>
      <c r="R14" s="169">
        <v>1.73</v>
      </c>
      <c r="S14"/>
    </row>
    <row r="15" spans="1:19" x14ac:dyDescent="0.25">
      <c r="A15" s="169">
        <v>83.96</v>
      </c>
      <c r="B15" s="169">
        <v>0.01</v>
      </c>
      <c r="C15" s="169">
        <v>44.85</v>
      </c>
      <c r="D15" s="8">
        <v>42980.541666666664</v>
      </c>
      <c r="E15" s="169">
        <v>0.25</v>
      </c>
      <c r="F15" s="169" t="s">
        <v>373</v>
      </c>
      <c r="G15" s="169">
        <v>277.36</v>
      </c>
      <c r="H15" s="169">
        <v>0</v>
      </c>
      <c r="I15" s="169">
        <v>0</v>
      </c>
      <c r="J15" s="169">
        <v>1018.25</v>
      </c>
      <c r="K15" s="169" t="s">
        <v>374</v>
      </c>
      <c r="L15" s="169">
        <v>83.96</v>
      </c>
      <c r="M15" s="169">
        <v>1504378800</v>
      </c>
      <c r="N15" s="169">
        <v>9</v>
      </c>
      <c r="O15" s="169">
        <v>2.96</v>
      </c>
      <c r="P15" s="169">
        <v>38</v>
      </c>
      <c r="Q15" s="169">
        <v>6.51</v>
      </c>
      <c r="R15" s="169">
        <v>2.14</v>
      </c>
      <c r="S15"/>
    </row>
    <row r="16" spans="1:19" x14ac:dyDescent="0.25">
      <c r="A16" s="169">
        <v>86.18</v>
      </c>
      <c r="B16" s="169">
        <v>0.01</v>
      </c>
      <c r="C16" s="169">
        <v>43</v>
      </c>
      <c r="D16" s="8">
        <v>42980.583333333336</v>
      </c>
      <c r="E16" s="169">
        <v>0.22</v>
      </c>
      <c r="F16" s="169" t="s">
        <v>373</v>
      </c>
      <c r="G16" s="169">
        <v>277.36</v>
      </c>
      <c r="H16" s="169">
        <v>0</v>
      </c>
      <c r="I16" s="169">
        <v>0</v>
      </c>
      <c r="J16" s="169">
        <v>1017.61</v>
      </c>
      <c r="K16" s="169" t="s">
        <v>374</v>
      </c>
      <c r="L16" s="169">
        <v>86.18</v>
      </c>
      <c r="M16" s="169">
        <v>1504382400</v>
      </c>
      <c r="N16" s="169">
        <v>8</v>
      </c>
      <c r="O16" s="169">
        <v>2.79</v>
      </c>
      <c r="P16" s="169">
        <v>66</v>
      </c>
      <c r="Q16" s="169">
        <v>6.76</v>
      </c>
      <c r="R16" s="169">
        <v>2.23</v>
      </c>
      <c r="S16"/>
    </row>
    <row r="17" spans="1:19" x14ac:dyDescent="0.25">
      <c r="A17" s="169">
        <v>87.77</v>
      </c>
      <c r="B17" s="169">
        <v>0.02</v>
      </c>
      <c r="C17" s="169">
        <v>42.55</v>
      </c>
      <c r="D17" s="8">
        <v>42980.625</v>
      </c>
      <c r="E17" s="169">
        <v>0.21</v>
      </c>
      <c r="F17" s="169" t="s">
        <v>373</v>
      </c>
      <c r="G17" s="169">
        <v>277.36</v>
      </c>
      <c r="H17" s="169">
        <v>0</v>
      </c>
      <c r="I17" s="169">
        <v>0</v>
      </c>
      <c r="J17" s="169">
        <v>1016.71</v>
      </c>
      <c r="K17" s="169" t="s">
        <v>374</v>
      </c>
      <c r="L17" s="169">
        <v>87.77</v>
      </c>
      <c r="M17" s="169">
        <v>1504386000</v>
      </c>
      <c r="N17" s="169">
        <v>6</v>
      </c>
      <c r="O17" s="169">
        <v>3.54</v>
      </c>
      <c r="P17" s="169">
        <v>77</v>
      </c>
      <c r="Q17" s="169">
        <v>7.58</v>
      </c>
      <c r="R17" s="169">
        <v>2.15</v>
      </c>
      <c r="S17"/>
    </row>
    <row r="18" spans="1:19" x14ac:dyDescent="0.25">
      <c r="A18" s="169">
        <v>88.56</v>
      </c>
      <c r="B18" s="169">
        <v>0.02</v>
      </c>
      <c r="C18" s="169">
        <v>42.06</v>
      </c>
      <c r="D18" s="8">
        <v>42980.666666666664</v>
      </c>
      <c r="E18" s="169">
        <v>0.2</v>
      </c>
      <c r="F18" s="169" t="s">
        <v>373</v>
      </c>
      <c r="G18" s="169">
        <v>277.48</v>
      </c>
      <c r="H18" s="169">
        <v>0</v>
      </c>
      <c r="I18" s="169">
        <v>0</v>
      </c>
      <c r="J18" s="169">
        <v>1015.98</v>
      </c>
      <c r="K18" s="169" t="s">
        <v>374</v>
      </c>
      <c r="L18" s="169">
        <v>88.56</v>
      </c>
      <c r="M18" s="169">
        <v>1504389600</v>
      </c>
      <c r="N18" s="169">
        <v>4</v>
      </c>
      <c r="O18" s="169">
        <v>3.58</v>
      </c>
      <c r="P18" s="169">
        <v>73</v>
      </c>
      <c r="Q18" s="169">
        <v>6.94</v>
      </c>
      <c r="R18" s="169">
        <v>2.1800000000000002</v>
      </c>
      <c r="S18"/>
    </row>
    <row r="19" spans="1:19" x14ac:dyDescent="0.25">
      <c r="A19" s="169">
        <v>88.73</v>
      </c>
      <c r="B19" s="169">
        <v>0.03</v>
      </c>
      <c r="C19" s="169">
        <v>41.86</v>
      </c>
      <c r="D19" s="8">
        <v>42980.708333333336</v>
      </c>
      <c r="E19" s="169">
        <v>0.2</v>
      </c>
      <c r="F19" s="169" t="s">
        <v>373</v>
      </c>
      <c r="G19" s="169">
        <v>277.60000000000002</v>
      </c>
      <c r="H19" s="169">
        <v>0</v>
      </c>
      <c r="I19" s="169">
        <v>0</v>
      </c>
      <c r="J19" s="169">
        <v>1015.64</v>
      </c>
      <c r="K19" s="169" t="s">
        <v>374</v>
      </c>
      <c r="L19" s="169">
        <v>88.73</v>
      </c>
      <c r="M19" s="169">
        <v>1504393200</v>
      </c>
      <c r="N19" s="169">
        <v>2</v>
      </c>
      <c r="O19" s="169">
        <v>3.88</v>
      </c>
      <c r="P19" s="169">
        <v>71</v>
      </c>
      <c r="Q19" s="169">
        <v>6.43</v>
      </c>
      <c r="R19" s="169">
        <v>2.21</v>
      </c>
      <c r="S19"/>
    </row>
    <row r="20" spans="1:19" x14ac:dyDescent="0.25">
      <c r="A20" s="169">
        <v>87.71</v>
      </c>
      <c r="B20" s="169">
        <v>0.03</v>
      </c>
      <c r="C20" s="169">
        <v>42.18</v>
      </c>
      <c r="D20" s="8">
        <v>42980.75</v>
      </c>
      <c r="E20" s="169">
        <v>0.2</v>
      </c>
      <c r="F20" s="169" t="s">
        <v>373</v>
      </c>
      <c r="G20" s="169">
        <v>278.67</v>
      </c>
      <c r="H20" s="169">
        <v>0</v>
      </c>
      <c r="I20" s="169">
        <v>0</v>
      </c>
      <c r="J20" s="169">
        <v>1015.45</v>
      </c>
      <c r="K20" s="169" t="s">
        <v>374</v>
      </c>
      <c r="L20" s="169">
        <v>87.71</v>
      </c>
      <c r="M20" s="169">
        <v>1504396800</v>
      </c>
      <c r="N20" s="169">
        <v>1</v>
      </c>
      <c r="O20" s="169">
        <v>3.63</v>
      </c>
      <c r="P20" s="169">
        <v>74</v>
      </c>
      <c r="Q20" s="169">
        <v>5.32</v>
      </c>
      <c r="R20" s="169">
        <v>1.84</v>
      </c>
      <c r="S20"/>
    </row>
    <row r="21" spans="1:19" x14ac:dyDescent="0.25">
      <c r="A21" s="169">
        <v>84.07</v>
      </c>
      <c r="B21" s="169">
        <v>0.03</v>
      </c>
      <c r="C21" s="169">
        <v>43.71</v>
      </c>
      <c r="D21" s="8">
        <v>42980.791666666664</v>
      </c>
      <c r="E21" s="169">
        <v>0.24</v>
      </c>
      <c r="F21" s="169" t="s">
        <v>373</v>
      </c>
      <c r="G21" s="169">
        <v>279.14999999999998</v>
      </c>
      <c r="H21" s="169">
        <v>0</v>
      </c>
      <c r="I21" s="169">
        <v>0</v>
      </c>
      <c r="J21" s="169">
        <v>1015.96</v>
      </c>
      <c r="K21" s="169" t="s">
        <v>374</v>
      </c>
      <c r="L21" s="169">
        <v>84.07</v>
      </c>
      <c r="M21" s="169">
        <v>1504400400</v>
      </c>
      <c r="N21" s="169">
        <v>0</v>
      </c>
      <c r="O21" s="169">
        <v>3.76</v>
      </c>
      <c r="P21" s="169">
        <v>82</v>
      </c>
      <c r="Q21" s="169">
        <v>3.52</v>
      </c>
      <c r="R21" s="169">
        <v>1.18</v>
      </c>
      <c r="S21"/>
    </row>
    <row r="22" spans="1:19" x14ac:dyDescent="0.25">
      <c r="A22" s="169">
        <v>78.44</v>
      </c>
      <c r="B22" s="169">
        <v>0.02</v>
      </c>
      <c r="C22" s="169">
        <v>43.51</v>
      </c>
      <c r="D22" s="8">
        <v>42980.833333333336</v>
      </c>
      <c r="E22" s="169">
        <v>0.28999999999999998</v>
      </c>
      <c r="F22" s="169" t="s">
        <v>375</v>
      </c>
      <c r="G22" s="169">
        <v>279.51</v>
      </c>
      <c r="H22" s="169">
        <v>0</v>
      </c>
      <c r="I22" s="169">
        <v>0</v>
      </c>
      <c r="J22" s="169">
        <v>1016.81</v>
      </c>
      <c r="K22" s="169" t="s">
        <v>374</v>
      </c>
      <c r="L22" s="169">
        <v>78.44</v>
      </c>
      <c r="M22" s="169">
        <v>1504404000</v>
      </c>
      <c r="N22" s="169">
        <v>0</v>
      </c>
      <c r="O22" s="169">
        <v>3.69</v>
      </c>
      <c r="P22" s="169">
        <v>115</v>
      </c>
      <c r="Q22" s="169">
        <v>2.75</v>
      </c>
      <c r="R22" s="169">
        <v>0.72</v>
      </c>
      <c r="S22"/>
    </row>
    <row r="23" spans="1:19" x14ac:dyDescent="0.25">
      <c r="A23" s="169">
        <v>73.44</v>
      </c>
      <c r="B23" s="169">
        <v>0.02</v>
      </c>
      <c r="C23" s="169">
        <v>44.71</v>
      </c>
      <c r="D23" s="8">
        <v>42980.875</v>
      </c>
      <c r="E23" s="169">
        <v>0.36</v>
      </c>
      <c r="F23" s="169" t="s">
        <v>375</v>
      </c>
      <c r="G23" s="169">
        <v>279.87</v>
      </c>
      <c r="H23" s="169">
        <v>0</v>
      </c>
      <c r="I23" s="169">
        <v>0</v>
      </c>
      <c r="J23" s="169">
        <v>1017.42</v>
      </c>
      <c r="K23" s="169" t="s">
        <v>374</v>
      </c>
      <c r="L23" s="169">
        <v>73.44</v>
      </c>
      <c r="M23" s="169">
        <v>1504407600</v>
      </c>
      <c r="N23" s="169">
        <v>0</v>
      </c>
      <c r="O23" s="169">
        <v>5.12</v>
      </c>
      <c r="P23" s="169">
        <v>169</v>
      </c>
      <c r="Q23" s="169">
        <v>2.9</v>
      </c>
      <c r="R23" s="169">
        <v>1.03</v>
      </c>
      <c r="S23"/>
    </row>
    <row r="24" spans="1:19" x14ac:dyDescent="0.25">
      <c r="A24" s="169">
        <v>70.64</v>
      </c>
      <c r="B24" s="169">
        <v>0.01</v>
      </c>
      <c r="C24" s="169">
        <v>45.16</v>
      </c>
      <c r="D24" s="8">
        <v>42980.916666666664</v>
      </c>
      <c r="E24" s="169">
        <v>0.4</v>
      </c>
      <c r="F24" s="169" t="s">
        <v>375</v>
      </c>
      <c r="G24" s="169">
        <v>280.45</v>
      </c>
      <c r="H24" s="169">
        <v>0</v>
      </c>
      <c r="I24" s="169">
        <v>0</v>
      </c>
      <c r="J24" s="169">
        <v>1017.24</v>
      </c>
      <c r="K24" s="169" t="s">
        <v>374</v>
      </c>
      <c r="L24" s="169">
        <v>70.64</v>
      </c>
      <c r="M24" s="169">
        <v>1504411200</v>
      </c>
      <c r="N24" s="169">
        <v>0</v>
      </c>
      <c r="O24" s="169">
        <v>3.53</v>
      </c>
      <c r="P24" s="169">
        <v>180</v>
      </c>
      <c r="Q24" s="169">
        <v>2.91</v>
      </c>
      <c r="R24" s="169">
        <v>1.17</v>
      </c>
      <c r="S24"/>
    </row>
    <row r="25" spans="1:19" x14ac:dyDescent="0.25">
      <c r="A25" s="169">
        <v>68.25</v>
      </c>
      <c r="B25" s="169">
        <v>0.01</v>
      </c>
      <c r="C25" s="169">
        <v>45.42</v>
      </c>
      <c r="D25" s="8">
        <v>42980.958333333336</v>
      </c>
      <c r="E25" s="169">
        <v>0.44</v>
      </c>
      <c r="F25" s="169" t="s">
        <v>375</v>
      </c>
      <c r="G25" s="169">
        <v>280.8</v>
      </c>
      <c r="H25" s="169">
        <v>0</v>
      </c>
      <c r="I25" s="169">
        <v>0</v>
      </c>
      <c r="J25" s="169">
        <v>1017.23</v>
      </c>
      <c r="K25" s="169" t="s">
        <v>374</v>
      </c>
      <c r="L25" s="169">
        <v>68.25</v>
      </c>
      <c r="M25" s="169">
        <v>1504414800</v>
      </c>
      <c r="N25" s="169">
        <v>0</v>
      </c>
      <c r="O25" s="169">
        <v>3.14</v>
      </c>
      <c r="P25" s="169">
        <v>177</v>
      </c>
      <c r="Q25" s="169">
        <v>3.35</v>
      </c>
      <c r="R25" s="169">
        <v>1.25</v>
      </c>
      <c r="S25"/>
    </row>
    <row r="26" spans="1:19" x14ac:dyDescent="0.25">
      <c r="A26" s="169">
        <v>66.19</v>
      </c>
      <c r="B26" s="169">
        <v>0.01</v>
      </c>
      <c r="C26" s="169">
        <v>45.35</v>
      </c>
      <c r="D26" s="8">
        <v>42981</v>
      </c>
      <c r="E26" s="169">
        <v>0.47</v>
      </c>
      <c r="F26" s="169" t="s">
        <v>375</v>
      </c>
      <c r="G26" s="169">
        <v>280.89999999999998</v>
      </c>
      <c r="H26" s="169">
        <v>0</v>
      </c>
      <c r="I26" s="169">
        <v>0</v>
      </c>
      <c r="J26" s="169">
        <v>1016.5</v>
      </c>
      <c r="K26" s="169" t="s">
        <v>374</v>
      </c>
      <c r="L26" s="169">
        <v>66.19</v>
      </c>
      <c r="M26" s="169">
        <v>1504418400</v>
      </c>
      <c r="N26" s="169">
        <v>0</v>
      </c>
      <c r="O26" s="169">
        <v>4.87</v>
      </c>
      <c r="P26" s="169">
        <v>177</v>
      </c>
      <c r="Q26" s="169">
        <v>3.34</v>
      </c>
      <c r="R26" s="169">
        <v>1.46</v>
      </c>
      <c r="S26"/>
    </row>
    <row r="27" spans="1:19" x14ac:dyDescent="0.25">
      <c r="A27" s="169">
        <v>65</v>
      </c>
      <c r="B27" s="169">
        <v>0.01</v>
      </c>
      <c r="C27" s="169">
        <v>45.01</v>
      </c>
      <c r="D27" s="8">
        <v>42981.041666666664</v>
      </c>
      <c r="E27" s="169">
        <v>0.48</v>
      </c>
      <c r="F27" s="169" t="s">
        <v>375</v>
      </c>
      <c r="G27" s="169">
        <v>280.19</v>
      </c>
      <c r="H27" s="169">
        <v>0</v>
      </c>
      <c r="I27" s="169">
        <v>0</v>
      </c>
      <c r="J27" s="169">
        <v>1016.08</v>
      </c>
      <c r="K27" s="169" t="s">
        <v>374</v>
      </c>
      <c r="L27" s="169">
        <v>65</v>
      </c>
      <c r="M27" s="169">
        <v>1504422000</v>
      </c>
      <c r="N27" s="169">
        <v>0</v>
      </c>
      <c r="O27" s="169">
        <v>3.33</v>
      </c>
      <c r="P27" s="169">
        <v>175</v>
      </c>
      <c r="Q27" s="169">
        <v>3.77</v>
      </c>
      <c r="R27" s="169">
        <v>1.42</v>
      </c>
      <c r="S27"/>
    </row>
    <row r="28" spans="1:19" x14ac:dyDescent="0.25">
      <c r="A28" s="169">
        <v>64.02</v>
      </c>
      <c r="B28" s="169">
        <v>0.01</v>
      </c>
      <c r="C28" s="169">
        <v>44.54</v>
      </c>
      <c r="D28" s="8">
        <v>42981.083333333336</v>
      </c>
      <c r="E28" s="169">
        <v>0.49</v>
      </c>
      <c r="F28" s="169" t="s">
        <v>375</v>
      </c>
      <c r="G28" s="169">
        <v>279.12</v>
      </c>
      <c r="H28" s="169">
        <v>0</v>
      </c>
      <c r="I28" s="169">
        <v>0</v>
      </c>
      <c r="J28" s="169">
        <v>1016.2</v>
      </c>
      <c r="K28" s="169" t="s">
        <v>374</v>
      </c>
      <c r="L28" s="169">
        <v>64.02</v>
      </c>
      <c r="M28" s="169">
        <v>1504425600</v>
      </c>
      <c r="N28" s="169">
        <v>0</v>
      </c>
      <c r="O28" s="169">
        <v>3.33</v>
      </c>
      <c r="P28" s="169">
        <v>209</v>
      </c>
      <c r="Q28" s="169">
        <v>3.94</v>
      </c>
      <c r="R28" s="169">
        <v>1.52</v>
      </c>
      <c r="S28"/>
    </row>
    <row r="29" spans="1:19" x14ac:dyDescent="0.25">
      <c r="A29" s="169">
        <v>62.4</v>
      </c>
      <c r="B29" s="169">
        <v>0.01</v>
      </c>
      <c r="C29" s="169">
        <v>44.96</v>
      </c>
      <c r="D29" s="8">
        <v>42981.125</v>
      </c>
      <c r="E29" s="169">
        <v>0.53</v>
      </c>
      <c r="F29" s="169" t="s">
        <v>375</v>
      </c>
      <c r="G29" s="169">
        <v>278.18</v>
      </c>
      <c r="H29" s="169">
        <v>0</v>
      </c>
      <c r="I29" s="169">
        <v>0</v>
      </c>
      <c r="J29" s="169">
        <v>1015.67</v>
      </c>
      <c r="K29" s="169" t="s">
        <v>374</v>
      </c>
      <c r="L29" s="169">
        <v>62.4</v>
      </c>
      <c r="M29" s="169">
        <v>1504429200</v>
      </c>
      <c r="N29" s="169">
        <v>0</v>
      </c>
      <c r="O29" s="169">
        <v>3.53</v>
      </c>
      <c r="P29" s="169">
        <v>215</v>
      </c>
      <c r="Q29" s="169">
        <v>3.2</v>
      </c>
      <c r="R29" s="169">
        <v>1.24</v>
      </c>
      <c r="S29"/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8"/>
  <sheetViews>
    <sheetView workbookViewId="0">
      <selection activeCell="F7" sqref="F7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69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329</v>
      </c>
      <c r="U1" s="156"/>
      <c r="V1" s="156"/>
      <c r="W1" s="156"/>
      <c r="X1" s="156"/>
    </row>
    <row r="2" spans="1:32" ht="15.75" thickBot="1" x14ac:dyDescent="0.3">
      <c r="A2" s="12">
        <v>42980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330</v>
      </c>
      <c r="U2" s="155">
        <v>167</v>
      </c>
      <c r="V2" s="155">
        <v>168</v>
      </c>
      <c r="W2" s="155">
        <v>199</v>
      </c>
      <c r="X2" s="155">
        <v>200</v>
      </c>
      <c r="AD2" t="s">
        <v>356</v>
      </c>
      <c r="AE2" s="56" t="s">
        <v>359</v>
      </c>
      <c r="AF2" s="56" t="s">
        <v>360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331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332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333</v>
      </c>
      <c r="U5" s="155">
        <v>187</v>
      </c>
      <c r="V5" s="155">
        <v>188</v>
      </c>
      <c r="W5" s="155">
        <v>223</v>
      </c>
      <c r="X5" s="155">
        <v>224</v>
      </c>
      <c r="AC5" s="30" t="s">
        <v>357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12">
        <v>5.65</v>
      </c>
      <c r="AE6" s="42">
        <v>1800</v>
      </c>
      <c r="AF6" s="42">
        <v>1899</v>
      </c>
    </row>
    <row r="7" spans="1:32" x14ac:dyDescent="0.25">
      <c r="C7" s="56"/>
      <c r="F7" t="s">
        <v>349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358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350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361</v>
      </c>
      <c r="AD8" s="192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559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917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918</v>
      </c>
      <c r="J20" s="140" t="s">
        <v>87</v>
      </c>
      <c r="M20" s="154" t="s">
        <v>346</v>
      </c>
      <c r="N20" s="154" t="s">
        <v>328</v>
      </c>
      <c r="T20" s="155"/>
      <c r="U20" s="155"/>
      <c r="V20" s="155"/>
      <c r="W20" s="155"/>
      <c r="X20" s="155"/>
    </row>
    <row r="21" spans="3:24" x14ac:dyDescent="0.25">
      <c r="C21" t="s">
        <v>919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920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948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921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922</v>
      </c>
      <c r="J25" s="140" t="s">
        <v>146</v>
      </c>
      <c r="M25" s="154" t="b">
        <v>1</v>
      </c>
    </row>
    <row r="26" spans="3:24" x14ac:dyDescent="0.25">
      <c r="C26" t="s">
        <v>923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C:\Users\stu\Documents\GitHub\eaglep3-reporting\EC\2017-09-02-refined-times.txt</v>
      </c>
    </row>
    <row r="27" spans="3:24" x14ac:dyDescent="0.25">
      <c r="C27" t="s">
        <v>924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C:\Users\stu\Documents\GitHub\eaglep3-reporting\EC\2017-09-02-Enforcements.txt</v>
      </c>
    </row>
    <row r="28" spans="3:24" x14ac:dyDescent="0.25">
      <c r="C28" t="s">
        <v>925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C:\Users\stu\Documents\GitHub\eaglep3-reporting\EC\2017-09-02-Runs-refined.txt</v>
      </c>
    </row>
    <row r="29" spans="3:24" x14ac:dyDescent="0.25">
      <c r="C29" t="s">
        <v>926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C:\Users\stu\Documents\GitHub\eaglep3-reporting\EC\2017-09-02-Trips.txt</v>
      </c>
    </row>
    <row r="30" spans="3:24" x14ac:dyDescent="0.25">
      <c r="C30" t="s">
        <v>927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C:\Users\stu\Documents\GitHub\eaglep3-reporting\EC\2017-09-02-Weather.txt</v>
      </c>
    </row>
    <row r="31" spans="3:24" x14ac:dyDescent="0.25">
      <c r="C31" t="s">
        <v>928</v>
      </c>
      <c r="J31" s="140" t="s">
        <v>193</v>
      </c>
      <c r="M31" s="154" t="s">
        <v>194</v>
      </c>
    </row>
    <row r="32" spans="3:24" x14ac:dyDescent="0.25">
      <c r="C32" t="s">
        <v>560</v>
      </c>
    </row>
    <row r="33" spans="3:3" x14ac:dyDescent="0.25">
      <c r="C33" t="s">
        <v>929</v>
      </c>
    </row>
    <row r="34" spans="3:3" x14ac:dyDescent="0.25">
      <c r="C34" t="s">
        <v>930</v>
      </c>
    </row>
    <row r="35" spans="3:3" x14ac:dyDescent="0.25">
      <c r="C35" t="s">
        <v>931</v>
      </c>
    </row>
    <row r="36" spans="3:3" x14ac:dyDescent="0.25">
      <c r="C36" t="s">
        <v>932</v>
      </c>
    </row>
    <row r="37" spans="3:3" x14ac:dyDescent="0.25">
      <c r="C37" t="s">
        <v>933</v>
      </c>
    </row>
    <row r="38" spans="3:3" x14ac:dyDescent="0.25">
      <c r="C38" t="s">
        <v>934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5" sqref="I5"/>
    </sheetView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217" bestFit="1" customWidth="1"/>
    <col min="9" max="10" width="9.140625" style="217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s="169" t="s">
        <v>113</v>
      </c>
      <c r="I1" s="215" t="s">
        <v>115</v>
      </c>
      <c r="J1" s="169" t="s">
        <v>335</v>
      </c>
    </row>
    <row r="2" spans="1:11" x14ac:dyDescent="0.25">
      <c r="A2" s="93" t="s">
        <v>120</v>
      </c>
      <c r="B2" s="93" t="s">
        <v>121</v>
      </c>
      <c r="C2" s="93" t="s">
        <v>122</v>
      </c>
      <c r="H2" s="169" t="s">
        <v>114</v>
      </c>
      <c r="I2" s="169" t="s">
        <v>116</v>
      </c>
      <c r="J2" s="169" t="s">
        <v>336</v>
      </c>
    </row>
    <row r="3" spans="1:11" x14ac:dyDescent="0.25">
      <c r="A3" s="93" t="s">
        <v>123</v>
      </c>
      <c r="B3" s="93" t="s">
        <v>124</v>
      </c>
      <c r="C3" s="93" t="s">
        <v>125</v>
      </c>
      <c r="H3" s="169" t="s">
        <v>139</v>
      </c>
      <c r="I3" s="169">
        <v>1</v>
      </c>
      <c r="J3" s="169">
        <v>1</v>
      </c>
      <c r="K3" s="55"/>
    </row>
    <row r="4" spans="1:11" x14ac:dyDescent="0.25">
      <c r="A4" s="93" t="s">
        <v>126</v>
      </c>
      <c r="C4" s="93" t="s">
        <v>127</v>
      </c>
      <c r="H4" s="169" t="s">
        <v>140</v>
      </c>
      <c r="I4" s="169">
        <v>2</v>
      </c>
      <c r="J4" s="169">
        <v>1</v>
      </c>
      <c r="K4" s="55"/>
    </row>
    <row r="5" spans="1:11" x14ac:dyDescent="0.25">
      <c r="A5" s="93" t="s">
        <v>128</v>
      </c>
      <c r="C5" s="93" t="s">
        <v>129</v>
      </c>
      <c r="H5" s="169" t="s">
        <v>141</v>
      </c>
      <c r="I5" s="169">
        <v>338</v>
      </c>
      <c r="J5" s="169">
        <v>10</v>
      </c>
      <c r="K5" s="55"/>
    </row>
    <row r="6" spans="1:11" x14ac:dyDescent="0.25">
      <c r="A6" s="93" t="s">
        <v>130</v>
      </c>
      <c r="C6" s="93" t="s">
        <v>131</v>
      </c>
      <c r="H6" s="216" t="s">
        <v>142</v>
      </c>
      <c r="I6" s="216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198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199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200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201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202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203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204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205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206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207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208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209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210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211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212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213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214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215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216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217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218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219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220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221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222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223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224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225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226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227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228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229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230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231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232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233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234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235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236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237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238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239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240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241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242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243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244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245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246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247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248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249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250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251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252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253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254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255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256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257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258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259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260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261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262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263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264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265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266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267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268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269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270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271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272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273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274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275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276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277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278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279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280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281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282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283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284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285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286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287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288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289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290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291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292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293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294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295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296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297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298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299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300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301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302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303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304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305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306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307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308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309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310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311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312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313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314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315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316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317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318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319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320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321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322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323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324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325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326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327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2017-09-05T15:48:50Z</dcterms:modified>
</cp:coreProperties>
</file>