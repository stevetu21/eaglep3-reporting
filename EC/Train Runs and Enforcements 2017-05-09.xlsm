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Enforcements!$A$6:$AC$64</definedName>
    <definedName name="_xlnm._FilterDatabase" localSheetId="2" hidden="1">'Missing Trips'!$A$2:$J$80</definedName>
    <definedName name="_xlnm._FilterDatabase" localSheetId="0" hidden="1">'Train Runs'!$A$12:$AG$272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08" i="1" l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S18" i="3" s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S19" i="3" s="1"/>
  <c r="Y17" i="1"/>
  <c r="Z17" i="1"/>
  <c r="AB17" i="1"/>
  <c r="AC17" i="1"/>
  <c r="AD17" i="1"/>
  <c r="T17" i="1" s="1"/>
  <c r="AE17" i="1"/>
  <c r="R19" i="3" s="1"/>
  <c r="AF17" i="1"/>
  <c r="AH17" i="1"/>
  <c r="AM17" i="1"/>
  <c r="AN17" i="1"/>
  <c r="K18" i="1"/>
  <c r="L18" i="1"/>
  <c r="M18" i="1"/>
  <c r="N18" i="1" s="1"/>
  <c r="V18" i="1"/>
  <c r="S27" i="3" s="1"/>
  <c r="Y18" i="1"/>
  <c r="Z18" i="1"/>
  <c r="AB18" i="1"/>
  <c r="AC18" i="1"/>
  <c r="AD18" i="1"/>
  <c r="T18" i="1" s="1"/>
  <c r="AE18" i="1"/>
  <c r="R26" i="3" s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W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S30" i="3" s="1"/>
  <c r="Y29" i="1"/>
  <c r="Z29" i="1"/>
  <c r="AB29" i="1"/>
  <c r="AC29" i="1"/>
  <c r="AD29" i="1"/>
  <c r="T29" i="1" s="1"/>
  <c r="AE29" i="1"/>
  <c r="R31" i="3" s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R25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X37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G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R10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R7" i="3" s="1"/>
  <c r="AF45" i="1"/>
  <c r="AH45" i="1"/>
  <c r="AM45" i="1"/>
  <c r="AN45" i="1"/>
  <c r="K46" i="1"/>
  <c r="L46" i="1"/>
  <c r="M46" i="1"/>
  <c r="V46" i="1"/>
  <c r="S24" i="3" s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V47" i="1"/>
  <c r="Y47" i="1"/>
  <c r="Z47" i="1"/>
  <c r="AB47" i="1"/>
  <c r="AC47" i="1"/>
  <c r="AD47" i="1"/>
  <c r="T47" i="1" s="1"/>
  <c r="AE47" i="1"/>
  <c r="R24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R17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G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X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S22" i="3" s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S34" i="3" s="1"/>
  <c r="Y98" i="1"/>
  <c r="Z98" i="1"/>
  <c r="AB98" i="1"/>
  <c r="AC98" i="1"/>
  <c r="AD98" i="1"/>
  <c r="T98" i="1" s="1"/>
  <c r="AE98" i="1"/>
  <c r="R34" i="3" s="1"/>
  <c r="AF98" i="1"/>
  <c r="AH98" i="1"/>
  <c r="AM98" i="1"/>
  <c r="AN98" i="1"/>
  <c r="K99" i="1"/>
  <c r="L99" i="1"/>
  <c r="M99" i="1"/>
  <c r="N99" i="1" s="1"/>
  <c r="V99" i="1"/>
  <c r="S8" i="3" s="1"/>
  <c r="Y99" i="1"/>
  <c r="Z99" i="1"/>
  <c r="AB99" i="1"/>
  <c r="AC99" i="1"/>
  <c r="AD99" i="1"/>
  <c r="AE99" i="1"/>
  <c r="R8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S28" i="3" s="1"/>
  <c r="Y111" i="1"/>
  <c r="Z111" i="1"/>
  <c r="AB111" i="1"/>
  <c r="AC111" i="1"/>
  <c r="AD111" i="1"/>
  <c r="T111" i="1" s="1"/>
  <c r="AE111" i="1"/>
  <c r="R15" i="3" s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S9" i="3" s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S35" i="3" s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S12" i="3" s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R11" i="3" s="1"/>
  <c r="AF131" i="1"/>
  <c r="AH131" i="1"/>
  <c r="AM131" i="1"/>
  <c r="AN131" i="1"/>
  <c r="K132" i="1"/>
  <c r="L132" i="1"/>
  <c r="M132" i="1"/>
  <c r="N132" i="1" s="1"/>
  <c r="V132" i="1"/>
  <c r="S36" i="3" s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S29" i="3" s="1"/>
  <c r="Y141" i="1"/>
  <c r="Z141" i="1"/>
  <c r="AB141" i="1"/>
  <c r="AC141" i="1"/>
  <c r="AD141" i="1"/>
  <c r="T141" i="1" s="1"/>
  <c r="AE141" i="1"/>
  <c r="R29" i="3" s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1" i="1"/>
  <c r="AM171" i="1"/>
  <c r="AN171" i="1"/>
  <c r="K228" i="1"/>
  <c r="L228" i="1"/>
  <c r="M228" i="1"/>
  <c r="N228" i="1" s="1"/>
  <c r="V228" i="1"/>
  <c r="S61" i="3" s="1"/>
  <c r="Y228" i="1"/>
  <c r="Z228" i="1"/>
  <c r="AB228" i="1"/>
  <c r="AC228" i="1"/>
  <c r="AD228" i="1"/>
  <c r="AE228" i="1"/>
  <c r="AF228" i="1"/>
  <c r="AH172" i="1"/>
  <c r="AM172" i="1"/>
  <c r="AN172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3" i="1"/>
  <c r="AM173" i="1"/>
  <c r="AN17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4" i="1"/>
  <c r="AM174" i="1"/>
  <c r="AN174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5" i="1"/>
  <c r="AM175" i="1"/>
  <c r="AN175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6" i="1"/>
  <c r="AM176" i="1"/>
  <c r="AN17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7" i="1"/>
  <c r="AM177" i="1"/>
  <c r="AN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9" i="1"/>
  <c r="AM179" i="1"/>
  <c r="AN17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0" i="1"/>
  <c r="AM180" i="1"/>
  <c r="AN180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1" i="1"/>
  <c r="AM181" i="1"/>
  <c r="AN181" i="1"/>
  <c r="K238" i="1"/>
  <c r="L238" i="1"/>
  <c r="M238" i="1"/>
  <c r="N238" i="1" s="1"/>
  <c r="V238" i="1"/>
  <c r="S57" i="3" s="1"/>
  <c r="Y238" i="1"/>
  <c r="Z238" i="1"/>
  <c r="AB238" i="1"/>
  <c r="AC238" i="1"/>
  <c r="AD238" i="1"/>
  <c r="AG238" i="1" s="1"/>
  <c r="AE238" i="1"/>
  <c r="AF238" i="1"/>
  <c r="AH182" i="1"/>
  <c r="AM182" i="1"/>
  <c r="AN182" i="1"/>
  <c r="K239" i="1"/>
  <c r="L239" i="1"/>
  <c r="M239" i="1"/>
  <c r="N239" i="1" s="1"/>
  <c r="T239" i="1"/>
  <c r="V239" i="1"/>
  <c r="Y239" i="1"/>
  <c r="Z239" i="1"/>
  <c r="AB239" i="1"/>
  <c r="AC239" i="1"/>
  <c r="AD239" i="1"/>
  <c r="AG239" i="1" s="1"/>
  <c r="AE239" i="1"/>
  <c r="AF239" i="1"/>
  <c r="AH183" i="1"/>
  <c r="AM183" i="1"/>
  <c r="AN183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4" i="1"/>
  <c r="AM184" i="1"/>
  <c r="AN184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5" i="1"/>
  <c r="AM185" i="1"/>
  <c r="AN185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AH186" i="1"/>
  <c r="AM186" i="1"/>
  <c r="AN186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87" i="1"/>
  <c r="AM187" i="1"/>
  <c r="AN187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88" i="1"/>
  <c r="AM188" i="1"/>
  <c r="AN188" i="1"/>
  <c r="K246" i="1"/>
  <c r="L246" i="1"/>
  <c r="M246" i="1"/>
  <c r="N246" i="1" s="1"/>
  <c r="T246" i="1"/>
  <c r="V246" i="1"/>
  <c r="Y246" i="1"/>
  <c r="Z246" i="1"/>
  <c r="AB246" i="1"/>
  <c r="AC246" i="1"/>
  <c r="AD246" i="1"/>
  <c r="AE246" i="1"/>
  <c r="AF246" i="1"/>
  <c r="AG246" i="1"/>
  <c r="AH189" i="1"/>
  <c r="AM189" i="1"/>
  <c r="AN189" i="1"/>
  <c r="K247" i="1"/>
  <c r="L247" i="1"/>
  <c r="M247" i="1"/>
  <c r="N247" i="1" s="1"/>
  <c r="V247" i="1"/>
  <c r="Y247" i="1"/>
  <c r="Z247" i="1"/>
  <c r="AB247" i="1"/>
  <c r="AC247" i="1"/>
  <c r="AD247" i="1"/>
  <c r="AG247" i="1" s="1"/>
  <c r="AE247" i="1"/>
  <c r="AF247" i="1"/>
  <c r="AH190" i="1"/>
  <c r="AM190" i="1"/>
  <c r="AN190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1" i="1"/>
  <c r="AM191" i="1"/>
  <c r="AN191" i="1"/>
  <c r="K249" i="1"/>
  <c r="L249" i="1"/>
  <c r="M249" i="1"/>
  <c r="N249" i="1" s="1"/>
  <c r="V249" i="1"/>
  <c r="S59" i="3" s="1"/>
  <c r="Y249" i="1"/>
  <c r="Z249" i="1"/>
  <c r="AB249" i="1"/>
  <c r="AC249" i="1"/>
  <c r="AD249" i="1"/>
  <c r="AE249" i="1"/>
  <c r="AF249" i="1"/>
  <c r="AH192" i="1"/>
  <c r="AM192" i="1"/>
  <c r="AN192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193" i="1"/>
  <c r="AM193" i="1"/>
  <c r="AN193" i="1"/>
  <c r="K251" i="1"/>
  <c r="L251" i="1"/>
  <c r="M251" i="1"/>
  <c r="N251" i="1" s="1"/>
  <c r="V251" i="1"/>
  <c r="Y251" i="1"/>
  <c r="Z251" i="1"/>
  <c r="AB251" i="1"/>
  <c r="AC251" i="1"/>
  <c r="AD251" i="1"/>
  <c r="AG251" i="1" s="1"/>
  <c r="AE251" i="1"/>
  <c r="AF251" i="1"/>
  <c r="AH194" i="1"/>
  <c r="AM194" i="1"/>
  <c r="AN194" i="1"/>
  <c r="K252" i="1"/>
  <c r="L252" i="1"/>
  <c r="M252" i="1"/>
  <c r="N252" i="1" s="1"/>
  <c r="V252" i="1"/>
  <c r="Y252" i="1"/>
  <c r="Z252" i="1"/>
  <c r="AB252" i="1"/>
  <c r="AC252" i="1"/>
  <c r="AD252" i="1"/>
  <c r="T252" i="1" s="1"/>
  <c r="AE252" i="1"/>
  <c r="AF252" i="1"/>
  <c r="AH195" i="1"/>
  <c r="AM195" i="1"/>
  <c r="AN195" i="1"/>
  <c r="K253" i="1"/>
  <c r="L253" i="1"/>
  <c r="M253" i="1"/>
  <c r="N253" i="1" s="1"/>
  <c r="V253" i="1"/>
  <c r="Y253" i="1"/>
  <c r="Z253" i="1"/>
  <c r="AB253" i="1"/>
  <c r="AC253" i="1"/>
  <c r="AD253" i="1"/>
  <c r="AE253" i="1"/>
  <c r="AF253" i="1"/>
  <c r="AH196" i="1"/>
  <c r="AM196" i="1"/>
  <c r="AN196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197" i="1"/>
  <c r="AM197" i="1"/>
  <c r="AN197" i="1"/>
  <c r="K255" i="1"/>
  <c r="L255" i="1"/>
  <c r="M255" i="1"/>
  <c r="N255" i="1" s="1"/>
  <c r="V255" i="1"/>
  <c r="Y255" i="1"/>
  <c r="Z255" i="1"/>
  <c r="AB255" i="1"/>
  <c r="AC255" i="1"/>
  <c r="AD255" i="1"/>
  <c r="AG255" i="1" s="1"/>
  <c r="AE255" i="1"/>
  <c r="AF255" i="1"/>
  <c r="AH198" i="1"/>
  <c r="AM198" i="1"/>
  <c r="AN198" i="1"/>
  <c r="K256" i="1"/>
  <c r="L256" i="1"/>
  <c r="M256" i="1"/>
  <c r="N256" i="1" s="1"/>
  <c r="V256" i="1"/>
  <c r="Y256" i="1"/>
  <c r="Z256" i="1"/>
  <c r="AB256" i="1"/>
  <c r="AC256" i="1"/>
  <c r="AD256" i="1"/>
  <c r="T256" i="1" s="1"/>
  <c r="AE256" i="1"/>
  <c r="AF256" i="1"/>
  <c r="AH199" i="1"/>
  <c r="AM199" i="1"/>
  <c r="AN199" i="1"/>
  <c r="K158" i="1"/>
  <c r="L158" i="1"/>
  <c r="M158" i="1"/>
  <c r="N158" i="1" s="1"/>
  <c r="V158" i="1"/>
  <c r="Y158" i="1"/>
  <c r="Z158" i="1"/>
  <c r="AB158" i="1"/>
  <c r="AC158" i="1"/>
  <c r="AD158" i="1"/>
  <c r="AE158" i="1"/>
  <c r="R41" i="3" s="1"/>
  <c r="AF158" i="1"/>
  <c r="AH200" i="1"/>
  <c r="AM200" i="1"/>
  <c r="AN200" i="1"/>
  <c r="K159" i="1"/>
  <c r="L159" i="1"/>
  <c r="M159" i="1"/>
  <c r="N159" i="1" s="1"/>
  <c r="V159" i="1"/>
  <c r="S44" i="3" s="1"/>
  <c r="Y159" i="1"/>
  <c r="Z159" i="1"/>
  <c r="AB159" i="1"/>
  <c r="AC159" i="1"/>
  <c r="AD159" i="1"/>
  <c r="AE159" i="1"/>
  <c r="AF159" i="1"/>
  <c r="AH201" i="1"/>
  <c r="AM201" i="1"/>
  <c r="AN201" i="1"/>
  <c r="K160" i="1"/>
  <c r="L160" i="1"/>
  <c r="M160" i="1"/>
  <c r="N160" i="1" s="1"/>
  <c r="V160" i="1"/>
  <c r="S37" i="3" s="1"/>
  <c r="Y160" i="1"/>
  <c r="Z160" i="1"/>
  <c r="AB160" i="1"/>
  <c r="AC160" i="1"/>
  <c r="AD160" i="1"/>
  <c r="AG160" i="1" s="1"/>
  <c r="AE160" i="1"/>
  <c r="R37" i="3" s="1"/>
  <c r="AF160" i="1"/>
  <c r="AH202" i="1"/>
  <c r="AM202" i="1"/>
  <c r="AN20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3" i="1"/>
  <c r="AM203" i="1"/>
  <c r="AN203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204" i="1"/>
  <c r="AM204" i="1"/>
  <c r="AN204" i="1"/>
  <c r="K163" i="1"/>
  <c r="L163" i="1"/>
  <c r="M163" i="1"/>
  <c r="N163" i="1" s="1"/>
  <c r="V163" i="1"/>
  <c r="S45" i="3" s="1"/>
  <c r="Y163" i="1"/>
  <c r="Z163" i="1"/>
  <c r="AB163" i="1"/>
  <c r="AC163" i="1"/>
  <c r="AD163" i="1"/>
  <c r="AG163" i="1" s="1"/>
  <c r="AE163" i="1"/>
  <c r="R45" i="3" s="1"/>
  <c r="AF163" i="1"/>
  <c r="AH205" i="1"/>
  <c r="AM205" i="1"/>
  <c r="AN205" i="1"/>
  <c r="K164" i="1"/>
  <c r="L164" i="1"/>
  <c r="M164" i="1"/>
  <c r="N164" i="1" s="1"/>
  <c r="V164" i="1"/>
  <c r="S42" i="3" s="1"/>
  <c r="Y164" i="1"/>
  <c r="Z164" i="1"/>
  <c r="AB164" i="1"/>
  <c r="AC164" i="1"/>
  <c r="AD164" i="1"/>
  <c r="AG164" i="1" s="1"/>
  <c r="AE164" i="1"/>
  <c r="R42" i="3" s="1"/>
  <c r="AF164" i="1"/>
  <c r="AH206" i="1"/>
  <c r="AM206" i="1"/>
  <c r="AN206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7" i="1"/>
  <c r="AM207" i="1"/>
  <c r="AN207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8" i="1"/>
  <c r="AM208" i="1"/>
  <c r="AN20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9" i="1"/>
  <c r="AM209" i="1"/>
  <c r="AN209" i="1"/>
  <c r="AH210" i="1"/>
  <c r="AM210" i="1"/>
  <c r="AN210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H211" i="1"/>
  <c r="AM211" i="1"/>
  <c r="AN21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12" i="1"/>
  <c r="AM212" i="1"/>
  <c r="AN21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13" i="1"/>
  <c r="AM213" i="1"/>
  <c r="AN213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14" i="1"/>
  <c r="AM214" i="1"/>
  <c r="AN214" i="1"/>
  <c r="AH215" i="1"/>
  <c r="AM215" i="1"/>
  <c r="AN215" i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AF171" i="1"/>
  <c r="AH216" i="1"/>
  <c r="AM216" i="1"/>
  <c r="AN216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217" i="1"/>
  <c r="AM217" i="1"/>
  <c r="AN217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18" i="1"/>
  <c r="AM218" i="1"/>
  <c r="AN21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9" i="1"/>
  <c r="AM219" i="1"/>
  <c r="AN21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20" i="1"/>
  <c r="AM220" i="1"/>
  <c r="AN220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221" i="1"/>
  <c r="AM221" i="1"/>
  <c r="AN22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22" i="1"/>
  <c r="AM222" i="1"/>
  <c r="AN22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23" i="1"/>
  <c r="AM223" i="1"/>
  <c r="AN223" i="1"/>
  <c r="K179" i="1"/>
  <c r="L179" i="1"/>
  <c r="M179" i="1"/>
  <c r="N179" i="1" s="1"/>
  <c r="V179" i="1"/>
  <c r="S46" i="3" s="1"/>
  <c r="Y179" i="1"/>
  <c r="Z179" i="1"/>
  <c r="AB179" i="1"/>
  <c r="AC179" i="1"/>
  <c r="AD179" i="1"/>
  <c r="AE179" i="1"/>
  <c r="AF179" i="1"/>
  <c r="AH224" i="1"/>
  <c r="AM224" i="1"/>
  <c r="AN22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25" i="1"/>
  <c r="AM225" i="1"/>
  <c r="AN225" i="1"/>
  <c r="K181" i="1"/>
  <c r="L181" i="1"/>
  <c r="M181" i="1"/>
  <c r="N181" i="1" s="1"/>
  <c r="V181" i="1"/>
  <c r="S47" i="3" s="1"/>
  <c r="Y181" i="1"/>
  <c r="Z181" i="1"/>
  <c r="AB181" i="1"/>
  <c r="AC181" i="1"/>
  <c r="AD181" i="1"/>
  <c r="AG181" i="1" s="1"/>
  <c r="AE181" i="1"/>
  <c r="AF181" i="1"/>
  <c r="AH226" i="1"/>
  <c r="AM226" i="1"/>
  <c r="AN22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7" i="1"/>
  <c r="AM227" i="1"/>
  <c r="AN22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8" i="1"/>
  <c r="AM228" i="1"/>
  <c r="AN22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9" i="1"/>
  <c r="AM229" i="1"/>
  <c r="AN229" i="1"/>
  <c r="K185" i="1"/>
  <c r="L185" i="1"/>
  <c r="M185" i="1"/>
  <c r="P185" i="1" s="1"/>
  <c r="V185" i="1"/>
  <c r="Y185" i="1"/>
  <c r="Z185" i="1"/>
  <c r="AB185" i="1"/>
  <c r="AC185" i="1"/>
  <c r="AD185" i="1"/>
  <c r="AG185" i="1" s="1"/>
  <c r="AE185" i="1"/>
  <c r="AF185" i="1"/>
  <c r="AH230" i="1"/>
  <c r="AM230" i="1"/>
  <c r="AN230" i="1"/>
  <c r="AH231" i="1"/>
  <c r="AM231" i="1"/>
  <c r="AN231" i="1"/>
  <c r="K186" i="1"/>
  <c r="L186" i="1"/>
  <c r="M186" i="1"/>
  <c r="N186" i="1" s="1"/>
  <c r="V186" i="1"/>
  <c r="Y186" i="1"/>
  <c r="Z186" i="1"/>
  <c r="AB186" i="1"/>
  <c r="AC186" i="1"/>
  <c r="AD186" i="1"/>
  <c r="X186" i="1" s="1"/>
  <c r="AE186" i="1"/>
  <c r="AF186" i="1"/>
  <c r="AH232" i="1"/>
  <c r="AM232" i="1"/>
  <c r="AN232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33" i="1"/>
  <c r="AM233" i="1"/>
  <c r="AN233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34" i="1"/>
  <c r="AM234" i="1"/>
  <c r="AN23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35" i="1"/>
  <c r="AM235" i="1"/>
  <c r="AN235" i="1"/>
  <c r="K190" i="1"/>
  <c r="L190" i="1"/>
  <c r="M190" i="1"/>
  <c r="N190" i="1" s="1"/>
  <c r="V190" i="1"/>
  <c r="Y190" i="1"/>
  <c r="Z190" i="1"/>
  <c r="AB190" i="1"/>
  <c r="AC190" i="1"/>
  <c r="AD190" i="1"/>
  <c r="X191" i="1" s="1"/>
  <c r="AE190" i="1"/>
  <c r="AF190" i="1"/>
  <c r="AH236" i="1"/>
  <c r="AM236" i="1"/>
  <c r="AN23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37" i="1"/>
  <c r="AM237" i="1"/>
  <c r="AN23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38" i="1"/>
  <c r="AM238" i="1"/>
  <c r="AN23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39" i="1"/>
  <c r="AM239" i="1"/>
  <c r="AN239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40" i="1"/>
  <c r="AM240" i="1"/>
  <c r="AN240" i="1"/>
  <c r="K195" i="1"/>
  <c r="L195" i="1"/>
  <c r="M195" i="1"/>
  <c r="N195" i="1" s="1"/>
  <c r="V195" i="1"/>
  <c r="S51" i="3" s="1"/>
  <c r="Y195" i="1"/>
  <c r="Z195" i="1"/>
  <c r="AB195" i="1"/>
  <c r="AC195" i="1"/>
  <c r="AD195" i="1"/>
  <c r="T195" i="1" s="1"/>
  <c r="AE195" i="1"/>
  <c r="AF195" i="1"/>
  <c r="AH241" i="1"/>
  <c r="AM241" i="1"/>
  <c r="AN241" i="1"/>
  <c r="K196" i="1"/>
  <c r="L196" i="1"/>
  <c r="M196" i="1"/>
  <c r="N196" i="1" s="1"/>
  <c r="V196" i="1"/>
  <c r="S43" i="3" s="1"/>
  <c r="Y196" i="1"/>
  <c r="Z196" i="1"/>
  <c r="AB196" i="1"/>
  <c r="AC196" i="1"/>
  <c r="AD196" i="1"/>
  <c r="AG196" i="1" s="1"/>
  <c r="AE196" i="1"/>
  <c r="AF196" i="1"/>
  <c r="AH242" i="1"/>
  <c r="AM242" i="1"/>
  <c r="AN24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43" i="1"/>
  <c r="AM243" i="1"/>
  <c r="AN243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44" i="1"/>
  <c r="AM244" i="1"/>
  <c r="AN244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45" i="1"/>
  <c r="AM245" i="1"/>
  <c r="AN245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46" i="1"/>
  <c r="AM246" i="1"/>
  <c r="AN246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47" i="1"/>
  <c r="AM247" i="1"/>
  <c r="AN247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48" i="1"/>
  <c r="AM248" i="1"/>
  <c r="AN248" i="1"/>
  <c r="K203" i="1"/>
  <c r="L203" i="1"/>
  <c r="M203" i="1"/>
  <c r="N203" i="1" s="1"/>
  <c r="V203" i="1"/>
  <c r="S39" i="3" s="1"/>
  <c r="Y203" i="1"/>
  <c r="Z203" i="1"/>
  <c r="AB203" i="1"/>
  <c r="AC203" i="1"/>
  <c r="AD203" i="1"/>
  <c r="AE203" i="1"/>
  <c r="AF203" i="1"/>
  <c r="AH249" i="1"/>
  <c r="AM249" i="1"/>
  <c r="AN249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50" i="1"/>
  <c r="AM250" i="1"/>
  <c r="AN250" i="1"/>
  <c r="K258" i="1"/>
  <c r="L258" i="1"/>
  <c r="M258" i="1"/>
  <c r="N258" i="1" s="1"/>
  <c r="V258" i="1"/>
  <c r="S54" i="3" s="1"/>
  <c r="Y258" i="1"/>
  <c r="Z258" i="1"/>
  <c r="AB258" i="1"/>
  <c r="AC258" i="1"/>
  <c r="AD258" i="1"/>
  <c r="T258" i="1" s="1"/>
  <c r="AE258" i="1"/>
  <c r="AF258" i="1"/>
  <c r="AH251" i="1"/>
  <c r="AM251" i="1"/>
  <c r="AN251" i="1"/>
  <c r="K259" i="1"/>
  <c r="L259" i="1"/>
  <c r="M259" i="1"/>
  <c r="N259" i="1" s="1"/>
  <c r="V259" i="1"/>
  <c r="Y259" i="1"/>
  <c r="Z259" i="1"/>
  <c r="AB259" i="1"/>
  <c r="AC259" i="1"/>
  <c r="AD259" i="1"/>
  <c r="AE259" i="1"/>
  <c r="AF259" i="1"/>
  <c r="AH252" i="1"/>
  <c r="AM252" i="1"/>
  <c r="AN252" i="1"/>
  <c r="K260" i="1"/>
  <c r="L260" i="1"/>
  <c r="M260" i="1"/>
  <c r="N260" i="1" s="1"/>
  <c r="V260" i="1"/>
  <c r="Y260" i="1"/>
  <c r="Z260" i="1"/>
  <c r="AB260" i="1"/>
  <c r="AC260" i="1"/>
  <c r="AD260" i="1"/>
  <c r="T260" i="1" s="1"/>
  <c r="AE260" i="1"/>
  <c r="R54" i="3" s="1"/>
  <c r="AF260" i="1"/>
  <c r="AH253" i="1"/>
  <c r="AM253" i="1"/>
  <c r="AN253" i="1"/>
  <c r="K261" i="1"/>
  <c r="L261" i="1"/>
  <c r="M261" i="1"/>
  <c r="N261" i="1" s="1"/>
  <c r="V261" i="1"/>
  <c r="Y261" i="1"/>
  <c r="Z261" i="1"/>
  <c r="AB261" i="1"/>
  <c r="AC261" i="1"/>
  <c r="AD261" i="1"/>
  <c r="AG261" i="1" s="1"/>
  <c r="AE261" i="1"/>
  <c r="AF261" i="1"/>
  <c r="AH254" i="1"/>
  <c r="AM254" i="1"/>
  <c r="AN254" i="1"/>
  <c r="K262" i="1"/>
  <c r="L262" i="1"/>
  <c r="M262" i="1"/>
  <c r="N262" i="1" s="1"/>
  <c r="V262" i="1"/>
  <c r="Y262" i="1"/>
  <c r="Z262" i="1"/>
  <c r="AB262" i="1"/>
  <c r="AC262" i="1"/>
  <c r="AD262" i="1"/>
  <c r="T262" i="1" s="1"/>
  <c r="AE262" i="1"/>
  <c r="AF262" i="1"/>
  <c r="AH255" i="1"/>
  <c r="AM255" i="1"/>
  <c r="AN255" i="1"/>
  <c r="K263" i="1"/>
  <c r="L263" i="1"/>
  <c r="M263" i="1"/>
  <c r="N263" i="1" s="1"/>
  <c r="V263" i="1"/>
  <c r="Y263" i="1"/>
  <c r="Z263" i="1"/>
  <c r="AB263" i="1"/>
  <c r="AC263" i="1"/>
  <c r="AD263" i="1"/>
  <c r="AG263" i="1" s="1"/>
  <c r="AE263" i="1"/>
  <c r="AF263" i="1"/>
  <c r="AH256" i="1"/>
  <c r="AM256" i="1"/>
  <c r="AN25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57" i="1"/>
  <c r="AM257" i="1"/>
  <c r="AN257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58" i="1"/>
  <c r="AM258" i="1"/>
  <c r="AN25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59" i="1"/>
  <c r="AM259" i="1"/>
  <c r="AN25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60" i="1"/>
  <c r="AM260" i="1"/>
  <c r="AN26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61" i="1"/>
  <c r="AM261" i="1"/>
  <c r="AN261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62" i="1"/>
  <c r="AM262" i="1"/>
  <c r="AN26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63" i="1"/>
  <c r="AM263" i="1"/>
  <c r="AN263" i="1"/>
  <c r="M59" i="3"/>
  <c r="R59" i="3"/>
  <c r="U59" i="3"/>
  <c r="T59" i="3" s="1"/>
  <c r="V59" i="3"/>
  <c r="W59" i="3"/>
  <c r="X59" i="3"/>
  <c r="AC59" i="3"/>
  <c r="M53" i="3"/>
  <c r="R53" i="3"/>
  <c r="S53" i="3"/>
  <c r="U53" i="3"/>
  <c r="T53" i="3" s="1"/>
  <c r="V53" i="3"/>
  <c r="W53" i="3"/>
  <c r="X53" i="3"/>
  <c r="AC53" i="3"/>
  <c r="M60" i="3"/>
  <c r="R60" i="3"/>
  <c r="S60" i="3"/>
  <c r="U60" i="3"/>
  <c r="V60" i="3"/>
  <c r="W60" i="3"/>
  <c r="X60" i="3"/>
  <c r="M23" i="3"/>
  <c r="R23" i="3"/>
  <c r="S23" i="3"/>
  <c r="U23" i="3"/>
  <c r="AC23" i="3" s="1"/>
  <c r="V23" i="3"/>
  <c r="W23" i="3"/>
  <c r="X23" i="3"/>
  <c r="M19" i="3"/>
  <c r="U19" i="3"/>
  <c r="V19" i="3"/>
  <c r="W19" i="3"/>
  <c r="X19" i="3"/>
  <c r="AC19" i="3"/>
  <c r="M18" i="3"/>
  <c r="R18" i="3"/>
  <c r="U18" i="3"/>
  <c r="T18" i="3" s="1"/>
  <c r="V18" i="3"/>
  <c r="W18" i="3"/>
  <c r="X18" i="3"/>
  <c r="AC18" i="3"/>
  <c r="M41" i="3"/>
  <c r="S41" i="3"/>
  <c r="U41" i="3"/>
  <c r="V41" i="3"/>
  <c r="W41" i="3"/>
  <c r="X41" i="3"/>
  <c r="AC41" i="3"/>
  <c r="M26" i="3"/>
  <c r="S26" i="3"/>
  <c r="U26" i="3"/>
  <c r="AC26" i="3" s="1"/>
  <c r="V26" i="3"/>
  <c r="W26" i="3"/>
  <c r="X26" i="3"/>
  <c r="M27" i="3"/>
  <c r="R27" i="3"/>
  <c r="U27" i="3"/>
  <c r="T27" i="3" s="1"/>
  <c r="V27" i="3"/>
  <c r="W27" i="3"/>
  <c r="X27" i="3"/>
  <c r="M44" i="3"/>
  <c r="R44" i="3"/>
  <c r="U44" i="3"/>
  <c r="T44" i="3" s="1"/>
  <c r="V44" i="3"/>
  <c r="W44" i="3"/>
  <c r="X44" i="3"/>
  <c r="AC44" i="3"/>
  <c r="M37" i="3"/>
  <c r="U37" i="3"/>
  <c r="AD18" i="3" s="1"/>
  <c r="V37" i="3"/>
  <c r="W37" i="3"/>
  <c r="X37" i="3"/>
  <c r="AC37" i="3"/>
  <c r="M30" i="3"/>
  <c r="R30" i="3"/>
  <c r="U30" i="3"/>
  <c r="AC30" i="3" s="1"/>
  <c r="V30" i="3"/>
  <c r="W30" i="3"/>
  <c r="X30" i="3"/>
  <c r="M31" i="3"/>
  <c r="S31" i="3"/>
  <c r="U31" i="3"/>
  <c r="V31" i="3"/>
  <c r="W31" i="3"/>
  <c r="X31" i="3"/>
  <c r="AC31" i="3"/>
  <c r="M25" i="3"/>
  <c r="S25" i="3"/>
  <c r="U25" i="3"/>
  <c r="T25" i="3" s="1"/>
  <c r="V25" i="3"/>
  <c r="W25" i="3"/>
  <c r="X25" i="3"/>
  <c r="AC25" i="3"/>
  <c r="M45" i="3"/>
  <c r="U45" i="3"/>
  <c r="AC45" i="3" s="1"/>
  <c r="V45" i="3"/>
  <c r="W45" i="3"/>
  <c r="X45" i="3"/>
  <c r="M32" i="3"/>
  <c r="R32" i="3"/>
  <c r="S32" i="3"/>
  <c r="U32" i="3"/>
  <c r="V32" i="3"/>
  <c r="W32" i="3"/>
  <c r="X32" i="3"/>
  <c r="M33" i="3"/>
  <c r="R33" i="3"/>
  <c r="S33" i="3"/>
  <c r="U33" i="3"/>
  <c r="T33" i="3" s="1"/>
  <c r="V33" i="3"/>
  <c r="W33" i="3"/>
  <c r="X33" i="3"/>
  <c r="AC33" i="3"/>
  <c r="M20" i="3"/>
  <c r="R20" i="3"/>
  <c r="S20" i="3"/>
  <c r="U20" i="3"/>
  <c r="T20" i="3" s="1"/>
  <c r="V20" i="3"/>
  <c r="W20" i="3"/>
  <c r="X20" i="3"/>
  <c r="AC20" i="3"/>
  <c r="M42" i="3"/>
  <c r="U42" i="3"/>
  <c r="V42" i="3"/>
  <c r="W42" i="3"/>
  <c r="X42" i="3"/>
  <c r="AC42" i="3"/>
  <c r="M7" i="3"/>
  <c r="S7" i="3"/>
  <c r="U7" i="3"/>
  <c r="V7" i="3"/>
  <c r="W7" i="3"/>
  <c r="X7" i="3"/>
  <c r="M14" i="3"/>
  <c r="R14" i="3"/>
  <c r="S14" i="3"/>
  <c r="U14" i="3"/>
  <c r="V14" i="3"/>
  <c r="W14" i="3"/>
  <c r="X14" i="3"/>
  <c r="AC14" i="3"/>
  <c r="M10" i="3"/>
  <c r="S10" i="3"/>
  <c r="U10" i="3"/>
  <c r="T10" i="3" s="1"/>
  <c r="V10" i="3"/>
  <c r="W10" i="3"/>
  <c r="X10" i="3"/>
  <c r="AC10" i="3"/>
  <c r="M24" i="3"/>
  <c r="U24" i="3"/>
  <c r="AC24" i="3" s="1"/>
  <c r="V24" i="3"/>
  <c r="W24" i="3"/>
  <c r="Y24" i="3" s="1"/>
  <c r="X24" i="3"/>
  <c r="M16" i="3"/>
  <c r="R16" i="3"/>
  <c r="S16" i="3"/>
  <c r="U16" i="3"/>
  <c r="V16" i="3"/>
  <c r="W16" i="3"/>
  <c r="X16" i="3"/>
  <c r="AC16" i="3"/>
  <c r="M17" i="3"/>
  <c r="S17" i="3"/>
  <c r="U17" i="3"/>
  <c r="T17" i="3" s="1"/>
  <c r="V17" i="3"/>
  <c r="W17" i="3"/>
  <c r="X17" i="3"/>
  <c r="AC17" i="3"/>
  <c r="M13" i="3"/>
  <c r="S13" i="3"/>
  <c r="U13" i="3"/>
  <c r="AC13" i="3" s="1"/>
  <c r="V13" i="3"/>
  <c r="W13" i="3"/>
  <c r="X13" i="3"/>
  <c r="M21" i="3"/>
  <c r="R21" i="3"/>
  <c r="S21" i="3"/>
  <c r="U21" i="3"/>
  <c r="AD21" i="3" s="1"/>
  <c r="V21" i="3"/>
  <c r="W21" i="3"/>
  <c r="X21" i="3"/>
  <c r="M38" i="3"/>
  <c r="R38" i="3"/>
  <c r="S38" i="3"/>
  <c r="U38" i="3"/>
  <c r="T38" i="3" s="1"/>
  <c r="V38" i="3"/>
  <c r="W38" i="3"/>
  <c r="X38" i="3"/>
  <c r="AC38" i="3"/>
  <c r="M22" i="3"/>
  <c r="R22" i="3"/>
  <c r="U22" i="3"/>
  <c r="T22" i="3" s="1"/>
  <c r="V22" i="3"/>
  <c r="W22" i="3"/>
  <c r="X22" i="3"/>
  <c r="M46" i="3"/>
  <c r="R46" i="3"/>
  <c r="U46" i="3"/>
  <c r="AC46" i="3" s="1"/>
  <c r="V46" i="3"/>
  <c r="W46" i="3"/>
  <c r="X46" i="3"/>
  <c r="M47" i="3"/>
  <c r="R47" i="3"/>
  <c r="U47" i="3"/>
  <c r="T47" i="3" s="1"/>
  <c r="V47" i="3"/>
  <c r="W47" i="3"/>
  <c r="X47" i="3"/>
  <c r="M34" i="3"/>
  <c r="U34" i="3"/>
  <c r="T34" i="3" s="1"/>
  <c r="V34" i="3"/>
  <c r="W34" i="3"/>
  <c r="X34" i="3"/>
  <c r="AC34" i="3"/>
  <c r="M48" i="3"/>
  <c r="R48" i="3"/>
  <c r="S48" i="3"/>
  <c r="U48" i="3"/>
  <c r="T48" i="3" s="1"/>
  <c r="V48" i="3"/>
  <c r="W48" i="3"/>
  <c r="X48" i="3"/>
  <c r="AC48" i="3"/>
  <c r="M8" i="3"/>
  <c r="U8" i="3"/>
  <c r="AD8" i="3" s="1"/>
  <c r="V8" i="3"/>
  <c r="W8" i="3"/>
  <c r="X8" i="3"/>
  <c r="AC8" i="3"/>
  <c r="M15" i="3"/>
  <c r="S15" i="3"/>
  <c r="U15" i="3"/>
  <c r="T15" i="3" s="1"/>
  <c r="V15" i="3"/>
  <c r="W15" i="3"/>
  <c r="X15" i="3"/>
  <c r="M61" i="3"/>
  <c r="R61" i="3"/>
  <c r="U61" i="3"/>
  <c r="V61" i="3"/>
  <c r="W61" i="3"/>
  <c r="X61" i="3"/>
  <c r="AC61" i="3"/>
  <c r="M28" i="3"/>
  <c r="R28" i="3"/>
  <c r="U28" i="3"/>
  <c r="T28" i="3" s="1"/>
  <c r="V28" i="3"/>
  <c r="W28" i="3"/>
  <c r="X28" i="3"/>
  <c r="M9" i="3"/>
  <c r="R9" i="3"/>
  <c r="U9" i="3"/>
  <c r="AD9" i="3" s="1"/>
  <c r="V9" i="3"/>
  <c r="W9" i="3"/>
  <c r="X9" i="3"/>
  <c r="AC9" i="3"/>
  <c r="M52" i="3"/>
  <c r="R52" i="3"/>
  <c r="S52" i="3"/>
  <c r="U52" i="3"/>
  <c r="AD52" i="3" s="1"/>
  <c r="V52" i="3"/>
  <c r="W52" i="3"/>
  <c r="X52" i="3"/>
  <c r="M35" i="3"/>
  <c r="R35" i="3"/>
  <c r="U35" i="3"/>
  <c r="T35" i="3" s="1"/>
  <c r="V35" i="3"/>
  <c r="W35" i="3"/>
  <c r="X35" i="3"/>
  <c r="AC35" i="3"/>
  <c r="M12" i="3"/>
  <c r="R12" i="3"/>
  <c r="U12" i="3"/>
  <c r="T12" i="3" s="1"/>
  <c r="V12" i="3"/>
  <c r="W12" i="3"/>
  <c r="X12" i="3"/>
  <c r="AD48" i="3"/>
  <c r="M49" i="3"/>
  <c r="R49" i="3"/>
  <c r="S49" i="3"/>
  <c r="U49" i="3"/>
  <c r="AC49" i="3" s="1"/>
  <c r="V49" i="3"/>
  <c r="W49" i="3"/>
  <c r="X49" i="3"/>
  <c r="M50" i="3"/>
  <c r="R50" i="3"/>
  <c r="U50" i="3"/>
  <c r="V50" i="3"/>
  <c r="W50" i="3"/>
  <c r="X50" i="3"/>
  <c r="M51" i="3"/>
  <c r="R51" i="3"/>
  <c r="U51" i="3"/>
  <c r="T51" i="3" s="1"/>
  <c r="V51" i="3"/>
  <c r="W51" i="3"/>
  <c r="X51" i="3"/>
  <c r="M43" i="3"/>
  <c r="R43" i="3"/>
  <c r="U43" i="3"/>
  <c r="T43" i="3" s="1"/>
  <c r="V43" i="3"/>
  <c r="W43" i="3"/>
  <c r="X43" i="3"/>
  <c r="M36" i="3"/>
  <c r="R36" i="3"/>
  <c r="U36" i="3"/>
  <c r="V36" i="3"/>
  <c r="W36" i="3"/>
  <c r="X36" i="3"/>
  <c r="M11" i="3"/>
  <c r="S11" i="3"/>
  <c r="U11" i="3"/>
  <c r="T11" i="3" s="1"/>
  <c r="V11" i="3"/>
  <c r="W11" i="3"/>
  <c r="X11" i="3"/>
  <c r="M39" i="3"/>
  <c r="R39" i="3"/>
  <c r="U39" i="3"/>
  <c r="AD39" i="3" s="1"/>
  <c r="V39" i="3"/>
  <c r="W39" i="3"/>
  <c r="X39" i="3"/>
  <c r="M40" i="3"/>
  <c r="R40" i="3"/>
  <c r="U40" i="3"/>
  <c r="T40" i="3" s="1"/>
  <c r="V40" i="3"/>
  <c r="W40" i="3"/>
  <c r="X40" i="3"/>
  <c r="AC40" i="3"/>
  <c r="M55" i="3"/>
  <c r="R55" i="3"/>
  <c r="U55" i="3"/>
  <c r="AC55" i="3" s="1"/>
  <c r="V55" i="3"/>
  <c r="W55" i="3"/>
  <c r="X55" i="3"/>
  <c r="M56" i="3"/>
  <c r="R56" i="3"/>
  <c r="U56" i="3"/>
  <c r="AC56" i="3" s="1"/>
  <c r="V56" i="3"/>
  <c r="W56" i="3"/>
  <c r="X56" i="3"/>
  <c r="M57" i="3"/>
  <c r="R57" i="3"/>
  <c r="U57" i="3"/>
  <c r="T57" i="3" s="1"/>
  <c r="V57" i="3"/>
  <c r="W57" i="3"/>
  <c r="X57" i="3"/>
  <c r="AC57" i="3"/>
  <c r="M29" i="3"/>
  <c r="U29" i="3"/>
  <c r="AC29" i="3" s="1"/>
  <c r="V29" i="3"/>
  <c r="W29" i="3"/>
  <c r="X29" i="3"/>
  <c r="M54" i="3"/>
  <c r="U54" i="3"/>
  <c r="AD61" i="3" s="1"/>
  <c r="V54" i="3"/>
  <c r="W54" i="3"/>
  <c r="X54" i="3"/>
  <c r="X187" i="1" l="1"/>
  <c r="AA33" i="1"/>
  <c r="AA31" i="1"/>
  <c r="X190" i="1"/>
  <c r="AG184" i="1"/>
  <c r="AC43" i="3"/>
  <c r="AG156" i="1"/>
  <c r="Y57" i="3"/>
  <c r="Y55" i="3"/>
  <c r="Y52" i="3"/>
  <c r="T106" i="1"/>
  <c r="X104" i="1"/>
  <c r="AG101" i="1"/>
  <c r="X101" i="1"/>
  <c r="AA91" i="1"/>
  <c r="X56" i="1"/>
  <c r="X189" i="1"/>
  <c r="X185" i="1"/>
  <c r="AC28" i="3"/>
  <c r="AA156" i="1"/>
  <c r="W156" i="1" s="1"/>
  <c r="AA154" i="1"/>
  <c r="AA122" i="1"/>
  <c r="W122" i="1" s="1"/>
  <c r="AA82" i="1"/>
  <c r="AA78" i="1"/>
  <c r="X184" i="1"/>
  <c r="Y40" i="3"/>
  <c r="Y11" i="3"/>
  <c r="Y47" i="3"/>
  <c r="AC22" i="3"/>
  <c r="Y21" i="3"/>
  <c r="Y30" i="3"/>
  <c r="Y37" i="3"/>
  <c r="AC27" i="3"/>
  <c r="AA203" i="1"/>
  <c r="AA178" i="1"/>
  <c r="AA172" i="1"/>
  <c r="AA163" i="1"/>
  <c r="AA256" i="1"/>
  <c r="AA254" i="1"/>
  <c r="AA245" i="1"/>
  <c r="AG127" i="1"/>
  <c r="AI127" i="1" s="1"/>
  <c r="X127" i="1"/>
  <c r="Y36" i="3"/>
  <c r="Y43" i="3"/>
  <c r="S50" i="3"/>
  <c r="Y41" i="3"/>
  <c r="AG193" i="1"/>
  <c r="AI255" i="1"/>
  <c r="AA246" i="1"/>
  <c r="W246" i="1" s="1"/>
  <c r="AA239" i="1"/>
  <c r="W239" i="1" s="1"/>
  <c r="AA213" i="1"/>
  <c r="AA131" i="1"/>
  <c r="W131" i="1" s="1"/>
  <c r="AA96" i="1"/>
  <c r="AA76" i="1"/>
  <c r="X63" i="1"/>
  <c r="AA51" i="1"/>
  <c r="X16" i="1"/>
  <c r="X170" i="1"/>
  <c r="AC12" i="3"/>
  <c r="T191" i="1"/>
  <c r="U191" i="1" s="1"/>
  <c r="S191" i="1" s="1"/>
  <c r="X229" i="1"/>
  <c r="AA71" i="1"/>
  <c r="AA62" i="1"/>
  <c r="AA47" i="1"/>
  <c r="AA43" i="1"/>
  <c r="X42" i="1"/>
  <c r="AI37" i="1"/>
  <c r="X34" i="1"/>
  <c r="AA23" i="1"/>
  <c r="X173" i="1"/>
  <c r="AC39" i="3"/>
  <c r="AC51" i="3"/>
  <c r="Y9" i="3"/>
  <c r="AD31" i="3"/>
  <c r="Y32" i="3"/>
  <c r="Y25" i="3"/>
  <c r="Y26" i="3"/>
  <c r="AG224" i="1"/>
  <c r="AA223" i="1"/>
  <c r="AA219" i="1"/>
  <c r="X263" i="1"/>
  <c r="X261" i="1"/>
  <c r="AA202" i="1"/>
  <c r="AA191" i="1"/>
  <c r="W191" i="1" s="1"/>
  <c r="AA183" i="1"/>
  <c r="AA162" i="1"/>
  <c r="AA229" i="1"/>
  <c r="T229" i="1"/>
  <c r="U229" i="1" s="1"/>
  <c r="S229" i="1" s="1"/>
  <c r="AI213" i="1"/>
  <c r="X147" i="1"/>
  <c r="AG144" i="1"/>
  <c r="X142" i="1"/>
  <c r="AG137" i="1"/>
  <c r="AI137" i="1" s="1"/>
  <c r="AA129" i="1"/>
  <c r="X123" i="1"/>
  <c r="X105" i="1"/>
  <c r="AA100" i="1"/>
  <c r="AA92" i="1"/>
  <c r="AA88" i="1"/>
  <c r="AA81" i="1"/>
  <c r="AA70" i="1"/>
  <c r="AA66" i="1"/>
  <c r="T58" i="1"/>
  <c r="AA55" i="1"/>
  <c r="T49" i="1"/>
  <c r="P46" i="1"/>
  <c r="AA34" i="1"/>
  <c r="W34" i="1" s="1"/>
  <c r="X169" i="1"/>
  <c r="S56" i="3"/>
  <c r="S55" i="3"/>
  <c r="X168" i="1"/>
  <c r="Y54" i="3"/>
  <c r="T52" i="3"/>
  <c r="R13" i="3"/>
  <c r="AA263" i="1"/>
  <c r="W263" i="1" s="1"/>
  <c r="AG262" i="1"/>
  <c r="AI262" i="1" s="1"/>
  <c r="AA261" i="1"/>
  <c r="W261" i="1" s="1"/>
  <c r="T261" i="1"/>
  <c r="AA260" i="1"/>
  <c r="AA184" i="1"/>
  <c r="W184" i="1" s="1"/>
  <c r="AA169" i="1"/>
  <c r="AG252" i="1"/>
  <c r="AG229" i="1"/>
  <c r="AI229" i="1" s="1"/>
  <c r="X206" i="1"/>
  <c r="AG205" i="1"/>
  <c r="AI205" i="1" s="1"/>
  <c r="AA139" i="1"/>
  <c r="X126" i="1"/>
  <c r="X113" i="1"/>
  <c r="AA104" i="1"/>
  <c r="AA89" i="1"/>
  <c r="AG71" i="1"/>
  <c r="AI71" i="1" s="1"/>
  <c r="AA16" i="1"/>
  <c r="X167" i="1"/>
  <c r="W213" i="1"/>
  <c r="AD59" i="3"/>
  <c r="AE59" i="3"/>
  <c r="AD56" i="3"/>
  <c r="AD28" i="3"/>
  <c r="AD27" i="3"/>
  <c r="AA224" i="1"/>
  <c r="W224" i="1" s="1"/>
  <c r="AA199" i="1"/>
  <c r="X196" i="1"/>
  <c r="AG195" i="1"/>
  <c r="AG188" i="1"/>
  <c r="T188" i="1"/>
  <c r="AA176" i="1"/>
  <c r="AG169" i="1"/>
  <c r="AI169" i="1" s="1"/>
  <c r="AA159" i="1"/>
  <c r="AA251" i="1"/>
  <c r="AG237" i="1"/>
  <c r="AI237" i="1" s="1"/>
  <c r="X237" i="1"/>
  <c r="T213" i="1"/>
  <c r="U213" i="1" s="1"/>
  <c r="S213" i="1" s="1"/>
  <c r="AA212" i="1"/>
  <c r="AA134" i="1"/>
  <c r="T129" i="1"/>
  <c r="X130" i="1"/>
  <c r="T110" i="1"/>
  <c r="AG110" i="1"/>
  <c r="AA108" i="1"/>
  <c r="T92" i="1"/>
  <c r="X92" i="1"/>
  <c r="T88" i="1"/>
  <c r="AG88" i="1"/>
  <c r="X64" i="1"/>
  <c r="AG63" i="1"/>
  <c r="AI63" i="1" s="1"/>
  <c r="AA48" i="1"/>
  <c r="AG29" i="1"/>
  <c r="AI29" i="1" s="1"/>
  <c r="X29" i="1"/>
  <c r="AG17" i="1"/>
  <c r="AI17" i="1" s="1"/>
  <c r="X17" i="1"/>
  <c r="T234" i="1"/>
  <c r="AG234" i="1"/>
  <c r="T121" i="1"/>
  <c r="AG121" i="1"/>
  <c r="Y49" i="3"/>
  <c r="AE27" i="3"/>
  <c r="Y27" i="3"/>
  <c r="T197" i="1"/>
  <c r="AG197" i="1"/>
  <c r="AI197" i="1" s="1"/>
  <c r="W229" i="1"/>
  <c r="U205" i="1"/>
  <c r="S205" i="1" s="1"/>
  <c r="AG48" i="1"/>
  <c r="U48" i="1" s="1"/>
  <c r="S48" i="1" s="1"/>
  <c r="X48" i="1"/>
  <c r="AG36" i="1"/>
  <c r="AI36" i="1" s="1"/>
  <c r="T36" i="1"/>
  <c r="AD43" i="3"/>
  <c r="Y33" i="3"/>
  <c r="Y60" i="3"/>
  <c r="Y59" i="3"/>
  <c r="AI193" i="1"/>
  <c r="S40" i="3"/>
  <c r="Y50" i="3"/>
  <c r="Y35" i="3"/>
  <c r="AE8" i="3"/>
  <c r="AE38" i="3"/>
  <c r="AE42" i="3"/>
  <c r="AA180" i="1"/>
  <c r="AA236" i="1"/>
  <c r="AA234" i="1"/>
  <c r="AA232" i="1"/>
  <c r="W232" i="1" s="1"/>
  <c r="AG228" i="1"/>
  <c r="T228" i="1"/>
  <c r="AA228" i="1"/>
  <c r="W228" i="1" s="1"/>
  <c r="X214" i="1"/>
  <c r="AA153" i="1"/>
  <c r="AA149" i="1"/>
  <c r="AA137" i="1"/>
  <c r="W137" i="1" s="1"/>
  <c r="AA125" i="1"/>
  <c r="W125" i="1" s="1"/>
  <c r="AA121" i="1"/>
  <c r="AA117" i="1"/>
  <c r="T114" i="1"/>
  <c r="U114" i="1" s="1"/>
  <c r="S114" i="1" s="1"/>
  <c r="X114" i="1"/>
  <c r="AG114" i="1"/>
  <c r="AI114" i="1" s="1"/>
  <c r="AA105" i="1"/>
  <c r="T99" i="1"/>
  <c r="X100" i="1"/>
  <c r="AA99" i="1"/>
  <c r="X89" i="1"/>
  <c r="T89" i="1"/>
  <c r="AG72" i="1"/>
  <c r="U72" i="1" s="1"/>
  <c r="S72" i="1" s="1"/>
  <c r="X72" i="1"/>
  <c r="AG54" i="1"/>
  <c r="T54" i="1"/>
  <c r="X55" i="1"/>
  <c r="AA54" i="1"/>
  <c r="X36" i="1"/>
  <c r="AG21" i="1"/>
  <c r="AI21" i="1" s="1"/>
  <c r="X21" i="1"/>
  <c r="Y15" i="3"/>
  <c r="Y8" i="3"/>
  <c r="Y48" i="3"/>
  <c r="Y34" i="3"/>
  <c r="Y13" i="3"/>
  <c r="Y10" i="3"/>
  <c r="Y42" i="3"/>
  <c r="Y20" i="3"/>
  <c r="AD22" i="3"/>
  <c r="AD20" i="3"/>
  <c r="AA258" i="1"/>
  <c r="AA195" i="1"/>
  <c r="W195" i="1" s="1"/>
  <c r="AA189" i="1"/>
  <c r="AA187" i="1"/>
  <c r="AA175" i="1"/>
  <c r="AA168" i="1"/>
  <c r="AA227" i="1"/>
  <c r="AA144" i="1"/>
  <c r="AA142" i="1"/>
  <c r="W142" i="1" s="1"/>
  <c r="AA136" i="1"/>
  <c r="W136" i="1" s="1"/>
  <c r="AA126" i="1"/>
  <c r="T126" i="1"/>
  <c r="AA109" i="1"/>
  <c r="W109" i="1" s="1"/>
  <c r="AI106" i="1"/>
  <c r="X97" i="1"/>
  <c r="AA90" i="1"/>
  <c r="AA87" i="1"/>
  <c r="W87" i="1" s="1"/>
  <c r="AA79" i="1"/>
  <c r="W79" i="1" s="1"/>
  <c r="AA64" i="1"/>
  <c r="X52" i="1"/>
  <c r="U49" i="1"/>
  <c r="S49" i="1" s="1"/>
  <c r="AA49" i="1"/>
  <c r="W49" i="1" s="1"/>
  <c r="AA42" i="1"/>
  <c r="W42" i="1" s="1"/>
  <c r="T42" i="1"/>
  <c r="AA39" i="1"/>
  <c r="X25" i="1"/>
  <c r="AA19" i="1"/>
  <c r="AA113" i="1"/>
  <c r="AA107" i="1"/>
  <c r="W104" i="1"/>
  <c r="X93" i="1"/>
  <c r="AA83" i="1"/>
  <c r="AA72" i="1"/>
  <c r="AA36" i="1"/>
  <c r="W36" i="1" s="1"/>
  <c r="AA35" i="1"/>
  <c r="AA28" i="1"/>
  <c r="W28" i="1" s="1"/>
  <c r="AA24" i="1"/>
  <c r="W24" i="1" s="1"/>
  <c r="AA22" i="1"/>
  <c r="AA46" i="1"/>
  <c r="T46" i="1"/>
  <c r="AG225" i="1"/>
  <c r="AI225" i="1" s="1"/>
  <c r="X225" i="1"/>
  <c r="AG203" i="1"/>
  <c r="T203" i="1"/>
  <c r="W203" i="1"/>
  <c r="AA225" i="1"/>
  <c r="AA220" i="1"/>
  <c r="AG199" i="1"/>
  <c r="T199" i="1"/>
  <c r="U199" i="1" s="1"/>
  <c r="S199" i="1" s="1"/>
  <c r="T176" i="1"/>
  <c r="U176" i="1" s="1"/>
  <c r="S176" i="1" s="1"/>
  <c r="T173" i="1"/>
  <c r="T163" i="1"/>
  <c r="U163" i="1" s="1"/>
  <c r="S163" i="1" s="1"/>
  <c r="T160" i="1"/>
  <c r="X218" i="1"/>
  <c r="W144" i="1"/>
  <c r="X139" i="1"/>
  <c r="X129" i="1"/>
  <c r="T123" i="1"/>
  <c r="W121" i="1"/>
  <c r="X118" i="1"/>
  <c r="X117" i="1"/>
  <c r="AI110" i="1"/>
  <c r="X110" i="1"/>
  <c r="X109" i="1"/>
  <c r="X96" i="1"/>
  <c r="W91" i="1"/>
  <c r="W88" i="1"/>
  <c r="U64" i="1"/>
  <c r="X60" i="1"/>
  <c r="X45" i="1"/>
  <c r="T44" i="1"/>
  <c r="AA18" i="1"/>
  <c r="X15" i="1"/>
  <c r="AG201" i="1"/>
  <c r="AI201" i="1" s="1"/>
  <c r="AA198" i="1"/>
  <c r="AA193" i="1"/>
  <c r="W193" i="1" s="1"/>
  <c r="X181" i="1"/>
  <c r="AG174" i="1"/>
  <c r="AI174" i="1" s="1"/>
  <c r="AA173" i="1"/>
  <c r="AG257" i="1"/>
  <c r="AA167" i="1"/>
  <c r="AG161" i="1"/>
  <c r="AA160" i="1"/>
  <c r="W160" i="1" s="1"/>
  <c r="X160" i="1"/>
  <c r="AG254" i="1"/>
  <c r="W254" i="1" s="1"/>
  <c r="AA248" i="1"/>
  <c r="W248" i="1" s="1"/>
  <c r="X243" i="1"/>
  <c r="AA240" i="1"/>
  <c r="AG236" i="1"/>
  <c r="W236" i="1" s="1"/>
  <c r="AA226" i="1"/>
  <c r="AA217" i="1"/>
  <c r="AA214" i="1"/>
  <c r="T214" i="1"/>
  <c r="AA211" i="1"/>
  <c r="AA209" i="1"/>
  <c r="W209" i="1" s="1"/>
  <c r="AA206" i="1"/>
  <c r="T206" i="1"/>
  <c r="AA157" i="1"/>
  <c r="AA152" i="1"/>
  <c r="AA150" i="1"/>
  <c r="W150" i="1" s="1"/>
  <c r="AG148" i="1"/>
  <c r="AA145" i="1"/>
  <c r="X138" i="1"/>
  <c r="AG133" i="1"/>
  <c r="AI133" i="1" s="1"/>
  <c r="AA124" i="1"/>
  <c r="W124" i="1" s="1"/>
  <c r="T124" i="1"/>
  <c r="U124" i="1" s="1"/>
  <c r="S124" i="1" s="1"/>
  <c r="AA116" i="1"/>
  <c r="AG111" i="1"/>
  <c r="U111" i="1" s="1"/>
  <c r="AA102" i="1"/>
  <c r="AA97" i="1"/>
  <c r="T97" i="1"/>
  <c r="AG96" i="1"/>
  <c r="AI96" i="1" s="1"/>
  <c r="AA95" i="1"/>
  <c r="AG84" i="1"/>
  <c r="U84" i="1" s="1"/>
  <c r="X84" i="1"/>
  <c r="AI83" i="1"/>
  <c r="X80" i="1"/>
  <c r="X75" i="1"/>
  <c r="AA73" i="1"/>
  <c r="AA67" i="1"/>
  <c r="AA63" i="1"/>
  <c r="W63" i="1" s="1"/>
  <c r="AA59" i="1"/>
  <c r="AA58" i="1"/>
  <c r="AA44" i="1"/>
  <c r="W44" i="1" s="1"/>
  <c r="T34" i="1"/>
  <c r="AG31" i="1"/>
  <c r="U31" i="1" s="1"/>
  <c r="S31" i="1" s="1"/>
  <c r="T28" i="1"/>
  <c r="AA27" i="1"/>
  <c r="X26" i="1"/>
  <c r="T25" i="1"/>
  <c r="X20" i="1"/>
  <c r="W176" i="1"/>
  <c r="W163" i="1"/>
  <c r="AA15" i="1"/>
  <c r="W15" i="1" s="1"/>
  <c r="AG189" i="1"/>
  <c r="AI189" i="1" s="1"/>
  <c r="AA188" i="1"/>
  <c r="AG182" i="1"/>
  <c r="AI182" i="1" s="1"/>
  <c r="AA165" i="1"/>
  <c r="AA253" i="1"/>
  <c r="T251" i="1"/>
  <c r="U251" i="1" s="1"/>
  <c r="S251" i="1" s="1"/>
  <c r="AA250" i="1"/>
  <c r="AG244" i="1"/>
  <c r="AA243" i="1"/>
  <c r="T243" i="1"/>
  <c r="U243" i="1" s="1"/>
  <c r="S243" i="1" s="1"/>
  <c r="AA242" i="1"/>
  <c r="AA235" i="1"/>
  <c r="AG226" i="1"/>
  <c r="AG214" i="1"/>
  <c r="AG211" i="1"/>
  <c r="AG206" i="1"/>
  <c r="AI206" i="1" s="1"/>
  <c r="AA205" i="1"/>
  <c r="W205" i="1" s="1"/>
  <c r="X155" i="1"/>
  <c r="AG152" i="1"/>
  <c r="X150" i="1"/>
  <c r="AA148" i="1"/>
  <c r="AA146" i="1"/>
  <c r="AG139" i="1"/>
  <c r="U139" i="1" s="1"/>
  <c r="S139" i="1" s="1"/>
  <c r="T136" i="1"/>
  <c r="U136" i="1" s="1"/>
  <c r="S136" i="1" s="1"/>
  <c r="AA133" i="1"/>
  <c r="X132" i="1"/>
  <c r="AG131" i="1"/>
  <c r="X131" i="1"/>
  <c r="AG129" i="1"/>
  <c r="AI129" i="1" s="1"/>
  <c r="X128" i="1"/>
  <c r="X124" i="1"/>
  <c r="T122" i="1"/>
  <c r="U122" i="1" s="1"/>
  <c r="S122" i="1" s="1"/>
  <c r="AG115" i="1"/>
  <c r="U115" i="1" s="1"/>
  <c r="AA112" i="1"/>
  <c r="W112" i="1" s="1"/>
  <c r="AA106" i="1"/>
  <c r="AG102" i="1"/>
  <c r="AI102" i="1" s="1"/>
  <c r="AG97" i="1"/>
  <c r="AA75" i="1"/>
  <c r="W75" i="1" s="1"/>
  <c r="AA74" i="1"/>
  <c r="AA65" i="1"/>
  <c r="W65" i="1" s="1"/>
  <c r="X59" i="1"/>
  <c r="AG51" i="1"/>
  <c r="AI51" i="1" s="1"/>
  <c r="AA45" i="1"/>
  <c r="AA41" i="1"/>
  <c r="W41" i="1" s="1"/>
  <c r="AG39" i="1"/>
  <c r="AI39" i="1" s="1"/>
  <c r="AA26" i="1"/>
  <c r="W26" i="1" s="1"/>
  <c r="T26" i="1"/>
  <c r="AG25" i="1"/>
  <c r="AI25" i="1" s="1"/>
  <c r="W220" i="1"/>
  <c r="W187" i="1"/>
  <c r="U224" i="1"/>
  <c r="S224" i="1" s="1"/>
  <c r="X220" i="1"/>
  <c r="AA196" i="1"/>
  <c r="W196" i="1" s="1"/>
  <c r="T196" i="1"/>
  <c r="X195" i="1"/>
  <c r="AA190" i="1"/>
  <c r="U184" i="1"/>
  <c r="S184" i="1" s="1"/>
  <c r="AA181" i="1"/>
  <c r="T181" i="1"/>
  <c r="AG177" i="1"/>
  <c r="U177" i="1" s="1"/>
  <c r="S177" i="1" s="1"/>
  <c r="X177" i="1"/>
  <c r="T177" i="1"/>
  <c r="X224" i="1"/>
  <c r="AG221" i="1"/>
  <c r="AI221" i="1" s="1"/>
  <c r="X221" i="1"/>
  <c r="AG260" i="1"/>
  <c r="U260" i="1" s="1"/>
  <c r="S260" i="1" s="1"/>
  <c r="AG258" i="1"/>
  <c r="AI258" i="1" s="1"/>
  <c r="AA204" i="1"/>
  <c r="W204" i="1" s="1"/>
  <c r="T204" i="1"/>
  <c r="AA201" i="1"/>
  <c r="X200" i="1"/>
  <c r="U195" i="1"/>
  <c r="S195" i="1" s="1"/>
  <c r="AA192" i="1"/>
  <c r="W192" i="1" s="1"/>
  <c r="T192" i="1"/>
  <c r="W189" i="1"/>
  <c r="T187" i="1"/>
  <c r="U187" i="1" s="1"/>
  <c r="S187" i="1" s="1"/>
  <c r="AA186" i="1"/>
  <c r="T180" i="1"/>
  <c r="AG180" i="1"/>
  <c r="W180" i="1" s="1"/>
  <c r="AG172" i="1"/>
  <c r="T172" i="1"/>
  <c r="AI142" i="1"/>
  <c r="T220" i="1"/>
  <c r="U220" i="1" s="1"/>
  <c r="S220" i="1" s="1"/>
  <c r="T178" i="1"/>
  <c r="AG178" i="1"/>
  <c r="W178" i="1" s="1"/>
  <c r="AI176" i="1"/>
  <c r="AI209" i="1"/>
  <c r="AI150" i="1"/>
  <c r="AA222" i="1"/>
  <c r="AA221" i="1"/>
  <c r="T263" i="1"/>
  <c r="AA262" i="1"/>
  <c r="AA259" i="1"/>
  <c r="X204" i="1"/>
  <c r="AA200" i="1"/>
  <c r="W200" i="1" s="1"/>
  <c r="T200" i="1"/>
  <c r="X199" i="1"/>
  <c r="AA197" i="1"/>
  <c r="AA194" i="1"/>
  <c r="X192" i="1"/>
  <c r="AA185" i="1"/>
  <c r="W185" i="1" s="1"/>
  <c r="T185" i="1"/>
  <c r="U185" i="1" s="1"/>
  <c r="S185" i="1" s="1"/>
  <c r="X180" i="1"/>
  <c r="W242" i="1"/>
  <c r="AA177" i="1"/>
  <c r="X176" i="1"/>
  <c r="AA174" i="1"/>
  <c r="AA171" i="1"/>
  <c r="AG167" i="1"/>
  <c r="U167" i="1" s="1"/>
  <c r="S167" i="1" s="1"/>
  <c r="AG165" i="1"/>
  <c r="AA164" i="1"/>
  <c r="W164" i="1" s="1"/>
  <c r="T164" i="1"/>
  <c r="U164" i="1" s="1"/>
  <c r="S164" i="1" s="1"/>
  <c r="X163" i="1"/>
  <c r="AA161" i="1"/>
  <c r="T159" i="1"/>
  <c r="AA158" i="1"/>
  <c r="X255" i="1"/>
  <c r="AG250" i="1"/>
  <c r="U250" i="1" s="1"/>
  <c r="S250" i="1" s="1"/>
  <c r="AG248" i="1"/>
  <c r="AA247" i="1"/>
  <c r="W247" i="1" s="1"/>
  <c r="T247" i="1"/>
  <c r="X246" i="1"/>
  <c r="AA244" i="1"/>
  <c r="T242" i="1"/>
  <c r="U242" i="1" s="1"/>
  <c r="S242" i="1" s="1"/>
  <c r="AA241" i="1"/>
  <c r="AG233" i="1"/>
  <c r="X233" i="1"/>
  <c r="T232" i="1"/>
  <c r="U232" i="1" s="1"/>
  <c r="S232" i="1" s="1"/>
  <c r="AA231" i="1"/>
  <c r="AA230" i="1"/>
  <c r="AA218" i="1"/>
  <c r="T218" i="1"/>
  <c r="AG217" i="1"/>
  <c r="AG215" i="1"/>
  <c r="U215" i="1" s="1"/>
  <c r="X213" i="1"/>
  <c r="AG210" i="1"/>
  <c r="U210" i="1" s="1"/>
  <c r="S210" i="1" s="1"/>
  <c r="X210" i="1"/>
  <c r="T209" i="1"/>
  <c r="U209" i="1" s="1"/>
  <c r="S209" i="1" s="1"/>
  <c r="AA208" i="1"/>
  <c r="AA207" i="1"/>
  <c r="AA155" i="1"/>
  <c r="T155" i="1"/>
  <c r="AG154" i="1"/>
  <c r="W154" i="1" s="1"/>
  <c r="AG151" i="1"/>
  <c r="U151" i="1" s="1"/>
  <c r="S151" i="1" s="1"/>
  <c r="X151" i="1"/>
  <c r="AA147" i="1"/>
  <c r="T147" i="1"/>
  <c r="AG146" i="1"/>
  <c r="AG143" i="1"/>
  <c r="U143" i="1" s="1"/>
  <c r="S143" i="1" s="1"/>
  <c r="X143" i="1"/>
  <c r="AA140" i="1"/>
  <c r="X135" i="1"/>
  <c r="AG135" i="1"/>
  <c r="X136" i="1"/>
  <c r="AA135" i="1"/>
  <c r="AI113" i="1"/>
  <c r="AI100" i="1"/>
  <c r="X159" i="1"/>
  <c r="X251" i="1"/>
  <c r="U246" i="1"/>
  <c r="S246" i="1" s="1"/>
  <c r="X242" i="1"/>
  <c r="X232" i="1"/>
  <c r="W226" i="1"/>
  <c r="X209" i="1"/>
  <c r="X154" i="1"/>
  <c r="T150" i="1"/>
  <c r="U150" i="1" s="1"/>
  <c r="S150" i="1" s="1"/>
  <c r="X146" i="1"/>
  <c r="T142" i="1"/>
  <c r="U142" i="1" s="1"/>
  <c r="S142" i="1" s="1"/>
  <c r="AA141" i="1"/>
  <c r="T140" i="1"/>
  <c r="AG140" i="1"/>
  <c r="AI140" i="1" s="1"/>
  <c r="U137" i="1"/>
  <c r="S137" i="1" s="1"/>
  <c r="AA182" i="1"/>
  <c r="AA179" i="1"/>
  <c r="AA170" i="1"/>
  <c r="W170" i="1" s="1"/>
  <c r="T170" i="1"/>
  <c r="AA257" i="1"/>
  <c r="AA166" i="1"/>
  <c r="X164" i="1"/>
  <c r="AG159" i="1"/>
  <c r="AG256" i="1"/>
  <c r="AI256" i="1" s="1"/>
  <c r="AA255" i="1"/>
  <c r="W255" i="1" s="1"/>
  <c r="T255" i="1"/>
  <c r="X254" i="1"/>
  <c r="AA252" i="1"/>
  <c r="W252" i="1" s="1"/>
  <c r="AA249" i="1"/>
  <c r="X247" i="1"/>
  <c r="AG240" i="1"/>
  <c r="AA238" i="1"/>
  <c r="W238" i="1" s="1"/>
  <c r="AA233" i="1"/>
  <c r="W233" i="1" s="1"/>
  <c r="AG230" i="1"/>
  <c r="U230" i="1" s="1"/>
  <c r="S230" i="1" s="1"/>
  <c r="X228" i="1"/>
  <c r="AG218" i="1"/>
  <c r="AA216" i="1"/>
  <c r="AA215" i="1"/>
  <c r="AA210" i="1"/>
  <c r="AG207" i="1"/>
  <c r="U207" i="1" s="1"/>
  <c r="X205" i="1"/>
  <c r="AG155" i="1"/>
  <c r="AA151" i="1"/>
  <c r="AG147" i="1"/>
  <c r="U147" i="1" s="1"/>
  <c r="S147" i="1" s="1"/>
  <c r="AA143" i="1"/>
  <c r="AG138" i="1"/>
  <c r="T138" i="1"/>
  <c r="AI117" i="1"/>
  <c r="AI109" i="1"/>
  <c r="U169" i="1"/>
  <c r="S169" i="1" s="1"/>
  <c r="X250" i="1"/>
  <c r="X217" i="1"/>
  <c r="AG134" i="1"/>
  <c r="W134" i="1" s="1"/>
  <c r="X134" i="1"/>
  <c r="W133" i="1"/>
  <c r="AI125" i="1"/>
  <c r="AA132" i="1"/>
  <c r="W132" i="1" s="1"/>
  <c r="T132" i="1"/>
  <c r="U129" i="1"/>
  <c r="S129" i="1" s="1"/>
  <c r="U127" i="1"/>
  <c r="X125" i="1"/>
  <c r="AA120" i="1"/>
  <c r="W120" i="1" s="1"/>
  <c r="X106" i="1"/>
  <c r="T96" i="1"/>
  <c r="AA94" i="1"/>
  <c r="AA93" i="1"/>
  <c r="T93" i="1"/>
  <c r="U93" i="1" s="1"/>
  <c r="S93" i="1" s="1"/>
  <c r="AG92" i="1"/>
  <c r="W92" i="1" s="1"/>
  <c r="T91" i="1"/>
  <c r="AG85" i="1"/>
  <c r="AI85" i="1" s="1"/>
  <c r="X85" i="1"/>
  <c r="AA84" i="1"/>
  <c r="X79" i="1"/>
  <c r="AG76" i="1"/>
  <c r="U76" i="1" s="1"/>
  <c r="X76" i="1"/>
  <c r="AG68" i="1"/>
  <c r="U68" i="1" s="1"/>
  <c r="X68" i="1"/>
  <c r="T63" i="1"/>
  <c r="U63" i="1" s="1"/>
  <c r="S63" i="1" s="1"/>
  <c r="AA61" i="1"/>
  <c r="W61" i="1" s="1"/>
  <c r="AA60" i="1"/>
  <c r="T60" i="1"/>
  <c r="AG59" i="1"/>
  <c r="AA57" i="1"/>
  <c r="W57" i="1" s="1"/>
  <c r="AA56" i="1"/>
  <c r="T56" i="1"/>
  <c r="AG55" i="1"/>
  <c r="AA53" i="1"/>
  <c r="W53" i="1" s="1"/>
  <c r="AA52" i="1"/>
  <c r="T52" i="1"/>
  <c r="AG47" i="1"/>
  <c r="AI47" i="1" s="1"/>
  <c r="AG41" i="1"/>
  <c r="AI41" i="1" s="1"/>
  <c r="X41" i="1"/>
  <c r="X40" i="1"/>
  <c r="AA38" i="1"/>
  <c r="T38" i="1"/>
  <c r="U38" i="1" s="1"/>
  <c r="S38" i="1" s="1"/>
  <c r="AA37" i="1"/>
  <c r="W37" i="1" s="1"/>
  <c r="AG35" i="1"/>
  <c r="AI35" i="1" s="1"/>
  <c r="T33" i="1"/>
  <c r="AA32" i="1"/>
  <c r="W32" i="1" s="1"/>
  <c r="T32" i="1"/>
  <c r="U32" i="1" s="1"/>
  <c r="S32" i="1" s="1"/>
  <c r="X30" i="1"/>
  <c r="X24" i="1"/>
  <c r="T16" i="1"/>
  <c r="U131" i="1"/>
  <c r="S131" i="1" s="1"/>
  <c r="U121" i="1"/>
  <c r="S121" i="1" s="1"/>
  <c r="W117" i="1"/>
  <c r="W113" i="1"/>
  <c r="T105" i="1"/>
  <c r="W100" i="1"/>
  <c r="W97" i="1"/>
  <c r="U88" i="1"/>
  <c r="S88" i="1" s="1"/>
  <c r="T87" i="1"/>
  <c r="T83" i="1"/>
  <c r="U83" i="1" s="1"/>
  <c r="S83" i="1" s="1"/>
  <c r="T67" i="1"/>
  <c r="W64" i="1"/>
  <c r="T45" i="1"/>
  <c r="AG16" i="1"/>
  <c r="T15" i="1"/>
  <c r="AA14" i="1"/>
  <c r="T125" i="1"/>
  <c r="U125" i="1" s="1"/>
  <c r="S125" i="1" s="1"/>
  <c r="AA123" i="1"/>
  <c r="X121" i="1"/>
  <c r="AA119" i="1"/>
  <c r="T117" i="1"/>
  <c r="U117" i="1" s="1"/>
  <c r="S117" i="1" s="1"/>
  <c r="T113" i="1"/>
  <c r="U113" i="1" s="1"/>
  <c r="S113" i="1" s="1"/>
  <c r="T109" i="1"/>
  <c r="U109" i="1" s="1"/>
  <c r="S109" i="1" s="1"/>
  <c r="W106" i="1"/>
  <c r="AG105" i="1"/>
  <c r="T104" i="1"/>
  <c r="U104" i="1" s="1"/>
  <c r="S104" i="1" s="1"/>
  <c r="T100" i="1"/>
  <c r="U100" i="1" s="1"/>
  <c r="S100" i="1" s="1"/>
  <c r="AA98" i="1"/>
  <c r="AG93" i="1"/>
  <c r="X91" i="1"/>
  <c r="X88" i="1"/>
  <c r="AA86" i="1"/>
  <c r="AA85" i="1"/>
  <c r="AA80" i="1"/>
  <c r="T79" i="1"/>
  <c r="U79" i="1" s="1"/>
  <c r="S79" i="1" s="1"/>
  <c r="AA77" i="1"/>
  <c r="W77" i="1" s="1"/>
  <c r="AA69" i="1"/>
  <c r="W69" i="1" s="1"/>
  <c r="AA68" i="1"/>
  <c r="AG67" i="1"/>
  <c r="AG60" i="1"/>
  <c r="AG56" i="1"/>
  <c r="AG52" i="1"/>
  <c r="AI52" i="1" s="1"/>
  <c r="AA50" i="1"/>
  <c r="W50" i="1" s="1"/>
  <c r="AG45" i="1"/>
  <c r="AG43" i="1"/>
  <c r="AI43" i="1" s="1"/>
  <c r="AA40" i="1"/>
  <c r="W40" i="1" s="1"/>
  <c r="T40" i="1"/>
  <c r="U40" i="1" s="1"/>
  <c r="S40" i="1" s="1"/>
  <c r="X38" i="1"/>
  <c r="AG33" i="1"/>
  <c r="AI33" i="1" s="1"/>
  <c r="X33" i="1"/>
  <c r="X32" i="1"/>
  <c r="AA30" i="1"/>
  <c r="W30" i="1" s="1"/>
  <c r="T30" i="1"/>
  <c r="AA29" i="1"/>
  <c r="W29" i="1" s="1"/>
  <c r="AG27" i="1"/>
  <c r="AI27" i="1" s="1"/>
  <c r="AA25" i="1"/>
  <c r="T24" i="1"/>
  <c r="AA21" i="1"/>
  <c r="T20" i="1"/>
  <c r="U20" i="1" s="1"/>
  <c r="S20" i="1" s="1"/>
  <c r="AA17" i="1"/>
  <c r="W17" i="1" s="1"/>
  <c r="AA138" i="1"/>
  <c r="AI131" i="1"/>
  <c r="AA130" i="1"/>
  <c r="W130" i="1" s="1"/>
  <c r="T130" i="1"/>
  <c r="AA128" i="1"/>
  <c r="W128" i="1" s="1"/>
  <c r="T128" i="1"/>
  <c r="U128" i="1" s="1"/>
  <c r="S128" i="1" s="1"/>
  <c r="AA127" i="1"/>
  <c r="W127" i="1" s="1"/>
  <c r="AG123" i="1"/>
  <c r="X122" i="1"/>
  <c r="AI121" i="1"/>
  <c r="AG119" i="1"/>
  <c r="AA118" i="1"/>
  <c r="W118" i="1" s="1"/>
  <c r="T118" i="1"/>
  <c r="AI115" i="1"/>
  <c r="AA115" i="1"/>
  <c r="W115" i="1" s="1"/>
  <c r="AA114" i="1"/>
  <c r="W114" i="1" s="1"/>
  <c r="AI111" i="1"/>
  <c r="AA111" i="1"/>
  <c r="AA110" i="1"/>
  <c r="W110" i="1" s="1"/>
  <c r="AA103" i="1"/>
  <c r="AA101" i="1"/>
  <c r="W101" i="1" s="1"/>
  <c r="AG89" i="1"/>
  <c r="W89" i="1" s="1"/>
  <c r="AI88" i="1"/>
  <c r="X87" i="1"/>
  <c r="X83" i="1"/>
  <c r="AG80" i="1"/>
  <c r="U80" i="1" s="1"/>
  <c r="S80" i="1" s="1"/>
  <c r="T75" i="1"/>
  <c r="U75" i="1" s="1"/>
  <c r="S75" i="1" s="1"/>
  <c r="U71" i="1"/>
  <c r="S71" i="1" s="1"/>
  <c r="AI49" i="1"/>
  <c r="X46" i="1"/>
  <c r="X44" i="1"/>
  <c r="X28" i="1"/>
  <c r="AI251" i="1"/>
  <c r="AI247" i="1"/>
  <c r="U192" i="1"/>
  <c r="S192" i="1" s="1"/>
  <c r="AI238" i="1"/>
  <c r="W173" i="1"/>
  <c r="U247" i="1"/>
  <c r="S247" i="1" s="1"/>
  <c r="W243" i="1"/>
  <c r="AG222" i="1"/>
  <c r="AI222" i="1" s="1"/>
  <c r="U173" i="1"/>
  <c r="S173" i="1" s="1"/>
  <c r="AI218" i="1"/>
  <c r="U160" i="1"/>
  <c r="S160" i="1" s="1"/>
  <c r="AI263" i="1"/>
  <c r="AG223" i="1"/>
  <c r="X222" i="1"/>
  <c r="AG219" i="1"/>
  <c r="AI219" i="1" s="1"/>
  <c r="U263" i="1"/>
  <c r="S263" i="1" s="1"/>
  <c r="U261" i="1"/>
  <c r="S261" i="1" s="1"/>
  <c r="U204" i="1"/>
  <c r="S204" i="1" s="1"/>
  <c r="U200" i="1"/>
  <c r="S200" i="1" s="1"/>
  <c r="AI246" i="1"/>
  <c r="W181" i="1"/>
  <c r="U170" i="1"/>
  <c r="S170" i="1" s="1"/>
  <c r="U255" i="1"/>
  <c r="S255" i="1" s="1"/>
  <c r="W251" i="1"/>
  <c r="X223" i="1"/>
  <c r="X219" i="1"/>
  <c r="X260" i="1"/>
  <c r="T259" i="1"/>
  <c r="X259" i="1"/>
  <c r="AG259" i="1"/>
  <c r="W259" i="1" s="1"/>
  <c r="X203" i="1"/>
  <c r="T202" i="1"/>
  <c r="X202" i="1"/>
  <c r="AG202" i="1"/>
  <c r="AI202" i="1" s="1"/>
  <c r="U196" i="1"/>
  <c r="S196" i="1" s="1"/>
  <c r="AI242" i="1"/>
  <c r="U181" i="1"/>
  <c r="S181" i="1" s="1"/>
  <c r="AI226" i="1"/>
  <c r="U193" i="1"/>
  <c r="S193" i="1" s="1"/>
  <c r="U189" i="1"/>
  <c r="S189" i="1" s="1"/>
  <c r="U178" i="1"/>
  <c r="S178" i="1" s="1"/>
  <c r="U257" i="1"/>
  <c r="S257" i="1" s="1"/>
  <c r="U161" i="1"/>
  <c r="S161" i="1" s="1"/>
  <c r="U256" i="1"/>
  <c r="S256" i="1" s="1"/>
  <c r="U252" i="1"/>
  <c r="S252" i="1" s="1"/>
  <c r="U248" i="1"/>
  <c r="S248" i="1" s="1"/>
  <c r="U244" i="1"/>
  <c r="S244" i="1" s="1"/>
  <c r="U237" i="1"/>
  <c r="S237" i="1" s="1"/>
  <c r="AI181" i="1"/>
  <c r="U211" i="1"/>
  <c r="U152" i="1"/>
  <c r="S152" i="1" s="1"/>
  <c r="U144" i="1"/>
  <c r="S144" i="1" s="1"/>
  <c r="X262" i="1"/>
  <c r="X258" i="1"/>
  <c r="X201" i="1"/>
  <c r="AG198" i="1"/>
  <c r="W198" i="1" s="1"/>
  <c r="X197" i="1"/>
  <c r="AG194" i="1"/>
  <c r="AI194" i="1" s="1"/>
  <c r="X193" i="1"/>
  <c r="AG190" i="1"/>
  <c r="AG186" i="1"/>
  <c r="AI186" i="1" s="1"/>
  <c r="AG183" i="1"/>
  <c r="X182" i="1"/>
  <c r="AG179" i="1"/>
  <c r="X178" i="1"/>
  <c r="AG175" i="1"/>
  <c r="W175" i="1" s="1"/>
  <c r="X174" i="1"/>
  <c r="AG171" i="1"/>
  <c r="AG168" i="1"/>
  <c r="X257" i="1"/>
  <c r="AG166" i="1"/>
  <c r="X165" i="1"/>
  <c r="AG162" i="1"/>
  <c r="X161" i="1"/>
  <c r="AG158" i="1"/>
  <c r="AI158" i="1" s="1"/>
  <c r="X256" i="1"/>
  <c r="AG253" i="1"/>
  <c r="X252" i="1"/>
  <c r="AG249" i="1"/>
  <c r="AI249" i="1" s="1"/>
  <c r="X248" i="1"/>
  <c r="AG245" i="1"/>
  <c r="X244" i="1"/>
  <c r="AG241" i="1"/>
  <c r="AI241" i="1" s="1"/>
  <c r="X240" i="1"/>
  <c r="U239" i="1"/>
  <c r="X198" i="1"/>
  <c r="T198" i="1"/>
  <c r="AI243" i="1"/>
  <c r="X194" i="1"/>
  <c r="T194" i="1"/>
  <c r="AI239" i="1"/>
  <c r="T190" i="1"/>
  <c r="T186" i="1"/>
  <c r="X183" i="1"/>
  <c r="T183" i="1"/>
  <c r="X179" i="1"/>
  <c r="T179" i="1"/>
  <c r="AI223" i="1"/>
  <c r="X175" i="1"/>
  <c r="T175" i="1"/>
  <c r="T171" i="1"/>
  <c r="AI215" i="1"/>
  <c r="T168" i="1"/>
  <c r="AI211" i="1"/>
  <c r="X166" i="1"/>
  <c r="T166" i="1"/>
  <c r="AI207" i="1"/>
  <c r="X162" i="1"/>
  <c r="T162" i="1"/>
  <c r="AI203" i="1"/>
  <c r="X158" i="1"/>
  <c r="T158" i="1"/>
  <c r="AI199" i="1"/>
  <c r="X253" i="1"/>
  <c r="T253" i="1"/>
  <c r="AI195" i="1"/>
  <c r="X249" i="1"/>
  <c r="T249" i="1"/>
  <c r="AI191" i="1"/>
  <c r="X245" i="1"/>
  <c r="T245" i="1"/>
  <c r="AI187" i="1"/>
  <c r="X241" i="1"/>
  <c r="T241" i="1"/>
  <c r="AI184" i="1"/>
  <c r="AA237" i="1"/>
  <c r="W237" i="1" s="1"/>
  <c r="U226" i="1"/>
  <c r="S226" i="1" s="1"/>
  <c r="U156" i="1"/>
  <c r="S156" i="1" s="1"/>
  <c r="X239" i="1"/>
  <c r="S239" i="1"/>
  <c r="T238" i="1"/>
  <c r="U238" i="1" s="1"/>
  <c r="S238" i="1" s="1"/>
  <c r="X238" i="1"/>
  <c r="X236" i="1"/>
  <c r="T235" i="1"/>
  <c r="X235" i="1"/>
  <c r="AG235" i="1"/>
  <c r="AI235" i="1" s="1"/>
  <c r="X234" i="1"/>
  <c r="AG231" i="1"/>
  <c r="W231" i="1" s="1"/>
  <c r="X230" i="1"/>
  <c r="AI173" i="1"/>
  <c r="AG227" i="1"/>
  <c r="W227" i="1" s="1"/>
  <c r="X226" i="1"/>
  <c r="AI170" i="1"/>
  <c r="AG216" i="1"/>
  <c r="X215" i="1"/>
  <c r="AI167" i="1"/>
  <c r="AG212" i="1"/>
  <c r="W212" i="1" s="1"/>
  <c r="X211" i="1"/>
  <c r="AI163" i="1"/>
  <c r="AG208" i="1"/>
  <c r="X207" i="1"/>
  <c r="AG157" i="1"/>
  <c r="X156" i="1"/>
  <c r="AI155" i="1"/>
  <c r="AG153" i="1"/>
  <c r="X152" i="1"/>
  <c r="AG149" i="1"/>
  <c r="W149" i="1" s="1"/>
  <c r="X148" i="1"/>
  <c r="AI147" i="1"/>
  <c r="AG145" i="1"/>
  <c r="X144" i="1"/>
  <c r="AI143" i="1"/>
  <c r="AG141" i="1"/>
  <c r="X140" i="1"/>
  <c r="AI138" i="1"/>
  <c r="AI130" i="1"/>
  <c r="U130" i="1"/>
  <c r="S130" i="1" s="1"/>
  <c r="AI128" i="1"/>
  <c r="AI118" i="1"/>
  <c r="U118" i="1"/>
  <c r="S118" i="1" s="1"/>
  <c r="U91" i="1"/>
  <c r="S91" i="1" s="1"/>
  <c r="AI91" i="1"/>
  <c r="AI178" i="1"/>
  <c r="X231" i="1"/>
  <c r="T231" i="1"/>
  <c r="X227" i="1"/>
  <c r="T227" i="1"/>
  <c r="X216" i="1"/>
  <c r="T216" i="1"/>
  <c r="S215" i="1"/>
  <c r="X212" i="1"/>
  <c r="T212" i="1"/>
  <c r="AI164" i="1"/>
  <c r="S211" i="1"/>
  <c r="X208" i="1"/>
  <c r="T208" i="1"/>
  <c r="AI160" i="1"/>
  <c r="S207" i="1"/>
  <c r="X157" i="1"/>
  <c r="T157" i="1"/>
  <c r="AI156" i="1"/>
  <c r="X153" i="1"/>
  <c r="AI152" i="1"/>
  <c r="X149" i="1"/>
  <c r="X145" i="1"/>
  <c r="AI144" i="1"/>
  <c r="X141" i="1"/>
  <c r="U132" i="1"/>
  <c r="S132" i="1" s="1"/>
  <c r="AI132" i="1"/>
  <c r="U120" i="1"/>
  <c r="S120" i="1" s="1"/>
  <c r="AI120" i="1"/>
  <c r="U87" i="1"/>
  <c r="S87" i="1" s="1"/>
  <c r="AI87" i="1"/>
  <c r="U134" i="1"/>
  <c r="S134" i="1" s="1"/>
  <c r="W126" i="1"/>
  <c r="AI122" i="1"/>
  <c r="W116" i="1"/>
  <c r="W108" i="1"/>
  <c r="AI104" i="1"/>
  <c r="AI136" i="1"/>
  <c r="AI126" i="1"/>
  <c r="U126" i="1"/>
  <c r="S126" i="1" s="1"/>
  <c r="AI124" i="1"/>
  <c r="AI116" i="1"/>
  <c r="AI112" i="1"/>
  <c r="AI108" i="1"/>
  <c r="S127" i="1"/>
  <c r="X120" i="1"/>
  <c r="T120" i="1"/>
  <c r="X116" i="1"/>
  <c r="T116" i="1"/>
  <c r="U116" i="1" s="1"/>
  <c r="S116" i="1" s="1"/>
  <c r="S115" i="1"/>
  <c r="X112" i="1"/>
  <c r="T112" i="1"/>
  <c r="U112" i="1" s="1"/>
  <c r="S112" i="1" s="1"/>
  <c r="S111" i="1"/>
  <c r="X108" i="1"/>
  <c r="T108" i="1"/>
  <c r="U108" i="1" s="1"/>
  <c r="S108" i="1" s="1"/>
  <c r="U101" i="1"/>
  <c r="S101" i="1" s="1"/>
  <c r="U97" i="1"/>
  <c r="S97" i="1" s="1"/>
  <c r="AI73" i="1"/>
  <c r="AI58" i="1"/>
  <c r="U58" i="1"/>
  <c r="S58" i="1" s="1"/>
  <c r="AI54" i="1"/>
  <c r="U54" i="1"/>
  <c r="S54" i="1" s="1"/>
  <c r="X137" i="1"/>
  <c r="X133" i="1"/>
  <c r="U110" i="1"/>
  <c r="S110" i="1" s="1"/>
  <c r="U106" i="1"/>
  <c r="S106" i="1" s="1"/>
  <c r="AG98" i="1"/>
  <c r="W98" i="1" s="1"/>
  <c r="AG94" i="1"/>
  <c r="AG90" i="1"/>
  <c r="AG86" i="1"/>
  <c r="W81" i="1"/>
  <c r="AI61" i="1"/>
  <c r="AI57" i="1"/>
  <c r="AI53" i="1"/>
  <c r="AG107" i="1"/>
  <c r="AG103" i="1"/>
  <c r="X102" i="1"/>
  <c r="AI101" i="1"/>
  <c r="AG99" i="1"/>
  <c r="W99" i="1" s="1"/>
  <c r="X98" i="1"/>
  <c r="AI97" i="1"/>
  <c r="AG95" i="1"/>
  <c r="X94" i="1"/>
  <c r="AI93" i="1"/>
  <c r="X90" i="1"/>
  <c r="AI89" i="1"/>
  <c r="X86" i="1"/>
  <c r="W85" i="1"/>
  <c r="U85" i="1"/>
  <c r="S85" i="1" s="1"/>
  <c r="AI81" i="1"/>
  <c r="AI79" i="1"/>
  <c r="AI65" i="1"/>
  <c r="X119" i="1"/>
  <c r="X115" i="1"/>
  <c r="X111" i="1"/>
  <c r="X107" i="1"/>
  <c r="X103" i="1"/>
  <c r="X99" i="1"/>
  <c r="X95" i="1"/>
  <c r="S84" i="1"/>
  <c r="W83" i="1"/>
  <c r="AI77" i="1"/>
  <c r="AI75" i="1"/>
  <c r="W73" i="1"/>
  <c r="AI69" i="1"/>
  <c r="W58" i="1"/>
  <c r="W54" i="1"/>
  <c r="AG82" i="1"/>
  <c r="W82" i="1" s="1"/>
  <c r="X81" i="1"/>
  <c r="T81" i="1"/>
  <c r="U81" i="1" s="1"/>
  <c r="S81" i="1" s="1"/>
  <c r="AG78" i="1"/>
  <c r="X77" i="1"/>
  <c r="T77" i="1"/>
  <c r="U77" i="1" s="1"/>
  <c r="S77" i="1" s="1"/>
  <c r="AI76" i="1"/>
  <c r="S76" i="1"/>
  <c r="AG74" i="1"/>
  <c r="W74" i="1" s="1"/>
  <c r="X73" i="1"/>
  <c r="T73" i="1"/>
  <c r="U73" i="1" s="1"/>
  <c r="S73" i="1" s="1"/>
  <c r="AG70" i="1"/>
  <c r="W70" i="1" s="1"/>
  <c r="X69" i="1"/>
  <c r="T69" i="1"/>
  <c r="U69" i="1" s="1"/>
  <c r="S69" i="1" s="1"/>
  <c r="AI68" i="1"/>
  <c r="S68" i="1"/>
  <c r="AG66" i="1"/>
  <c r="X65" i="1"/>
  <c r="T65" i="1"/>
  <c r="U65" i="1" s="1"/>
  <c r="S65" i="1" s="1"/>
  <c r="AI64" i="1"/>
  <c r="S64" i="1"/>
  <c r="AG62" i="1"/>
  <c r="X61" i="1"/>
  <c r="T61" i="1"/>
  <c r="U61" i="1" s="1"/>
  <c r="S61" i="1" s="1"/>
  <c r="AI60" i="1"/>
  <c r="X57" i="1"/>
  <c r="T57" i="1"/>
  <c r="U57" i="1" s="1"/>
  <c r="S57" i="1" s="1"/>
  <c r="AI56" i="1"/>
  <c r="X53" i="1"/>
  <c r="T53" i="1"/>
  <c r="U53" i="1" s="1"/>
  <c r="S53" i="1" s="1"/>
  <c r="T50" i="1"/>
  <c r="U50" i="1" s="1"/>
  <c r="S50" i="1" s="1"/>
  <c r="U47" i="1"/>
  <c r="AI42" i="1"/>
  <c r="U42" i="1"/>
  <c r="S42" i="1" s="1"/>
  <c r="W38" i="1"/>
  <c r="U36" i="1"/>
  <c r="S36" i="1" s="1"/>
  <c r="U35" i="1"/>
  <c r="S35" i="1" s="1"/>
  <c r="AI26" i="1"/>
  <c r="U26" i="1"/>
  <c r="S26" i="1" s="1"/>
  <c r="X82" i="1"/>
  <c r="X78" i="1"/>
  <c r="X74" i="1"/>
  <c r="X70" i="1"/>
  <c r="X66" i="1"/>
  <c r="X62" i="1"/>
  <c r="X58" i="1"/>
  <c r="X54" i="1"/>
  <c r="AI50" i="1"/>
  <c r="W46" i="1"/>
  <c r="AI38" i="1"/>
  <c r="AI32" i="1"/>
  <c r="U15" i="1"/>
  <c r="S15" i="1" s="1"/>
  <c r="AI15" i="1"/>
  <c r="X50" i="1"/>
  <c r="AI46" i="1"/>
  <c r="U46" i="1"/>
  <c r="U44" i="1"/>
  <c r="S44" i="1" s="1"/>
  <c r="AI44" i="1"/>
  <c r="U43" i="1"/>
  <c r="S43" i="1" s="1"/>
  <c r="AI34" i="1"/>
  <c r="U34" i="1"/>
  <c r="S34" i="1" s="1"/>
  <c r="U28" i="1"/>
  <c r="S28" i="1" s="1"/>
  <c r="AI28" i="1"/>
  <c r="U27" i="1"/>
  <c r="S27" i="1" s="1"/>
  <c r="U24" i="1"/>
  <c r="S24" i="1" s="1"/>
  <c r="AI24" i="1"/>
  <c r="AI20" i="1"/>
  <c r="AI40" i="1"/>
  <c r="U39" i="1"/>
  <c r="S39" i="1" s="1"/>
  <c r="AI30" i="1"/>
  <c r="U30" i="1"/>
  <c r="S30" i="1" s="1"/>
  <c r="U37" i="1"/>
  <c r="S37" i="1" s="1"/>
  <c r="U33" i="1"/>
  <c r="S33" i="1" s="1"/>
  <c r="U29" i="1"/>
  <c r="S29" i="1" s="1"/>
  <c r="U17" i="1"/>
  <c r="S17" i="1" s="1"/>
  <c r="X49" i="1"/>
  <c r="AG22" i="1"/>
  <c r="AG18" i="1"/>
  <c r="W18" i="1" s="1"/>
  <c r="AG14" i="1"/>
  <c r="W14" i="1" s="1"/>
  <c r="AG23" i="1"/>
  <c r="X22" i="1"/>
  <c r="AG19" i="1"/>
  <c r="W19" i="1" s="1"/>
  <c r="X18" i="1"/>
  <c r="X51" i="1"/>
  <c r="X47" i="1"/>
  <c r="X43" i="1"/>
  <c r="X39" i="1"/>
  <c r="X35" i="1"/>
  <c r="X31" i="1"/>
  <c r="X27" i="1"/>
  <c r="X23" i="1"/>
  <c r="X19" i="1"/>
  <c r="AE16" i="3"/>
  <c r="AE12" i="3"/>
  <c r="Y29" i="3"/>
  <c r="AE50" i="3"/>
  <c r="AD47" i="3"/>
  <c r="AE47" i="3"/>
  <c r="T61" i="3"/>
  <c r="Y38" i="3"/>
  <c r="T16" i="3"/>
  <c r="Y7" i="3"/>
  <c r="AD25" i="3"/>
  <c r="AD16" i="3"/>
  <c r="AD14" i="3"/>
  <c r="AD10" i="3"/>
  <c r="Y53" i="3"/>
  <c r="AD55" i="3"/>
  <c r="Y51" i="3"/>
  <c r="Y12" i="3"/>
  <c r="Y61" i="3"/>
  <c r="Y46" i="3"/>
  <c r="AE35" i="3"/>
  <c r="Y16" i="3"/>
  <c r="Y45" i="3"/>
  <c r="Y31" i="3"/>
  <c r="AD13" i="3"/>
  <c r="Y23" i="3"/>
  <c r="AD51" i="3"/>
  <c r="AE51" i="3"/>
  <c r="AE46" i="3"/>
  <c r="AE43" i="3"/>
  <c r="AE39" i="3"/>
  <c r="AD35" i="3"/>
  <c r="AE31" i="3"/>
  <c r="AE20" i="3"/>
  <c r="T31" i="3"/>
  <c r="AD17" i="3"/>
  <c r="Y18" i="3"/>
  <c r="AD12" i="3"/>
  <c r="AC60" i="3"/>
  <c r="T54" i="3"/>
  <c r="T56" i="3"/>
  <c r="AE34" i="3"/>
  <c r="AE30" i="3"/>
  <c r="T39" i="3"/>
  <c r="Y56" i="3"/>
  <c r="AE55" i="3"/>
  <c r="Y39" i="3"/>
  <c r="AE54" i="3"/>
  <c r="Y28" i="3"/>
  <c r="AD40" i="3"/>
  <c r="Y22" i="3"/>
  <c r="Y17" i="3"/>
  <c r="T14" i="3"/>
  <c r="AD24" i="3"/>
  <c r="T19" i="3"/>
  <c r="AD44" i="3"/>
  <c r="AD36" i="3"/>
  <c r="AD32" i="3"/>
  <c r="Y14" i="3"/>
  <c r="Y44" i="3"/>
  <c r="Y19" i="3"/>
  <c r="AD53" i="3"/>
  <c r="T36" i="3"/>
  <c r="AE53" i="3"/>
  <c r="AD57" i="3"/>
  <c r="T55" i="3"/>
  <c r="AE57" i="3"/>
  <c r="AC54" i="3"/>
  <c r="AD45" i="3"/>
  <c r="T9" i="3"/>
  <c r="AE45" i="3"/>
  <c r="AC15" i="3"/>
  <c r="AD42" i="3"/>
  <c r="AD29" i="3"/>
  <c r="T24" i="3"/>
  <c r="AE29" i="3"/>
  <c r="AC32" i="3"/>
  <c r="AD23" i="3"/>
  <c r="T32" i="3"/>
  <c r="AE23" i="3"/>
  <c r="T29" i="3"/>
  <c r="AE60" i="3"/>
  <c r="AC36" i="3"/>
  <c r="AD49" i="3"/>
  <c r="T49" i="3"/>
  <c r="AE49" i="3"/>
  <c r="AC52" i="3"/>
  <c r="AD46" i="3"/>
  <c r="AD33" i="3"/>
  <c r="T13" i="3"/>
  <c r="AE33" i="3"/>
  <c r="AD30" i="3"/>
  <c r="AC50" i="3"/>
  <c r="AD50" i="3"/>
  <c r="AD37" i="3"/>
  <c r="T46" i="3"/>
  <c r="AE37" i="3"/>
  <c r="AC21" i="3"/>
  <c r="AD34" i="3"/>
  <c r="AE61" i="3"/>
  <c r="AD60" i="3"/>
  <c r="AC11" i="3"/>
  <c r="AD54" i="3"/>
  <c r="T50" i="3"/>
  <c r="AD41" i="3"/>
  <c r="T8" i="3"/>
  <c r="AE41" i="3"/>
  <c r="AC47" i="3"/>
  <c r="AD38" i="3"/>
  <c r="T21" i="3"/>
  <c r="AC7" i="3"/>
  <c r="AD26" i="3"/>
  <c r="T7" i="3"/>
  <c r="AE26" i="3"/>
  <c r="AE19" i="3"/>
  <c r="T30" i="3"/>
  <c r="AE15" i="3"/>
  <c r="T26" i="3"/>
  <c r="AE11" i="3"/>
  <c r="T23" i="3"/>
  <c r="AE25" i="3"/>
  <c r="T42" i="3"/>
  <c r="AE22" i="3"/>
  <c r="T45" i="3"/>
  <c r="AD19" i="3"/>
  <c r="AE18" i="3"/>
  <c r="T37" i="3"/>
  <c r="AD15" i="3"/>
  <c r="AE14" i="3"/>
  <c r="T41" i="3"/>
  <c r="AD11" i="3"/>
  <c r="AE10" i="3"/>
  <c r="T60" i="3"/>
  <c r="AE56" i="3"/>
  <c r="AE52" i="3"/>
  <c r="AE48" i="3"/>
  <c r="AE44" i="3"/>
  <c r="AE40" i="3"/>
  <c r="AE36" i="3"/>
  <c r="AE32" i="3"/>
  <c r="AE28" i="3"/>
  <c r="AE24" i="3"/>
  <c r="AE21" i="3"/>
  <c r="AE17" i="3"/>
  <c r="AE13" i="3"/>
  <c r="AE9" i="3"/>
  <c r="S58" i="3"/>
  <c r="R58" i="3"/>
  <c r="M58" i="3"/>
  <c r="U58" i="3"/>
  <c r="V58" i="3"/>
  <c r="W58" i="3"/>
  <c r="X58" i="3"/>
  <c r="U102" i="1" l="1"/>
  <c r="S102" i="1" s="1"/>
  <c r="W145" i="1"/>
  <c r="W216" i="1"/>
  <c r="AI177" i="1"/>
  <c r="W16" i="1"/>
  <c r="W55" i="1"/>
  <c r="W59" i="1"/>
  <c r="W244" i="1"/>
  <c r="W174" i="1"/>
  <c r="W262" i="1"/>
  <c r="W72" i="1"/>
  <c r="W234" i="1"/>
  <c r="U25" i="1"/>
  <c r="S25" i="1" s="1"/>
  <c r="U41" i="1"/>
  <c r="S41" i="1" s="1"/>
  <c r="U140" i="1"/>
  <c r="S140" i="1" s="1"/>
  <c r="AI134" i="1"/>
  <c r="W168" i="1"/>
  <c r="U174" i="1"/>
  <c r="S174" i="1" s="1"/>
  <c r="AI230" i="1"/>
  <c r="AI31" i="1"/>
  <c r="W138" i="1"/>
  <c r="U138" i="1"/>
  <c r="S138" i="1" s="1"/>
  <c r="W151" i="1"/>
  <c r="W210" i="1"/>
  <c r="U159" i="1"/>
  <c r="S159" i="1" s="1"/>
  <c r="W161" i="1"/>
  <c r="W165" i="1"/>
  <c r="U201" i="1"/>
  <c r="S201" i="1" s="1"/>
  <c r="U262" i="1"/>
  <c r="S262" i="1" s="1"/>
  <c r="U214" i="1"/>
  <c r="S214" i="1" s="1"/>
  <c r="W188" i="1"/>
  <c r="W22" i="1"/>
  <c r="AI72" i="1"/>
  <c r="AI84" i="1"/>
  <c r="W201" i="1"/>
  <c r="U221" i="1"/>
  <c r="S221" i="1" s="1"/>
  <c r="W25" i="1"/>
  <c r="W84" i="1"/>
  <c r="W177" i="1"/>
  <c r="U165" i="1"/>
  <c r="S165" i="1" s="1"/>
  <c r="W111" i="1"/>
  <c r="W21" i="1"/>
  <c r="W215" i="1"/>
  <c r="U133" i="1"/>
  <c r="S133" i="1" s="1"/>
  <c r="U188" i="1"/>
  <c r="S188" i="1" s="1"/>
  <c r="W190" i="1"/>
  <c r="W257" i="1"/>
  <c r="AI250" i="1"/>
  <c r="U225" i="1"/>
  <c r="S225" i="1" s="1"/>
  <c r="U258" i="1"/>
  <c r="S258" i="1" s="1"/>
  <c r="W76" i="1"/>
  <c r="W67" i="1"/>
  <c r="U96" i="1"/>
  <c r="S96" i="1" s="1"/>
  <c r="W240" i="1"/>
  <c r="W68" i="1"/>
  <c r="W102" i="1"/>
  <c r="W148" i="1"/>
  <c r="U206" i="1"/>
  <c r="S206" i="1" s="1"/>
  <c r="U228" i="1"/>
  <c r="S228" i="1" s="1"/>
  <c r="W143" i="1"/>
  <c r="AI139" i="1"/>
  <c r="W258" i="1"/>
  <c r="U234" i="1"/>
  <c r="S234" i="1" s="1"/>
  <c r="W71" i="1"/>
  <c r="U21" i="1"/>
  <c r="S21" i="1" s="1"/>
  <c r="S46" i="1"/>
  <c r="AI48" i="1"/>
  <c r="AI148" i="1"/>
  <c r="AI151" i="1"/>
  <c r="AI159" i="1"/>
  <c r="U182" i="1"/>
  <c r="S182" i="1" s="1"/>
  <c r="U197" i="1"/>
  <c r="S197" i="1" s="1"/>
  <c r="AI254" i="1"/>
  <c r="U56" i="1"/>
  <c r="S56" i="1" s="1"/>
  <c r="U155" i="1"/>
  <c r="S155" i="1" s="1"/>
  <c r="W182" i="1"/>
  <c r="W197" i="1"/>
  <c r="W206" i="1"/>
  <c r="W199" i="1"/>
  <c r="AI80" i="1"/>
  <c r="U148" i="1"/>
  <c r="S148" i="1" s="1"/>
  <c r="U240" i="1"/>
  <c r="S240" i="1" s="1"/>
  <c r="AI210" i="1"/>
  <c r="AI234" i="1"/>
  <c r="U60" i="1"/>
  <c r="S60" i="1" s="1"/>
  <c r="U254" i="1"/>
  <c r="S254" i="1" s="1"/>
  <c r="W214" i="1"/>
  <c r="U236" i="1"/>
  <c r="S236" i="1" s="1"/>
  <c r="W31" i="1"/>
  <c r="W48" i="1"/>
  <c r="U89" i="1"/>
  <c r="S89" i="1" s="1"/>
  <c r="AI214" i="1"/>
  <c r="U51" i="1"/>
  <c r="S51" i="1" s="1"/>
  <c r="U218" i="1"/>
  <c r="S218" i="1" s="1"/>
  <c r="W221" i="1"/>
  <c r="W225" i="1"/>
  <c r="W169" i="1"/>
  <c r="W250" i="1"/>
  <c r="W51" i="1"/>
  <c r="W152" i="1"/>
  <c r="W139" i="1"/>
  <c r="W211" i="1"/>
  <c r="W129" i="1"/>
  <c r="AI231" i="1"/>
  <c r="W96" i="1"/>
  <c r="U203" i="1"/>
  <c r="S203" i="1" s="1"/>
  <c r="W135" i="1"/>
  <c r="W39" i="1"/>
  <c r="W166" i="1"/>
  <c r="AI166" i="1"/>
  <c r="AI190" i="1"/>
  <c r="U105" i="1"/>
  <c r="S105" i="1" s="1"/>
  <c r="AI105" i="1"/>
  <c r="W33" i="1"/>
  <c r="U135" i="1"/>
  <c r="S135" i="1" s="1"/>
  <c r="AI135" i="1"/>
  <c r="W155" i="1"/>
  <c r="U217" i="1"/>
  <c r="S217" i="1" s="1"/>
  <c r="AI217" i="1"/>
  <c r="U172" i="1"/>
  <c r="S172" i="1" s="1"/>
  <c r="AI172" i="1"/>
  <c r="W172" i="1"/>
  <c r="AI198" i="1"/>
  <c r="U123" i="1"/>
  <c r="S123" i="1" s="1"/>
  <c r="AI123" i="1"/>
  <c r="U45" i="1"/>
  <c r="S45" i="1" s="1"/>
  <c r="AI45" i="1"/>
  <c r="W119" i="1"/>
  <c r="U55" i="1"/>
  <c r="S55" i="1" s="1"/>
  <c r="AI55" i="1"/>
  <c r="U59" i="1"/>
  <c r="S59" i="1" s="1"/>
  <c r="AI59" i="1"/>
  <c r="W93" i="1"/>
  <c r="W45" i="1"/>
  <c r="U146" i="1"/>
  <c r="S146" i="1" s="1"/>
  <c r="AI146" i="1"/>
  <c r="W207" i="1"/>
  <c r="W217" i="1"/>
  <c r="W260" i="1"/>
  <c r="W245" i="1"/>
  <c r="AI245" i="1"/>
  <c r="W253" i="1"/>
  <c r="AI253" i="1"/>
  <c r="W162" i="1"/>
  <c r="AI162" i="1"/>
  <c r="W183" i="1"/>
  <c r="AI183" i="1"/>
  <c r="AI259" i="1"/>
  <c r="U119" i="1"/>
  <c r="S119" i="1" s="1"/>
  <c r="AI119" i="1"/>
  <c r="U67" i="1"/>
  <c r="S67" i="1" s="1"/>
  <c r="AI67" i="1"/>
  <c r="W47" i="1"/>
  <c r="W35" i="1"/>
  <c r="W140" i="1"/>
  <c r="U154" i="1"/>
  <c r="S154" i="1" s="1"/>
  <c r="AI154" i="1"/>
  <c r="W218" i="1"/>
  <c r="W146" i="1"/>
  <c r="W167" i="1"/>
  <c r="U180" i="1"/>
  <c r="S180" i="1" s="1"/>
  <c r="AI180" i="1"/>
  <c r="AI227" i="1"/>
  <c r="U52" i="1"/>
  <c r="S52" i="1" s="1"/>
  <c r="W80" i="1"/>
  <c r="W123" i="1"/>
  <c r="U16" i="1"/>
  <c r="S16" i="1" s="1"/>
  <c r="AI16" i="1"/>
  <c r="W52" i="1"/>
  <c r="W56" i="1"/>
  <c r="W60" i="1"/>
  <c r="U92" i="1"/>
  <c r="S92" i="1" s="1"/>
  <c r="AI92" i="1"/>
  <c r="W105" i="1"/>
  <c r="W27" i="1"/>
  <c r="W256" i="1"/>
  <c r="W43" i="1"/>
  <c r="W147" i="1"/>
  <c r="W230" i="1"/>
  <c r="U233" i="1"/>
  <c r="S233" i="1" s="1"/>
  <c r="AI233" i="1"/>
  <c r="W159" i="1"/>
  <c r="U23" i="1"/>
  <c r="S23" i="1" s="1"/>
  <c r="AI23" i="1"/>
  <c r="AI62" i="1"/>
  <c r="U62" i="1"/>
  <c r="S62" i="1" s="1"/>
  <c r="AI78" i="1"/>
  <c r="U78" i="1"/>
  <c r="S78" i="1" s="1"/>
  <c r="U95" i="1"/>
  <c r="S95" i="1" s="1"/>
  <c r="AI95" i="1"/>
  <c r="AI94" i="1"/>
  <c r="U94" i="1"/>
  <c r="S94" i="1" s="1"/>
  <c r="AI248" i="1"/>
  <c r="U202" i="1"/>
  <c r="S202" i="1" s="1"/>
  <c r="W202" i="1"/>
  <c r="U223" i="1"/>
  <c r="S223" i="1" s="1"/>
  <c r="AI261" i="1"/>
  <c r="AI260" i="1"/>
  <c r="U222" i="1"/>
  <c r="S222" i="1" s="1"/>
  <c r="W222" i="1"/>
  <c r="W23" i="1"/>
  <c r="AI14" i="1"/>
  <c r="U14" i="1"/>
  <c r="S14" i="1" s="1"/>
  <c r="W78" i="1"/>
  <c r="W94" i="1"/>
  <c r="AI179" i="1"/>
  <c r="U235" i="1"/>
  <c r="S235" i="1" s="1"/>
  <c r="AI185" i="1"/>
  <c r="U241" i="1"/>
  <c r="S241" i="1" s="1"/>
  <c r="AI192" i="1"/>
  <c r="U249" i="1"/>
  <c r="S249" i="1" s="1"/>
  <c r="AI200" i="1"/>
  <c r="U158" i="1"/>
  <c r="S158" i="1" s="1"/>
  <c r="AI208" i="1"/>
  <c r="U166" i="1"/>
  <c r="S166" i="1" s="1"/>
  <c r="AI216" i="1"/>
  <c r="U171" i="1"/>
  <c r="S171" i="1" s="1"/>
  <c r="AI224" i="1"/>
  <c r="U179" i="1"/>
  <c r="S179" i="1" s="1"/>
  <c r="AI232" i="1"/>
  <c r="U186" i="1"/>
  <c r="S186" i="1" s="1"/>
  <c r="AI240" i="1"/>
  <c r="U194" i="1"/>
  <c r="S194" i="1" s="1"/>
  <c r="W158" i="1"/>
  <c r="W186" i="1"/>
  <c r="AI252" i="1"/>
  <c r="U259" i="1"/>
  <c r="S259" i="1" s="1"/>
  <c r="U219" i="1"/>
  <c r="S219" i="1" s="1"/>
  <c r="AI257" i="1"/>
  <c r="W179" i="1"/>
  <c r="W223" i="1"/>
  <c r="AI66" i="1"/>
  <c r="U66" i="1"/>
  <c r="S66" i="1" s="1"/>
  <c r="U19" i="1"/>
  <c r="S19" i="1" s="1"/>
  <c r="AI19" i="1"/>
  <c r="AI18" i="1"/>
  <c r="U18" i="1"/>
  <c r="S18" i="1" s="1"/>
  <c r="AI70" i="1"/>
  <c r="U70" i="1"/>
  <c r="S70" i="1" s="1"/>
  <c r="U103" i="1"/>
  <c r="S103" i="1" s="1"/>
  <c r="AI103" i="1"/>
  <c r="W66" i="1"/>
  <c r="AI86" i="1"/>
  <c r="U86" i="1"/>
  <c r="S86" i="1" s="1"/>
  <c r="W62" i="1"/>
  <c r="W103" i="1"/>
  <c r="W95" i="1"/>
  <c r="W194" i="1"/>
  <c r="W219" i="1"/>
  <c r="U82" i="1"/>
  <c r="S82" i="1" s="1"/>
  <c r="AI82" i="1"/>
  <c r="AI98" i="1"/>
  <c r="U98" i="1"/>
  <c r="S98" i="1" s="1"/>
  <c r="AI22" i="1"/>
  <c r="U22" i="1"/>
  <c r="S22" i="1" s="1"/>
  <c r="AI74" i="1"/>
  <c r="U74" i="1"/>
  <c r="S74" i="1" s="1"/>
  <c r="U99" i="1"/>
  <c r="S99" i="1" s="1"/>
  <c r="AI99" i="1"/>
  <c r="U107" i="1"/>
  <c r="S107" i="1" s="1"/>
  <c r="AI107" i="1"/>
  <c r="AI90" i="1"/>
  <c r="U90" i="1"/>
  <c r="S90" i="1" s="1"/>
  <c r="W86" i="1"/>
  <c r="W107" i="1"/>
  <c r="W90" i="1"/>
  <c r="AI141" i="1"/>
  <c r="U141" i="1"/>
  <c r="S141" i="1" s="1"/>
  <c r="AI145" i="1"/>
  <c r="U145" i="1"/>
  <c r="S145" i="1" s="1"/>
  <c r="AI149" i="1"/>
  <c r="U149" i="1"/>
  <c r="S149" i="1" s="1"/>
  <c r="AI153" i="1"/>
  <c r="U153" i="1"/>
  <c r="S153" i="1" s="1"/>
  <c r="AI157" i="1"/>
  <c r="U157" i="1"/>
  <c r="S157" i="1" s="1"/>
  <c r="AI161" i="1"/>
  <c r="U208" i="1"/>
  <c r="S208" i="1" s="1"/>
  <c r="AI165" i="1"/>
  <c r="U212" i="1"/>
  <c r="S212" i="1" s="1"/>
  <c r="AI168" i="1"/>
  <c r="U216" i="1"/>
  <c r="S216" i="1" s="1"/>
  <c r="AI171" i="1"/>
  <c r="U227" i="1"/>
  <c r="S227" i="1" s="1"/>
  <c r="AI175" i="1"/>
  <c r="U231" i="1"/>
  <c r="S231" i="1" s="1"/>
  <c r="W208" i="1"/>
  <c r="W153" i="1"/>
  <c r="W235" i="1"/>
  <c r="AI188" i="1"/>
  <c r="U245" i="1"/>
  <c r="S245" i="1" s="1"/>
  <c r="AI196" i="1"/>
  <c r="U253" i="1"/>
  <c r="S253" i="1" s="1"/>
  <c r="AI204" i="1"/>
  <c r="U162" i="1"/>
  <c r="S162" i="1" s="1"/>
  <c r="AI212" i="1"/>
  <c r="U168" i="1"/>
  <c r="S168" i="1" s="1"/>
  <c r="AI220" i="1"/>
  <c r="U175" i="1"/>
  <c r="S175" i="1" s="1"/>
  <c r="AI228" i="1"/>
  <c r="U183" i="1"/>
  <c r="S183" i="1" s="1"/>
  <c r="AI236" i="1"/>
  <c r="U190" i="1"/>
  <c r="S190" i="1" s="1"/>
  <c r="AI244" i="1"/>
  <c r="U198" i="1"/>
  <c r="S198" i="1" s="1"/>
  <c r="W141" i="1"/>
  <c r="W157" i="1"/>
  <c r="W241" i="1"/>
  <c r="W171" i="1"/>
  <c r="W249" i="1"/>
  <c r="AC58" i="3"/>
  <c r="AD58" i="3"/>
  <c r="AE58" i="3"/>
  <c r="Y58" i="3"/>
  <c r="T58" i="3"/>
  <c r="O2" i="3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53" i="3" s="1"/>
  <c r="G24" i="4"/>
  <c r="G25" i="4"/>
  <c r="N60" i="3" s="1"/>
  <c r="G26" i="4"/>
  <c r="G27" i="4"/>
  <c r="G28" i="4"/>
  <c r="G29" i="4"/>
  <c r="G30" i="4"/>
  <c r="G31" i="4"/>
  <c r="N18" i="3" s="1"/>
  <c r="G32" i="4"/>
  <c r="G33" i="4"/>
  <c r="G34" i="4"/>
  <c r="G35" i="4"/>
  <c r="G36" i="4"/>
  <c r="G37" i="4"/>
  <c r="G38" i="4"/>
  <c r="N41" i="3" s="1"/>
  <c r="G39" i="4"/>
  <c r="N58" i="3" s="1"/>
  <c r="G40" i="4"/>
  <c r="G41" i="4"/>
  <c r="G42" i="4"/>
  <c r="G43" i="4"/>
  <c r="G44" i="4"/>
  <c r="G45" i="4"/>
  <c r="N44" i="3" s="1"/>
  <c r="G46" i="4"/>
  <c r="G47" i="4"/>
  <c r="G48" i="4"/>
  <c r="G49" i="4"/>
  <c r="G50" i="4"/>
  <c r="G51" i="4"/>
  <c r="G52" i="4"/>
  <c r="G53" i="4"/>
  <c r="N37" i="3" s="1"/>
  <c r="G54" i="4"/>
  <c r="G55" i="4"/>
  <c r="G56" i="4"/>
  <c r="G57" i="4"/>
  <c r="G58" i="4"/>
  <c r="G59" i="4"/>
  <c r="G60" i="4"/>
  <c r="G61" i="4"/>
  <c r="G62" i="4"/>
  <c r="G63" i="4"/>
  <c r="N45" i="3" s="1"/>
  <c r="G64" i="4"/>
  <c r="G65" i="4"/>
  <c r="G66" i="4"/>
  <c r="G67" i="4"/>
  <c r="N42" i="3" s="1"/>
  <c r="G68" i="4"/>
  <c r="N20" i="3" s="1"/>
  <c r="G69" i="4"/>
  <c r="G70" i="4"/>
  <c r="G71" i="4"/>
  <c r="G72" i="4"/>
  <c r="G73" i="4"/>
  <c r="G74" i="4"/>
  <c r="G75" i="4"/>
  <c r="N7" i="3" s="1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N16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21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N38" i="3" s="1"/>
  <c r="G131" i="4"/>
  <c r="G132" i="4"/>
  <c r="G133" i="4"/>
  <c r="G134" i="4"/>
  <c r="G135" i="4"/>
  <c r="G136" i="4"/>
  <c r="G137" i="4"/>
  <c r="G138" i="4"/>
  <c r="N22" i="3" s="1"/>
  <c r="G139" i="4"/>
  <c r="G140" i="4"/>
  <c r="N46" i="3" s="1"/>
  <c r="G141" i="4"/>
  <c r="G142" i="4"/>
  <c r="G143" i="4"/>
  <c r="G144" i="4"/>
  <c r="G145" i="4"/>
  <c r="G146" i="4"/>
  <c r="G147" i="4"/>
  <c r="G148" i="4"/>
  <c r="G149" i="4"/>
  <c r="N34" i="3" s="1"/>
  <c r="G150" i="4"/>
  <c r="N47" i="3" s="1"/>
  <c r="G151" i="4"/>
  <c r="G152" i="4"/>
  <c r="G153" i="4"/>
  <c r="G154" i="4"/>
  <c r="G155" i="4"/>
  <c r="G156" i="4"/>
  <c r="G157" i="4"/>
  <c r="G158" i="4"/>
  <c r="G159" i="4"/>
  <c r="G160" i="4"/>
  <c r="N8" i="3" s="1"/>
  <c r="G161" i="4"/>
  <c r="G162" i="4"/>
  <c r="N48" i="3" s="1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61" i="3" s="1"/>
  <c r="G186" i="4"/>
  <c r="N9" i="3" s="1"/>
  <c r="G187" i="4"/>
  <c r="N35" i="3" s="1"/>
  <c r="G188" i="4"/>
  <c r="G189" i="4"/>
  <c r="G190" i="4"/>
  <c r="G191" i="4"/>
  <c r="G192" i="4"/>
  <c r="G193" i="4"/>
  <c r="G194" i="4"/>
  <c r="G195" i="4"/>
  <c r="G196" i="4"/>
  <c r="G197" i="4"/>
  <c r="N52" i="3" s="1"/>
  <c r="G198" i="4"/>
  <c r="G199" i="4"/>
  <c r="G200" i="4"/>
  <c r="G201" i="4"/>
  <c r="G202" i="4"/>
  <c r="G203" i="4"/>
  <c r="G204" i="4"/>
  <c r="G205" i="4"/>
  <c r="G206" i="4"/>
  <c r="G207" i="4"/>
  <c r="N12" i="3" s="1"/>
  <c r="G208" i="4"/>
  <c r="G209" i="4"/>
  <c r="G210" i="4"/>
  <c r="N36" i="3" s="1"/>
  <c r="G211" i="4"/>
  <c r="G212" i="4"/>
  <c r="G213" i="4"/>
  <c r="N43" i="3" s="1"/>
  <c r="G214" i="4"/>
  <c r="G215" i="4"/>
  <c r="G216" i="4"/>
  <c r="G217" i="4"/>
  <c r="G218" i="4"/>
  <c r="G219" i="4"/>
  <c r="N11" i="3" s="1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N29" i="3" s="1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N54" i="3" s="1"/>
  <c r="G2" i="4"/>
  <c r="N24" i="3" l="1"/>
  <c r="N49" i="3"/>
  <c r="N50" i="3"/>
  <c r="N51" i="3"/>
  <c r="N15" i="3"/>
  <c r="N28" i="3"/>
  <c r="N13" i="3"/>
  <c r="N17" i="3"/>
  <c r="N14" i="3"/>
  <c r="N10" i="3"/>
  <c r="N39" i="3"/>
  <c r="N40" i="3"/>
  <c r="N56" i="3"/>
  <c r="N57" i="3"/>
  <c r="N55" i="3"/>
  <c r="N30" i="3"/>
  <c r="N31" i="3"/>
  <c r="N27" i="3"/>
  <c r="N26" i="3"/>
  <c r="N23" i="3"/>
  <c r="N19" i="3"/>
  <c r="N25" i="3"/>
  <c r="N32" i="3"/>
  <c r="N33" i="3"/>
  <c r="N5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G3" i="6"/>
  <c r="J3" i="6"/>
  <c r="H3" i="6"/>
  <c r="I4" i="6" l="1"/>
  <c r="F4" i="6"/>
  <c r="G4" i="6"/>
  <c r="H4" i="6"/>
  <c r="J4" i="6"/>
  <c r="B5" i="6" l="1"/>
  <c r="I5" i="6" l="1"/>
  <c r="F5" i="6"/>
  <c r="G5" i="6"/>
  <c r="H5" i="6"/>
  <c r="J5" i="6"/>
  <c r="B6" i="6"/>
  <c r="I6" i="6" l="1"/>
  <c r="F6" i="6"/>
  <c r="B7" i="6"/>
  <c r="J6" i="6"/>
  <c r="H6" i="6"/>
  <c r="G6" i="6"/>
  <c r="I7" i="6" l="1"/>
  <c r="F7" i="6"/>
  <c r="J7" i="6"/>
  <c r="G7" i="6"/>
  <c r="H7" i="6"/>
  <c r="B8" i="6"/>
  <c r="I8" i="6" l="1"/>
  <c r="F8" i="6"/>
  <c r="B9" i="6"/>
  <c r="G8" i="6"/>
  <c r="J8" i="6"/>
  <c r="H8" i="6"/>
  <c r="I9" i="6" l="1"/>
  <c r="F9" i="6"/>
  <c r="G9" i="6"/>
  <c r="J9" i="6"/>
  <c r="H9" i="6"/>
  <c r="B71" i="6" l="1"/>
  <c r="I71" i="6" l="1"/>
  <c r="F71" i="6"/>
  <c r="B72" i="6"/>
  <c r="H71" i="6"/>
  <c r="G71" i="6"/>
  <c r="J71" i="6"/>
  <c r="I72" i="6" l="1"/>
  <c r="F72" i="6"/>
  <c r="B73" i="6"/>
  <c r="J72" i="6"/>
  <c r="G72" i="6"/>
  <c r="H72" i="6"/>
  <c r="I73" i="6" l="1"/>
  <c r="F73" i="6"/>
  <c r="H73" i="6"/>
  <c r="G73" i="6"/>
  <c r="J73" i="6"/>
  <c r="B74" i="6"/>
  <c r="I74" i="6" l="1"/>
  <c r="F74" i="6"/>
  <c r="H74" i="6"/>
  <c r="J74" i="6"/>
  <c r="G74" i="6"/>
  <c r="B75" i="6"/>
  <c r="I75" i="6" l="1"/>
  <c r="F75" i="6"/>
  <c r="G75" i="6"/>
  <c r="J75" i="6"/>
  <c r="H75" i="6"/>
  <c r="B76" i="6"/>
  <c r="I76" i="6" l="1"/>
  <c r="F76" i="6"/>
  <c r="B77" i="6"/>
  <c r="H76" i="6"/>
  <c r="J76" i="6"/>
  <c r="G76" i="6"/>
  <c r="I77" i="6" l="1"/>
  <c r="F77" i="6"/>
  <c r="B78" i="6"/>
  <c r="J77" i="6"/>
  <c r="H77" i="6"/>
  <c r="G77" i="6"/>
  <c r="I78" i="6" l="1"/>
  <c r="F78" i="6"/>
  <c r="B80" i="6"/>
  <c r="B79" i="6"/>
  <c r="G78" i="6"/>
  <c r="H78" i="6"/>
  <c r="J78" i="6"/>
  <c r="I79" i="6" l="1"/>
  <c r="F79" i="6"/>
  <c r="I80" i="6"/>
  <c r="F80" i="6"/>
  <c r="G79" i="6"/>
  <c r="H79" i="6"/>
  <c r="J79" i="6"/>
  <c r="J80" i="6"/>
  <c r="G80" i="6"/>
  <c r="H8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<sst xmlns="http://schemas.openxmlformats.org/spreadsheetml/2006/main" count="3121" uniqueCount="1046">
  <si>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</si>
  <si>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</si>
  <si>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</si>
  <si>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</si>
  <si>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</si>
  <si>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</si>
  <si>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</si>
  <si>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</si>
  <si>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</si>
  <si>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</si>
  <si>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</si>
  <si>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</si>
  <si>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</si>
  <si>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</si>
  <si>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</si>
  <si>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</si>
  <si>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</si>
  <si>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</si>
  <si>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</si>
  <si>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</si>
  <si>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</si>
  <si>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</si>
  <si>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</si>
  <si>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</si>
  <si>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</si>
  <si>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</si>
  <si>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</si>
  <si>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</si>
  <si>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</si>
  <si>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</si>
  <si>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</si>
  <si>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</si>
  <si>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</si>
  <si>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</si>
  <si>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</si>
  <si>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</si>
  <si>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</si>
  <si>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</si>
  <si>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</si>
  <si>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</si>
  <si>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</si>
  <si>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</si>
  <si>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</si>
  <si>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</si>
  <si>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</si>
  <si>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</si>
  <si>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</si>
  <si>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</si>
  <si>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</si>
  <si>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</si>
  <si>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</si>
  <si>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</si>
  <si>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</si>
  <si>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</si>
  <si>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</si>
  <si>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</si>
  <si>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</si>
  <si>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</si>
  <si>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</si>
  <si>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</si>
  <si>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</si>
  <si>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</si>
  <si>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</si>
  <si>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</si>
  <si>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</si>
  <si>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</si>
  <si>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</si>
  <si>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</si>
  <si>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</si>
  <si>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</si>
  <si>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</si>
  <si>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</si>
  <si>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</si>
  <si>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</si>
  <si>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</si>
  <si>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</si>
  <si>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</si>
  <si>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</si>
  <si>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</si>
  <si>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</si>
  <si>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</si>
  <si>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</si>
  <si>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</si>
  <si>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</si>
  <si>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</si>
  <si>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</si>
  <si>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</si>
  <si>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</si>
  <si>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</si>
  <si>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</si>
  <si>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</si>
  <si>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</si>
  <si>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</si>
  <si>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</si>
  <si>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</si>
  <si>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</si>
  <si>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</si>
  <si>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</si>
  <si>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</si>
  <si>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</si>
  <si>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</si>
  <si>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</si>
  <si>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</si>
  <si>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</si>
  <si>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</si>
  <si>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</si>
  <si>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</si>
  <si>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</si>
  <si>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</si>
  <si>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</si>
  <si>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</si>
  <si>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</si>
  <si>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</si>
  <si>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</si>
  <si>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</si>
  <si>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</si>
  <si>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</si>
  <si>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</si>
  <si>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</si>
  <si>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</si>
  <si>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</si>
  <si>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</si>
  <si>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</si>
  <si>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</si>
  <si>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</si>
  <si>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</si>
  <si>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</si>
  <si>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</si>
  <si>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</si>
  <si>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</si>
  <si>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</si>
  <si>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</si>
  <si>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</si>
  <si>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</si>
  <si>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</si>
  <si>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</si>
  <si>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</si>
  <si>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</si>
  <si>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</si>
  <si>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</si>
  <si>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</si>
  <si>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</si>
  <si>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</si>
  <si>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</si>
  <si>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</si>
  <si>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</si>
  <si>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</si>
  <si>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</si>
  <si>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</si>
  <si>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</si>
  <si>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</si>
  <si>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</si>
  <si>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</si>
  <si>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</si>
  <si>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</si>
  <si>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</si>
  <si>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</si>
  <si>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</si>
  <si>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</si>
  <si>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</si>
  <si>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</si>
  <si>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</si>
  <si>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</si>
  <si>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</si>
  <si>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</si>
  <si>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</si>
  <si>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</si>
  <si>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</si>
  <si>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</si>
  <si>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</si>
  <si>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</si>
  <si>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</si>
  <si>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</si>
  <si>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</si>
  <si>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</si>
  <si>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</si>
  <si>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</si>
  <si>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</si>
  <si>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</si>
  <si>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</si>
  <si>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</si>
  <si>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</si>
  <si>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</si>
  <si>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</si>
  <si>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</si>
  <si>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</si>
  <si>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</si>
  <si>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</si>
  <si>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</si>
  <si>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</si>
  <si>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</si>
  <si>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</si>
  <si>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</si>
  <si>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</si>
  <si>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</si>
  <si>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</si>
  <si>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</si>
  <si>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</si>
  <si>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</si>
  <si>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</si>
  <si>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</si>
  <si>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</si>
  <si>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</si>
  <si>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</si>
  <si>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</si>
  <si>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</si>
  <si>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</si>
  <si>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</si>
  <si>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</si>
  <si>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</si>
  <si>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</si>
  <si>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</si>
  <si>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</si>
  <si>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</si>
  <si>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</si>
  <si>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</si>
  <si>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</si>
  <si>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</si>
  <si>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</si>
  <si>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</si>
  <si>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</si>
  <si>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</si>
  <si>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</si>
  <si>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</si>
  <si>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</si>
  <si>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</si>
  <si>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</si>
  <si>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</si>
  <si>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</si>
  <si>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</si>
  <si>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</si>
  <si>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</si>
  <si>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</si>
  <si>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</si>
  <si>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</si>
  <si>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</si>
  <si>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</si>
  <si>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</si>
  <si>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</si>
  <si>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</si>
  <si>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</si>
  <si>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</si>
  <si>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</si>
  <si>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</si>
  <si>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</si>
  <si>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</si>
  <si>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</si>
  <si>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</si>
  <si>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</si>
  <si>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</si>
  <si>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</si>
  <si>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</si>
  <si>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</si>
  <si>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</si>
  <si>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</si>
  <si>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</si>
  <si>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</si>
  <si>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</si>
  <si>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</si>
  <si>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</si>
  <si>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</si>
  <si>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</si>
  <si>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</si>
  <si>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</si>
  <si>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</si>
  <si>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</si>
  <si>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</si>
  <si>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</si>
  <si>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</si>
  <si>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</si>
  <si>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</si>
  <si>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</si>
  <si>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</si>
  <si>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</si>
  <si>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</si>
  <si>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</si>
  <si>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</si>
  <si>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</si>
  <si>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</si>
  <si>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</si>
  <si>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</si>
  <si>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</si>
  <si>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</si>
  <si>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</si>
  <si>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</si>
  <si>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</si>
  <si>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</si>
  <si>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</si>
  <si>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</si>
  <si>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</si>
  <si>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</si>
  <si>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</si>
  <si>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</si>
  <si>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</si>
  <si>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</si>
  <si>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</si>
  <si>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</si>
  <si>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</si>
  <si>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</si>
  <si>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</si>
  <si>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</si>
  <si>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</si>
  <si>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</si>
  <si>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</si>
  <si>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</si>
  <si>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</si>
  <si>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</si>
  <si>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</si>
  <si>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</si>
  <si>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</si>
  <si>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</si>
  <si>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</si>
  <si>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</si>
  <si>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</si>
  <si>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</si>
  <si>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</si>
  <si>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</si>
  <si>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</si>
  <si>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</si>
  <si>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</si>
  <si>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</si>
  <si>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</si>
  <si>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</si>
  <si>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</si>
  <si>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</si>
  <si>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</si>
  <si>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</si>
  <si>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</si>
  <si>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</si>
  <si>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</si>
  <si>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</si>
  <si>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</si>
  <si>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</si>
  <si>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</si>
  <si>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</si>
  <si>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</si>
  <si>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</si>
  <si>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</si>
  <si>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</si>
  <si>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</si>
  <si>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</si>
  <si>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</si>
  <si>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</si>
  <si>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</si>
  <si>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</si>
  <si>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</si>
  <si>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</si>
  <si>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</si>
  <si>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</si>
  <si>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</si>
  <si>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</si>
  <si>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</si>
  <si>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</si>
  <si>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</si>
  <si>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204:446</t>
  </si>
  <si>
    <t>rtdc.l.rtdc.4009:itc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</si>
  <si>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</si>
  <si>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</si>
  <si>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</si>
  <si>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</si>
  <si>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</si>
  <si>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</si>
  <si>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</si>
  <si>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204:150</t>
  </si>
  <si>
    <t>204:149</t>
  </si>
  <si>
    <t>204:143</t>
  </si>
  <si>
    <t>204:466</t>
  </si>
  <si>
    <t>204:469</t>
  </si>
  <si>
    <t>204:451</t>
  </si>
  <si>
    <t>300:23346</t>
  </si>
  <si>
    <t>rtdc.l.rtdc.4018:itc</t>
  </si>
  <si>
    <t>204:233314</t>
  </si>
  <si>
    <t>204:464</t>
  </si>
  <si>
    <t>204:156</t>
  </si>
  <si>
    <t>rtdc.l.rtdc.4017:itc</t>
  </si>
  <si>
    <t>204:453</t>
  </si>
  <si>
    <t>204:440</t>
  </si>
  <si>
    <t>204:444</t>
  </si>
  <si>
    <t>204:447</t>
  </si>
  <si>
    <t>204:139</t>
  </si>
  <si>
    <t>rtdc.l.rtdc.4042:itc</t>
  </si>
  <si>
    <t>204:141</t>
  </si>
  <si>
    <t>204:147</t>
  </si>
  <si>
    <t>204:233291</t>
  </si>
  <si>
    <t>:.+((SYSTEM_STATE.+slice.+state.+changed )|(ment ac)|(multiple cpu faults)|(system.+state.+changed )|(\[timeout)|(PRM\|1\|D)|(kpr)|(kdp)|(train st.+moving)|(\|lc)|(penalty))</t>
  </si>
  <si>
    <t>204:233289</t>
  </si>
  <si>
    <t>204:442</t>
  </si>
  <si>
    <t>204:233319</t>
  </si>
  <si>
    <t>204:437</t>
  </si>
  <si>
    <t>300:58939</t>
  </si>
  <si>
    <t>SIGNAL</t>
  </si>
  <si>
    <t>Signal based authority (5)</t>
  </si>
  <si>
    <t>rtdc.l.rtdc.4051:itc</t>
  </si>
  <si>
    <t>Y</t>
  </si>
  <si>
    <t>rtdc.l.rtdc.4052:itc</t>
  </si>
  <si>
    <t>204:233297</t>
  </si>
  <si>
    <t>204:232987</t>
  </si>
  <si>
    <t>204:233298</t>
  </si>
  <si>
    <t>rtdc.l.rtdc.4041:itc</t>
  </si>
  <si>
    <t>rtdc.l.rtdc.4020:itc</t>
  </si>
  <si>
    <t>rtdc.l.rtdc.4019:itc</t>
  </si>
  <si>
    <t>204:233301</t>
  </si>
  <si>
    <t>204:233295</t>
  </si>
  <si>
    <t>204:232967</t>
  </si>
  <si>
    <t>204:233315</t>
  </si>
  <si>
    <t>204:455</t>
  </si>
  <si>
    <t>204:233004</t>
  </si>
  <si>
    <t>204:233000</t>
  </si>
  <si>
    <t>rtdc.l.rtdc.4033:itc</t>
  </si>
  <si>
    <t>rtdc.l.rtdc.4034:itc</t>
  </si>
  <si>
    <t>MAELZER</t>
  </si>
  <si>
    <t>KURT</t>
  </si>
  <si>
    <t>DAVIS</t>
  </si>
  <si>
    <t>WENDY</t>
  </si>
  <si>
    <t>SANTIZO</t>
  </si>
  <si>
    <t>D. EDY</t>
  </si>
  <si>
    <t>ROMERO</t>
  </si>
  <si>
    <t>CHAD</t>
  </si>
  <si>
    <t>STEWART</t>
  </si>
  <si>
    <t>LEVIN</t>
  </si>
  <si>
    <t>SCOTT</t>
  </si>
  <si>
    <t>partly-cloudy-day</t>
  </si>
  <si>
    <t>Mostly Cloudy</t>
  </si>
  <si>
    <t>partly-cloudy-night</t>
  </si>
  <si>
    <t>204:233312</t>
  </si>
  <si>
    <t>204:136</t>
  </si>
  <si>
    <t>204:233017</t>
  </si>
  <si>
    <t>204:233318</t>
  </si>
  <si>
    <t>204:467</t>
  </si>
  <si>
    <t>300:58615</t>
  </si>
  <si>
    <t>204:964</t>
  </si>
  <si>
    <t>204:478</t>
  </si>
  <si>
    <t>300:58621</t>
  </si>
  <si>
    <t>204:232998</t>
  </si>
  <si>
    <t>204:232992</t>
  </si>
  <si>
    <t>204:123</t>
  </si>
  <si>
    <t>300:23312</t>
  </si>
  <si>
    <t>rtdc.l.rtdc.4011:itc</t>
  </si>
  <si>
    <t>rtdc.l.rtdc.4021:itc</t>
  </si>
  <si>
    <t>rtdc.l.rtdc.4012:itc</t>
  </si>
  <si>
    <t>THOMAS</t>
  </si>
  <si>
    <t>NELSON</t>
  </si>
  <si>
    <t>ARIANE</t>
  </si>
  <si>
    <t>LALONDE</t>
  </si>
  <si>
    <t>GREGORY</t>
  </si>
  <si>
    <t>NEWELL</t>
  </si>
  <si>
    <t>precipType</t>
  </si>
  <si>
    <t>rain</t>
  </si>
  <si>
    <t>204:233001</t>
  </si>
  <si>
    <t>204:167</t>
  </si>
  <si>
    <t>204:233288</t>
  </si>
  <si>
    <t>300:58630</t>
  </si>
  <si>
    <t>300:58946</t>
  </si>
  <si>
    <t>204:685</t>
  </si>
  <si>
    <t>300:58950</t>
  </si>
  <si>
    <t>204:233021</t>
  </si>
  <si>
    <t>300:58626</t>
  </si>
  <si>
    <t>204:233268</t>
  </si>
  <si>
    <t>rtdc.l.rtdc.4013:itc</t>
  </si>
  <si>
    <t>rtdc.l.rtdc.4030:itc</t>
  </si>
  <si>
    <t>rtdc.l.rtdc.4029:itc</t>
  </si>
  <si>
    <t>rtdc.l.rtdc.4039:itc</t>
  </si>
  <si>
    <t>rtdc.l.rtdc.4045:itc</t>
  </si>
  <si>
    <t>SWITCH ALIGNMENT</t>
  </si>
  <si>
    <t>Track device (7)</t>
  </si>
  <si>
    <t>66-08</t>
  </si>
  <si>
    <t>72-08</t>
  </si>
  <si>
    <t>239-08</t>
  </si>
  <si>
    <t>rtdc.l.rtdc.4040:itc</t>
  </si>
  <si>
    <t>243-08</t>
  </si>
  <si>
    <t>244-08</t>
  </si>
  <si>
    <t>SWITCH UNKNOWN</t>
  </si>
  <si>
    <t>STARKS</t>
  </si>
  <si>
    <t>ANGELINA</t>
  </si>
  <si>
    <t>BONDS</t>
  </si>
  <si>
    <t>REYNALDO</t>
  </si>
  <si>
    <t>rtdc.l.rtdc.4014:itc</t>
  </si>
  <si>
    <t>SPECTOR</t>
  </si>
  <si>
    <t>rtdc.l.rtdc.4046:itc</t>
  </si>
  <si>
    <t>CLARK</t>
  </si>
  <si>
    <t>KATHLEEN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</si>
  <si>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</si>
  <si>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</si>
  <si>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</si>
  <si>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</si>
  <si>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</si>
  <si>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</si>
  <si>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</si>
  <si>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</si>
  <si>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</si>
  <si>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</si>
  <si>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</si>
  <si>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236-08</t>
  </si>
  <si>
    <t>241-08</t>
  </si>
  <si>
    <t>238-08</t>
  </si>
  <si>
    <t>240-08</t>
  </si>
  <si>
    <t>315-08</t>
  </si>
  <si>
    <t>242-08</t>
  </si>
  <si>
    <t>309-08</t>
  </si>
  <si>
    <t>311-08</t>
  </si>
  <si>
    <t>313-08</t>
  </si>
  <si>
    <t>Light Rain</t>
  </si>
  <si>
    <t>Drizzle</t>
  </si>
  <si>
    <t>204:786</t>
  </si>
  <si>
    <t>204:462</t>
  </si>
  <si>
    <t>204:232978</t>
  </si>
  <si>
    <t>204:233325</t>
  </si>
  <si>
    <t>204:232994</t>
  </si>
  <si>
    <t>204:433</t>
  </si>
  <si>
    <t>204:233307</t>
  </si>
  <si>
    <t>204:233293</t>
  </si>
  <si>
    <t>204:232991</t>
  </si>
  <si>
    <t>204:233002</t>
  </si>
  <si>
    <t>204:233309</t>
  </si>
  <si>
    <t>204:232986</t>
  </si>
  <si>
    <t>204:233008</t>
  </si>
  <si>
    <t>204:232930</t>
  </si>
  <si>
    <t>300:23301</t>
  </si>
  <si>
    <t>204:233276</t>
  </si>
  <si>
    <t>204:232972</t>
  </si>
  <si>
    <t>204:498</t>
  </si>
  <si>
    <t>204:233280</t>
  </si>
  <si>
    <t>204:232959</t>
  </si>
  <si>
    <t>204:232970</t>
  </si>
  <si>
    <t>204:233023</t>
  </si>
  <si>
    <t>204:484</t>
  </si>
  <si>
    <t>300:23310</t>
  </si>
  <si>
    <t>204:477</t>
  </si>
  <si>
    <t>204:1205</t>
  </si>
  <si>
    <t>300:41323</t>
  </si>
  <si>
    <t>204:4457</t>
  </si>
  <si>
    <t>204:327</t>
  </si>
  <si>
    <t>300:42460</t>
  </si>
  <si>
    <t>204:232879</t>
  </si>
  <si>
    <t>204:84</t>
  </si>
  <si>
    <t>204:154241</t>
  </si>
  <si>
    <t>204:233188</t>
  </si>
  <si>
    <t>300:58645</t>
  </si>
  <si>
    <t>204:691</t>
  </si>
  <si>
    <t>300:58707</t>
  </si>
  <si>
    <t>204:948</t>
  </si>
  <si>
    <t>204:951</t>
  </si>
  <si>
    <t>204:988</t>
  </si>
  <si>
    <t>204:937</t>
  </si>
  <si>
    <t>300:58617</t>
  </si>
  <si>
    <t>204:708</t>
  </si>
  <si>
    <t>204:979</t>
  </si>
  <si>
    <t>300:58952</t>
  </si>
  <si>
    <t>300:58926</t>
  </si>
  <si>
    <t>300:58623</t>
  </si>
  <si>
    <t>start /low /b %USERPROFILE%\Documents\GitHub\eaglep3\Utilities\DownloadLogsFromS3.py --loco 4010 --day 2017-05-09</t>
  </si>
  <si>
    <t>Early arrival</t>
  </si>
  <si>
    <t>Form C</t>
  </si>
  <si>
    <t>Onboard in-route failure</t>
  </si>
  <si>
    <t>Wi-MAX data drop</t>
  </si>
  <si>
    <t>Selected wrong track</t>
  </si>
  <si>
    <t>304-09</t>
  </si>
  <si>
    <t>rtdc.l.rtdc.4031:itc</t>
  </si>
  <si>
    <t>306-09</t>
  </si>
  <si>
    <t>105-09</t>
  </si>
  <si>
    <t>104-09</t>
  </si>
  <si>
    <t>rtdc.l.rtdc.4005:itc</t>
  </si>
  <si>
    <t>800-09</t>
  </si>
  <si>
    <t>106-09</t>
  </si>
  <si>
    <t>rtdc.l.rtdc.4006:itc</t>
  </si>
  <si>
    <t>801-09</t>
  </si>
  <si>
    <t>802-09</t>
  </si>
  <si>
    <t>117-09</t>
  </si>
  <si>
    <t>123-09</t>
  </si>
  <si>
    <t>805-09</t>
  </si>
  <si>
    <t>129-09</t>
  </si>
  <si>
    <t>806-09</t>
  </si>
  <si>
    <t>133-09</t>
  </si>
  <si>
    <t>128-09</t>
  </si>
  <si>
    <t>134-09</t>
  </si>
  <si>
    <t>rtdc.l.rtdc.4007:itc</t>
  </si>
  <si>
    <t>140-09</t>
  </si>
  <si>
    <t>148-09</t>
  </si>
  <si>
    <t>155-09</t>
  </si>
  <si>
    <t>819-09</t>
  </si>
  <si>
    <t>170-09</t>
  </si>
  <si>
    <t>821-09</t>
  </si>
  <si>
    <t>823-09</t>
  </si>
  <si>
    <t>185-09</t>
  </si>
  <si>
    <t>825-09</t>
  </si>
  <si>
    <t>186-09</t>
  </si>
  <si>
    <t>198-09</t>
  </si>
  <si>
    <t>51-09</t>
  </si>
  <si>
    <t>200-09</t>
  </si>
  <si>
    <t>55-09</t>
  </si>
  <si>
    <t>rtdc.l.rtdc.4032:itc</t>
  </si>
  <si>
    <t>207-09</t>
  </si>
  <si>
    <t>217-09</t>
  </si>
  <si>
    <t>837-09</t>
  </si>
  <si>
    <t>838-09</t>
  </si>
  <si>
    <t>219-09</t>
  </si>
  <si>
    <t>218-09</t>
  </si>
  <si>
    <t>845-09</t>
  </si>
  <si>
    <t>62-09</t>
  </si>
  <si>
    <t>228-09</t>
  </si>
  <si>
    <t>87-09</t>
  </si>
  <si>
    <t>302-09</t>
  </si>
  <si>
    <t>rtdc.l.rtdc.4008:itc</t>
  </si>
  <si>
    <t>101-09</t>
  </si>
  <si>
    <t>103-09</t>
  </si>
  <si>
    <t>102-09</t>
  </si>
  <si>
    <t>308-09</t>
  </si>
  <si>
    <t>310-09</t>
  </si>
  <si>
    <t>107-09</t>
  </si>
  <si>
    <t>109-09</t>
  </si>
  <si>
    <t>901-09</t>
  </si>
  <si>
    <t>COOLAHAN</t>
  </si>
  <si>
    <t>JOHN</t>
  </si>
  <si>
    <t>113-09</t>
  </si>
  <si>
    <t>111-09</t>
  </si>
  <si>
    <t>LOZA</t>
  </si>
  <si>
    <t>FIDEL</t>
  </si>
  <si>
    <t>115-09</t>
  </si>
  <si>
    <t>ROCHA</t>
  </si>
  <si>
    <t>YAOTL</t>
  </si>
  <si>
    <t>108-09</t>
  </si>
  <si>
    <t>110-09</t>
  </si>
  <si>
    <t>112-09</t>
  </si>
  <si>
    <t>114-09</t>
  </si>
  <si>
    <t>902-09</t>
  </si>
  <si>
    <t>BEAM</t>
  </si>
  <si>
    <t>ROSS</t>
  </si>
  <si>
    <t>119-09</t>
  </si>
  <si>
    <t>50-09</t>
  </si>
  <si>
    <t>121-09</t>
  </si>
  <si>
    <t>803-09</t>
  </si>
  <si>
    <t>116-09</t>
  </si>
  <si>
    <t>118-09</t>
  </si>
  <si>
    <t>804-09</t>
  </si>
  <si>
    <t>125-09</t>
  </si>
  <si>
    <t>127-09</t>
  </si>
  <si>
    <t>120-09</t>
  </si>
  <si>
    <t>122-09</t>
  </si>
  <si>
    <t>807-09</t>
  </si>
  <si>
    <t>124-09</t>
  </si>
  <si>
    <t>131-09</t>
  </si>
  <si>
    <t>126-09</t>
  </si>
  <si>
    <t>808-09</t>
  </si>
  <si>
    <t>809-09</t>
  </si>
  <si>
    <t>135-09</t>
  </si>
  <si>
    <t>810-09</t>
  </si>
  <si>
    <t>130-09</t>
  </si>
  <si>
    <t>137-09</t>
  </si>
  <si>
    <t>811-09</t>
  </si>
  <si>
    <t>132-09</t>
  </si>
  <si>
    <t>139-09</t>
  </si>
  <si>
    <t>903-09</t>
  </si>
  <si>
    <t>812-09</t>
  </si>
  <si>
    <t>141-09</t>
  </si>
  <si>
    <t>136-09</t>
  </si>
  <si>
    <t>143-09</t>
  </si>
  <si>
    <t>138-09</t>
  </si>
  <si>
    <t>145-09</t>
  </si>
  <si>
    <t>813-09</t>
  </si>
  <si>
    <t>142-09</t>
  </si>
  <si>
    <t>147-09</t>
  </si>
  <si>
    <t>814-09</t>
  </si>
  <si>
    <t>149-09</t>
  </si>
  <si>
    <t>144-09</t>
  </si>
  <si>
    <t>151-09</t>
  </si>
  <si>
    <t>146-09</t>
  </si>
  <si>
    <t>153-09</t>
  </si>
  <si>
    <t>815-09</t>
  </si>
  <si>
    <t>52-09</t>
  </si>
  <si>
    <t>DAVIDSON</t>
  </si>
  <si>
    <t>DAVID</t>
  </si>
  <si>
    <t>150-09</t>
  </si>
  <si>
    <t>816-09</t>
  </si>
  <si>
    <t>157-09</t>
  </si>
  <si>
    <t>152-09</t>
  </si>
  <si>
    <t>154-09</t>
  </si>
  <si>
    <t>159-09</t>
  </si>
  <si>
    <t>161-09</t>
  </si>
  <si>
    <t>53-09</t>
  </si>
  <si>
    <t>817-09</t>
  </si>
  <si>
    <t>156-09</t>
  </si>
  <si>
    <t>163-09</t>
  </si>
  <si>
    <t>56-09</t>
  </si>
  <si>
    <t>818-09</t>
  </si>
  <si>
    <t>158-09</t>
  </si>
  <si>
    <t>165-09</t>
  </si>
  <si>
    <t>160-09</t>
  </si>
  <si>
    <t>167-09</t>
  </si>
  <si>
    <t>162-09</t>
  </si>
  <si>
    <t>57-09</t>
  </si>
  <si>
    <t>169-09</t>
  </si>
  <si>
    <t>164-09</t>
  </si>
  <si>
    <t>171-09</t>
  </si>
  <si>
    <t>THOMPSON</t>
  </si>
  <si>
    <t>LESTER</t>
  </si>
  <si>
    <t>166-09</t>
  </si>
  <si>
    <t>168-09</t>
  </si>
  <si>
    <t>820-09</t>
  </si>
  <si>
    <t>173-09</t>
  </si>
  <si>
    <t>175-09</t>
  </si>
  <si>
    <t>177-09</t>
  </si>
  <si>
    <t>172-09</t>
  </si>
  <si>
    <t>179-09</t>
  </si>
  <si>
    <t>822-09</t>
  </si>
  <si>
    <t>174-09</t>
  </si>
  <si>
    <t>181-09</t>
  </si>
  <si>
    <t>176-09</t>
  </si>
  <si>
    <t>183-09</t>
  </si>
  <si>
    <t>178-09</t>
  </si>
  <si>
    <t>180-09</t>
  </si>
  <si>
    <t>182-09</t>
  </si>
  <si>
    <t>187-09</t>
  </si>
  <si>
    <t>824-09</t>
  </si>
  <si>
    <t>65-09</t>
  </si>
  <si>
    <t>189-09</t>
  </si>
  <si>
    <t>184-09</t>
  </si>
  <si>
    <t>191-09</t>
  </si>
  <si>
    <t>193-09</t>
  </si>
  <si>
    <t>188-09</t>
  </si>
  <si>
    <t>904-09</t>
  </si>
  <si>
    <t>SWANSON</t>
  </si>
  <si>
    <t>BRYCE</t>
  </si>
  <si>
    <t>195-09</t>
  </si>
  <si>
    <t>190-09</t>
  </si>
  <si>
    <t>826-09</t>
  </si>
  <si>
    <t>197-09</t>
  </si>
  <si>
    <t>827-09</t>
  </si>
  <si>
    <t>192-09</t>
  </si>
  <si>
    <t>199-09</t>
  </si>
  <si>
    <t>194-09</t>
  </si>
  <si>
    <t>196-09</t>
  </si>
  <si>
    <t>201-09</t>
  </si>
  <si>
    <t>828-09</t>
  </si>
  <si>
    <t>829-09</t>
  </si>
  <si>
    <t>67-09</t>
  </si>
  <si>
    <t>DE LA ROSA</t>
  </si>
  <si>
    <t>ALEX</t>
  </si>
  <si>
    <t>203-09</t>
  </si>
  <si>
    <t>831-09</t>
  </si>
  <si>
    <t>830-09</t>
  </si>
  <si>
    <t>205-09</t>
  </si>
  <si>
    <t>209-09</t>
  </si>
  <si>
    <t>rtdc.l.rtdc.4023:itc</t>
  </si>
  <si>
    <t>54-09</t>
  </si>
  <si>
    <t>202-09</t>
  </si>
  <si>
    <t>832-09</t>
  </si>
  <si>
    <t>833-09</t>
  </si>
  <si>
    <t>204-09</t>
  </si>
  <si>
    <t>211-09</t>
  </si>
  <si>
    <t>835-09</t>
  </si>
  <si>
    <t>206-09</t>
  </si>
  <si>
    <t>81-09</t>
  </si>
  <si>
    <t>834-09</t>
  </si>
  <si>
    <t>213-09</t>
  </si>
  <si>
    <t>208-09</t>
  </si>
  <si>
    <t>58-09</t>
  </si>
  <si>
    <t>FORTUNATO</t>
  </si>
  <si>
    <t>FRANK</t>
  </si>
  <si>
    <t>215-09</t>
  </si>
  <si>
    <t>rtdc.l.rtdc.4024:itc</t>
  </si>
  <si>
    <t>59-09</t>
  </si>
  <si>
    <t>836-09</t>
  </si>
  <si>
    <t>210-09</t>
  </si>
  <si>
    <t>212-09</t>
  </si>
  <si>
    <t>839-09</t>
  </si>
  <si>
    <t>214-09</t>
  </si>
  <si>
    <t>303-09</t>
  </si>
  <si>
    <t>216-09</t>
  </si>
  <si>
    <t>61-09</t>
  </si>
  <si>
    <t>MAGEE</t>
  </si>
  <si>
    <t>KENYA</t>
  </si>
  <si>
    <t>221-09</t>
  </si>
  <si>
    <t>305-09</t>
  </si>
  <si>
    <t>906-09</t>
  </si>
  <si>
    <t>841-09</t>
  </si>
  <si>
    <t>220-09</t>
  </si>
  <si>
    <t>223-09</t>
  </si>
  <si>
    <t>840-09</t>
  </si>
  <si>
    <t>307-09</t>
  </si>
  <si>
    <t>222-09</t>
  </si>
  <si>
    <t>225-09</t>
  </si>
  <si>
    <t>224-09</t>
  </si>
  <si>
    <t>843-09</t>
  </si>
  <si>
    <t>63-09</t>
  </si>
  <si>
    <t>227-09</t>
  </si>
  <si>
    <t>842-09</t>
  </si>
  <si>
    <t>226-09</t>
  </si>
  <si>
    <t>229-09</t>
  </si>
  <si>
    <t>231-09</t>
  </si>
  <si>
    <t>844-09</t>
  </si>
  <si>
    <t>233-09</t>
  </si>
  <si>
    <t>230-09</t>
  </si>
  <si>
    <t>847-09</t>
  </si>
  <si>
    <t>235-09</t>
  </si>
  <si>
    <t>232-09</t>
  </si>
  <si>
    <t>908-09</t>
  </si>
  <si>
    <t>237-09</t>
  </si>
  <si>
    <t>234-09</t>
  </si>
  <si>
    <t>239-09</t>
  </si>
  <si>
    <t>236-09</t>
  </si>
  <si>
    <t>88-09</t>
  </si>
  <si>
    <t>238-09</t>
  </si>
  <si>
    <t>241-09</t>
  </si>
  <si>
    <t>243-09</t>
  </si>
  <si>
    <t>240-09</t>
  </si>
  <si>
    <t>315-09</t>
  </si>
  <si>
    <t>242-09</t>
  </si>
  <si>
    <t>309-09</t>
  </si>
  <si>
    <t>244-09</t>
  </si>
  <si>
    <t>311-09</t>
  </si>
  <si>
    <t>313-09</t>
  </si>
  <si>
    <t>cloudy</t>
  </si>
  <si>
    <t>Overcast</t>
  </si>
  <si>
    <t>204:761</t>
  </si>
  <si>
    <t>204:233340</t>
  </si>
  <si>
    <t>204:232711</t>
  </si>
  <si>
    <t>204:1145</t>
  </si>
  <si>
    <t>204:233303</t>
  </si>
  <si>
    <t>204:232977</t>
  </si>
  <si>
    <t>204:1871</t>
  </si>
  <si>
    <t>204:792</t>
  </si>
  <si>
    <t>204:232662</t>
  </si>
  <si>
    <t>204:233332</t>
  </si>
  <si>
    <t>204:801</t>
  </si>
  <si>
    <t>204:438</t>
  </si>
  <si>
    <t>204:763</t>
  </si>
  <si>
    <t>204:233299</t>
  </si>
  <si>
    <t>204:420</t>
  </si>
  <si>
    <t>204:233263</t>
  </si>
  <si>
    <t>204:232947</t>
  </si>
  <si>
    <t>204:232989</t>
  </si>
  <si>
    <t>204:233311</t>
  </si>
  <si>
    <t>204:67319</t>
  </si>
  <si>
    <t>204:64163</t>
  </si>
  <si>
    <t>204:233306</t>
  </si>
  <si>
    <t>204:232985</t>
  </si>
  <si>
    <t>204:232988</t>
  </si>
  <si>
    <t>204:233329</t>
  </si>
  <si>
    <t>204:233302</t>
  </si>
  <si>
    <t>204:232996</t>
  </si>
  <si>
    <t>204:232980</t>
  </si>
  <si>
    <t>204:233389</t>
  </si>
  <si>
    <t>204:233068</t>
  </si>
  <si>
    <t>204:435</t>
  </si>
  <si>
    <t>204:233344</t>
  </si>
  <si>
    <t>204:232976</t>
  </si>
  <si>
    <t>204:232944</t>
  </si>
  <si>
    <t>204:200</t>
  </si>
  <si>
    <t>204:233011</t>
  </si>
  <si>
    <t>204:233320</t>
  </si>
  <si>
    <t>204:233005</t>
  </si>
  <si>
    <t>204:233310</t>
  </si>
  <si>
    <t>204:232955</t>
  </si>
  <si>
    <t>204:1167</t>
  </si>
  <si>
    <t>204:233355</t>
  </si>
  <si>
    <t>204:233337</t>
  </si>
  <si>
    <t>204:233176</t>
  </si>
  <si>
    <t>204:232843</t>
  </si>
  <si>
    <t>204:161</t>
  </si>
  <si>
    <t>204:232982</t>
  </si>
  <si>
    <t>204:232957</t>
  </si>
  <si>
    <t>204:169</t>
  </si>
  <si>
    <t>204:233257</t>
  </si>
  <si>
    <t>204:196</t>
  </si>
  <si>
    <t>204:422</t>
  </si>
  <si>
    <t>204:247</t>
  </si>
  <si>
    <t>204:471</t>
  </si>
  <si>
    <t>204:163</t>
  </si>
  <si>
    <t>204:232975</t>
  </si>
  <si>
    <t>204:232968</t>
  </si>
  <si>
    <t>204:488</t>
  </si>
  <si>
    <t>204:233222</t>
  </si>
  <si>
    <t>204:232900</t>
  </si>
  <si>
    <t>204:192</t>
  </si>
  <si>
    <t>204:233264</t>
  </si>
  <si>
    <t>204:528</t>
  </si>
  <si>
    <t>204:233015</t>
  </si>
  <si>
    <t>204:233342</t>
  </si>
  <si>
    <t>204:233346</t>
  </si>
  <si>
    <t>204:233032</t>
  </si>
  <si>
    <t>204:233349</t>
  </si>
  <si>
    <t>204:94</t>
  </si>
  <si>
    <t>204:176</t>
  </si>
  <si>
    <t>204:232973</t>
  </si>
  <si>
    <t>204:232979</t>
  </si>
  <si>
    <t>204:116</t>
  </si>
  <si>
    <t>204:393</t>
  </si>
  <si>
    <t>204:180</t>
  </si>
  <si>
    <t>204:748</t>
  </si>
  <si>
    <t>204:233453</t>
  </si>
  <si>
    <t>204:233138</t>
  </si>
  <si>
    <t>300:19489</t>
  </si>
  <si>
    <t>204:508</t>
  </si>
  <si>
    <t>300:21882</t>
  </si>
  <si>
    <t>300:14356</t>
  </si>
  <si>
    <t>300:22788</t>
  </si>
  <si>
    <t>204:203</t>
  </si>
  <si>
    <t>300:23306</t>
  </si>
  <si>
    <t>300:23527</t>
  </si>
  <si>
    <t>300:23291</t>
  </si>
  <si>
    <t>300:22927</t>
  </si>
  <si>
    <t>300:23302</t>
  </si>
  <si>
    <t>204:3277</t>
  </si>
  <si>
    <t>204:1165</t>
  </si>
  <si>
    <t>204:3581</t>
  </si>
  <si>
    <t>300:23449</t>
  </si>
  <si>
    <t>300:23535</t>
  </si>
  <si>
    <t>204:337</t>
  </si>
  <si>
    <t>300:24248</t>
  </si>
  <si>
    <t>300:23188</t>
  </si>
  <si>
    <t>204:891</t>
  </si>
  <si>
    <t>204:343</t>
  </si>
  <si>
    <t>300:23464</t>
  </si>
  <si>
    <t>204:155</t>
  </si>
  <si>
    <t>300:24260</t>
  </si>
  <si>
    <t>300:23268</t>
  </si>
  <si>
    <t>300:23576</t>
  </si>
  <si>
    <t>300:21668</t>
  </si>
  <si>
    <t>300:23802</t>
  </si>
  <si>
    <t>300:29771</t>
  </si>
  <si>
    <t>204:1144</t>
  </si>
  <si>
    <t>300:39512</t>
  </si>
  <si>
    <t>204:1153</t>
  </si>
  <si>
    <t>300:40256</t>
  </si>
  <si>
    <t>204:142</t>
  </si>
  <si>
    <t>300:40797</t>
  </si>
  <si>
    <t>300:41244</t>
  </si>
  <si>
    <t>300:40735</t>
  </si>
  <si>
    <t>204:1448</t>
  </si>
  <si>
    <t>300:42481</t>
  </si>
  <si>
    <t>204:441</t>
  </si>
  <si>
    <t>300:42487</t>
  </si>
  <si>
    <t>300:42540</t>
  </si>
  <si>
    <t>204:3266</t>
  </si>
  <si>
    <t>204:1477</t>
  </si>
  <si>
    <t>204:3600</t>
  </si>
  <si>
    <t>300:40638</t>
  </si>
  <si>
    <t>300:12831</t>
  </si>
  <si>
    <t>300:13169</t>
  </si>
  <si>
    <t>204:1484</t>
  </si>
  <si>
    <t>204:386</t>
  </si>
  <si>
    <t>300:23295</t>
  </si>
  <si>
    <t>300:58687</t>
  </si>
  <si>
    <t>204:717</t>
  </si>
  <si>
    <t>204:1011</t>
  </si>
  <si>
    <t>300:58960</t>
  </si>
  <si>
    <t>204:666</t>
  </si>
  <si>
    <t>204:995</t>
  </si>
  <si>
    <t>300:58961</t>
  </si>
  <si>
    <t>300:58641</t>
  </si>
  <si>
    <t>204:712</t>
  </si>
  <si>
    <t>300:59001</t>
  </si>
  <si>
    <t>204:696</t>
  </si>
  <si>
    <t>204:997</t>
  </si>
  <si>
    <t>204:986</t>
  </si>
  <si>
    <t>300:58992</t>
  </si>
  <si>
    <t>204:1147</t>
  </si>
  <si>
    <t>300:58681</t>
  </si>
  <si>
    <t>204:780</t>
  </si>
  <si>
    <t>204:981</t>
  </si>
  <si>
    <t>300:58937</t>
  </si>
  <si>
    <t>300:58577</t>
  </si>
  <si>
    <t>204:710</t>
  </si>
  <si>
    <t>204:993</t>
  </si>
  <si>
    <t>300:58931</t>
  </si>
  <si>
    <t>204:713</t>
  </si>
  <si>
    <t>204:1000</t>
  </si>
  <si>
    <t>204:692</t>
  </si>
  <si>
    <t>204:1004</t>
  </si>
  <si>
    <t>300:58948</t>
  </si>
  <si>
    <t>300:58638</t>
  </si>
  <si>
    <t>204:715</t>
  </si>
  <si>
    <t>204:999</t>
  </si>
  <si>
    <t>300:58088</t>
  </si>
  <si>
    <t>300:58698</t>
  </si>
  <si>
    <t>204:635</t>
  </si>
  <si>
    <t>204:927</t>
  </si>
  <si>
    <t>300:58956</t>
  </si>
  <si>
    <t>204:643</t>
  </si>
  <si>
    <t>204:925</t>
  </si>
  <si>
    <t>300:59016</t>
  </si>
  <si>
    <t>204:86</t>
  </si>
  <si>
    <t>204:684</t>
  </si>
  <si>
    <t>204:390</t>
  </si>
  <si>
    <t>300:58941</t>
  </si>
  <si>
    <t>204:656</t>
  </si>
  <si>
    <t>300:58624</t>
  </si>
  <si>
    <t>204:678</t>
  </si>
  <si>
    <t>204:649</t>
  </si>
  <si>
    <t>204:978</t>
  </si>
  <si>
    <t>300:58920</t>
  </si>
  <si>
    <t>300:58613</t>
  </si>
  <si>
    <t>204:614</t>
  </si>
  <si>
    <t>300:58634</t>
  </si>
  <si>
    <t>204:661</t>
  </si>
  <si>
    <t>204:930</t>
  </si>
  <si>
    <t>300:57348</t>
  </si>
  <si>
    <t>204:689</t>
  </si>
  <si>
    <t>204:936</t>
  </si>
  <si>
    <t>300:58918</t>
  </si>
  <si>
    <t>204:1465</t>
  </si>
  <si>
    <t>300:25121</t>
  </si>
  <si>
    <t>204:1469</t>
  </si>
  <si>
    <t>300:23671</t>
  </si>
  <si>
    <t>300:23661</t>
  </si>
  <si>
    <t>300:25243</t>
  </si>
  <si>
    <t>300:24812</t>
  </si>
  <si>
    <t>204:1155</t>
  </si>
  <si>
    <t>300:24923</t>
  </si>
  <si>
    <t>300:29927</t>
  </si>
  <si>
    <t>300:58997</t>
  </si>
  <si>
    <t>300:21931</t>
  </si>
  <si>
    <t>204:1065</t>
  </si>
  <si>
    <t>300:24210</t>
  </si>
  <si>
    <t>300:22989</t>
  </si>
  <si>
    <t>204:680</t>
  </si>
  <si>
    <t>300:58611</t>
  </si>
  <si>
    <t>300:28788</t>
  </si>
  <si>
    <t>300:21392</t>
  </si>
  <si>
    <t>300:21767</t>
  </si>
  <si>
    <t>start /low /b %USERPROFILE%\Documents\GitHub\eaglep3\Utilities\DownloadLogsFromS3.py --loco 4051 --day 2017-05-09</t>
  </si>
  <si>
    <t>start /low /b %USERPROFILE%\Documents\GitHub\eaglep3\Utilities\DownloadLogsFromS3.py --loco 4006 --day 2017-05-09</t>
  </si>
  <si>
    <t>start /low /b %USERPROFILE%\Documents\GitHub\eaglep3\Utilities\DownloadLogsFromS3.py --loco 4052 --day 2017-05-09</t>
  </si>
  <si>
    <t>start /low /b %USERPROFILE%\Documents\GitHub\eaglep3\Utilities\DownloadLogsFromS3.py --loco 4045 --day 2017-05-09</t>
  </si>
  <si>
    <t>start /low /b %USERPROFILE%\Documents\GitHub\eaglep3\Utilities\DownloadLogsFromS3.py --loco 4029 --day 2017-05-09</t>
  </si>
  <si>
    <t>start /low /b %USERPROFILE%\Documents\GitHub\eaglep3\Utilities\DownloadLogsFromS3.py --loco 4051 --day 2017-05-10</t>
  </si>
  <si>
    <t>start /low /b %USERPROFILE%\Documents\GitHub\eaglep3\Utilities\DownloadLogsFromS3.py --loco 4052 --day 2017-05-10</t>
  </si>
  <si>
    <t>start /low /b %USERPROFILE%\Documents\GitHub\eaglep3\Utilities\DownloadLogsFromS3.py --loco 4007 --day 2017-05-09</t>
  </si>
  <si>
    <t>start /low /b %USERPROFILE%\Documents\GitHub\eaglep3\Utilities\DownloadLogsFromS3.py --loco 4003 --day 2017-05-09</t>
  </si>
  <si>
    <t>start /low /b %USERPROFILE%\Documents\GitHub\eaglep3\Utilities\DownloadLogsFromS3.py --loco 4046 --day 2017-05-09</t>
  </si>
  <si>
    <t>start /low /b %USERPROFILE%\Documents\GitHub\eaglep3\Utilities\DownloadLogsFromS3.py --loco 4030 --day 2017-05-09</t>
  </si>
  <si>
    <t>start /low /b %USERPROFILE%\Documents\GitHub\eaglep3\Utilities\DownloadLogsFromS3.py --loco 4031 --day 2017-05-09</t>
  </si>
  <si>
    <t>start /low /b %USERPROFILE%\Documents\GitHub\eaglep3\Utilities\DownloadLogsFromS3.py --loco 4019 --day 2017-05-10</t>
  </si>
  <si>
    <t>start /low /b %USERPROFILE%\Documents\GitHub\eaglep3\Utilities\DownloadLogsFromS3.py --loco 4012 --day 2017-05-09</t>
  </si>
  <si>
    <t>start /low /b %USERPROFILE%\Documents\GitHub\eaglep3\Utilities\DownloadLogsFromS3.py --loco 4032 --day 2017-05-09</t>
  </si>
  <si>
    <t>start /low /b %USERPROFILE%\Documents\GitHub\eaglep3\Utilities\DownloadLogsFromS3.py --loco 4020 --day 2017-05-10</t>
  </si>
  <si>
    <t>start /low /b %USERPROFILE%\Documents\GitHub\eaglep3\Utilities\DownloadLogsFromS3.py --loco 4005 --day 2017-05-09</t>
  </si>
  <si>
    <t>start /low /b %USERPROFILE%\Documents\GitHub\eaglep3\Utilities\DownloadLogsFromS3.py --loco 4018 --day 2017-05-09</t>
  </si>
  <si>
    <t>start /low /b %USERPROFILE%\Documents\GitHub\eaglep3\Utilities\DownloadLogsFromS3.py --loco 4018 --day 2017-05-10</t>
  </si>
  <si>
    <t>start /low /b %USERPROFILE%\Documents\GitHub\eaglep3\Utilities\DownloadLogsFromS3.py --loco 4017 --day 2017-05-10</t>
  </si>
  <si>
    <t>Overspeed</t>
  </si>
  <si>
    <t>http://stevetu21.github.io/eaglep3/load_kml.html?kml=http://rtdc.gmaps-snips.s3.amazonaws.com/3b320134-1851-47f3-8a63-47aeb2adc129.kml</t>
  </si>
  <si>
    <t>Signal dropped due to TMDS issue</t>
  </si>
  <si>
    <t>STOP aspect</t>
  </si>
  <si>
    <t>Selected wrong track (should have chosen Main 2)</t>
  </si>
  <si>
    <t>Wi-MAX data drop caused momentary red fence at CRMF 4N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</si>
</sst>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42864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42864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COUNTIFS($N$13:$N$9320,"&gt;0",$AG$13:$AG$9320,I1)</f>
        <v>143</v>
      </c>
      <c r="K5" s="39"/>
      <c r="L5" s="39"/>
      <c r="M5" s="40">
        <f>AVERAGEIFS($N$13:$N$9320,$AG$13:$AG$9320,I1)</f>
        <v>38.146153846438125</v>
      </c>
      <c r="N5" s="38">
        <f t="array" ref="N5">MIN(IF($AG$13:$AG$9320=I1,IF(ISNUMBER($N$13:$N$9320),IF($N$13:$N$9320&gt;0,$N$13:$N$9320))))</f>
        <v>34.433333325432613</v>
      </c>
      <c r="O5" s="3">
        <f t="array" ref="O5">MAX(IF($AG$13:$AG$9320=I1,IF(ISNUMBER($N$13:$N$9320),IF($N$13:$N$9320&gt;0,$N$13:$N$9320))))</f>
        <v>46.400000002468005</v>
      </c>
      <c r="P5" s="2"/>
      <c r="R5" s="177" t="s">
        <v>17</v>
      </c>
      <c r="S5" s="199">
        <f>COUNTIFS($N$13:$N$9320,"&gt;0",$AG$13:$AG$9320,R1)</f>
        <v>46</v>
      </c>
      <c r="T5" s="179"/>
      <c r="U5" s="179"/>
      <c r="V5" s="176">
        <f>AVERAGEIFS($N$13:$N$9320,$AG$13:$AG$9320,R1)</f>
        <v>15.706159419471236</v>
      </c>
      <c r="W5" s="177">
        <f t="array" ref="W5">MIN(IF($AG$13:$AG$9320=R1,IF(ISNUMBER($N$13:$N$9320),IF($N$13:$N$9320&gt;0,$N$13:$N$9320))))</f>
        <v>13.800000009359792</v>
      </c>
      <c r="X5" s="178">
        <f t="array" ref="X5">MAX(IF($AG$13:$AG$9320=R1,IF(ISNUMBER($N$13:$N$9320),IF($N$13:$N$9320&gt;0,$N$13:$N$9320))))</f>
        <v>20.033333332976326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COUNT($O$13:$O$113)</f>
        <v>0</v>
      </c>
      <c r="K6" s="39"/>
      <c r="L6" s="39"/>
      <c r="M6" s="40">
        <f>IFERROR(AVERAGE($O$13:$O$113),0)</f>
        <v>0</v>
      </c>
      <c r="N6" s="38">
        <f>MIN($O$13:$O$113)</f>
        <v>0</v>
      </c>
      <c r="O6" s="3">
        <f>MAX($O$13:$O$113)</f>
        <v>0</v>
      </c>
      <c r="P6" s="2"/>
      <c r="R6" s="180" t="s">
        <v>43</v>
      </c>
      <c r="S6" s="199">
        <f>COUNT($O$13:$O$113)</f>
        <v>0</v>
      </c>
      <c r="T6" s="179"/>
      <c r="U6" s="179"/>
      <c r="V6" s="176">
        <f>IFERROR(AVERAGE($O$13:$O$113),0)</f>
        <v>0</v>
      </c>
      <c r="W6" s="177">
        <f>MIN($O$13:$O$113)</f>
        <v>0</v>
      </c>
      <c r="X6" s="178">
        <f>MAX($O$13:$O$113)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COUNTIFS($P$13:$P$9320,"&gt;0",$AG$13:$AG$9320,I1)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COUNTIFS($P$13:$P$9320,"&gt;0",$AG$13:$AG$9320,R1)</f>
        <v>1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143</v>
      </c>
      <c r="K8" s="39"/>
      <c r="L8" s="39"/>
      <c r="M8" s="40">
        <f>M5</f>
        <v>38.146153846438125</v>
      </c>
      <c r="N8" s="38">
        <f>N5</f>
        <v>34.433333325432613</v>
      </c>
      <c r="O8" s="3">
        <f>O5</f>
        <v>46.400000002468005</v>
      </c>
      <c r="P8" s="2"/>
      <c r="R8" s="177" t="s">
        <v>16</v>
      </c>
      <c r="S8" s="199">
        <f>S5</f>
        <v>46</v>
      </c>
      <c r="T8" s="179"/>
      <c r="U8" s="179"/>
      <c r="V8" s="176">
        <f>V5</f>
        <v>15.706159419471236</v>
      </c>
      <c r="W8" s="177">
        <f>W5</f>
        <v>13.800000009359792</v>
      </c>
      <c r="X8" s="178">
        <f>X5</f>
        <v>20.033333332976326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0.99305555555555558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0.97872340425531912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- 2017-05-09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AVERAGE(S13:S91)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350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603</v>
      </c>
      <c r="B13" s="7">
        <v>4008</v>
      </c>
      <c r="C13" s="21" t="s">
        <v>207</v>
      </c>
      <c r="D13" s="21" t="s">
        <v>813</v>
      </c>
      <c r="E13" s="13">
        <v>42864.130104166667</v>
      </c>
      <c r="F13" s="13">
        <v>42864.135671296295</v>
      </c>
      <c r="G13" s="7">
        <v>1</v>
      </c>
      <c r="H13" s="21" t="s">
        <v>814</v>
      </c>
      <c r="I13" s="13">
        <v>42864.160578703704</v>
      </c>
      <c r="J13" s="7">
        <v>0</v>
      </c>
      <c r="K13" s="92" t="str">
        <f t="shared" ref="K13:K76" si="0">IF(ISEVEN(B13),(B13-1)&amp;"/"&amp;B13,B13&amp;"/"&amp;(B13+1))</f>
        <v>4007/4008</v>
      </c>
      <c r="L13" s="21" t="str">
        <f>VLOOKUP(A13,'Trips&amp;Operators'!$C$1:$G$99999,5,FALSE)</f>
        <v>SANTIZO D. EDY</v>
      </c>
      <c r="M13" s="6">
        <f t="shared" ref="M13:M76" si="1">I13-F13</f>
        <v>2.4907407409045845E-2</v>
      </c>
      <c r="N13" s="7">
        <f t="shared" ref="N13:N45" si="2">24*60*SUM($M13:$M13)</f>
        <v>35.866666669026017</v>
      </c>
      <c r="O13" s="7"/>
      <c r="P13" s="7"/>
      <c r="Q13" s="22"/>
      <c r="R13" s="190"/>
      <c r="S13" s="196">
        <f t="shared" ref="S13:S45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-09T02:07:21-0600',mode:absolute,to:'2017-05-09T04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192" t="str">
        <f t="shared" ref="W13:W76" si="6">IF(AA13&lt;IF(AG13="EC",23,5.65),"Y","N")</f>
        <v>N</v>
      </c>
      <c r="X13" s="192" t="e">
        <f t="shared" ref="X13:X44" si="7">VALUE(LEFT(AD13,4))-VALUE(LEFT(AD12,4))</f>
        <v>#VALUE!</v>
      </c>
      <c r="Y13" s="192">
        <f t="shared" ref="Y13:Y76" si="8">RIGHT(D13,LEN(D13)-4)/10000</f>
        <v>7.6100000000000001E-2</v>
      </c>
      <c r="Z13" s="192">
        <f t="shared" ref="Z13:Z76" si="9">RIGHT(H13,LEN(H13)-4)/10000</f>
        <v>23.334</v>
      </c>
      <c r="AA13" s="192">
        <f t="shared" ref="AA13:AA76" si="10">ABS(Z13-Y13)</f>
        <v>23.257899999999999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0101-09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/stypes="app*4008*20170509*"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4008 --swversion DE.1.0.9.0 --startMP 204:761 --initTime 2017-05-09T03:07:21 --startdatetime 2017-05-09T03:15:22 --delay 1 --endMP 204:233340 --enddatetime 2017-05-09T03:51:14 --enforcementcount 0 &gt;&gt;C:\Users\stu\Documents\GitHub\eaglep3-reporting\EC\2017-05-09-refined-times.txt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{"issue":{"subject":"","project_id":79,"tracker_id":40,"status_id":1,"priority_id":2,"assigned_to_id":23,"start_date":"2017-05-09","description":"","custom_fields":[{"id":1,"name":"Subdivision","value":"EC"},{"id":4,"name":"Milepost","value":"23.334"},{"id":17,"name":"Train ID","value":"101-09"},{"id":16,"name":"Locomotive ID","value":"4008"},{"id":130,"name":"Impact","value":""},{"id":150,"name":"Time of Event (Mountain Time)","value":"03:51:14"},{"id":151,"name":"Denver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4008 --day 2017-05-09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605</v>
      </c>
      <c r="B14" s="7">
        <v>4029</v>
      </c>
      <c r="C14" s="21" t="s">
        <v>207</v>
      </c>
      <c r="D14" s="21" t="s">
        <v>815</v>
      </c>
      <c r="E14" s="13">
        <v>42864.162523148145</v>
      </c>
      <c r="F14" s="13">
        <v>42864.219270833331</v>
      </c>
      <c r="G14" s="7">
        <v>1</v>
      </c>
      <c r="H14" s="21" t="s">
        <v>198</v>
      </c>
      <c r="I14" s="13">
        <v>42864.244143518517</v>
      </c>
      <c r="J14" s="7">
        <v>0</v>
      </c>
      <c r="K14" s="92" t="str">
        <f t="shared" si="0"/>
        <v>4029/4030</v>
      </c>
      <c r="L14" s="21" t="str">
        <f>VLOOKUP(A14,'Trips&amp;Operators'!$C$1:$G$99999,5,FALSE)</f>
        <v>SANTIZO D. EDY</v>
      </c>
      <c r="M14" s="6">
        <f t="shared" si="1"/>
        <v>2.4872685185982846E-2</v>
      </c>
      <c r="N14" s="7">
        <f t="shared" si="2"/>
        <v>35.816666667815298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-09T02:54:02-0600',mode:absolute,to:'2017-05-09T06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23.271100000000001</v>
      </c>
      <c r="Z14" s="192">
        <f t="shared" si="9"/>
        <v>1.5800000000000002E-2</v>
      </c>
      <c r="AA14" s="192">
        <f t="shared" si="10"/>
        <v>23.255300000000002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0102-09</v>
      </c>
      <c r="AE14" s="80" t="str">
        <f t="shared" si="12"/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AF14" s="77" t="str">
        <f t="shared" si="13"/>
        <v>"C:\Program Files (x86)\AstroGrep\AstroGrep.exe" /e /r /s /spath="%USERPROFILE%\AppData\Local\Temp\OnboardLogs" /stypes="app*4029*20170509*" /stext=" 11:.+((SYSTEM_STATE.+slice.+state.+changed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4029 --swversion DE.1.0.9.0 --startMP 204:232711 --initTime 2017-05-09T03:54:02 --startdatetime 2017-05-09T05:15:45 --delay 1 --endMP 204:158 --enddatetime 2017-05-09T05:51:34 --enforcementcount 0 &gt;&gt;C:\Users\stu\Documents\GitHub\eaglep3-reporting\EC\2017-05-09-refined-times.txt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{"issue":{"subject":"","project_id":79,"tracker_id":40,"status_id":1,"priority_id":2,"assigned_to_id":23,"start_date":"2017-05-09","description":"","custom_fields":[{"id":1,"name":"Subdivision","value":"EC"},{"id":4,"name":"Milepost","value":"0.0158"},{"id":17,"name":"Train ID","value":"102-09"},{"id":16,"name":"Locomotive ID","value":"4029"},{"id":130,"name":"Impact","value":""},{"id":150,"name":"Time of Event (Mountain Time)","value":"05:51:34"},{"id":151,"name":"Denver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4029 --day 2017-05-09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604</v>
      </c>
      <c r="B15" s="7">
        <v>4004</v>
      </c>
      <c r="C15" s="21" t="s">
        <v>207</v>
      </c>
      <c r="D15" s="21" t="s">
        <v>816</v>
      </c>
      <c r="E15" s="13">
        <v>42864.154687499999</v>
      </c>
      <c r="F15" s="13">
        <v>42864.157314814816</v>
      </c>
      <c r="G15" s="7">
        <v>1</v>
      </c>
      <c r="H15" s="21" t="s">
        <v>817</v>
      </c>
      <c r="I15" s="13">
        <v>42864.182581018518</v>
      </c>
      <c r="J15" s="7">
        <v>0</v>
      </c>
      <c r="K15" s="92" t="str">
        <f t="shared" si="0"/>
        <v>4003/4004</v>
      </c>
      <c r="L15" s="21" t="str">
        <f>VLOOKUP(A15,'Trips&amp;Operators'!$C$1:$G$99999,5,FALSE)</f>
        <v>SPECTOR MICHAEL</v>
      </c>
      <c r="M15" s="6">
        <f t="shared" si="1"/>
        <v>2.5266203701903578E-2</v>
      </c>
      <c r="N15" s="7">
        <f t="shared" si="2"/>
        <v>36.383333330741152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-09T02:42:45-0600',mode:absolute,to:'2017-05-09T05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0.1145</v>
      </c>
      <c r="Z15" s="192">
        <f t="shared" si="9"/>
        <v>23.330300000000001</v>
      </c>
      <c r="AA15" s="192">
        <f t="shared" si="10"/>
        <v>23.215800000000002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0103-09</v>
      </c>
      <c r="AE15" s="80" t="str">
        <f t="shared" si="12"/>
        <v>aws s3 cp s3://rtdc.mdm.uploadarchive.raw/RTDC4004/ "%USERPROFILE%\AppData\Local\Temp\OnboardLogs"\RTDC4004\2017-05-09 --exclude "*" --recursive --include "*20170509*" &amp; "%USERPROFILE%\Documents\GitHub\mrs-test-scripts\Headless Mode &amp; Sideloading\WalkAndUnGZ.bat" "%USERPROFILE%\AppData\Local\Temp\OnboardLogs"\RTDC4004\2017-05-09 &amp; aws s3 cp s3://rtdc.mdm.uploadarchive.raw/RTDC4004/ "%USERPROFILE%\AppData\Local\Temp\OnboardLogs"\RTDC4004\2017-05-10 --exclude "*" --recursive --include "*20170510*" &amp; "%USERPROFILE%\Documents\GitHub\mrs-test-scripts\Headless Mode &amp; Sideloading\WalkAndUnGZ.bat" "%USERPROFILE%\AppData\Local\Temp\OnboardLogs"\RTDC4004\2017-05-10</v>
      </c>
      <c r="AF15" s="77" t="str">
        <f t="shared" si="13"/>
        <v>"C:\Program Files (x86)\AstroGrep\AstroGrep.exe" /e /r /s /spath="%USERPROFILE%\AppData\Local\Temp\OnboardLogs" /stypes="app*4004*20170509*"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103-09 --locoid 4004 --swversion DE.1.0.9.0 --startMP 204:1145 --initTime 2017-05-09T03:42:45 --startdatetime 2017-05-09T03:46:32 --delay 1 --endMP 204:233303 --enddatetime 2017-05-09T04:22:55 --enforcementcount 0 &gt;&gt;C:\Users\stu\Documents\GitHub\eaglep3-reporting\EC\2017-05-09-refined-times.txt</v>
      </c>
      <c r="AI15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{"issue":{"subject":"","project_id":79,"tracker_id":40,"status_id":1,"priority_id":2,"assigned_to_id":23,"start_date":"2017-05-09","description":"","custom_fields":[{"id":1,"name":"Subdivision","value":"EC"},{"id":4,"name":"Milepost","value":"23.3303"},{"id":17,"name":"Train ID","value":"103-09"},{"id":16,"name":"Locomotive ID","value":"4004"},{"id":130,"name":"Impact","value":""},{"id":150,"name":"Time of Event (Mountain Time)","value":"04:22:55"},{"id":151,"name":"Denver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4004 --day 2017-05-09</v>
      </c>
      <c r="AN15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10:22:55"},{"id":29,"name":"Sharepoint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560</v>
      </c>
      <c r="B16" s="7">
        <v>4003</v>
      </c>
      <c r="C16" s="21" t="s">
        <v>207</v>
      </c>
      <c r="D16" s="21" t="s">
        <v>818</v>
      </c>
      <c r="E16" s="13">
        <v>42864.188321759262</v>
      </c>
      <c r="F16" s="13">
        <v>42864.1953125</v>
      </c>
      <c r="G16" s="7">
        <v>1</v>
      </c>
      <c r="H16" s="21" t="s">
        <v>819</v>
      </c>
      <c r="I16" s="13">
        <v>42864.224305555559</v>
      </c>
      <c r="J16" s="7">
        <v>0</v>
      </c>
      <c r="K16" s="92" t="str">
        <f t="shared" si="0"/>
        <v>4003/4004</v>
      </c>
      <c r="L16" s="21" t="str">
        <f>VLOOKUP(A16,'Trips&amp;Operators'!$C$1:$G$99999,5,FALSE)</f>
        <v>SPECTOR MICHAEL</v>
      </c>
      <c r="M16" s="6">
        <f t="shared" si="1"/>
        <v>2.899305555911269E-2</v>
      </c>
      <c r="N16" s="7">
        <f t="shared" si="2"/>
        <v>41.750000005122274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-09T03:31:11-0600',mode:absolute,to:'2017-05-09T06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23.297699999999999</v>
      </c>
      <c r="Z16" s="192">
        <f t="shared" si="9"/>
        <v>0.18709999999999999</v>
      </c>
      <c r="AA16" s="192">
        <f t="shared" si="10"/>
        <v>23.110599999999998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0104-09</v>
      </c>
      <c r="AE16" s="80" t="str">
        <f t="shared" si="12"/>
        <v>aws s3 cp s3://rtdc.mdm.uploadarchive.raw/RTDC4003/ "%USERPROFILE%\AppData\Local\Temp\OnboardLogs"\RTDC4003\2017-05-09 --exclude "*" --recursive --include "*20170509*" &amp; "%USERPROFILE%\Documents\GitHub\mrs-test-scripts\Headless Mode &amp; Sideloading\WalkAndUnGZ.bat" "%USERPROFILE%\AppData\Local\Temp\OnboardLogs"\RTDC4003\2017-05-09 &amp; aws s3 cp s3://rtdc.mdm.uploadarchive.raw/RTDC4003/ "%USERPROFILE%\AppData\Local\Temp\OnboardLogs"\RTDC4003\2017-05-10 --exclude "*" --recursive --include "*20170510*" &amp; "%USERPROFILE%\Documents\GitHub\mrs-test-scripts\Headless Mode &amp; Sideloading\WalkAndUnGZ.bat" "%USERPROFILE%\AppData\Local\Temp\OnboardLogs"\RTDC4003\2017-05-10</v>
      </c>
      <c r="AF16" s="77" t="str">
        <f t="shared" si="13"/>
        <v>"C:\Program Files (x86)\AstroGrep\AstroGrep.exe" /e /r /s /spath="%USERPROFILE%\AppData\Local\Temp\OnboardLogs" /stypes="app*4003*20170509*"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104-09 --locoid 4003 --swversion DE.1.0.9.0 --startMP 204:232977 --initTime 2017-05-09T04:31:11 --startdatetime 2017-05-09T04:41:15 --delay 1 --endMP 204:1871 --enddatetime 2017-05-09T05:23:00 --enforcementcount 0 &gt;&gt;C:\Users\stu\Documents\GitHub\eaglep3-reporting\EC\2017-05-09-refined-times.txt</v>
      </c>
      <c r="AI16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{"issue":{"subject":"","project_id":79,"tracker_id":40,"status_id":1,"priority_id":2,"assigned_to_id":23,"start_date":"2017-05-09","description":"","custom_fields":[{"id":1,"name":"Subdivision","value":"EC"},{"id":4,"name":"Milepost","value":"0.1871"},{"id":17,"name":"Train ID","value":"104-09"},{"id":16,"name":"Locomotive ID","value":"4003"},{"id":130,"name":"Impact","value":""},{"id":150,"name":"Time of Event (Mountain Time)","value":"05:23:00"},{"id":151,"name":"Denver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4003 --day 2017-05-09</v>
      </c>
      <c r="AN16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11:23:00"},{"id":29,"name":"Sharepoint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559</v>
      </c>
      <c r="B17" s="7">
        <v>4052</v>
      </c>
      <c r="C17" s="21" t="s">
        <v>207</v>
      </c>
      <c r="D17" s="21" t="s">
        <v>820</v>
      </c>
      <c r="E17" s="13">
        <v>42864.175034722219</v>
      </c>
      <c r="F17" s="13">
        <v>42864.177627314813</v>
      </c>
      <c r="G17" s="7">
        <v>1</v>
      </c>
      <c r="H17" s="21" t="s">
        <v>404</v>
      </c>
      <c r="I17" s="13">
        <v>42864.203692129631</v>
      </c>
      <c r="J17" s="7">
        <v>0</v>
      </c>
      <c r="K17" s="92" t="str">
        <f t="shared" si="0"/>
        <v>4051/4052</v>
      </c>
      <c r="L17" s="21" t="str">
        <f>VLOOKUP(A17,'Trips&amp;Operators'!$C$1:$G$99999,5,FALSE)</f>
        <v>STARKS ANGELINA</v>
      </c>
      <c r="M17" s="6">
        <f t="shared" si="1"/>
        <v>2.6064814817800652E-2</v>
      </c>
      <c r="N17" s="7">
        <f t="shared" si="2"/>
        <v>37.533333337632939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-09T03:12:03-0600',mode:absolute,to:'2017-05-09T05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7.9200000000000007E-2</v>
      </c>
      <c r="Z17" s="192">
        <f t="shared" si="9"/>
        <v>23.331499999999998</v>
      </c>
      <c r="AA17" s="192">
        <f t="shared" si="10"/>
        <v>23.252299999999998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0105-09</v>
      </c>
      <c r="AE17" s="80" t="str">
        <f t="shared" si="12"/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AF17" s="77" t="str">
        <f t="shared" si="13"/>
        <v>"C:\Program Files (x86)\AstroGrep\AstroGrep.exe" /e /r /s /spath="%USERPROFILE%\AppData\Local\Temp\OnboardLogs" /stypes="app*4052*20170509*"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105-09 --locoid 4052 --swversion DE.1.0.9.0 --startMP 204:792 --initTime 2017-05-09T04:12:03 --startdatetime 2017-05-09T04:15:47 --delay 1 --endMP 204:233315 --enddatetime 2017-05-09T04:53:19 --enforcementcount 0 &gt;&gt;C:\Users\stu\Documents\GitHub\eaglep3-reporting\EC\2017-05-09-refined-times.txt</v>
      </c>
      <c r="AI17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{"issue":{"subject":"","project_id":79,"tracker_id":40,"status_id":1,"priority_id":2,"assigned_to_id":23,"start_date":"2017-05-09","description":"","custom_fields":[{"id":1,"name":"Subdivision","value":"EC"},{"id":4,"name":"Milepost","value":"23.3315"},{"id":17,"name":"Train ID","value":"105-09"},{"id":16,"name":"Locomotive ID","value":"4052"},{"id":130,"name":"Impact","value":""},{"id":150,"name":"Time of Event (Mountain Time)","value":"04:53:19"},{"id":151,"name":"Denver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4052 --day 2017-05-09</v>
      </c>
      <c r="AN17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10:53:19"},{"id":29,"name":"Sharepoint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563</v>
      </c>
      <c r="B18" s="7">
        <v>4031</v>
      </c>
      <c r="C18" s="21" t="s">
        <v>207</v>
      </c>
      <c r="D18" s="21" t="s">
        <v>821</v>
      </c>
      <c r="E18" s="13">
        <v>42864.215798611112</v>
      </c>
      <c r="F18" s="13">
        <v>42864.217060185183</v>
      </c>
      <c r="G18" s="7">
        <v>0</v>
      </c>
      <c r="H18" s="21" t="s">
        <v>365</v>
      </c>
      <c r="I18" s="13">
        <v>42864.244895833333</v>
      </c>
      <c r="J18" s="7">
        <v>0</v>
      </c>
      <c r="K18" s="92" t="str">
        <f t="shared" si="0"/>
        <v>4031/4032</v>
      </c>
      <c r="L18" s="21" t="str">
        <f>VLOOKUP(A18,'Trips&amp;Operators'!$C$1:$G$99999,5,FALSE)</f>
        <v>STARKS ANGELINA</v>
      </c>
      <c r="M18" s="6">
        <f t="shared" si="1"/>
        <v>2.7835648150357883E-2</v>
      </c>
      <c r="N18" s="7">
        <f t="shared" si="2"/>
        <v>40.083333336515352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-09T04:10:45-0600',mode:absolute,to:'2017-05-09T06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23.266200000000001</v>
      </c>
      <c r="Z18" s="192">
        <f t="shared" si="9"/>
        <v>1.43E-2</v>
      </c>
      <c r="AA18" s="192">
        <f t="shared" si="10"/>
        <v>23.251900000000003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0106-09</v>
      </c>
      <c r="AE18" s="80" t="str">
        <f t="shared" si="12"/>
        <v>aws s3 cp s3://rtdc.mdm.uploadarchive.raw/RTDC4031/ "%USERPROFILE%\AppData\Local\Temp\OnboardLogs"\RTDC4031\2017-05-09 --exclude "*" --recursive --include "*20170509*" &amp; "%USERPROFILE%\Documents\GitHub\mrs-test-scripts\Headless Mode &amp; Sideloading\WalkAndUnGZ.bat" "%USERPROFILE%\AppData\Local\Temp\OnboardLogs"\RTDC4031\2017-05-09 &amp; 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</v>
      </c>
      <c r="AF18" s="77" t="str">
        <f t="shared" si="13"/>
        <v>"C:\Program Files (x86)\AstroGrep\AstroGrep.exe" /e /r /s /spath="%USERPROFILE%\AppData\Local\Temp\OnboardLogs" /stypes="app*4031*20170509*"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106-09 --locoid 4031 --swversion DE.1.0.9.0 --startMP 204:232662 --initTime 2017-05-09T05:10:45 --startdatetime 2017-05-09T05:12:34 --delay 0 --endMP 204:143 --enddatetime 2017-05-09T05:52:39 --enforcementcount 0 &gt;&gt;C:\Users\stu\Documents\GitHub\eaglep3-reporting\EC\2017-05-09-refined-times.txt</v>
      </c>
      <c r="AI18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{"issue":{"subject":"","project_id":79,"tracker_id":40,"status_id":1,"priority_id":2,"assigned_to_id":23,"start_date":"2017-05-09","description":"","custom_fields":[{"id":1,"name":"Subdivision","value":"EC"},{"id":4,"name":"Milepost","value":"0.0143"},{"id":17,"name":"Train ID","value":"106-09"},{"id":16,"name":"Locomotive ID","value":"4031"},{"id":130,"name":"Impact","value":""},{"id":150,"name":"Time of Event (Mountain Time)","value":"05:52:39"},{"id":151,"name":"Denver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4031 --day 2017-05-09</v>
      </c>
      <c r="AN18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11:52:39"},{"id":29,"name":"Sharepoint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608</v>
      </c>
      <c r="B19" s="7">
        <v>4020</v>
      </c>
      <c r="C19" s="21" t="s">
        <v>207</v>
      </c>
      <c r="D19" s="21" t="s">
        <v>360</v>
      </c>
      <c r="E19" s="13">
        <v>42864.184074074074</v>
      </c>
      <c r="F19" s="13">
        <v>42864.187662037039</v>
      </c>
      <c r="G19" s="7">
        <v>1</v>
      </c>
      <c r="H19" s="21" t="s">
        <v>521</v>
      </c>
      <c r="I19" s="13">
        <v>42864.213136574072</v>
      </c>
      <c r="J19" s="7">
        <v>0</v>
      </c>
      <c r="K19" s="92" t="str">
        <f t="shared" si="0"/>
        <v>4019/4020</v>
      </c>
      <c r="L19" s="21" t="str">
        <f>VLOOKUP(A19,'Trips&amp;Operators'!$C$1:$G$99999,5,FALSE)</f>
        <v>BONDS REYNALDO</v>
      </c>
      <c r="M19" s="6">
        <f t="shared" si="1"/>
        <v>2.5474537033005618E-2</v>
      </c>
      <c r="N19" s="7">
        <f t="shared" si="2"/>
        <v>36.683333327528089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-09T03:25:04-0600',mode:absolute,to:'2017-05-09T06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4.58E-2</v>
      </c>
      <c r="Z19" s="192">
        <f t="shared" si="9"/>
        <v>23.327999999999999</v>
      </c>
      <c r="AA19" s="192">
        <f t="shared" si="10"/>
        <v>23.2822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0107-09</v>
      </c>
      <c r="AE19" s="80" t="str">
        <f t="shared" si="12"/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AF19" s="77" t="str">
        <f t="shared" si="13"/>
        <v>"C:\Program Files (x86)\AstroGrep\AstroGrep.exe" /e /r /s /spath="%USERPROFILE%\AppData\Local\Temp\OnboardLogs" /stypes="app*4020*20170509*"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107-09 --locoid 4020 --swversion DE.1.0.9.0 --startMP 204:458 --initTime 2017-05-09T04:25:04 --startdatetime 2017-05-09T04:30:14 --delay 1 --endMP 204:233280 --enddatetime 2017-05-09T05:06:55 --enforcementcount 0 &gt;&gt;C:\Users\stu\Documents\GitHub\eaglep3-reporting\EC\2017-05-09-refined-times.txt</v>
      </c>
      <c r="AI19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{"issue":{"subject":"","project_id":79,"tracker_id":40,"status_id":1,"priority_id":2,"assigned_to_id":23,"start_date":"2017-05-09","description":"","custom_fields":[{"id":1,"name":"Subdivision","value":"EC"},{"id":4,"name":"Milepost","value":"23.328"},{"id":17,"name":"Train ID","value":"107-09"},{"id":16,"name":"Locomotive ID","value":"4020"},{"id":130,"name":"Impact","value":""},{"id":150,"name":"Time of Event (Mountain Time)","value":"05:06:55"},{"id":151,"name":"Denver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4020 --day 2017-05-09</v>
      </c>
      <c r="AN19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11:06:55"},{"id":29,"name":"Sharepoint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620</v>
      </c>
      <c r="B20" s="7">
        <v>4019</v>
      </c>
      <c r="C20" s="21" t="s">
        <v>207</v>
      </c>
      <c r="D20" s="21" t="s">
        <v>522</v>
      </c>
      <c r="E20" s="13">
        <v>42864.222662037035</v>
      </c>
      <c r="F20" s="13">
        <v>42864.226701388892</v>
      </c>
      <c r="G20" s="7">
        <v>1</v>
      </c>
      <c r="H20" s="21" t="s">
        <v>357</v>
      </c>
      <c r="I20" s="13">
        <v>42864.254201388889</v>
      </c>
      <c r="J20" s="7">
        <v>0</v>
      </c>
      <c r="K20" s="92" t="str">
        <f t="shared" si="0"/>
        <v>4019/4020</v>
      </c>
      <c r="L20" s="21" t="str">
        <f>VLOOKUP(A20,'Trips&amp;Operators'!$C$1:$G$99999,5,FALSE)</f>
        <v>BONDS REYNALDO</v>
      </c>
      <c r="M20" s="6">
        <f t="shared" si="1"/>
        <v>2.749999999650754E-2</v>
      </c>
      <c r="N20" s="7">
        <f t="shared" si="2"/>
        <v>39.599999994970858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-09T04:20:38-0600',mode:absolute,to:'2017-05-09T07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23.2959</v>
      </c>
      <c r="Z20" s="192">
        <f t="shared" si="9"/>
        <v>1.6E-2</v>
      </c>
      <c r="AA20" s="192">
        <f t="shared" si="10"/>
        <v>23.279900000000001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0108-09</v>
      </c>
      <c r="AE20" s="80" t="str">
        <f t="shared" si="12"/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20" s="77" t="str">
        <f t="shared" si="13"/>
        <v>"C:\Program Files (x86)\AstroGrep\AstroGrep.exe" /e /r /s /spath="%USERPROFILE%\AppData\Local\Temp\OnboardLogs" /stypes="app*4019*20170509*"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108-09 --locoid 4019 --swversion DE.1.0.9.0 --startMP 204:232959 --initTime 2017-05-09T05:20:38 --startdatetime 2017-05-09T05:26:27 --delay 1 --endMP 204:160 --enddatetime 2017-05-09T06:06:03 --enforcementcount 0 &gt;&gt;C:\Users\stu\Documents\GitHub\eaglep3-reporting\EC\2017-05-09-refined-times.txt</v>
      </c>
      <c r="AI20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{"issue":{"subject":"","project_id":79,"tracker_id":40,"status_id":1,"priority_id":2,"assigned_to_id":23,"start_date":"2017-05-09","description":"","custom_fields":[{"id":1,"name":"Subdivision","value":"EC"},{"id":4,"name":"Milepost","value":"0.016"},{"id":17,"name":"Train ID","value":"108-09"},{"id":16,"name":"Locomotive ID","value":"4019"},{"id":130,"name":"Impact","value":""},{"id":150,"name":"Time of Event (Mountain Time)","value":"06:06:03"},{"id":151,"name":"Denver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4019 --day 2017-05-09</v>
      </c>
      <c r="AN20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609</v>
      </c>
      <c r="B21" s="7">
        <v>4010</v>
      </c>
      <c r="C21" s="21" t="s">
        <v>207</v>
      </c>
      <c r="D21" s="21" t="s">
        <v>375</v>
      </c>
      <c r="E21" s="13">
        <v>42864.195104166669</v>
      </c>
      <c r="F21" s="13">
        <v>42864.198067129626</v>
      </c>
      <c r="G21" s="7">
        <v>1</v>
      </c>
      <c r="H21" s="21" t="s">
        <v>822</v>
      </c>
      <c r="I21" s="13">
        <v>42864.22483796296</v>
      </c>
      <c r="J21" s="7">
        <v>0</v>
      </c>
      <c r="K21" s="92" t="str">
        <f t="shared" si="0"/>
        <v>4009/4010</v>
      </c>
      <c r="L21" s="21" t="str">
        <f>VLOOKUP(A21,'Trips&amp;Operators'!$C$1:$G$99999,5,FALSE)</f>
        <v>DAVIS WENDY</v>
      </c>
      <c r="M21" s="6">
        <f t="shared" si="1"/>
        <v>2.6770833334012423E-2</v>
      </c>
      <c r="N21" s="7">
        <f t="shared" si="2"/>
        <v>38.550000000977889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-09T03:40:57-0600',mode:absolute,to:'2017-05-09T06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4.53E-2</v>
      </c>
      <c r="Z21" s="192">
        <f t="shared" si="9"/>
        <v>23.333200000000001</v>
      </c>
      <c r="AA21" s="192">
        <f t="shared" si="10"/>
        <v>23.2879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0109-09</v>
      </c>
      <c r="AE21" s="80" t="str">
        <f t="shared" si="12"/>
        <v>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 &amp; aws s3 cp s3://rtdc.mdm.uploadarchive.raw/RTDC4010/ "%USERPROFILE%\AppData\Local\Temp\OnboardLogs"\RTDC4010\2017-05-10 --exclude "*" --recursive --include "*20170510*" &amp; "%USERPROFILE%\Documents\GitHub\mrs-test-scripts\Headless Mode &amp; Sideloading\WalkAndUnGZ.bat" "%USERPROFILE%\AppData\Local\Temp\OnboardLogs"\RTDC4010\2017-05-10</v>
      </c>
      <c r="AF21" s="77" t="str">
        <f t="shared" si="13"/>
        <v>"C:\Program Files (x86)\AstroGrep\AstroGrep.exe" /e /r /s /spath="%USERPROFILE%\AppData\Local\Temp\OnboardLogs" /stypes="app*4010*20170509*"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109-09 --locoid 4010 --swversion DE.1.0.9.0 --startMP 204:453 --initTime 2017-05-09T04:40:57 --startdatetime 2017-05-09T04:45:13 --delay 1 --endMP 204:233332 --enddatetime 2017-05-09T05:23:46 --enforcementcount 0 &gt;&gt;C:\Users\stu\Documents\GitHub\eaglep3-reporting\EC\2017-05-09-refined-times.txt</v>
      </c>
      <c r="AI21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{"issue":{"subject":"","project_id":79,"tracker_id":40,"status_id":1,"priority_id":2,"assigned_to_id":23,"start_date":"2017-05-09","description":"","custom_fields":[{"id":1,"name":"Subdivision","value":"EC"},{"id":4,"name":"Milepost","value":"23.3332"},{"id":17,"name":"Train ID","value":"109-09"},{"id":16,"name":"Locomotive ID","value":"4010"},{"id":130,"name":"Impact","value":""},{"id":150,"name":"Time of Event (Mountain Time)","value":"05:23:46"},{"id":151,"name":"Denver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4010 --day 2017-05-09</v>
      </c>
      <c r="AN21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11:23:46"},{"id":29,"name":"Sharepoint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621</v>
      </c>
      <c r="B22" s="7">
        <v>4009</v>
      </c>
      <c r="C22" s="21" t="s">
        <v>207</v>
      </c>
      <c r="D22" s="21" t="s">
        <v>515</v>
      </c>
      <c r="E22" s="13">
        <v>42864.233842592592</v>
      </c>
      <c r="F22" s="13">
        <v>42864.236979166664</v>
      </c>
      <c r="G22" s="7">
        <v>1</v>
      </c>
      <c r="H22" s="21" t="s">
        <v>356</v>
      </c>
      <c r="I22" s="13">
        <v>42864.264791666668</v>
      </c>
      <c r="J22" s="7">
        <v>0</v>
      </c>
      <c r="K22" s="92" t="str">
        <f t="shared" si="0"/>
        <v>4009/4010</v>
      </c>
      <c r="L22" s="21" t="str">
        <f>VLOOKUP(A22,'Trips&amp;Operators'!$C$1:$G$99999,5,FALSE)</f>
        <v>DAVIS WENDY</v>
      </c>
      <c r="M22" s="6">
        <f t="shared" si="1"/>
        <v>2.7812500004074536E-2</v>
      </c>
      <c r="N22" s="7">
        <f t="shared" si="2"/>
        <v>40.050000005867332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-09T04:36:44-0600',mode:absolute,to:'2017-05-09T07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23.300799999999999</v>
      </c>
      <c r="Z22" s="192">
        <f t="shared" si="9"/>
        <v>1.4500000000000001E-2</v>
      </c>
      <c r="AA22" s="192">
        <f t="shared" si="10"/>
        <v>23.286299999999997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0110-09</v>
      </c>
      <c r="AE22" s="80" t="str">
        <f t="shared" si="12"/>
        <v>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 &amp; aws s3 cp s3://rtdc.mdm.uploadarchive.raw/RTDC4009/ "%USERPROFILE%\AppData\Local\Temp\OnboardLogs"\RTDC4009\2017-05-10 --exclude "*" --recursive --include "*20170510*" &amp; "%USERPROFILE%\Documents\GitHub\mrs-test-scripts\Headless Mode &amp; Sideloading\WalkAndUnGZ.bat" "%USERPROFILE%\AppData\Local\Temp\OnboardLogs"\RTDC4009\2017-05-10</v>
      </c>
      <c r="AF22" s="77" t="str">
        <f t="shared" si="13"/>
        <v>"C:\Program Files (x86)\AstroGrep\AstroGrep.exe" /e /r /s /spath="%USERPROFILE%\AppData\Local\Temp\OnboardLogs" /stypes="app*4009*20170509*"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110-09 --locoid 4009 --swversion DE.1.0.9.0 --startMP 204:233008 --initTime 2017-05-09T05:36:44 --startdatetime 2017-05-09T05:41:15 --delay 1 --endMP 204:145 --enddatetime 2017-05-09T06:21:18 --enforcementcount 0 &gt;&gt;C:\Users\stu\Documents\GitHub\eaglep3-reporting\EC\2017-05-09-refined-times.txt</v>
      </c>
      <c r="AI22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{"issue":{"subject":"","project_id":79,"tracker_id":40,"status_id":1,"priority_id":2,"assigned_to_id":23,"start_date":"2017-05-09","description":"","custom_fields":[{"id":1,"name":"Subdivision","value":"EC"},{"id":4,"name":"Milepost","value":"0.0145"},{"id":17,"name":"Train ID","value":"110-09"},{"id":16,"name":"Locomotive ID","value":"4009"},{"id":130,"name":"Impact","value":""},{"id":150,"name":"Time of Event (Mountain Time)","value":"06:21:18"},{"id":151,"name":"Denver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4009 --day 2017-05-09</v>
      </c>
      <c r="AN22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614</v>
      </c>
      <c r="B23" s="7">
        <v>4008</v>
      </c>
      <c r="C23" s="21" t="s">
        <v>207</v>
      </c>
      <c r="D23" s="21" t="s">
        <v>823</v>
      </c>
      <c r="E23" s="13">
        <v>42864.206400462965</v>
      </c>
      <c r="F23" s="13">
        <v>42864.208715277775</v>
      </c>
      <c r="G23" s="7">
        <v>1</v>
      </c>
      <c r="H23" s="21" t="s">
        <v>427</v>
      </c>
      <c r="I23" s="13">
        <v>42864.233206018522</v>
      </c>
      <c r="J23" s="7">
        <v>0</v>
      </c>
      <c r="K23" s="92" t="str">
        <f t="shared" si="0"/>
        <v>4007/4008</v>
      </c>
      <c r="L23" s="21" t="str">
        <f>VLOOKUP(A23,'Trips&amp;Operators'!$C$1:$G$99999,5,FALSE)</f>
        <v>LOZA FIDEL</v>
      </c>
      <c r="M23" s="6">
        <f t="shared" si="1"/>
        <v>2.4490740746841766E-2</v>
      </c>
      <c r="N23" s="7">
        <f t="shared" si="2"/>
        <v>35.266666675452143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-09T03:57:13-0600',mode:absolute,to:'2017-05-09T06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8.0100000000000005E-2</v>
      </c>
      <c r="Z23" s="192">
        <f t="shared" si="9"/>
        <v>23.331800000000001</v>
      </c>
      <c r="AA23" s="192">
        <f t="shared" si="10"/>
        <v>23.2517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0111-09</v>
      </c>
      <c r="AE23" s="80" t="str">
        <f t="shared" si="12"/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23" s="77" t="str">
        <f t="shared" si="13"/>
        <v>"C:\Program Files (x86)\AstroGrep\AstroGrep.exe" /e /r /s /spath="%USERPROFILE%\AppData\Local\Temp\OnboardLogs" /stypes="app*4008*20170509*"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111-09 --locoid 4008 --swversion DE.1.0.9.0 --startMP 204:801 --initTime 2017-05-09T04:57:13 --startdatetime 2017-05-09T05:00:33 --delay 1 --endMP 204:233318 --enddatetime 2017-05-09T05:35:49 --enforcementcount 0 &gt;&gt;C:\Users\stu\Documents\GitHub\eaglep3-reporting\EC\2017-05-09-refined-times.txt</v>
      </c>
      <c r="AI23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{"issue":{"subject":"","project_id":79,"tracker_id":40,"status_id":1,"priority_id":2,"assigned_to_id":23,"start_date":"2017-05-09","description":"","custom_fields":[{"id":1,"name":"Subdivision","value":"EC"},{"id":4,"name":"Milepost","value":"23.3318"},{"id":17,"name":"Train ID","value":"111-09"},{"id":16,"name":"Locomotive ID","value":"4008"},{"id":130,"name":"Impact","value":""},{"id":150,"name":"Time of Event (Mountain Time)","value":"05:35:49"},{"id":151,"name":"Denver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4008 --day 2017-05-09</v>
      </c>
      <c r="AN23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622</v>
      </c>
      <c r="B24" s="7">
        <v>4007</v>
      </c>
      <c r="C24" s="21" t="s">
        <v>207</v>
      </c>
      <c r="D24" s="21" t="s">
        <v>507</v>
      </c>
      <c r="E24" s="13">
        <v>42864.244062500002</v>
      </c>
      <c r="F24" s="13">
        <v>42864.247395833336</v>
      </c>
      <c r="G24" s="7">
        <v>1</v>
      </c>
      <c r="H24" s="21" t="s">
        <v>382</v>
      </c>
      <c r="I24" s="13">
        <v>42864.273946759262</v>
      </c>
      <c r="J24" s="7">
        <v>0</v>
      </c>
      <c r="K24" s="92" t="str">
        <f t="shared" si="0"/>
        <v>4007/4008</v>
      </c>
      <c r="L24" s="21" t="str">
        <f>VLOOKUP(A24,'Trips&amp;Operators'!$C$1:$G$99999,5,FALSE)</f>
        <v>LOZA FIDEL</v>
      </c>
      <c r="M24" s="6">
        <f t="shared" si="1"/>
        <v>2.6550925926130731E-2</v>
      </c>
      <c r="N24" s="7">
        <f t="shared" si="2"/>
        <v>38.233333333628252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-09T04:51:27-0600',mode:absolute,to:'2017-05-09T07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23.299399999999999</v>
      </c>
      <c r="Z24" s="192">
        <f t="shared" si="9"/>
        <v>1.47E-2</v>
      </c>
      <c r="AA24" s="192">
        <f t="shared" si="10"/>
        <v>23.284699999999997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0112-09</v>
      </c>
      <c r="AE24" s="80" t="str">
        <f t="shared" si="12"/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AF24" s="77" t="str">
        <f t="shared" si="13"/>
        <v>"C:\Program Files (x86)\AstroGrep\AstroGrep.exe" /e /r /s /spath="%USERPROFILE%\AppData\Local\Temp\OnboardLogs" /stypes="app*4007*20170509*"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112-09 --locoid 4007 --swversion DE.1.0.9.0 --startMP 204:232994 --initTime 2017-05-09T05:51:27 --startdatetime 2017-05-09T05:56:15 --delay 1 --endMP 204:147 --enddatetime 2017-05-09T06:34:29 --enforcementcount 0 &gt;&gt;C:\Users\stu\Documents\GitHub\eaglep3-reporting\EC\2017-05-09-refined-times.txt</v>
      </c>
      <c r="AI24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{"issue":{"subject":"","project_id":79,"tracker_id":40,"status_id":1,"priority_id":2,"assigned_to_id":23,"start_date":"2017-05-09","description":"","custom_fields":[{"id":1,"name":"Subdivision","value":"EC"},{"id":4,"name":"Milepost","value":"0.0147"},{"id":17,"name":"Train ID","value":"112-09"},{"id":16,"name":"Locomotive ID","value":"4007"},{"id":130,"name":"Impact","value":""},{"id":150,"name":"Time of Event (Mountain Time)","value":"06:34:29"},{"id":151,"name":"Denver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4007 --day 2017-05-09</v>
      </c>
      <c r="AN24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613</v>
      </c>
      <c r="B25" s="7">
        <v>4030</v>
      </c>
      <c r="C25" s="21" t="s">
        <v>207</v>
      </c>
      <c r="D25" s="21" t="s">
        <v>824</v>
      </c>
      <c r="E25" s="13">
        <v>42864.205266203702</v>
      </c>
      <c r="F25" s="13">
        <v>42864.219270833331</v>
      </c>
      <c r="G25" s="7">
        <v>1</v>
      </c>
      <c r="H25" s="21" t="s">
        <v>397</v>
      </c>
      <c r="I25" s="13">
        <v>42864.244143518517</v>
      </c>
      <c r="J25" s="7">
        <v>0</v>
      </c>
      <c r="K25" s="92" t="str">
        <f t="shared" si="0"/>
        <v>4029/4030</v>
      </c>
      <c r="L25" s="21" t="str">
        <f>VLOOKUP(A25,'Trips&amp;Operators'!$C$1:$G$99999,5,FALSE)</f>
        <v>SANTIZO D. EDY</v>
      </c>
      <c r="M25" s="6">
        <f t="shared" si="1"/>
        <v>2.4872685185982846E-2</v>
      </c>
      <c r="N25" s="7">
        <f t="shared" si="2"/>
        <v>35.816666667815298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-09T03:55:35-0600',mode:absolute,to:'2017-05-09T06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4.3799999999999999E-2</v>
      </c>
      <c r="Z25" s="192">
        <f t="shared" si="9"/>
        <v>23.329799999999999</v>
      </c>
      <c r="AA25" s="192">
        <f t="shared" si="10"/>
        <v>23.285999999999998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0113-09</v>
      </c>
      <c r="AE25" s="80" t="str">
        <f t="shared" si="12"/>
        <v>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 &amp; 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</v>
      </c>
      <c r="AF25" s="77" t="str">
        <f t="shared" si="13"/>
        <v>"C:\Program Files (x86)\AstroGrep\AstroGrep.exe" /e /r /s /spath="%USERPROFILE%\AppData\Local\Temp\OnboardLogs" /stypes="app*4030*20170509*"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113-09 --locoid 4030 --swversion DE.1.0.9.0 --startMP 204:438 --initTime 2017-05-09T04:55:35 --startdatetime 2017-05-09T05:15:45 --delay 1 --endMP 204:233298 --enddatetime 2017-05-09T05:51:34 --enforcementcount 0 &gt;&gt;C:\Users\stu\Documents\GitHub\eaglep3-reporting\EC\2017-05-09-refined-times.txt</v>
      </c>
      <c r="AI25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{"issue":{"subject":"","project_id":79,"tracker_id":40,"status_id":1,"priority_id":2,"assigned_to_id":23,"start_date":"2017-05-09","description":"","custom_fields":[{"id":1,"name":"Subdivision","value":"EC"},{"id":4,"name":"Milepost","value":"23.3298"},{"id":17,"name":"Train ID","value":"113-09"},{"id":16,"name":"Locomotive ID","value":"4030"},{"id":130,"name":"Impact","value":""},{"id":150,"name":"Time of Event (Mountain Time)","value":"05:51:34"},{"id":151,"name":"Denver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4030 --day 2017-05-09</v>
      </c>
      <c r="AN25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623</v>
      </c>
      <c r="B26" s="7">
        <v>4029</v>
      </c>
      <c r="C26" s="21" t="s">
        <v>207</v>
      </c>
      <c r="D26" s="21" t="s">
        <v>433</v>
      </c>
      <c r="E26" s="13">
        <v>42864.245393518519</v>
      </c>
      <c r="F26" s="13">
        <v>42864.257824074077</v>
      </c>
      <c r="G26" s="7">
        <v>1</v>
      </c>
      <c r="H26" s="21" t="s">
        <v>363</v>
      </c>
      <c r="I26" s="13">
        <v>42864.284097222226</v>
      </c>
      <c r="J26" s="7">
        <v>0</v>
      </c>
      <c r="K26" s="92" t="str">
        <f t="shared" si="0"/>
        <v>4029/4030</v>
      </c>
      <c r="L26" s="21" t="str">
        <f>VLOOKUP(A26,'Trips&amp;Operators'!$C$1:$G$99999,5,FALSE)</f>
        <v>SANTIZO D. EDY</v>
      </c>
      <c r="M26" s="6">
        <f t="shared" si="1"/>
        <v>2.6273148148902692E-2</v>
      </c>
      <c r="N26" s="7">
        <f t="shared" si="2"/>
        <v>37.833333334419876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-09T04:53:22-0600',mode:absolute,to:'2017-05-09T07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23.299800000000001</v>
      </c>
      <c r="Z26" s="192">
        <f t="shared" si="9"/>
        <v>1.4999999999999999E-2</v>
      </c>
      <c r="AA26" s="192">
        <f t="shared" si="10"/>
        <v>23.284800000000001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0114-09</v>
      </c>
      <c r="AE26" s="80" t="str">
        <f t="shared" si="12"/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AF26" s="77" t="str">
        <f t="shared" si="13"/>
        <v>"C:\Program Files (x86)\AstroGrep\AstroGrep.exe" /e /r /s /spath="%USERPROFILE%\AppData\Local\Temp\OnboardLogs" /stypes="app*4029*20170509*"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114-09 --locoid 4029 --swversion DE.1.0.9.0 --startMP 204:232998 --initTime 2017-05-09T05:53:22 --startdatetime 2017-05-09T06:11:16 --delay 1 --endMP 204:150 --enddatetime 2017-05-09T06:49:06 --enforcementcount 0 &gt;&gt;C:\Users\stu\Documents\GitHub\eaglep3-reporting\EC\2017-05-09-refined-times.txt</v>
      </c>
      <c r="AI26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{"issue":{"subject":"","project_id":79,"tracker_id":40,"status_id":1,"priority_id":2,"assigned_to_id":23,"start_date":"2017-05-09","description":"","custom_fields":[{"id":1,"name":"Subdivision","value":"EC"},{"id":4,"name":"Milepost","value":"0.015"},{"id":17,"name":"Train ID","value":"114-09"},{"id":16,"name":"Locomotive ID","value":"4029"},{"id":130,"name":"Impact","value":""},{"id":150,"name":"Time of Event (Mountain Time)","value":"06:49:06"},{"id":151,"name":"Denver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4029 --day 2017-05-09</v>
      </c>
      <c r="AN26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617</v>
      </c>
      <c r="B27" s="7">
        <v>4046</v>
      </c>
      <c r="C27" s="21" t="s">
        <v>207</v>
      </c>
      <c r="D27" s="21" t="s">
        <v>825</v>
      </c>
      <c r="E27" s="13">
        <v>42864.221701388888</v>
      </c>
      <c r="F27" s="13">
        <v>42864.22934027778</v>
      </c>
      <c r="G27" s="7">
        <v>1</v>
      </c>
      <c r="H27" s="21" t="s">
        <v>826</v>
      </c>
      <c r="I27" s="13">
        <v>42864.253518518519</v>
      </c>
      <c r="J27" s="7">
        <v>0</v>
      </c>
      <c r="K27" s="92" t="str">
        <f t="shared" si="0"/>
        <v>4045/4046</v>
      </c>
      <c r="L27" s="21" t="str">
        <f>VLOOKUP(A27,'Trips&amp;Operators'!$C$1:$G$99999,5,FALSE)</f>
        <v>ROCHA YAOTL</v>
      </c>
      <c r="M27" s="6">
        <f t="shared" si="1"/>
        <v>2.417824073927477E-2</v>
      </c>
      <c r="N27" s="7">
        <f t="shared" si="2"/>
        <v>34.816666664555669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-09T04:19:15-0600',mode:absolute,to:'2017-05-09T07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7.6300000000000007E-2</v>
      </c>
      <c r="Z27" s="192">
        <f t="shared" si="9"/>
        <v>23.329899999999999</v>
      </c>
      <c r="AA27" s="192">
        <f t="shared" si="10"/>
        <v>23.253599999999999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0115-09</v>
      </c>
      <c r="AE27" s="80" t="str">
        <f t="shared" si="12"/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AF27" s="77" t="str">
        <f t="shared" si="13"/>
        <v>"C:\Program Files (x86)\AstroGrep\AstroGrep.exe" /e /r /s /spath="%USERPROFILE%\AppData\Local\Temp\OnboardLogs" /stypes="app*4046*20170509*"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115-09 --locoid 4046 --swversion DE.1.0.9.0 --startMP 204:763 --initTime 2017-05-09T05:19:15 --startdatetime 2017-05-09T05:30:15 --delay 1 --endMP 204:233299 --enddatetime 2017-05-09T06:05:04 --enforcementcount 0 &gt;&gt;C:\Users\stu\Documents\GitHub\eaglep3-reporting\EC\2017-05-09-refined-times.txt</v>
      </c>
      <c r="AI27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{"issue":{"subject":"","project_id":79,"tracker_id":40,"status_id":1,"priority_id":2,"assigned_to_id":23,"start_date":"2017-05-09","description":"","custom_fields":[{"id":1,"name":"Subdivision","value":"EC"},{"id":4,"name":"Milepost","value":"23.3299"},{"id":17,"name":"Train ID","value":"115-09"},{"id":16,"name":"Locomotive ID","value":"4046"},{"id":130,"name":"Impact","value":""},{"id":150,"name":"Time of Event (Mountain Time)","value":"06:05:04"},{"id":151,"name":"Denver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4046 --day 2017-05-09</v>
      </c>
      <c r="AN27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631</v>
      </c>
      <c r="B28" s="7">
        <v>4045</v>
      </c>
      <c r="C28" s="21" t="s">
        <v>207</v>
      </c>
      <c r="D28" s="21" t="s">
        <v>434</v>
      </c>
      <c r="E28" s="13">
        <v>42864.266921296294</v>
      </c>
      <c r="F28" s="13">
        <v>42864.268229166664</v>
      </c>
      <c r="G28" s="7">
        <v>0</v>
      </c>
      <c r="H28" s="21" t="s">
        <v>197</v>
      </c>
      <c r="I28" s="13">
        <v>42864.294270833336</v>
      </c>
      <c r="J28" s="7">
        <v>0</v>
      </c>
      <c r="K28" s="92" t="str">
        <f t="shared" si="0"/>
        <v>4045/4046</v>
      </c>
      <c r="L28" s="21" t="str">
        <f>VLOOKUP(A28,'Trips&amp;Operators'!$C$1:$G$99999,5,FALSE)</f>
        <v>ROCHA YAOTL</v>
      </c>
      <c r="M28" s="6">
        <f t="shared" si="1"/>
        <v>2.6041666671517305E-2</v>
      </c>
      <c r="N28" s="7">
        <f t="shared" si="2"/>
        <v>37.500000006984919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-09T05:24:22-0600',mode:absolute,to:'2017-05-09T08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23.299199999999999</v>
      </c>
      <c r="Z28" s="192">
        <f t="shared" si="9"/>
        <v>1.52E-2</v>
      </c>
      <c r="AA28" s="192">
        <f t="shared" si="10"/>
        <v>23.283999999999999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0116-09</v>
      </c>
      <c r="AE28" s="80" t="str">
        <f t="shared" si="12"/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AF28" s="77" t="str">
        <f t="shared" si="13"/>
        <v>"C:\Program Files (x86)\AstroGrep\AstroGrep.exe" /e /r /s /spath="%USERPROFILE%\AppData\Local\Temp\OnboardLogs" /stypes="app*4045*20170509*"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116-09 --locoid 4045 --swversion DE.1.0.9.0 --startMP 204:232992 --initTime 2017-05-09T06:24:22 --startdatetime 2017-05-09T06:26:15 --delay 0 --endMP 204:152 --enddatetime 2017-05-09T07:03:45 --enforcementcount 0 &gt;&gt;C:\Users\stu\Documents\GitHub\eaglep3-reporting\EC\2017-05-09-refined-times.txt</v>
      </c>
      <c r="AI28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{"issue":{"subject":"","project_id":79,"tracker_id":40,"status_id":1,"priority_id":2,"assigned_to_id":23,"start_date":"2017-05-09","description":"","custom_fields":[{"id":1,"name":"Subdivision","value":"EC"},{"id":4,"name":"Milepost","value":"0.0152"},{"id":17,"name":"Train ID","value":"116-09"},{"id":16,"name":"Locomotive ID","value":"4045"},{"id":130,"name":"Impact","value":""},{"id":150,"name":"Time of Event (Mountain Time)","value":"07:03:45"},{"id":151,"name":"Denver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4045 --day 2017-05-09</v>
      </c>
      <c r="AN28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567</v>
      </c>
      <c r="B29" s="7">
        <v>4012</v>
      </c>
      <c r="C29" s="21" t="s">
        <v>207</v>
      </c>
      <c r="D29" s="21" t="s">
        <v>827</v>
      </c>
      <c r="E29" s="13">
        <v>42864.226770833331</v>
      </c>
      <c r="F29" s="13">
        <v>42864.240208333336</v>
      </c>
      <c r="G29" s="7">
        <v>1</v>
      </c>
      <c r="H29" s="21" t="s">
        <v>828</v>
      </c>
      <c r="I29" s="13">
        <v>42864.265023148146</v>
      </c>
      <c r="J29" s="7">
        <v>0</v>
      </c>
      <c r="K29" s="92" t="str">
        <f t="shared" si="0"/>
        <v>4011/4012</v>
      </c>
      <c r="L29" s="21" t="str">
        <f>VLOOKUP(A29,'Trips&amp;Operators'!$C$1:$G$99999,5,FALSE)</f>
        <v>MAELZER KURT</v>
      </c>
      <c r="M29" s="6">
        <f t="shared" si="1"/>
        <v>2.4814814809360541E-2</v>
      </c>
      <c r="N29" s="7">
        <f t="shared" si="2"/>
        <v>35.73333332547918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-09T04:26:33-0600',mode:absolute,to:'2017-05-09T07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4.2000000000000003E-2</v>
      </c>
      <c r="Z29" s="192">
        <f t="shared" si="9"/>
        <v>23.3263</v>
      </c>
      <c r="AA29" s="192">
        <f t="shared" si="10"/>
        <v>23.284299999999998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0117-09</v>
      </c>
      <c r="AE29" s="80" t="str">
        <f t="shared" si="12"/>
        <v>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 &amp; 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</v>
      </c>
      <c r="AF29" s="77" t="str">
        <f t="shared" si="13"/>
        <v>"C:\Program Files (x86)\AstroGrep\AstroGrep.exe" /e /r /s /spath="%USERPROFILE%\AppData\Local\Temp\OnboardLogs" /stypes="app*4012*20170509*"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117-09 --locoid 4012 --swversion DE.1.0.9.0 --startMP 204:420 --initTime 2017-05-09T05:26:33 --startdatetime 2017-05-09T05:45:54 --delay 1 --endMP 204:233263 --enddatetime 2017-05-09T06:21:38 --enforcementcount 0 &gt;&gt;C:\Users\stu\Documents\GitHub\eaglep3-reporting\EC\2017-05-09-refined-times.txt</v>
      </c>
      <c r="AI29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{"issue":{"subject":"","project_id":79,"tracker_id":40,"status_id":1,"priority_id":2,"assigned_to_id":23,"start_date":"2017-05-09","description":"","custom_fields":[{"id":1,"name":"Subdivision","value":"EC"},{"id":4,"name":"Milepost","value":"23.3263"},{"id":17,"name":"Train ID","value":"117-09"},{"id":16,"name":"Locomotive ID","value":"4012"},{"id":130,"name":"Impact","value":""},{"id":150,"name":"Time of Event (Mountain Time)","value":"06:21:38"},{"id":151,"name":"Denver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4012 --day 2017-05-09</v>
      </c>
      <c r="AN29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632</v>
      </c>
      <c r="B30" s="7">
        <v>4011</v>
      </c>
      <c r="C30" s="21" t="s">
        <v>207</v>
      </c>
      <c r="D30" s="21" t="s">
        <v>829</v>
      </c>
      <c r="E30" s="13">
        <v>42864.275231481479</v>
      </c>
      <c r="F30" s="13">
        <v>42864.278958333336</v>
      </c>
      <c r="G30" s="7">
        <v>1</v>
      </c>
      <c r="H30" s="21" t="s">
        <v>379</v>
      </c>
      <c r="I30" s="13">
        <v>42864.305601851855</v>
      </c>
      <c r="J30" s="7">
        <v>0</v>
      </c>
      <c r="K30" s="92" t="str">
        <f t="shared" si="0"/>
        <v>4011/4012</v>
      </c>
      <c r="L30" s="21" t="str">
        <f>VLOOKUP(A30,'Trips&amp;Operators'!$C$1:$G$99999,5,FALSE)</f>
        <v>MAELZER KURT</v>
      </c>
      <c r="M30" s="6">
        <f t="shared" si="1"/>
        <v>2.6643518518540077E-2</v>
      </c>
      <c r="N30" s="7">
        <f t="shared" si="2"/>
        <v>38.366666666697711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-09T05:36:20-0600',mode:absolute,to:'2017-05-09T08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23.294699999999999</v>
      </c>
      <c r="Z30" s="192">
        <f t="shared" si="9"/>
        <v>1.3899999999999999E-2</v>
      </c>
      <c r="AA30" s="192">
        <f t="shared" si="10"/>
        <v>23.280799999999999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0118-09</v>
      </c>
      <c r="AE30" s="80" t="str">
        <f t="shared" si="12"/>
        <v>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 &amp; 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</v>
      </c>
      <c r="AF30" s="77" t="str">
        <f t="shared" si="13"/>
        <v>"C:\Program Files (x86)\AstroGrep\AstroGrep.exe" /e /r /s /spath="%USERPROFILE%\AppData\Local\Temp\OnboardLogs" /stypes="app*4011*20170509*"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118-09 --locoid 4011 --swversion DE.1.0.9.0 --startMP 204:232947 --initTime 2017-05-09T06:36:20 --startdatetime 2017-05-09T06:41:42 --delay 1 --endMP 204:139 --enddatetime 2017-05-09T07:20:04 --enforcementcount 0 &gt;&gt;C:\Users\stu\Documents\GitHub\eaglep3-reporting\EC\2017-05-09-refined-times.txt</v>
      </c>
      <c r="AI30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{"issue":{"subject":"","project_id":79,"tracker_id":40,"status_id":1,"priority_id":2,"assigned_to_id":23,"start_date":"2017-05-09","description":"","custom_fields":[{"id":1,"name":"Subdivision","value":"EC"},{"id":4,"name":"Milepost","value":"0.0139"},{"id":17,"name":"Train ID","value":"118-09"},{"id":16,"name":"Locomotive ID","value":"4011"},{"id":130,"name":"Impact","value":""},{"id":150,"name":"Time of Event (Mountain Time)","value":"07:20:04"},{"id":151,"name":"Denver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4011 --day 2017-05-09</v>
      </c>
      <c r="AN30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627</v>
      </c>
      <c r="B31" s="7">
        <v>4052</v>
      </c>
      <c r="C31" s="21" t="s">
        <v>207</v>
      </c>
      <c r="D31" s="21" t="s">
        <v>503</v>
      </c>
      <c r="E31" s="13">
        <v>42864.248506944445</v>
      </c>
      <c r="F31" s="13">
        <v>42864.250347222223</v>
      </c>
      <c r="G31" s="7">
        <v>1</v>
      </c>
      <c r="H31" s="21" t="s">
        <v>395</v>
      </c>
      <c r="I31" s="13">
        <v>42864.274861111109</v>
      </c>
      <c r="J31" s="7">
        <v>0</v>
      </c>
      <c r="K31" s="92" t="str">
        <f t="shared" si="0"/>
        <v>4051/4052</v>
      </c>
      <c r="L31" s="21" t="str">
        <f>VLOOKUP(A31,'Trips&amp;Operators'!$C$1:$G$99999,5,FALSE)</f>
        <v>STARKS ANGELINA</v>
      </c>
      <c r="M31" s="6">
        <f t="shared" si="1"/>
        <v>2.4513888885849155E-2</v>
      </c>
      <c r="N31" s="7">
        <f t="shared" si="2"/>
        <v>35.299999995622784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-09T04:57:51-0600',mode:absolute,to:'2017-05-09T07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7.8600000000000003E-2</v>
      </c>
      <c r="Z31" s="192">
        <f t="shared" si="9"/>
        <v>23.329699999999999</v>
      </c>
      <c r="AA31" s="192">
        <f t="shared" si="10"/>
        <v>23.251099999999997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0119-09</v>
      </c>
      <c r="AE31" s="80" t="str">
        <f t="shared" si="12"/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AF31" s="77" t="str">
        <f t="shared" si="13"/>
        <v>"C:\Program Files (x86)\AstroGrep\AstroGrep.exe" /e /r /s /spath="%USERPROFILE%\AppData\Local\Temp\OnboardLogs" /stypes="app*4052*20170509*"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119-09 --locoid 4052 --swversion DE.1.0.9.0 --startMP 204:786 --initTime 2017-05-09T05:57:51 --startdatetime 2017-05-09T06:00:30 --delay 1 --endMP 204:233297 --enddatetime 2017-05-09T06:35:48 --enforcementcount 0 &gt;&gt;C:\Users\stu\Documents\GitHub\eaglep3-reporting\EC\2017-05-09-refined-times.txt</v>
      </c>
      <c r="AI31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{"issue":{"subject":"","project_id":79,"tracker_id":40,"status_id":1,"priority_id":2,"assigned_to_id":23,"start_date":"2017-05-09","description":"","custom_fields":[{"id":1,"name":"Subdivision","value":"EC"},{"id":4,"name":"Milepost","value":"23.3297"},{"id":17,"name":"Train ID","value":"119-09"},{"id":16,"name":"Locomotive ID","value":"4052"},{"id":130,"name":"Impact","value":""},{"id":150,"name":"Time of Event (Mountain Time)","value":"06:35:48"},{"id":151,"name":"Denver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4052 --day 2017-05-09</v>
      </c>
      <c r="AN31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636</v>
      </c>
      <c r="B32" s="7">
        <v>4051</v>
      </c>
      <c r="C32" s="21" t="s">
        <v>207</v>
      </c>
      <c r="D32" s="21" t="s">
        <v>818</v>
      </c>
      <c r="E32" s="13">
        <v>42864.287708333337</v>
      </c>
      <c r="F32" s="13">
        <v>42864.2890625</v>
      </c>
      <c r="G32" s="7">
        <v>1</v>
      </c>
      <c r="H32" s="21" t="s">
        <v>364</v>
      </c>
      <c r="I32" s="13">
        <v>42864.317407407405</v>
      </c>
      <c r="J32" s="7">
        <v>0</v>
      </c>
      <c r="K32" s="92" t="str">
        <f t="shared" si="0"/>
        <v>4051/4052</v>
      </c>
      <c r="L32" s="21" t="str">
        <f>VLOOKUP(A32,'Trips&amp;Operators'!$C$1:$G$99999,5,FALSE)</f>
        <v>STARKS ANGELINA</v>
      </c>
      <c r="M32" s="6">
        <f t="shared" si="1"/>
        <v>2.8344907404971309E-2</v>
      </c>
      <c r="N32" s="7">
        <f t="shared" si="2"/>
        <v>40.816666663158685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-09T05:54:18-0600',mode:absolute,to:'2017-05-09T08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23.297699999999999</v>
      </c>
      <c r="Z32" s="192">
        <f t="shared" si="9"/>
        <v>1.49E-2</v>
      </c>
      <c r="AA32" s="192">
        <f t="shared" si="10"/>
        <v>23.282799999999998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0120-09</v>
      </c>
      <c r="AE32" s="80" t="str">
        <f t="shared" si="12"/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AF32" s="77" t="str">
        <f t="shared" si="13"/>
        <v>"C:\Program Files (x86)\AstroGrep\AstroGrep.exe" /e /r /s /spath="%USERPROFILE%\AppData\Local\Temp\OnboardLogs" /stypes="app*4051*20170509*"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120-09 --locoid 4051 --swversion DE.1.0.9.0 --startMP 204:232977 --initTime 2017-05-09T06:54:18 --startdatetime 2017-05-09T06:56:15 --delay 1 --endMP 204:149 --enddatetime 2017-05-09T07:37:04 --enforcementcount 0 &gt;&gt;C:\Users\stu\Documents\GitHub\eaglep3-reporting\EC\2017-05-09-refined-times.txt</v>
      </c>
      <c r="AI32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{"issue":{"subject":"","project_id":79,"tracker_id":40,"status_id":1,"priority_id":2,"assigned_to_id":23,"start_date":"2017-05-09","description":"","custom_fields":[{"id":1,"name":"Subdivision","value":"EC"},{"id":4,"name":"Milepost","value":"0.0149"},{"id":17,"name":"Train ID","value":"120-09"},{"id":16,"name":"Locomotive ID","value":"4051"},{"id":130,"name":"Impact","value":""},{"id":150,"name":"Time of Event (Mountain Time)","value":"07:37:04"},{"id":151,"name":"Denver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4051 --day 2017-05-09</v>
      </c>
      <c r="AN32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629</v>
      </c>
      <c r="B33" s="7">
        <v>4020</v>
      </c>
      <c r="C33" s="21" t="s">
        <v>207</v>
      </c>
      <c r="D33" s="21" t="s">
        <v>204</v>
      </c>
      <c r="E33" s="13">
        <v>42864.257106481484</v>
      </c>
      <c r="F33" s="13">
        <v>42864.260625000003</v>
      </c>
      <c r="G33" s="7">
        <v>1</v>
      </c>
      <c r="H33" s="21" t="s">
        <v>404</v>
      </c>
      <c r="I33" s="13">
        <v>42864.286226851851</v>
      </c>
      <c r="J33" s="7">
        <v>0</v>
      </c>
      <c r="K33" s="92" t="str">
        <f t="shared" si="0"/>
        <v>4019/4020</v>
      </c>
      <c r="L33" s="21" t="str">
        <f>VLOOKUP(A33,'Trips&amp;Operators'!$C$1:$G$99999,5,FALSE)</f>
        <v>BONDS REYNALDO</v>
      </c>
      <c r="M33" s="6">
        <f t="shared" si="1"/>
        <v>2.5601851848477963E-2</v>
      </c>
      <c r="N33" s="7">
        <f t="shared" si="2"/>
        <v>36.866666661808267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-09T05:10:14-0600',mode:absolute,to:'2017-05-09T07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4.5999999999999999E-2</v>
      </c>
      <c r="Z33" s="192">
        <f t="shared" si="9"/>
        <v>23.331499999999998</v>
      </c>
      <c r="AA33" s="192">
        <f t="shared" si="10"/>
        <v>23.285499999999999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0121-09</v>
      </c>
      <c r="AE33" s="80" t="str">
        <f t="shared" si="12"/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AF33" s="77" t="str">
        <f t="shared" si="13"/>
        <v>"C:\Program Files (x86)\AstroGrep\AstroGrep.exe" /e /r /s /spath="%USERPROFILE%\AppData\Local\Temp\OnboardLogs" /stypes="app*4020*20170509*"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121-09 --locoid 4020 --swversion DE.1.0.9.0 --startMP 204:460 --initTime 2017-05-09T06:10:14 --startdatetime 2017-05-09T06:15:18 --delay 1 --endMP 204:233315 --enddatetime 2017-05-09T06:52:10 --enforcementcount 0 &gt;&gt;C:\Users\stu\Documents\GitHub\eaglep3-reporting\EC\2017-05-09-refined-times.txt</v>
      </c>
      <c r="AI33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{"issue":{"subject":"","project_id":79,"tracker_id":40,"status_id":1,"priority_id":2,"assigned_to_id":23,"start_date":"2017-05-09","description":"","custom_fields":[{"id":1,"name":"Subdivision","value":"EC"},{"id":4,"name":"Milepost","value":"23.3315"},{"id":17,"name":"Train ID","value":"121-09"},{"id":16,"name":"Locomotive ID","value":"4020"},{"id":130,"name":"Impact","value":""},{"id":150,"name":"Time of Event (Mountain Time)","value":"06:52:10"},{"id":151,"name":"Denver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4020 --day 2017-05-09</v>
      </c>
      <c r="AN33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637</v>
      </c>
      <c r="B34" s="7">
        <v>4019</v>
      </c>
      <c r="C34" s="21" t="s">
        <v>207</v>
      </c>
      <c r="D34" s="21" t="s">
        <v>426</v>
      </c>
      <c r="E34" s="13">
        <v>42864.292083333334</v>
      </c>
      <c r="F34" s="13">
        <v>42864.299490740741</v>
      </c>
      <c r="G34" s="7">
        <v>1</v>
      </c>
      <c r="H34" s="21" t="s">
        <v>349</v>
      </c>
      <c r="I34" s="13">
        <v>42864.326747685183</v>
      </c>
      <c r="J34" s="7">
        <v>0</v>
      </c>
      <c r="K34" s="92" t="str">
        <f t="shared" si="0"/>
        <v>4019/4020</v>
      </c>
      <c r="L34" s="21" t="str">
        <f>VLOOKUP(A34,'Trips&amp;Operators'!$C$1:$G$99999,5,FALSE)</f>
        <v>BONDS REYNALDO</v>
      </c>
      <c r="M34" s="6">
        <f t="shared" si="1"/>
        <v>2.7256944442342501E-2</v>
      </c>
      <c r="N34" s="7">
        <f t="shared" si="2"/>
        <v>39.249999996973202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-09T06:00:36-0600',mode:absolute,to:'2017-05-09T08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23.3017</v>
      </c>
      <c r="Z34" s="192">
        <f t="shared" si="9"/>
        <v>1.38E-2</v>
      </c>
      <c r="AA34" s="192">
        <f t="shared" si="10"/>
        <v>23.2879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0122-09</v>
      </c>
      <c r="AE34" s="80" t="str">
        <f t="shared" si="12"/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34" s="77" t="str">
        <f t="shared" si="13"/>
        <v>"C:\Program Files (x86)\AstroGrep\AstroGrep.exe" /e /r /s /spath="%USERPROFILE%\AppData\Local\Temp\OnboardLogs" /stypes="app*4019*20170509*"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122-09 --locoid 4019 --swversion DE.1.0.9.0 --startMP 204:233017 --initTime 2017-05-09T07:00:36 --startdatetime 2017-05-09T07:11:16 --delay 1 --endMP 204:138 --enddatetime 2017-05-09T07:50:31 --enforcementcount 0 &gt;&gt;C:\Users\stu\Documents\GitHub\eaglep3-reporting\EC\2017-05-09-refined-times.txt</v>
      </c>
      <c r="AI34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{"issue":{"subject":"","project_id":79,"tracker_id":40,"status_id":1,"priority_id":2,"assigned_to_id":23,"start_date":"2017-05-09","description":"","custom_fields":[{"id":1,"name":"Subdivision","value":"EC"},{"id":4,"name":"Milepost","value":"0.0138"},{"id":17,"name":"Train ID","value":"122-09"},{"id":16,"name":"Locomotive ID","value":"4019"},{"id":130,"name":"Impact","value":""},{"id":150,"name":"Time of Event (Mountain Time)","value":"07:50:31"},{"id":151,"name":"Denver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4019 --day 2017-05-09</v>
      </c>
      <c r="AN34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568</v>
      </c>
      <c r="B35" s="7">
        <v>4010</v>
      </c>
      <c r="C35" s="21" t="s">
        <v>207</v>
      </c>
      <c r="D35" s="21" t="s">
        <v>348</v>
      </c>
      <c r="E35" s="13">
        <v>42864.267245370371</v>
      </c>
      <c r="F35" s="13">
        <v>42864.270983796298</v>
      </c>
      <c r="G35" s="7">
        <v>1</v>
      </c>
      <c r="H35" s="21" t="s">
        <v>383</v>
      </c>
      <c r="I35" s="13">
        <v>42864.297083333331</v>
      </c>
      <c r="J35" s="7">
        <v>0</v>
      </c>
      <c r="K35" s="92" t="str">
        <f t="shared" si="0"/>
        <v>4009/4010</v>
      </c>
      <c r="L35" s="21" t="str">
        <f>VLOOKUP(A35,'Trips&amp;Operators'!$C$1:$G$99999,5,FALSE)</f>
        <v>DAVIS WENDY</v>
      </c>
      <c r="M35" s="6">
        <f t="shared" si="1"/>
        <v>2.6099537033587694E-2</v>
      </c>
      <c r="N35" s="7">
        <f t="shared" si="2"/>
        <v>37.58333332836628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-09T05:24:50-0600',mode:absolute,to:'2017-05-09T08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4.4900000000000002E-2</v>
      </c>
      <c r="Z35" s="192">
        <f t="shared" si="9"/>
        <v>23.3291</v>
      </c>
      <c r="AA35" s="192">
        <f t="shared" si="10"/>
        <v>23.284200000000002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0123-09</v>
      </c>
      <c r="AE35" s="80" t="str">
        <f t="shared" si="12"/>
        <v>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 &amp; aws s3 cp s3://rtdc.mdm.uploadarchive.raw/RTDC4010/ "%USERPROFILE%\AppData\Local\Temp\OnboardLogs"\RTDC4010\2017-05-10 --exclude "*" --recursive --include "*20170510*" &amp; "%USERPROFILE%\Documents\GitHub\mrs-test-scripts\Headless Mode &amp; Sideloading\WalkAndUnGZ.bat" "%USERPROFILE%\AppData\Local\Temp\OnboardLogs"\RTDC4010\2017-05-10</v>
      </c>
      <c r="AF35" s="77" t="str">
        <f t="shared" si="13"/>
        <v>"C:\Program Files (x86)\AstroGrep\AstroGrep.exe" /e /r /s /spath="%USERPROFILE%\AppData\Local\Temp\OnboardLogs" /stypes="app*4010*20170509*"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123-09 --locoid 4010 --swversion DE.1.0.9.0 --startMP 204:449 --initTime 2017-05-09T06:24:50 --startdatetime 2017-05-09T06:30:13 --delay 1 --endMP 204:233291 --enddatetime 2017-05-09T07:07:48 --enforcementcount 0 &gt;&gt;C:\Users\stu\Documents\GitHub\eaglep3-reporting\EC\2017-05-09-refined-times.txt</v>
      </c>
      <c r="AI35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{"issue":{"subject":"","project_id":79,"tracker_id":40,"status_id":1,"priority_id":2,"assigned_to_id":23,"start_date":"2017-05-09","description":"","custom_fields":[{"id":1,"name":"Subdivision","value":"EC"},{"id":4,"name":"Milepost","value":"23.3291"},{"id":17,"name":"Train ID","value":"123-09"},{"id":16,"name":"Locomotive ID","value":"4010"},{"id":130,"name":"Impact","value":""},{"id":150,"name":"Time of Event (Mountain Time)","value":"07:07:48"},{"id":151,"name":"Denver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4010 --day 2017-05-09</v>
      </c>
      <c r="AN35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639</v>
      </c>
      <c r="B36" s="7">
        <v>4009</v>
      </c>
      <c r="C36" s="21" t="s">
        <v>207</v>
      </c>
      <c r="D36" s="21" t="s">
        <v>514</v>
      </c>
      <c r="E36" s="13">
        <v>42864.307106481479</v>
      </c>
      <c r="F36" s="13">
        <v>42864.309918981482</v>
      </c>
      <c r="G36" s="7">
        <v>1</v>
      </c>
      <c r="H36" s="21" t="s">
        <v>198</v>
      </c>
      <c r="I36" s="13">
        <v>42864.337500000001</v>
      </c>
      <c r="J36" s="7">
        <v>0</v>
      </c>
      <c r="K36" s="92" t="str">
        <f t="shared" si="0"/>
        <v>4009/4010</v>
      </c>
      <c r="L36" s="21" t="str">
        <f>VLOOKUP(A36,'Trips&amp;Operators'!$C$1:$G$99999,5,FALSE)</f>
        <v>DAVIS WENDY</v>
      </c>
      <c r="M36" s="6">
        <f t="shared" si="1"/>
        <v>2.7581018519413192E-2</v>
      </c>
      <c r="N36" s="7">
        <f t="shared" si="2"/>
        <v>39.716666667954996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-09T06:22:14-0600',mode:absolute,to:'2017-05-09T09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23.2986</v>
      </c>
      <c r="Z36" s="192">
        <f t="shared" si="9"/>
        <v>1.5800000000000002E-2</v>
      </c>
      <c r="AA36" s="192">
        <f t="shared" si="10"/>
        <v>23.282800000000002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0124-09</v>
      </c>
      <c r="AE36" s="80" t="str">
        <f t="shared" si="12"/>
        <v>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 &amp; aws s3 cp s3://rtdc.mdm.uploadarchive.raw/RTDC4009/ "%USERPROFILE%\AppData\Local\Temp\OnboardLogs"\RTDC4009\2017-05-10 --exclude "*" --recursive --include "*20170510*" &amp; "%USERPROFILE%\Documents\GitHub\mrs-test-scripts\Headless Mode &amp; Sideloading\WalkAndUnGZ.bat" "%USERPROFILE%\AppData\Local\Temp\OnboardLogs"\RTDC4009\2017-05-10</v>
      </c>
      <c r="AF36" s="77" t="str">
        <f t="shared" si="13"/>
        <v>"C:\Program Files (x86)\AstroGrep\AstroGrep.exe" /e /r /s /spath="%USERPROFILE%\AppData\Local\Temp\OnboardLogs" /stypes="app*4009*20170509*"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124-09 --locoid 4009 --swversion DE.1.0.9.0 --startMP 204:232986 --initTime 2017-05-09T07:22:14 --startdatetime 2017-05-09T07:26:17 --delay 1 --endMP 204:158 --enddatetime 2017-05-09T08:06:00 --enforcementcount 0 &gt;&gt;C:\Users\stu\Documents\GitHub\eaglep3-reporting\EC\2017-05-09-refined-times.txt</v>
      </c>
      <c r="AI36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{"issue":{"subject":"","project_id":79,"tracker_id":40,"status_id":1,"priority_id":2,"assigned_to_id":23,"start_date":"2017-05-09","description":"","custom_fields":[{"id":1,"name":"Subdivision","value":"EC"},{"id":4,"name":"Milepost","value":"0.0158"},{"id":17,"name":"Train ID","value":"124-09"},{"id":16,"name":"Locomotive ID","value":"4009"},{"id":130,"name":"Impact","value":""},{"id":150,"name":"Time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4009 --day 2017-05-09</v>
      </c>
      <c r="AN36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634</v>
      </c>
      <c r="B37" s="7">
        <v>4008</v>
      </c>
      <c r="C37" s="21" t="s">
        <v>207</v>
      </c>
      <c r="D37" s="21" t="s">
        <v>372</v>
      </c>
      <c r="E37" s="13">
        <v>42864.278402777774</v>
      </c>
      <c r="F37" s="13">
        <v>42864.281458333331</v>
      </c>
      <c r="G37" s="7">
        <v>1</v>
      </c>
      <c r="H37" s="21" t="s">
        <v>387</v>
      </c>
      <c r="I37" s="13">
        <v>42864.306226851855</v>
      </c>
      <c r="J37" s="7">
        <v>0</v>
      </c>
      <c r="K37" s="92" t="str">
        <f t="shared" si="0"/>
        <v>4007/4008</v>
      </c>
      <c r="L37" s="21" t="str">
        <f>VLOOKUP(A37,'Trips&amp;Operators'!$C$1:$G$99999,5,FALSE)</f>
        <v>LOZA FIDEL</v>
      </c>
      <c r="M37" s="6">
        <f t="shared" si="1"/>
        <v>2.4768518524069805E-2</v>
      </c>
      <c r="N37" s="7">
        <f t="shared" si="2"/>
        <v>35.666666674660519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-09T05:40:54-0600',mode:absolute,to:'2017-05-09T08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4.6399999999999997E-2</v>
      </c>
      <c r="Z37" s="192">
        <f t="shared" si="9"/>
        <v>23.331900000000001</v>
      </c>
      <c r="AA37" s="192">
        <f t="shared" si="10"/>
        <v>23.285500000000003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0125-09</v>
      </c>
      <c r="AE37" s="80" t="str">
        <f t="shared" si="12"/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37" s="77" t="str">
        <f t="shared" si="13"/>
        <v>"C:\Program Files (x86)\AstroGrep\AstroGrep.exe" /e /r /s /spath="%USERPROFILE%\AppData\Local\Temp\OnboardLogs" /stypes="app*4008*20170509*"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125-09 --locoid 4008 --swversion DE.1.0.9.0 --startMP 204:464 --initTime 2017-05-09T06:40:54 --startdatetime 2017-05-09T06:45:18 --delay 1 --endMP 204:233319 --enddatetime 2017-05-09T07:20:58 --enforcementcount 0 &gt;&gt;C:\Users\stu\Documents\GitHub\eaglep3-reporting\EC\2017-05-09-refined-times.txt</v>
      </c>
      <c r="AI37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{"issue":{"subject":"","project_id":79,"tracker_id":40,"status_id":1,"priority_id":2,"assigned_to_id":23,"start_date":"2017-05-09","description":"","custom_fields":[{"id":1,"name":"Subdivision","value":"EC"},{"id":4,"name":"Milepost","value":"23.3319"},{"id":17,"name":"Train ID","value":"125-09"},{"id":16,"name":"Locomotive ID","value":"4008"},{"id":130,"name":"Impact","value":""},{"id":150,"name":"Time of Event (Mountain Time)","value":"07:20:58"},{"id":151,"name":"Denver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4008 --day 2017-05-09</v>
      </c>
      <c r="AN37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641</v>
      </c>
      <c r="B38" s="7">
        <v>4007</v>
      </c>
      <c r="C38" s="21" t="s">
        <v>207</v>
      </c>
      <c r="D38" s="21" t="s">
        <v>830</v>
      </c>
      <c r="E38" s="13">
        <v>42864.316446759258</v>
      </c>
      <c r="F38" s="13">
        <v>42864.320543981485</v>
      </c>
      <c r="G38" s="7">
        <v>1</v>
      </c>
      <c r="H38" s="21" t="s">
        <v>365</v>
      </c>
      <c r="I38" s="13">
        <v>42864.346446759257</v>
      </c>
      <c r="J38" s="7">
        <v>0</v>
      </c>
      <c r="K38" s="92" t="str">
        <f t="shared" si="0"/>
        <v>4007/4008</v>
      </c>
      <c r="L38" s="21" t="str">
        <f>VLOOKUP(A38,'Trips&amp;Operators'!$C$1:$G$99999,5,FALSE)</f>
        <v>LOZA FIDEL</v>
      </c>
      <c r="M38" s="6">
        <f t="shared" si="1"/>
        <v>2.5902777771989349E-2</v>
      </c>
      <c r="N38" s="7">
        <f t="shared" si="2"/>
        <v>37.299999991664663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-09T06:35:41-0600',mode:absolute,to:'2017-05-09T09:18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23.2989</v>
      </c>
      <c r="Z38" s="192">
        <f t="shared" si="9"/>
        <v>1.43E-2</v>
      </c>
      <c r="AA38" s="192">
        <f t="shared" si="10"/>
        <v>23.284600000000001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0126-09</v>
      </c>
      <c r="AE38" s="80" t="str">
        <f t="shared" si="12"/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AF38" s="77" t="str">
        <f t="shared" si="13"/>
        <v>"C:\Program Files (x86)\AstroGrep\AstroGrep.exe" /e /r /s /spath="%USERPROFILE%\AppData\Local\Temp\OnboardLogs" /stypes="app*4007*20170509*"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126-09 --locoid 4007 --swversion DE.1.0.9.0 --startMP 204:232989 --initTime 2017-05-09T07:35:41 --startdatetime 2017-05-09T07:41:35 --delay 1 --endMP 204:143 --enddatetime 2017-05-09T08:18:53 --enforcementcount 0 &gt;&gt;C:\Users\stu\Documents\GitHub\eaglep3-reporting\EC\2017-05-09-refined-times.txt</v>
      </c>
      <c r="AI38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{"issue":{"subject":"","project_id":79,"tracker_id":40,"status_id":1,"priority_id":2,"assigned_to_id":23,"start_date":"2017-05-09","description":"","custom_fields":[{"id":1,"name":"Subdivision","value":"EC"},{"id":4,"name":"Milepost","value":"0.0143"},{"id":17,"name":"Train ID","value":"126-09"},{"id":16,"name":"Locomotive ID","value":"4007"},{"id":130,"name":"Impact","value":""},{"id":150,"name":"Time of Event (Mountain Time)","value":"08:18:53"},{"id":151,"name":"Denver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4007 --day 2017-05-09</v>
      </c>
      <c r="AN38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635</v>
      </c>
      <c r="B39" s="7">
        <v>4030</v>
      </c>
      <c r="C39" s="21" t="s">
        <v>207</v>
      </c>
      <c r="D39" s="21" t="s">
        <v>504</v>
      </c>
      <c r="E39" s="13">
        <v>42864.285381944443</v>
      </c>
      <c r="F39" s="13">
        <v>42864.291898148149</v>
      </c>
      <c r="G39" s="7">
        <v>1</v>
      </c>
      <c r="H39" s="21" t="s">
        <v>831</v>
      </c>
      <c r="I39" s="13">
        <v>42864.316400462965</v>
      </c>
      <c r="J39" s="7">
        <v>0</v>
      </c>
      <c r="K39" s="92" t="str">
        <f t="shared" si="0"/>
        <v>4029/4030</v>
      </c>
      <c r="L39" s="21" t="str">
        <f>VLOOKUP(A39,'Trips&amp;Operators'!$C$1:$G$99999,5,FALSE)</f>
        <v>SANTIZO D. EDY</v>
      </c>
      <c r="M39" s="6">
        <f t="shared" si="1"/>
        <v>2.4502314816345461E-2</v>
      </c>
      <c r="N39" s="7">
        <f t="shared" si="2"/>
        <v>35.283333335537463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-09T05:50:57-0600',mode:absolute,to:'2017-05-09T08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4.6199999999999998E-2</v>
      </c>
      <c r="Z39" s="192">
        <f t="shared" si="9"/>
        <v>23.331099999999999</v>
      </c>
      <c r="AA39" s="192">
        <f t="shared" si="10"/>
        <v>23.2849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0127-09</v>
      </c>
      <c r="AE39" s="80" t="str">
        <f t="shared" si="12"/>
        <v>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 &amp; 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</v>
      </c>
      <c r="AF39" s="77" t="str">
        <f t="shared" si="13"/>
        <v>"C:\Program Files (x86)\AstroGrep\AstroGrep.exe" /e /r /s /spath="%USERPROFILE%\AppData\Local\Temp\OnboardLogs" /stypes="app*4030*20170509*"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127-09 --locoid 4030 --swversion DE.1.0.9.0 --startMP 204:462 --initTime 2017-05-09T06:50:57 --startdatetime 2017-05-09T07:00:20 --delay 1 --endMP 204:233311 --enddatetime 2017-05-09T07:35:37 --enforcementcount 0 &gt;&gt;C:\Users\stu\Documents\GitHub\eaglep3-reporting\EC\2017-05-09-refined-times.txt</v>
      </c>
      <c r="AI39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{"issue":{"subject":"","project_id":79,"tracker_id":40,"status_id":1,"priority_id":2,"assigned_to_id":23,"start_date":"2017-05-09","description":"","custom_fields":[{"id":1,"name":"Subdivision","value":"EC"},{"id":4,"name":"Milepost","value":"23.3311"},{"id":17,"name":"Train ID","value":"127-09"},{"id":16,"name":"Locomotive ID","value":"4030"},{"id":130,"name":"Impact","value":""},{"id":150,"name":"Time of Event (Mountain Time)","value":"07:35:37"},{"id":151,"name":"Denver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4030 --day 2017-05-09</v>
      </c>
      <c r="AN39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573</v>
      </c>
      <c r="B40" s="7">
        <v>4029</v>
      </c>
      <c r="C40" s="21" t="s">
        <v>207</v>
      </c>
      <c r="D40" s="21" t="s">
        <v>514</v>
      </c>
      <c r="E40" s="13">
        <v>42864.317430555559</v>
      </c>
      <c r="F40" s="13">
        <v>42864.330787037034</v>
      </c>
      <c r="G40" s="7">
        <v>1</v>
      </c>
      <c r="H40" s="21" t="s">
        <v>356</v>
      </c>
      <c r="I40" s="13">
        <v>42864.358796296299</v>
      </c>
      <c r="J40" s="7">
        <v>0</v>
      </c>
      <c r="K40" s="92" t="str">
        <f t="shared" si="0"/>
        <v>4029/4030</v>
      </c>
      <c r="L40" s="21" t="str">
        <f>VLOOKUP(A40,'Trips&amp;Operators'!$C$1:$G$99999,5,FALSE)</f>
        <v>SANTIZO D. EDY</v>
      </c>
      <c r="M40" s="6">
        <f t="shared" si="1"/>
        <v>2.8009259265672881E-2</v>
      </c>
      <c r="N40" s="7">
        <f t="shared" si="2"/>
        <v>40.333333342568949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-09T06:37:06-0600',mode:absolute,to:'2017-05-09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23.2986</v>
      </c>
      <c r="Z40" s="192">
        <f t="shared" si="9"/>
        <v>1.4500000000000001E-2</v>
      </c>
      <c r="AA40" s="192">
        <f t="shared" si="10"/>
        <v>23.284099999999999</v>
      </c>
      <c r="AB40" s="57" t="str">
        <f>VLOOKUP(A40,Enforcements!$C$7:$K$13,8,0)</f>
        <v>Bulletin (2)</v>
      </c>
      <c r="AC40" s="53" t="str">
        <f>VLOOKUP(A40,Enforcements!$C$7:$E$13,3,0)</f>
        <v>GRADE CROSSING</v>
      </c>
      <c r="AD40" s="54" t="str">
        <f t="shared" si="11"/>
        <v>0128-09</v>
      </c>
      <c r="AE40" s="80" t="str">
        <f t="shared" si="12"/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AF40" s="77" t="str">
        <f t="shared" si="13"/>
        <v>"C:\Program Files (x86)\AstroGrep\AstroGrep.exe" /e /r /s /spath="%USERPROFILE%\AppData\Local\Temp\OnboardLogs" /stypes="app*4029*20170509*"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128-09 --locoid 4029 --swversion DE.1.0.9.0 --startMP 204:232986 --initTime 2017-05-09T07:37:06 --startdatetime 2017-05-09T07:56:20 --delay 1 --endMP 204:145 --enddatetime 2017-05-09T08:36:40 --enforcementcount 0 &gt;&gt;C:\Users\stu\Documents\GitHub\eaglep3-reporting\EC\2017-05-09-refined-times.txt</v>
      </c>
      <c r="AI40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{"issue":{"subject":"","project_id":79,"tracker_id":40,"status_id":1,"priority_id":2,"assigned_to_id":23,"start_date":"2017-05-09","description":"","custom_fields":[{"id":1,"name":"Subdivision","value":"EC"},{"id":4,"name":"Milepost","value":"0.0145"},{"id":17,"name":"Train ID","value":"128-09"},{"id":16,"name":"Locomotive ID","value":"4029"},{"id":130,"name":"Impact","value":""},{"id":150,"name":"Time of Event (Mountain Time)","value":"08:36:40"},{"id":151,"name":"Denver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4029 --day 2017-05-09</v>
      </c>
      <c r="AN40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570</v>
      </c>
      <c r="B41" s="7">
        <v>4046</v>
      </c>
      <c r="C41" s="21" t="s">
        <v>207</v>
      </c>
      <c r="D41" s="21" t="s">
        <v>504</v>
      </c>
      <c r="E41" s="13">
        <v>42864.298495370371</v>
      </c>
      <c r="F41" s="13">
        <v>42864.302372685182</v>
      </c>
      <c r="G41" s="7">
        <v>1</v>
      </c>
      <c r="H41" s="21" t="s">
        <v>424</v>
      </c>
      <c r="I41" s="13">
        <v>42864.326932870368</v>
      </c>
      <c r="J41" s="7">
        <v>0</v>
      </c>
      <c r="K41" s="92" t="str">
        <f t="shared" si="0"/>
        <v>4045/4046</v>
      </c>
      <c r="L41" s="21" t="str">
        <f>VLOOKUP(A41,'Trips&amp;Operators'!$C$1:$G$99999,5,FALSE)</f>
        <v>ROCHA YAOTL</v>
      </c>
      <c r="M41" s="6">
        <f t="shared" si="1"/>
        <v>2.4560185185691807E-2</v>
      </c>
      <c r="N41" s="7">
        <f t="shared" si="2"/>
        <v>35.366666667396203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-09T06:09:50-0600',mode:absolute,to:'2017-05-09T08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4.6199999999999998E-2</v>
      </c>
      <c r="Z41" s="192">
        <f t="shared" si="9"/>
        <v>23.331199999999999</v>
      </c>
      <c r="AA41" s="192">
        <f t="shared" si="10"/>
        <v>23.285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0129-09</v>
      </c>
      <c r="AE41" s="80" t="str">
        <f t="shared" si="12"/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AF41" s="77" t="str">
        <f t="shared" si="13"/>
        <v>"C:\Program Files (x86)\AstroGrep\AstroGrep.exe" /e /r /s /spath="%USERPROFILE%\AppData\Local\Temp\OnboardLogs" /stypes="app*4046*20170509*"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129-09 --locoid 4046 --swversion DE.1.0.9.0 --startMP 204:462 --initTime 2017-05-09T07:09:50 --startdatetime 2017-05-09T07:15:25 --delay 1 --endMP 204:233312 --enddatetime 2017-05-09T07:50:47 --enforcementcount 0 &gt;&gt;C:\Users\stu\Documents\GitHub\eaglep3-reporting\EC\2017-05-09-refined-times.txt</v>
      </c>
      <c r="AI41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{"issue":{"subject":"","project_id":79,"tracker_id":40,"status_id":1,"priority_id":2,"assigned_to_id":23,"start_date":"2017-05-09","description":"","custom_fields":[{"id":1,"name":"Subdivision","value":"EC"},{"id":4,"name":"Milepost","value":"23.3312"},{"id":17,"name":"Train ID","value":"129-09"},{"id":16,"name":"Locomotive ID","value":"4046"},{"id":130,"name":"Impact","value":""},{"id":150,"name":"Time of Event (Mountain Time)","value":"07:50:47"},{"id":151,"name":"Denver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4046 --day 2017-05-09</v>
      </c>
      <c r="AN41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646</v>
      </c>
      <c r="B42" s="7">
        <v>4045</v>
      </c>
      <c r="C42" s="21" t="s">
        <v>207</v>
      </c>
      <c r="D42" s="21" t="s">
        <v>512</v>
      </c>
      <c r="E42" s="13">
        <v>42864.339467592596</v>
      </c>
      <c r="F42" s="13">
        <v>42864.341180555559</v>
      </c>
      <c r="G42" s="7">
        <v>0</v>
      </c>
      <c r="H42" s="21" t="s">
        <v>381</v>
      </c>
      <c r="I42" s="13">
        <v>42864.366990740738</v>
      </c>
      <c r="J42" s="7">
        <v>0</v>
      </c>
      <c r="K42" s="92" t="str">
        <f t="shared" si="0"/>
        <v>4045/4046</v>
      </c>
      <c r="L42" s="21" t="str">
        <f>VLOOKUP(A42,'Trips&amp;Operators'!$C$1:$G$99999,5,FALSE)</f>
        <v>ROCHA YAOTL</v>
      </c>
      <c r="M42" s="6">
        <f t="shared" si="1"/>
        <v>2.5810185179580003E-2</v>
      </c>
      <c r="N42" s="7">
        <f t="shared" si="2"/>
        <v>37.166666658595204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-09T07:08:50-0600',mode:absolute,to:'2017-05-09T09:48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23.3002</v>
      </c>
      <c r="Z42" s="192">
        <f t="shared" si="9"/>
        <v>1.41E-2</v>
      </c>
      <c r="AA42" s="192">
        <f t="shared" si="10"/>
        <v>23.286100000000001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0130-09</v>
      </c>
      <c r="AE42" s="80" t="str">
        <f t="shared" si="12"/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AF42" s="77" t="str">
        <f t="shared" si="13"/>
        <v>"C:\Program Files (x86)\AstroGrep\AstroGrep.exe" /e /r /s /spath="%USERPROFILE%\AppData\Local\Temp\OnboardLogs" /stypes="app*4045*20170509*"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130-09 --locoid 4045 --swversion DE.1.0.9.0 --startMP 204:233002 --initTime 2017-05-09T08:08:50 --startdatetime 2017-05-09T08:11:18 --delay 0 --endMP 204:141 --enddatetime 2017-05-09T08:48:28 --enforcementcount 0 &gt;&gt;C:\Users\stu\Documents\GitHub\eaglep3-reporting\EC\2017-05-09-refined-times.txt</v>
      </c>
      <c r="AI42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{"issue":{"subject":"","project_id":79,"tracker_id":40,"status_id":1,"priority_id":2,"assigned_to_id":23,"start_date":"2017-05-09","description":"","custom_fields":[{"id":1,"name":"Subdivision","value":"EC"},{"id":4,"name":"Milepost","value":"0.0141"},{"id":17,"name":"Train ID","value":"130-09"},{"id":16,"name":"Locomotive ID","value":"4045"},{"id":130,"name":"Impact","value":""},{"id":150,"name":"Time of Event (Mountain Time)","value":"08:48:28"},{"id":151,"name":"Denver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4045 --day 2017-05-09</v>
      </c>
      <c r="AN42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14:48:28"},{"id":29,"name":"Sharepoint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640</v>
      </c>
      <c r="B43" s="7">
        <v>4012</v>
      </c>
      <c r="C43" s="21" t="s">
        <v>207</v>
      </c>
      <c r="D43" s="21" t="s">
        <v>354</v>
      </c>
      <c r="E43" s="13">
        <v>42864.310104166667</v>
      </c>
      <c r="F43" s="13">
        <v>42864.312754629631</v>
      </c>
      <c r="G43" s="7">
        <v>1</v>
      </c>
      <c r="H43" s="21" t="s">
        <v>371</v>
      </c>
      <c r="I43" s="13">
        <v>42864.337210648147</v>
      </c>
      <c r="J43" s="7">
        <v>0</v>
      </c>
      <c r="K43" s="92" t="str">
        <f t="shared" si="0"/>
        <v>4011/4012</v>
      </c>
      <c r="L43" s="21" t="str">
        <f>VLOOKUP(A43,'Trips&amp;Operators'!$C$1:$G$99999,5,FALSE)</f>
        <v>MAELZER KURT</v>
      </c>
      <c r="M43" s="6">
        <f t="shared" si="1"/>
        <v>2.4456018516502809E-2</v>
      </c>
      <c r="N43" s="7">
        <f t="shared" si="2"/>
        <v>35.216666663764045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-09T06:26:33-0600',mode:absolute,to:'2017-05-09T09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4.4600000000000001E-2</v>
      </c>
      <c r="Z43" s="192">
        <f t="shared" si="9"/>
        <v>23.331399999999999</v>
      </c>
      <c r="AA43" s="192">
        <f t="shared" si="10"/>
        <v>23.286799999999999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0131-09</v>
      </c>
      <c r="AE43" s="80" t="str">
        <f t="shared" si="12"/>
        <v>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 &amp; 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</v>
      </c>
      <c r="AF43" s="77" t="str">
        <f t="shared" si="13"/>
        <v>"C:\Program Files (x86)\AstroGrep\AstroGrep.exe" /e /r /s /spath="%USERPROFILE%\AppData\Local\Temp\OnboardLogs" /stypes="app*4012*20170509*"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131-09 --locoid 4012 --swversion DE.1.0.9.0 --startMP 204:446 --initTime 2017-05-09T07:26:33 --startdatetime 2017-05-09T07:30:22 --delay 1 --endMP 204:233314 --enddatetime 2017-05-09T08:05:35 --enforcementcount 0 &gt;&gt;C:\Users\stu\Documents\GitHub\eaglep3-reporting\EC\2017-05-09-refined-times.txt</v>
      </c>
      <c r="AI43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{"issue":{"subject":"","project_id":79,"tracker_id":40,"status_id":1,"priority_id":2,"assigned_to_id":23,"start_date":"2017-05-09","description":"","custom_fields":[{"id":1,"name":"Subdivision","value":"EC"},{"id":4,"name":"Milepost","value":"23.3314"},{"id":17,"name":"Train ID","value":"131-09"},{"id":16,"name":"Locomotive ID","value":"4012"},{"id":130,"name":"Impact","value":""},{"id":150,"name":"Time of Event (Mountain Time)","value":"08:05:35"},{"id":151,"name":"Denver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4012 --day 2017-05-09</v>
      </c>
      <c r="AN43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649</v>
      </c>
      <c r="B44" s="7">
        <v>4011</v>
      </c>
      <c r="C44" s="21" t="s">
        <v>207</v>
      </c>
      <c r="D44" s="21" t="s">
        <v>434</v>
      </c>
      <c r="E44" s="13">
        <v>42864.347893518519</v>
      </c>
      <c r="F44" s="13">
        <v>42864.351597222223</v>
      </c>
      <c r="G44" s="7">
        <v>1</v>
      </c>
      <c r="H44" s="21" t="s">
        <v>365</v>
      </c>
      <c r="I44" s="13">
        <v>42864.378657407404</v>
      </c>
      <c r="J44" s="7">
        <v>0</v>
      </c>
      <c r="K44" s="92" t="str">
        <f t="shared" si="0"/>
        <v>4011/4012</v>
      </c>
      <c r="L44" s="21" t="str">
        <f>VLOOKUP(A44,'Trips&amp;Operators'!$C$1:$G$99999,5,FALSE)</f>
        <v>MAELZER KURT</v>
      </c>
      <c r="M44" s="6">
        <f t="shared" si="1"/>
        <v>2.7060185180744156E-2</v>
      </c>
      <c r="N44" s="7">
        <f t="shared" si="2"/>
        <v>38.966666660271585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-09T07:20:58-0600',mode:absolute,to:'2017-05-09T10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23.299199999999999</v>
      </c>
      <c r="Z44" s="192">
        <f t="shared" si="9"/>
        <v>1.43E-2</v>
      </c>
      <c r="AA44" s="192">
        <f t="shared" si="10"/>
        <v>23.2849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0132-09</v>
      </c>
      <c r="AE44" s="80" t="str">
        <f t="shared" si="12"/>
        <v>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 &amp; 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</v>
      </c>
      <c r="AF44" s="77" t="str">
        <f t="shared" si="13"/>
        <v>"C:\Program Files (x86)\AstroGrep\AstroGrep.exe" /e /r /s /spath="%USERPROFILE%\AppData\Local\Temp\OnboardLogs" /stypes="app*4011*20170509*"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132-09 --locoid 4011 --swversion DE.1.0.9.0 --startMP 204:232992 --initTime 2017-05-09T08:20:58 --startdatetime 2017-05-09T08:26:18 --delay 1 --endMP 204:143 --enddatetime 2017-05-09T09:05:16 --enforcementcount 0 &gt;&gt;C:\Users\stu\Documents\GitHub\eaglep3-reporting\EC\2017-05-09-refined-times.txt</v>
      </c>
      <c r="AI44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{"issue":{"subject":"","project_id":79,"tracker_id":40,"status_id":1,"priority_id":2,"assigned_to_id":23,"start_date":"2017-05-09","description":"","custom_fields":[{"id":1,"name":"Subdivision","value":"EC"},{"id":4,"name":"Milepost","value":"0.0143"},{"id":17,"name":"Train ID","value":"132-09"},{"id":16,"name":"Locomotive ID","value":"4011"},{"id":130,"name":"Impact","value":""},{"id":150,"name":"Time of Event (Mountain Time)","value":"09:05:16"},{"id":151,"name":"Denver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4011 --day 2017-05-09</v>
      </c>
      <c r="AN44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15:05:16"},{"id":29,"name":"Sharepoint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572</v>
      </c>
      <c r="B45" s="7">
        <v>4052</v>
      </c>
      <c r="C45" s="21" t="s">
        <v>207</v>
      </c>
      <c r="D45" s="21" t="s">
        <v>504</v>
      </c>
      <c r="E45" s="13">
        <v>42864.319409722222</v>
      </c>
      <c r="F45" s="13">
        <v>42864.323182870372</v>
      </c>
      <c r="G45" s="7">
        <v>1</v>
      </c>
      <c r="H45" s="21" t="s">
        <v>371</v>
      </c>
      <c r="I45" s="13">
        <v>42864.348217592589</v>
      </c>
      <c r="J45" s="7">
        <v>0</v>
      </c>
      <c r="K45" s="92" t="str">
        <f t="shared" si="0"/>
        <v>4051/4052</v>
      </c>
      <c r="L45" s="21" t="str">
        <f>VLOOKUP(A45,'Trips&amp;Operators'!$C$1:$G$99999,5,FALSE)</f>
        <v>STARKS ANGELINA</v>
      </c>
      <c r="M45" s="6">
        <f t="shared" si="1"/>
        <v>2.5034722217242233E-2</v>
      </c>
      <c r="N45" s="7">
        <f t="shared" si="2"/>
        <v>36.049999992828816</v>
      </c>
      <c r="O45" s="7"/>
      <c r="P45" s="7"/>
      <c r="Q45" s="22"/>
      <c r="R45" s="190"/>
      <c r="S45" s="196">
        <f t="shared" si="3"/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-09T06:39:57-0600',mode:absolute,to:'2017-05-09T09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5" s="192" t="str">
        <f t="shared" si="6"/>
        <v>N</v>
      </c>
      <c r="X45" s="192">
        <f t="shared" ref="X45:X76" si="23">VALUE(LEFT(AD45,4))-VALUE(LEFT(AD44,4))</f>
        <v>1</v>
      </c>
      <c r="Y45" s="192">
        <f t="shared" si="8"/>
        <v>4.6199999999999998E-2</v>
      </c>
      <c r="Z45" s="192">
        <f t="shared" si="9"/>
        <v>23.331399999999999</v>
      </c>
      <c r="AA45" s="192">
        <f t="shared" si="10"/>
        <v>23.2852</v>
      </c>
      <c r="AB45" s="57" t="str">
        <f>VLOOKUP(A45,Enforcements!$C$7:$K$13,8,0)</f>
        <v>Bulletin (2)</v>
      </c>
      <c r="AC45" s="53" t="str">
        <f>VLOOKUP(A45,Enforcements!$C$7:$E$13,3,0)</f>
        <v>GRADE CROSSING</v>
      </c>
      <c r="AD45" s="54" t="str">
        <f t="shared" si="11"/>
        <v>0133-09</v>
      </c>
      <c r="AE45" s="80" t="str">
        <f t="shared" si="12"/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AF45" s="77" t="str">
        <f t="shared" si="13"/>
        <v>"C:\Program Files (x86)\AstroGrep\AstroGrep.exe" /e /r /s /spath="%USERPROFILE%\AppData\Local\Temp\OnboardLogs" /stypes="app*4052*20170509*"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133-09 --locoid 4052 --swversion DE.1.0.9.0 --startMP 204:462 --initTime 2017-05-09T07:39:57 --startdatetime 2017-05-09T07:45:23 --delay 1 --endMP 204:233314 --enddatetime 2017-05-09T08:21:26 --enforcementcount 0 &gt;&gt;C:\Users\stu\Documents\GitHub\eaglep3-reporting\EC\2017-05-09-refined-times.txt</v>
      </c>
      <c r="AI45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{"issue":{"subject":"","project_id":79,"tracker_id":40,"status_id":1,"priority_id":2,"assigned_to_id":23,"start_date":"2017-05-09","description":"","custom_fields":[{"id":1,"name":"Subdivision","value":"EC"},{"id":4,"name":"Milepost","value":"23.3314"},{"id":17,"name":"Train ID","value":"133-09"},{"id":16,"name":"Locomotive ID","value":"4052"},{"id":130,"name":"Impact","value":""},{"id":150,"name":"Time of Event (Mountain Time)","value":"08:21:26"},{"id":151,"name":"Denver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4052 --day 2017-05-09</v>
      </c>
      <c r="AN45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574</v>
      </c>
      <c r="B46" s="7">
        <v>4051</v>
      </c>
      <c r="C46" s="21" t="s">
        <v>207</v>
      </c>
      <c r="D46" s="21" t="s">
        <v>407</v>
      </c>
      <c r="E46" s="13">
        <v>42864.359282407408</v>
      </c>
      <c r="F46" s="13">
        <v>42864.360613425924</v>
      </c>
      <c r="G46" s="7">
        <v>1</v>
      </c>
      <c r="H46" s="21" t="s">
        <v>832</v>
      </c>
      <c r="I46" s="13">
        <v>42864.378877314812</v>
      </c>
      <c r="J46" s="7">
        <v>2</v>
      </c>
      <c r="K46" s="92" t="str">
        <f t="shared" si="0"/>
        <v>4051/4052</v>
      </c>
      <c r="L46" s="21" t="str">
        <f>VLOOKUP(A46,'Trips&amp;Operators'!$C$1:$G$99999,5,FALSE)</f>
        <v>STARKS ANGELINA</v>
      </c>
      <c r="M46" s="6">
        <f t="shared" si="1"/>
        <v>1.8263888887304347E-2</v>
      </c>
      <c r="N46" s="7"/>
      <c r="O46" s="7"/>
      <c r="P46" s="7">
        <f>24*60*SUM($M46:$M47)</f>
        <v>41.716666663996875</v>
      </c>
      <c r="Q46" s="22"/>
      <c r="R46" s="190" t="s">
        <v>554</v>
      </c>
      <c r="S46" s="196">
        <f>SUM(U46:U47)/IF(AG46="EC",12,1)</f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3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-09T07:37:22-0600',mode:absolute,to:'2017-05-09T10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6" s="192" t="str">
        <f t="shared" si="6"/>
        <v>Y</v>
      </c>
      <c r="X46" s="192">
        <f t="shared" si="23"/>
        <v>1</v>
      </c>
      <c r="Y46" s="192">
        <f t="shared" si="8"/>
        <v>23.3</v>
      </c>
      <c r="Z46" s="192">
        <f t="shared" si="9"/>
        <v>6.7319000000000004</v>
      </c>
      <c r="AA46" s="192">
        <f t="shared" si="10"/>
        <v>16.568100000000001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0134-09</v>
      </c>
      <c r="AE46" s="80" t="str">
        <f t="shared" si="12"/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AF46" s="77" t="str">
        <f t="shared" si="13"/>
        <v>"C:\Program Files (x86)\AstroGrep\AstroGrep.exe" /e /r /s /spath="%USERPROFILE%\AppData\Local\Temp\OnboardLogs" /stypes="app*4051*20170509*"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134-09 --locoid 4051 --swversion DE.1.0.9.0 --startMP 204:233000 --initTime 2017-05-09T08:37:22 --startdatetime 2017-05-09T08:39:17 --delay 1 --endMP 204:67319 --enddatetime 2017-05-09T09:05:35 --enforcementcount 2 &gt;&gt;C:\Users\stu\Documents\GitHub\eaglep3-reporting\EC\2017-05-09-refined-times.txt</v>
      </c>
      <c r="AI46" s="99" t="str">
        <f t="shared" si="20"/>
        <v>echo {"issue":{"subject":"Wi-MAX data drop","project_id":79,"tracker_id":40,"status_id":1,"priority_id":2,"assigned_to_id":23,"start_date":"2017-05-09","description":"","custom_fields":[{"id":1,"name":"Subdivision","value":"EC"},{"id":4,"name":"Milepost","value":"6.7319"},{"id":17,"name":"Train ID","value":"134-09"},{"id":16,"name":"Locomotive ID","value":"4051"},{"id":130,"name":"Impact","value":""},{"id":150,"name":"Time of Event (Mountain Time)","value":"09:05:35"},{"id":151,"name":"Denver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4051 --day 2017-05-09</v>
      </c>
      <c r="AN46" s="154" t="str">
        <f t="shared" si="22"/>
        <v>echo {"issue":{"subject":"Wi-MAX data drop","project_id":30,"tracker_id":4,"status_id":1,"priority_id":1,"assigned_to_id":10,"start_date":"2017-05-09","description":"","custom_fields":[{"id":30,"name":"Category","value":"Issue"},{"id":3,"name":"Functional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15:05:35"},{"id":29,"name":"Sharepoint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574</v>
      </c>
      <c r="B47" s="7">
        <v>4051</v>
      </c>
      <c r="C47" s="21" t="s">
        <v>207</v>
      </c>
      <c r="D47" s="21" t="s">
        <v>833</v>
      </c>
      <c r="E47" s="13">
        <v>42864.381562499999</v>
      </c>
      <c r="F47" s="13">
        <v>42864.382291666669</v>
      </c>
      <c r="G47" s="7">
        <v>1</v>
      </c>
      <c r="H47" s="21" t="s">
        <v>379</v>
      </c>
      <c r="I47" s="13">
        <v>42864.392997685187</v>
      </c>
      <c r="J47" s="7">
        <v>0</v>
      </c>
      <c r="K47" s="92" t="str">
        <f t="shared" si="0"/>
        <v>4051/4052</v>
      </c>
      <c r="L47" s="21" t="str">
        <f>VLOOKUP(A47,'Trips&amp;Operators'!$C$1:$G$99999,5,FALSE)</f>
        <v>STARKS ANGELINA</v>
      </c>
      <c r="M47" s="6">
        <f t="shared" si="1"/>
        <v>1.0706018518249039E-2</v>
      </c>
      <c r="N47" s="7"/>
      <c r="O47" s="7"/>
      <c r="P47" s="7"/>
      <c r="Q47" s="22"/>
      <c r="R47" s="190"/>
      <c r="S47" s="196"/>
      <c r="T47" s="190" t="str">
        <f t="shared" si="4"/>
        <v>Southbound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9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-09T08:09:27-0600',mode:absolute,to:'2017-05-09T10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7" s="192" t="str">
        <f t="shared" si="6"/>
        <v>Y</v>
      </c>
      <c r="X47" s="192">
        <f t="shared" si="23"/>
        <v>0</v>
      </c>
      <c r="Y47" s="192">
        <f t="shared" si="8"/>
        <v>6.4162999999999997</v>
      </c>
      <c r="Z47" s="192">
        <f t="shared" si="9"/>
        <v>1.3899999999999999E-2</v>
      </c>
      <c r="AA47" s="192">
        <f t="shared" si="10"/>
        <v>6.4024000000000001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0134-09</v>
      </c>
      <c r="AE47" s="80" t="str">
        <f t="shared" si="12"/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AF47" s="77" t="str">
        <f t="shared" si="13"/>
        <v>"C:\Program Files (x86)\AstroGrep\AstroGrep.exe" /e /r /s /spath="%USERPROFILE%\AppData\Local\Temp\OnboardLogs" /stypes="app*4051*20170509*" /stext=" 15:.+((SYSTEM_STATE.+slice.+state.+changed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134-09 --locoid 4051 --swversion DE.1.0.9.0 --startMP 204:64163 --initTime 2017-05-09T09:09:27 --startdatetime 2017-05-09T09:10:30 --delay 1 --endMP 204:139 --enddatetime 2017-05-09T09:25:55 --enforcementcount 0 &gt;&gt;C:\Users\stu\Documents\GitHub\eaglep3-reporting\EC\2017-05-09-refined-times.txt</v>
      </c>
      <c r="AI47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{"issue":{"subject":"","project_id":79,"tracker_id":40,"status_id":1,"priority_id":2,"assigned_to_id":23,"start_date":"2017-05-09","description":"","custom_fields":[{"id":1,"name":"Subdivision","value":"EC"},{"id":4,"name":"Milepost","value":"0.0139"},{"id":17,"name":"Train ID","value":"134-09"},{"id":16,"name":"Locomotive ID","value":"4051"},{"id":130,"name":"Impact","value":""},{"id":150,"name":"Time of Event (Mountain Time)","value":"09:25:55"},{"id":151,"name":"Denver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4051 --day 2017-05-09</v>
      </c>
      <c r="AN47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15:25:55"},{"id":29,"name":"Sharepoint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644</v>
      </c>
      <c r="B48" s="7">
        <v>4020</v>
      </c>
      <c r="C48" s="21" t="s">
        <v>207</v>
      </c>
      <c r="D48" s="21" t="s">
        <v>348</v>
      </c>
      <c r="E48" s="13">
        <v>42864.328460648147</v>
      </c>
      <c r="F48" s="13">
        <v>42864.334062499998</v>
      </c>
      <c r="G48" s="7">
        <v>1</v>
      </c>
      <c r="H48" s="21" t="s">
        <v>402</v>
      </c>
      <c r="I48" s="13">
        <v>42864.358969907407</v>
      </c>
      <c r="J48" s="7">
        <v>0</v>
      </c>
      <c r="K48" s="92" t="str">
        <f t="shared" si="0"/>
        <v>4019/4020</v>
      </c>
      <c r="L48" s="21" t="str">
        <f>VLOOKUP(A48,'Trips&amp;Operators'!$C$1:$G$99999,5,FALSE)</f>
        <v>BONDS REYNALDO</v>
      </c>
      <c r="M48" s="6">
        <f t="shared" si="1"/>
        <v>2.4907407409045845E-2</v>
      </c>
      <c r="N48" s="7">
        <f t="shared" ref="N48:N79" si="24">24*60*SUM($M48:$M48)</f>
        <v>35.866666669026017</v>
      </c>
      <c r="O48" s="7"/>
      <c r="P48" s="7"/>
      <c r="Q48" s="22"/>
      <c r="R48" s="190"/>
      <c r="S48" s="196">
        <f t="shared" ref="S48:S111" si="25">SUM(U48:U48)/IF(AG48="EC",12,1)</f>
        <v>1</v>
      </c>
      <c r="T48" s="190" t="str">
        <f t="shared" si="4"/>
        <v>NorthBound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-09T06:52:59-0600',mode:absolute,to:'2017-05-09T09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8" s="192" t="str">
        <f t="shared" si="6"/>
        <v>N</v>
      </c>
      <c r="X48" s="192">
        <f t="shared" si="23"/>
        <v>1</v>
      </c>
      <c r="Y48" s="192">
        <f t="shared" si="8"/>
        <v>4.4900000000000002E-2</v>
      </c>
      <c r="Z48" s="192">
        <f t="shared" si="9"/>
        <v>23.329499999999999</v>
      </c>
      <c r="AA48" s="192">
        <f t="shared" si="10"/>
        <v>23.284600000000001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0135-09</v>
      </c>
      <c r="AE48" s="80" t="str">
        <f t="shared" si="12"/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AF48" s="77" t="str">
        <f t="shared" si="13"/>
        <v>"C:\Program Files (x86)\AstroGrep\AstroGrep.exe" /e /r /s /spath="%USERPROFILE%\AppData\Local\Temp\OnboardLogs" /stypes="app*4020*20170509*" /stext=" 14:.+((SYSTEM_STATE.+slice.+state.+changed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135-09 --locoid 4020 --swversion DE.1.0.9.0 --startMP 204:449 --initTime 2017-05-09T07:52:59 --startdatetime 2017-05-09T08:01:03 --delay 1 --endMP 204:233295 --enddatetime 2017-05-09T08:36:55 --enforcementcount 0 &gt;&gt;C:\Users\stu\Documents\GitHub\eaglep3-reporting\EC\2017-05-09-refined-times.txt</v>
      </c>
      <c r="AI48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{"issue":{"subject":"","project_id":79,"tracker_id":40,"status_id":1,"priority_id":2,"assigned_to_id":23,"start_date":"2017-05-09","description":"","custom_fields":[{"id":1,"name":"Subdivision","value":"EC"},{"id":4,"name":"Milepost","value":"23.3295"},{"id":17,"name":"Train ID","value":"135-09"},{"id":16,"name":"Locomotive ID","value":"4020"},{"id":130,"name":"Impact","value":""},{"id":150,"name":"Time of Event (Mountain Time)","value":"08:36:55"},{"id":151,"name":"Denver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4020 --day 2017-05-09</v>
      </c>
      <c r="AN48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654</v>
      </c>
      <c r="B49" s="7">
        <v>4019</v>
      </c>
      <c r="C49" s="21" t="s">
        <v>207</v>
      </c>
      <c r="D49" s="21" t="s">
        <v>514</v>
      </c>
      <c r="E49" s="13">
        <v>42864.368796296294</v>
      </c>
      <c r="F49" s="13">
        <v>42864.372511574074</v>
      </c>
      <c r="G49" s="7">
        <v>1</v>
      </c>
      <c r="H49" s="21" t="s">
        <v>356</v>
      </c>
      <c r="I49" s="13">
        <v>42864.399745370371</v>
      </c>
      <c r="J49" s="7">
        <v>0</v>
      </c>
      <c r="K49" s="92" t="str">
        <f t="shared" si="0"/>
        <v>4019/4020</v>
      </c>
      <c r="L49" s="21" t="str">
        <f>VLOOKUP(A49,'Trips&amp;Operators'!$C$1:$G$99999,5,FALSE)</f>
        <v>BONDS REYNALDO</v>
      </c>
      <c r="M49" s="6">
        <f t="shared" si="1"/>
        <v>2.7233796296059154E-2</v>
      </c>
      <c r="N49" s="7">
        <f t="shared" si="24"/>
        <v>39.216666666325182</v>
      </c>
      <c r="O49" s="7"/>
      <c r="P49" s="7"/>
      <c r="Q49" s="22"/>
      <c r="R49" s="190"/>
      <c r="S49" s="196">
        <f t="shared" si="25"/>
        <v>1</v>
      </c>
      <c r="T49" s="190" t="str">
        <f t="shared" si="4"/>
        <v>Southbound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-09T07:51:04-0600',mode:absolute,to:'2017-05-09T10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9" s="192" t="str">
        <f t="shared" si="6"/>
        <v>N</v>
      </c>
      <c r="X49" s="192">
        <f t="shared" si="23"/>
        <v>1</v>
      </c>
      <c r="Y49" s="192">
        <f t="shared" si="8"/>
        <v>23.2986</v>
      </c>
      <c r="Z49" s="192">
        <f t="shared" si="9"/>
        <v>1.4500000000000001E-2</v>
      </c>
      <c r="AA49" s="192">
        <f t="shared" si="10"/>
        <v>23.284099999999999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0136-09</v>
      </c>
      <c r="AE49" s="80" t="str">
        <f t="shared" si="12"/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49" s="77" t="str">
        <f t="shared" si="13"/>
        <v>"C:\Program Files (x86)\AstroGrep\AstroGrep.exe" /e /r /s /spath="%USERPROFILE%\AppData\Local\Temp\OnboardLogs" /stypes="app*4019*20170509*" /stext=" 15:.+((SYSTEM_STATE.+slice.+state.+changed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136-09 --locoid 4019 --swversion DE.1.0.9.0 --startMP 204:232986 --initTime 2017-05-09T08:51:04 --startdatetime 2017-05-09T08:56:25 --delay 1 --endMP 204:145 --enddatetime 2017-05-09T09:35:38 --enforcementcount 0 &gt;&gt;C:\Users\stu\Documents\GitHub\eaglep3-reporting\EC\2017-05-09-refined-times.txt</v>
      </c>
      <c r="AI49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{"issue":{"subject":"","project_id":79,"tracker_id":40,"status_id":1,"priority_id":2,"assigned_to_id":23,"start_date":"2017-05-09","description":"","custom_fields":[{"id":1,"name":"Subdivision","value":"EC"},{"id":4,"name":"Milepost","value":"0.0145"},{"id":17,"name":"Train ID","value":"136-09"},{"id":16,"name":"Locomotive ID","value":"4019"},{"id":130,"name":"Impact","value":""},{"id":150,"name":"Time of Event (Mountain Time)","value":"09:35:38"},{"id":151,"name":"Denver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4019 --day 2017-05-09</v>
      </c>
      <c r="AN49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15:35:38"},{"id":29,"name":"Sharepoint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647</v>
      </c>
      <c r="B50" s="7">
        <v>4010</v>
      </c>
      <c r="C50" s="21" t="s">
        <v>207</v>
      </c>
      <c r="D50" s="21" t="s">
        <v>348</v>
      </c>
      <c r="E50" s="13">
        <v>42864.339942129627</v>
      </c>
      <c r="F50" s="13">
        <v>42864.342511574076</v>
      </c>
      <c r="G50" s="7">
        <v>1</v>
      </c>
      <c r="H50" s="21" t="s">
        <v>834</v>
      </c>
      <c r="I50" s="13">
        <v>42864.370057870372</v>
      </c>
      <c r="J50" s="7">
        <v>0</v>
      </c>
      <c r="K50" s="92" t="str">
        <f t="shared" si="0"/>
        <v>4009/4010</v>
      </c>
      <c r="L50" s="21" t="str">
        <f>VLOOKUP(A50,'Trips&amp;Operators'!$C$1:$G$99999,5,FALSE)</f>
        <v>DAVIS WENDY</v>
      </c>
      <c r="M50" s="6">
        <f t="shared" si="1"/>
        <v>2.7546296296350192E-2</v>
      </c>
      <c r="N50" s="7">
        <f t="shared" si="24"/>
        <v>39.666666666744277</v>
      </c>
      <c r="O50" s="7"/>
      <c r="P50" s="7"/>
      <c r="Q50" s="22"/>
      <c r="R50" s="190"/>
      <c r="S50" s="196">
        <f t="shared" si="25"/>
        <v>1</v>
      </c>
      <c r="T50" s="190" t="str">
        <f t="shared" si="4"/>
        <v>NorthBound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-09T07:09:31-0600',mode:absolute,to:'2017-05-09T09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0" s="192" t="str">
        <f t="shared" si="6"/>
        <v>N</v>
      </c>
      <c r="X50" s="192">
        <f t="shared" si="23"/>
        <v>1</v>
      </c>
      <c r="Y50" s="192">
        <f t="shared" si="8"/>
        <v>4.4900000000000002E-2</v>
      </c>
      <c r="Z50" s="192">
        <f t="shared" si="9"/>
        <v>23.3306</v>
      </c>
      <c r="AA50" s="192">
        <f t="shared" si="10"/>
        <v>23.285700000000002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0137-09</v>
      </c>
      <c r="AE50" s="80" t="str">
        <f t="shared" si="12"/>
        <v>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 &amp; aws s3 cp s3://rtdc.mdm.uploadarchive.raw/RTDC4010/ "%USERPROFILE%\AppData\Local\Temp\OnboardLogs"\RTDC4010\2017-05-10 --exclude "*" --recursive --include "*20170510*" &amp; "%USERPROFILE%\Documents\GitHub\mrs-test-scripts\Headless Mode &amp; Sideloading\WalkAndUnGZ.bat" "%USERPROFILE%\AppData\Local\Temp\OnboardLogs"\RTDC4010\2017-05-10</v>
      </c>
      <c r="AF50" s="77" t="str">
        <f t="shared" si="13"/>
        <v>"C:\Program Files (x86)\AstroGrep\AstroGrep.exe" /e /r /s /spath="%USERPROFILE%\AppData\Local\Temp\OnboardLogs" /stypes="app*4010*20170509*" /stext=" 14:.+((SYSTEM_STATE.+slice.+state.+changed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137-09 --locoid 4010 --swversion DE.1.0.9.0 --startMP 204:449 --initTime 2017-05-09T08:09:31 --startdatetime 2017-05-09T08:13:13 --delay 1 --endMP 204:233306 --enddatetime 2017-05-09T08:52:53 --enforcementcount 0 &gt;&gt;C:\Users\stu\Documents\GitHub\eaglep3-reporting\EC\2017-05-09-refined-times.txt</v>
      </c>
      <c r="AI50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{"issue":{"subject":"","project_id":79,"tracker_id":40,"status_id":1,"priority_id":2,"assigned_to_id":23,"start_date":"2017-05-09","description":"","custom_fields":[{"id":1,"name":"Subdivision","value":"EC"},{"id":4,"name":"Milepost","value":"23.3306"},{"id":17,"name":"Train ID","value":"137-09"},{"id":16,"name":"Locomotive ID","value":"4010"},{"id":130,"name":"Impact","value":""},{"id":150,"name":"Time of Event (Mountain Time)","value":"08:52:53"},{"id":151,"name":"Denver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4010 --day 2017-05-09</v>
      </c>
      <c r="AN50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656</v>
      </c>
      <c r="B51" s="7">
        <v>4009</v>
      </c>
      <c r="C51" s="21" t="s">
        <v>207</v>
      </c>
      <c r="D51" s="21" t="s">
        <v>835</v>
      </c>
      <c r="E51" s="13">
        <v>42864.379733796297</v>
      </c>
      <c r="F51" s="13">
        <v>42864.383125</v>
      </c>
      <c r="G51" s="7">
        <v>1</v>
      </c>
      <c r="H51" s="21" t="s">
        <v>356</v>
      </c>
      <c r="I51" s="13">
        <v>42864.413460648146</v>
      </c>
      <c r="J51" s="7">
        <v>0</v>
      </c>
      <c r="K51" s="92" t="str">
        <f t="shared" si="0"/>
        <v>4009/4010</v>
      </c>
      <c r="L51" s="21" t="str">
        <f>VLOOKUP(A51,'Trips&amp;Operators'!$C$1:$G$99999,5,FALSE)</f>
        <v>DAVIS WENDY</v>
      </c>
      <c r="M51" s="6">
        <f t="shared" si="1"/>
        <v>3.0335648145410232E-2</v>
      </c>
      <c r="N51" s="7">
        <f t="shared" si="24"/>
        <v>43.683333329390734</v>
      </c>
      <c r="O51" s="7"/>
      <c r="P51" s="7"/>
      <c r="Q51" s="22"/>
      <c r="R51" s="190"/>
      <c r="S51" s="196">
        <f t="shared" si="25"/>
        <v>1</v>
      </c>
      <c r="T51" s="190" t="str">
        <f t="shared" si="4"/>
        <v>Southbound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-09T08:06:49-0600',mode:absolute,to:'2017-05-09T10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1" s="192" t="str">
        <f t="shared" si="6"/>
        <v>N</v>
      </c>
      <c r="X51" s="192">
        <f t="shared" si="23"/>
        <v>1</v>
      </c>
      <c r="Y51" s="192">
        <f t="shared" si="8"/>
        <v>23.298500000000001</v>
      </c>
      <c r="Z51" s="192">
        <f t="shared" si="9"/>
        <v>1.4500000000000001E-2</v>
      </c>
      <c r="AA51" s="192">
        <f t="shared" si="10"/>
        <v>23.283999999999999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0138-09</v>
      </c>
      <c r="AE51" s="80" t="str">
        <f t="shared" si="12"/>
        <v>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 &amp; aws s3 cp s3://rtdc.mdm.uploadarchive.raw/RTDC4009/ "%USERPROFILE%\AppData\Local\Temp\OnboardLogs"\RTDC4009\2017-05-10 --exclude "*" --recursive --include "*20170510*" &amp; "%USERPROFILE%\Documents\GitHub\mrs-test-scripts\Headless Mode &amp; Sideloading\WalkAndUnGZ.bat" "%USERPROFILE%\AppData\Local\Temp\OnboardLogs"\RTDC4009\2017-05-10</v>
      </c>
      <c r="AF51" s="77" t="str">
        <f t="shared" si="13"/>
        <v>"C:\Program Files (x86)\AstroGrep\AstroGrep.exe" /e /r /s /spath="%USERPROFILE%\AppData\Local\Temp\OnboardLogs" /stypes="app*4009*20170509*"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138-09 --locoid 4009 --swversion DE.1.0.9.0 --startMP 204:232985 --initTime 2017-05-09T09:06:49 --startdatetime 2017-05-09T09:11:42 --delay 1 --endMP 204:145 --enddatetime 2017-05-09T09:55:23 --enforcementcount 0 &gt;&gt;C:\Users\stu\Documents\GitHub\eaglep3-reporting\EC\2017-05-09-refined-times.txt</v>
      </c>
      <c r="AI51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{"issue":{"subject":"","project_id":79,"tracker_id":40,"status_id":1,"priority_id":2,"assigned_to_id":23,"start_date":"2017-05-09","description":"","custom_fields":[{"id":1,"name":"Subdivision","value":"EC"},{"id":4,"name":"Milepost","value":"0.0145"},{"id":17,"name":"Train ID","value":"138-09"},{"id":16,"name":"Locomotive ID","value":"4009"},{"id":130,"name":"Impact","value":""},{"id":150,"name":"Time of Event (Mountain Time)","value":"09:55:23"},{"id":151,"name":"Denver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4009 --day 2017-05-09</v>
      </c>
      <c r="AN51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15:55:23"},{"id":29,"name":"Sharepoint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650</v>
      </c>
      <c r="B52" s="7">
        <v>4008</v>
      </c>
      <c r="C52" s="21" t="s">
        <v>207</v>
      </c>
      <c r="D52" s="21" t="s">
        <v>376</v>
      </c>
      <c r="E52" s="13">
        <v>42864.350636574076</v>
      </c>
      <c r="F52" s="13">
        <v>42864.35434027778</v>
      </c>
      <c r="G52" s="7">
        <v>2</v>
      </c>
      <c r="H52" s="21" t="s">
        <v>427</v>
      </c>
      <c r="I52" s="13">
        <v>42864.379444444443</v>
      </c>
      <c r="J52" s="7">
        <v>0</v>
      </c>
      <c r="K52" s="92" t="str">
        <f t="shared" si="0"/>
        <v>4007/4008</v>
      </c>
      <c r="L52" s="21" t="str">
        <f>VLOOKUP(A52,'Trips&amp;Operators'!$C$1:$G$99999,5,FALSE)</f>
        <v>LOZA FIDEL</v>
      </c>
      <c r="M52" s="6">
        <f t="shared" si="1"/>
        <v>2.5104166663368233E-2</v>
      </c>
      <c r="N52" s="7">
        <f t="shared" si="24"/>
        <v>36.149999995250255</v>
      </c>
      <c r="O52" s="7"/>
      <c r="P52" s="7"/>
      <c r="Q52" s="22"/>
      <c r="R52" s="190"/>
      <c r="S52" s="196">
        <f t="shared" si="25"/>
        <v>1</v>
      </c>
      <c r="T52" s="190" t="str">
        <f t="shared" si="4"/>
        <v>NorthBound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-09T07:24:55-0600',mode:absolute,to:'2017-05-09T10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192" t="str">
        <f t="shared" si="6"/>
        <v>N</v>
      </c>
      <c r="X52" s="192">
        <f t="shared" si="23"/>
        <v>1</v>
      </c>
      <c r="Y52" s="192">
        <f t="shared" si="8"/>
        <v>4.3999999999999997E-2</v>
      </c>
      <c r="Z52" s="192">
        <f t="shared" si="9"/>
        <v>23.331800000000001</v>
      </c>
      <c r="AA52" s="192">
        <f t="shared" si="10"/>
        <v>23.287800000000001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0139-09</v>
      </c>
      <c r="AE52" s="80" t="str">
        <f t="shared" si="12"/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52" s="77" t="str">
        <f t="shared" si="13"/>
        <v>"C:\Program Files (x86)\AstroGrep\AstroGrep.exe" /e /r /s /spath="%USERPROFILE%\AppData\Local\Temp\OnboardLogs" /stypes="app*4008*20170509*" /stext=" 15:.+((SYSTEM_STATE.+slice.+state.+changed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139-09 --locoid 4008 --swversion DE.1.0.9.0 --startMP 204:440 --initTime 2017-05-09T08:24:55 --startdatetime 2017-05-09T08:30:15 --delay 2 --endMP 204:233318 --enddatetime 2017-05-09T09:06:24 --enforcementcount 0 &gt;&gt;C:\Users\stu\Documents\GitHub\eaglep3-reporting\EC\2017-05-09-refined-times.txt</v>
      </c>
      <c r="AI52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{"issue":{"subject":"","project_id":79,"tracker_id":40,"status_id":1,"priority_id":2,"assigned_to_id":23,"start_date":"2017-05-09","description":"","custom_fields":[{"id":1,"name":"Subdivision","value":"EC"},{"id":4,"name":"Milepost","value":"23.3318"},{"id":17,"name":"Train ID","value":"139-09"},{"id":16,"name":"Locomotive ID","value":"4008"},{"id":130,"name":"Impact","value":""},{"id":150,"name":"Time of Event (Mountain Time)","value":"09:06:24"},{"id":151,"name":"Denver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4008 --day 2017-05-09</v>
      </c>
      <c r="AN52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15:06:24"},{"id":29,"name":"Sharepoint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576</v>
      </c>
      <c r="B53" s="7">
        <v>4007</v>
      </c>
      <c r="C53" s="21" t="s">
        <v>207</v>
      </c>
      <c r="D53" s="21" t="s">
        <v>836</v>
      </c>
      <c r="E53" s="13">
        <v>42864.390277777777</v>
      </c>
      <c r="F53" s="13">
        <v>42864.393587962964</v>
      </c>
      <c r="G53" s="7">
        <v>1</v>
      </c>
      <c r="H53" s="21" t="s">
        <v>349</v>
      </c>
      <c r="I53" s="13">
        <v>42864.422129629631</v>
      </c>
      <c r="J53" s="7">
        <v>0</v>
      </c>
      <c r="K53" s="92" t="str">
        <f t="shared" si="0"/>
        <v>4007/4008</v>
      </c>
      <c r="L53" s="21" t="str">
        <f>VLOOKUP(A53,'Trips&amp;Operators'!$C$1:$G$99999,5,FALSE)</f>
        <v>LOZA FIDEL</v>
      </c>
      <c r="M53" s="6">
        <f t="shared" si="1"/>
        <v>2.8541666666569654E-2</v>
      </c>
      <c r="N53" s="7">
        <f t="shared" si="24"/>
        <v>41.099999999860302</v>
      </c>
      <c r="O53" s="7"/>
      <c r="P53" s="7"/>
      <c r="Q53" s="22"/>
      <c r="R53" s="190"/>
      <c r="S53" s="196">
        <f t="shared" si="25"/>
        <v>1</v>
      </c>
      <c r="T53" s="190" t="str">
        <f t="shared" si="4"/>
        <v>Southbound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-09T08:22:00-0600',mode:absolute,to:'2017-05-09T11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92" t="str">
        <f t="shared" si="6"/>
        <v>N</v>
      </c>
      <c r="X53" s="192">
        <f t="shared" si="23"/>
        <v>1</v>
      </c>
      <c r="Y53" s="192">
        <f t="shared" si="8"/>
        <v>23.2988</v>
      </c>
      <c r="Z53" s="192">
        <f t="shared" si="9"/>
        <v>1.38E-2</v>
      </c>
      <c r="AA53" s="192">
        <f t="shared" si="10"/>
        <v>23.285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0140-09</v>
      </c>
      <c r="AE53" s="80" t="str">
        <f t="shared" si="12"/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AF53" s="77" t="str">
        <f t="shared" si="13"/>
        <v>"C:\Program Files (x86)\AstroGrep\AstroGrep.exe" /e /r /s /spath="%USERPROFILE%\AppData\Local\Temp\OnboardLogs" /stypes="app*4007*20170509*" /stext=" 16:.+((SYSTEM_STATE.+slice.+state.+changed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140-09 --locoid 4007 --swversion DE.1.0.9.0 --startMP 204:232988 --initTime 2017-05-09T09:22:00 --startdatetime 2017-05-09T09:26:46 --delay 1 --endMP 204:138 --enddatetime 2017-05-09T10:07:52 --enforcementcount 0 &gt;&gt;C:\Users\stu\Documents\GitHub\eaglep3-reporting\EC\2017-05-09-refined-times.txt</v>
      </c>
      <c r="AI53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{"issue":{"subject":"","project_id":79,"tracker_id":40,"status_id":1,"priority_id":2,"assigned_to_id":23,"start_date":"2017-05-09","description":"","custom_fields":[{"id":1,"name":"Subdivision","value":"EC"},{"id":4,"name":"Milepost","value":"0.0138"},{"id":17,"name":"Train ID","value":"140-09"},{"id":16,"name":"Locomotive ID","value":"4007"},{"id":130,"name":"Impact","value":""},{"id":150,"name":"Time of Event (Mountain Time)","value":"10:07:52"},{"id":151,"name":"Denver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4007 --day 2017-05-09</v>
      </c>
      <c r="AN53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16:07:52"},{"id":29,"name":"Sharepoint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653</v>
      </c>
      <c r="B54" s="7">
        <v>4030</v>
      </c>
      <c r="C54" s="21" t="s">
        <v>207</v>
      </c>
      <c r="D54" s="21" t="s">
        <v>354</v>
      </c>
      <c r="E54" s="13">
        <v>42864.361585648148</v>
      </c>
      <c r="F54" s="13">
        <v>42864.364722222221</v>
      </c>
      <c r="G54" s="7">
        <v>1</v>
      </c>
      <c r="H54" s="21" t="s">
        <v>837</v>
      </c>
      <c r="I54" s="13">
        <v>42864.389178240737</v>
      </c>
      <c r="J54" s="7">
        <v>0</v>
      </c>
      <c r="K54" s="92" t="str">
        <f t="shared" si="0"/>
        <v>4029/4030</v>
      </c>
      <c r="L54" s="21" t="str">
        <f>VLOOKUP(A54,'Trips&amp;Operators'!$C$1:$G$99999,5,FALSE)</f>
        <v>SANTIZO D. EDY</v>
      </c>
      <c r="M54" s="6">
        <f t="shared" si="1"/>
        <v>2.4456018516502809E-2</v>
      </c>
      <c r="N54" s="7">
        <f t="shared" si="24"/>
        <v>35.216666663764045</v>
      </c>
      <c r="O54" s="7"/>
      <c r="P54" s="7"/>
      <c r="Q54" s="22"/>
      <c r="R54" s="190"/>
      <c r="S54" s="196">
        <f t="shared" si="25"/>
        <v>1</v>
      </c>
      <c r="T54" s="190" t="str">
        <f t="shared" si="4"/>
        <v>NorthBound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-09T07:40:41-0600',mode:absolute,to:'2017-05-09T10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4" s="192" t="str">
        <f t="shared" si="6"/>
        <v>N</v>
      </c>
      <c r="X54" s="192">
        <f t="shared" si="23"/>
        <v>1</v>
      </c>
      <c r="Y54" s="192">
        <f t="shared" si="8"/>
        <v>4.4600000000000001E-2</v>
      </c>
      <c r="Z54" s="192">
        <f t="shared" si="9"/>
        <v>23.332899999999999</v>
      </c>
      <c r="AA54" s="192">
        <f t="shared" si="10"/>
        <v>23.2883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0141-09</v>
      </c>
      <c r="AE54" s="80" t="str">
        <f t="shared" si="12"/>
        <v>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 &amp; 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</v>
      </c>
      <c r="AF54" s="77" t="str">
        <f t="shared" si="13"/>
        <v>"C:\Program Files (x86)\AstroGrep\AstroGrep.exe" /e /r /s /spath="%USERPROFILE%\AppData\Local\Temp\OnboardLogs" /stypes="app*4030*20170509*" /stext=" 15:.+((SYSTEM_STATE.+slice.+state.+changed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141-09 --locoid 4030 --swversion DE.1.0.9.0 --startMP 204:446 --initTime 2017-05-09T08:40:41 --startdatetime 2017-05-09T08:45:12 --delay 1 --endMP 204:233329 --enddatetime 2017-05-09T09:20:25 --enforcementcount 0 &gt;&gt;C:\Users\stu\Documents\GitHub\eaglep3-reporting\EC\2017-05-09-refined-times.txt</v>
      </c>
      <c r="AI54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{"issue":{"subject":"","project_id":79,"tracker_id":40,"status_id":1,"priority_id":2,"assigned_to_id":23,"start_date":"2017-05-09","description":"","custom_fields":[{"id":1,"name":"Subdivision","value":"EC"},{"id":4,"name":"Milepost","value":"23.3329"},{"id":17,"name":"Train ID","value":"141-09"},{"id":16,"name":"Locomotive ID","value":"4030"},{"id":130,"name":"Impact","value":""},{"id":150,"name":"Time of Event (Mountain Time)","value":"09:20:25"},{"id":151,"name":"Denver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4030 --day 2017-05-09</v>
      </c>
      <c r="AN54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15:20:25"},{"id":29,"name":"Sharepoint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659</v>
      </c>
      <c r="B55" s="7">
        <v>4029</v>
      </c>
      <c r="C55" s="21" t="s">
        <v>207</v>
      </c>
      <c r="D55" s="21" t="s">
        <v>507</v>
      </c>
      <c r="E55" s="13">
        <v>42864.390266203707</v>
      </c>
      <c r="F55" s="13">
        <v>42864.40384259259</v>
      </c>
      <c r="G55" s="7">
        <v>1</v>
      </c>
      <c r="H55" s="21" t="s">
        <v>365</v>
      </c>
      <c r="I55" s="13">
        <v>42864.433217592596</v>
      </c>
      <c r="J55" s="7">
        <v>0</v>
      </c>
      <c r="K55" s="92" t="str">
        <f t="shared" si="0"/>
        <v>4029/4030</v>
      </c>
      <c r="L55" s="21" t="str">
        <f>VLOOKUP(A55,'Trips&amp;Operators'!$C$1:$G$99999,5,FALSE)</f>
        <v>SANTIZO D. EDY</v>
      </c>
      <c r="M55" s="6">
        <f t="shared" si="1"/>
        <v>2.9375000005529728E-2</v>
      </c>
      <c r="N55" s="7">
        <f t="shared" si="24"/>
        <v>42.300000007962808</v>
      </c>
      <c r="O55" s="7"/>
      <c r="P55" s="7"/>
      <c r="Q55" s="22"/>
      <c r="R55" s="190"/>
      <c r="S55" s="196">
        <f t="shared" si="25"/>
        <v>1</v>
      </c>
      <c r="T55" s="190" t="str">
        <f t="shared" si="4"/>
        <v>Southbound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-09T08:21:59-0600',mode:absolute,to:'2017-05-09T11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5" s="192" t="str">
        <f t="shared" si="6"/>
        <v>N</v>
      </c>
      <c r="X55" s="192">
        <f t="shared" si="23"/>
        <v>1</v>
      </c>
      <c r="Y55" s="192">
        <f t="shared" si="8"/>
        <v>23.299399999999999</v>
      </c>
      <c r="Z55" s="192">
        <f t="shared" si="9"/>
        <v>1.43E-2</v>
      </c>
      <c r="AA55" s="192">
        <f t="shared" si="10"/>
        <v>23.2851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0142-09</v>
      </c>
      <c r="AE55" s="80" t="str">
        <f t="shared" si="12"/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AF55" s="77" t="str">
        <f t="shared" si="13"/>
        <v>"C:\Program Files (x86)\AstroGrep\AstroGrep.exe" /e /r /s /spath="%USERPROFILE%\AppData\Local\Temp\OnboardLogs" /stypes="app*4029*20170509*" /stext=" 16:.+((SYSTEM_STATE.+slice.+state.+changed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142-09 --locoid 4029 --swversion DE.1.0.9.0 --startMP 204:232994 --initTime 2017-05-09T09:21:59 --startdatetime 2017-05-09T09:41:32 --delay 1 --endMP 204:143 --enddatetime 2017-05-09T10:23:50 --enforcementcount 0 &gt;&gt;C:\Users\stu\Documents\GitHub\eaglep3-reporting\EC\2017-05-09-refined-times.txt</v>
      </c>
      <c r="AI55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{"issue":{"subject":"","project_id":79,"tracker_id":40,"status_id":1,"priority_id":2,"assigned_to_id":23,"start_date":"2017-05-09","description":"","custom_fields":[{"id":1,"name":"Subdivision","value":"EC"},{"id":4,"name":"Milepost","value":"0.0143"},{"id":17,"name":"Train ID","value":"142-09"},{"id":16,"name":"Locomotive ID","value":"4029"},{"id":130,"name":"Impact","value":""},{"id":150,"name":"Time of Event (Mountain Time)","value":"10:23:50"},{"id":151,"name":"Denver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4029 --day 2017-05-09</v>
      </c>
      <c r="AN55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16:23:50"},{"id":29,"name":"Sharepoint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655</v>
      </c>
      <c r="B56" s="7">
        <v>4046</v>
      </c>
      <c r="C56" s="21" t="s">
        <v>207</v>
      </c>
      <c r="D56" s="21" t="s">
        <v>405</v>
      </c>
      <c r="E56" s="13">
        <v>42864.373402777775</v>
      </c>
      <c r="F56" s="13">
        <v>42864.375335648147</v>
      </c>
      <c r="G56" s="7">
        <v>1</v>
      </c>
      <c r="H56" s="21" t="s">
        <v>831</v>
      </c>
      <c r="I56" s="13">
        <v>42864.399328703701</v>
      </c>
      <c r="J56" s="7">
        <v>0</v>
      </c>
      <c r="K56" s="92" t="str">
        <f t="shared" si="0"/>
        <v>4045/4046</v>
      </c>
      <c r="L56" s="21" t="str">
        <f>VLOOKUP(A56,'Trips&amp;Operators'!$C$1:$G$99999,5,FALSE)</f>
        <v>ROCHA YAOTL</v>
      </c>
      <c r="M56" s="6">
        <f t="shared" si="1"/>
        <v>2.3993055554456078E-2</v>
      </c>
      <c r="N56" s="7">
        <f t="shared" si="24"/>
        <v>34.549999998416752</v>
      </c>
      <c r="O56" s="7"/>
      <c r="P56" s="7"/>
      <c r="Q56" s="22"/>
      <c r="R56" s="190"/>
      <c r="S56" s="196">
        <f t="shared" si="25"/>
        <v>1</v>
      </c>
      <c r="T56" s="190" t="str">
        <f t="shared" si="4"/>
        <v>NorthBound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-09T07:57:42-0600',mode:absolute,to:'2017-05-09T10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6" s="192" t="str">
        <f t="shared" si="6"/>
        <v>N</v>
      </c>
      <c r="X56" s="192">
        <f t="shared" si="23"/>
        <v>1</v>
      </c>
      <c r="Y56" s="192">
        <f t="shared" si="8"/>
        <v>4.5499999999999999E-2</v>
      </c>
      <c r="Z56" s="192">
        <f t="shared" si="9"/>
        <v>23.331099999999999</v>
      </c>
      <c r="AA56" s="192">
        <f t="shared" si="10"/>
        <v>23.285599999999999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0143-09</v>
      </c>
      <c r="AE56" s="80" t="str">
        <f t="shared" si="12"/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AF56" s="77" t="str">
        <f t="shared" si="13"/>
        <v>"C:\Program Files (x86)\AstroGrep\AstroGrep.exe" /e /r /s /spath="%USERPROFILE%\AppData\Local\Temp\OnboardLogs" /stypes="app*4046*20170509*" /stext=" 15:.+((SYSTEM_STATE.+slice.+state.+changed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143-09 --locoid 4046 --swversion DE.1.0.9.0 --startMP 204:455 --initTime 2017-05-09T08:57:42 --startdatetime 2017-05-09T09:00:29 --delay 1 --endMP 204:233311 --enddatetime 2017-05-09T09:35:02 --enforcementcount 0 &gt;&gt;C:\Users\stu\Documents\GitHub\eaglep3-reporting\EC\2017-05-09-refined-times.txt</v>
      </c>
      <c r="AI56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{"issue":{"subject":"","project_id":79,"tracker_id":40,"status_id":1,"priority_id":2,"assigned_to_id":23,"start_date":"2017-05-09","description":"","custom_fields":[{"id":1,"name":"Subdivision","value":"EC"},{"id":4,"name":"Milepost","value":"23.3311"},{"id":17,"name":"Train ID","value":"143-09"},{"id":16,"name":"Locomotive ID","value":"4046"},{"id":130,"name":"Impact","value":""},{"id":150,"name":"Time of Event (Mountain Time)","value":"09:35:02"},{"id":151,"name":"Denver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4046 --day 2017-05-09</v>
      </c>
      <c r="AN56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15:35:02"},{"id":29,"name":"Sharepoint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663</v>
      </c>
      <c r="B57" s="7">
        <v>4045</v>
      </c>
      <c r="C57" s="21" t="s">
        <v>207</v>
      </c>
      <c r="D57" s="21" t="s">
        <v>514</v>
      </c>
      <c r="E57" s="13">
        <v>42864.411944444444</v>
      </c>
      <c r="F57" s="13">
        <v>42864.414710648147</v>
      </c>
      <c r="G57" s="7">
        <v>1</v>
      </c>
      <c r="H57" s="21" t="s">
        <v>202</v>
      </c>
      <c r="I57" s="13">
        <v>42864.442141203705</v>
      </c>
      <c r="J57" s="7">
        <v>0</v>
      </c>
      <c r="K57" s="92" t="str">
        <f t="shared" si="0"/>
        <v>4045/4046</v>
      </c>
      <c r="L57" s="21" t="str">
        <f>VLOOKUP(A57,'Trips&amp;Operators'!$C$1:$G$99999,5,FALSE)</f>
        <v>ROCHA YAOTL</v>
      </c>
      <c r="M57" s="6">
        <f t="shared" si="1"/>
        <v>2.7430555557657499E-2</v>
      </c>
      <c r="N57" s="7">
        <f t="shared" si="24"/>
        <v>39.500000003026798</v>
      </c>
      <c r="O57" s="7"/>
      <c r="P57" s="7"/>
      <c r="Q57" s="22"/>
      <c r="R57" s="190"/>
      <c r="S57" s="196">
        <f t="shared" si="25"/>
        <v>1</v>
      </c>
      <c r="T57" s="190" t="str">
        <f t="shared" si="4"/>
        <v>Southbound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-09T08:53:12-0600',mode:absolute,to:'2017-05-09T11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7" s="192" t="str">
        <f t="shared" si="6"/>
        <v>N</v>
      </c>
      <c r="X57" s="192">
        <f t="shared" si="23"/>
        <v>1</v>
      </c>
      <c r="Y57" s="192">
        <f t="shared" si="8"/>
        <v>23.2986</v>
      </c>
      <c r="Z57" s="192">
        <f t="shared" si="9"/>
        <v>1.54E-2</v>
      </c>
      <c r="AA57" s="192">
        <f t="shared" si="10"/>
        <v>23.283200000000001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0144-09</v>
      </c>
      <c r="AE57" s="80" t="str">
        <f t="shared" si="12"/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AF57" s="77" t="str">
        <f t="shared" si="13"/>
        <v>"C:\Program Files (x86)\AstroGrep\AstroGrep.exe" /e /r /s /spath="%USERPROFILE%\AppData\Local\Temp\OnboardLogs" /stypes="app*4045*20170509*" /stext=" 16:.+((SYSTEM_STATE.+slice.+state.+changed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144-09 --locoid 4045 --swversion DE.1.0.9.0 --startMP 204:232986 --initTime 2017-05-09T09:53:12 --startdatetime 2017-05-09T09:57:11 --delay 1 --endMP 204:154 --enddatetime 2017-05-09T10:36:41 --enforcementcount 0 &gt;&gt;C:\Users\stu\Documents\GitHub\eaglep3-reporting\EC\2017-05-09-refined-times.txt</v>
      </c>
      <c r="AI57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{"issue":{"subject":"","project_id":79,"tracker_id":40,"status_id":1,"priority_id":2,"assigned_to_id":23,"start_date":"2017-05-09","description":"","custom_fields":[{"id":1,"name":"Subdivision","value":"EC"},{"id":4,"name":"Milepost","value":"0.0154"},{"id":17,"name":"Train ID","value":"144-09"},{"id":16,"name":"Locomotive ID","value":"4045"},{"id":130,"name":"Impact","value":""},{"id":150,"name":"Time of Event (Mountain Time)","value":"10:36:41"},{"id":151,"name":"Denver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4045 --day 2017-05-09</v>
      </c>
      <c r="AN57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16:36:41"},{"id":29,"name":"Sharepoint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657</v>
      </c>
      <c r="B58" s="7">
        <v>4012</v>
      </c>
      <c r="C58" s="21" t="s">
        <v>207</v>
      </c>
      <c r="D58" s="21" t="s">
        <v>428</v>
      </c>
      <c r="E58" s="13">
        <v>42864.382511574076</v>
      </c>
      <c r="F58" s="13">
        <v>42864.385671296295</v>
      </c>
      <c r="G58" s="7">
        <v>1</v>
      </c>
      <c r="H58" s="21" t="s">
        <v>838</v>
      </c>
      <c r="I58" s="13">
        <v>42864.414074074077</v>
      </c>
      <c r="J58" s="7">
        <v>0</v>
      </c>
      <c r="K58" s="92" t="str">
        <f t="shared" si="0"/>
        <v>4011/4012</v>
      </c>
      <c r="L58" s="21" t="str">
        <f>VLOOKUP(A58,'Trips&amp;Operators'!$C$1:$G$99999,5,FALSE)</f>
        <v>MAELZER KURT</v>
      </c>
      <c r="M58" s="6">
        <f t="shared" si="1"/>
        <v>2.8402777781593613E-2</v>
      </c>
      <c r="N58" s="7">
        <f t="shared" si="24"/>
        <v>40.900000005494803</v>
      </c>
      <c r="O58" s="7"/>
      <c r="P58" s="7"/>
      <c r="Q58" s="22"/>
      <c r="R58" s="190"/>
      <c r="S58" s="196">
        <f t="shared" si="25"/>
        <v>1</v>
      </c>
      <c r="T58" s="190" t="str">
        <f t="shared" si="4"/>
        <v>NorthBound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-09T08:10:49-0600',mode:absolute,to:'2017-05-09T10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8" s="192" t="str">
        <f t="shared" si="6"/>
        <v>N</v>
      </c>
      <c r="X58" s="192">
        <f t="shared" si="23"/>
        <v>1</v>
      </c>
      <c r="Y58" s="192">
        <f t="shared" si="8"/>
        <v>4.6699999999999998E-2</v>
      </c>
      <c r="Z58" s="192">
        <f t="shared" si="9"/>
        <v>23.330200000000001</v>
      </c>
      <c r="AA58" s="192">
        <f t="shared" si="10"/>
        <v>23.2835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0145-09</v>
      </c>
      <c r="AE58" s="80" t="str">
        <f t="shared" si="12"/>
        <v>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 &amp; 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</v>
      </c>
      <c r="AF58" s="77" t="str">
        <f t="shared" si="13"/>
        <v>"C:\Program Files (x86)\AstroGrep\AstroGrep.exe" /e /r /s /spath="%USERPROFILE%\AppData\Local\Temp\OnboardLogs" /stypes="app*4012*20170509*" /stext=" 15:.+((SYSTEM_STATE.+slice.+state.+changed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145-09 --locoid 4012 --swversion DE.1.0.9.0 --startMP 204:467 --initTime 2017-05-09T09:10:49 --startdatetime 2017-05-09T09:15:22 --delay 1 --endMP 204:233302 --enddatetime 2017-05-09T09:56:16 --enforcementcount 0 &gt;&gt;C:\Users\stu\Documents\GitHub\eaglep3-reporting\EC\2017-05-09-refined-times.txt</v>
      </c>
      <c r="AI58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{"issue":{"subject":"","project_id":79,"tracker_id":40,"status_id":1,"priority_id":2,"assigned_to_id":23,"start_date":"2017-05-09","description":"","custom_fields":[{"id":1,"name":"Subdivision","value":"EC"},{"id":4,"name":"Milepost","value":"23.3302"},{"id":17,"name":"Train ID","value":"145-09"},{"id":16,"name":"Locomotive ID","value":"4012"},{"id":130,"name":"Impact","value":""},{"id":150,"name":"Time of Event (Mountain Time)","value":"09:56:16"},{"id":151,"name":"Denver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4012 --day 2017-05-09</v>
      </c>
      <c r="AN58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15:56:16"},{"id":29,"name":"Sharepoint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665</v>
      </c>
      <c r="B59" s="7">
        <v>4011</v>
      </c>
      <c r="C59" s="21" t="s">
        <v>207</v>
      </c>
      <c r="D59" s="21" t="s">
        <v>839</v>
      </c>
      <c r="E59" s="13">
        <v>42864.418773148151</v>
      </c>
      <c r="F59" s="13">
        <v>42864.42454861111</v>
      </c>
      <c r="G59" s="7">
        <v>1</v>
      </c>
      <c r="H59" s="21" t="s">
        <v>198</v>
      </c>
      <c r="I59" s="13">
        <v>42864.453564814816</v>
      </c>
      <c r="J59" s="7">
        <v>0</v>
      </c>
      <c r="K59" s="92" t="str">
        <f t="shared" si="0"/>
        <v>4011/4012</v>
      </c>
      <c r="L59" s="21" t="str">
        <f>VLOOKUP(A59,'Trips&amp;Operators'!$C$1:$G$99999,5,FALSE)</f>
        <v>MAELZER KURT</v>
      </c>
      <c r="M59" s="6">
        <f t="shared" si="1"/>
        <v>2.9016203705396038E-2</v>
      </c>
      <c r="N59" s="7">
        <f t="shared" si="24"/>
        <v>41.783333335770294</v>
      </c>
      <c r="O59" s="7"/>
      <c r="P59" s="7"/>
      <c r="Q59" s="22"/>
      <c r="R59" s="190"/>
      <c r="S59" s="196">
        <f t="shared" si="25"/>
        <v>1</v>
      </c>
      <c r="T59" s="190" t="str">
        <f t="shared" si="4"/>
        <v>Southbound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-09T09:03:02-0600',mode:absolute,to:'2017-05-09T11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9" s="192" t="str">
        <f t="shared" si="6"/>
        <v>N</v>
      </c>
      <c r="X59" s="192">
        <f t="shared" si="23"/>
        <v>1</v>
      </c>
      <c r="Y59" s="192">
        <f t="shared" si="8"/>
        <v>23.299600000000002</v>
      </c>
      <c r="Z59" s="192">
        <f t="shared" si="9"/>
        <v>1.5800000000000002E-2</v>
      </c>
      <c r="AA59" s="192">
        <f t="shared" si="10"/>
        <v>23.283800000000003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0146-09</v>
      </c>
      <c r="AE59" s="80" t="str">
        <f t="shared" si="12"/>
        <v>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 &amp; 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</v>
      </c>
      <c r="AF59" s="77" t="str">
        <f t="shared" si="13"/>
        <v>"C:\Program Files (x86)\AstroGrep\AstroGrep.exe" /e /r /s /spath="%USERPROFILE%\AppData\Local\Temp\OnboardLogs" /stypes="app*4011*20170509*"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146-09 --locoid 4011 --swversion DE.1.0.9.0 --startMP 204:232996 --initTime 2017-05-09T10:03:02 --startdatetime 2017-05-09T10:11:21 --delay 1 --endMP 204:158 --enddatetime 2017-05-09T10:53:08 --enforcementcount 0 &gt;&gt;C:\Users\stu\Documents\GitHub\eaglep3-reporting\EC\2017-05-09-refined-times.txt</v>
      </c>
      <c r="AI59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{"issue":{"subject":"","project_id":79,"tracker_id":40,"status_id":1,"priority_id":2,"assigned_to_id":23,"start_date":"2017-05-09","description":"","custom_fields":[{"id":1,"name":"Subdivision","value":"EC"},{"id":4,"name":"Milepost","value":"0.0158"},{"id":17,"name":"Train ID","value":"146-09"},{"id":16,"name":"Locomotive ID","value":"4011"},{"id":130,"name":"Impact","value":""},{"id":150,"name":"Time of Event (Mountain Time)","value":"10:53:08"},{"id":151,"name":"Denver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4011 --day 2017-05-09</v>
      </c>
      <c r="AN59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16:53:08"},{"id":29,"name":"Sharepoint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660</v>
      </c>
      <c r="B60" s="7">
        <v>4052</v>
      </c>
      <c r="C60" s="21" t="s">
        <v>207</v>
      </c>
      <c r="D60" s="21" t="s">
        <v>354</v>
      </c>
      <c r="E60" s="13">
        <v>42864.394675925927</v>
      </c>
      <c r="F60" s="13">
        <v>42864.396273148152</v>
      </c>
      <c r="G60" s="7">
        <v>1</v>
      </c>
      <c r="H60" s="21" t="s">
        <v>518</v>
      </c>
      <c r="I60" s="13">
        <v>42864.42291666667</v>
      </c>
      <c r="J60" s="7">
        <v>0</v>
      </c>
      <c r="K60" s="92" t="str">
        <f t="shared" si="0"/>
        <v>4051/4052</v>
      </c>
      <c r="L60" s="21" t="str">
        <f>VLOOKUP(A60,'Trips&amp;Operators'!$C$1:$G$99999,5,FALSE)</f>
        <v>STARKS ANGELINA</v>
      </c>
      <c r="M60" s="6">
        <f t="shared" si="1"/>
        <v>2.6643518518540077E-2</v>
      </c>
      <c r="N60" s="7">
        <f t="shared" si="24"/>
        <v>38.366666666697711</v>
      </c>
      <c r="O60" s="7"/>
      <c r="P60" s="7"/>
      <c r="Q60" s="22"/>
      <c r="R60" s="190"/>
      <c r="S60" s="196">
        <f t="shared" si="25"/>
        <v>1</v>
      </c>
      <c r="T60" s="190" t="str">
        <f t="shared" si="4"/>
        <v>NorthBound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-09T08:28:20-0600',mode:absolute,to:'2017-05-09T11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0" s="192" t="str">
        <f t="shared" si="6"/>
        <v>N</v>
      </c>
      <c r="X60" s="192">
        <f t="shared" si="23"/>
        <v>1</v>
      </c>
      <c r="Y60" s="192">
        <f t="shared" si="8"/>
        <v>4.4600000000000001E-2</v>
      </c>
      <c r="Z60" s="192">
        <f t="shared" si="9"/>
        <v>23.3276</v>
      </c>
      <c r="AA60" s="192">
        <f t="shared" si="10"/>
        <v>23.283000000000001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0147-09</v>
      </c>
      <c r="AE60" s="80" t="str">
        <f t="shared" si="12"/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AF60" s="77" t="str">
        <f t="shared" si="13"/>
        <v>"C:\Program Files (x86)\AstroGrep\AstroGrep.exe" /e /r /s /spath="%USERPROFILE%\AppData\Local\Temp\OnboardLogs" /stypes="app*4052*20170509*" /stext=" 16:.+((SYSTEM_STATE.+slice.+state.+changed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147-09 --locoid 4052 --swversion DE.1.0.9.0 --startMP 204:446 --initTime 2017-05-09T09:28:20 --startdatetime 2017-05-09T09:30:38 --delay 1 --endMP 204:233276 --enddatetime 2017-05-09T10:09:00 --enforcementcount 0 &gt;&gt;C:\Users\stu\Documents\GitHub\eaglep3-reporting\EC\2017-05-09-refined-times.txt</v>
      </c>
      <c r="AI60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{"issue":{"subject":"","project_id":79,"tracker_id":40,"status_id":1,"priority_id":2,"assigned_to_id":23,"start_date":"2017-05-09","description":"","custom_fields":[{"id":1,"name":"Subdivision","value":"EC"},{"id":4,"name":"Milepost","value":"23.3276"},{"id":17,"name":"Train ID","value":"147-09"},{"id":16,"name":"Locomotive ID","value":"4052"},{"id":130,"name":"Impact","value":""},{"id":150,"name":"Time of Event (Mountain Time)","value":"10:09:00"},{"id":151,"name":"Denver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4052 --day 2017-05-09</v>
      </c>
      <c r="AN60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16:09:00"},{"id":29,"name":"Sharepoint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577</v>
      </c>
      <c r="B61" s="7">
        <v>4051</v>
      </c>
      <c r="C61" s="21" t="s">
        <v>207</v>
      </c>
      <c r="D61" s="21" t="s">
        <v>403</v>
      </c>
      <c r="E61" s="13">
        <v>42864.43241898148</v>
      </c>
      <c r="F61" s="13">
        <v>42864.435520833336</v>
      </c>
      <c r="G61" s="7">
        <v>1</v>
      </c>
      <c r="H61" s="21" t="s">
        <v>379</v>
      </c>
      <c r="I61" s="13">
        <v>42864.465520833335</v>
      </c>
      <c r="J61" s="7">
        <v>0</v>
      </c>
      <c r="K61" s="92" t="str">
        <f t="shared" si="0"/>
        <v>4051/4052</v>
      </c>
      <c r="L61" s="21" t="str">
        <f>VLOOKUP(A61,'Trips&amp;Operators'!$C$1:$G$99999,5,FALSE)</f>
        <v>STARKS ANGELINA</v>
      </c>
      <c r="M61" s="6">
        <f t="shared" si="1"/>
        <v>2.9999999998835847E-2</v>
      </c>
      <c r="N61" s="7">
        <f t="shared" si="24"/>
        <v>43.199999998323619</v>
      </c>
      <c r="O61" s="7"/>
      <c r="P61" s="7"/>
      <c r="Q61" s="22"/>
      <c r="R61" s="190"/>
      <c r="S61" s="196">
        <f t="shared" si="25"/>
        <v>1</v>
      </c>
      <c r="T61" s="190" t="str">
        <f t="shared" si="4"/>
        <v>Southbound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-09T09:22:41-0600',mode:absolute,to:'2017-05-09T12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1" s="192" t="str">
        <f t="shared" si="6"/>
        <v>N</v>
      </c>
      <c r="X61" s="192">
        <f t="shared" si="23"/>
        <v>1</v>
      </c>
      <c r="Y61" s="192">
        <f t="shared" si="8"/>
        <v>23.296700000000001</v>
      </c>
      <c r="Z61" s="192">
        <f t="shared" si="9"/>
        <v>1.3899999999999999E-2</v>
      </c>
      <c r="AA61" s="192">
        <f t="shared" si="10"/>
        <v>23.282800000000002</v>
      </c>
      <c r="AB61" s="57" t="str">
        <f>VLOOKUP(A61,Enforcements!$C$7:$K$13,8,0)</f>
        <v>Bulletin (2)</v>
      </c>
      <c r="AC61" s="53" t="str">
        <f>VLOOKUP(A61,Enforcements!$C$7:$E$13,3,0)</f>
        <v>GRADE CROSSING</v>
      </c>
      <c r="AD61" s="54" t="str">
        <f t="shared" si="11"/>
        <v>0148-09</v>
      </c>
      <c r="AE61" s="80" t="str">
        <f t="shared" si="12"/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AF61" s="77" t="str">
        <f t="shared" si="13"/>
        <v>"C:\Program Files (x86)\AstroGrep\AstroGrep.exe" /e /r /s /spath="%USERPROFILE%\AppData\Local\Temp\OnboardLogs" /stypes="app*4051*20170509*" /stext=" 17:.+((SYSTEM_STATE.+slice.+state.+changed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148-09 --locoid 4051 --swversion DE.1.0.9.0 --startMP 204:232967 --initTime 2017-05-09T10:22:41 --startdatetime 2017-05-09T10:27:09 --delay 1 --endMP 204:139 --enddatetime 2017-05-09T11:10:21 --enforcementcount 0 &gt;&gt;C:\Users\stu\Documents\GitHub\eaglep3-reporting\EC\2017-05-09-refined-times.txt</v>
      </c>
      <c r="AI61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{"issue":{"subject":"","project_id":79,"tracker_id":40,"status_id":1,"priority_id":2,"assigned_to_id":23,"start_date":"2017-05-09","description":"","custom_fields":[{"id":1,"name":"Subdivision","value":"EC"},{"id":4,"name":"Milepost","value":"0.0139"},{"id":17,"name":"Train ID","value":"148-09"},{"id":16,"name":"Locomotive ID","value":"4051"},{"id":130,"name":"Impact","value":""},{"id":150,"name":"Time of Event (Mountain Time)","value":"11:10:21"},{"id":151,"name":"Denver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4051 --day 2017-05-09</v>
      </c>
      <c r="AN61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17:10:21"},{"id":29,"name":"Sharepoint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662</v>
      </c>
      <c r="B62" s="7">
        <v>4020</v>
      </c>
      <c r="C62" s="21" t="s">
        <v>207</v>
      </c>
      <c r="D62" s="21" t="s">
        <v>508</v>
      </c>
      <c r="E62" s="13">
        <v>42864.401099537034</v>
      </c>
      <c r="F62" s="13">
        <v>42864.406423611108</v>
      </c>
      <c r="G62" s="7">
        <v>1</v>
      </c>
      <c r="H62" s="21" t="s">
        <v>371</v>
      </c>
      <c r="I62" s="13">
        <v>42864.433333333334</v>
      </c>
      <c r="J62" s="7">
        <v>0</v>
      </c>
      <c r="K62" s="92" t="str">
        <f t="shared" si="0"/>
        <v>4019/4020</v>
      </c>
      <c r="L62" s="21" t="str">
        <f>VLOOKUP(A62,'Trips&amp;Operators'!$C$1:$G$99999,5,FALSE)</f>
        <v>BONDS REYNALDO</v>
      </c>
      <c r="M62" s="6">
        <f t="shared" si="1"/>
        <v>2.6909722226264421E-2</v>
      </c>
      <c r="N62" s="7">
        <f t="shared" si="24"/>
        <v>38.750000005820766</v>
      </c>
      <c r="O62" s="7"/>
      <c r="P62" s="7"/>
      <c r="Q62" s="22"/>
      <c r="R62" s="190"/>
      <c r="S62" s="196">
        <f t="shared" si="25"/>
        <v>1</v>
      </c>
      <c r="T62" s="190" t="str">
        <f t="shared" si="4"/>
        <v>NorthBound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-09T08:37:35-0600',mode:absolute,to:'2017-05-09T11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2" s="192" t="str">
        <f t="shared" si="6"/>
        <v>N</v>
      </c>
      <c r="X62" s="192">
        <f t="shared" si="23"/>
        <v>1</v>
      </c>
      <c r="Y62" s="192">
        <f t="shared" si="8"/>
        <v>4.3299999999999998E-2</v>
      </c>
      <c r="Z62" s="192">
        <f t="shared" si="9"/>
        <v>23.331399999999999</v>
      </c>
      <c r="AA62" s="192">
        <f t="shared" si="10"/>
        <v>23.2881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0149-09</v>
      </c>
      <c r="AE62" s="80" t="str">
        <f t="shared" si="12"/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AF62" s="77" t="str">
        <f t="shared" si="13"/>
        <v>"C:\Program Files (x86)\AstroGrep\AstroGrep.exe" /e /r /s /spath="%USERPROFILE%\AppData\Local\Temp\OnboardLogs" /stypes="app*4020*20170509*" /stext=" 16:.+((SYSTEM_STATE.+slice.+state.+changed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149-09 --locoid 4020 --swversion DE.1.0.9.0 --startMP 204:433 --initTime 2017-05-09T09:37:35 --startdatetime 2017-05-09T09:45:15 --delay 1 --endMP 204:233314 --enddatetime 2017-05-09T10:24:00 --enforcementcount 0 &gt;&gt;C:\Users\stu\Documents\GitHub\eaglep3-reporting\EC\2017-05-09-refined-times.txt</v>
      </c>
      <c r="AI62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{"issue":{"subject":"","project_id":79,"tracker_id":40,"status_id":1,"priority_id":2,"assigned_to_id":23,"start_date":"2017-05-09","description":"","custom_fields":[{"id":1,"name":"Subdivision","value":"EC"},{"id":4,"name":"Milepost","value":"23.3314"},{"id":17,"name":"Train ID","value":"149-09"},{"id":16,"name":"Locomotive ID","value":"4020"},{"id":130,"name":"Impact","value":""},{"id":150,"name":"Time of Event (Mountain Time)","value":"10:24:00"},{"id":151,"name":"Denver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4020 --day 2017-05-09</v>
      </c>
      <c r="AN62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16:24:00"},{"id":29,"name":"Sharepoint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671</v>
      </c>
      <c r="B63" s="7">
        <v>4019</v>
      </c>
      <c r="C63" s="21" t="s">
        <v>207</v>
      </c>
      <c r="D63" s="21" t="s">
        <v>511</v>
      </c>
      <c r="E63" s="13">
        <v>42864.440729166665</v>
      </c>
      <c r="F63" s="13">
        <v>42864.445439814815</v>
      </c>
      <c r="G63" s="7">
        <v>1</v>
      </c>
      <c r="H63" s="21" t="s">
        <v>425</v>
      </c>
      <c r="I63" s="13">
        <v>42864.472673611112</v>
      </c>
      <c r="J63" s="7">
        <v>0</v>
      </c>
      <c r="K63" s="92" t="str">
        <f t="shared" si="0"/>
        <v>4019/4020</v>
      </c>
      <c r="L63" s="21" t="str">
        <f>VLOOKUP(A63,'Trips&amp;Operators'!$C$1:$G$99999,5,FALSE)</f>
        <v>BONDS REYNALDO</v>
      </c>
      <c r="M63" s="6">
        <f t="shared" si="1"/>
        <v>2.7233796296059154E-2</v>
      </c>
      <c r="N63" s="7">
        <f t="shared" si="24"/>
        <v>39.216666666325182</v>
      </c>
      <c r="O63" s="7"/>
      <c r="P63" s="7"/>
      <c r="Q63" s="22"/>
      <c r="R63" s="190"/>
      <c r="S63" s="196">
        <f t="shared" si="25"/>
        <v>1</v>
      </c>
      <c r="T63" s="190" t="str">
        <f t="shared" si="4"/>
        <v>Southbound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-09T09:34:39-0600',mode:absolute,to:'2017-05-09T12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3" s="192" t="str">
        <f t="shared" si="6"/>
        <v>N</v>
      </c>
      <c r="X63" s="192">
        <f t="shared" si="23"/>
        <v>1</v>
      </c>
      <c r="Y63" s="192">
        <f t="shared" si="8"/>
        <v>23.299099999999999</v>
      </c>
      <c r="Z63" s="192">
        <f t="shared" si="9"/>
        <v>1.3599999999999999E-2</v>
      </c>
      <c r="AA63" s="192">
        <f t="shared" si="10"/>
        <v>23.285499999999999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0150-09</v>
      </c>
      <c r="AE63" s="80" t="str">
        <f t="shared" si="12"/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63" s="77" t="str">
        <f t="shared" si="13"/>
        <v>"C:\Program Files (x86)\AstroGrep\AstroGrep.exe" /e /r /s /spath="%USERPROFILE%\AppData\Local\Temp\OnboardLogs" /stypes="app*4019*20170509*" /stext=" 17:.+((SYSTEM_STATE.+slice.+state.+changed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150-09 --locoid 4019 --swversion DE.1.0.9.0 --startMP 204:232991 --initTime 2017-05-09T10:34:39 --startdatetime 2017-05-09T10:41:26 --delay 1 --endMP 204:136 --enddatetime 2017-05-09T11:20:39 --enforcementcount 0 &gt;&gt;C:\Users\stu\Documents\GitHub\eaglep3-reporting\EC\2017-05-09-refined-times.txt</v>
      </c>
      <c r="AI63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{"issue":{"subject":"","project_id":79,"tracker_id":40,"status_id":1,"priority_id":2,"assigned_to_id":23,"start_date":"2017-05-09","description":"","custom_fields":[{"id":1,"name":"Subdivision","value":"EC"},{"id":4,"name":"Milepost","value":"0.0136"},{"id":17,"name":"Train ID","value":"150-09"},{"id":16,"name":"Locomotive ID","value":"4019"},{"id":130,"name":"Impact","value":""},{"id":150,"name":"Time of Event (Mountain Time)","value":"11:20:39"},{"id":151,"name":"Denver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4019 --day 2017-05-09</v>
      </c>
      <c r="AN63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664</v>
      </c>
      <c r="B64" s="7">
        <v>4010</v>
      </c>
      <c r="C64" s="21" t="s">
        <v>207</v>
      </c>
      <c r="D64" s="21" t="s">
        <v>360</v>
      </c>
      <c r="E64" s="13">
        <v>42864.415555555555</v>
      </c>
      <c r="F64" s="13">
        <v>42864.416828703703</v>
      </c>
      <c r="G64" s="7">
        <v>1</v>
      </c>
      <c r="H64" s="21" t="s">
        <v>401</v>
      </c>
      <c r="I64" s="13">
        <v>42864.44363425926</v>
      </c>
      <c r="J64" s="7">
        <v>0</v>
      </c>
      <c r="K64" s="92" t="str">
        <f t="shared" si="0"/>
        <v>4009/4010</v>
      </c>
      <c r="L64" s="21" t="str">
        <f>VLOOKUP(A64,'Trips&amp;Operators'!$C$1:$G$99999,5,FALSE)</f>
        <v>DAVIS WENDY</v>
      </c>
      <c r="M64" s="6">
        <f t="shared" si="1"/>
        <v>2.6805555557075422E-2</v>
      </c>
      <c r="N64" s="7">
        <f t="shared" si="24"/>
        <v>38.600000002188608</v>
      </c>
      <c r="O64" s="7"/>
      <c r="P64" s="7"/>
      <c r="Q64" s="22"/>
      <c r="R64" s="190"/>
      <c r="S64" s="196">
        <f t="shared" si="25"/>
        <v>1</v>
      </c>
      <c r="T64" s="190" t="str">
        <f t="shared" si="4"/>
        <v>NorthBound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-09T08:58:24-0600',mode:absolute,to:'2017-05-09T11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4" s="192" t="str">
        <f t="shared" si="6"/>
        <v>N</v>
      </c>
      <c r="X64" s="192">
        <f t="shared" si="23"/>
        <v>1</v>
      </c>
      <c r="Y64" s="192">
        <f t="shared" si="8"/>
        <v>4.58E-2</v>
      </c>
      <c r="Z64" s="192">
        <f t="shared" si="9"/>
        <v>23.330100000000002</v>
      </c>
      <c r="AA64" s="192">
        <f t="shared" si="10"/>
        <v>23.284300000000002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0151-09</v>
      </c>
      <c r="AE64" s="80" t="str">
        <f t="shared" si="12"/>
        <v>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 &amp; aws s3 cp s3://rtdc.mdm.uploadarchive.raw/RTDC4010/ "%USERPROFILE%\AppData\Local\Temp\OnboardLogs"\RTDC4010\2017-05-10 --exclude "*" --recursive --include "*20170510*" &amp; "%USERPROFILE%\Documents\GitHub\mrs-test-scripts\Headless Mode &amp; Sideloading\WalkAndUnGZ.bat" "%USERPROFILE%\AppData\Local\Temp\OnboardLogs"\RTDC4010\2017-05-10</v>
      </c>
      <c r="AF64" s="77" t="str">
        <f t="shared" si="13"/>
        <v>"C:\Program Files (x86)\AstroGrep\AstroGrep.exe" /e /r /s /spath="%USERPROFILE%\AppData\Local\Temp\OnboardLogs" /stypes="app*4010*20170509*" /stext=" 16:.+((SYSTEM_STATE.+slice.+state.+changed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151-09 --locoid 4010 --swversion DE.1.0.9.0 --startMP 204:458 --initTime 2017-05-09T09:58:24 --startdatetime 2017-05-09T10:00:14 --delay 1 --endMP 204:233301 --enddatetime 2017-05-09T10:38:50 --enforcementcount 0 &gt;&gt;C:\Users\stu\Documents\GitHub\eaglep3-reporting\EC\2017-05-09-refined-times.txt</v>
      </c>
      <c r="AI64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{"issue":{"subject":"","project_id":79,"tracker_id":40,"status_id":1,"priority_id":2,"assigned_to_id":23,"start_date":"2017-05-09","description":"","custom_fields":[{"id":1,"name":"Subdivision","value":"EC"},{"id":4,"name":"Milepost","value":"23.3301"},{"id":17,"name":"Train ID","value":"151-09"},{"id":16,"name":"Locomotive ID","value":"4010"},{"id":130,"name":"Impact","value":""},{"id":150,"name":"Time of Event (Mountain Time)","value":"10:38:50"},{"id":151,"name":"Denver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4010 --day 2017-05-09</v>
      </c>
      <c r="AN64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16:38:50"},{"id":29,"name":"Sharepoint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674</v>
      </c>
      <c r="B65" s="7">
        <v>4009</v>
      </c>
      <c r="C65" s="21" t="s">
        <v>207</v>
      </c>
      <c r="D65" s="21" t="s">
        <v>840</v>
      </c>
      <c r="E65" s="13">
        <v>42864.453703703701</v>
      </c>
      <c r="F65" s="13">
        <v>42864.455694444441</v>
      </c>
      <c r="G65" s="7">
        <v>1</v>
      </c>
      <c r="H65" s="21" t="s">
        <v>202</v>
      </c>
      <c r="I65" s="13">
        <v>42864.483831018515</v>
      </c>
      <c r="J65" s="7">
        <v>0</v>
      </c>
      <c r="K65" s="92" t="str">
        <f t="shared" si="0"/>
        <v>4009/4010</v>
      </c>
      <c r="L65" s="21" t="str">
        <f>VLOOKUP(A65,'Trips&amp;Operators'!$C$1:$G$99999,5,FALSE)</f>
        <v>DAVIS WENDY</v>
      </c>
      <c r="M65" s="6">
        <f t="shared" si="1"/>
        <v>2.8136574073869269E-2</v>
      </c>
      <c r="N65" s="7">
        <f t="shared" si="24"/>
        <v>40.516666666371748</v>
      </c>
      <c r="O65" s="7"/>
      <c r="P65" s="7"/>
      <c r="Q65" s="22"/>
      <c r="R65" s="190"/>
      <c r="S65" s="196">
        <f t="shared" si="25"/>
        <v>1</v>
      </c>
      <c r="T65" s="190" t="str">
        <f t="shared" si="4"/>
        <v>Southbound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-09T09:53:20-0600',mode:absolute,to:'2017-05-09T12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5" s="192" t="str">
        <f t="shared" si="6"/>
        <v>N</v>
      </c>
      <c r="X65" s="192">
        <f t="shared" si="23"/>
        <v>1</v>
      </c>
      <c r="Y65" s="192">
        <f t="shared" si="8"/>
        <v>23.297999999999998</v>
      </c>
      <c r="Z65" s="192">
        <f t="shared" si="9"/>
        <v>1.54E-2</v>
      </c>
      <c r="AA65" s="192">
        <f t="shared" si="10"/>
        <v>23.282599999999999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0152-09</v>
      </c>
      <c r="AE65" s="80" t="str">
        <f t="shared" si="12"/>
        <v>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 &amp; aws s3 cp s3://rtdc.mdm.uploadarchive.raw/RTDC4009/ "%USERPROFILE%\AppData\Local\Temp\OnboardLogs"\RTDC4009\2017-05-10 --exclude "*" --recursive --include "*20170510*" &amp; "%USERPROFILE%\Documents\GitHub\mrs-test-scripts\Headless Mode &amp; Sideloading\WalkAndUnGZ.bat" "%USERPROFILE%\AppData\Local\Temp\OnboardLogs"\RTDC4009\2017-05-10</v>
      </c>
      <c r="AF65" s="77" t="str">
        <f t="shared" si="13"/>
        <v>"C:\Program Files (x86)\AstroGrep\AstroGrep.exe" /e /r /s /spath="%USERPROFILE%\AppData\Local\Temp\OnboardLogs" /stypes="app*4009*20170509*" /stext=" 17:.+((SYSTEM_STATE.+slice.+state.+changed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152-09 --locoid 4009 --swversion DE.1.0.9.0 --startMP 204:232980 --initTime 2017-05-09T10:53:20 --startdatetime 2017-05-09T10:56:12 --delay 1 --endMP 204:154 --enddatetime 2017-05-09T11:36:43 --enforcementcount 0 &gt;&gt;C:\Users\stu\Documents\GitHub\eaglep3-reporting\EC\2017-05-09-refined-times.txt</v>
      </c>
      <c r="AI65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{"issue":{"subject":"","project_id":79,"tracker_id":40,"status_id":1,"priority_id":2,"assigned_to_id":23,"start_date":"2017-05-09","description":"","custom_fields":[{"id":1,"name":"Subdivision","value":"EC"},{"id":4,"name":"Milepost","value":"0.0154"},{"id":17,"name":"Train ID","value":"152-09"},{"id":16,"name":"Locomotive ID","value":"4009"},{"id":130,"name":"Impact","value":""},{"id":150,"name":"Time of Event (Mountain Time)","value":"11:36:43"},{"id":151,"name":"Denver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4009 --day 2017-05-09</v>
      </c>
      <c r="AN65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666</v>
      </c>
      <c r="B66" s="7">
        <v>4008</v>
      </c>
      <c r="C66" s="21" t="s">
        <v>207</v>
      </c>
      <c r="D66" s="21" t="s">
        <v>203</v>
      </c>
      <c r="E66" s="13">
        <v>42864.424699074072</v>
      </c>
      <c r="F66" s="13">
        <v>42864.427314814813</v>
      </c>
      <c r="G66" s="7">
        <v>1</v>
      </c>
      <c r="H66" s="21" t="s">
        <v>841</v>
      </c>
      <c r="I66" s="13">
        <v>42864.452245370368</v>
      </c>
      <c r="J66" s="7">
        <v>0</v>
      </c>
      <c r="K66" s="92" t="str">
        <f t="shared" si="0"/>
        <v>4007/4008</v>
      </c>
      <c r="L66" s="21" t="str">
        <f>VLOOKUP(A66,'Trips&amp;Operators'!$C$1:$G$99999,5,FALSE)</f>
        <v>LOZA FIDEL</v>
      </c>
      <c r="M66" s="6">
        <f t="shared" si="1"/>
        <v>2.4930555555329192E-2</v>
      </c>
      <c r="N66" s="7">
        <f t="shared" si="24"/>
        <v>35.899999999674037</v>
      </c>
      <c r="O66" s="7"/>
      <c r="P66" s="7"/>
      <c r="Q66" s="22"/>
      <c r="R66" s="190"/>
      <c r="S66" s="196">
        <f t="shared" si="25"/>
        <v>1</v>
      </c>
      <c r="T66" s="190" t="str">
        <f t="shared" si="4"/>
        <v>NorthBound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-09T09:11:34-0600',mode:absolute,to:'2017-05-09T11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192" t="str">
        <f t="shared" si="6"/>
        <v>N</v>
      </c>
      <c r="X66" s="192">
        <f t="shared" si="23"/>
        <v>1</v>
      </c>
      <c r="Y66" s="192">
        <f t="shared" si="8"/>
        <v>4.5699999999999998E-2</v>
      </c>
      <c r="Z66" s="192">
        <f t="shared" si="9"/>
        <v>23.338899999999999</v>
      </c>
      <c r="AA66" s="192">
        <f t="shared" si="10"/>
        <v>23.293199999999999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0153-09</v>
      </c>
      <c r="AE66" s="80" t="str">
        <f t="shared" si="12"/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66" s="77" t="str">
        <f t="shared" si="13"/>
        <v>"C:\Program Files (x86)\AstroGrep\AstroGrep.exe" /e /r /s /spath="%USERPROFILE%\AppData\Local\Temp\OnboardLogs" /stypes="app*4008*20170509*" /stext=" 16:.+((SYSTEM_STATE.+slice.+state.+changed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153-09 --locoid 4008 --swversion DE.1.0.9.0 --startMP 204:457 --initTime 2017-05-09T10:11:34 --startdatetime 2017-05-09T10:15:20 --delay 1 --endMP 204:233389 --enddatetime 2017-05-09T10:51:14 --enforcementcount 0 &gt;&gt;C:\Users\stu\Documents\GitHub\eaglep3-reporting\EC\2017-05-09-refined-times.txt</v>
      </c>
      <c r="AI66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{"issue":{"subject":"","project_id":79,"tracker_id":40,"status_id":1,"priority_id":2,"assigned_to_id":23,"start_date":"2017-05-09","description":"","custom_fields":[{"id":1,"name":"Subdivision","value":"EC"},{"id":4,"name":"Milepost","value":"23.3389"},{"id":17,"name":"Train ID","value":"153-09"},{"id":16,"name":"Locomotive ID","value":"4008"},{"id":130,"name":"Impact","value":""},{"id":150,"name":"Time of Event (Mountain Time)","value":"10:51:14"},{"id":151,"name":"Denver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4008 --day 2017-05-09</v>
      </c>
      <c r="AN66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16:51:14"},{"id":29,"name":"Sharepoint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675</v>
      </c>
      <c r="B67" s="7">
        <v>4007</v>
      </c>
      <c r="C67" s="21" t="s">
        <v>207</v>
      </c>
      <c r="D67" s="21" t="s">
        <v>842</v>
      </c>
      <c r="E67" s="13">
        <v>42864.456956018519</v>
      </c>
      <c r="F67" s="13">
        <v>42864.466215277775</v>
      </c>
      <c r="G67" s="7">
        <v>1</v>
      </c>
      <c r="H67" s="21" t="s">
        <v>365</v>
      </c>
      <c r="I67" s="13">
        <v>42864.49324074074</v>
      </c>
      <c r="J67" s="7">
        <v>0</v>
      </c>
      <c r="K67" s="92" t="str">
        <f t="shared" si="0"/>
        <v>4007/4008</v>
      </c>
      <c r="L67" s="21" t="str">
        <f>VLOOKUP(A67,'Trips&amp;Operators'!$C$1:$G$99999,5,FALSE)</f>
        <v>LOZA FIDEL</v>
      </c>
      <c r="M67" s="6">
        <f t="shared" si="1"/>
        <v>2.7025462964957114E-2</v>
      </c>
      <c r="N67" s="7">
        <f t="shared" si="24"/>
        <v>38.916666669538245</v>
      </c>
      <c r="O67" s="7"/>
      <c r="P67" s="7"/>
      <c r="Q67" s="22"/>
      <c r="R67" s="190"/>
      <c r="S67" s="196">
        <f t="shared" si="25"/>
        <v>1</v>
      </c>
      <c r="T67" s="190" t="str">
        <f t="shared" si="4"/>
        <v>Southbound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-09T09:58:01-0600',mode:absolute,to:'2017-05-09T12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192" t="str">
        <f t="shared" si="6"/>
        <v>N</v>
      </c>
      <c r="X67" s="192">
        <f t="shared" si="23"/>
        <v>1</v>
      </c>
      <c r="Y67" s="192">
        <f t="shared" si="8"/>
        <v>23.306799999999999</v>
      </c>
      <c r="Z67" s="192">
        <f t="shared" si="9"/>
        <v>1.43E-2</v>
      </c>
      <c r="AA67" s="192">
        <f t="shared" si="10"/>
        <v>23.2925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0154-09</v>
      </c>
      <c r="AE67" s="80" t="str">
        <f t="shared" si="12"/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AF67" s="77" t="str">
        <f t="shared" si="13"/>
        <v>"C:\Program Files (x86)\AstroGrep\AstroGrep.exe" /e /r /s /spath="%USERPROFILE%\AppData\Local\Temp\OnboardLogs" /stypes="app*4007*20170509*"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154-09 --locoid 4007 --swversion DE.1.0.9.0 --startMP 204:233068 --initTime 2017-05-09T10:58:01 --startdatetime 2017-05-09T11:11:21 --delay 1 --endMP 204:143 --enddatetime 2017-05-09T11:50:16 --enforcementcount 0 &gt;&gt;C:\Users\stu\Documents\GitHub\eaglep3-reporting\EC\2017-05-09-refined-times.txt</v>
      </c>
      <c r="AI67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{"issue":{"subject":"","project_id":79,"tracker_id":40,"status_id":1,"priority_id":2,"assigned_to_id":23,"start_date":"2017-05-09","description":"","custom_fields":[{"id":1,"name":"Subdivision","value":"EC"},{"id":4,"name":"Milepost","value":"0.0143"},{"id":17,"name":"Train ID","value":"154-09"},{"id":16,"name":"Locomotive ID","value":"4007"},{"id":130,"name":"Impact","value":""},{"id":150,"name":"Time of Event (Mountain Time)","value":"11:50:16"},{"id":151,"name":"Denver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4007 --day 2017-05-09</v>
      </c>
      <c r="AN67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578</v>
      </c>
      <c r="B68" s="7">
        <v>4030</v>
      </c>
      <c r="C68" s="21" t="s">
        <v>207</v>
      </c>
      <c r="D68" s="21" t="s">
        <v>366</v>
      </c>
      <c r="E68" s="13">
        <v>42864.434918981482</v>
      </c>
      <c r="F68" s="13">
        <v>42864.437685185185</v>
      </c>
      <c r="G68" s="7">
        <v>3</v>
      </c>
      <c r="H68" s="21" t="s">
        <v>822</v>
      </c>
      <c r="I68" s="13">
        <v>42864.462916666664</v>
      </c>
      <c r="J68" s="7">
        <v>0</v>
      </c>
      <c r="K68" s="92" t="str">
        <f t="shared" si="0"/>
        <v>4029/4030</v>
      </c>
      <c r="L68" s="21" t="str">
        <f>VLOOKUP(A68,'Trips&amp;Operators'!$C$1:$G$99999,5,FALSE)</f>
        <v>COOLAHAN JOHN</v>
      </c>
      <c r="M68" s="6">
        <f t="shared" si="1"/>
        <v>2.5231481478840578E-2</v>
      </c>
      <c r="N68" s="7">
        <f t="shared" si="24"/>
        <v>36.333333329530433</v>
      </c>
      <c r="O68" s="7"/>
      <c r="P68" s="7"/>
      <c r="Q68" s="22"/>
      <c r="R68" s="190"/>
      <c r="S68" s="196">
        <f t="shared" si="25"/>
        <v>1</v>
      </c>
      <c r="T68" s="190" t="str">
        <f t="shared" si="4"/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-09T09:26:17-0600',mode:absolute,to:'2017-05-09T12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8" s="192" t="str">
        <f t="shared" si="6"/>
        <v>N</v>
      </c>
      <c r="X68" s="192">
        <f t="shared" si="23"/>
        <v>1</v>
      </c>
      <c r="Y68" s="192">
        <f t="shared" si="8"/>
        <v>4.6600000000000003E-2</v>
      </c>
      <c r="Z68" s="192">
        <f t="shared" si="9"/>
        <v>23.333200000000001</v>
      </c>
      <c r="AA68" s="192">
        <f t="shared" si="10"/>
        <v>23.2866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0155-09</v>
      </c>
      <c r="AE68" s="80" t="str">
        <f t="shared" si="12"/>
        <v>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 &amp; 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</v>
      </c>
      <c r="AF68" s="77" t="str">
        <f t="shared" si="13"/>
        <v>"C:\Program Files (x86)\AstroGrep\AstroGrep.exe" /e /r /s /spath="%USERPROFILE%\AppData\Local\Temp\OnboardLogs" /stypes="app*4030*20170509*" /stext=" 17:.+((SYSTEM_STATE.+slice.+state.+changed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155-09 --locoid 4030 --swversion DE.1.0.9.0 --startMP 204:466 --initTime 2017-05-09T10:26:17 --startdatetime 2017-05-09T10:30:16 --delay 3 --endMP 204:233332 --enddatetime 2017-05-09T11:06:36 --enforcementcount 0 &gt;&gt;C:\Users\stu\Documents\GitHub\eaglep3-reporting\EC\2017-05-09-refined-times.txt</v>
      </c>
      <c r="AI68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{"issue":{"subject":"","project_id":79,"tracker_id":40,"status_id":1,"priority_id":2,"assigned_to_id":23,"start_date":"2017-05-09","description":"","custom_fields":[{"id":1,"name":"Subdivision","value":"EC"},{"id":4,"name":"Milepost","value":"23.3332"},{"id":17,"name":"Train ID","value":"155-09"},{"id":16,"name":"Locomotive ID","value":"4030"},{"id":130,"name":"Impact","value":""},{"id":150,"name":"Time of Event (Mountain Time)","value":"11:06:36"},{"id":151,"name":"Denver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4030 --day 2017-05-09</v>
      </c>
      <c r="AN68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680</v>
      </c>
      <c r="B69" s="7">
        <v>4029</v>
      </c>
      <c r="C69" s="21" t="s">
        <v>207</v>
      </c>
      <c r="D69" s="21" t="s">
        <v>514</v>
      </c>
      <c r="E69" s="13">
        <v>42864.472870370373</v>
      </c>
      <c r="F69" s="13">
        <v>42864.476724537039</v>
      </c>
      <c r="G69" s="7">
        <v>1</v>
      </c>
      <c r="H69" s="21" t="s">
        <v>382</v>
      </c>
      <c r="I69" s="13">
        <v>42864.50503472222</v>
      </c>
      <c r="J69" s="7">
        <v>0</v>
      </c>
      <c r="K69" s="92" t="str">
        <f t="shared" si="0"/>
        <v>4029/4030</v>
      </c>
      <c r="L69" s="21" t="str">
        <f>VLOOKUP(A69,'Trips&amp;Operators'!$C$1:$G$99999,5,FALSE)</f>
        <v>COOLAHAN JOHN</v>
      </c>
      <c r="M69" s="6">
        <f t="shared" si="1"/>
        <v>2.8310185181908309E-2</v>
      </c>
      <c r="N69" s="7">
        <f t="shared" si="24"/>
        <v>40.766666661947966</v>
      </c>
      <c r="O69" s="7"/>
      <c r="P69" s="7"/>
      <c r="Q69" s="22"/>
      <c r="R69" s="190"/>
      <c r="S69" s="196">
        <f t="shared" si="25"/>
        <v>1</v>
      </c>
      <c r="T69" s="190" t="str">
        <f t="shared" si="4"/>
        <v>Southbound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-09T10:20:56-0600',mode:absolute,to:'2017-05-09T13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9" s="192" t="str">
        <f t="shared" si="6"/>
        <v>N</v>
      </c>
      <c r="X69" s="192">
        <f t="shared" si="23"/>
        <v>1</v>
      </c>
      <c r="Y69" s="192">
        <f t="shared" si="8"/>
        <v>23.2986</v>
      </c>
      <c r="Z69" s="192">
        <f t="shared" si="9"/>
        <v>1.47E-2</v>
      </c>
      <c r="AA69" s="192">
        <f t="shared" si="10"/>
        <v>23.283899999999999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0156-09</v>
      </c>
      <c r="AE69" s="80" t="str">
        <f t="shared" si="12"/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AF69" s="77" t="str">
        <f t="shared" si="13"/>
        <v>"C:\Program Files (x86)\AstroGrep\AstroGrep.exe" /e /r /s /spath="%USERPROFILE%\AppData\Local\Temp\OnboardLogs" /stypes="app*4029*20170509*" /stext=" 18:.+((SYSTEM_STATE.+slice.+state.+changed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156-09 --locoid 4029 --swversion DE.1.0.9.0 --startMP 204:232986 --initTime 2017-05-09T11:20:56 --startdatetime 2017-05-09T11:26:29 --delay 1 --endMP 204:147 --enddatetime 2017-05-09T12:07:15 --enforcementcount 0 &gt;&gt;C:\Users\stu\Documents\GitHub\eaglep3-reporting\EC\2017-05-09-refined-times.txt</v>
      </c>
      <c r="AI69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{"issue":{"subject":"","project_id":79,"tracker_id":40,"status_id":1,"priority_id":2,"assigned_to_id":23,"start_date":"2017-05-09","description":"","custom_fields":[{"id":1,"name":"Subdivision","value":"EC"},{"id":4,"name":"Milepost","value":"0.0147"},{"id":17,"name":"Train ID","value":"156-09"},{"id":16,"name":"Locomotive ID","value":"4029"},{"id":130,"name":"Impact","value":""},{"id":150,"name":"Time of Event (Mountain Time)","value":"12:07:15"},{"id":151,"name":"Denver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4029 --day 2017-05-09</v>
      </c>
      <c r="AN69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18:07:15"},{"id":29,"name":"Sharepoint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673</v>
      </c>
      <c r="B70" s="7">
        <v>4046</v>
      </c>
      <c r="C70" s="21" t="s">
        <v>207</v>
      </c>
      <c r="D70" s="21" t="s">
        <v>843</v>
      </c>
      <c r="E70" s="13">
        <v>42864.44431712963</v>
      </c>
      <c r="F70" s="13">
        <v>42864.448067129626</v>
      </c>
      <c r="G70" s="7">
        <v>1</v>
      </c>
      <c r="H70" s="21" t="s">
        <v>844</v>
      </c>
      <c r="I70" s="13">
        <v>42864.476203703707</v>
      </c>
      <c r="J70" s="7">
        <v>0</v>
      </c>
      <c r="K70" s="92" t="str">
        <f t="shared" si="0"/>
        <v>4045/4046</v>
      </c>
      <c r="L70" s="21" t="str">
        <f>VLOOKUP(A70,'Trips&amp;Operators'!$C$1:$G$99999,5,FALSE)</f>
        <v>ROCHA YAOTL</v>
      </c>
      <c r="M70" s="6">
        <f t="shared" si="1"/>
        <v>2.8136574081145227E-2</v>
      </c>
      <c r="N70" s="7">
        <f t="shared" si="24"/>
        <v>40.516666676849127</v>
      </c>
      <c r="O70" s="7"/>
      <c r="P70" s="7"/>
      <c r="Q70" s="22"/>
      <c r="R70" s="190"/>
      <c r="S70" s="196">
        <f t="shared" si="25"/>
        <v>1</v>
      </c>
      <c r="T70" s="190" t="str">
        <f t="shared" si="4"/>
        <v>NorthBound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-09T09:39:49-0600',mode:absolute,to:'2017-05-09T12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0" s="192" t="str">
        <f t="shared" si="6"/>
        <v>N</v>
      </c>
      <c r="X70" s="192">
        <f t="shared" si="23"/>
        <v>1</v>
      </c>
      <c r="Y70" s="192">
        <f t="shared" si="8"/>
        <v>4.3499999999999997E-2</v>
      </c>
      <c r="Z70" s="192">
        <f t="shared" si="9"/>
        <v>23.334399999999999</v>
      </c>
      <c r="AA70" s="192">
        <f t="shared" si="10"/>
        <v>23.290899999999997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0157-09</v>
      </c>
      <c r="AE70" s="80" t="str">
        <f t="shared" si="12"/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AF70" s="77" t="str">
        <f t="shared" si="13"/>
        <v>"C:\Program Files (x86)\AstroGrep\AstroGrep.exe" /e /r /s /spath="%USERPROFILE%\AppData\Local\Temp\OnboardLogs" /stypes="app*4046*20170509*" /stext=" 17:.+((SYSTEM_STATE.+slice.+state.+changed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157-09 --locoid 4046 --swversion DE.1.0.9.0 --startMP 204:435 --initTime 2017-05-09T10:39:49 --startdatetime 2017-05-09T10:45:13 --delay 1 --endMP 204:233344 --enddatetime 2017-05-09T11:25:44 --enforcementcount 0 &gt;&gt;C:\Users\stu\Documents\GitHub\eaglep3-reporting\EC\2017-05-09-refined-times.txt</v>
      </c>
      <c r="AI70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{"issue":{"subject":"","project_id":79,"tracker_id":40,"status_id":1,"priority_id":2,"assigned_to_id":23,"start_date":"2017-05-09","description":"","custom_fields":[{"id":1,"name":"Subdivision","value":"EC"},{"id":4,"name":"Milepost","value":"23.3344"},{"id":17,"name":"Train ID","value":"157-09"},{"id":16,"name":"Locomotive ID","value":"4046"},{"id":130,"name":"Impact","value":""},{"id":150,"name":"Time of Event (Mountain Time)","value":"11:25:44"},{"id":151,"name":"Denver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4046 --day 2017-05-09</v>
      </c>
      <c r="AN70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684</v>
      </c>
      <c r="B71" s="7">
        <v>4045</v>
      </c>
      <c r="C71" s="21" t="s">
        <v>207</v>
      </c>
      <c r="D71" s="21" t="s">
        <v>406</v>
      </c>
      <c r="E71" s="13">
        <v>42864.485289351855</v>
      </c>
      <c r="F71" s="13">
        <v>42864.487025462964</v>
      </c>
      <c r="G71" s="7">
        <v>0</v>
      </c>
      <c r="H71" s="21" t="s">
        <v>356</v>
      </c>
      <c r="I71" s="13">
        <v>42864.51357638889</v>
      </c>
      <c r="J71" s="7">
        <v>0</v>
      </c>
      <c r="K71" s="92" t="str">
        <f t="shared" si="0"/>
        <v>4045/4046</v>
      </c>
      <c r="L71" s="21" t="str">
        <f>VLOOKUP(A71,'Trips&amp;Operators'!$C$1:$G$99999,5,FALSE)</f>
        <v>ROCHA YAOTL</v>
      </c>
      <c r="M71" s="6">
        <f t="shared" si="1"/>
        <v>2.6550925926130731E-2</v>
      </c>
      <c r="N71" s="7">
        <f t="shared" si="24"/>
        <v>38.233333333628252</v>
      </c>
      <c r="O71" s="7"/>
      <c r="P71" s="7"/>
      <c r="Q71" s="22"/>
      <c r="R71" s="190"/>
      <c r="S71" s="196">
        <f t="shared" si="25"/>
        <v>1</v>
      </c>
      <c r="T71" s="190" t="str">
        <f t="shared" si="4"/>
        <v>Southbound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-09T10:38:49-0600',mode:absolute,to:'2017-05-09T13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1" s="192" t="str">
        <f t="shared" si="6"/>
        <v>N</v>
      </c>
      <c r="X71" s="192">
        <f t="shared" si="23"/>
        <v>1</v>
      </c>
      <c r="Y71" s="192">
        <f t="shared" si="8"/>
        <v>23.3004</v>
      </c>
      <c r="Z71" s="192">
        <f t="shared" si="9"/>
        <v>1.4500000000000001E-2</v>
      </c>
      <c r="AA71" s="192">
        <f t="shared" si="10"/>
        <v>23.285899999999998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0158-09</v>
      </c>
      <c r="AE71" s="80" t="str">
        <f t="shared" si="12"/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AF71" s="77" t="str">
        <f t="shared" si="13"/>
        <v>"C:\Program Files (x86)\AstroGrep\AstroGrep.exe" /e /r /s /spath="%USERPROFILE%\AppData\Local\Temp\OnboardLogs" /stypes="app*4045*20170509*" /stext=" 18:.+((SYSTEM_STATE.+slice.+state.+changed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158-09 --locoid 4045 --swversion DE.1.0.9.0 --startMP 204:233004 --initTime 2017-05-09T11:38:49 --startdatetime 2017-05-09T11:41:19 --delay 0 --endMP 204:145 --enddatetime 2017-05-09T12:19:33 --enforcementcount 0 &gt;&gt;C:\Users\stu\Documents\GitHub\eaglep3-reporting\EC\2017-05-09-refined-times.txt</v>
      </c>
      <c r="AI71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{"issue":{"subject":"","project_id":79,"tracker_id":40,"status_id":1,"priority_id":2,"assigned_to_id":23,"start_date":"2017-05-09","description":"","custom_fields":[{"id":1,"name":"Subdivision","value":"EC"},{"id":4,"name":"Milepost","value":"0.0145"},{"id":17,"name":"Train ID","value":"158-09"},{"id":16,"name":"Locomotive ID","value":"4045"},{"id":130,"name":"Impact","value":""},{"id":150,"name":"Time of Event (Mountain Time)","value":"12:19:33"},{"id":151,"name":"Denver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4045 --day 2017-05-09</v>
      </c>
      <c r="AN71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18:19:33"},{"id":29,"name":"Sharepoint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676</v>
      </c>
      <c r="B72" s="7">
        <v>4012</v>
      </c>
      <c r="C72" s="21" t="s">
        <v>207</v>
      </c>
      <c r="D72" s="21" t="s">
        <v>348</v>
      </c>
      <c r="E72" s="13">
        <v>42864.456342592595</v>
      </c>
      <c r="F72" s="13">
        <v>42864.459699074076</v>
      </c>
      <c r="G72" s="7">
        <v>1</v>
      </c>
      <c r="H72" s="21" t="s">
        <v>509</v>
      </c>
      <c r="I72" s="13">
        <v>42864.485694444447</v>
      </c>
      <c r="J72" s="7">
        <v>0</v>
      </c>
      <c r="K72" s="92" t="str">
        <f t="shared" si="0"/>
        <v>4011/4012</v>
      </c>
      <c r="L72" s="21" t="str">
        <f>VLOOKUP(A72,'Trips&amp;Operators'!$C$1:$G$99999,5,FALSE)</f>
        <v>DAVIS MICHAEL</v>
      </c>
      <c r="M72" s="6">
        <f t="shared" si="1"/>
        <v>2.5995370371674653E-2</v>
      </c>
      <c r="N72" s="7">
        <f t="shared" si="24"/>
        <v>37.433333335211501</v>
      </c>
      <c r="O72" s="7"/>
      <c r="P72" s="7"/>
      <c r="Q72" s="22"/>
      <c r="R72" s="190"/>
      <c r="S72" s="196">
        <f t="shared" si="25"/>
        <v>1</v>
      </c>
      <c r="T72" s="190" t="str">
        <f t="shared" si="4"/>
        <v>NorthBound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-09T09:57:08-0600',mode:absolute,to:'2017-05-09T12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2" s="192" t="str">
        <f t="shared" si="6"/>
        <v>N</v>
      </c>
      <c r="X72" s="192">
        <f t="shared" si="23"/>
        <v>1</v>
      </c>
      <c r="Y72" s="192">
        <f t="shared" si="8"/>
        <v>4.4900000000000002E-2</v>
      </c>
      <c r="Z72" s="192">
        <f t="shared" si="9"/>
        <v>23.3307</v>
      </c>
      <c r="AA72" s="192">
        <f t="shared" si="10"/>
        <v>23.285800000000002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0159-09</v>
      </c>
      <c r="AE72" s="80" t="str">
        <f t="shared" si="12"/>
        <v>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 &amp; 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</v>
      </c>
      <c r="AF72" s="77" t="str">
        <f t="shared" si="13"/>
        <v>"C:\Program Files (x86)\AstroGrep\AstroGrep.exe" /e /r /s /spath="%USERPROFILE%\AppData\Local\Temp\OnboardLogs" /stypes="app*4012*20170509*" /stext=" 17:.+((SYSTEM_STATE.+slice.+state.+changed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159-09 --locoid 4012 --swversion DE.1.0.9.0 --startMP 204:449 --initTime 2017-05-09T10:57:08 --startdatetime 2017-05-09T11:01:58 --delay 1 --endMP 204:233307 --enddatetime 2017-05-09T11:39:24 --enforcementcount 0 &gt;&gt;C:\Users\stu\Documents\GitHub\eaglep3-reporting\EC\2017-05-09-refined-times.txt</v>
      </c>
      <c r="AI72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{"issue":{"subject":"","project_id":79,"tracker_id":40,"status_id":1,"priority_id":2,"assigned_to_id":23,"start_date":"2017-05-09","description":"","custom_fields":[{"id":1,"name":"Subdivision","value":"EC"},{"id":4,"name":"Milepost","value":"23.3307"},{"id":17,"name":"Train ID","value":"159-09"},{"id":16,"name":"Locomotive ID","value":"4012"},{"id":130,"name":"Impact","value":""},{"id":150,"name":"Time of Event (Mountain Time)","value":"11:39:24"},{"id":151,"name":"Denver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4012 --day 2017-05-09</v>
      </c>
      <c r="AN72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686</v>
      </c>
      <c r="B73" s="7">
        <v>4011</v>
      </c>
      <c r="C73" s="21" t="s">
        <v>207</v>
      </c>
      <c r="D73" s="21" t="s">
        <v>448</v>
      </c>
      <c r="E73" s="13">
        <v>42864.495358796295</v>
      </c>
      <c r="F73" s="13">
        <v>42864.497627314813</v>
      </c>
      <c r="G73" s="7">
        <v>1</v>
      </c>
      <c r="H73" s="21" t="s">
        <v>373</v>
      </c>
      <c r="I73" s="13">
        <v>42864.525370370371</v>
      </c>
      <c r="J73" s="7">
        <v>0</v>
      </c>
      <c r="K73" s="92" t="str">
        <f t="shared" si="0"/>
        <v>4011/4012</v>
      </c>
      <c r="L73" s="21" t="str">
        <f>VLOOKUP(A73,'Trips&amp;Operators'!$C$1:$G$99999,5,FALSE)</f>
        <v>DAVIS MICHAEL</v>
      </c>
      <c r="M73" s="6">
        <f t="shared" si="1"/>
        <v>2.7743055557948537E-2</v>
      </c>
      <c r="N73" s="7">
        <f t="shared" si="24"/>
        <v>39.950000003445894</v>
      </c>
      <c r="O73" s="7"/>
      <c r="P73" s="7"/>
      <c r="Q73" s="22"/>
      <c r="R73" s="190"/>
      <c r="S73" s="196">
        <f t="shared" si="25"/>
        <v>1</v>
      </c>
      <c r="T73" s="190" t="str">
        <f t="shared" si="4"/>
        <v>Southbound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-09T10:53:19-0600',mode:absolute,to:'2017-05-09T13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3" s="192" t="str">
        <f t="shared" si="6"/>
        <v>N</v>
      </c>
      <c r="X73" s="192">
        <f t="shared" si="23"/>
        <v>1</v>
      </c>
      <c r="Y73" s="192">
        <f t="shared" si="8"/>
        <v>23.3001</v>
      </c>
      <c r="Z73" s="192">
        <f t="shared" si="9"/>
        <v>1.5599999999999999E-2</v>
      </c>
      <c r="AA73" s="192">
        <f t="shared" si="10"/>
        <v>23.284500000000001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0160-09</v>
      </c>
      <c r="AE73" s="80" t="str">
        <f t="shared" si="12"/>
        <v>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 &amp; 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</v>
      </c>
      <c r="AF73" s="77" t="str">
        <f t="shared" si="13"/>
        <v>"C:\Program Files (x86)\AstroGrep\AstroGrep.exe" /e /r /s /spath="%USERPROFILE%\AppData\Local\Temp\OnboardLogs" /stypes="app*4011*20170509*" /stext=" 18:.+((SYSTEM_STATE.+slice.+state.+changed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160-09 --locoid 4011 --swversion DE.1.0.9.0 --startMP 204:233001 --initTime 2017-05-09T11:53:19 --startdatetime 2017-05-09T11:56:35 --delay 1 --endMP 204:156 --enddatetime 2017-05-09T12:36:32 --enforcementcount 0 &gt;&gt;C:\Users\stu\Documents\GitHub\eaglep3-reporting\EC\2017-05-09-refined-times.txt</v>
      </c>
      <c r="AI73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{"issue":{"subject":"","project_id":79,"tracker_id":40,"status_id":1,"priority_id":2,"assigned_to_id":23,"start_date":"2017-05-09","description":"","custom_fields":[{"id":1,"name":"Subdivision","value":"EC"},{"id":4,"name":"Milepost","value":"0.0156"},{"id":17,"name":"Train ID","value":"160-09"},{"id":16,"name":"Locomotive ID","value":"4011"},{"id":130,"name":"Impact","value":""},{"id":150,"name":"Time of Event (Mountain Time)","value":"12:36:32"},{"id":151,"name":"Denver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4011 --day 2017-05-09</v>
      </c>
      <c r="AN73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18:36:32"},{"id":29,"name":"Sharepoint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677</v>
      </c>
      <c r="B74" s="7">
        <v>4052</v>
      </c>
      <c r="C74" s="21" t="s">
        <v>207</v>
      </c>
      <c r="D74" s="21" t="s">
        <v>504</v>
      </c>
      <c r="E74" s="13">
        <v>42864.467743055553</v>
      </c>
      <c r="F74" s="13">
        <v>42864.469953703701</v>
      </c>
      <c r="G74" s="7">
        <v>1</v>
      </c>
      <c r="H74" s="21" t="s">
        <v>402</v>
      </c>
      <c r="I74" s="13">
        <v>42864.495289351849</v>
      </c>
      <c r="J74" s="7">
        <v>0</v>
      </c>
      <c r="K74" s="92" t="str">
        <f t="shared" si="0"/>
        <v>4051/4052</v>
      </c>
      <c r="L74" s="21" t="str">
        <f>VLOOKUP(A74,'Trips&amp;Operators'!$C$1:$G$99999,5,FALSE)</f>
        <v>STEWART MICHAEL</v>
      </c>
      <c r="M74" s="6">
        <f t="shared" si="1"/>
        <v>2.5335648148029577E-2</v>
      </c>
      <c r="N74" s="7">
        <f t="shared" si="24"/>
        <v>36.483333333162591</v>
      </c>
      <c r="O74" s="7"/>
      <c r="P74" s="7"/>
      <c r="Q74" s="22"/>
      <c r="R74" s="190"/>
      <c r="S74" s="196">
        <f t="shared" si="25"/>
        <v>1</v>
      </c>
      <c r="T74" s="190" t="str">
        <f t="shared" si="4"/>
        <v>NorthBound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-09T10:13:33-0600',mode:absolute,to:'2017-05-09T12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4" s="192" t="str">
        <f t="shared" si="6"/>
        <v>N</v>
      </c>
      <c r="X74" s="192">
        <f t="shared" si="23"/>
        <v>1</v>
      </c>
      <c r="Y74" s="192">
        <f t="shared" si="8"/>
        <v>4.6199999999999998E-2</v>
      </c>
      <c r="Z74" s="192">
        <f t="shared" si="9"/>
        <v>23.329499999999999</v>
      </c>
      <c r="AA74" s="192">
        <f t="shared" si="10"/>
        <v>23.283300000000001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0161-09</v>
      </c>
      <c r="AE74" s="80" t="str">
        <f t="shared" si="12"/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AF74" s="77" t="str">
        <f t="shared" si="13"/>
        <v>"C:\Program Files (x86)\AstroGrep\AstroGrep.exe" /e /r /s /spath="%USERPROFILE%\AppData\Local\Temp\OnboardLogs" /stypes="app*4052*20170509*" /stext=" 17:.+((SYSTEM_STATE.+slice.+state.+changed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161-09 --locoid 4052 --swversion DE.1.0.9.0 --startMP 204:462 --initTime 2017-05-09T11:13:33 --startdatetime 2017-05-09T11:16:44 --delay 1 --endMP 204:233295 --enddatetime 2017-05-09T11:53:13 --enforcementcount 0 &gt;&gt;C:\Users\stu\Documents\GitHub\eaglep3-reporting\EC\2017-05-09-refined-times.txt</v>
      </c>
      <c r="AI74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{"issue":{"subject":"","project_id":79,"tracker_id":40,"status_id":1,"priority_id":2,"assigned_to_id":23,"start_date":"2017-05-09","description":"","custom_fields":[{"id":1,"name":"Subdivision","value":"EC"},{"id":4,"name":"Milepost","value":"23.3295"},{"id":17,"name":"Train ID","value":"161-09"},{"id":16,"name":"Locomotive ID","value":"4052"},{"id":130,"name":"Impact","value":""},{"id":150,"name":"Time of Event (Mountain Time)","value":"11:53:13"},{"id":151,"name":"Denver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4052 --day 2017-05-09</v>
      </c>
      <c r="AN74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688</v>
      </c>
      <c r="B75" s="7">
        <v>4051</v>
      </c>
      <c r="C75" s="21" t="s">
        <v>207</v>
      </c>
      <c r="D75" s="21" t="s">
        <v>845</v>
      </c>
      <c r="E75" s="13">
        <v>42864.504699074074</v>
      </c>
      <c r="F75" s="13">
        <v>42864.5078587963</v>
      </c>
      <c r="G75" s="7">
        <v>1</v>
      </c>
      <c r="H75" s="21" t="s">
        <v>382</v>
      </c>
      <c r="I75" s="13">
        <v>42864.534629629627</v>
      </c>
      <c r="J75" s="7">
        <v>0</v>
      </c>
      <c r="K75" s="92" t="str">
        <f t="shared" si="0"/>
        <v>4051/4052</v>
      </c>
      <c r="L75" s="21" t="str">
        <f>VLOOKUP(A75,'Trips&amp;Operators'!$C$1:$G$99999,5,FALSE)</f>
        <v>STEWART MICHAEL</v>
      </c>
      <c r="M75" s="6">
        <f t="shared" si="1"/>
        <v>2.6770833326736465E-2</v>
      </c>
      <c r="N75" s="7">
        <f t="shared" si="24"/>
        <v>38.54999999050051</v>
      </c>
      <c r="O75" s="7"/>
      <c r="P75" s="7"/>
      <c r="Q75" s="22"/>
      <c r="R75" s="190"/>
      <c r="S75" s="196">
        <f t="shared" si="25"/>
        <v>1</v>
      </c>
      <c r="T75" s="190" t="str">
        <f t="shared" si="4"/>
        <v>Southbound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-09T11:06:46-0600',mode:absolute,to:'2017-05-09T13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5" s="192" t="str">
        <f t="shared" si="6"/>
        <v>N</v>
      </c>
      <c r="X75" s="192">
        <f t="shared" si="23"/>
        <v>1</v>
      </c>
      <c r="Y75" s="192">
        <f t="shared" si="8"/>
        <v>23.297599999999999</v>
      </c>
      <c r="Z75" s="192">
        <f t="shared" si="9"/>
        <v>1.47E-2</v>
      </c>
      <c r="AA75" s="192">
        <f t="shared" si="10"/>
        <v>23.282899999999998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0162-09</v>
      </c>
      <c r="AE75" s="80" t="str">
        <f t="shared" si="12"/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AF75" s="77" t="str">
        <f t="shared" si="13"/>
        <v>"C:\Program Files (x86)\AstroGrep\AstroGrep.exe" /e /r /s /spath="%USERPROFILE%\AppData\Local\Temp\OnboardLogs" /stypes="app*4051*20170509*"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162-09 --locoid 4051 --swversion DE.1.0.9.0 --startMP 204:232976 --initTime 2017-05-09T12:06:46 --startdatetime 2017-05-09T12:11:19 --delay 1 --endMP 204:147 --enddatetime 2017-05-09T12:49:52 --enforcementcount 0 &gt;&gt;C:\Users\stu\Documents\GitHub\eaglep3-reporting\EC\2017-05-09-refined-times.txt</v>
      </c>
      <c r="AI75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{"issue":{"subject":"","project_id":79,"tracker_id":40,"status_id":1,"priority_id":2,"assigned_to_id":23,"start_date":"2017-05-09","description":"","custom_fields":[{"id":1,"name":"Subdivision","value":"EC"},{"id":4,"name":"Milepost","value":"0.0147"},{"id":17,"name":"Train ID","value":"162-09"},{"id":16,"name":"Locomotive ID","value":"4051"},{"id":130,"name":"Impact","value":""},{"id":150,"name":"Time of Event (Mountain Time)","value":"12:49:52"},{"id":151,"name":"Denver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4051 --day 2017-05-09</v>
      </c>
      <c r="AN75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18:49:52"},{"id":29,"name":"Sharepoint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681</v>
      </c>
      <c r="B76" s="7">
        <v>4020</v>
      </c>
      <c r="C76" s="21" t="s">
        <v>207</v>
      </c>
      <c r="D76" s="21" t="s">
        <v>375</v>
      </c>
      <c r="E76" s="13">
        <v>42864.476168981484</v>
      </c>
      <c r="F76" s="13">
        <v>42864.479363425926</v>
      </c>
      <c r="G76" s="7">
        <v>2</v>
      </c>
      <c r="H76" s="21" t="s">
        <v>521</v>
      </c>
      <c r="I76" s="13">
        <v>42864.504571759258</v>
      </c>
      <c r="J76" s="7">
        <v>0</v>
      </c>
      <c r="K76" s="92" t="str">
        <f t="shared" si="0"/>
        <v>4019/4020</v>
      </c>
      <c r="L76" s="21" t="str">
        <f>VLOOKUP(A76,'Trips&amp;Operators'!$C$1:$G$99999,5,FALSE)</f>
        <v>LAMAR NEKESHA</v>
      </c>
      <c r="M76" s="6">
        <f t="shared" si="1"/>
        <v>2.5208333332557231E-2</v>
      </c>
      <c r="N76" s="7">
        <f t="shared" si="24"/>
        <v>36.299999998882413</v>
      </c>
      <c r="O76" s="7"/>
      <c r="P76" s="7"/>
      <c r="Q76" s="22"/>
      <c r="R76" s="190"/>
      <c r="S76" s="196">
        <f t="shared" si="25"/>
        <v>1</v>
      </c>
      <c r="T76" s="190" t="str">
        <f t="shared" si="4"/>
        <v>NorthBound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-09T10:25:41-0600',mode:absolute,to:'2017-05-09T13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6" s="192" t="str">
        <f t="shared" si="6"/>
        <v>N</v>
      </c>
      <c r="X76" s="192">
        <f t="shared" si="23"/>
        <v>1</v>
      </c>
      <c r="Y76" s="192">
        <f t="shared" si="8"/>
        <v>4.53E-2</v>
      </c>
      <c r="Z76" s="192">
        <f t="shared" si="9"/>
        <v>23.327999999999999</v>
      </c>
      <c r="AA76" s="192">
        <f t="shared" si="10"/>
        <v>23.282699999999998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0163-09</v>
      </c>
      <c r="AE76" s="80" t="str">
        <f t="shared" si="12"/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AF76" s="77" t="str">
        <f t="shared" si="13"/>
        <v>"C:\Program Files (x86)\AstroGrep\AstroGrep.exe" /e /r /s /spath="%USERPROFILE%\AppData\Local\Temp\OnboardLogs" /stypes="app*4020*20170509*" /stext=" 18:.+((SYSTEM_STATE.+slice.+state.+changed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163-09 --locoid 4020 --swversion DE.1.0.9.0 --startMP 204:453 --initTime 2017-05-09T11:25:41 --startdatetime 2017-05-09T11:30:17 --delay 2 --endMP 204:233280 --enddatetime 2017-05-09T12:06:35 --enforcementcount 0 &gt;&gt;C:\Users\stu\Documents\GitHub\eaglep3-reporting\EC\2017-05-09-refined-times.txt</v>
      </c>
      <c r="AI76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{"issue":{"subject":"","project_id":79,"tracker_id":40,"status_id":1,"priority_id":2,"assigned_to_id":23,"start_date":"2017-05-09","description":"","custom_fields":[{"id":1,"name":"Subdivision","value":"EC"},{"id":4,"name":"Milepost","value":"23.328"},{"id":17,"name":"Train ID","value":"163-09"},{"id":16,"name":"Locomotive ID","value":"4020"},{"id":130,"name":"Impact","value":""},{"id":150,"name":"Time of Event (Mountain Time)","value":"12:06:35"},{"id":151,"name":"Denver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4020 --day 2017-05-09</v>
      </c>
      <c r="AN76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18:06:35"},{"id":29,"name":"Sharepoint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691</v>
      </c>
      <c r="B77" s="7">
        <v>4019</v>
      </c>
      <c r="C77" s="21" t="s">
        <v>207</v>
      </c>
      <c r="D77" s="21" t="s">
        <v>846</v>
      </c>
      <c r="E77" s="13">
        <v>42864.515335648146</v>
      </c>
      <c r="F77" s="13">
        <v>42864.518333333333</v>
      </c>
      <c r="G77" s="7">
        <v>3</v>
      </c>
      <c r="H77" s="21" t="s">
        <v>364</v>
      </c>
      <c r="I77" s="13">
        <v>42864.545694444445</v>
      </c>
      <c r="J77" s="7">
        <v>0</v>
      </c>
      <c r="K77" s="92" t="str">
        <f t="shared" ref="K77:K140" si="26">IF(ISEVEN(B77),(B77-1)&amp;"/"&amp;B77,B77&amp;"/"&amp;(B77+1))</f>
        <v>4019/4020</v>
      </c>
      <c r="L77" s="21" t="str">
        <f>VLOOKUP(A77,'Trips&amp;Operators'!$C$1:$G$99999,5,FALSE)</f>
        <v>LAMAR NEKESHA</v>
      </c>
      <c r="M77" s="6">
        <f t="shared" ref="M77:M140" si="27">I77-F77</f>
        <v>2.73611111115315E-2</v>
      </c>
      <c r="N77" s="7">
        <f t="shared" si="24"/>
        <v>39.40000000060536</v>
      </c>
      <c r="O77" s="7"/>
      <c r="P77" s="7"/>
      <c r="Q77" s="22"/>
      <c r="R77" s="190"/>
      <c r="S77" s="196">
        <f t="shared" si="25"/>
        <v>1</v>
      </c>
      <c r="T77" s="190" t="str">
        <f t="shared" ref="T77:T140" si="28">IF(ISEVEN(LEFT(AD77,4)),"Southbound","NorthBound")</f>
        <v>Southbound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-09T11:22:05-0600',mode:absolute,to:'2017-05-09T14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7" s="192" t="str">
        <f t="shared" ref="W77:W140" si="30">IF(AA77&lt;IF(AG77="EC",23,5.65),"Y","N")</f>
        <v>N</v>
      </c>
      <c r="X77" s="192">
        <f t="shared" ref="X77:X108" si="31">VALUE(LEFT(AD77,4))-VALUE(LEFT(AD76,4))</f>
        <v>1</v>
      </c>
      <c r="Y77" s="192">
        <f t="shared" ref="Y77:Y140" si="32">RIGHT(D77,LEN(D77)-4)/10000</f>
        <v>23.2944</v>
      </c>
      <c r="Z77" s="192">
        <f t="shared" ref="Z77:Z140" si="33">RIGHT(H77,LEN(H77)-4)/10000</f>
        <v>1.49E-2</v>
      </c>
      <c r="AA77" s="192">
        <f t="shared" ref="AA77:AA140" si="34">ABS(Z77-Y77)</f>
        <v>23.279499999999999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5">IF(LEN(A77)=6,"0"&amp;A77,A77)</f>
        <v>0164-09</v>
      </c>
      <c r="AE77" s="80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77" s="77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/stypes="app*4019*20170509*" /stext=" 19:.+((SYSTEM_STATE.+slice.+state.+changed )|(ment ac)|(multiple cpu faults)|(system.+state.+changed )|(\[timeout)|(PRM\|1\|D)|(kpr)|(kdp)|(train st.+moving)|(\|lc)|(penalty))"</v>
      </c>
      <c r="AG77" s="1" t="str">
        <f t="shared" ref="AG77:AG140" si="38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164-09 --locoid 4019 --swversion DE.1.0.9.0 --startMP 204:232944 --initTime 2017-05-09T12:22:05 --startdatetime 2017-05-09T12:26:24 --delay 3 --endMP 204:149 --enddatetime 2017-05-09T13:05:48 --enforcementcount 0 &gt;&gt;C:\Users\stu\Documents\GitHub\eaglep3-reporting\EC\2017-05-09-refined-times.txt</v>
      </c>
      <c r="AI77" s="99" t="str">
        <f t="shared" si="20"/>
        <v>echo {"issue":{"subject":"","project_id":79,"tracker_id":40,"status_id":1,"priority_id":2,"assigned_to_id":23,"start_date":"2017-05-09","description":"","custom_fields":[{"id":1,"name":"Subdivision","value":"EC"},{"id":4,"name":"Milepost","value":"0.0149"},{"id":17,"name":"Train ID","value":"164-09"},{"id":16,"name":"Locomotive ID","value":"4019"},{"id":130,"name":"Impact","value":""},{"id":150,"name":"Time of Event (Mountain Time)","value":"13:05:48"},{"id":151,"name":"Denver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4019 --day 2017-05-09</v>
      </c>
      <c r="AN77" s="154" t="str">
        <f t="shared" si="2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19:05:48"},{"id":29,"name":"Sharepoint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685</v>
      </c>
      <c r="B78" s="7">
        <v>4010</v>
      </c>
      <c r="C78" s="21" t="s">
        <v>207</v>
      </c>
      <c r="D78" s="21" t="s">
        <v>378</v>
      </c>
      <c r="E78" s="13">
        <v>42864.485208333332</v>
      </c>
      <c r="F78" s="13">
        <v>42864.489756944444</v>
      </c>
      <c r="G78" s="7">
        <v>1</v>
      </c>
      <c r="H78" s="21" t="s">
        <v>395</v>
      </c>
      <c r="I78" s="13">
        <v>42864.515752314815</v>
      </c>
      <c r="J78" s="7">
        <v>0</v>
      </c>
      <c r="K78" s="92" t="str">
        <f t="shared" si="26"/>
        <v>4009/4010</v>
      </c>
      <c r="L78" s="21" t="str">
        <f>VLOOKUP(A78,'Trips&amp;Operators'!$C$1:$G$99999,5,FALSE)</f>
        <v>CLARK KATHLEEN</v>
      </c>
      <c r="M78" s="6">
        <f t="shared" si="27"/>
        <v>2.5995370371674653E-2</v>
      </c>
      <c r="N78" s="7">
        <f t="shared" si="24"/>
        <v>37.433333335211501</v>
      </c>
      <c r="O78" s="7"/>
      <c r="P78" s="7"/>
      <c r="Q78" s="22"/>
      <c r="R78" s="190"/>
      <c r="S78" s="196">
        <f t="shared" si="25"/>
        <v>1</v>
      </c>
      <c r="T78" s="190" t="str">
        <f t="shared" si="28"/>
        <v>NorthBound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29"/>
        <v>https://d0f6bd738d7f1b3e5a7ca70fe4ff75f0.us-east-1.aws.found.io/app/kibana#/discover/Steve-Slow-Train-Analysis-(2080s-and-2083s)?_g=(refreshInterval:(display:Off,pause:!f,section:0,value:0),time:(from:'2017-05-09T10:38:42-0600',mode:absolute,to:'2017-05-09T13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8" s="192" t="str">
        <f t="shared" si="30"/>
        <v>N</v>
      </c>
      <c r="X78" s="192">
        <f t="shared" si="31"/>
        <v>1</v>
      </c>
      <c r="Y78" s="192">
        <f t="shared" si="32"/>
        <v>4.4699999999999997E-2</v>
      </c>
      <c r="Z78" s="192">
        <f t="shared" si="33"/>
        <v>23.329699999999999</v>
      </c>
      <c r="AA78" s="192">
        <f t="shared" si="34"/>
        <v>23.285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5"/>
        <v>0165-09</v>
      </c>
      <c r="AE78" s="80" t="str">
        <f t="shared" si="36"/>
        <v>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 &amp; aws s3 cp s3://rtdc.mdm.uploadarchive.raw/RTDC4010/ "%USERPROFILE%\AppData\Local\Temp\OnboardLogs"\RTDC4010\2017-05-10 --exclude "*" --recursive --include "*20170510*" &amp; "%USERPROFILE%\Documents\GitHub\mrs-test-scripts\Headless Mode &amp; Sideloading\WalkAndUnGZ.bat" "%USERPROFILE%\AppData\Local\Temp\OnboardLogs"\RTDC4010\2017-05-10</v>
      </c>
      <c r="AF78" s="77" t="str">
        <f t="shared" si="37"/>
        <v>"C:\Program Files (x86)\AstroGrep\AstroGrep.exe" /e /r /s /spath="%USERPROFILE%\AppData\Local\Temp\OnboardLogs" /stypes="app*4010*20170509*" /stext=" 18:.+((SYSTEM_STATE.+slice.+state.+changed )|(ment ac)|(multiple cpu faults)|(system.+state.+changed )|(\[timeout)|(PRM\|1\|D)|(kpr)|(kdp)|(train st.+moving)|(\|lc)|(penalty))"</v>
      </c>
      <c r="AG78" s="1" t="str">
        <f t="shared" si="38"/>
        <v>EC</v>
      </c>
      <c r="AH78" s="81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165-09 --locoid 4010 --swversion DE.1.0.9.0 --startMP 204:447 --initTime 2017-05-09T11:38:42 --startdatetime 2017-05-09T11:45:15 --delay 1 --endMP 204:233297 --enddatetime 2017-05-09T12:22:41 --enforcementcount 0 &gt;&gt;C:\Users\stu\Documents\GitHub\eaglep3-reporting\EC\2017-05-09-refined-times.txt</v>
      </c>
      <c r="AI78" s="99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{"issue":{"subject":"","project_id":79,"tracker_id":40,"status_id":1,"priority_id":2,"assigned_to_id":23,"start_date":"2017-05-09","description":"","custom_fields":[{"id":1,"name":"Subdivision","value":"EC"},{"id":4,"name":"Milepost","value":"23.3297"},{"id":17,"name":"Train ID","value":"165-09"},{"id":16,"name":"Locomotive ID","value":"4010"},{"id":130,"name":"Impact","value":""},{"id":150,"name":"Time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41">"start /low /b "&amp;dls3logs&amp;" --loco "&amp;B78&amp;" --day "&amp;TEXT(F78,"YYYY-MM-DD")</f>
        <v>start /low /b %USERPROFILE%\Documents\GitHub\eaglep3\Utilities\DownloadLogsFromS3.py --loco 4010 --day 2017-05-09</v>
      </c>
      <c r="AN78" s="154" t="str">
        <f t="shared" ref="AN78:AN141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18:22:41"},{"id":29,"name":"Sharepoint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695</v>
      </c>
      <c r="B79" s="7">
        <v>4009</v>
      </c>
      <c r="C79" s="21" t="s">
        <v>207</v>
      </c>
      <c r="D79" s="21" t="s">
        <v>818</v>
      </c>
      <c r="E79" s="13">
        <v>42864.523136574076</v>
      </c>
      <c r="F79" s="13">
        <v>42864.528645833336</v>
      </c>
      <c r="G79" s="7">
        <v>1</v>
      </c>
      <c r="H79" s="21" t="s">
        <v>847</v>
      </c>
      <c r="I79" s="13">
        <v>42864.556145833332</v>
      </c>
      <c r="J79" s="7">
        <v>0</v>
      </c>
      <c r="K79" s="92" t="str">
        <f t="shared" si="26"/>
        <v>4009/4010</v>
      </c>
      <c r="L79" s="21" t="str">
        <f>VLOOKUP(A79,'Trips&amp;Operators'!$C$1:$G$99999,5,FALSE)</f>
        <v>CLARK KATHLEEN</v>
      </c>
      <c r="M79" s="6">
        <f t="shared" si="27"/>
        <v>2.749999999650754E-2</v>
      </c>
      <c r="N79" s="7">
        <f t="shared" si="24"/>
        <v>39.599999994970858</v>
      </c>
      <c r="O79" s="7"/>
      <c r="P79" s="7"/>
      <c r="Q79" s="22"/>
      <c r="R79" s="190"/>
      <c r="S79" s="196">
        <f t="shared" si="25"/>
        <v>1</v>
      </c>
      <c r="T79" s="190" t="str">
        <f t="shared" si="28"/>
        <v>Southbound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29"/>
        <v>https://d0f6bd738d7f1b3e5a7ca70fe4ff75f0.us-east-1.aws.found.io/app/kibana#/discover/Steve-Slow-Train-Analysis-(2080s-and-2083s)?_g=(refreshInterval:(display:Off,pause:!f,section:0,value:0),time:(from:'2017-05-09T11:33:19-0600',mode:absolute,to:'2017-05-09T14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9" s="192" t="str">
        <f t="shared" si="30"/>
        <v>N</v>
      </c>
      <c r="X79" s="192">
        <f t="shared" si="31"/>
        <v>1</v>
      </c>
      <c r="Y79" s="192">
        <f t="shared" si="32"/>
        <v>23.297699999999999</v>
      </c>
      <c r="Z79" s="192">
        <f t="shared" si="33"/>
        <v>0.02</v>
      </c>
      <c r="AA79" s="192">
        <f t="shared" si="34"/>
        <v>23.277699999999999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5"/>
        <v>0166-09</v>
      </c>
      <c r="AE79" s="80" t="str">
        <f t="shared" si="36"/>
        <v>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 &amp; aws s3 cp s3://rtdc.mdm.uploadarchive.raw/RTDC4009/ "%USERPROFILE%\AppData\Local\Temp\OnboardLogs"\RTDC4009\2017-05-10 --exclude "*" --recursive --include "*20170510*" &amp; "%USERPROFILE%\Documents\GitHub\mrs-test-scripts\Headless Mode &amp; Sideloading\WalkAndUnGZ.bat" "%USERPROFILE%\AppData\Local\Temp\OnboardLogs"\RTDC4009\2017-05-10</v>
      </c>
      <c r="AF79" s="77" t="str">
        <f t="shared" si="37"/>
        <v>"C:\Program Files (x86)\AstroGrep\AstroGrep.exe" /e /r /s /spath="%USERPROFILE%\AppData\Local\Temp\OnboardLogs" /stypes="app*4009*20170509*" /stext=" 19:.+((SYSTEM_STATE.+slice.+state.+changed )|(ment ac)|(multiple cpu faults)|(system.+state.+changed )|(\[timeout)|(PRM\|1\|D)|(kpr)|(kdp)|(train st.+moving)|(\|lc)|(penalty))"</v>
      </c>
      <c r="AG79" s="1" t="str">
        <f t="shared" si="38"/>
        <v>EC</v>
      </c>
      <c r="AH79" s="81" t="str">
        <f t="shared" si="39"/>
        <v>"%USERPROFILE%\Documents\GitHub\eaglep3\Utilities\RefineRTDCRunTimes.py" --tripid 166-09 --locoid 4009 --swversion DE.1.0.9.0 --startMP 204:232977 --initTime 2017-05-09T12:33:19 --startdatetime 2017-05-09T12:41:15 --delay 1 --endMP 204:200 --enddatetime 2017-05-09T13:20:51 --enforcementcount 0 &gt;&gt;C:\Users\stu\Documents\GitHub\eaglep3-reporting\EC\2017-05-09-refined-times.txt</v>
      </c>
      <c r="AI79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{"issue":{"subject":"","project_id":79,"tracker_id":40,"status_id":1,"priority_id":2,"assigned_to_id":23,"start_date":"2017-05-09","description":"","custom_fields":[{"id":1,"name":"Subdivision","value":"EC"},{"id":4,"name":"Milepost","value":"0.02"},{"id":17,"name":"Train ID","value":"166-09"},{"id":16,"name":"Locomotive ID","value":"4009"},{"id":130,"name":"Impact","value":""},{"id":150,"name":"Time of Event (Mountain Time)","value":"13:20:51"},{"id":151,"name":"Denver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1"/>
        <v>start /low /b %USERPROFILE%\Documents\GitHub\eaglep3\Utilities\DownloadLogsFromS3.py --loco 4009 --day 2017-05-09</v>
      </c>
      <c r="AN79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19:20:51"},{"id":29,"name":"Sharepoint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687</v>
      </c>
      <c r="B80" s="7">
        <v>4008</v>
      </c>
      <c r="C80" s="21" t="s">
        <v>207</v>
      </c>
      <c r="D80" s="21" t="s">
        <v>368</v>
      </c>
      <c r="E80" s="13">
        <v>42864.49622685185</v>
      </c>
      <c r="F80" s="13">
        <v>42864.500173611108</v>
      </c>
      <c r="G80" s="7">
        <v>1</v>
      </c>
      <c r="H80" s="21" t="s">
        <v>513</v>
      </c>
      <c r="I80" s="13">
        <v>42864.524282407408</v>
      </c>
      <c r="J80" s="7">
        <v>0</v>
      </c>
      <c r="K80" s="92" t="str">
        <f t="shared" si="26"/>
        <v>4007/4008</v>
      </c>
      <c r="L80" s="21" t="str">
        <f>VLOOKUP(A80,'Trips&amp;Operators'!$C$1:$G$99999,5,FALSE)</f>
        <v>LALONDE GREGORY</v>
      </c>
      <c r="M80" s="6">
        <f t="shared" si="27"/>
        <v>2.4108796300424729E-2</v>
      </c>
      <c r="N80" s="7">
        <f t="shared" ref="N80:N111" si="43">24*60*SUM($M80:$M80)</f>
        <v>34.716666672611609</v>
      </c>
      <c r="O80" s="7"/>
      <c r="P80" s="7"/>
      <c r="Q80" s="22"/>
      <c r="R80" s="190"/>
      <c r="S80" s="196">
        <f t="shared" si="25"/>
        <v>1</v>
      </c>
      <c r="T80" s="190" t="str">
        <f t="shared" si="28"/>
        <v>NorthBound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29"/>
        <v>https://d0f6bd738d7f1b3e5a7ca70fe4ff75f0.us-east-1.aws.found.io/app/kibana#/discover/Steve-Slow-Train-Analysis-(2080s-and-2083s)?_g=(refreshInterval:(display:Off,pause:!f,section:0,value:0),time:(from:'2017-05-09T10:54:34-0600',mode:absolute,to:'2017-05-09T13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0" s="192" t="str">
        <f t="shared" si="30"/>
        <v>N</v>
      </c>
      <c r="X80" s="192">
        <f t="shared" si="31"/>
        <v>1</v>
      </c>
      <c r="Y80" s="192">
        <f t="shared" si="32"/>
        <v>4.5100000000000001E-2</v>
      </c>
      <c r="Z80" s="192">
        <f t="shared" si="33"/>
        <v>23.3309</v>
      </c>
      <c r="AA80" s="192">
        <f t="shared" si="34"/>
        <v>23.285799999999998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5"/>
        <v>0167-09</v>
      </c>
      <c r="AE80" s="80" t="str">
        <f t="shared" si="36"/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80" s="77" t="str">
        <f t="shared" si="37"/>
        <v>"C:\Program Files (x86)\AstroGrep\AstroGrep.exe" /e /r /s /spath="%USERPROFILE%\AppData\Local\Temp\OnboardLogs" /stypes="app*4008*20170509*" /stext=" 18:.+((SYSTEM_STATE.+slice.+state.+changed )|(ment ac)|(multiple cpu faults)|(system.+state.+changed )|(\[timeout)|(PRM\|1\|D)|(kpr)|(kdp)|(train st.+moving)|(\|lc)|(penalty))"</v>
      </c>
      <c r="AG80" s="1" t="str">
        <f t="shared" si="38"/>
        <v>EC</v>
      </c>
      <c r="AH80" s="81" t="str">
        <f t="shared" si="39"/>
        <v>"%USERPROFILE%\Documents\GitHub\eaglep3\Utilities\RefineRTDCRunTimes.py" --tripid 167-09 --locoid 4008 --swversion DE.1.0.9.0 --startMP 204:451 --initTime 2017-05-09T11:54:34 --startdatetime 2017-05-09T12:00:15 --delay 1 --endMP 204:233309 --enddatetime 2017-05-09T12:34:58 --enforcementcount 0 &gt;&gt;C:\Users\stu\Documents\GitHub\eaglep3-reporting\EC\2017-05-09-refined-times.txt</v>
      </c>
      <c r="AI80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{"issue":{"subject":"","project_id":79,"tracker_id":40,"status_id":1,"priority_id":2,"assigned_to_id":23,"start_date":"2017-05-09","description":"","custom_fields":[{"id":1,"name":"Subdivision","value":"EC"},{"id":4,"name":"Milepost","value":"23.3309"},{"id":17,"name":"Train ID","value":"167-09"},{"id":16,"name":"Locomotive ID","value":"4008"},{"id":130,"name":"Impact","value":""},{"id":150,"name":"Time of Event (Mountain Time)","value":"12:34:58"},{"id":151,"name":"Denver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1"/>
        <v>start /low /b %USERPROFILE%\Documents\GitHub\eaglep3\Utilities\DownloadLogsFromS3.py --loco 4008 --day 2017-05-09</v>
      </c>
      <c r="AN80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18:34:58"},{"id":29,"name":"Sharepoint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696</v>
      </c>
      <c r="B81" s="7">
        <v>4007</v>
      </c>
      <c r="C81" s="21" t="s">
        <v>207</v>
      </c>
      <c r="D81" s="21" t="s">
        <v>836</v>
      </c>
      <c r="E81" s="13">
        <v>42864.525636574072</v>
      </c>
      <c r="F81" s="13">
        <v>42864.539027777777</v>
      </c>
      <c r="G81" s="7">
        <v>1</v>
      </c>
      <c r="H81" s="21" t="s">
        <v>364</v>
      </c>
      <c r="I81" s="13">
        <v>42864.564467592594</v>
      </c>
      <c r="J81" s="7">
        <v>0</v>
      </c>
      <c r="K81" s="92" t="str">
        <f t="shared" si="26"/>
        <v>4007/4008</v>
      </c>
      <c r="L81" s="21" t="str">
        <f>VLOOKUP(A81,'Trips&amp;Operators'!$C$1:$G$99999,5,FALSE)</f>
        <v>LALONDE GREGORY</v>
      </c>
      <c r="M81" s="6">
        <f t="shared" si="27"/>
        <v>2.5439814817218576E-2</v>
      </c>
      <c r="N81" s="7">
        <f t="shared" si="43"/>
        <v>36.633333336794749</v>
      </c>
      <c r="O81" s="7"/>
      <c r="P81" s="7"/>
      <c r="Q81" s="22"/>
      <c r="R81" s="190"/>
      <c r="S81" s="196">
        <f t="shared" si="25"/>
        <v>1</v>
      </c>
      <c r="T81" s="190" t="str">
        <f t="shared" si="28"/>
        <v>Southbound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29"/>
        <v>https://d0f6bd738d7f1b3e5a7ca70fe4ff75f0.us-east-1.aws.found.io/app/kibana#/discover/Steve-Slow-Train-Analysis-(2080s-and-2083s)?_g=(refreshInterval:(display:Off,pause:!f,section:0,value:0),time:(from:'2017-05-09T11:36:55-0600',mode:absolute,to:'2017-05-09T14:32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1" s="192" t="str">
        <f t="shared" si="30"/>
        <v>N</v>
      </c>
      <c r="X81" s="192">
        <f t="shared" si="31"/>
        <v>1</v>
      </c>
      <c r="Y81" s="192">
        <f t="shared" si="32"/>
        <v>23.2988</v>
      </c>
      <c r="Z81" s="192">
        <f t="shared" si="33"/>
        <v>1.49E-2</v>
      </c>
      <c r="AA81" s="192">
        <f t="shared" si="34"/>
        <v>23.283899999999999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5"/>
        <v>0168-09</v>
      </c>
      <c r="AE81" s="80" t="str">
        <f t="shared" si="36"/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AF81" s="77" t="str">
        <f t="shared" si="37"/>
        <v>"C:\Program Files (x86)\AstroGrep\AstroGrep.exe" /e /r /s /spath="%USERPROFILE%\AppData\Local\Temp\OnboardLogs" /stypes="app*4007*20170509*" /stext=" 19:.+((SYSTEM_STATE.+slice.+state.+changed )|(ment ac)|(multiple cpu faults)|(system.+state.+changed )|(\[timeout)|(PRM\|1\|D)|(kpr)|(kdp)|(train st.+moving)|(\|lc)|(penalty))"</v>
      </c>
      <c r="AG81" s="1" t="str">
        <f t="shared" si="38"/>
        <v>EC</v>
      </c>
      <c r="AH81" s="81" t="str">
        <f t="shared" si="39"/>
        <v>"%USERPROFILE%\Documents\GitHub\eaglep3\Utilities\RefineRTDCRunTimes.py" --tripid 168-09 --locoid 4007 --swversion DE.1.0.9.0 --startMP 204:232988 --initTime 2017-05-09T12:36:55 --startdatetime 2017-05-09T12:56:12 --delay 1 --endMP 204:149 --enddatetime 2017-05-09T13:32:50 --enforcementcount 0 &gt;&gt;C:\Users\stu\Documents\GitHub\eaglep3-reporting\EC\2017-05-09-refined-times.txt</v>
      </c>
      <c r="AI81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{"issue":{"subject":"","project_id":79,"tracker_id":40,"status_id":1,"priority_id":2,"assigned_to_id":23,"start_date":"2017-05-09","description":"","custom_fields":[{"id":1,"name":"Subdivision","value":"EC"},{"id":4,"name":"Milepost","value":"0.0149"},{"id":17,"name":"Train ID","value":"168-09"},{"id":16,"name":"Locomotive ID","value":"4007"},{"id":130,"name":"Impact","value":""},{"id":150,"name":"Time of Event (Mountain Time)","value":"13:32:50"},{"id":151,"name":"Denver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1"/>
        <v>start /low /b %USERPROFILE%\Documents\GitHub\eaglep3\Utilities\DownloadLogsFromS3.py --loco 4007 --day 2017-05-09</v>
      </c>
      <c r="AN81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19:32:50"},{"id":29,"name":"Sharepoint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690</v>
      </c>
      <c r="B82" s="7">
        <v>4030</v>
      </c>
      <c r="C82" s="21" t="s">
        <v>207</v>
      </c>
      <c r="D82" s="21" t="s">
        <v>504</v>
      </c>
      <c r="E82" s="13">
        <v>42864.507708333331</v>
      </c>
      <c r="F82" s="13">
        <v>42864.510601851849</v>
      </c>
      <c r="G82" s="7">
        <v>2</v>
      </c>
      <c r="H82" s="21" t="s">
        <v>387</v>
      </c>
      <c r="I82" s="13">
        <v>42864.535057870373</v>
      </c>
      <c r="J82" s="7">
        <v>0</v>
      </c>
      <c r="K82" s="92" t="str">
        <f t="shared" si="26"/>
        <v>4029/4030</v>
      </c>
      <c r="L82" s="21" t="str">
        <f>VLOOKUP(A82,'Trips&amp;Operators'!$C$1:$G$99999,5,FALSE)</f>
        <v>ROMERO CHAD</v>
      </c>
      <c r="M82" s="6">
        <f t="shared" si="27"/>
        <v>2.4456018523778766E-2</v>
      </c>
      <c r="N82" s="7">
        <f t="shared" si="43"/>
        <v>35.216666674241424</v>
      </c>
      <c r="O82" s="7"/>
      <c r="P82" s="7"/>
      <c r="Q82" s="22"/>
      <c r="R82" s="190"/>
      <c r="S82" s="196">
        <f t="shared" si="25"/>
        <v>1</v>
      </c>
      <c r="T82" s="190" t="str">
        <f t="shared" si="28"/>
        <v>NorthBound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29"/>
        <v>https://d0f6bd738d7f1b3e5a7ca70fe4ff75f0.us-east-1.aws.found.io/app/kibana#/discover/Steve-Slow-Train-Analysis-(2080s-and-2083s)?_g=(refreshInterval:(display:Off,pause:!f,section:0,value:0),time:(from:'2017-05-09T11:11:06-0600',mode:absolute,to:'2017-05-09T13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2" s="192" t="str">
        <f t="shared" si="30"/>
        <v>N</v>
      </c>
      <c r="X82" s="192">
        <f t="shared" si="31"/>
        <v>1</v>
      </c>
      <c r="Y82" s="192">
        <f t="shared" si="32"/>
        <v>4.6199999999999998E-2</v>
      </c>
      <c r="Z82" s="192">
        <f t="shared" si="33"/>
        <v>23.331900000000001</v>
      </c>
      <c r="AA82" s="192">
        <f t="shared" si="34"/>
        <v>23.285700000000002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5"/>
        <v>0169-09</v>
      </c>
      <c r="AE82" s="80" t="str">
        <f t="shared" si="36"/>
        <v>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 &amp; 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</v>
      </c>
      <c r="AF82" s="77" t="str">
        <f t="shared" si="37"/>
        <v>"C:\Program Files (x86)\AstroGrep\AstroGrep.exe" /e /r /s /spath="%USERPROFILE%\AppData\Local\Temp\OnboardLogs" /stypes="app*4030*20170509*" /stext=" 18:.+((SYSTEM_STATE.+slice.+state.+changed )|(ment ac)|(multiple cpu faults)|(system.+state.+changed )|(\[timeout)|(PRM\|1\|D)|(kpr)|(kdp)|(train st.+moving)|(\|lc)|(penalty))"</v>
      </c>
      <c r="AG82" s="1" t="str">
        <f t="shared" si="38"/>
        <v>EC</v>
      </c>
      <c r="AH82" s="81" t="str">
        <f t="shared" si="39"/>
        <v>"%USERPROFILE%\Documents\GitHub\eaglep3\Utilities\RefineRTDCRunTimes.py" --tripid 169-09 --locoid 4030 --swversion DE.1.0.9.0 --startMP 204:462 --initTime 2017-05-09T12:11:06 --startdatetime 2017-05-09T12:15:16 --delay 2 --endMP 204:233319 --enddatetime 2017-05-09T12:50:29 --enforcementcount 0 &gt;&gt;C:\Users\stu\Documents\GitHub\eaglep3-reporting\EC\2017-05-09-refined-times.txt</v>
      </c>
      <c r="AI82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{"issue":{"subject":"","project_id":79,"tracker_id":40,"status_id":1,"priority_id":2,"assigned_to_id":23,"start_date":"2017-05-09","description":"","custom_fields":[{"id":1,"name":"Subdivision","value":"EC"},{"id":4,"name":"Milepost","value":"23.3319"},{"id":17,"name":"Train ID","value":"169-09"},{"id":16,"name":"Locomotive ID","value":"4030"},{"id":130,"name":"Impact","value":""},{"id":150,"name":"Time of Event (Mountain Time)","value":"12:50:29"},{"id":151,"name":"Denver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1"/>
        <v>start /low /b %USERPROFILE%\Documents\GitHub\eaglep3\Utilities\DownloadLogsFromS3.py --loco 4030 --day 2017-05-09</v>
      </c>
      <c r="AN82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18:50:29"},{"id":29,"name":"Sharepoint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580</v>
      </c>
      <c r="B83" s="7">
        <v>4029</v>
      </c>
      <c r="C83" s="21" t="s">
        <v>207</v>
      </c>
      <c r="D83" s="21" t="s">
        <v>848</v>
      </c>
      <c r="E83" s="13">
        <v>42864.539571759262</v>
      </c>
      <c r="F83" s="13">
        <v>42864.549537037034</v>
      </c>
      <c r="G83" s="7">
        <v>1</v>
      </c>
      <c r="H83" s="21" t="s">
        <v>379</v>
      </c>
      <c r="I83" s="13">
        <v>42864.576423611114</v>
      </c>
      <c r="J83" s="7">
        <v>0</v>
      </c>
      <c r="K83" s="92" t="str">
        <f t="shared" si="26"/>
        <v>4029/4030</v>
      </c>
      <c r="L83" s="21" t="str">
        <f>VLOOKUP(A83,'Trips&amp;Operators'!$C$1:$G$99999,5,FALSE)</f>
        <v>ROMERO CHAD</v>
      </c>
      <c r="M83" s="6">
        <f t="shared" si="27"/>
        <v>2.6886574079981074E-2</v>
      </c>
      <c r="N83" s="7">
        <f t="shared" si="43"/>
        <v>38.716666675172746</v>
      </c>
      <c r="O83" s="7"/>
      <c r="P83" s="7"/>
      <c r="Q83" s="22"/>
      <c r="R83" s="190"/>
      <c r="S83" s="196">
        <f t="shared" si="25"/>
        <v>1</v>
      </c>
      <c r="T83" s="190" t="str">
        <f t="shared" si="28"/>
        <v>Southbound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29"/>
        <v>https://d0f6bd738d7f1b3e5a7ca70fe4ff75f0.us-east-1.aws.found.io/app/kibana#/discover/Steve-Slow-Train-Analysis-(2080s-and-2083s)?_g=(refreshInterval:(display:Off,pause:!f,section:0,value:0),time:(from:'2017-05-09T11:56:59-0600',mode:absolute,to:'2017-05-09T14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3" s="192" t="str">
        <f t="shared" si="30"/>
        <v>N</v>
      </c>
      <c r="X83" s="192">
        <f t="shared" si="31"/>
        <v>1</v>
      </c>
      <c r="Y83" s="192">
        <f t="shared" si="32"/>
        <v>23.301100000000002</v>
      </c>
      <c r="Z83" s="192">
        <f t="shared" si="33"/>
        <v>1.3899999999999999E-2</v>
      </c>
      <c r="AA83" s="192">
        <f t="shared" si="34"/>
        <v>23.287200000000002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5"/>
        <v>0170-09</v>
      </c>
      <c r="AE83" s="80" t="str">
        <f t="shared" si="36"/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AF83" s="77" t="str">
        <f t="shared" si="37"/>
        <v>"C:\Program Files (x86)\AstroGrep\AstroGrep.exe" /e /r /s /spath="%USERPROFILE%\AppData\Local\Temp\OnboardLogs" /stypes="app*4029*20170509*" /stext=" 19:.+((SYSTEM_STATE.+slice.+state.+changed )|(ment ac)|(multiple cpu faults)|(system.+state.+changed )|(\[timeout)|(PRM\|1\|D)|(kpr)|(kdp)|(train st.+moving)|(\|lc)|(penalty))"</v>
      </c>
      <c r="AG83" s="1" t="str">
        <f t="shared" si="38"/>
        <v>EC</v>
      </c>
      <c r="AH83" s="81" t="str">
        <f t="shared" si="39"/>
        <v>"%USERPROFILE%\Documents\GitHub\eaglep3\Utilities\RefineRTDCRunTimes.py" --tripid 170-09 --locoid 4029 --swversion DE.1.0.9.0 --startMP 204:233011 --initTime 2017-05-09T12:56:59 --startdatetime 2017-05-09T13:11:20 --delay 1 --endMP 204:139 --enddatetime 2017-05-09T13:50:03 --enforcementcount 0 &gt;&gt;C:\Users\stu\Documents\GitHub\eaglep3-reporting\EC\2017-05-09-refined-times.txt</v>
      </c>
      <c r="AI83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{"issue":{"subject":"","project_id":79,"tracker_id":40,"status_id":1,"priority_id":2,"assigned_to_id":23,"start_date":"2017-05-09","description":"","custom_fields":[{"id":1,"name":"Subdivision","value":"EC"},{"id":4,"name":"Milepost","value":"0.0139"},{"id":17,"name":"Train ID","value":"170-09"},{"id":16,"name":"Locomotive ID","value":"4029"},{"id":130,"name":"Impact","value":""},{"id":150,"name":"Time of Event (Mountain Time)","value":"13:50:03"},{"id":151,"name":"Denver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1"/>
        <v>start /low /b %USERPROFILE%\Documents\GitHub\eaglep3\Utilities\DownloadLogsFromS3.py --loco 4029 --day 2017-05-09</v>
      </c>
      <c r="AN83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19:50:03"},{"id":29,"name":"Sharepoint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692</v>
      </c>
      <c r="B84" s="7">
        <v>4046</v>
      </c>
      <c r="C84" s="21" t="s">
        <v>207</v>
      </c>
      <c r="D84" s="21" t="s">
        <v>204</v>
      </c>
      <c r="E84" s="13">
        <v>42864.517164351855</v>
      </c>
      <c r="F84" s="13">
        <v>42864.521053240744</v>
      </c>
      <c r="G84" s="7">
        <v>2</v>
      </c>
      <c r="H84" s="21" t="s">
        <v>849</v>
      </c>
      <c r="I84" s="13">
        <v>42864.546516203707</v>
      </c>
      <c r="J84" s="7">
        <v>0</v>
      </c>
      <c r="K84" s="92" t="str">
        <f t="shared" si="26"/>
        <v>4045/4046</v>
      </c>
      <c r="L84" s="21" t="str">
        <f>VLOOKUP(A84,'Trips&amp;Operators'!$C$1:$G$99999,5,FALSE)</f>
        <v>THOMPSON LESTER</v>
      </c>
      <c r="M84" s="6">
        <f t="shared" si="27"/>
        <v>2.5462962963501923E-2</v>
      </c>
      <c r="N84" s="7">
        <f t="shared" si="43"/>
        <v>36.666666667442769</v>
      </c>
      <c r="O84" s="7"/>
      <c r="P84" s="7"/>
      <c r="Q84" s="22"/>
      <c r="R84" s="190"/>
      <c r="S84" s="196">
        <f t="shared" si="25"/>
        <v>1</v>
      </c>
      <c r="T84" s="190" t="str">
        <f t="shared" si="28"/>
        <v>NorthBound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29"/>
        <v>https://d0f6bd738d7f1b3e5a7ca70fe4ff75f0.us-east-1.aws.found.io/app/kibana#/discover/Steve-Slow-Train-Analysis-(2080s-and-2083s)?_g=(refreshInterval:(display:Off,pause:!f,section:0,value:0),time:(from:'2017-05-09T11:24:43-0600',mode:absolute,to:'2017-05-09T14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4" s="192" t="str">
        <f t="shared" si="30"/>
        <v>N</v>
      </c>
      <c r="X84" s="192">
        <f t="shared" si="31"/>
        <v>1</v>
      </c>
      <c r="Y84" s="192">
        <f t="shared" si="32"/>
        <v>4.5999999999999999E-2</v>
      </c>
      <c r="Z84" s="192">
        <f t="shared" si="33"/>
        <v>23.332000000000001</v>
      </c>
      <c r="AA84" s="192">
        <f t="shared" si="34"/>
        <v>23.286000000000001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5"/>
        <v>0171-09</v>
      </c>
      <c r="AE84" s="80" t="str">
        <f t="shared" si="36"/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AF84" s="77" t="str">
        <f t="shared" si="37"/>
        <v>"C:\Program Files (x86)\AstroGrep\AstroGrep.exe" /e /r /s /spath="%USERPROFILE%\AppData\Local\Temp\OnboardLogs" /stypes="app*4046*20170509*" /stext=" 19:.+((SYSTEM_STATE.+slice.+state.+changed )|(ment ac)|(multiple cpu faults)|(system.+state.+changed )|(\[timeout)|(PRM\|1\|D)|(kpr)|(kdp)|(train st.+moving)|(\|lc)|(penalty))"</v>
      </c>
      <c r="AG84" s="1" t="str">
        <f t="shared" si="38"/>
        <v>EC</v>
      </c>
      <c r="AH84" s="81" t="str">
        <f t="shared" si="39"/>
        <v>"%USERPROFILE%\Documents\GitHub\eaglep3\Utilities\RefineRTDCRunTimes.py" --tripid 171-09 --locoid 4046 --swversion DE.1.0.9.0 --startMP 204:460 --initTime 2017-05-09T12:24:43 --startdatetime 2017-05-09T12:30:19 --delay 2 --endMP 204:233320 --enddatetime 2017-05-09T13:06:59 --enforcementcount 0 &gt;&gt;C:\Users\stu\Documents\GitHub\eaglep3-reporting\EC\2017-05-09-refined-times.txt</v>
      </c>
      <c r="AI84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{"issue":{"subject":"","project_id":79,"tracker_id":40,"status_id":1,"priority_id":2,"assigned_to_id":23,"start_date":"2017-05-09","description":"","custom_fields":[{"id":1,"name":"Subdivision","value":"EC"},{"id":4,"name":"Milepost","value":"23.332"},{"id":17,"name":"Train ID","value":"171-09"},{"id":16,"name":"Locomotive ID","value":"4046"},{"id":130,"name":"Impact","value":""},{"id":150,"name":"Time of Event (Mountain Time)","value":"13:06:59"},{"id":151,"name":"Denver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1"/>
        <v>start /low /b %USERPROFILE%\Documents\GitHub\eaglep3\Utilities\DownloadLogsFromS3.py --loco 4046 --day 2017-05-09</v>
      </c>
      <c r="AN84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19:06:59"},{"id":29,"name":"Sharepoint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701</v>
      </c>
      <c r="B85" s="7">
        <v>4045</v>
      </c>
      <c r="C85" s="21" t="s">
        <v>207</v>
      </c>
      <c r="D85" s="21" t="s">
        <v>850</v>
      </c>
      <c r="E85" s="13">
        <v>42864.557199074072</v>
      </c>
      <c r="F85" s="13">
        <v>42864.560023148151</v>
      </c>
      <c r="G85" s="7">
        <v>1</v>
      </c>
      <c r="H85" s="21" t="s">
        <v>449</v>
      </c>
      <c r="I85" s="13">
        <v>42864.586689814816</v>
      </c>
      <c r="J85" s="7">
        <v>0</v>
      </c>
      <c r="K85" s="92" t="str">
        <f t="shared" si="26"/>
        <v>4045/4046</v>
      </c>
      <c r="L85" s="21" t="str">
        <f>VLOOKUP(A85,'Trips&amp;Operators'!$C$1:$G$99999,5,FALSE)</f>
        <v>THOMPSON LESTER</v>
      </c>
      <c r="M85" s="6">
        <f t="shared" si="27"/>
        <v>2.6666666664823424E-2</v>
      </c>
      <c r="N85" s="7">
        <f t="shared" si="43"/>
        <v>38.399999997345731</v>
      </c>
      <c r="O85" s="7"/>
      <c r="P85" s="7"/>
      <c r="Q85" s="22"/>
      <c r="R85" s="190"/>
      <c r="S85" s="196">
        <f t="shared" si="25"/>
        <v>1</v>
      </c>
      <c r="T85" s="190" t="str">
        <f t="shared" si="28"/>
        <v>Southbound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29"/>
        <v>https://d0f6bd738d7f1b3e5a7ca70fe4ff75f0.us-east-1.aws.found.io/app/kibana#/discover/Steve-Slow-Train-Analysis-(2080s-and-2083s)?_g=(refreshInterval:(display:Off,pause:!f,section:0,value:0),time:(from:'2017-05-09T12:22:22-0600',mode:absolute,to:'2017-05-09T15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5" s="192" t="str">
        <f t="shared" si="30"/>
        <v>N</v>
      </c>
      <c r="X85" s="192">
        <f t="shared" si="31"/>
        <v>1</v>
      </c>
      <c r="Y85" s="192">
        <f t="shared" si="32"/>
        <v>23.3005</v>
      </c>
      <c r="Z85" s="192">
        <f t="shared" si="33"/>
        <v>1.67E-2</v>
      </c>
      <c r="AA85" s="192">
        <f t="shared" si="34"/>
        <v>23.283799999999999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5"/>
        <v>0172-09</v>
      </c>
      <c r="AE85" s="80" t="str">
        <f t="shared" si="36"/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AF85" s="77" t="str">
        <f t="shared" si="37"/>
        <v>"C:\Program Files (x86)\AstroGrep\AstroGrep.exe" /e /r /s /spath="%USERPROFILE%\AppData\Local\Temp\OnboardLogs" /stypes="app*4045*20170509*" /stext=" 20:.+((SYSTEM_STATE.+slice.+state.+changed )|(ment ac)|(multiple cpu faults)|(system.+state.+changed )|(\[timeout)|(PRM\|1\|D)|(kpr)|(kdp)|(train st.+moving)|(\|lc)|(penalty))"</v>
      </c>
      <c r="AG85" s="1" t="str">
        <f t="shared" si="38"/>
        <v>EC</v>
      </c>
      <c r="AH85" s="81" t="str">
        <f t="shared" si="39"/>
        <v>"%USERPROFILE%\Documents\GitHub\eaglep3\Utilities\RefineRTDCRunTimes.py" --tripid 172-09 --locoid 4045 --swversion DE.1.0.9.0 --startMP 204:233005 --initTime 2017-05-09T13:22:22 --startdatetime 2017-05-09T13:26:26 --delay 1 --endMP 204:167 --enddatetime 2017-05-09T14:04:50 --enforcementcount 0 &gt;&gt;C:\Users\stu\Documents\GitHub\eaglep3-reporting\EC\2017-05-09-refined-times.txt</v>
      </c>
      <c r="AI85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{"issue":{"subject":"","project_id":79,"tracker_id":40,"status_id":1,"priority_id":2,"assigned_to_id":23,"start_date":"2017-05-09","description":"","custom_fields":[{"id":1,"name":"Subdivision","value":"EC"},{"id":4,"name":"Milepost","value":"0.0167"},{"id":17,"name":"Train ID","value":"172-09"},{"id":16,"name":"Locomotive ID","value":"4045"},{"id":130,"name":"Impact","value":""},{"id":150,"name":"Time of Event (Mountain Time)","value":"14:04:50"},{"id":151,"name":"Denver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1"/>
        <v>start /low /b %USERPROFILE%\Documents\GitHub\eaglep3\Utilities\DownloadLogsFromS3.py --loco 4045 --day 2017-05-09</v>
      </c>
      <c r="AN85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698</v>
      </c>
      <c r="B86" s="7">
        <v>4012</v>
      </c>
      <c r="C86" s="21" t="s">
        <v>207</v>
      </c>
      <c r="D86" s="21" t="s">
        <v>366</v>
      </c>
      <c r="E86" s="13">
        <v>42864.52888888889</v>
      </c>
      <c r="F86" s="13">
        <v>42864.531493055554</v>
      </c>
      <c r="G86" s="7">
        <v>1</v>
      </c>
      <c r="H86" s="21" t="s">
        <v>387</v>
      </c>
      <c r="I86" s="13">
        <v>42864.557569444441</v>
      </c>
      <c r="J86" s="7">
        <v>0</v>
      </c>
      <c r="K86" s="92" t="str">
        <f t="shared" si="26"/>
        <v>4011/4012</v>
      </c>
      <c r="L86" s="21" t="str">
        <f>VLOOKUP(A86,'Trips&amp;Operators'!$C$1:$G$99999,5,FALSE)</f>
        <v>DAVIS MICHAEL</v>
      </c>
      <c r="M86" s="6">
        <f t="shared" si="27"/>
        <v>2.6076388887304347E-2</v>
      </c>
      <c r="N86" s="7">
        <f t="shared" si="43"/>
        <v>37.54999999771826</v>
      </c>
      <c r="O86" s="7"/>
      <c r="P86" s="7"/>
      <c r="Q86" s="22"/>
      <c r="R86" s="190"/>
      <c r="S86" s="196">
        <f t="shared" si="25"/>
        <v>1</v>
      </c>
      <c r="T86" s="190" t="str">
        <f t="shared" si="28"/>
        <v>NorthBound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29"/>
        <v>https://d0f6bd738d7f1b3e5a7ca70fe4ff75f0.us-east-1.aws.found.io/app/kibana#/discover/Steve-Slow-Train-Analysis-(2080s-and-2083s)?_g=(refreshInterval:(display:Off,pause:!f,section:0,value:0),time:(from:'2017-05-09T11:41:36-0600',mode:absolute,to:'2017-05-09T14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6" s="192" t="str">
        <f t="shared" si="30"/>
        <v>N</v>
      </c>
      <c r="X86" s="192">
        <f t="shared" si="31"/>
        <v>1</v>
      </c>
      <c r="Y86" s="192">
        <f t="shared" si="32"/>
        <v>4.6600000000000003E-2</v>
      </c>
      <c r="Z86" s="192">
        <f t="shared" si="33"/>
        <v>23.331900000000001</v>
      </c>
      <c r="AA86" s="192">
        <f t="shared" si="34"/>
        <v>23.285299999999999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5"/>
        <v>0173-09</v>
      </c>
      <c r="AE86" s="80" t="str">
        <f t="shared" si="36"/>
        <v>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 &amp; 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</v>
      </c>
      <c r="AF86" s="77" t="str">
        <f t="shared" si="37"/>
        <v>"C:\Program Files (x86)\AstroGrep\AstroGrep.exe" /e /r /s /spath="%USERPROFILE%\AppData\Local\Temp\OnboardLogs" /stypes="app*4012*20170509*" /stext=" 19:.+((SYSTEM_STATE.+slice.+state.+changed )|(ment ac)|(multiple cpu faults)|(system.+state.+changed )|(\[timeout)|(PRM\|1\|D)|(kpr)|(kdp)|(train st.+moving)|(\|lc)|(penalty))"</v>
      </c>
      <c r="AG86" s="1" t="str">
        <f t="shared" si="38"/>
        <v>EC</v>
      </c>
      <c r="AH86" s="81" t="str">
        <f t="shared" si="39"/>
        <v>"%USERPROFILE%\Documents\GitHub\eaglep3\Utilities\RefineRTDCRunTimes.py" --tripid 173-09 --locoid 4012 --swversion DE.1.0.9.0 --startMP 204:466 --initTime 2017-05-09T12:41:36 --startdatetime 2017-05-09T12:45:21 --delay 1 --endMP 204:233319 --enddatetime 2017-05-09T13:22:54 --enforcementcount 0 &gt;&gt;C:\Users\stu\Documents\GitHub\eaglep3-reporting\EC\2017-05-09-refined-times.txt</v>
      </c>
      <c r="AI86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{"issue":{"subject":"","project_id":79,"tracker_id":40,"status_id":1,"priority_id":2,"assigned_to_id":23,"start_date":"2017-05-09","description":"","custom_fields":[{"id":1,"name":"Subdivision","value":"EC"},{"id":4,"name":"Milepost","value":"23.3319"},{"id":17,"name":"Train ID","value":"173-09"},{"id":16,"name":"Locomotive ID","value":"4012"},{"id":130,"name":"Impact","value":""},{"id":150,"name":"Time of Event (Mountain Time)","value":"13:22:54"},{"id":151,"name":"Denver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1"/>
        <v>start /low /b %USERPROFILE%\Documents\GitHub\eaglep3\Utilities\DownloadLogsFromS3.py --loco 4012 --day 2017-05-09</v>
      </c>
      <c r="AN86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19:22:54"},{"id":29,"name":"Sharepoint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704</v>
      </c>
      <c r="B87" s="7">
        <v>4011</v>
      </c>
      <c r="C87" s="21" t="s">
        <v>207</v>
      </c>
      <c r="D87" s="21" t="s">
        <v>512</v>
      </c>
      <c r="E87" s="13">
        <v>42864.568287037036</v>
      </c>
      <c r="F87" s="13">
        <v>42864.570416666669</v>
      </c>
      <c r="G87" s="7">
        <v>2</v>
      </c>
      <c r="H87" s="21" t="s">
        <v>382</v>
      </c>
      <c r="I87" s="13">
        <v>42864.599780092591</v>
      </c>
      <c r="J87" s="7">
        <v>0</v>
      </c>
      <c r="K87" s="92" t="str">
        <f t="shared" si="26"/>
        <v>4011/4012</v>
      </c>
      <c r="L87" s="21" t="str">
        <f>VLOOKUP(A87,'Trips&amp;Operators'!$C$1:$G$99999,5,FALSE)</f>
        <v>DAVIS MICHAEL</v>
      </c>
      <c r="M87" s="6">
        <f t="shared" si="27"/>
        <v>2.9363425921474118E-2</v>
      </c>
      <c r="N87" s="7">
        <f t="shared" si="43"/>
        <v>42.28333332692273</v>
      </c>
      <c r="O87" s="7"/>
      <c r="P87" s="7"/>
      <c r="Q87" s="22"/>
      <c r="R87" s="190"/>
      <c r="S87" s="196">
        <f t="shared" si="25"/>
        <v>1</v>
      </c>
      <c r="T87" s="190" t="str">
        <f t="shared" si="28"/>
        <v>Southbound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29"/>
        <v>https://d0f6bd738d7f1b3e5a7ca70fe4ff75f0.us-east-1.aws.found.io/app/kibana#/discover/Steve-Slow-Train-Analysis-(2080s-and-2083s)?_g=(refreshInterval:(display:Off,pause:!f,section:0,value:0),time:(from:'2017-05-09T12:38:20-0600',mode:absolute,to:'2017-05-09T15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7" s="192" t="str">
        <f t="shared" si="30"/>
        <v>N</v>
      </c>
      <c r="X87" s="192">
        <f t="shared" si="31"/>
        <v>1</v>
      </c>
      <c r="Y87" s="192">
        <f t="shared" si="32"/>
        <v>23.3002</v>
      </c>
      <c r="Z87" s="192">
        <f t="shared" si="33"/>
        <v>1.47E-2</v>
      </c>
      <c r="AA87" s="192">
        <f t="shared" si="34"/>
        <v>23.285499999999999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5"/>
        <v>0174-09</v>
      </c>
      <c r="AE87" s="80" t="str">
        <f t="shared" si="36"/>
        <v>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 &amp; 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</v>
      </c>
      <c r="AF87" s="77" t="str">
        <f t="shared" si="37"/>
        <v>"C:\Program Files (x86)\AstroGrep\AstroGrep.exe" /e /r /s /spath="%USERPROFILE%\AppData\Local\Temp\OnboardLogs" /stypes="app*4011*20170509*" /stext=" 20:.+((SYSTEM_STATE.+slice.+state.+changed )|(ment ac)|(multiple cpu faults)|(system.+state.+changed )|(\[timeout)|(PRM\|1\|D)|(kpr)|(kdp)|(train st.+moving)|(\|lc)|(penalty))"</v>
      </c>
      <c r="AG87" s="1" t="str">
        <f t="shared" si="38"/>
        <v>EC</v>
      </c>
      <c r="AH87" s="81" t="str">
        <f t="shared" si="39"/>
        <v>"%USERPROFILE%\Documents\GitHub\eaglep3\Utilities\RefineRTDCRunTimes.py" --tripid 174-09 --locoid 4011 --swversion DE.1.0.9.0 --startMP 204:233002 --initTime 2017-05-09T13:38:20 --startdatetime 2017-05-09T13:41:24 --delay 2 --endMP 204:147 --enddatetime 2017-05-09T14:23:41 --enforcementcount 0 &gt;&gt;C:\Users\stu\Documents\GitHub\eaglep3-reporting\EC\2017-05-09-refined-times.txt</v>
      </c>
      <c r="AI87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{"issue":{"subject":"","project_id":79,"tracker_id":40,"status_id":1,"priority_id":2,"assigned_to_id":23,"start_date":"2017-05-09","description":"","custom_fields":[{"id":1,"name":"Subdivision","value":"EC"},{"id":4,"name":"Milepost","value":"0.0147"},{"id":17,"name":"Train ID","value":"174-09"},{"id":16,"name":"Locomotive ID","value":"4011"},{"id":130,"name":"Impact","value":""},{"id":150,"name":"Time of Event (Mountain Time)","value":"14:23:41"},{"id":151,"name":"Denver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1"/>
        <v>start /low /b %USERPROFILE%\Documents\GitHub\eaglep3\Utilities\DownloadLogsFromS3.py --loco 4011 --day 2017-05-09</v>
      </c>
      <c r="AN87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699</v>
      </c>
      <c r="B88" s="7">
        <v>4052</v>
      </c>
      <c r="C88" s="21" t="s">
        <v>207</v>
      </c>
      <c r="D88" s="21" t="s">
        <v>377</v>
      </c>
      <c r="E88" s="13">
        <v>42864.538564814815</v>
      </c>
      <c r="F88" s="13">
        <v>42864.541909722226</v>
      </c>
      <c r="G88" s="7">
        <v>1</v>
      </c>
      <c r="H88" s="21" t="s">
        <v>510</v>
      </c>
      <c r="I88" s="13">
        <v>42864.566365740742</v>
      </c>
      <c r="J88" s="7">
        <v>0</v>
      </c>
      <c r="K88" s="92" t="str">
        <f t="shared" si="26"/>
        <v>4051/4052</v>
      </c>
      <c r="L88" s="21" t="str">
        <f>VLOOKUP(A88,'Trips&amp;Operators'!$C$1:$G$99999,5,FALSE)</f>
        <v>STEWART MICHAEL</v>
      </c>
      <c r="M88" s="6">
        <f t="shared" si="27"/>
        <v>2.4456018516502809E-2</v>
      </c>
      <c r="N88" s="7">
        <f t="shared" si="43"/>
        <v>35.216666663764045</v>
      </c>
      <c r="O88" s="7"/>
      <c r="P88" s="7"/>
      <c r="Q88" s="22"/>
      <c r="R88" s="190"/>
      <c r="S88" s="196">
        <f t="shared" si="25"/>
        <v>1</v>
      </c>
      <c r="T88" s="190" t="str">
        <f t="shared" si="28"/>
        <v>NorthBound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29"/>
        <v>https://d0f6bd738d7f1b3e5a7ca70fe4ff75f0.us-east-1.aws.found.io/app/kibana#/discover/Steve-Slow-Train-Analysis-(2080s-and-2083s)?_g=(refreshInterval:(display:Off,pause:!f,section:0,value:0),time:(from:'2017-05-09T11:55:32-0600',mode:absolute,to:'2017-05-09T14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8" s="192" t="str">
        <f t="shared" si="30"/>
        <v>N</v>
      </c>
      <c r="X88" s="192">
        <f t="shared" si="31"/>
        <v>1</v>
      </c>
      <c r="Y88" s="192">
        <f t="shared" si="32"/>
        <v>4.4400000000000002E-2</v>
      </c>
      <c r="Z88" s="192">
        <f t="shared" si="33"/>
        <v>23.3293</v>
      </c>
      <c r="AA88" s="192">
        <f t="shared" si="34"/>
        <v>23.2849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5"/>
        <v>0175-09</v>
      </c>
      <c r="AE88" s="80" t="str">
        <f t="shared" si="36"/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AF88" s="77" t="str">
        <f t="shared" si="37"/>
        <v>"C:\Program Files (x86)\AstroGrep\AstroGrep.exe" /e /r /s /spath="%USERPROFILE%\AppData\Local\Temp\OnboardLogs" /stypes="app*4052*20170509*" /stext=" 19:.+((SYSTEM_STATE.+slice.+state.+changed )|(ment ac)|(multiple cpu faults)|(system.+state.+changed )|(\[timeout)|(PRM\|1\|D)|(kpr)|(kdp)|(train st.+moving)|(\|lc)|(penalty))"</v>
      </c>
      <c r="AG88" s="1" t="str">
        <f t="shared" si="38"/>
        <v>EC</v>
      </c>
      <c r="AH88" s="81" t="str">
        <f t="shared" si="39"/>
        <v>"%USERPROFILE%\Documents\GitHub\eaglep3\Utilities\RefineRTDCRunTimes.py" --tripid 175-09 --locoid 4052 --swversion DE.1.0.9.0 --startMP 204:444 --initTime 2017-05-09T12:55:32 --startdatetime 2017-05-09T13:00:21 --delay 1 --endMP 204:233293 --enddatetime 2017-05-09T13:35:34 --enforcementcount 0 &gt;&gt;C:\Users\stu\Documents\GitHub\eaglep3-reporting\EC\2017-05-09-refined-times.txt</v>
      </c>
      <c r="AI88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{"issue":{"subject":"","project_id":79,"tracker_id":40,"status_id":1,"priority_id":2,"assigned_to_id":23,"start_date":"2017-05-09","description":"","custom_fields":[{"id":1,"name":"Subdivision","value":"EC"},{"id":4,"name":"Milepost","value":"23.3293"},{"id":17,"name":"Train ID","value":"175-09"},{"id":16,"name":"Locomotive ID","value":"4052"},{"id":130,"name":"Impact","value":""},{"id":150,"name":"Time of Event (Mountain Time)","value":"13:35:34"},{"id":151,"name":"Denver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1"/>
        <v>start /low /b %USERPROFILE%\Documents\GitHub\eaglep3\Utilities\DownloadLogsFromS3.py --loco 4052 --day 2017-05-09</v>
      </c>
      <c r="AN88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19:35:34"},{"id":29,"name":"Sharepoint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706</v>
      </c>
      <c r="B89" s="7">
        <v>4051</v>
      </c>
      <c r="C89" s="21" t="s">
        <v>207</v>
      </c>
      <c r="D89" s="21" t="s">
        <v>818</v>
      </c>
      <c r="E89" s="13">
        <v>42864.575370370374</v>
      </c>
      <c r="F89" s="13">
        <v>42864.580810185187</v>
      </c>
      <c r="G89" s="7">
        <v>1</v>
      </c>
      <c r="H89" s="21" t="s">
        <v>363</v>
      </c>
      <c r="I89" s="13">
        <v>42864.607638888891</v>
      </c>
      <c r="J89" s="7">
        <v>0</v>
      </c>
      <c r="K89" s="92" t="str">
        <f t="shared" si="26"/>
        <v>4051/4052</v>
      </c>
      <c r="L89" s="21" t="str">
        <f>VLOOKUP(A89,'Trips&amp;Operators'!$C$1:$G$99999,5,FALSE)</f>
        <v>STEWART MICHAEL</v>
      </c>
      <c r="M89" s="6">
        <f t="shared" si="27"/>
        <v>2.6828703703358769E-2</v>
      </c>
      <c r="N89" s="7">
        <f t="shared" si="43"/>
        <v>38.633333332836628</v>
      </c>
      <c r="O89" s="7"/>
      <c r="P89" s="7"/>
      <c r="Q89" s="22"/>
      <c r="R89" s="190"/>
      <c r="S89" s="196">
        <f t="shared" si="25"/>
        <v>1</v>
      </c>
      <c r="T89" s="190" t="str">
        <f t="shared" si="28"/>
        <v>Southbound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29"/>
        <v>https://d0f6bd738d7f1b3e5a7ca70fe4ff75f0.us-east-1.aws.found.io/app/kibana#/discover/Steve-Slow-Train-Analysis-(2080s-and-2083s)?_g=(refreshInterval:(display:Off,pause:!f,section:0,value:0),time:(from:'2017-05-09T12:48:32-0600',mode:absolute,to:'2017-05-09T15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9" s="192" t="str">
        <f t="shared" si="30"/>
        <v>N</v>
      </c>
      <c r="X89" s="192">
        <f t="shared" si="31"/>
        <v>1</v>
      </c>
      <c r="Y89" s="192">
        <f t="shared" si="32"/>
        <v>23.297699999999999</v>
      </c>
      <c r="Z89" s="192">
        <f t="shared" si="33"/>
        <v>1.4999999999999999E-2</v>
      </c>
      <c r="AA89" s="192">
        <f t="shared" si="34"/>
        <v>23.282699999999998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5"/>
        <v>0176-09</v>
      </c>
      <c r="AE89" s="80" t="str">
        <f t="shared" si="36"/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AF89" s="77" t="str">
        <f t="shared" si="37"/>
        <v>"C:\Program Files (x86)\AstroGrep\AstroGrep.exe" /e /r /s /spath="%USERPROFILE%\AppData\Local\Temp\OnboardLogs" /stypes="app*4051*20170509*" /stext=" 20:.+((SYSTEM_STATE.+slice.+state.+changed )|(ment ac)|(multiple cpu faults)|(system.+state.+changed )|(\[timeout)|(PRM\|1\|D)|(kpr)|(kdp)|(train st.+moving)|(\|lc)|(penalty))"</v>
      </c>
      <c r="AG89" s="1" t="str">
        <f t="shared" si="38"/>
        <v>EC</v>
      </c>
      <c r="AH89" s="81" t="str">
        <f t="shared" si="39"/>
        <v>"%USERPROFILE%\Documents\GitHub\eaglep3\Utilities\RefineRTDCRunTimes.py" --tripid 176-09 --locoid 4051 --swversion DE.1.0.9.0 --startMP 204:232977 --initTime 2017-05-09T13:48:32 --startdatetime 2017-05-09T13:56:22 --delay 1 --endMP 204:150 --enddatetime 2017-05-09T14:35:00 --enforcementcount 0 &gt;&gt;C:\Users\stu\Documents\GitHub\eaglep3-reporting\EC\2017-05-09-refined-times.txt</v>
      </c>
      <c r="AI89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{"issue":{"subject":"","project_id":79,"tracker_id":40,"status_id":1,"priority_id":2,"assigned_to_id":23,"start_date":"2017-05-09","description":"","custom_fields":[{"id":1,"name":"Subdivision","value":"EC"},{"id":4,"name":"Milepost","value":"0.015"},{"id":17,"name":"Train ID","value":"176-09"},{"id":16,"name":"Locomotive ID","value":"4051"},{"id":130,"name":"Impact","value":""},{"id":150,"name":"Time of Event (Mountain Time)","value":"14:35:00"},{"id":151,"name":"Denver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1"/>
        <v>start /low /b %USERPROFILE%\Documents\GitHub\eaglep3\Utilities\DownloadLogsFromS3.py --loco 4051 --day 2017-05-09</v>
      </c>
      <c r="AN89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700</v>
      </c>
      <c r="B90" s="7">
        <v>4020</v>
      </c>
      <c r="C90" s="21" t="s">
        <v>207</v>
      </c>
      <c r="D90" s="21" t="s">
        <v>843</v>
      </c>
      <c r="E90" s="13">
        <v>42864.546944444446</v>
      </c>
      <c r="F90" s="13">
        <v>42864.552453703705</v>
      </c>
      <c r="G90" s="7">
        <v>1</v>
      </c>
      <c r="H90" s="21" t="s">
        <v>851</v>
      </c>
      <c r="I90" s="13">
        <v>42864.5778587963</v>
      </c>
      <c r="J90" s="7">
        <v>0</v>
      </c>
      <c r="K90" s="92" t="str">
        <f t="shared" si="26"/>
        <v>4019/4020</v>
      </c>
      <c r="L90" s="21" t="str">
        <f>VLOOKUP(A90,'Trips&amp;Operators'!$C$1:$G$99999,5,FALSE)</f>
        <v>LAMAR NEKESHA</v>
      </c>
      <c r="M90" s="6">
        <f t="shared" si="27"/>
        <v>2.5405092594155576E-2</v>
      </c>
      <c r="N90" s="7">
        <f t="shared" si="43"/>
        <v>36.58333333558403</v>
      </c>
      <c r="O90" s="7"/>
      <c r="P90" s="7"/>
      <c r="Q90" s="22"/>
      <c r="R90" s="190"/>
      <c r="S90" s="196">
        <f t="shared" si="25"/>
        <v>1</v>
      </c>
      <c r="T90" s="190" t="str">
        <f t="shared" si="28"/>
        <v>NorthBound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29"/>
        <v>https://d0f6bd738d7f1b3e5a7ca70fe4ff75f0.us-east-1.aws.found.io/app/kibana#/discover/Steve-Slow-Train-Analysis-(2080s-and-2083s)?_g=(refreshInterval:(display:Off,pause:!f,section:0,value:0),time:(from:'2017-05-09T12:07:36-0600',mode:absolute,to:'2017-05-09T14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0" s="192" t="str">
        <f t="shared" si="30"/>
        <v>N</v>
      </c>
      <c r="X90" s="192">
        <f t="shared" si="31"/>
        <v>1</v>
      </c>
      <c r="Y90" s="192">
        <f t="shared" si="32"/>
        <v>4.3499999999999997E-2</v>
      </c>
      <c r="Z90" s="192">
        <f t="shared" si="33"/>
        <v>23.331</v>
      </c>
      <c r="AA90" s="192">
        <f t="shared" si="34"/>
        <v>23.287499999999998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5"/>
        <v>0177-09</v>
      </c>
      <c r="AE90" s="80" t="str">
        <f t="shared" si="36"/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AF90" s="77" t="str">
        <f t="shared" si="37"/>
        <v>"C:\Program Files (x86)\AstroGrep\AstroGrep.exe" /e /r /s /spath="%USERPROFILE%\AppData\Local\Temp\OnboardLogs" /stypes="app*4020*20170509*" /stext=" 19:.+((SYSTEM_STATE.+slice.+state.+changed )|(ment ac)|(multiple cpu faults)|(system.+state.+changed )|(\[timeout)|(PRM\|1\|D)|(kpr)|(kdp)|(train st.+moving)|(\|lc)|(penalty))"</v>
      </c>
      <c r="AG90" s="1" t="str">
        <f t="shared" si="38"/>
        <v>EC</v>
      </c>
      <c r="AH90" s="81" t="str">
        <f t="shared" si="39"/>
        <v>"%USERPROFILE%\Documents\GitHub\eaglep3\Utilities\RefineRTDCRunTimes.py" --tripid 177-09 --locoid 4020 --swversion DE.1.0.9.0 --startMP 204:435 --initTime 2017-05-09T13:07:36 --startdatetime 2017-05-09T13:15:32 --delay 1 --endMP 204:233310 --enddatetime 2017-05-09T13:52:07 --enforcementcount 0 &gt;&gt;C:\Users\stu\Documents\GitHub\eaglep3-reporting\EC\2017-05-09-refined-times.txt</v>
      </c>
      <c r="AI90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{"issue":{"subject":"","project_id":79,"tracker_id":40,"status_id":1,"priority_id":2,"assigned_to_id":23,"start_date":"2017-05-09","description":"","custom_fields":[{"id":1,"name":"Subdivision","value":"EC"},{"id":4,"name":"Milepost","value":"23.331"},{"id":17,"name":"Train ID","value":"177-09"},{"id":16,"name":"Locomotive ID","value":"4020"},{"id":130,"name":"Impact","value":""},{"id":150,"name":"Time of Event (Mountain Time)","value":"13:52:07"},{"id":151,"name":"Denver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1"/>
        <v>start /low /b %USERPROFILE%\Documents\GitHub\eaglep3\Utilities\DownloadLogsFromS3.py --loco 4020 --day 2017-05-09</v>
      </c>
      <c r="AN90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19:52:07"},{"id":29,"name":"Sharepoint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708</v>
      </c>
      <c r="B91" s="7">
        <v>4019</v>
      </c>
      <c r="C91" s="21" t="s">
        <v>207</v>
      </c>
      <c r="D91" s="21" t="s">
        <v>433</v>
      </c>
      <c r="E91" s="13">
        <v>42864.584687499999</v>
      </c>
      <c r="F91" s="13">
        <v>42864.591168981482</v>
      </c>
      <c r="G91" s="7">
        <v>1</v>
      </c>
      <c r="H91" s="21" t="s">
        <v>365</v>
      </c>
      <c r="I91" s="13">
        <v>42864.618310185186</v>
      </c>
      <c r="J91" s="7">
        <v>0</v>
      </c>
      <c r="K91" s="92" t="str">
        <f t="shared" si="26"/>
        <v>4019/4020</v>
      </c>
      <c r="L91" s="21" t="str">
        <f>VLOOKUP(A91,'Trips&amp;Operators'!$C$1:$G$99999,5,FALSE)</f>
        <v>LAMAR NEKESHA</v>
      </c>
      <c r="M91" s="6">
        <f t="shared" si="27"/>
        <v>2.7141203703649808E-2</v>
      </c>
      <c r="N91" s="7">
        <f t="shared" si="43"/>
        <v>39.083333333255723</v>
      </c>
      <c r="O91" s="7"/>
      <c r="P91" s="7"/>
      <c r="Q91" s="22"/>
      <c r="R91" s="190"/>
      <c r="S91" s="196">
        <f t="shared" si="25"/>
        <v>1</v>
      </c>
      <c r="T91" s="190" t="str">
        <f t="shared" si="28"/>
        <v>Southbound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29"/>
        <v>https://d0f6bd738d7f1b3e5a7ca70fe4ff75f0.us-east-1.aws.found.io/app/kibana#/discover/Steve-Slow-Train-Analysis-(2080s-and-2083s)?_g=(refreshInterval:(display:Off,pause:!f,section:0,value:0),time:(from:'2017-05-09T13:01:57-0600',mode:absolute,to:'2017-05-09T15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1" s="192" t="str">
        <f t="shared" si="30"/>
        <v>N</v>
      </c>
      <c r="X91" s="192">
        <f t="shared" si="31"/>
        <v>1</v>
      </c>
      <c r="Y91" s="192">
        <f t="shared" si="32"/>
        <v>23.299800000000001</v>
      </c>
      <c r="Z91" s="192">
        <f t="shared" si="33"/>
        <v>1.43E-2</v>
      </c>
      <c r="AA91" s="192">
        <f t="shared" si="34"/>
        <v>23.285500000000003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5"/>
        <v>0178-09</v>
      </c>
      <c r="AE91" s="80" t="str">
        <f t="shared" si="36"/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91" s="77" t="str">
        <f t="shared" si="37"/>
        <v>"C:\Program Files (x86)\AstroGrep\AstroGrep.exe" /e /r /s /spath="%USERPROFILE%\AppData\Local\Temp\OnboardLogs" /stypes="app*4019*20170509*" /stext=" 20:.+((SYSTEM_STATE.+slice.+state.+changed )|(ment ac)|(multiple cpu faults)|(system.+state.+changed )|(\[timeout)|(PRM\|1\|D)|(kpr)|(kdp)|(train st.+moving)|(\|lc)|(penalty))"</v>
      </c>
      <c r="AG91" s="1" t="str">
        <f t="shared" si="38"/>
        <v>EC</v>
      </c>
      <c r="AH91" s="81" t="str">
        <f t="shared" si="39"/>
        <v>"%USERPROFILE%\Documents\GitHub\eaglep3\Utilities\RefineRTDCRunTimes.py" --tripid 178-09 --locoid 4019 --swversion DE.1.0.9.0 --startMP 204:232998 --initTime 2017-05-09T14:01:57 --startdatetime 2017-05-09T14:11:17 --delay 1 --endMP 204:143 --enddatetime 2017-05-09T14:50:22 --enforcementcount 0 &gt;&gt;C:\Users\stu\Documents\GitHub\eaglep3-reporting\EC\2017-05-09-refined-times.txt</v>
      </c>
      <c r="AI91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{"issue":{"subject":"","project_id":79,"tracker_id":40,"status_id":1,"priority_id":2,"assigned_to_id":23,"start_date":"2017-05-09","description":"","custom_fields":[{"id":1,"name":"Subdivision","value":"EC"},{"id":4,"name":"Milepost","value":"0.0143"},{"id":17,"name":"Train ID","value":"178-09"},{"id":16,"name":"Locomotive ID","value":"4019"},{"id":130,"name":"Impact","value":""},{"id":150,"name":"Time of Event (Mountain Time)","value":"14:50:22"},{"id":151,"name":"Denver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1"/>
        <v>start /low /b %USERPROFILE%\Documents\GitHub\eaglep3\Utilities\DownloadLogsFromS3.py --loco 4019 --day 2017-05-09</v>
      </c>
      <c r="AN91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702</v>
      </c>
      <c r="B92" s="7">
        <v>4010</v>
      </c>
      <c r="C92" s="21" t="s">
        <v>207</v>
      </c>
      <c r="D92" s="21" t="s">
        <v>520</v>
      </c>
      <c r="E92" s="13">
        <v>42864.559502314813</v>
      </c>
      <c r="F92" s="13">
        <v>42864.562673611108</v>
      </c>
      <c r="G92" s="7">
        <v>1</v>
      </c>
      <c r="H92" s="21" t="s">
        <v>450</v>
      </c>
      <c r="I92" s="13">
        <v>42864.594895833332</v>
      </c>
      <c r="J92" s="7">
        <v>0</v>
      </c>
      <c r="K92" s="92" t="str">
        <f t="shared" si="26"/>
        <v>4009/4010</v>
      </c>
      <c r="L92" s="21" t="str">
        <f>VLOOKUP(A92,'Trips&amp;Operators'!$C$1:$G$99999,5,FALSE)</f>
        <v>CLARK KATHLEEN</v>
      </c>
      <c r="M92" s="6">
        <f t="shared" si="27"/>
        <v>3.2222222223936114E-2</v>
      </c>
      <c r="N92" s="7">
        <f t="shared" si="43"/>
        <v>46.400000002468005</v>
      </c>
      <c r="O92" s="7"/>
      <c r="P92" s="7"/>
      <c r="Q92" s="22"/>
      <c r="R92" s="190"/>
      <c r="S92" s="196">
        <f t="shared" si="25"/>
        <v>1</v>
      </c>
      <c r="T92" s="190" t="str">
        <f t="shared" si="28"/>
        <v>NorthBound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29"/>
        <v>https://d0f6bd738d7f1b3e5a7ca70fe4ff75f0.us-east-1.aws.found.io/app/kibana#/discover/Steve-Slow-Train-Analysis-(2080s-and-2083s)?_g=(refreshInterval:(display:Off,pause:!f,section:0,value:0),time:(from:'2017-05-09T12:25:41-0600',mode:absolute,to:'2017-05-09T15:16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2" s="192" t="str">
        <f t="shared" si="30"/>
        <v>N</v>
      </c>
      <c r="X92" s="192">
        <f t="shared" si="31"/>
        <v>1</v>
      </c>
      <c r="Y92" s="192">
        <f t="shared" si="32"/>
        <v>4.9799999999999997E-2</v>
      </c>
      <c r="Z92" s="192">
        <f t="shared" si="33"/>
        <v>23.328800000000001</v>
      </c>
      <c r="AA92" s="192">
        <f t="shared" si="34"/>
        <v>23.279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5"/>
        <v>0179-09</v>
      </c>
      <c r="AE92" s="80" t="str">
        <f t="shared" si="36"/>
        <v>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 &amp; aws s3 cp s3://rtdc.mdm.uploadarchive.raw/RTDC4010/ "%USERPROFILE%\AppData\Local\Temp\OnboardLogs"\RTDC4010\2017-05-10 --exclude "*" --recursive --include "*20170510*" &amp; "%USERPROFILE%\Documents\GitHub\mrs-test-scripts\Headless Mode &amp; Sideloading\WalkAndUnGZ.bat" "%USERPROFILE%\AppData\Local\Temp\OnboardLogs"\RTDC4010\2017-05-10</v>
      </c>
      <c r="AF92" s="77" t="str">
        <f t="shared" si="37"/>
        <v>"C:\Program Files (x86)\AstroGrep\AstroGrep.exe" /e /r /s /spath="%USERPROFILE%\AppData\Local\Temp\OnboardLogs" /stypes="app*4010*20170509*" /stext=" 20:.+((SYSTEM_STATE.+slice.+state.+changed )|(ment ac)|(multiple cpu faults)|(system.+state.+changed )|(\[timeout)|(PRM\|1\|D)|(kpr)|(kdp)|(train st.+moving)|(\|lc)|(penalty))"</v>
      </c>
      <c r="AG92" s="1" t="str">
        <f t="shared" si="38"/>
        <v>EC</v>
      </c>
      <c r="AH92" s="81" t="str">
        <f t="shared" si="39"/>
        <v>"%USERPROFILE%\Documents\GitHub\eaglep3\Utilities\RefineRTDCRunTimes.py" --tripid 179-09 --locoid 4010 --swversion DE.1.0.9.0 --startMP 204:498 --initTime 2017-05-09T13:25:41 --startdatetime 2017-05-09T13:30:15 --delay 1 --endMP 204:233288 --enddatetime 2017-05-09T14:16:39 --enforcementcount 0 &gt;&gt;C:\Users\stu\Documents\GitHub\eaglep3-reporting\EC\2017-05-09-refined-times.txt</v>
      </c>
      <c r="AI92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{"issue":{"subject":"","project_id":79,"tracker_id":40,"status_id":1,"priority_id":2,"assigned_to_id":23,"start_date":"2017-05-09","description":"","custom_fields":[{"id":1,"name":"Subdivision","value":"EC"},{"id":4,"name":"Milepost","value":"23.3288"},{"id":17,"name":"Train ID","value":"179-09"},{"id":16,"name":"Locomotive ID","value":"4010"},{"id":130,"name":"Impact","value":""},{"id":150,"name":"Time of Event (Mountain Time)","value":"14:16:39"},{"id":151,"name":"Denver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41"/>
        <v>start /low /b %USERPROFILE%\Documents\GitHub\eaglep3\Utilities\DownloadLogsFromS3.py --loco 4010 --day 2017-05-09</v>
      </c>
      <c r="AN92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20:16:39"},{"id":29,"name":"Sharepoint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709</v>
      </c>
      <c r="B93" s="7">
        <v>4009</v>
      </c>
      <c r="C93" s="21" t="s">
        <v>207</v>
      </c>
      <c r="D93" s="21" t="s">
        <v>852</v>
      </c>
      <c r="E93" s="13">
        <v>42864.597743055558</v>
      </c>
      <c r="F93" s="13">
        <v>42864.601550925923</v>
      </c>
      <c r="G93" s="7">
        <v>0</v>
      </c>
      <c r="H93" s="21" t="s">
        <v>853</v>
      </c>
      <c r="I93" s="13">
        <v>42864.629884259259</v>
      </c>
      <c r="J93" s="7">
        <v>0</v>
      </c>
      <c r="K93" s="92" t="str">
        <f t="shared" si="26"/>
        <v>4009/4010</v>
      </c>
      <c r="L93" s="21" t="str">
        <f>VLOOKUP(A93,'Trips&amp;Operators'!$C$1:$G$99999,5,FALSE)</f>
        <v>CLARK KATHLEEN</v>
      </c>
      <c r="M93" s="6">
        <f t="shared" si="27"/>
        <v>2.8333333335467614E-2</v>
      </c>
      <c r="N93" s="7">
        <f t="shared" si="43"/>
        <v>40.800000003073364</v>
      </c>
      <c r="O93" s="7"/>
      <c r="P93" s="7"/>
      <c r="Q93" s="22"/>
      <c r="R93" s="190"/>
      <c r="S93" s="196">
        <f t="shared" si="25"/>
        <v>1</v>
      </c>
      <c r="T93" s="190" t="str">
        <f t="shared" si="28"/>
        <v>Southbound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29"/>
        <v>https://d0f6bd738d7f1b3e5a7ca70fe4ff75f0.us-east-1.aws.found.io/app/kibana#/discover/Steve-Slow-Train-Analysis-(2080s-and-2083s)?_g=(refreshInterval:(display:Off,pause:!f,section:0,value:0),time:(from:'2017-05-09T13:20:45-0600',mode:absolute,to:'2017-05-09T16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3" s="192" t="str">
        <f t="shared" si="30"/>
        <v>N</v>
      </c>
      <c r="X93" s="192">
        <f t="shared" si="31"/>
        <v>1</v>
      </c>
      <c r="Y93" s="192">
        <f t="shared" si="32"/>
        <v>23.295500000000001</v>
      </c>
      <c r="Z93" s="192">
        <f t="shared" si="33"/>
        <v>0.1167</v>
      </c>
      <c r="AA93" s="192">
        <f t="shared" si="34"/>
        <v>23.178799999999999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5"/>
        <v>0180-09</v>
      </c>
      <c r="AE93" s="80" t="str">
        <f t="shared" si="36"/>
        <v>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 &amp; aws s3 cp s3://rtdc.mdm.uploadarchive.raw/RTDC4009/ "%USERPROFILE%\AppData\Local\Temp\OnboardLogs"\RTDC4009\2017-05-10 --exclude "*" --recursive --include "*20170510*" &amp; "%USERPROFILE%\Documents\GitHub\mrs-test-scripts\Headless Mode &amp; Sideloading\WalkAndUnGZ.bat" "%USERPROFILE%\AppData\Local\Temp\OnboardLogs"\RTDC4009\2017-05-10</v>
      </c>
      <c r="AF93" s="77" t="str">
        <f t="shared" si="37"/>
        <v>"C:\Program Files (x86)\AstroGrep\AstroGrep.exe" /e /r /s /spath="%USERPROFILE%\AppData\Local\Temp\OnboardLogs" /stypes="app*4009*20170509*" /stext=" 21:.+((SYSTEM_STATE.+slice.+state.+changed )|(ment ac)|(multiple cpu faults)|(system.+state.+changed )|(\[timeout)|(PRM\|1\|D)|(kpr)|(kdp)|(train st.+moving)|(\|lc)|(penalty))"</v>
      </c>
      <c r="AG93" s="1" t="str">
        <f t="shared" si="38"/>
        <v>EC</v>
      </c>
      <c r="AH93" s="81" t="str">
        <f t="shared" si="39"/>
        <v>"%USERPROFILE%\Documents\GitHub\eaglep3\Utilities\RefineRTDCRunTimes.py" --tripid 180-09 --locoid 4009 --swversion DE.1.0.9.0 --startMP 204:232955 --initTime 2017-05-09T14:20:45 --startdatetime 2017-05-09T14:26:14 --delay 0 --endMP 204:1167 --enddatetime 2017-05-09T15:07:02 --enforcementcount 0 &gt;&gt;C:\Users\stu\Documents\GitHub\eaglep3-reporting\EC\2017-05-09-refined-times.txt</v>
      </c>
      <c r="AI93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{"issue":{"subject":"","project_id":79,"tracker_id":40,"status_id":1,"priority_id":2,"assigned_to_id":23,"start_date":"2017-05-09","description":"","custom_fields":[{"id":1,"name":"Subdivision","value":"EC"},{"id":4,"name":"Milepost","value":"0.1167"},{"id":17,"name":"Train ID","value":"180-09"},{"id":16,"name":"Locomotive ID","value":"4009"},{"id":130,"name":"Impact","value":""},{"id":150,"name":"Time of Event (Mountain Time)","value":"15:07:02"},{"id":151,"name":"Denver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1"/>
        <v>start /low /b %USERPROFILE%\Documents\GitHub\eaglep3\Utilities\DownloadLogsFromS3.py --loco 4009 --day 2017-05-09</v>
      </c>
      <c r="AN93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2" t="s">
        <v>705</v>
      </c>
      <c r="B94" s="7">
        <v>4008</v>
      </c>
      <c r="C94" s="21" t="s">
        <v>207</v>
      </c>
      <c r="D94" s="21" t="s">
        <v>367</v>
      </c>
      <c r="E94" s="13">
        <v>42864.569976851853</v>
      </c>
      <c r="F94" s="13">
        <v>42864.573067129626</v>
      </c>
      <c r="G94" s="7">
        <v>1</v>
      </c>
      <c r="H94" s="21" t="s">
        <v>854</v>
      </c>
      <c r="I94" s="13">
        <v>42864.597372685188</v>
      </c>
      <c r="J94" s="7">
        <v>0</v>
      </c>
      <c r="K94" s="92" t="str">
        <f t="shared" si="26"/>
        <v>4007/4008</v>
      </c>
      <c r="L94" s="21" t="str">
        <f>VLOOKUP(A94,'Trips&amp;Operators'!$C$1:$G$99999,5,FALSE)</f>
        <v>LALONDE GREGORY</v>
      </c>
      <c r="M94" s="6">
        <f t="shared" si="27"/>
        <v>2.4305555562023073E-2</v>
      </c>
      <c r="N94" s="7">
        <f t="shared" si="43"/>
        <v>35.000000009313226</v>
      </c>
      <c r="O94" s="7"/>
      <c r="P94" s="7"/>
      <c r="Q94" s="22"/>
      <c r="R94" s="190"/>
      <c r="S94" s="196">
        <f t="shared" si="25"/>
        <v>1</v>
      </c>
      <c r="T94" s="190" t="str">
        <f t="shared" si="28"/>
        <v>NorthBound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29"/>
        <v>https://d0f6bd738d7f1b3e5a7ca70fe4ff75f0.us-east-1.aws.found.io/app/kibana#/discover/Steve-Slow-Train-Analysis-(2080s-and-2083s)?_g=(refreshInterval:(display:Off,pause:!f,section:0,value:0),time:(from:'2017-05-09T12:40:46-0600',mode:absolute,to:'2017-05-09T15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4" s="192" t="str">
        <f t="shared" si="30"/>
        <v>N</v>
      </c>
      <c r="X94" s="192">
        <f t="shared" si="31"/>
        <v>1</v>
      </c>
      <c r="Y94" s="192">
        <f t="shared" si="32"/>
        <v>4.6899999999999997E-2</v>
      </c>
      <c r="Z94" s="192">
        <f t="shared" si="33"/>
        <v>23.3355</v>
      </c>
      <c r="AA94" s="192">
        <f t="shared" si="34"/>
        <v>23.288599999999999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5"/>
        <v>0181-09</v>
      </c>
      <c r="AE94" s="80" t="str">
        <f t="shared" si="36"/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94" s="77" t="str">
        <f t="shared" si="37"/>
        <v>"C:\Program Files (x86)\AstroGrep\AstroGrep.exe" /e /r /s /spath="%USERPROFILE%\AppData\Local\Temp\OnboardLogs" /stypes="app*4008*20170509*" /stext=" 20:.+((SYSTEM_STATE.+slice.+state.+changed )|(ment ac)|(multiple cpu faults)|(system.+state.+changed )|(\[timeout)|(PRM\|1\|D)|(kpr)|(kdp)|(train st.+moving)|(\|lc)|(penalty))"</v>
      </c>
      <c r="AG94" s="1" t="str">
        <f t="shared" si="38"/>
        <v>EC</v>
      </c>
      <c r="AH94" s="81" t="str">
        <f t="shared" si="39"/>
        <v>"%USERPROFILE%\Documents\GitHub\eaglep3\Utilities\RefineRTDCRunTimes.py" --tripid 181-09 --locoid 4008 --swversion DE.1.0.9.0 --startMP 204:469 --initTime 2017-05-09T13:40:46 --startdatetime 2017-05-09T13:45:13 --delay 1 --endMP 204:233355 --enddatetime 2017-05-09T14:20:13 --enforcementcount 0 &gt;&gt;C:\Users\stu\Documents\GitHub\eaglep3-reporting\EC\2017-05-09-refined-times.txt</v>
      </c>
      <c r="AI94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{"issue":{"subject":"","project_id":79,"tracker_id":40,"status_id":1,"priority_id":2,"assigned_to_id":23,"start_date":"2017-05-09","description":"","custom_fields":[{"id":1,"name":"Subdivision","value":"EC"},{"id":4,"name":"Milepost","value":"23.3355"},{"id":17,"name":"Train ID","value":"181-09"},{"id":16,"name":"Locomotive ID","value":"4008"},{"id":130,"name":"Impact","value":""},{"id":150,"name":"Time of Event (Mountain Time)","value":"14:20:13"},{"id":151,"name":"Denver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1"/>
        <v>start /low /b %USERPROFILE%\Documents\GitHub\eaglep3\Utilities\DownloadLogsFromS3.py --loco 4008 --day 2017-05-09</v>
      </c>
      <c r="AN94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710</v>
      </c>
      <c r="B95" s="7">
        <v>4007</v>
      </c>
      <c r="C95" s="21" t="s">
        <v>207</v>
      </c>
      <c r="D95" s="21" t="s">
        <v>455</v>
      </c>
      <c r="E95" s="13">
        <v>42864.598946759259</v>
      </c>
      <c r="F95" s="13">
        <v>42864.611944444441</v>
      </c>
      <c r="G95" s="7">
        <v>0</v>
      </c>
      <c r="H95" s="21" t="s">
        <v>382</v>
      </c>
      <c r="I95" s="13">
        <v>42864.637685185182</v>
      </c>
      <c r="J95" s="7">
        <v>0</v>
      </c>
      <c r="K95" s="92" t="str">
        <f t="shared" si="26"/>
        <v>4007/4008</v>
      </c>
      <c r="L95" s="21" t="str">
        <f>VLOOKUP(A95,'Trips&amp;Operators'!$C$1:$G$99999,5,FALSE)</f>
        <v>LALONDE GREGORY</v>
      </c>
      <c r="M95" s="6">
        <f t="shared" si="27"/>
        <v>2.5740740740729962E-2</v>
      </c>
      <c r="N95" s="7">
        <f t="shared" si="43"/>
        <v>37.066666666651145</v>
      </c>
      <c r="O95" s="7"/>
      <c r="P95" s="7"/>
      <c r="Q95" s="22"/>
      <c r="R95" s="190"/>
      <c r="S95" s="196">
        <f t="shared" si="25"/>
        <v>1</v>
      </c>
      <c r="T95" s="190" t="str">
        <f t="shared" si="28"/>
        <v>Southbound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29"/>
        <v>https://d0f6bd738d7f1b3e5a7ca70fe4ff75f0.us-east-1.aws.found.io/app/kibana#/discover/Steve-Slow-Train-Analysis-(2080s-and-2083s)?_g=(refreshInterval:(display:Off,pause:!f,section:0,value:0),time:(from:'2017-05-09T13:22:29-0600',mode:absolute,to:'2017-05-09T16:18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5" s="192" t="str">
        <f t="shared" si="30"/>
        <v>N</v>
      </c>
      <c r="X95" s="192">
        <f t="shared" si="31"/>
        <v>1</v>
      </c>
      <c r="Y95" s="192">
        <f t="shared" si="32"/>
        <v>23.302099999999999</v>
      </c>
      <c r="Z95" s="192">
        <f t="shared" si="33"/>
        <v>1.47E-2</v>
      </c>
      <c r="AA95" s="192">
        <f t="shared" si="34"/>
        <v>23.287399999999998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5"/>
        <v>0182-09</v>
      </c>
      <c r="AE95" s="80" t="str">
        <f t="shared" si="36"/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AF95" s="77" t="str">
        <f t="shared" si="37"/>
        <v>"C:\Program Files (x86)\AstroGrep\AstroGrep.exe" /e /r /s /spath="%USERPROFILE%\AppData\Local\Temp\OnboardLogs" /stypes="app*4007*20170509*" /stext=" 21:.+((SYSTEM_STATE.+slice.+state.+changed )|(ment ac)|(multiple cpu faults)|(system.+state.+changed )|(\[timeout)|(PRM\|1\|D)|(kpr)|(kdp)|(train st.+moving)|(\|lc)|(penalty))"</v>
      </c>
      <c r="AG95" s="1" t="str">
        <f t="shared" si="38"/>
        <v>EC</v>
      </c>
      <c r="AH95" s="81" t="str">
        <f t="shared" si="39"/>
        <v>"%USERPROFILE%\Documents\GitHub\eaglep3\Utilities\RefineRTDCRunTimes.py" --tripid 182-09 --locoid 4007 --swversion DE.1.0.9.0 --startMP 204:233021 --initTime 2017-05-09T14:22:29 --startdatetime 2017-05-09T14:41:12 --delay 0 --endMP 204:147 --enddatetime 2017-05-09T15:18:16 --enforcementcount 0 &gt;&gt;C:\Users\stu\Documents\GitHub\eaglep3-reporting\EC\2017-05-09-refined-times.txt</v>
      </c>
      <c r="AI95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{"issue":{"subject":"","project_id":79,"tracker_id":40,"status_id":1,"priority_id":2,"assigned_to_id":23,"start_date":"2017-05-09","description":"","custom_fields":[{"id":1,"name":"Subdivision","value":"EC"},{"id":4,"name":"Milepost","value":"0.0147"},{"id":17,"name":"Train ID","value":"182-09"},{"id":16,"name":"Locomotive ID","value":"4007"},{"id":130,"name":"Impact","value":""},{"id":150,"name":"Time of Event (Mountain Time)","value":"15:18:16"},{"id":151,"name":"Denver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1"/>
        <v>start /low /b %USERPROFILE%\Documents\GitHub\eaglep3\Utilities\DownloadLogsFromS3.py --loco 4007 --day 2017-05-09</v>
      </c>
      <c r="AN95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21:18:16"},{"id":29,"name":"Sharepoint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707</v>
      </c>
      <c r="B96" s="7">
        <v>4030</v>
      </c>
      <c r="C96" s="21" t="s">
        <v>207</v>
      </c>
      <c r="D96" s="21" t="s">
        <v>428</v>
      </c>
      <c r="E96" s="13">
        <v>42864.581064814818</v>
      </c>
      <c r="F96" s="13">
        <v>42864.583611111113</v>
      </c>
      <c r="G96" s="7">
        <v>1</v>
      </c>
      <c r="H96" s="21" t="s">
        <v>855</v>
      </c>
      <c r="I96" s="13">
        <v>42864.607523148145</v>
      </c>
      <c r="J96" s="7">
        <v>0</v>
      </c>
      <c r="K96" s="92" t="str">
        <f t="shared" si="26"/>
        <v>4029/4030</v>
      </c>
      <c r="L96" s="21" t="str">
        <f>VLOOKUP(A96,'Trips&amp;Operators'!$C$1:$G$99999,5,FALSE)</f>
        <v>ROMERO CHAD</v>
      </c>
      <c r="M96" s="6">
        <f t="shared" si="27"/>
        <v>2.3912037031550426E-2</v>
      </c>
      <c r="N96" s="7">
        <f t="shared" si="43"/>
        <v>34.433333325432613</v>
      </c>
      <c r="O96" s="7"/>
      <c r="P96" s="7"/>
      <c r="Q96" s="22"/>
      <c r="R96" s="190"/>
      <c r="S96" s="196">
        <f t="shared" si="25"/>
        <v>1</v>
      </c>
      <c r="T96" s="190" t="str">
        <f t="shared" si="28"/>
        <v>NorthBound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29"/>
        <v>https://d0f6bd738d7f1b3e5a7ca70fe4ff75f0.us-east-1.aws.found.io/app/kibana#/discover/Steve-Slow-Train-Analysis-(2080s-and-2083s)?_g=(refreshInterval:(display:Off,pause:!f,section:0,value:0),time:(from:'2017-05-09T12:56:44-0600',mode:absolute,to:'2017-05-09T15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6" s="192" t="str">
        <f t="shared" si="30"/>
        <v>N</v>
      </c>
      <c r="X96" s="192">
        <f t="shared" si="31"/>
        <v>1</v>
      </c>
      <c r="Y96" s="192">
        <f t="shared" si="32"/>
        <v>4.6699999999999998E-2</v>
      </c>
      <c r="Z96" s="192">
        <f t="shared" si="33"/>
        <v>23.3337</v>
      </c>
      <c r="AA96" s="192">
        <f t="shared" si="34"/>
        <v>23.286999999999999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5"/>
        <v>0183-09</v>
      </c>
      <c r="AE96" s="80" t="str">
        <f t="shared" si="36"/>
        <v>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 &amp; 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</v>
      </c>
      <c r="AF96" s="77" t="str">
        <f t="shared" si="37"/>
        <v>"C:\Program Files (x86)\AstroGrep\AstroGrep.exe" /e /r /s /spath="%USERPROFILE%\AppData\Local\Temp\OnboardLogs" /stypes="app*4030*20170509*" /stext=" 20:.+((SYSTEM_STATE.+slice.+state.+changed )|(ment ac)|(multiple cpu faults)|(system.+state.+changed )|(\[timeout)|(PRM\|1\|D)|(kpr)|(kdp)|(train st.+moving)|(\|lc)|(penalty))"</v>
      </c>
      <c r="AG96" s="1" t="str">
        <f t="shared" si="38"/>
        <v>EC</v>
      </c>
      <c r="AH96" s="81" t="str">
        <f t="shared" si="39"/>
        <v>"%USERPROFILE%\Documents\GitHub\eaglep3\Utilities\RefineRTDCRunTimes.py" --tripid 183-09 --locoid 4030 --swversion DE.1.0.9.0 --startMP 204:467 --initTime 2017-05-09T13:56:44 --startdatetime 2017-05-09T14:00:24 --delay 1 --endMP 204:233337 --enddatetime 2017-05-09T14:34:50 --enforcementcount 0 &gt;&gt;C:\Users\stu\Documents\GitHub\eaglep3-reporting\EC\2017-05-09-refined-times.txt</v>
      </c>
      <c r="AI96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{"issue":{"subject":"","project_id":79,"tracker_id":40,"status_id":1,"priority_id":2,"assigned_to_id":23,"start_date":"2017-05-09","description":"","custom_fields":[{"id":1,"name":"Subdivision","value":"EC"},{"id":4,"name":"Milepost","value":"23.3337"},{"id":17,"name":"Train ID","value":"183-09"},{"id":16,"name":"Locomotive ID","value":"4030"},{"id":130,"name":"Impact","value":""},{"id":150,"name":"Time of Event (Mountain Time)","value":"14:34:50"},{"id":151,"name":"Denver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1"/>
        <v>start /low /b %USERPROFILE%\Documents\GitHub\eaglep3\Utilities\DownloadLogsFromS3.py --loco 4030 --day 2017-05-09</v>
      </c>
      <c r="AN96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715</v>
      </c>
      <c r="B97" s="7">
        <v>4029</v>
      </c>
      <c r="C97" s="21" t="s">
        <v>207</v>
      </c>
      <c r="D97" s="21" t="s">
        <v>507</v>
      </c>
      <c r="E97" s="13">
        <v>42864.612245370372</v>
      </c>
      <c r="F97" s="13">
        <v>42864.622384259259</v>
      </c>
      <c r="G97" s="7">
        <v>1</v>
      </c>
      <c r="H97" s="21" t="s">
        <v>435</v>
      </c>
      <c r="I97" s="13">
        <v>42864.648078703707</v>
      </c>
      <c r="J97" s="7">
        <v>0</v>
      </c>
      <c r="K97" s="92" t="str">
        <f t="shared" si="26"/>
        <v>4029/4030</v>
      </c>
      <c r="L97" s="21" t="str">
        <f>VLOOKUP(A97,'Trips&amp;Operators'!$C$1:$G$99999,5,FALSE)</f>
        <v>ROMERO CHAD</v>
      </c>
      <c r="M97" s="6">
        <f t="shared" si="27"/>
        <v>2.5694444448163267E-2</v>
      </c>
      <c r="N97" s="7">
        <f t="shared" si="43"/>
        <v>37.000000005355105</v>
      </c>
      <c r="O97" s="7"/>
      <c r="P97" s="7"/>
      <c r="Q97" s="22"/>
      <c r="R97" s="190"/>
      <c r="S97" s="196">
        <f t="shared" si="25"/>
        <v>1</v>
      </c>
      <c r="T97" s="190" t="str">
        <f t="shared" si="28"/>
        <v>Southbound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29"/>
        <v>https://d0f6bd738d7f1b3e5a7ca70fe4ff75f0.us-east-1.aws.found.io/app/kibana#/discover/Steve-Slow-Train-Analysis-(2080s-and-2083s)?_g=(refreshInterval:(display:Off,pause:!f,section:0,value:0),time:(from:'2017-05-09T13:41:38-0600',mode:absolute,to:'2017-05-09T16:33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7" s="192" t="str">
        <f t="shared" si="30"/>
        <v>N</v>
      </c>
      <c r="X97" s="192">
        <f t="shared" si="31"/>
        <v>1</v>
      </c>
      <c r="Y97" s="192">
        <f t="shared" si="32"/>
        <v>23.299399999999999</v>
      </c>
      <c r="Z97" s="192">
        <f t="shared" si="33"/>
        <v>1.23E-2</v>
      </c>
      <c r="AA97" s="192">
        <f t="shared" si="34"/>
        <v>23.287099999999999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5"/>
        <v>0184-09</v>
      </c>
      <c r="AE97" s="80" t="str">
        <f t="shared" si="36"/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AF97" s="77" t="str">
        <f t="shared" si="37"/>
        <v>"C:\Program Files (x86)\AstroGrep\AstroGrep.exe" /e /r /s /spath="%USERPROFILE%\AppData\Local\Temp\OnboardLogs" /stypes="app*4029*20170509*" /stext=" 21:.+((SYSTEM_STATE.+slice.+state.+changed )|(ment ac)|(multiple cpu faults)|(system.+state.+changed )|(\[timeout)|(PRM\|1\|D)|(kpr)|(kdp)|(train st.+moving)|(\|lc)|(penalty))"</v>
      </c>
      <c r="AG97" s="1" t="str">
        <f t="shared" si="38"/>
        <v>EC</v>
      </c>
      <c r="AH97" s="81" t="str">
        <f t="shared" si="39"/>
        <v>"%USERPROFILE%\Documents\GitHub\eaglep3\Utilities\RefineRTDCRunTimes.py" --tripid 184-09 --locoid 4029 --swversion DE.1.0.9.0 --startMP 204:232994 --initTime 2017-05-09T14:41:38 --startdatetime 2017-05-09T14:56:14 --delay 1 --endMP 204:123 --enddatetime 2017-05-09T15:33:14 --enforcementcount 0 &gt;&gt;C:\Users\stu\Documents\GitHub\eaglep3-reporting\EC\2017-05-09-refined-times.txt</v>
      </c>
      <c r="AI97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{"issue":{"subject":"","project_id":79,"tracker_id":40,"status_id":1,"priority_id":2,"assigned_to_id":23,"start_date":"2017-05-09","description":"","custom_fields":[{"id":1,"name":"Subdivision","value":"EC"},{"id":4,"name":"Milepost","value":"0.0123"},{"id":17,"name":"Train ID","value":"184-09"},{"id":16,"name":"Locomotive ID","value":"4029"},{"id":130,"name":"Impact","value":""},{"id":150,"name":"Time of Event (Mountain Time)","value":"15:33:14"},{"id":151,"name":"Denver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41"/>
        <v>start /low /b %USERPROFILE%\Documents\GitHub\eaglep3\Utilities\DownloadLogsFromS3.py --loco 4029 --day 2017-05-09</v>
      </c>
      <c r="AN97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21:33:14"},{"id":29,"name":"Sharepoint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583</v>
      </c>
      <c r="B98" s="7">
        <v>4046</v>
      </c>
      <c r="C98" s="21" t="s">
        <v>207</v>
      </c>
      <c r="D98" s="21" t="s">
        <v>375</v>
      </c>
      <c r="E98" s="13">
        <v>42864.589317129627</v>
      </c>
      <c r="F98" s="13">
        <v>42864.594074074077</v>
      </c>
      <c r="G98" s="7">
        <v>1</v>
      </c>
      <c r="H98" s="21" t="s">
        <v>856</v>
      </c>
      <c r="I98" s="13">
        <v>42864.61991898148</v>
      </c>
      <c r="J98" s="7">
        <v>0</v>
      </c>
      <c r="K98" s="92" t="str">
        <f t="shared" si="26"/>
        <v>4045/4046</v>
      </c>
      <c r="L98" s="21" t="str">
        <f>VLOOKUP(A98,'Trips&amp;Operators'!$C$1:$G$99999,5,FALSE)</f>
        <v>THOMPSON LESTER</v>
      </c>
      <c r="M98" s="6">
        <f t="shared" si="27"/>
        <v>2.5844907402643003E-2</v>
      </c>
      <c r="N98" s="7">
        <f t="shared" si="43"/>
        <v>37.216666659805924</v>
      </c>
      <c r="O98" s="7"/>
      <c r="P98" s="7"/>
      <c r="Q98" s="22"/>
      <c r="R98" s="190"/>
      <c r="S98" s="196">
        <f t="shared" si="25"/>
        <v>1</v>
      </c>
      <c r="T98" s="190" t="str">
        <f t="shared" si="28"/>
        <v>NorthBound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29"/>
        <v>https://d0f6bd738d7f1b3e5a7ca70fe4ff75f0.us-east-1.aws.found.io/app/kibana#/discover/Steve-Slow-Train-Analysis-(2080s-and-2083s)?_g=(refreshInterval:(display:Off,pause:!f,section:0,value:0),time:(from:'2017-05-09T13:08:37-0600',mode:absolute,to:'2017-05-09T15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8" s="192" t="str">
        <f t="shared" si="30"/>
        <v>N</v>
      </c>
      <c r="X98" s="192">
        <f t="shared" si="31"/>
        <v>1</v>
      </c>
      <c r="Y98" s="192">
        <f t="shared" si="32"/>
        <v>4.53E-2</v>
      </c>
      <c r="Z98" s="192">
        <f t="shared" si="33"/>
        <v>23.317599999999999</v>
      </c>
      <c r="AA98" s="192">
        <f t="shared" si="34"/>
        <v>23.272299999999998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5"/>
        <v>0185-09</v>
      </c>
      <c r="AE98" s="80" t="str">
        <f t="shared" si="36"/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AF98" s="77" t="str">
        <f t="shared" si="37"/>
        <v>"C:\Program Files (x86)\AstroGrep\AstroGrep.exe" /e /r /s /spath="%USERPROFILE%\AppData\Local\Temp\OnboardLogs" /stypes="app*4046*20170509*" /stext=" 20:.+((SYSTEM_STATE.+slice.+state.+changed )|(ment ac)|(multiple cpu faults)|(system.+state.+changed )|(\[timeout)|(PRM\|1\|D)|(kpr)|(kdp)|(train st.+moving)|(\|lc)|(penalty))"</v>
      </c>
      <c r="AG98" s="1" t="str">
        <f t="shared" si="38"/>
        <v>EC</v>
      </c>
      <c r="AH98" s="81" t="str">
        <f t="shared" si="39"/>
        <v>"%USERPROFILE%\Documents\GitHub\eaglep3\Utilities\RefineRTDCRunTimes.py" --tripid 185-09 --locoid 4046 --swversion DE.1.0.9.0 --startMP 204:453 --initTime 2017-05-09T14:08:37 --startdatetime 2017-05-09T14:15:28 --delay 1 --endMP 204:233176 --enddatetime 2017-05-09T14:52:41 --enforcementcount 0 &gt;&gt;C:\Users\stu\Documents\GitHub\eaglep3-reporting\EC\2017-05-09-refined-times.txt</v>
      </c>
      <c r="AI98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{"issue":{"subject":"","project_id":79,"tracker_id":40,"status_id":1,"priority_id":2,"assigned_to_id":23,"start_date":"2017-05-09","description":"","custom_fields":[{"id":1,"name":"Subdivision","value":"EC"},{"id":4,"name":"Milepost","value":"23.3176"},{"id":17,"name":"Train ID","value":"185-09"},{"id":16,"name":"Locomotive ID","value":"4046"},{"id":130,"name":"Impact","value":""},{"id":150,"name":"Time of Event (Mountain Time)","value":"14:52:41"},{"id":151,"name":"Denver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1"/>
        <v>start /low /b %USERPROFILE%\Documents\GitHub\eaglep3\Utilities\DownloadLogsFromS3.py --loco 4046 --day 2017-05-09</v>
      </c>
      <c r="AN98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585</v>
      </c>
      <c r="B99" s="7">
        <v>4045</v>
      </c>
      <c r="C99" s="21" t="s">
        <v>207</v>
      </c>
      <c r="D99" s="21" t="s">
        <v>857</v>
      </c>
      <c r="E99" s="13">
        <v>42864.629965277774</v>
      </c>
      <c r="F99" s="13">
        <v>42864.633229166669</v>
      </c>
      <c r="G99" s="7">
        <v>1</v>
      </c>
      <c r="H99" s="21" t="s">
        <v>858</v>
      </c>
      <c r="I99" s="13">
        <v>42864.662233796298</v>
      </c>
      <c r="J99" s="7">
        <v>0</v>
      </c>
      <c r="K99" s="92" t="str">
        <f t="shared" si="26"/>
        <v>4045/4046</v>
      </c>
      <c r="L99" s="21" t="str">
        <f>VLOOKUP(A99,'Trips&amp;Operators'!$C$1:$G$99999,5,FALSE)</f>
        <v>THOMPSON LESTER</v>
      </c>
      <c r="M99" s="6">
        <f t="shared" si="27"/>
        <v>2.9004629628616385E-2</v>
      </c>
      <c r="N99" s="7">
        <f t="shared" si="43"/>
        <v>41.766666665207595</v>
      </c>
      <c r="O99" s="7"/>
      <c r="P99" s="7"/>
      <c r="Q99" s="22"/>
      <c r="R99" s="190"/>
      <c r="S99" s="196">
        <f t="shared" si="25"/>
        <v>1</v>
      </c>
      <c r="T99" s="190" t="str">
        <f t="shared" si="28"/>
        <v>Southbound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29"/>
        <v>https://d0f6bd738d7f1b3e5a7ca70fe4ff75f0.us-east-1.aws.found.io/app/kibana#/discover/Steve-Slow-Train-Analysis-(2080s-and-2083s)?_g=(refreshInterval:(display:Off,pause:!f,section:0,value:0),time:(from:'2017-05-09T14:07:09-0600',mode:absolute,to:'2017-05-09T16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9" s="192" t="str">
        <f t="shared" si="30"/>
        <v>N</v>
      </c>
      <c r="X99" s="192">
        <f t="shared" si="31"/>
        <v>1</v>
      </c>
      <c r="Y99" s="192">
        <f t="shared" si="32"/>
        <v>23.284300000000002</v>
      </c>
      <c r="Z99" s="192">
        <f t="shared" si="33"/>
        <v>1.61E-2</v>
      </c>
      <c r="AA99" s="192">
        <f t="shared" si="34"/>
        <v>23.2682</v>
      </c>
      <c r="AB99" s="57" t="str">
        <f>VLOOKUP(A99,Enforcements!$C$7:$K$13,8,0)</f>
        <v>Bulletin (2)</v>
      </c>
      <c r="AC99" s="53" t="str">
        <f>VLOOKUP(A99,Enforcements!$C$7:$E$13,3,0)</f>
        <v>GRADE CROSSING</v>
      </c>
      <c r="AD99" s="54" t="str">
        <f t="shared" si="35"/>
        <v>0186-09</v>
      </c>
      <c r="AE99" s="80" t="str">
        <f t="shared" si="36"/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AF99" s="77" t="str">
        <f t="shared" si="37"/>
        <v>"C:\Program Files (x86)\AstroGrep\AstroGrep.exe" /e /r /s /spath="%USERPROFILE%\AppData\Local\Temp\OnboardLogs" /stypes="app*4045*20170509*" /stext=" 21:.+((SYSTEM_STATE.+slice.+state.+changed )|(ment ac)|(multiple cpu faults)|(system.+state.+changed )|(\[timeout)|(PRM\|1\|D)|(kpr)|(kdp)|(train st.+moving)|(\|lc)|(penalty))"</v>
      </c>
      <c r="AG99" s="1" t="str">
        <f t="shared" si="38"/>
        <v>EC</v>
      </c>
      <c r="AH99" s="81" t="str">
        <f t="shared" si="39"/>
        <v>"%USERPROFILE%\Documents\GitHub\eaglep3\Utilities\RefineRTDCRunTimes.py" --tripid 186-09 --locoid 4045 --swversion DE.1.0.9.0 --startMP 204:232843 --initTime 2017-05-09T15:07:09 --startdatetime 2017-05-09T15:11:51 --delay 1 --endMP 204:161 --enddatetime 2017-05-09T15:53:37 --enforcementcount 0 &gt;&gt;C:\Users\stu\Documents\GitHub\eaglep3-reporting\EC\2017-05-09-refined-times.txt</v>
      </c>
      <c r="AI99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{"issue":{"subject":"","project_id":79,"tracker_id":40,"status_id":1,"priority_id":2,"assigned_to_id":23,"start_date":"2017-05-09","description":"","custom_fields":[{"id":1,"name":"Subdivision","value":"EC"},{"id":4,"name":"Milepost","value":"0.0161"},{"id":17,"name":"Train ID","value":"186-09"},{"id":16,"name":"Locomotive ID","value":"4045"},{"id":130,"name":"Impact","value":""},{"id":150,"name":"Time of Event (Mountain Time)","value":"15:53:37"},{"id":151,"name":"Denver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1"/>
        <v>start /low /b %USERPROFILE%\Documents\GitHub\eaglep3\Utilities\DownloadLogsFromS3.py --loco 4045 --day 2017-05-09</v>
      </c>
      <c r="AN99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711</v>
      </c>
      <c r="B100" s="7">
        <v>4012</v>
      </c>
      <c r="C100" s="21" t="s">
        <v>207</v>
      </c>
      <c r="D100" s="21" t="s">
        <v>378</v>
      </c>
      <c r="E100" s="13">
        <v>42864.602118055554</v>
      </c>
      <c r="F100" s="13">
        <v>42864.604502314818</v>
      </c>
      <c r="G100" s="7">
        <v>1</v>
      </c>
      <c r="H100" s="21" t="s">
        <v>383</v>
      </c>
      <c r="I100" s="13">
        <v>42864.629895833335</v>
      </c>
      <c r="J100" s="7">
        <v>0</v>
      </c>
      <c r="K100" s="92" t="str">
        <f t="shared" si="26"/>
        <v>4011/4012</v>
      </c>
      <c r="L100" s="21" t="str">
        <f>VLOOKUP(A100,'Trips&amp;Operators'!$C$1:$G$99999,5,FALSE)</f>
        <v>DAVIS MICHAEL</v>
      </c>
      <c r="M100" s="6">
        <f t="shared" si="27"/>
        <v>2.5393518517375924E-2</v>
      </c>
      <c r="N100" s="7">
        <f t="shared" si="43"/>
        <v>36.56666666502133</v>
      </c>
      <c r="O100" s="7"/>
      <c r="P100" s="7"/>
      <c r="Q100" s="22"/>
      <c r="R100" s="190"/>
      <c r="S100" s="196">
        <f t="shared" si="25"/>
        <v>1</v>
      </c>
      <c r="T100" s="190" t="str">
        <f t="shared" si="28"/>
        <v>NorthBound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29"/>
        <v>https://d0f6bd738d7f1b3e5a7ca70fe4ff75f0.us-east-1.aws.found.io/app/kibana#/discover/Steve-Slow-Train-Analysis-(2080s-and-2083s)?_g=(refreshInterval:(display:Off,pause:!f,section:0,value:0),time:(from:'2017-05-09T13:27:03-0600',mode:absolute,to:'2017-05-09T16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0" s="192" t="str">
        <f t="shared" si="30"/>
        <v>N</v>
      </c>
      <c r="X100" s="192">
        <f t="shared" si="31"/>
        <v>1</v>
      </c>
      <c r="Y100" s="192">
        <f t="shared" si="32"/>
        <v>4.4699999999999997E-2</v>
      </c>
      <c r="Z100" s="192">
        <f t="shared" si="33"/>
        <v>23.3291</v>
      </c>
      <c r="AA100" s="192">
        <f t="shared" si="34"/>
        <v>23.284400000000002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5"/>
        <v>0187-09</v>
      </c>
      <c r="AE100" s="80" t="str">
        <f t="shared" si="36"/>
        <v>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 &amp; 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</v>
      </c>
      <c r="AF100" s="77" t="str">
        <f t="shared" si="37"/>
        <v>"C:\Program Files (x86)\AstroGrep\AstroGrep.exe" /e /r /s /spath="%USERPROFILE%\AppData\Local\Temp\OnboardLogs" /stypes="app*4012*20170509*" /stext=" 21:.+((SYSTEM_STATE.+slice.+state.+changed )|(ment ac)|(multiple cpu faults)|(system.+state.+changed )|(\[timeout)|(PRM\|1\|D)|(kpr)|(kdp)|(train st.+moving)|(\|lc)|(penalty))"</v>
      </c>
      <c r="AG100" s="1" t="str">
        <f t="shared" si="38"/>
        <v>EC</v>
      </c>
      <c r="AH100" s="81" t="str">
        <f t="shared" si="39"/>
        <v>"%USERPROFILE%\Documents\GitHub\eaglep3\Utilities\RefineRTDCRunTimes.py" --tripid 187-09 --locoid 4012 --swversion DE.1.0.9.0 --startMP 204:447 --initTime 2017-05-09T14:27:03 --startdatetime 2017-05-09T14:30:29 --delay 1 --endMP 204:233291 --enddatetime 2017-05-09T15:07:03 --enforcementcount 0 &gt;&gt;C:\Users\stu\Documents\GitHub\eaglep3-reporting\EC\2017-05-09-refined-times.txt</v>
      </c>
      <c r="AI100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{"issue":{"subject":"","project_id":79,"tracker_id":40,"status_id":1,"priority_id":2,"assigned_to_id":23,"start_date":"2017-05-09","description":"","custom_fields":[{"id":1,"name":"Subdivision","value":"EC"},{"id":4,"name":"Milepost","value":"23.3291"},{"id":17,"name":"Train ID","value":"187-09"},{"id":16,"name":"Locomotive ID","value":"4012"},{"id":130,"name":"Impact","value":""},{"id":150,"name":"Time of Event (Mountain Time)","value":"15:07:03"},{"id":151,"name":"Denver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1"/>
        <v>start /low /b %USERPROFILE%\Documents\GitHub\eaglep3\Utilities\DownloadLogsFromS3.py --loco 4012 --day 2017-05-09</v>
      </c>
      <c r="AN100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718</v>
      </c>
      <c r="B101" s="7">
        <v>4011</v>
      </c>
      <c r="C101" s="21" t="s">
        <v>207</v>
      </c>
      <c r="D101" s="21" t="s">
        <v>859</v>
      </c>
      <c r="E101" s="13">
        <v>42864.63994212963</v>
      </c>
      <c r="F101" s="13">
        <v>42864.643472222226</v>
      </c>
      <c r="G101" s="7">
        <v>1</v>
      </c>
      <c r="H101" s="21" t="s">
        <v>349</v>
      </c>
      <c r="I101" s="13">
        <v>42864.671388888892</v>
      </c>
      <c r="J101" s="7">
        <v>0</v>
      </c>
      <c r="K101" s="92" t="str">
        <f t="shared" si="26"/>
        <v>4011/4012</v>
      </c>
      <c r="L101" s="21" t="str">
        <f>VLOOKUP(A101,'Trips&amp;Operators'!$C$1:$G$99999,5,FALSE)</f>
        <v>DAVIS MICHAEL</v>
      </c>
      <c r="M101" s="6">
        <f t="shared" si="27"/>
        <v>2.7916666665987577E-2</v>
      </c>
      <c r="N101" s="7">
        <f t="shared" si="43"/>
        <v>40.199999999022111</v>
      </c>
      <c r="O101" s="7"/>
      <c r="P101" s="7"/>
      <c r="Q101" s="22"/>
      <c r="R101" s="190"/>
      <c r="S101" s="196">
        <f t="shared" si="25"/>
        <v>1</v>
      </c>
      <c r="T101" s="190" t="str">
        <f t="shared" si="28"/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29"/>
        <v>https://d0f6bd738d7f1b3e5a7ca70fe4ff75f0.us-east-1.aws.found.io/app/kibana#/discover/Steve-Slow-Train-Analysis-(2080s-and-2083s)?_g=(refreshInterval:(display:Off,pause:!f,section:0,value:0),time:(from:'2017-05-09T14:21:31-0600',mode:absolute,to:'2017-05-09T17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1" s="192" t="str">
        <f t="shared" si="30"/>
        <v>N</v>
      </c>
      <c r="X101" s="192">
        <f t="shared" si="31"/>
        <v>1</v>
      </c>
      <c r="Y101" s="192">
        <f t="shared" si="32"/>
        <v>23.298200000000001</v>
      </c>
      <c r="Z101" s="192">
        <f t="shared" si="33"/>
        <v>1.38E-2</v>
      </c>
      <c r="AA101" s="192">
        <f t="shared" si="34"/>
        <v>23.284400000000002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5"/>
        <v>0188-09</v>
      </c>
      <c r="AE101" s="80" t="str">
        <f t="shared" si="36"/>
        <v>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 &amp; 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</v>
      </c>
      <c r="AF101" s="77" t="str">
        <f t="shared" si="37"/>
        <v>"C:\Program Files (x86)\AstroGrep\AstroGrep.exe" /e /r /s /spath="%USERPROFILE%\AppData\Local\Temp\OnboardLogs" /stypes="app*4011*20170509*" /stext=" 22:.+((SYSTEM_STATE.+slice.+state.+changed )|(ment ac)|(multiple cpu faults)|(system.+state.+changed )|(\[timeout)|(PRM\|1\|D)|(kpr)|(kdp)|(train st.+moving)|(\|lc)|(penalty))"</v>
      </c>
      <c r="AG101" s="1" t="str">
        <f t="shared" si="38"/>
        <v>EC</v>
      </c>
      <c r="AH101" s="81" t="str">
        <f t="shared" si="39"/>
        <v>"%USERPROFILE%\Documents\GitHub\eaglep3\Utilities\RefineRTDCRunTimes.py" --tripid 188-09 --locoid 4011 --swversion DE.1.0.9.0 --startMP 204:232982 --initTime 2017-05-09T15:21:31 --startdatetime 2017-05-09T15:26:36 --delay 1 --endMP 204:138 --enddatetime 2017-05-09T16:06:48 --enforcementcount 0 &gt;&gt;C:\Users\stu\Documents\GitHub\eaglep3-reporting\EC\2017-05-09-refined-times.txt</v>
      </c>
      <c r="AI101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{"issue":{"subject":"","project_id":79,"tracker_id":40,"status_id":1,"priority_id":2,"assigned_to_id":23,"start_date":"2017-05-09","description":"","custom_fields":[{"id":1,"name":"Subdivision","value":"EC"},{"id":4,"name":"Milepost","value":"0.0138"},{"id":17,"name":"Train ID","value":"188-09"},{"id":16,"name":"Locomotive ID","value":"4011"},{"id":130,"name":"Impact","value":""},{"id":150,"name":"Time of Event (Mountain Time)","value":"16:06:48"},{"id":151,"name":"Denver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1"/>
        <v>start /low /b %USERPROFILE%\Documents\GitHub\eaglep3\Utilities\DownloadLogsFromS3.py --loco 4011 --day 2017-05-09</v>
      </c>
      <c r="AN101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714</v>
      </c>
      <c r="B102" s="7">
        <v>4052</v>
      </c>
      <c r="C102" s="21" t="s">
        <v>207</v>
      </c>
      <c r="D102" s="21" t="s">
        <v>203</v>
      </c>
      <c r="E102" s="13">
        <v>42864.610266203701</v>
      </c>
      <c r="F102" s="13">
        <v>42864.614756944444</v>
      </c>
      <c r="G102" s="7">
        <v>1</v>
      </c>
      <c r="H102" s="21" t="s">
        <v>510</v>
      </c>
      <c r="I102" s="13">
        <v>42864.639386574076</v>
      </c>
      <c r="J102" s="7">
        <v>0</v>
      </c>
      <c r="K102" s="92" t="str">
        <f t="shared" si="26"/>
        <v>4051/4052</v>
      </c>
      <c r="L102" s="21" t="str">
        <f>VLOOKUP(A102,'Trips&amp;Operators'!$C$1:$G$99999,5,FALSE)</f>
        <v>STEWART MICHAEL</v>
      </c>
      <c r="M102" s="6">
        <f t="shared" si="27"/>
        <v>2.4629629631817807E-2</v>
      </c>
      <c r="N102" s="7">
        <f t="shared" si="43"/>
        <v>35.466666669817641</v>
      </c>
      <c r="O102" s="7"/>
      <c r="P102" s="7"/>
      <c r="Q102" s="22"/>
      <c r="R102" s="190"/>
      <c r="S102" s="196">
        <f t="shared" si="25"/>
        <v>1</v>
      </c>
      <c r="T102" s="190" t="str">
        <f t="shared" si="28"/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29"/>
        <v>https://d0f6bd738d7f1b3e5a7ca70fe4ff75f0.us-east-1.aws.found.io/app/kibana#/discover/Steve-Slow-Train-Analysis-(2080s-and-2083s)?_g=(refreshInterval:(display:Off,pause:!f,section:0,value:0),time:(from:'2017-05-09T13:38:47-0600',mode:absolute,to:'2017-05-09T16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2" s="192" t="str">
        <f t="shared" si="30"/>
        <v>N</v>
      </c>
      <c r="X102" s="192">
        <f t="shared" si="31"/>
        <v>1</v>
      </c>
      <c r="Y102" s="192">
        <f t="shared" si="32"/>
        <v>4.5699999999999998E-2</v>
      </c>
      <c r="Z102" s="192">
        <f t="shared" si="33"/>
        <v>23.3293</v>
      </c>
      <c r="AA102" s="192">
        <f t="shared" si="34"/>
        <v>23.2836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5"/>
        <v>0189-09</v>
      </c>
      <c r="AE102" s="80" t="str">
        <f t="shared" si="36"/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AF102" s="77" t="str">
        <f t="shared" si="37"/>
        <v>"C:\Program Files (x86)\AstroGrep\AstroGrep.exe" /e /r /s /spath="%USERPROFILE%\AppData\Local\Temp\OnboardLogs" /stypes="app*4052*20170509*" /stext=" 21:.+((SYSTEM_STATE.+slice.+state.+changed )|(ment ac)|(multiple cpu faults)|(system.+state.+changed )|(\[timeout)|(PRM\|1\|D)|(kpr)|(kdp)|(train st.+moving)|(\|lc)|(penalty))"</v>
      </c>
      <c r="AG102" s="1" t="str">
        <f t="shared" si="38"/>
        <v>EC</v>
      </c>
      <c r="AH102" s="81" t="str">
        <f t="shared" si="39"/>
        <v>"%USERPROFILE%\Documents\GitHub\eaglep3\Utilities\RefineRTDCRunTimes.py" --tripid 189-09 --locoid 4052 --swversion DE.1.0.9.0 --startMP 204:457 --initTime 2017-05-09T14:38:47 --startdatetime 2017-05-09T14:45:15 --delay 1 --endMP 204:233293 --enddatetime 2017-05-09T15:20:43 --enforcementcount 0 &gt;&gt;C:\Users\stu\Documents\GitHub\eaglep3-reporting\EC\2017-05-09-refined-times.txt</v>
      </c>
      <c r="AI102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{"issue":{"subject":"","project_id":79,"tracker_id":40,"status_id":1,"priority_id":2,"assigned_to_id":23,"start_date":"2017-05-09","description":"","custom_fields":[{"id":1,"name":"Subdivision","value":"EC"},{"id":4,"name":"Milepost","value":"23.3293"},{"id":17,"name":"Train ID","value":"189-09"},{"id":16,"name":"Locomotive ID","value":"4052"},{"id":130,"name":"Impact","value":""},{"id":150,"name":"Time of Event (Mountain Time)","value":"15:20:43"},{"id":151,"name":"Denver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1"/>
        <v>start /low /b %USERPROFILE%\Documents\GitHub\eaglep3\Utilities\DownloadLogsFromS3.py --loco 4052 --day 2017-05-09</v>
      </c>
      <c r="AN102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723</v>
      </c>
      <c r="B103" s="7">
        <v>4051</v>
      </c>
      <c r="C103" s="21" t="s">
        <v>207</v>
      </c>
      <c r="D103" s="21" t="s">
        <v>523</v>
      </c>
      <c r="E103" s="13">
        <v>42864.650694444441</v>
      </c>
      <c r="F103" s="13">
        <v>42864.65388888889</v>
      </c>
      <c r="G103" s="7">
        <v>1</v>
      </c>
      <c r="H103" s="21" t="s">
        <v>202</v>
      </c>
      <c r="I103" s="13">
        <v>42864.68204861111</v>
      </c>
      <c r="J103" s="7">
        <v>0</v>
      </c>
      <c r="K103" s="92" t="str">
        <f t="shared" si="26"/>
        <v>4051/4052</v>
      </c>
      <c r="L103" s="21" t="str">
        <f>VLOOKUP(A103,'Trips&amp;Operators'!$C$1:$G$99999,5,FALSE)</f>
        <v>STEWART MICHAEL</v>
      </c>
      <c r="M103" s="6">
        <f t="shared" si="27"/>
        <v>2.8159722220152617E-2</v>
      </c>
      <c r="N103" s="7">
        <f t="shared" si="43"/>
        <v>40.549999997019768</v>
      </c>
      <c r="O103" s="7"/>
      <c r="P103" s="7"/>
      <c r="Q103" s="22"/>
      <c r="R103" s="190"/>
      <c r="S103" s="196">
        <f t="shared" si="25"/>
        <v>1</v>
      </c>
      <c r="T103" s="190" t="str">
        <f t="shared" si="28"/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29"/>
        <v>https://d0f6bd738d7f1b3e5a7ca70fe4ff75f0.us-east-1.aws.found.io/app/kibana#/discover/Steve-Slow-Train-Analysis-(2080s-and-2083s)?_g=(refreshInterval:(display:Off,pause:!f,section:0,value:0),time:(from:'2017-05-09T14:37:00-0600',mode:absolute,to:'2017-05-09T17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3" s="192" t="str">
        <f t="shared" si="30"/>
        <v>N</v>
      </c>
      <c r="X103" s="192">
        <f t="shared" si="31"/>
        <v>1</v>
      </c>
      <c r="Y103" s="192">
        <f t="shared" si="32"/>
        <v>23.297000000000001</v>
      </c>
      <c r="Z103" s="192">
        <f t="shared" si="33"/>
        <v>1.54E-2</v>
      </c>
      <c r="AA103" s="192">
        <f t="shared" si="34"/>
        <v>23.281600000000001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5"/>
        <v>0190-09</v>
      </c>
      <c r="AE103" s="80" t="str">
        <f t="shared" si="36"/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AF103" s="77" t="str">
        <f t="shared" si="37"/>
        <v>"C:\Program Files (x86)\AstroGrep\AstroGrep.exe" /e /r /s /spath="%USERPROFILE%\AppData\Local\Temp\OnboardLogs" /stypes="app*4051*20170509*" /stext=" 22:.+((SYSTEM_STATE.+slice.+state.+changed )|(ment ac)|(multiple cpu faults)|(system.+state.+changed )|(\[timeout)|(PRM\|1\|D)|(kpr)|(kdp)|(train st.+moving)|(\|lc)|(penalty))"</v>
      </c>
      <c r="AG103" s="1" t="str">
        <f t="shared" si="38"/>
        <v>EC</v>
      </c>
      <c r="AH103" s="81" t="str">
        <f t="shared" si="39"/>
        <v>"%USERPROFILE%\Documents\GitHub\eaglep3\Utilities\RefineRTDCRunTimes.py" --tripid 190-09 --locoid 4051 --swversion DE.1.0.9.0 --startMP 204:232970 --initTime 2017-05-09T15:37:00 --startdatetime 2017-05-09T15:41:36 --delay 1 --endMP 204:154 --enddatetime 2017-05-09T16:22:09 --enforcementcount 0 &gt;&gt;C:\Users\stu\Documents\GitHub\eaglep3-reporting\EC\2017-05-09-refined-times.txt</v>
      </c>
      <c r="AI103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{"issue":{"subject":"","project_id":79,"tracker_id":40,"status_id":1,"priority_id":2,"assigned_to_id":23,"start_date":"2017-05-09","description":"","custom_fields":[{"id":1,"name":"Subdivision","value":"EC"},{"id":4,"name":"Milepost","value":"0.0154"},{"id":17,"name":"Train ID","value":"190-09"},{"id":16,"name":"Locomotive ID","value":"4051"},{"id":130,"name":"Impact","value":""},{"id":150,"name":"Time of Event (Mountain Time)","value":"16:22:09"},{"id":151,"name":"Denver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1"/>
        <v>start /low /b %USERPROFILE%\Documents\GitHub\eaglep3\Utilities\DownloadLogsFromS3.py --loco 4051 --day 2017-05-09</v>
      </c>
      <c r="AN103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716</v>
      </c>
      <c r="B104" s="7">
        <v>4020</v>
      </c>
      <c r="C104" s="21" t="s">
        <v>207</v>
      </c>
      <c r="D104" s="21" t="s">
        <v>203</v>
      </c>
      <c r="E104" s="13">
        <v>42864.61991898148</v>
      </c>
      <c r="F104" s="13">
        <v>42864.625162037039</v>
      </c>
      <c r="G104" s="7">
        <v>1</v>
      </c>
      <c r="H104" s="21" t="s">
        <v>521</v>
      </c>
      <c r="I104" s="13">
        <v>42864.65116898148</v>
      </c>
      <c r="J104" s="7">
        <v>0</v>
      </c>
      <c r="K104" s="92" t="str">
        <f t="shared" si="26"/>
        <v>4019/4020</v>
      </c>
      <c r="L104" s="21" t="str">
        <f>VLOOKUP(A104,'Trips&amp;Operators'!$C$1:$G$99999,5,FALSE)</f>
        <v>LAMAR NEKESHA</v>
      </c>
      <c r="M104" s="6">
        <f t="shared" si="27"/>
        <v>2.6006944441178348E-2</v>
      </c>
      <c r="N104" s="7">
        <f t="shared" si="43"/>
        <v>37.449999995296821</v>
      </c>
      <c r="O104" s="7"/>
      <c r="P104" s="7"/>
      <c r="Q104" s="22"/>
      <c r="R104" s="190"/>
      <c r="S104" s="196">
        <f t="shared" si="25"/>
        <v>1</v>
      </c>
      <c r="T104" s="190" t="str">
        <f t="shared" si="28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29"/>
        <v>https://d0f6bd738d7f1b3e5a7ca70fe4ff75f0.us-east-1.aws.found.io/app/kibana#/discover/Steve-Slow-Train-Analysis-(2080s-and-2083s)?_g=(refreshInterval:(display:Off,pause:!f,section:0,value:0),time:(from:'2017-05-09T13:52:41-0600',mode:absolute,to:'2017-05-09T16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4" s="192" t="str">
        <f t="shared" si="30"/>
        <v>N</v>
      </c>
      <c r="X104" s="192">
        <f t="shared" si="31"/>
        <v>1</v>
      </c>
      <c r="Y104" s="192">
        <f t="shared" si="32"/>
        <v>4.5699999999999998E-2</v>
      </c>
      <c r="Z104" s="192">
        <f t="shared" si="33"/>
        <v>23.327999999999999</v>
      </c>
      <c r="AA104" s="192">
        <f t="shared" si="34"/>
        <v>23.282299999999999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5"/>
        <v>0191-09</v>
      </c>
      <c r="AE104" s="80" t="str">
        <f t="shared" si="36"/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AF104" s="77" t="str">
        <f t="shared" si="37"/>
        <v>"C:\Program Files (x86)\AstroGrep\AstroGrep.exe" /e /r /s /spath="%USERPROFILE%\AppData\Local\Temp\OnboardLogs" /stypes="app*4020*20170509*" /stext=" 21:.+((SYSTEM_STATE.+slice.+state.+changed )|(ment ac)|(multiple cpu faults)|(system.+state.+changed )|(\[timeout)|(PRM\|1\|D)|(kpr)|(kdp)|(train st.+moving)|(\|lc)|(penalty))"</v>
      </c>
      <c r="AG104" s="1" t="str">
        <f t="shared" si="38"/>
        <v>EC</v>
      </c>
      <c r="AH104" s="81" t="str">
        <f t="shared" si="39"/>
        <v>"%USERPROFILE%\Documents\GitHub\eaglep3\Utilities\RefineRTDCRunTimes.py" --tripid 191-09 --locoid 4020 --swversion DE.1.0.9.0 --startMP 204:457 --initTime 2017-05-09T14:52:41 --startdatetime 2017-05-09T15:00:14 --delay 1 --endMP 204:233280 --enddatetime 2017-05-09T15:37:41 --enforcementcount 0 &gt;&gt;C:\Users\stu\Documents\GitHub\eaglep3-reporting\EC\2017-05-09-refined-times.txt</v>
      </c>
      <c r="AI104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{"issue":{"subject":"","project_id":79,"tracker_id":40,"status_id":1,"priority_id":2,"assigned_to_id":23,"start_date":"2017-05-09","description":"","custom_fields":[{"id":1,"name":"Subdivision","value":"EC"},{"id":4,"name":"Milepost","value":"23.328"},{"id":17,"name":"Train ID","value":"191-09"},{"id":16,"name":"Locomotive ID","value":"4020"},{"id":130,"name":"Impact","value":""},{"id":150,"name":"Time of Event (Mountain Time)","value":"15:37:41"},{"id":151,"name":"Denver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1"/>
        <v>start /low /b %USERPROFILE%\Documents\GitHub\eaglep3\Utilities\DownloadLogsFromS3.py --loco 4020 --day 2017-05-09</v>
      </c>
      <c r="AN104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727</v>
      </c>
      <c r="B105" s="7">
        <v>4019</v>
      </c>
      <c r="C105" s="21" t="s">
        <v>207</v>
      </c>
      <c r="D105" s="21" t="s">
        <v>860</v>
      </c>
      <c r="E105" s="13">
        <v>42864.659826388888</v>
      </c>
      <c r="F105" s="13">
        <v>42864.664618055554</v>
      </c>
      <c r="G105" s="7">
        <v>1</v>
      </c>
      <c r="H105" s="21" t="s">
        <v>861</v>
      </c>
      <c r="I105" s="13">
        <v>42864.69226851852</v>
      </c>
      <c r="J105" s="7">
        <v>0</v>
      </c>
      <c r="K105" s="92" t="str">
        <f t="shared" si="26"/>
        <v>4019/4020</v>
      </c>
      <c r="L105" s="21" t="str">
        <f>VLOOKUP(A105,'Trips&amp;Operators'!$C$1:$G$99999,5,FALSE)</f>
        <v>LAMAR NEKESHA</v>
      </c>
      <c r="M105" s="6">
        <f t="shared" si="27"/>
        <v>2.7650462965539191E-2</v>
      </c>
      <c r="N105" s="7">
        <f t="shared" si="43"/>
        <v>39.816666670376435</v>
      </c>
      <c r="O105" s="7"/>
      <c r="P105" s="7"/>
      <c r="Q105" s="22"/>
      <c r="R105" s="190"/>
      <c r="S105" s="196">
        <f t="shared" si="25"/>
        <v>1</v>
      </c>
      <c r="T105" s="190" t="str">
        <f t="shared" si="28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29"/>
        <v>https://d0f6bd738d7f1b3e5a7ca70fe4ff75f0.us-east-1.aws.found.io/app/kibana#/discover/Steve-Slow-Train-Analysis-(2080s-and-2083s)?_g=(refreshInterval:(display:Off,pause:!f,section:0,value:0),time:(from:'2017-05-09T14:50:09-0600',mode:absolute,to:'2017-05-09T17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5" s="192" t="str">
        <f t="shared" si="30"/>
        <v>N</v>
      </c>
      <c r="X105" s="192">
        <f t="shared" si="31"/>
        <v>1</v>
      </c>
      <c r="Y105" s="192">
        <f t="shared" si="32"/>
        <v>23.2957</v>
      </c>
      <c r="Z105" s="192">
        <f t="shared" si="33"/>
        <v>1.6899999999999998E-2</v>
      </c>
      <c r="AA105" s="192">
        <f t="shared" si="34"/>
        <v>23.2788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5"/>
        <v>0192-09</v>
      </c>
      <c r="AE105" s="80" t="str">
        <f t="shared" si="36"/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105" s="77" t="str">
        <f t="shared" si="37"/>
        <v>"C:\Program Files (x86)\AstroGrep\AstroGrep.exe" /e /r /s /spath="%USERPROFILE%\AppData\Local\Temp\OnboardLogs" /stypes="app*4019*20170509*" /stext=" 22:.+((SYSTEM_STATE.+slice.+state.+changed )|(ment ac)|(multiple cpu faults)|(system.+state.+changed )|(\[timeout)|(PRM\|1\|D)|(kpr)|(kdp)|(train st.+moving)|(\|lc)|(penalty))"</v>
      </c>
      <c r="AG105" s="1" t="str">
        <f t="shared" si="38"/>
        <v>EC</v>
      </c>
      <c r="AH105" s="81" t="str">
        <f t="shared" si="39"/>
        <v>"%USERPROFILE%\Documents\GitHub\eaglep3\Utilities\RefineRTDCRunTimes.py" --tripid 192-09 --locoid 4019 --swversion DE.1.0.9.0 --startMP 204:232957 --initTime 2017-05-09T15:50:09 --startdatetime 2017-05-09T15:57:03 --delay 1 --endMP 204:169 --enddatetime 2017-05-09T16:36:52 --enforcementcount 0 &gt;&gt;C:\Users\stu\Documents\GitHub\eaglep3-reporting\EC\2017-05-09-refined-times.txt</v>
      </c>
      <c r="AI105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{"issue":{"subject":"","project_id":79,"tracker_id":40,"status_id":1,"priority_id":2,"assigned_to_id":23,"start_date":"2017-05-09","description":"","custom_fields":[{"id":1,"name":"Subdivision","value":"EC"},{"id":4,"name":"Milepost","value":"0.0169"},{"id":17,"name":"Train ID","value":"192-09"},{"id":16,"name":"Locomotive ID","value":"4019"},{"id":130,"name":"Impact","value":""},{"id":150,"name":"Time of Event (Mountain Time)","value":"16:36:52"},{"id":151,"name":"Denver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1"/>
        <v>start /low /b %USERPROFILE%\Documents\GitHub\eaglep3\Utilities\DownloadLogsFromS3.py --loco 4019 --day 2017-05-09</v>
      </c>
      <c r="AN105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717</v>
      </c>
      <c r="B106" s="7">
        <v>4032</v>
      </c>
      <c r="C106" s="21" t="s">
        <v>207</v>
      </c>
      <c r="D106" s="21" t="s">
        <v>203</v>
      </c>
      <c r="E106" s="13">
        <v>42864.634212962963</v>
      </c>
      <c r="F106" s="13">
        <v>42864.63585648148</v>
      </c>
      <c r="G106" s="7">
        <v>1</v>
      </c>
      <c r="H106" s="21" t="s">
        <v>862</v>
      </c>
      <c r="I106" s="13">
        <v>42864.662372685183</v>
      </c>
      <c r="J106" s="7">
        <v>0</v>
      </c>
      <c r="K106" s="92" t="str">
        <f t="shared" si="26"/>
        <v>4031/4032</v>
      </c>
      <c r="L106" s="21" t="str">
        <f>VLOOKUP(A106,'Trips&amp;Operators'!$C$1:$G$99999,5,FALSE)</f>
        <v>CLARK KATHLEEN</v>
      </c>
      <c r="M106" s="6">
        <f t="shared" si="27"/>
        <v>2.6516203703067731E-2</v>
      </c>
      <c r="N106" s="7">
        <f t="shared" si="43"/>
        <v>38.183333332417533</v>
      </c>
      <c r="O106" s="7"/>
      <c r="P106" s="7"/>
      <c r="Q106" s="22"/>
      <c r="R106" s="190"/>
      <c r="S106" s="196">
        <f t="shared" si="25"/>
        <v>1</v>
      </c>
      <c r="T106" s="190" t="str">
        <f t="shared" si="28"/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29"/>
        <v>https://d0f6bd738d7f1b3e5a7ca70fe4ff75f0.us-east-1.aws.found.io/app/kibana#/discover/Steve-Slow-Train-Analysis-(2080s-and-2083s)?_g=(refreshInterval:(display:Off,pause:!f,section:0,value:0),time:(from:'2017-05-09T14:13:16-0600',mode:absolute,to:'2017-05-09T16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192" t="str">
        <f t="shared" si="30"/>
        <v>N</v>
      </c>
      <c r="X106" s="192">
        <f t="shared" si="31"/>
        <v>1</v>
      </c>
      <c r="Y106" s="192">
        <f t="shared" si="32"/>
        <v>4.5699999999999998E-2</v>
      </c>
      <c r="Z106" s="192">
        <f t="shared" si="33"/>
        <v>23.325700000000001</v>
      </c>
      <c r="AA106" s="192">
        <f t="shared" si="34"/>
        <v>23.28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5"/>
        <v>0193-09</v>
      </c>
      <c r="AE106" s="80" t="str">
        <f t="shared" si="36"/>
        <v>aws s3 cp s3://rtdc.mdm.uploadarchive.raw/RTDC4032/ "%USERPROFILE%\AppData\Local\Temp\OnboardLogs"\RTDC4032\2017-05-09 --exclude "*" --recursive --include "*20170509*" &amp; "%USERPROFILE%\Documents\GitHub\mrs-test-scripts\Headless Mode &amp; Sideloading\WalkAndUnGZ.bat" "%USERPROFILE%\AppData\Local\Temp\OnboardLogs"\RTDC4032\2017-05-09 &amp; 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</v>
      </c>
      <c r="AF106" s="77" t="str">
        <f t="shared" si="37"/>
        <v>"C:\Program Files (x86)\AstroGrep\AstroGrep.exe" /e /r /s /spath="%USERPROFILE%\AppData\Local\Temp\OnboardLogs" /stypes="app*4032*20170509*" /stext=" 21:.+((SYSTEM_STATE.+slice.+state.+changed )|(ment ac)|(multiple cpu faults)|(system.+state.+changed )|(\[timeout)|(PRM\|1\|D)|(kpr)|(kdp)|(train st.+moving)|(\|lc)|(penalty))"</v>
      </c>
      <c r="AG106" s="1" t="str">
        <f t="shared" si="38"/>
        <v>EC</v>
      </c>
      <c r="AH106" s="81" t="str">
        <f t="shared" si="39"/>
        <v>"%USERPROFILE%\Documents\GitHub\eaglep3\Utilities\RefineRTDCRunTimes.py" --tripid 193-09 --locoid 4032 --swversion DE.1.0.9.0 --startMP 204:457 --initTime 2017-05-09T15:13:16 --startdatetime 2017-05-09T15:15:38 --delay 1 --endMP 204:233257 --enddatetime 2017-05-09T15:53:49 --enforcementcount 0 &gt;&gt;C:\Users\stu\Documents\GitHub\eaglep3-reporting\EC\2017-05-09-refined-times.txt</v>
      </c>
      <c r="AI106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{"issue":{"subject":"","project_id":79,"tracker_id":40,"status_id":1,"priority_id":2,"assigned_to_id":23,"start_date":"2017-05-09","description":"","custom_fields":[{"id":1,"name":"Subdivision","value":"EC"},{"id":4,"name":"Milepost","value":"23.3257"},{"id":17,"name":"Train ID","value":"193-09"},{"id":16,"name":"Locomotive ID","value":"4032"},{"id":130,"name":"Impact","value":""},{"id":150,"name":"Time of Event (Mountain Time)","value":"15:53:49"},{"id":151,"name":"Denver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1"/>
        <v>start /low /b %USERPROFILE%\Documents\GitHub\eaglep3\Utilities\DownloadLogsFromS3.py --loco 4032 --day 2017-05-09</v>
      </c>
      <c r="AN106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729</v>
      </c>
      <c r="B107" s="7">
        <v>4031</v>
      </c>
      <c r="C107" s="21" t="s">
        <v>207</v>
      </c>
      <c r="D107" s="21" t="s">
        <v>516</v>
      </c>
      <c r="E107" s="13">
        <v>42864.670277777775</v>
      </c>
      <c r="F107" s="13">
        <v>42864.674479166664</v>
      </c>
      <c r="G107" s="7">
        <v>1</v>
      </c>
      <c r="H107" s="21" t="s">
        <v>863</v>
      </c>
      <c r="I107" s="13">
        <v>42864.702141203707</v>
      </c>
      <c r="J107" s="7">
        <v>0</v>
      </c>
      <c r="K107" s="92" t="str">
        <f t="shared" si="26"/>
        <v>4031/4032</v>
      </c>
      <c r="L107" s="21" t="str">
        <f>VLOOKUP(A107,'Trips&amp;Operators'!$C$1:$G$99999,5,FALSE)</f>
        <v>CLARK KATHLEEN</v>
      </c>
      <c r="M107" s="6">
        <f t="shared" si="27"/>
        <v>2.7662037042318843E-2</v>
      </c>
      <c r="N107" s="7">
        <f t="shared" si="43"/>
        <v>39.833333340939134</v>
      </c>
      <c r="O107" s="7"/>
      <c r="P107" s="7"/>
      <c r="Q107" s="22"/>
      <c r="R107" s="190"/>
      <c r="S107" s="196">
        <f t="shared" si="25"/>
        <v>1</v>
      </c>
      <c r="T107" s="190" t="str">
        <f t="shared" si="28"/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29"/>
        <v>https://d0f6bd738d7f1b3e5a7ca70fe4ff75f0.us-east-1.aws.found.io/app/kibana#/discover/Steve-Slow-Train-Analysis-(2080s-and-2083s)?_g=(refreshInterval:(display:Off,pause:!f,section:0,value:0),time:(from:'2017-05-09T15:05:12-0600',mode:absolute,to:'2017-05-09T17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192" t="str">
        <f t="shared" si="30"/>
        <v>N</v>
      </c>
      <c r="X107" s="192">
        <f t="shared" si="31"/>
        <v>1</v>
      </c>
      <c r="Y107" s="192">
        <f t="shared" si="32"/>
        <v>23.292999999999999</v>
      </c>
      <c r="Z107" s="192">
        <f t="shared" si="33"/>
        <v>1.9599999999999999E-2</v>
      </c>
      <c r="AA107" s="192">
        <f t="shared" si="34"/>
        <v>23.273399999999999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5"/>
        <v>0194-09</v>
      </c>
      <c r="AE107" s="80" t="str">
        <f t="shared" si="36"/>
        <v>aws s3 cp s3://rtdc.mdm.uploadarchive.raw/RTDC4031/ "%USERPROFILE%\AppData\Local\Temp\OnboardLogs"\RTDC4031\2017-05-09 --exclude "*" --recursive --include "*20170509*" &amp; "%USERPROFILE%\Documents\GitHub\mrs-test-scripts\Headless Mode &amp; Sideloading\WalkAndUnGZ.bat" "%USERPROFILE%\AppData\Local\Temp\OnboardLogs"\RTDC4031\2017-05-09 &amp; 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</v>
      </c>
      <c r="AF107" s="77" t="str">
        <f t="shared" si="37"/>
        <v>"C:\Program Files (x86)\AstroGrep\AstroGrep.exe" /e /r /s /spath="%USERPROFILE%\AppData\Local\Temp\OnboardLogs" /stypes="app*4031*20170509*" /stext=" 22:.+((SYSTEM_STATE.+slice.+state.+changed )|(ment ac)|(multiple cpu faults)|(system.+state.+changed )|(\[timeout)|(PRM\|1\|D)|(kpr)|(kdp)|(train st.+moving)|(\|lc)|(penalty))"</v>
      </c>
      <c r="AG107" s="1" t="str">
        <f t="shared" si="38"/>
        <v>EC</v>
      </c>
      <c r="AH107" s="81" t="str">
        <f t="shared" si="39"/>
        <v>"%USERPROFILE%\Documents\GitHub\eaglep3\Utilities\RefineRTDCRunTimes.py" --tripid 194-09 --locoid 4031 --swversion DE.1.0.9.0 --startMP 204:232930 --initTime 2017-05-09T16:05:12 --startdatetime 2017-05-09T16:11:15 --delay 1 --endMP 204:196 --enddatetime 2017-05-09T16:51:05 --enforcementcount 0 &gt;&gt;C:\Users\stu\Documents\GitHub\eaglep3-reporting\EC\2017-05-09-refined-times.txt</v>
      </c>
      <c r="AI107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{"issue":{"subject":"","project_id":79,"tracker_id":40,"status_id":1,"priority_id":2,"assigned_to_id":23,"start_date":"2017-05-09","description":"","custom_fields":[{"id":1,"name":"Subdivision","value":"EC"},{"id":4,"name":"Milepost","value":"0.0196"},{"id":17,"name":"Train ID","value":"194-09"},{"id":16,"name":"Locomotive ID","value":"4031"},{"id":130,"name":"Impact","value":""},{"id":150,"name":"Time of Event (Mountain Time)","value":"16:51:05"},{"id":151,"name":"Denver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1"/>
        <v>start /low /b %USERPROFILE%\Documents\GitHub\eaglep3\Utilities\DownloadLogsFromS3.py --loco 4031 --day 2017-05-09</v>
      </c>
      <c r="AN107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722</v>
      </c>
      <c r="B108" s="7">
        <v>4008</v>
      </c>
      <c r="C108" s="21" t="s">
        <v>207</v>
      </c>
      <c r="D108" s="21" t="s">
        <v>360</v>
      </c>
      <c r="E108" s="13">
        <v>42864.64340277778</v>
      </c>
      <c r="F108" s="13">
        <v>42864.646006944444</v>
      </c>
      <c r="G108" s="7">
        <v>1</v>
      </c>
      <c r="H108" s="21" t="s">
        <v>509</v>
      </c>
      <c r="I108" s="13">
        <v>42864.670659722222</v>
      </c>
      <c r="J108" s="7">
        <v>0</v>
      </c>
      <c r="K108" s="92" t="str">
        <f t="shared" si="26"/>
        <v>4007/4008</v>
      </c>
      <c r="L108" s="21" t="str">
        <f>VLOOKUP(A108,'Trips&amp;Operators'!$C$1:$G$99999,5,FALSE)</f>
        <v>LALONDE GREGORY</v>
      </c>
      <c r="M108" s="6">
        <f t="shared" si="27"/>
        <v>2.4652777778101154E-2</v>
      </c>
      <c r="N108" s="7">
        <f t="shared" si="43"/>
        <v>35.500000000465661</v>
      </c>
      <c r="O108" s="7"/>
      <c r="P108" s="7"/>
      <c r="Q108" s="22"/>
      <c r="R108" s="190"/>
      <c r="S108" s="196">
        <f t="shared" si="25"/>
        <v>1</v>
      </c>
      <c r="T108" s="190" t="str">
        <f t="shared" si="28"/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29"/>
        <v>https://d0f6bd738d7f1b3e5a7ca70fe4ff75f0.us-east-1.aws.found.io/app/kibana#/discover/Steve-Slow-Train-Analysis-(2080s-and-2083s)?_g=(refreshInterval:(display:Off,pause:!f,section:0,value:0),time:(from:'2017-05-09T14:26:30-0600',mode:absolute,to:'2017-05-09T17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8" s="192" t="str">
        <f t="shared" si="30"/>
        <v>N</v>
      </c>
      <c r="X108" s="192">
        <f t="shared" si="31"/>
        <v>1</v>
      </c>
      <c r="Y108" s="192">
        <f t="shared" si="32"/>
        <v>4.58E-2</v>
      </c>
      <c r="Z108" s="192">
        <f t="shared" si="33"/>
        <v>23.3307</v>
      </c>
      <c r="AA108" s="192">
        <f t="shared" si="34"/>
        <v>23.2849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5"/>
        <v>0195-09</v>
      </c>
      <c r="AE108" s="80" t="str">
        <f t="shared" si="36"/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108" s="77" t="str">
        <f t="shared" si="37"/>
        <v>"C:\Program Files (x86)\AstroGrep\AstroGrep.exe" /e /r /s /spath="%USERPROFILE%\AppData\Local\Temp\OnboardLogs" /stypes="app*4008*20170509*" /stext=" 22:.+((SYSTEM_STATE.+slice.+state.+changed )|(ment ac)|(multiple cpu faults)|(system.+state.+changed )|(\[timeout)|(PRM\|1\|D)|(kpr)|(kdp)|(train st.+moving)|(\|lc)|(penalty))"</v>
      </c>
      <c r="AG108" s="1" t="str">
        <f t="shared" si="38"/>
        <v>EC</v>
      </c>
      <c r="AH108" s="81" t="str">
        <f t="shared" si="39"/>
        <v>"%USERPROFILE%\Documents\GitHub\eaglep3\Utilities\RefineRTDCRunTimes.py" --tripid 195-09 --locoid 4008 --swversion DE.1.0.9.0 --startMP 204:458 --initTime 2017-05-09T15:26:30 --startdatetime 2017-05-09T15:30:15 --delay 1 --endMP 204:233307 --enddatetime 2017-05-09T16:05:45 --enforcementcount 0 &gt;&gt;C:\Users\stu\Documents\GitHub\eaglep3-reporting\EC\2017-05-09-refined-times.txt</v>
      </c>
      <c r="AI108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{"issue":{"subject":"","project_id":79,"tracker_id":40,"status_id":1,"priority_id":2,"assigned_to_id":23,"start_date":"2017-05-09","description":"","custom_fields":[{"id":1,"name":"Subdivision","value":"EC"},{"id":4,"name":"Milepost","value":"23.3307"},{"id":17,"name":"Train ID","value":"195-09"},{"id":16,"name":"Locomotive ID","value":"4008"},{"id":130,"name":"Impact","value":""},{"id":150,"name":"Time of Event (Mountain Time)","value":"16:05:45"},{"id":151,"name":"Denver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1"/>
        <v>start /low /b %USERPROFILE%\Documents\GitHub\eaglep3\Utilities\DownloadLogsFromS3.py --loco 4008 --day 2017-05-09</v>
      </c>
      <c r="AN108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730</v>
      </c>
      <c r="B109" s="7">
        <v>4007</v>
      </c>
      <c r="C109" s="21" t="s">
        <v>207</v>
      </c>
      <c r="D109" s="21" t="s">
        <v>524</v>
      </c>
      <c r="E109" s="13">
        <v>42864.671956018516</v>
      </c>
      <c r="F109" s="13">
        <v>42864.684884259259</v>
      </c>
      <c r="G109" s="7">
        <v>1</v>
      </c>
      <c r="H109" s="21" t="s">
        <v>858</v>
      </c>
      <c r="I109" s="13">
        <v>42864.710115740738</v>
      </c>
      <c r="J109" s="7">
        <v>0</v>
      </c>
      <c r="K109" s="92" t="str">
        <f t="shared" si="26"/>
        <v>4007/4008</v>
      </c>
      <c r="L109" s="21" t="str">
        <f>VLOOKUP(A109,'Trips&amp;Operators'!$C$1:$G$99999,5,FALSE)</f>
        <v>LALONDE GREGORY</v>
      </c>
      <c r="M109" s="6">
        <f t="shared" si="27"/>
        <v>2.5231481478840578E-2</v>
      </c>
      <c r="N109" s="7">
        <f t="shared" si="43"/>
        <v>36.333333329530433</v>
      </c>
      <c r="O109" s="7"/>
      <c r="P109" s="7"/>
      <c r="Q109" s="22"/>
      <c r="R109" s="190"/>
      <c r="S109" s="196">
        <f t="shared" si="25"/>
        <v>1</v>
      </c>
      <c r="T109" s="190" t="str">
        <f t="shared" si="28"/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29"/>
        <v>https://d0f6bd738d7f1b3e5a7ca70fe4ff75f0.us-east-1.aws.found.io/app/kibana#/discover/Steve-Slow-Train-Analysis-(2080s-and-2083s)?_g=(refreshInterval:(display:Off,pause:!f,section:0,value:0),time:(from:'2017-05-09T15:07:37-0600',mode:absolute,to:'2017-05-09T18:02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9" s="192" t="str">
        <f t="shared" si="30"/>
        <v>N</v>
      </c>
      <c r="X109" s="192">
        <f t="shared" ref="X109:X140" si="44">VALUE(LEFT(AD109,4))-VALUE(LEFT(AD108,4))</f>
        <v>1</v>
      </c>
      <c r="Y109" s="192">
        <f t="shared" si="32"/>
        <v>23.302299999999999</v>
      </c>
      <c r="Z109" s="192">
        <f t="shared" si="33"/>
        <v>1.61E-2</v>
      </c>
      <c r="AA109" s="192">
        <f t="shared" si="34"/>
        <v>23.286199999999997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5"/>
        <v>0196-09</v>
      </c>
      <c r="AE109" s="80" t="str">
        <f t="shared" si="36"/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AF109" s="77" t="str">
        <f t="shared" si="37"/>
        <v>"C:\Program Files (x86)\AstroGrep\AstroGrep.exe" /e /r /s /spath="%USERPROFILE%\AppData\Local\Temp\OnboardLogs" /stypes="app*4007*20170509*" /stext=" 23:.+((SYSTEM_STATE.+slice.+state.+changed )|(ment ac)|(multiple cpu faults)|(system.+state.+changed )|(\[timeout)|(PRM\|1\|D)|(kpr)|(kdp)|(train st.+moving)|(\|lc)|(penalty))"</v>
      </c>
      <c r="AG109" s="1" t="str">
        <f t="shared" si="38"/>
        <v>EC</v>
      </c>
      <c r="AH109" s="81" t="str">
        <f t="shared" si="39"/>
        <v>"%USERPROFILE%\Documents\GitHub\eaglep3\Utilities\RefineRTDCRunTimes.py" --tripid 196-09 --locoid 4007 --swversion DE.1.0.9.0 --startMP 204:233023 --initTime 2017-05-09T16:07:37 --startdatetime 2017-05-09T16:26:14 --delay 1 --endMP 204:161 --enddatetime 2017-05-09T17:02:34 --enforcementcount 0 &gt;&gt;C:\Users\stu\Documents\GitHub\eaglep3-reporting\EC\2017-05-09-refined-times.txt</v>
      </c>
      <c r="AI109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{"issue":{"subject":"","project_id":79,"tracker_id":40,"status_id":1,"priority_id":2,"assigned_to_id":23,"start_date":"2017-05-09","description":"","custom_fields":[{"id":1,"name":"Subdivision","value":"EC"},{"id":4,"name":"Milepost","value":"0.0161"},{"id":17,"name":"Train ID","value":"196-09"},{"id":16,"name":"Locomotive ID","value":"4007"},{"id":130,"name":"Impact","value":""},{"id":150,"name":"Time of Event (Mountain Time)","value":"17:02:34"},{"id":151,"name":"Denver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1"/>
        <v>start /low /b %USERPROFILE%\Documents\GitHub\eaglep3\Utilities\DownloadLogsFromS3.py --loco 4007 --day 2017-05-09</v>
      </c>
      <c r="AN109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23:02:34"},{"id":29,"name":"Sharepoint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725</v>
      </c>
      <c r="B110" s="7">
        <v>4030</v>
      </c>
      <c r="C110" s="21" t="s">
        <v>207</v>
      </c>
      <c r="D110" s="21" t="s">
        <v>864</v>
      </c>
      <c r="E110" s="13">
        <v>42864.651701388888</v>
      </c>
      <c r="F110" s="13">
        <v>42864.656412037039</v>
      </c>
      <c r="G110" s="7">
        <v>1</v>
      </c>
      <c r="H110" s="21" t="s">
        <v>834</v>
      </c>
      <c r="I110" s="13">
        <v>42864.680833333332</v>
      </c>
      <c r="J110" s="7">
        <v>0</v>
      </c>
      <c r="K110" s="92" t="str">
        <f t="shared" si="26"/>
        <v>4029/4030</v>
      </c>
      <c r="L110" s="21" t="str">
        <f>VLOOKUP(A110,'Trips&amp;Operators'!$C$1:$G$99999,5,FALSE)</f>
        <v>ROMERO CHAD</v>
      </c>
      <c r="M110" s="6">
        <f t="shared" si="27"/>
        <v>2.4421296293439809E-2</v>
      </c>
      <c r="N110" s="7">
        <f t="shared" si="43"/>
        <v>35.166666662553325</v>
      </c>
      <c r="O110" s="7"/>
      <c r="P110" s="7"/>
      <c r="Q110" s="22"/>
      <c r="R110" s="190"/>
      <c r="S110" s="196">
        <f t="shared" si="25"/>
        <v>1</v>
      </c>
      <c r="T110" s="190" t="str">
        <f t="shared" si="28"/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29"/>
        <v>https://d0f6bd738d7f1b3e5a7ca70fe4ff75f0.us-east-1.aws.found.io/app/kibana#/discover/Steve-Slow-Train-Analysis-(2080s-and-2083s)?_g=(refreshInterval:(display:Off,pause:!f,section:0,value:0),time:(from:'2017-05-09T14:38:27-0600',mode:absolute,to:'2017-05-09T17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0" s="192" t="str">
        <f t="shared" si="30"/>
        <v>N</v>
      </c>
      <c r="X110" s="192">
        <f t="shared" si="44"/>
        <v>1</v>
      </c>
      <c r="Y110" s="192">
        <f t="shared" si="32"/>
        <v>4.2200000000000001E-2</v>
      </c>
      <c r="Z110" s="192">
        <f t="shared" si="33"/>
        <v>23.3306</v>
      </c>
      <c r="AA110" s="192">
        <f t="shared" si="34"/>
        <v>23.288399999999999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5"/>
        <v>0197-09</v>
      </c>
      <c r="AE110" s="80" t="str">
        <f t="shared" si="36"/>
        <v>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 &amp; 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</v>
      </c>
      <c r="AF110" s="77" t="str">
        <f t="shared" si="37"/>
        <v>"C:\Program Files (x86)\AstroGrep\AstroGrep.exe" /e /r /s /spath="%USERPROFILE%\AppData\Local\Temp\OnboardLogs" /stypes="app*4030*20170509*" /stext=" 22:.+((SYSTEM_STATE.+slice.+state.+changed )|(ment ac)|(multiple cpu faults)|(system.+state.+changed )|(\[timeout)|(PRM\|1\|D)|(kpr)|(kdp)|(train st.+moving)|(\|lc)|(penalty))"</v>
      </c>
      <c r="AG110" s="1" t="str">
        <f t="shared" si="38"/>
        <v>EC</v>
      </c>
      <c r="AH110" s="81" t="str">
        <f t="shared" si="39"/>
        <v>"%USERPROFILE%\Documents\GitHub\eaglep3\Utilities\RefineRTDCRunTimes.py" --tripid 197-09 --locoid 4030 --swversion DE.1.0.9.0 --startMP 204:422 --initTime 2017-05-09T15:38:27 --startdatetime 2017-05-09T15:45:14 --delay 1 --endMP 204:233306 --enddatetime 2017-05-09T16:20:24 --enforcementcount 0 &gt;&gt;C:\Users\stu\Documents\GitHub\eaglep3-reporting\EC\2017-05-09-refined-times.txt</v>
      </c>
      <c r="AI110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{"issue":{"subject":"","project_id":79,"tracker_id":40,"status_id":1,"priority_id":2,"assigned_to_id":23,"start_date":"2017-05-09","description":"","custom_fields":[{"id":1,"name":"Subdivision","value":"EC"},{"id":4,"name":"Milepost","value":"23.3306"},{"id":17,"name":"Train ID","value":"197-09"},{"id":16,"name":"Locomotive ID","value":"4030"},{"id":130,"name":"Impact","value":""},{"id":150,"name":"Time of Event (Mountain Time)","value":"16:20:24"},{"id":151,"name":"Denver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1"/>
        <v>start /low /b %USERPROFILE%\Documents\GitHub\eaglep3\Utilities\DownloadLogsFromS3.py --loco 4030 --day 2017-05-09</v>
      </c>
      <c r="AN110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586</v>
      </c>
      <c r="B111" s="7">
        <v>4029</v>
      </c>
      <c r="C111" s="21" t="s">
        <v>207</v>
      </c>
      <c r="D111" s="21" t="s">
        <v>406</v>
      </c>
      <c r="E111" s="13">
        <v>42864.692824074074</v>
      </c>
      <c r="F111" s="13">
        <v>42864.695324074077</v>
      </c>
      <c r="G111" s="7">
        <v>1</v>
      </c>
      <c r="H111" s="21" t="s">
        <v>865</v>
      </c>
      <c r="I111" s="13">
        <v>42864.721944444442</v>
      </c>
      <c r="J111" s="7">
        <v>0</v>
      </c>
      <c r="K111" s="92" t="str">
        <f t="shared" si="26"/>
        <v>4029/4030</v>
      </c>
      <c r="L111" s="21" t="str">
        <f>VLOOKUP(A111,'Trips&amp;Operators'!$C$1:$G$99999,5,FALSE)</f>
        <v>ROMERO CHAD</v>
      </c>
      <c r="M111" s="6">
        <f t="shared" si="27"/>
        <v>2.6620370364980772E-2</v>
      </c>
      <c r="N111" s="7">
        <f t="shared" si="43"/>
        <v>38.333333325572312</v>
      </c>
      <c r="O111" s="7"/>
      <c r="P111" s="7"/>
      <c r="Q111" s="22"/>
      <c r="R111" s="190"/>
      <c r="S111" s="196">
        <f t="shared" si="25"/>
        <v>1</v>
      </c>
      <c r="T111" s="190" t="str">
        <f t="shared" si="28"/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29"/>
        <v>https://d0f6bd738d7f1b3e5a7ca70fe4ff75f0.us-east-1.aws.found.io/app/kibana#/discover/Steve-Slow-Train-Analysis-(2080s-and-2083s)?_g=(refreshInterval:(display:Off,pause:!f,section:0,value:0),time:(from:'2017-05-09T15:37:40-0600',mode:absolute,to:'2017-05-09T18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1" s="192" t="str">
        <f t="shared" si="30"/>
        <v>N</v>
      </c>
      <c r="X111" s="192">
        <f t="shared" si="44"/>
        <v>1</v>
      </c>
      <c r="Y111" s="192">
        <f t="shared" si="32"/>
        <v>23.3004</v>
      </c>
      <c r="Z111" s="192">
        <f t="shared" si="33"/>
        <v>2.47E-2</v>
      </c>
      <c r="AA111" s="192">
        <f t="shared" si="34"/>
        <v>23.275700000000001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5"/>
        <v>0198-09</v>
      </c>
      <c r="AE111" s="80" t="str">
        <f t="shared" si="36"/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AF111" s="77" t="str">
        <f t="shared" si="37"/>
        <v>"C:\Program Files (x86)\AstroGrep\AstroGrep.exe" /e /r /s /spath="%USERPROFILE%\AppData\Local\Temp\OnboardLogs" /stypes="app*4029*20170509*" /stext=" 23:.+((SYSTEM_STATE.+slice.+state.+changed )|(ment ac)|(multiple cpu faults)|(system.+state.+changed )|(\[timeout)|(PRM\|1\|D)|(kpr)|(kdp)|(train st.+moving)|(\|lc)|(penalty))"</v>
      </c>
      <c r="AG111" s="1" t="str">
        <f t="shared" si="38"/>
        <v>EC</v>
      </c>
      <c r="AH111" s="81" t="str">
        <f t="shared" si="39"/>
        <v>"%USERPROFILE%\Documents\GitHub\eaglep3\Utilities\RefineRTDCRunTimes.py" --tripid 198-09 --locoid 4029 --swversion DE.1.0.9.0 --startMP 204:233004 --initTime 2017-05-09T16:37:40 --startdatetime 2017-05-09T16:41:16 --delay 1 --endMP 204:247 --enddatetime 2017-05-09T17:19:36 --enforcementcount 0 &gt;&gt;C:\Users\stu\Documents\GitHub\eaglep3-reporting\EC\2017-05-09-refined-times.txt</v>
      </c>
      <c r="AI111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{"issue":{"subject":"","project_id":79,"tracker_id":40,"status_id":1,"priority_id":2,"assigned_to_id":23,"start_date":"2017-05-09","description":"","custom_fields":[{"id":1,"name":"Subdivision","value":"EC"},{"id":4,"name":"Milepost","value":"0.0247"},{"id":17,"name":"Train ID","value":"198-09"},{"id":16,"name":"Locomotive ID","value":"4029"},{"id":130,"name":"Impact","value":""},{"id":150,"name":"Time of Event (Mountain Time)","value":"17:19:36"},{"id":151,"name":"Denver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1"/>
        <v>start /low /b %USERPROFILE%\Documents\GitHub\eaglep3\Utilities\DownloadLogsFromS3.py --loco 4029 --day 2017-05-09</v>
      </c>
      <c r="AN111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728</v>
      </c>
      <c r="B112" s="7">
        <v>4046</v>
      </c>
      <c r="C112" s="21" t="s">
        <v>207</v>
      </c>
      <c r="D112" s="21" t="s">
        <v>866</v>
      </c>
      <c r="E112" s="13">
        <v>42864.663761574076</v>
      </c>
      <c r="F112" s="13">
        <v>42864.666898148149</v>
      </c>
      <c r="G112" s="7">
        <v>1</v>
      </c>
      <c r="H112" s="21" t="s">
        <v>513</v>
      </c>
      <c r="I112" s="13">
        <v>42864.692141203705</v>
      </c>
      <c r="J112" s="7">
        <v>0</v>
      </c>
      <c r="K112" s="92" t="str">
        <f t="shared" si="26"/>
        <v>4045/4046</v>
      </c>
      <c r="L112" s="21" t="str">
        <f>VLOOKUP(A112,'Trips&amp;Operators'!$C$1:$G$99999,5,FALSE)</f>
        <v>THOMPSON LESTER</v>
      </c>
      <c r="M112" s="6">
        <f t="shared" si="27"/>
        <v>2.5243055555620231E-2</v>
      </c>
      <c r="N112" s="7">
        <f t="shared" ref="N112:N143" si="45">24*60*SUM($M112:$M112)</f>
        <v>36.350000000093132</v>
      </c>
      <c r="O112" s="7"/>
      <c r="P112" s="7"/>
      <c r="Q112" s="22"/>
      <c r="R112" s="190"/>
      <c r="S112" s="196">
        <f t="shared" ref="S112:S175" si="46">SUM(U112:U112)/IF(AG112="EC",12,1)</f>
        <v>1</v>
      </c>
      <c r="T112" s="190" t="str">
        <f t="shared" si="28"/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29"/>
        <v>https://d0f6bd738d7f1b3e5a7ca70fe4ff75f0.us-east-1.aws.found.io/app/kibana#/discover/Steve-Slow-Train-Analysis-(2080s-and-2083s)?_g=(refreshInterval:(display:Off,pause:!f,section:0,value:0),time:(from:'2017-05-09T14:55:49-0600',mode:absolute,to:'2017-05-09T17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2" s="192" t="str">
        <f t="shared" si="30"/>
        <v>N</v>
      </c>
      <c r="X112" s="192">
        <f t="shared" si="44"/>
        <v>1</v>
      </c>
      <c r="Y112" s="192">
        <f t="shared" si="32"/>
        <v>4.7100000000000003E-2</v>
      </c>
      <c r="Z112" s="192">
        <f t="shared" si="33"/>
        <v>23.3309</v>
      </c>
      <c r="AA112" s="192">
        <f t="shared" si="34"/>
        <v>23.283799999999999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5"/>
        <v>0199-09</v>
      </c>
      <c r="AE112" s="80" t="str">
        <f t="shared" si="36"/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AF112" s="77" t="str">
        <f t="shared" si="37"/>
        <v>"C:\Program Files (x86)\AstroGrep\AstroGrep.exe" /e /r /s /spath="%USERPROFILE%\AppData\Local\Temp\OnboardLogs" /stypes="app*4046*20170509*" /stext=" 22:.+((SYSTEM_STATE.+slice.+state.+changed )|(ment ac)|(multiple cpu faults)|(system.+state.+changed )|(\[timeout)|(PRM\|1\|D)|(kpr)|(kdp)|(train st.+moving)|(\|lc)|(penalty))"</v>
      </c>
      <c r="AG112" s="1" t="str">
        <f t="shared" si="38"/>
        <v>EC</v>
      </c>
      <c r="AH112" s="81" t="str">
        <f t="shared" si="39"/>
        <v>"%USERPROFILE%\Documents\GitHub\eaglep3\Utilities\RefineRTDCRunTimes.py" --tripid 199-09 --locoid 4046 --swversion DE.1.0.9.0 --startMP 204:471 --initTime 2017-05-09T15:55:49 --startdatetime 2017-05-09T16:00:20 --delay 1 --endMP 204:233309 --enddatetime 2017-05-09T16:36:41 --enforcementcount 0 &gt;&gt;C:\Users\stu\Documents\GitHub\eaglep3-reporting\EC\2017-05-09-refined-times.txt</v>
      </c>
      <c r="AI112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{"issue":{"subject":"","project_id":79,"tracker_id":40,"status_id":1,"priority_id":2,"assigned_to_id":23,"start_date":"2017-05-09","description":"","custom_fields":[{"id":1,"name":"Subdivision","value":"EC"},{"id":4,"name":"Milepost","value":"23.3309"},{"id":17,"name":"Train ID","value":"199-09"},{"id":16,"name":"Locomotive ID","value":"4046"},{"id":130,"name":"Impact","value":""},{"id":150,"name":"Time of Event (Mountain Time)","value":"16:36:41"},{"id":151,"name":"Denver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1"/>
        <v>start /low /b %USERPROFILE%\Documents\GitHub\eaglep3\Utilities\DownloadLogsFromS3.py --loco 4046 --day 2017-05-09</v>
      </c>
      <c r="AN112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588</v>
      </c>
      <c r="B113" s="7">
        <v>4045</v>
      </c>
      <c r="C113" s="21" t="s">
        <v>207</v>
      </c>
      <c r="D113" s="21" t="s">
        <v>514</v>
      </c>
      <c r="E113" s="13">
        <v>42864.703865740739</v>
      </c>
      <c r="F113" s="13">
        <v>42864.70579861111</v>
      </c>
      <c r="G113" s="7">
        <v>2</v>
      </c>
      <c r="H113" s="21" t="s">
        <v>867</v>
      </c>
      <c r="I113" s="13">
        <v>42864.732453703706</v>
      </c>
      <c r="J113" s="7">
        <v>0</v>
      </c>
      <c r="K113" s="92" t="str">
        <f t="shared" si="26"/>
        <v>4045/4046</v>
      </c>
      <c r="L113" s="21" t="str">
        <f>VLOOKUP(A113,'Trips&amp;Operators'!$C$1:$G$99999,5,FALSE)</f>
        <v>THOMPSON LESTER</v>
      </c>
      <c r="M113" s="6">
        <f t="shared" si="27"/>
        <v>2.6655092595319729E-2</v>
      </c>
      <c r="N113" s="7">
        <f t="shared" si="45"/>
        <v>38.38333333726041</v>
      </c>
      <c r="O113" s="7"/>
      <c r="P113" s="7"/>
      <c r="Q113" s="22"/>
      <c r="R113" s="190"/>
      <c r="S113" s="196">
        <f t="shared" si="46"/>
        <v>1</v>
      </c>
      <c r="T113" s="190" t="str">
        <f t="shared" si="28"/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29"/>
        <v>https://d0f6bd738d7f1b3e5a7ca70fe4ff75f0.us-east-1.aws.found.io/app/kibana#/discover/Steve-Slow-Train-Analysis-(2080s-and-2083s)?_g=(refreshInterval:(display:Off,pause:!f,section:0,value:0),time:(from:'2017-05-09T15:53:34-0600',mode:absolute,to:'2017-05-09T18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3" s="192" t="str">
        <f t="shared" si="30"/>
        <v>N</v>
      </c>
      <c r="X113" s="192">
        <f t="shared" si="44"/>
        <v>1</v>
      </c>
      <c r="Y113" s="192">
        <f t="shared" si="32"/>
        <v>23.2986</v>
      </c>
      <c r="Z113" s="192">
        <f t="shared" si="33"/>
        <v>1.6299999999999999E-2</v>
      </c>
      <c r="AA113" s="192">
        <f t="shared" si="34"/>
        <v>23.282299999999999</v>
      </c>
      <c r="AB113" s="57" t="str">
        <f>VLOOKUP(A113,Enforcements!$C$7:$K$13,8,0)</f>
        <v>Bulletin (2)</v>
      </c>
      <c r="AC113" s="53" t="str">
        <f>VLOOKUP(A113,Enforcements!$C$7:$E$13,3,0)</f>
        <v>GRADE CROSSING</v>
      </c>
      <c r="AD113" s="54" t="str">
        <f t="shared" si="35"/>
        <v>0200-09</v>
      </c>
      <c r="AE113" s="80" t="str">
        <f t="shared" si="36"/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AF113" s="77" t="str">
        <f t="shared" si="37"/>
        <v>"C:\Program Files (x86)\AstroGrep\AstroGrep.exe" /e /r /s /spath="%USERPROFILE%\AppData\Local\Temp\OnboardLogs" /stypes="app*4045*20170509*" /stext=" 23:.+((SYSTEM_STATE.+slice.+state.+changed )|(ment ac)|(multiple cpu faults)|(system.+state.+changed )|(\[timeout)|(PRM\|1\|D)|(kpr)|(kdp)|(train st.+moving)|(\|lc)|(penalty))"</v>
      </c>
      <c r="AG113" s="1" t="str">
        <f t="shared" si="38"/>
        <v>EC</v>
      </c>
      <c r="AH113" s="81" t="str">
        <f t="shared" si="39"/>
        <v>"%USERPROFILE%\Documents\GitHub\eaglep3\Utilities\RefineRTDCRunTimes.py" --tripid 200-09 --locoid 4045 --swversion DE.1.0.9.0 --startMP 204:232986 --initTime 2017-05-09T16:53:34 --startdatetime 2017-05-09T16:56:21 --delay 2 --endMP 204:163 --enddatetime 2017-05-09T17:34:44 --enforcementcount 0 &gt;&gt;C:\Users\stu\Documents\GitHub\eaglep3-reporting\EC\2017-05-09-refined-times.txt</v>
      </c>
      <c r="AI113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{"issue":{"subject":"","project_id":79,"tracker_id":40,"status_id":1,"priority_id":2,"assigned_to_id":23,"start_date":"2017-05-09","description":"","custom_fields":[{"id":1,"name":"Subdivision","value":"EC"},{"id":4,"name":"Milepost","value":"0.0163"},{"id":17,"name":"Train ID","value":"200-09"},{"id":16,"name":"Locomotive ID","value":"4045"},{"id":130,"name":"Impact","value":""},{"id":150,"name":"Time of Event (Mountain Time)","value":"17:34:44"},{"id":151,"name":"Denver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1"/>
        <v>start /low /b %USERPROFILE%\Documents\GitHub\eaglep3\Utilities\DownloadLogsFromS3.py --loco 4045 --day 2017-05-09</v>
      </c>
      <c r="AN113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731</v>
      </c>
      <c r="B114" s="7">
        <v>4012</v>
      </c>
      <c r="C114" s="21" t="s">
        <v>207</v>
      </c>
      <c r="D114" s="21" t="s">
        <v>378</v>
      </c>
      <c r="E114" s="13">
        <v>42864.67428240741</v>
      </c>
      <c r="F114" s="13">
        <v>42864.677453703705</v>
      </c>
      <c r="G114" s="7">
        <v>1</v>
      </c>
      <c r="H114" s="21" t="s">
        <v>506</v>
      </c>
      <c r="I114" s="13">
        <v>42864.703125</v>
      </c>
      <c r="J114" s="7">
        <v>0</v>
      </c>
      <c r="K114" s="92" t="str">
        <f t="shared" si="26"/>
        <v>4011/4012</v>
      </c>
      <c r="L114" s="21" t="str">
        <f>VLOOKUP(A114,'Trips&amp;Operators'!$C$1:$G$99999,5,FALSE)</f>
        <v>DAVIS MICHAEL</v>
      </c>
      <c r="M114" s="6">
        <f t="shared" si="27"/>
        <v>2.5671296294603962E-2</v>
      </c>
      <c r="N114" s="7">
        <f t="shared" si="45"/>
        <v>36.966666664229706</v>
      </c>
      <c r="O114" s="7"/>
      <c r="P114" s="7"/>
      <c r="Q114" s="22"/>
      <c r="R114" s="190"/>
      <c r="S114" s="196">
        <f t="shared" si="46"/>
        <v>1</v>
      </c>
      <c r="T114" s="190" t="str">
        <f t="shared" si="28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29"/>
        <v>https://d0f6bd738d7f1b3e5a7ca70fe4ff75f0.us-east-1.aws.found.io/app/kibana#/discover/Steve-Slow-Train-Analysis-(2080s-and-2083s)?_g=(refreshInterval:(display:Off,pause:!f,section:0,value:0),time:(from:'2017-05-09T15:10:58-0600',mode:absolute,to:'2017-05-09T17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4" s="192" t="str">
        <f t="shared" si="30"/>
        <v>N</v>
      </c>
      <c r="X114" s="192">
        <f t="shared" si="44"/>
        <v>1</v>
      </c>
      <c r="Y114" s="192">
        <f t="shared" si="32"/>
        <v>4.4699999999999997E-2</v>
      </c>
      <c r="Z114" s="192">
        <f t="shared" si="33"/>
        <v>23.3325</v>
      </c>
      <c r="AA114" s="192">
        <f t="shared" si="34"/>
        <v>23.287800000000001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5"/>
        <v>0201-09</v>
      </c>
      <c r="AE114" s="80" t="str">
        <f t="shared" si="36"/>
        <v>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 &amp; 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</v>
      </c>
      <c r="AF114" s="77" t="str">
        <f t="shared" si="37"/>
        <v>"C:\Program Files (x86)\AstroGrep\AstroGrep.exe" /e /r /s /spath="%USERPROFILE%\AppData\Local\Temp\OnboardLogs" /stypes="app*4012*20170509*" /stext=" 22:.+((SYSTEM_STATE.+slice.+state.+changed )|(ment ac)|(multiple cpu faults)|(system.+state.+changed )|(\[timeout)|(PRM\|1\|D)|(kpr)|(kdp)|(train st.+moving)|(\|lc)|(penalty))"</v>
      </c>
      <c r="AG114" s="1" t="str">
        <f t="shared" si="38"/>
        <v>EC</v>
      </c>
      <c r="AH114" s="81" t="str">
        <f t="shared" si="39"/>
        <v>"%USERPROFILE%\Documents\GitHub\eaglep3\Utilities\RefineRTDCRunTimes.py" --tripid 201-09 --locoid 4012 --swversion DE.1.0.9.0 --startMP 204:447 --initTime 2017-05-09T16:10:58 --startdatetime 2017-05-09T16:15:32 --delay 1 --endMP 204:233325 --enddatetime 2017-05-09T16:52:30 --enforcementcount 0 &gt;&gt;C:\Users\stu\Documents\GitHub\eaglep3-reporting\EC\2017-05-09-refined-times.txt</v>
      </c>
      <c r="AI114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{"issue":{"subject":"","project_id":79,"tracker_id":40,"status_id":1,"priority_id":2,"assigned_to_id":23,"start_date":"2017-05-09","description":"","custom_fields":[{"id":1,"name":"Subdivision","value":"EC"},{"id":4,"name":"Milepost","value":"23.3325"},{"id":17,"name":"Train ID","value":"201-09"},{"id":16,"name":"Locomotive ID","value":"4012"},{"id":130,"name":"Impact","value":""},{"id":150,"name":"Time of Event (Mountain Time)","value":"16:52:30"},{"id":151,"name":"Denver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1"/>
        <v>start /low /b %USERPROFILE%\Documents\GitHub\eaglep3\Utilities\DownloadLogsFromS3.py --loco 4012 --day 2017-05-09</v>
      </c>
      <c r="AN114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744</v>
      </c>
      <c r="B115" s="7">
        <v>4011</v>
      </c>
      <c r="C115" s="21" t="s">
        <v>207</v>
      </c>
      <c r="D115" s="21" t="s">
        <v>512</v>
      </c>
      <c r="E115" s="13">
        <v>42864.713310185187</v>
      </c>
      <c r="F115" s="13">
        <v>42864.716249999998</v>
      </c>
      <c r="G115" s="7">
        <v>1</v>
      </c>
      <c r="H115" s="21" t="s">
        <v>365</v>
      </c>
      <c r="I115" s="13">
        <v>42864.744039351855</v>
      </c>
      <c r="J115" s="7">
        <v>0</v>
      </c>
      <c r="K115" s="92" t="str">
        <f t="shared" si="26"/>
        <v>4011/4012</v>
      </c>
      <c r="L115" s="21" t="str">
        <f>VLOOKUP(A115,'Trips&amp;Operators'!$C$1:$G$99999,5,FALSE)</f>
        <v>DAVIS MICHAEL</v>
      </c>
      <c r="M115" s="6">
        <f t="shared" si="27"/>
        <v>2.7789351857791189E-2</v>
      </c>
      <c r="N115" s="7">
        <f t="shared" si="45"/>
        <v>40.016666675219312</v>
      </c>
      <c r="O115" s="7"/>
      <c r="P115" s="7"/>
      <c r="Q115" s="22"/>
      <c r="R115" s="190"/>
      <c r="S115" s="196">
        <f t="shared" si="46"/>
        <v>1</v>
      </c>
      <c r="T115" s="190" t="str">
        <f t="shared" si="28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29"/>
        <v>https://d0f6bd738d7f1b3e5a7ca70fe4ff75f0.us-east-1.aws.found.io/app/kibana#/discover/Steve-Slow-Train-Analysis-(2080s-and-2083s)?_g=(refreshInterval:(display:Off,pause:!f,section:0,value:0),time:(from:'2017-05-09T16:07:10-0600',mode:absolute,to:'2017-05-09T18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5" s="192" t="str">
        <f t="shared" si="30"/>
        <v>N</v>
      </c>
      <c r="X115" s="192">
        <f t="shared" si="44"/>
        <v>1</v>
      </c>
      <c r="Y115" s="192">
        <f t="shared" si="32"/>
        <v>23.3002</v>
      </c>
      <c r="Z115" s="192">
        <f t="shared" si="33"/>
        <v>1.43E-2</v>
      </c>
      <c r="AA115" s="192">
        <f t="shared" si="34"/>
        <v>23.285900000000002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5"/>
        <v>0202-09</v>
      </c>
      <c r="AE115" s="80" t="str">
        <f t="shared" si="36"/>
        <v>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 &amp; 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</v>
      </c>
      <c r="AF115" s="77" t="str">
        <f t="shared" si="37"/>
        <v>"C:\Program Files (x86)\AstroGrep\AstroGrep.exe" /e /r /s /spath="%USERPROFILE%\AppData\Local\Temp\OnboardLogs" /stypes="app*4011*20170509*" /stext=" 23:.+((SYSTEM_STATE.+slice.+state.+changed )|(ment ac)|(multiple cpu faults)|(system.+state.+changed )|(\[timeout)|(PRM\|1\|D)|(kpr)|(kdp)|(train st.+moving)|(\|lc)|(penalty))"</v>
      </c>
      <c r="AG115" s="1" t="str">
        <f t="shared" si="38"/>
        <v>EC</v>
      </c>
      <c r="AH115" s="81" t="str">
        <f t="shared" si="39"/>
        <v>"%USERPROFILE%\Documents\GitHub\eaglep3\Utilities\RefineRTDCRunTimes.py" --tripid 202-09 --locoid 4011 --swversion DE.1.0.9.0 --startMP 204:233002 --initTime 2017-05-09T17:07:10 --startdatetime 2017-05-09T17:11:24 --delay 1 --endMP 204:143 --enddatetime 2017-05-09T17:51:25 --enforcementcount 0 &gt;&gt;C:\Users\stu\Documents\GitHub\eaglep3-reporting\EC\2017-05-09-refined-times.txt</v>
      </c>
      <c r="AI115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{"issue":{"subject":"","project_id":79,"tracker_id":40,"status_id":1,"priority_id":2,"assigned_to_id":23,"start_date":"2017-05-09","description":"","custom_fields":[{"id":1,"name":"Subdivision","value":"EC"},{"id":4,"name":"Milepost","value":"0.0143"},{"id":17,"name":"Train ID","value":"202-09"},{"id":16,"name":"Locomotive ID","value":"4011"},{"id":130,"name":"Impact","value":""},{"id":150,"name":"Time of Event (Mountain Time)","value":"17:51:25"},{"id":151,"name":"Denver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1"/>
        <v>start /low /b %USERPROFILE%\Documents\GitHub\eaglep3\Utilities\DownloadLogsFromS3.py --loco 4011 --day 2017-05-09</v>
      </c>
      <c r="AN115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737</v>
      </c>
      <c r="B116" s="7">
        <v>4052</v>
      </c>
      <c r="C116" s="21" t="s">
        <v>207</v>
      </c>
      <c r="D116" s="21" t="s">
        <v>378</v>
      </c>
      <c r="E116" s="13">
        <v>42864.683981481481</v>
      </c>
      <c r="F116" s="13">
        <v>42864.687685185185</v>
      </c>
      <c r="G116" s="7">
        <v>1</v>
      </c>
      <c r="H116" s="21" t="s">
        <v>402</v>
      </c>
      <c r="I116" s="13">
        <v>42864.712754629632</v>
      </c>
      <c r="J116" s="7">
        <v>0</v>
      </c>
      <c r="K116" s="92" t="str">
        <f t="shared" si="26"/>
        <v>4051/4052</v>
      </c>
      <c r="L116" s="21" t="str">
        <f>VLOOKUP(A116,'Trips&amp;Operators'!$C$1:$G$99999,5,FALSE)</f>
        <v>STEWART MICHAEL</v>
      </c>
      <c r="M116" s="6">
        <f t="shared" si="27"/>
        <v>2.5069444447581191E-2</v>
      </c>
      <c r="N116" s="7">
        <f t="shared" si="45"/>
        <v>36.100000004516914</v>
      </c>
      <c r="O116" s="7"/>
      <c r="P116" s="7"/>
      <c r="Q116" s="22"/>
      <c r="R116" s="190"/>
      <c r="S116" s="196">
        <f t="shared" si="46"/>
        <v>1</v>
      </c>
      <c r="T116" s="190" t="str">
        <f t="shared" si="28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29"/>
        <v>https://d0f6bd738d7f1b3e5a7ca70fe4ff75f0.us-east-1.aws.found.io/app/kibana#/discover/Steve-Slow-Train-Analysis-(2080s-and-2083s)?_g=(refreshInterval:(display:Off,pause:!f,section:0,value:0),time:(from:'2017-05-09T15:24:56-0600',mode:absolute,to:'2017-05-09T18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6" s="192" t="str">
        <f t="shared" si="30"/>
        <v>N</v>
      </c>
      <c r="X116" s="192">
        <f t="shared" si="44"/>
        <v>1</v>
      </c>
      <c r="Y116" s="192">
        <f t="shared" si="32"/>
        <v>4.4699999999999997E-2</v>
      </c>
      <c r="Z116" s="192">
        <f t="shared" si="33"/>
        <v>23.329499999999999</v>
      </c>
      <c r="AA116" s="192">
        <f t="shared" si="34"/>
        <v>23.284800000000001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5"/>
        <v>0203-09</v>
      </c>
      <c r="AE116" s="80" t="str">
        <f t="shared" si="36"/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AF116" s="77" t="str">
        <f t="shared" si="37"/>
        <v>"C:\Program Files (x86)\AstroGrep\AstroGrep.exe" /e /r /s /spath="%USERPROFILE%\AppData\Local\Temp\OnboardLogs" /stypes="app*4052*20170509*" /stext=" 23:.+((SYSTEM_STATE.+slice.+state.+changed )|(ment ac)|(multiple cpu faults)|(system.+state.+changed )|(\[timeout)|(PRM\|1\|D)|(kpr)|(kdp)|(train st.+moving)|(\|lc)|(penalty))"</v>
      </c>
      <c r="AG116" s="1" t="str">
        <f t="shared" si="38"/>
        <v>EC</v>
      </c>
      <c r="AH116" s="81" t="str">
        <f t="shared" si="39"/>
        <v>"%USERPROFILE%\Documents\GitHub\eaglep3\Utilities\RefineRTDCRunTimes.py" --tripid 203-09 --locoid 4052 --swversion DE.1.0.9.0 --startMP 204:447 --initTime 2017-05-09T16:24:56 --startdatetime 2017-05-09T16:30:16 --delay 1 --endMP 204:233295 --enddatetime 2017-05-09T17:06:22 --enforcementcount 0 &gt;&gt;C:\Users\stu\Documents\GitHub\eaglep3-reporting\EC\2017-05-09-refined-times.txt</v>
      </c>
      <c r="AI116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{"issue":{"subject":"","project_id":79,"tracker_id":40,"status_id":1,"priority_id":2,"assigned_to_id":23,"start_date":"2017-05-09","description":"","custom_fields":[{"id":1,"name":"Subdivision","value":"EC"},{"id":4,"name":"Milepost","value":"23.3295"},{"id":17,"name":"Train ID","value":"203-09"},{"id":16,"name":"Locomotive ID","value":"4052"},{"id":130,"name":"Impact","value":""},{"id":150,"name":"Time of Event (Mountain Time)","value":"17:06:22"},{"id":151,"name":"Denver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1"/>
        <v>start /low /b %USERPROFILE%\Documents\GitHub\eaglep3\Utilities\DownloadLogsFromS3.py --loco 4052 --day 2017-05-09</v>
      </c>
      <c r="AN116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747</v>
      </c>
      <c r="B117" s="7">
        <v>4051</v>
      </c>
      <c r="C117" s="21" t="s">
        <v>207</v>
      </c>
      <c r="D117" s="21" t="s">
        <v>868</v>
      </c>
      <c r="E117" s="13">
        <v>42864.723530092589</v>
      </c>
      <c r="F117" s="13">
        <v>42864.726585648146</v>
      </c>
      <c r="G117" s="7">
        <v>1</v>
      </c>
      <c r="H117" s="21" t="s">
        <v>867</v>
      </c>
      <c r="I117" s="13">
        <v>42864.754618055558</v>
      </c>
      <c r="J117" s="7">
        <v>0</v>
      </c>
      <c r="K117" s="92" t="str">
        <f t="shared" si="26"/>
        <v>4051/4052</v>
      </c>
      <c r="L117" s="21" t="str">
        <f>VLOOKUP(A117,'Trips&amp;Operators'!$C$1:$G$99999,5,FALSE)</f>
        <v>STEWART MICHAEL</v>
      </c>
      <c r="M117" s="6">
        <f t="shared" si="27"/>
        <v>2.8032407411956228E-2</v>
      </c>
      <c r="N117" s="7">
        <f t="shared" si="45"/>
        <v>40.366666673216969</v>
      </c>
      <c r="O117" s="7"/>
      <c r="P117" s="7"/>
      <c r="Q117" s="22"/>
      <c r="R117" s="190"/>
      <c r="S117" s="196">
        <f t="shared" si="46"/>
        <v>1</v>
      </c>
      <c r="T117" s="190" t="str">
        <f t="shared" si="28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29"/>
        <v>https://d0f6bd738d7f1b3e5a7ca70fe4ff75f0.us-east-1.aws.found.io/app/kibana#/discover/Steve-Slow-Train-Analysis-(2080s-and-2083s)?_g=(refreshInterval:(display:Off,pause:!f,section:0,value:0),time:(from:'2017-05-09T16:21:53-0600',mode:absolute,to:'2017-05-09T19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7" s="192" t="str">
        <f t="shared" si="30"/>
        <v>N</v>
      </c>
      <c r="X117" s="192">
        <f t="shared" si="44"/>
        <v>1</v>
      </c>
      <c r="Y117" s="192">
        <f t="shared" si="32"/>
        <v>23.297499999999999</v>
      </c>
      <c r="Z117" s="192">
        <f t="shared" si="33"/>
        <v>1.6299999999999999E-2</v>
      </c>
      <c r="AA117" s="192">
        <f t="shared" si="34"/>
        <v>23.281199999999998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5"/>
        <v>0204-09</v>
      </c>
      <c r="AE117" s="80" t="str">
        <f t="shared" si="36"/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AF117" s="77" t="str">
        <f t="shared" si="37"/>
        <v>"C:\Program Files (x86)\AstroGrep\AstroGrep.exe" /e /r /s /spath="%USERPROFILE%\AppData\Local\Temp\OnboardLogs" /stypes="app*4051*20170510*" /stext=" 00:.+((SYSTEM_STATE.+slice.+state.+changed )|(ment ac)|(multiple cpu faults)|(system.+state.+changed )|(\[timeout)|(PRM\|1\|D)|(kpr)|(kdp)|(train st.+moving)|(\|lc)|(penalty))"</v>
      </c>
      <c r="AG117" s="1" t="str">
        <f t="shared" si="38"/>
        <v>EC</v>
      </c>
      <c r="AH117" s="81" t="str">
        <f t="shared" si="39"/>
        <v>"%USERPROFILE%\Documents\GitHub\eaglep3\Utilities\RefineRTDCRunTimes.py" --tripid 204-09 --locoid 4051 --swversion DE.1.0.9.0 --startMP 204:232975 --initTime 2017-05-09T17:21:53 --startdatetime 2017-05-09T17:26:17 --delay 1 --endMP 204:163 --enddatetime 2017-05-09T18:06:39 --enforcementcount 0 &gt;&gt;C:\Users\stu\Documents\GitHub\eaglep3-reporting\EC\2017-05-09-refined-times.txt</v>
      </c>
      <c r="AI117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{"issue":{"subject":"","project_id":79,"tracker_id":40,"status_id":1,"priority_id":2,"assigned_to_id":23,"start_date":"2017-05-09","description":"","custom_fields":[{"id":1,"name":"Subdivision","value":"EC"},{"id":4,"name":"Milepost","value":"0.0163"},{"id":17,"name":"Train ID","value":"204-09"},{"id":16,"name":"Locomotive ID","value":"4051"},{"id":130,"name":"Impact","value":""},{"id":150,"name":"Time of Event (Mountain Time)","value":"18:06:39"},{"id":151,"name":"Denver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1"/>
        <v>start /low /b %USERPROFILE%\Documents\GitHub\eaglep3\Utilities\DownloadLogsFromS3.py --loco 4051 --day 2017-05-09</v>
      </c>
      <c r="AN117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740</v>
      </c>
      <c r="B118" s="7">
        <v>4020</v>
      </c>
      <c r="C118" s="21" t="s">
        <v>207</v>
      </c>
      <c r="D118" s="21" t="s">
        <v>366</v>
      </c>
      <c r="E118" s="13">
        <v>42864.693715277775</v>
      </c>
      <c r="F118" s="13">
        <v>42864.698067129626</v>
      </c>
      <c r="G118" s="7">
        <v>1</v>
      </c>
      <c r="H118" s="21" t="s">
        <v>395</v>
      </c>
      <c r="I118" s="13">
        <v>42864.723946759259</v>
      </c>
      <c r="J118" s="7">
        <v>0</v>
      </c>
      <c r="K118" s="92" t="str">
        <f t="shared" si="26"/>
        <v>4019/4020</v>
      </c>
      <c r="L118" s="21" t="str">
        <f>VLOOKUP(A118,'Trips&amp;Operators'!$C$1:$G$99999,5,FALSE)</f>
        <v>LAMAR NEKESHA</v>
      </c>
      <c r="M118" s="6">
        <f t="shared" si="27"/>
        <v>2.587962963298196E-2</v>
      </c>
      <c r="N118" s="7">
        <f t="shared" si="45"/>
        <v>37.266666671494022</v>
      </c>
      <c r="O118" s="7"/>
      <c r="P118" s="7"/>
      <c r="Q118" s="22"/>
      <c r="R118" s="190"/>
      <c r="S118" s="196">
        <f t="shared" si="46"/>
        <v>1</v>
      </c>
      <c r="T118" s="190" t="str">
        <f t="shared" si="28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29"/>
        <v>https://d0f6bd738d7f1b3e5a7ca70fe4ff75f0.us-east-1.aws.found.io/app/kibana#/discover/Steve-Slow-Train-Analysis-(2080s-and-2083s)?_g=(refreshInterval:(display:Off,pause:!f,section:0,value:0),time:(from:'2017-05-09T15:38:57-0600',mode:absolute,to:'2017-05-09T18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8" s="192" t="str">
        <f t="shared" si="30"/>
        <v>N</v>
      </c>
      <c r="X118" s="192">
        <f t="shared" si="44"/>
        <v>1</v>
      </c>
      <c r="Y118" s="192">
        <f t="shared" si="32"/>
        <v>4.6600000000000003E-2</v>
      </c>
      <c r="Z118" s="192">
        <f t="shared" si="33"/>
        <v>23.329699999999999</v>
      </c>
      <c r="AA118" s="192">
        <f t="shared" si="34"/>
        <v>23.283099999999997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5"/>
        <v>0205-09</v>
      </c>
      <c r="AE118" s="80" t="str">
        <f t="shared" si="36"/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AF118" s="77" t="str">
        <f t="shared" si="37"/>
        <v>"C:\Program Files (x86)\AstroGrep\AstroGrep.exe" /e /r /s /spath="%USERPROFILE%\AppData\Local\Temp\OnboardLogs" /stypes="app*4020*20170509*" /stext=" 23:.+((SYSTEM_STATE.+slice.+state.+changed )|(ment ac)|(multiple cpu faults)|(system.+state.+changed )|(\[timeout)|(PRM\|1\|D)|(kpr)|(kdp)|(train st.+moving)|(\|lc)|(penalty))"</v>
      </c>
      <c r="AG118" s="1" t="str">
        <f t="shared" si="38"/>
        <v>EC</v>
      </c>
      <c r="AH118" s="81" t="str">
        <f t="shared" si="39"/>
        <v>"%USERPROFILE%\Documents\GitHub\eaglep3\Utilities\RefineRTDCRunTimes.py" --tripid 205-09 --locoid 4020 --swversion DE.1.0.9.0 --startMP 204:466 --initTime 2017-05-09T16:38:57 --startdatetime 2017-05-09T16:45:13 --delay 1 --endMP 204:233297 --enddatetime 2017-05-09T17:22:29 --enforcementcount 0 &gt;&gt;C:\Users\stu\Documents\GitHub\eaglep3-reporting\EC\2017-05-09-refined-times.txt</v>
      </c>
      <c r="AI118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{"issue":{"subject":"","project_id":79,"tracker_id":40,"status_id":1,"priority_id":2,"assigned_to_id":23,"start_date":"2017-05-09","description":"","custom_fields":[{"id":1,"name":"Subdivision","value":"EC"},{"id":4,"name":"Milepost","value":"23.3297"},{"id":17,"name":"Train ID","value":"205-09"},{"id":16,"name":"Locomotive ID","value":"4020"},{"id":130,"name":"Impact","value":""},{"id":150,"name":"Time of Event (Mountain Time)","value":"17:22:29"},{"id":151,"name":"Denver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1"/>
        <v>start /low /b %USERPROFILE%\Documents\GitHub\eaglep3\Utilities\DownloadLogsFromS3.py --loco 4020 --day 2017-05-09</v>
      </c>
      <c r="AN118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750</v>
      </c>
      <c r="B119" s="7">
        <v>4019</v>
      </c>
      <c r="C119" s="21" t="s">
        <v>207</v>
      </c>
      <c r="D119" s="21" t="s">
        <v>869</v>
      </c>
      <c r="E119" s="13">
        <v>42864.72960648148</v>
      </c>
      <c r="F119" s="13">
        <v>42864.737013888887</v>
      </c>
      <c r="G119" s="7">
        <v>1</v>
      </c>
      <c r="H119" s="21" t="s">
        <v>364</v>
      </c>
      <c r="I119" s="13">
        <v>42864.764814814815</v>
      </c>
      <c r="J119" s="7">
        <v>0</v>
      </c>
      <c r="K119" s="92" t="str">
        <f t="shared" si="26"/>
        <v>4019/4020</v>
      </c>
      <c r="L119" s="21" t="str">
        <f>VLOOKUP(A119,'Trips&amp;Operators'!$C$1:$G$99999,5,FALSE)</f>
        <v>LAMAR NEKESHA</v>
      </c>
      <c r="M119" s="6">
        <f t="shared" si="27"/>
        <v>2.7800925927294884E-2</v>
      </c>
      <c r="N119" s="7">
        <f t="shared" si="45"/>
        <v>40.033333335304633</v>
      </c>
      <c r="O119" s="7"/>
      <c r="P119" s="7"/>
      <c r="Q119" s="22"/>
      <c r="R119" s="190"/>
      <c r="S119" s="196">
        <f t="shared" si="46"/>
        <v>1</v>
      </c>
      <c r="T119" s="190" t="str">
        <f t="shared" si="28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29"/>
        <v>https://d0f6bd738d7f1b3e5a7ca70fe4ff75f0.us-east-1.aws.found.io/app/kibana#/discover/Steve-Slow-Train-Analysis-(2080s-and-2083s)?_g=(refreshInterval:(display:Off,pause:!f,section:0,value:0),time:(from:'2017-05-09T16:30:38-0600',mode:absolute,to:'2017-05-09T19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9" s="192" t="str">
        <f t="shared" si="30"/>
        <v>N</v>
      </c>
      <c r="X119" s="192">
        <f t="shared" si="44"/>
        <v>1</v>
      </c>
      <c r="Y119" s="192">
        <f t="shared" si="32"/>
        <v>23.296800000000001</v>
      </c>
      <c r="Z119" s="192">
        <f t="shared" si="33"/>
        <v>1.49E-2</v>
      </c>
      <c r="AA119" s="192">
        <f t="shared" si="34"/>
        <v>23.2819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5"/>
        <v>0206-09</v>
      </c>
      <c r="AE119" s="80" t="str">
        <f t="shared" si="36"/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119" s="77" t="str">
        <f t="shared" si="37"/>
        <v>"C:\Program Files (x86)\AstroGrep\AstroGrep.exe" /e /r /s /spath="%USERPROFILE%\AppData\Local\Temp\OnboardLogs" /stypes="app*4019*20170510*" /stext=" 00:.+((SYSTEM_STATE.+slice.+state.+changed )|(ment ac)|(multiple cpu faults)|(system.+state.+changed )|(\[timeout)|(PRM\|1\|D)|(kpr)|(kdp)|(train st.+moving)|(\|lc)|(penalty))"</v>
      </c>
      <c r="AG119" s="1" t="str">
        <f t="shared" si="38"/>
        <v>EC</v>
      </c>
      <c r="AH119" s="81" t="str">
        <f t="shared" si="39"/>
        <v>"%USERPROFILE%\Documents\GitHub\eaglep3\Utilities\RefineRTDCRunTimes.py" --tripid 206-09 --locoid 4019 --swversion DE.1.0.9.0 --startMP 204:232968 --initTime 2017-05-09T17:30:38 --startdatetime 2017-05-09T17:41:18 --delay 1 --endMP 204:149 --enddatetime 2017-05-09T18:21:20 --enforcementcount 0 &gt;&gt;C:\Users\stu\Documents\GitHub\eaglep3-reporting\EC\2017-05-09-refined-times.txt</v>
      </c>
      <c r="AI119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{"issue":{"subject":"","project_id":79,"tracker_id":40,"status_id":1,"priority_id":2,"assigned_to_id":23,"start_date":"2017-05-09","description":"","custom_fields":[{"id":1,"name":"Subdivision","value":"EC"},{"id":4,"name":"Milepost","value":"0.0149"},{"id":17,"name":"Train ID","value":"206-09"},{"id":16,"name":"Locomotive ID","value":"4019"},{"id":130,"name":"Impact","value":""},{"id":150,"name":"Time of Event (Mountain Time)","value":"18:21:20"},{"id":151,"name":"Denver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1"/>
        <v>start /low /b %USERPROFILE%\Documents\GitHub\eaglep3\Utilities\DownloadLogsFromS3.py --loco 4019 --day 2017-05-09</v>
      </c>
      <c r="AN119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591</v>
      </c>
      <c r="B120" s="7">
        <v>4032</v>
      </c>
      <c r="C120" s="21" t="s">
        <v>207</v>
      </c>
      <c r="D120" s="21" t="s">
        <v>870</v>
      </c>
      <c r="E120" s="13">
        <v>42864.705682870372</v>
      </c>
      <c r="F120" s="13">
        <v>42864.708506944444</v>
      </c>
      <c r="G120" s="7">
        <v>1</v>
      </c>
      <c r="H120" s="21" t="s">
        <v>871</v>
      </c>
      <c r="I120" s="13">
        <v>42864.735335648147</v>
      </c>
      <c r="J120" s="7">
        <v>0</v>
      </c>
      <c r="K120" s="92" t="str">
        <f t="shared" si="26"/>
        <v>4031/4032</v>
      </c>
      <c r="L120" s="21" t="str">
        <f>VLOOKUP(A120,'Trips&amp;Operators'!$C$1:$G$99999,5,FALSE)</f>
        <v>CLARK KATHLEEN</v>
      </c>
      <c r="M120" s="6">
        <f t="shared" si="27"/>
        <v>2.6828703703358769E-2</v>
      </c>
      <c r="N120" s="7">
        <f t="shared" si="45"/>
        <v>38.633333332836628</v>
      </c>
      <c r="O120" s="7"/>
      <c r="P120" s="7"/>
      <c r="Q120" s="22"/>
      <c r="R120" s="190"/>
      <c r="S120" s="196">
        <f t="shared" si="46"/>
        <v>1</v>
      </c>
      <c r="T120" s="190" t="str">
        <f t="shared" si="28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29"/>
        <v>https://d0f6bd738d7f1b3e5a7ca70fe4ff75f0.us-east-1.aws.found.io/app/kibana#/discover/Steve-Slow-Train-Analysis-(2080s-and-2083s)?_g=(refreshInterval:(display:Off,pause:!f,section:0,value:0),time:(from:'2017-05-09T15:56:11-0600',mode:absolute,to:'2017-05-09T18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192" t="str">
        <f t="shared" si="30"/>
        <v>N</v>
      </c>
      <c r="X120" s="192">
        <f t="shared" si="44"/>
        <v>1</v>
      </c>
      <c r="Y120" s="192">
        <f t="shared" si="32"/>
        <v>4.8800000000000003E-2</v>
      </c>
      <c r="Z120" s="192">
        <f t="shared" si="33"/>
        <v>23.322199999999999</v>
      </c>
      <c r="AA120" s="192">
        <f t="shared" si="34"/>
        <v>23.273399999999999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5"/>
        <v>0207-09</v>
      </c>
      <c r="AE120" s="80" t="str">
        <f t="shared" si="36"/>
        <v>aws s3 cp s3://rtdc.mdm.uploadarchive.raw/RTDC4032/ "%USERPROFILE%\AppData\Local\Temp\OnboardLogs"\RTDC4032\2017-05-09 --exclude "*" --recursive --include "*20170509*" &amp; "%USERPROFILE%\Documents\GitHub\mrs-test-scripts\Headless Mode &amp; Sideloading\WalkAndUnGZ.bat" "%USERPROFILE%\AppData\Local\Temp\OnboardLogs"\RTDC4032\2017-05-09 &amp; 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</v>
      </c>
      <c r="AF120" s="77" t="str">
        <f t="shared" si="37"/>
        <v>"C:\Program Files (x86)\AstroGrep\AstroGrep.exe" /e /r /s /spath="%USERPROFILE%\AppData\Local\Temp\OnboardLogs" /stypes="app*4032*20170509*" /stext=" 23:.+((SYSTEM_STATE.+slice.+state.+changed )|(ment ac)|(multiple cpu faults)|(system.+state.+changed )|(\[timeout)|(PRM\|1\|D)|(kpr)|(kdp)|(train st.+moving)|(\|lc)|(penalty))"</v>
      </c>
      <c r="AG120" s="1" t="str">
        <f t="shared" si="38"/>
        <v>EC</v>
      </c>
      <c r="AH120" s="81" t="str">
        <f t="shared" si="39"/>
        <v>"%USERPROFILE%\Documents\GitHub\eaglep3\Utilities\RefineRTDCRunTimes.py" --tripid 207-09 --locoid 4032 --swversion DE.1.0.9.0 --startMP 204:488 --initTime 2017-05-09T16:56:11 --startdatetime 2017-05-09T17:00:15 --delay 1 --endMP 204:233222 --enddatetime 2017-05-09T17:38:53 --enforcementcount 0 &gt;&gt;C:\Users\stu\Documents\GitHub\eaglep3-reporting\EC\2017-05-09-refined-times.txt</v>
      </c>
      <c r="AI120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{"issue":{"subject":"","project_id":79,"tracker_id":40,"status_id":1,"priority_id":2,"assigned_to_id":23,"start_date":"2017-05-09","description":"","custom_fields":[{"id":1,"name":"Subdivision","value":"EC"},{"id":4,"name":"Milepost","value":"23.3222"},{"id":17,"name":"Train ID","value":"207-09"},{"id":16,"name":"Locomotive ID","value":"4032"},{"id":130,"name":"Impact","value":""},{"id":150,"name":"Time of Event (Mountain Time)","value":"17:38:53"},{"id":151,"name":"Denver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1"/>
        <v>start /low /b %USERPROFILE%\Documents\GitHub\eaglep3\Utilities\DownloadLogsFromS3.py --loco 4032 --day 2017-05-09</v>
      </c>
      <c r="AN120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754</v>
      </c>
      <c r="B121" s="7">
        <v>4031</v>
      </c>
      <c r="C121" s="21" t="s">
        <v>207</v>
      </c>
      <c r="D121" s="21" t="s">
        <v>872</v>
      </c>
      <c r="E121" s="13">
        <v>42864.743032407408</v>
      </c>
      <c r="F121" s="13">
        <v>42864.747384259259</v>
      </c>
      <c r="G121" s="7">
        <v>1</v>
      </c>
      <c r="H121" s="21" t="s">
        <v>873</v>
      </c>
      <c r="I121" s="13">
        <v>42864.775243055556</v>
      </c>
      <c r="J121" s="7">
        <v>0</v>
      </c>
      <c r="K121" s="92" t="str">
        <f t="shared" si="26"/>
        <v>4031/4032</v>
      </c>
      <c r="L121" s="21" t="str">
        <f>VLOOKUP(A121,'Trips&amp;Operators'!$C$1:$G$99999,5,FALSE)</f>
        <v>CLARK KATHLEEN</v>
      </c>
      <c r="M121" s="6">
        <f t="shared" si="27"/>
        <v>2.7858796296641231E-2</v>
      </c>
      <c r="N121" s="7">
        <f t="shared" si="45"/>
        <v>40.116666667163372</v>
      </c>
      <c r="O121" s="7"/>
      <c r="P121" s="7"/>
      <c r="Q121" s="22"/>
      <c r="R121" s="190"/>
      <c r="S121" s="196">
        <f t="shared" si="46"/>
        <v>1</v>
      </c>
      <c r="T121" s="190" t="str">
        <f t="shared" si="28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29"/>
        <v>https://d0f6bd738d7f1b3e5a7ca70fe4ff75f0.us-east-1.aws.found.io/app/kibana#/discover/Steve-Slow-Train-Analysis-(2080s-and-2083s)?_g=(refreshInterval:(display:Off,pause:!f,section:0,value:0),time:(from:'2017-05-09T16:49:58-0600',mode:absolute,to:'2017-05-09T19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192" t="str">
        <f t="shared" si="30"/>
        <v>N</v>
      </c>
      <c r="X121" s="192">
        <f t="shared" si="44"/>
        <v>1</v>
      </c>
      <c r="Y121" s="192">
        <f t="shared" si="32"/>
        <v>23.29</v>
      </c>
      <c r="Z121" s="192">
        <f t="shared" si="33"/>
        <v>1.9199999999999998E-2</v>
      </c>
      <c r="AA121" s="192">
        <f t="shared" si="34"/>
        <v>23.270799999999998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5"/>
        <v>0208-09</v>
      </c>
      <c r="AE121" s="80" t="str">
        <f t="shared" si="36"/>
        <v>aws s3 cp s3://rtdc.mdm.uploadarchive.raw/RTDC4031/ "%USERPROFILE%\AppData\Local\Temp\OnboardLogs"\RTDC4031\2017-05-09 --exclude "*" --recursive --include "*20170509*" &amp; "%USERPROFILE%\Documents\GitHub\mrs-test-scripts\Headless Mode &amp; Sideloading\WalkAndUnGZ.bat" "%USERPROFILE%\AppData\Local\Temp\OnboardLogs"\RTDC4031\2017-05-09 &amp; 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</v>
      </c>
      <c r="AF121" s="77" t="str">
        <f t="shared" si="37"/>
        <v>"C:\Program Files (x86)\AstroGrep\AstroGrep.exe" /e /r /s /spath="%USERPROFILE%\AppData\Local\Temp\OnboardLogs" /stypes="app*4031*20170510*" /stext=" 00:.+((SYSTEM_STATE.+slice.+state.+changed )|(ment ac)|(multiple cpu faults)|(system.+state.+changed )|(\[timeout)|(PRM\|1\|D)|(kpr)|(kdp)|(train st.+moving)|(\|lc)|(penalty))"</v>
      </c>
      <c r="AG121" s="1" t="str">
        <f t="shared" si="38"/>
        <v>EC</v>
      </c>
      <c r="AH121" s="81" t="str">
        <f t="shared" si="39"/>
        <v>"%USERPROFILE%\Documents\GitHub\eaglep3\Utilities\RefineRTDCRunTimes.py" --tripid 208-09 --locoid 4031 --swversion DE.1.0.9.0 --startMP 204:232900 --initTime 2017-05-09T17:49:58 --startdatetime 2017-05-09T17:56:14 --delay 1 --endMP 204:192 --enddatetime 2017-05-09T18:36:21 --enforcementcount 0 &gt;&gt;C:\Users\stu\Documents\GitHub\eaglep3-reporting\EC\2017-05-09-refined-times.txt</v>
      </c>
      <c r="AI121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{"issue":{"subject":"","project_id":79,"tracker_id":40,"status_id":1,"priority_id":2,"assigned_to_id":23,"start_date":"2017-05-09","description":"","custom_fields":[{"id":1,"name":"Subdivision","value":"EC"},{"id":4,"name":"Milepost","value":"0.0192"},{"id":17,"name":"Train ID","value":"208-09"},{"id":16,"name":"Locomotive ID","value":"4031"},{"id":130,"name":"Impact","value":""},{"id":150,"name":"Time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1"/>
        <v>start /low /b %USERPROFILE%\Documents\GitHub\eaglep3\Utilities\DownloadLogsFromS3.py --loco 4031 --day 2017-05-09</v>
      </c>
      <c r="AN121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741</v>
      </c>
      <c r="B122" s="7">
        <v>4008</v>
      </c>
      <c r="C122" s="21" t="s">
        <v>207</v>
      </c>
      <c r="D122" s="21" t="s">
        <v>504</v>
      </c>
      <c r="E122" s="13">
        <v>42864.717442129629</v>
      </c>
      <c r="F122" s="13">
        <v>42864.7190625</v>
      </c>
      <c r="G122" s="7">
        <v>1</v>
      </c>
      <c r="H122" s="21" t="s">
        <v>874</v>
      </c>
      <c r="I122" s="13">
        <v>42864.745046296295</v>
      </c>
      <c r="J122" s="7">
        <v>0</v>
      </c>
      <c r="K122" s="92" t="str">
        <f t="shared" si="26"/>
        <v>4007/4008</v>
      </c>
      <c r="L122" s="21" t="str">
        <f>VLOOKUP(A122,'Trips&amp;Operators'!$C$1:$G$99999,5,FALSE)</f>
        <v>CHANDLER KELVIN</v>
      </c>
      <c r="M122" s="6">
        <f t="shared" si="27"/>
        <v>2.5983796294895001E-2</v>
      </c>
      <c r="N122" s="7">
        <f t="shared" si="45"/>
        <v>37.416666664648801</v>
      </c>
      <c r="O122" s="7"/>
      <c r="P122" s="7"/>
      <c r="Q122" s="22"/>
      <c r="R122" s="190"/>
      <c r="S122" s="196">
        <f t="shared" si="46"/>
        <v>1</v>
      </c>
      <c r="T122" s="190" t="str">
        <f t="shared" si="28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29"/>
        <v>https://d0f6bd738d7f1b3e5a7ca70fe4ff75f0.us-east-1.aws.found.io/app/kibana#/discover/Steve-Slow-Train-Analysis-(2080s-and-2083s)?_g=(refreshInterval:(display:Off,pause:!f,section:0,value:0),time:(from:'2017-05-09T16:13:07-0600',mode:absolute,to:'2017-05-09T18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2" s="192" t="str">
        <f t="shared" si="30"/>
        <v>N</v>
      </c>
      <c r="X122" s="192">
        <f t="shared" si="44"/>
        <v>1</v>
      </c>
      <c r="Y122" s="192">
        <f t="shared" si="32"/>
        <v>4.6199999999999998E-2</v>
      </c>
      <c r="Z122" s="192">
        <f t="shared" si="33"/>
        <v>23.3264</v>
      </c>
      <c r="AA122" s="192">
        <f t="shared" si="34"/>
        <v>23.280200000000001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5"/>
        <v>0209-09</v>
      </c>
      <c r="AE122" s="80" t="str">
        <f t="shared" si="36"/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122" s="77" t="str">
        <f t="shared" si="37"/>
        <v>"C:\Program Files (x86)\AstroGrep\AstroGrep.exe" /e /r /s /spath="%USERPROFILE%\AppData\Local\Temp\OnboardLogs" /stypes="app*4008*20170509*" /stext=" 23:.+((SYSTEM_STATE.+slice.+state.+changed )|(ment ac)|(multiple cpu faults)|(system.+state.+changed )|(\[timeout)|(PRM\|1\|D)|(kpr)|(kdp)|(train st.+moving)|(\|lc)|(penalty))"</v>
      </c>
      <c r="AG122" s="1" t="str">
        <f t="shared" si="38"/>
        <v>EC</v>
      </c>
      <c r="AH122" s="81" t="str">
        <f t="shared" si="39"/>
        <v>"%USERPROFILE%\Documents\GitHub\eaglep3\Utilities\RefineRTDCRunTimes.py" --tripid 209-09 --locoid 4008 --swversion DE.1.0.9.0 --startMP 204:462 --initTime 2017-05-09T17:13:07 --startdatetime 2017-05-09T17:15:27 --delay 1 --endMP 204:233264 --enddatetime 2017-05-09T17:52:52 --enforcementcount 0 &gt;&gt;C:\Users\stu\Documents\GitHub\eaglep3-reporting\EC\2017-05-09-refined-times.txt</v>
      </c>
      <c r="AI122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{"issue":{"subject":"","project_id":79,"tracker_id":40,"status_id":1,"priority_id":2,"assigned_to_id":23,"start_date":"2017-05-09","description":"","custom_fields":[{"id":1,"name":"Subdivision","value":"EC"},{"id":4,"name":"Milepost","value":"23.3264"},{"id":17,"name":"Train ID","value":"209-09"},{"id":16,"name":"Locomotive ID","value":"4008"},{"id":130,"name":"Impact","value":""},{"id":150,"name":"Time of Event (Mountain Time)","value":"17:52:52"},{"id":151,"name":"Denver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1"/>
        <v>start /low /b %USERPROFILE%\Documents\GitHub\eaglep3\Utilities\DownloadLogsFromS3.py --loco 4008 --day 2017-05-09</v>
      </c>
      <c r="AN122" s="154" t="str">
        <f t="shared" si="42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762</v>
      </c>
      <c r="B123" s="7">
        <v>4007</v>
      </c>
      <c r="C123" s="21" t="s">
        <v>207</v>
      </c>
      <c r="D123" s="21" t="s">
        <v>522</v>
      </c>
      <c r="E123" s="13">
        <v>42864.756840277776</v>
      </c>
      <c r="F123" s="13">
        <v>42864.758275462962</v>
      </c>
      <c r="G123" s="7">
        <v>1</v>
      </c>
      <c r="H123" s="21" t="s">
        <v>363</v>
      </c>
      <c r="I123" s="13">
        <v>42864.786030092589</v>
      </c>
      <c r="J123" s="7">
        <v>0</v>
      </c>
      <c r="K123" s="92" t="str">
        <f t="shared" si="26"/>
        <v>4007/4008</v>
      </c>
      <c r="L123" s="21" t="str">
        <f>VLOOKUP(A123,'Trips&amp;Operators'!$C$1:$G$99999,5,FALSE)</f>
        <v>CHANDLER KELVIN</v>
      </c>
      <c r="M123" s="6">
        <f t="shared" si="27"/>
        <v>2.7754629627452232E-2</v>
      </c>
      <c r="N123" s="7">
        <f t="shared" si="45"/>
        <v>39.966666663531214</v>
      </c>
      <c r="O123" s="7"/>
      <c r="P123" s="7"/>
      <c r="Q123" s="22"/>
      <c r="R123" s="190"/>
      <c r="S123" s="196">
        <f t="shared" si="46"/>
        <v>1</v>
      </c>
      <c r="T123" s="190" t="str">
        <f t="shared" si="28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29"/>
        <v>https://d0f6bd738d7f1b3e5a7ca70fe4ff75f0.us-east-1.aws.found.io/app/kibana#/discover/Steve-Slow-Train-Analysis-(2080s-and-2083s)?_g=(refreshInterval:(display:Off,pause:!f,section:0,value:0),time:(from:'2017-05-09T17:09:51-0600',mode:absolute,to:'2017-05-09T19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3" s="192" t="str">
        <f t="shared" si="30"/>
        <v>N</v>
      </c>
      <c r="X123" s="192">
        <f t="shared" si="44"/>
        <v>1</v>
      </c>
      <c r="Y123" s="192">
        <f t="shared" si="32"/>
        <v>23.2959</v>
      </c>
      <c r="Z123" s="192">
        <f t="shared" si="33"/>
        <v>1.4999999999999999E-2</v>
      </c>
      <c r="AA123" s="192">
        <f t="shared" si="34"/>
        <v>23.280899999999999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5"/>
        <v>0210-09</v>
      </c>
      <c r="AE123" s="80" t="str">
        <f t="shared" si="36"/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AF123" s="77" t="str">
        <f t="shared" si="37"/>
        <v>"C:\Program Files (x86)\AstroGrep\AstroGrep.exe" /e /r /s /spath="%USERPROFILE%\AppData\Local\Temp\OnboardLogs" /stypes="app*4007*20170510*" /stext=" 00:.+((SYSTEM_STATE.+slice.+state.+changed )|(ment ac)|(multiple cpu faults)|(system.+state.+changed )|(\[timeout)|(PRM\|1\|D)|(kpr)|(kdp)|(train st.+moving)|(\|lc)|(penalty))"</v>
      </c>
      <c r="AG123" s="1" t="str">
        <f t="shared" si="38"/>
        <v>EC</v>
      </c>
      <c r="AH123" s="81" t="str">
        <f t="shared" si="39"/>
        <v>"%USERPROFILE%\Documents\GitHub\eaglep3\Utilities\RefineRTDCRunTimes.py" --tripid 210-09 --locoid 4007 --swversion DE.1.0.9.0 --startMP 204:232959 --initTime 2017-05-09T18:09:51 --startdatetime 2017-05-09T18:11:55 --delay 1 --endMP 204:150 --enddatetime 2017-05-09T18:51:53 --enforcementcount 0 &gt;&gt;C:\Users\stu\Documents\GitHub\eaglep3-reporting\EC\2017-05-09-refined-times.txt</v>
      </c>
      <c r="AI123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{"issue":{"subject":"","project_id":79,"tracker_id":40,"status_id":1,"priority_id":2,"assigned_to_id":23,"start_date":"2017-05-09","description":"","custom_fields":[{"id":1,"name":"Subdivision","value":"EC"},{"id":4,"name":"Milepost","value":"0.015"},{"id":17,"name":"Train ID","value":"210-09"},{"id":16,"name":"Locomotive ID","value":"4007"},{"id":130,"name":"Impact","value":""},{"id":150,"name":"Time of Event (Mountain Time)","value":"18:51:53"},{"id":151,"name":"Denver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1"/>
        <v>start /low /b %USERPROFILE%\Documents\GitHub\eaglep3\Utilities\DownloadLogsFromS3.py --loco 4007 --day 2017-05-09</v>
      </c>
      <c r="AN123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748</v>
      </c>
      <c r="B124" s="7">
        <v>4030</v>
      </c>
      <c r="C124" s="21" t="s">
        <v>207</v>
      </c>
      <c r="D124" s="21" t="s">
        <v>875</v>
      </c>
      <c r="E124" s="13">
        <v>42864.724247685182</v>
      </c>
      <c r="F124" s="13">
        <v>42864.729328703703</v>
      </c>
      <c r="G124" s="7">
        <v>1</v>
      </c>
      <c r="H124" s="21" t="s">
        <v>855</v>
      </c>
      <c r="I124" s="13">
        <v>42864.754062499997</v>
      </c>
      <c r="J124" s="7">
        <v>0</v>
      </c>
      <c r="K124" s="92" t="str">
        <f t="shared" si="26"/>
        <v>4029/4030</v>
      </c>
      <c r="L124" s="21" t="str">
        <f>VLOOKUP(A124,'Trips&amp;Operators'!$C$1:$G$99999,5,FALSE)</f>
        <v>LALONDE GREGORY</v>
      </c>
      <c r="M124" s="6">
        <f t="shared" si="27"/>
        <v>2.4733796293730848E-2</v>
      </c>
      <c r="N124" s="7">
        <f t="shared" si="45"/>
        <v>35.61666666297242</v>
      </c>
      <c r="O124" s="7"/>
      <c r="P124" s="7"/>
      <c r="Q124" s="22"/>
      <c r="R124" s="190"/>
      <c r="S124" s="196">
        <f t="shared" si="46"/>
        <v>1</v>
      </c>
      <c r="T124" s="190" t="str">
        <f t="shared" si="28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29"/>
        <v>https://d0f6bd738d7f1b3e5a7ca70fe4ff75f0.us-east-1.aws.found.io/app/kibana#/discover/Steve-Slow-Train-Analysis-(2080s-and-2083s)?_g=(refreshInterval:(display:Off,pause:!f,section:0,value:0),time:(from:'2017-05-09T16:22:55-0600',mode:absolute,to:'2017-05-09T19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4" s="192" t="str">
        <f t="shared" si="30"/>
        <v>N</v>
      </c>
      <c r="X124" s="192">
        <f t="shared" si="44"/>
        <v>1</v>
      </c>
      <c r="Y124" s="192">
        <f t="shared" si="32"/>
        <v>5.28E-2</v>
      </c>
      <c r="Z124" s="192">
        <f t="shared" si="33"/>
        <v>23.3337</v>
      </c>
      <c r="AA124" s="192">
        <f t="shared" si="34"/>
        <v>23.280899999999999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5"/>
        <v>0211-09</v>
      </c>
      <c r="AE124" s="80" t="str">
        <f t="shared" si="36"/>
        <v>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 &amp; 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</v>
      </c>
      <c r="AF124" s="77" t="str">
        <f t="shared" si="37"/>
        <v>"C:\Program Files (x86)\AstroGrep\AstroGrep.exe" /e /r /s /spath="%USERPROFILE%\AppData\Local\Temp\OnboardLogs" /stypes="app*4030*20170510*" /stext=" 00:.+((SYSTEM_STATE.+slice.+state.+changed )|(ment ac)|(multiple cpu faults)|(system.+state.+changed )|(\[timeout)|(PRM\|1\|D)|(kpr)|(kdp)|(train st.+moving)|(\|lc)|(penalty))"</v>
      </c>
      <c r="AG124" s="1" t="str">
        <f t="shared" si="38"/>
        <v>EC</v>
      </c>
      <c r="AH124" s="81" t="str">
        <f t="shared" si="39"/>
        <v>"%USERPROFILE%\Documents\GitHub\eaglep3\Utilities\RefineRTDCRunTimes.py" --tripid 211-09 --locoid 4030 --swversion DE.1.0.9.0 --startMP 204:528 --initTime 2017-05-09T17:22:55 --startdatetime 2017-05-09T17:30:14 --delay 1 --endMP 204:233337 --enddatetime 2017-05-09T18:05:51 --enforcementcount 0 &gt;&gt;C:\Users\stu\Documents\GitHub\eaglep3-reporting\EC\2017-05-09-refined-times.txt</v>
      </c>
      <c r="AI124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{"issue":{"subject":"","project_id":79,"tracker_id":40,"status_id":1,"priority_id":2,"assigned_to_id":23,"start_date":"2017-05-09","description":"","custom_fields":[{"id":1,"name":"Subdivision","value":"EC"},{"id":4,"name":"Milepost","value":"23.3337"},{"id":17,"name":"Train ID","value":"211-09"},{"id":16,"name":"Locomotive ID","value":"4030"},{"id":130,"name":"Impact","value":""},{"id":150,"name":"Time of Event (Mountain Time)","value":"18:05:51"},{"id":151,"name":"Denver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1"/>
        <v>start /low /b %USERPROFILE%\Documents\GitHub\eaglep3\Utilities\DownloadLogsFromS3.py --loco 4030 --day 2017-05-09</v>
      </c>
      <c r="AN124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763</v>
      </c>
      <c r="B125" s="7">
        <v>4029</v>
      </c>
      <c r="C125" s="21" t="s">
        <v>207</v>
      </c>
      <c r="D125" s="21" t="s">
        <v>876</v>
      </c>
      <c r="E125" s="13">
        <v>42864.758414351854</v>
      </c>
      <c r="F125" s="13">
        <v>42864.768333333333</v>
      </c>
      <c r="G125" s="7">
        <v>1</v>
      </c>
      <c r="H125" s="21" t="s">
        <v>197</v>
      </c>
      <c r="I125" s="13">
        <v>42864.795347222222</v>
      </c>
      <c r="J125" s="7">
        <v>0</v>
      </c>
      <c r="K125" s="92" t="str">
        <f t="shared" si="26"/>
        <v>4029/4030</v>
      </c>
      <c r="L125" s="21" t="str">
        <f>VLOOKUP(A125,'Trips&amp;Operators'!$C$1:$G$99999,5,FALSE)</f>
        <v>LALONDE GREGORY</v>
      </c>
      <c r="M125" s="6">
        <f t="shared" si="27"/>
        <v>2.7013888888177462E-2</v>
      </c>
      <c r="N125" s="7">
        <f t="shared" si="45"/>
        <v>38.899999998975545</v>
      </c>
      <c r="O125" s="7"/>
      <c r="P125" s="7"/>
      <c r="Q125" s="22"/>
      <c r="R125" s="190"/>
      <c r="S125" s="196">
        <f t="shared" si="46"/>
        <v>1</v>
      </c>
      <c r="T125" s="190" t="str">
        <f t="shared" si="28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29"/>
        <v>https://d0f6bd738d7f1b3e5a7ca70fe4ff75f0.us-east-1.aws.found.io/app/kibana#/discover/Steve-Slow-Train-Analysis-(2080s-and-2083s)?_g=(refreshInterval:(display:Off,pause:!f,section:0,value:0),time:(from:'2017-05-09T17:12:07-0600',mode:absolute,to:'2017-05-09T20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5" s="192" t="str">
        <f t="shared" si="30"/>
        <v>N</v>
      </c>
      <c r="X125" s="192">
        <f t="shared" si="44"/>
        <v>1</v>
      </c>
      <c r="Y125" s="192">
        <f t="shared" si="32"/>
        <v>23.301500000000001</v>
      </c>
      <c r="Z125" s="192">
        <f t="shared" si="33"/>
        <v>1.52E-2</v>
      </c>
      <c r="AA125" s="192">
        <f t="shared" si="34"/>
        <v>23.286300000000001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5"/>
        <v>0212-09</v>
      </c>
      <c r="AE125" s="80" t="str">
        <f t="shared" si="36"/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AF125" s="77" t="str">
        <f t="shared" si="37"/>
        <v>"C:\Program Files (x86)\AstroGrep\AstroGrep.exe" /e /r /s /spath="%USERPROFILE%\AppData\Local\Temp\OnboardLogs" /stypes="app*4029*20170510*" /stext=" 01:.+((SYSTEM_STATE.+slice.+state.+changed )|(ment ac)|(multiple cpu faults)|(system.+state.+changed )|(\[timeout)|(PRM\|1\|D)|(kpr)|(kdp)|(train st.+moving)|(\|lc)|(penalty))"</v>
      </c>
      <c r="AG125" s="1" t="str">
        <f t="shared" si="38"/>
        <v>EC</v>
      </c>
      <c r="AH125" s="81" t="str">
        <f t="shared" si="39"/>
        <v>"%USERPROFILE%\Documents\GitHub\eaglep3\Utilities\RefineRTDCRunTimes.py" --tripid 212-09 --locoid 4029 --swversion DE.1.0.9.0 --startMP 204:233015 --initTime 2017-05-09T18:12:07 --startdatetime 2017-05-09T18:26:24 --delay 1 --endMP 204:152 --enddatetime 2017-05-09T19:05:18 --enforcementcount 0 &gt;&gt;C:\Users\stu\Documents\GitHub\eaglep3-reporting\EC\2017-05-09-refined-times.txt</v>
      </c>
      <c r="AI125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{"issue":{"subject":"","project_id":79,"tracker_id":40,"status_id":1,"priority_id":2,"assigned_to_id":23,"start_date":"2017-05-09","description":"","custom_fields":[{"id":1,"name":"Subdivision","value":"EC"},{"id":4,"name":"Milepost","value":"0.0152"},{"id":17,"name":"Train ID","value":"212-09"},{"id":16,"name":"Locomotive ID","value":"4029"},{"id":130,"name":"Impact","value":""},{"id":150,"name":"Time of Event (Mountain Time)","value":"19:05:18"},{"id":151,"name":"Denver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1"/>
        <v>start /low /b %USERPROFILE%\Documents\GitHub\eaglep3\Utilities\DownloadLogsFromS3.py --loco 4029 --day 2017-05-09</v>
      </c>
      <c r="AN125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753</v>
      </c>
      <c r="B126" s="7">
        <v>4046</v>
      </c>
      <c r="C126" s="21" t="s">
        <v>207</v>
      </c>
      <c r="D126" s="21" t="s">
        <v>866</v>
      </c>
      <c r="E126" s="13">
        <v>42864.735069444447</v>
      </c>
      <c r="F126" s="13">
        <v>42864.73978009259</v>
      </c>
      <c r="G126" s="7">
        <v>1</v>
      </c>
      <c r="H126" s="21" t="s">
        <v>877</v>
      </c>
      <c r="I126" s="13">
        <v>42864.764456018522</v>
      </c>
      <c r="J126" s="7">
        <v>0</v>
      </c>
      <c r="K126" s="92" t="str">
        <f t="shared" si="26"/>
        <v>4045/4046</v>
      </c>
      <c r="L126" s="21" t="str">
        <f>VLOOKUP(A126,'Trips&amp;Operators'!$C$1:$G$99999,5,FALSE)</f>
        <v>NEWELL JAMES</v>
      </c>
      <c r="M126" s="6">
        <f t="shared" si="27"/>
        <v>2.4675925931660458E-2</v>
      </c>
      <c r="N126" s="7">
        <f t="shared" si="45"/>
        <v>35.53333334159106</v>
      </c>
      <c r="O126" s="7"/>
      <c r="P126" s="7"/>
      <c r="Q126" s="22"/>
      <c r="R126" s="190"/>
      <c r="S126" s="196">
        <f t="shared" si="46"/>
        <v>1</v>
      </c>
      <c r="T126" s="190" t="str">
        <f t="shared" si="28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29"/>
        <v>https://d0f6bd738d7f1b3e5a7ca70fe4ff75f0.us-east-1.aws.found.io/app/kibana#/discover/Steve-Slow-Train-Analysis-(2080s-and-2083s)?_g=(refreshInterval:(display:Off,pause:!f,section:0,value:0),time:(from:'2017-05-09T16:38:30-0600',mode:absolute,to:'2017-05-09T19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192" t="str">
        <f t="shared" si="30"/>
        <v>N</v>
      </c>
      <c r="X126" s="192">
        <f t="shared" si="44"/>
        <v>1</v>
      </c>
      <c r="Y126" s="192">
        <f t="shared" si="32"/>
        <v>4.7100000000000003E-2</v>
      </c>
      <c r="Z126" s="192">
        <f t="shared" si="33"/>
        <v>23.334199999999999</v>
      </c>
      <c r="AA126" s="192">
        <f t="shared" si="34"/>
        <v>23.287099999999999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5"/>
        <v>0213-09</v>
      </c>
      <c r="AE126" s="80" t="str">
        <f t="shared" si="36"/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AF126" s="77" t="str">
        <f t="shared" si="37"/>
        <v>"C:\Program Files (x86)\AstroGrep\AstroGrep.exe" /e /r /s /spath="%USERPROFILE%\AppData\Local\Temp\OnboardLogs" /stypes="app*4046*20170510*" /stext=" 00:.+((SYSTEM_STATE.+slice.+state.+changed )|(ment ac)|(multiple cpu faults)|(system.+state.+changed )|(\[timeout)|(PRM\|1\|D)|(kpr)|(kdp)|(train st.+moving)|(\|lc)|(penalty))"</v>
      </c>
      <c r="AG126" s="1" t="str">
        <f t="shared" si="38"/>
        <v>EC</v>
      </c>
      <c r="AH126" s="81" t="str">
        <f t="shared" si="39"/>
        <v>"%USERPROFILE%\Documents\GitHub\eaglep3\Utilities\RefineRTDCRunTimes.py" --tripid 213-09 --locoid 4046 --swversion DE.1.0.9.0 --startMP 204:471 --initTime 2017-05-09T17:38:30 --startdatetime 2017-05-09T17:45:17 --delay 1 --endMP 204:233342 --enddatetime 2017-05-09T18:20:49 --enforcementcount 0 &gt;&gt;C:\Users\stu\Documents\GitHub\eaglep3-reporting\EC\2017-05-09-refined-times.txt</v>
      </c>
      <c r="AI126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{"issue":{"subject":"","project_id":79,"tracker_id":40,"status_id":1,"priority_id":2,"assigned_to_id":23,"start_date":"2017-05-09","description":"","custom_fields":[{"id":1,"name":"Subdivision","value":"EC"},{"id":4,"name":"Milepost","value":"23.3342"},{"id":17,"name":"Train ID","value":"213-09"},{"id":16,"name":"Locomotive ID","value":"4046"},{"id":130,"name":"Impact","value":""},{"id":150,"name":"Time of Event (Mountain Time)","value":"18:20:49"},{"id":151,"name":"Denver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1"/>
        <v>start /low /b %USERPROFILE%\Documents\GitHub\eaglep3\Utilities\DownloadLogsFromS3.py --loco 4046 --day 2017-05-09</v>
      </c>
      <c r="AN126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765</v>
      </c>
      <c r="B127" s="7">
        <v>4045</v>
      </c>
      <c r="C127" s="21" t="s">
        <v>207</v>
      </c>
      <c r="D127" s="21" t="s">
        <v>433</v>
      </c>
      <c r="E127" s="13">
        <v>42864.771215277775</v>
      </c>
      <c r="F127" s="13">
        <v>42864.778622685182</v>
      </c>
      <c r="G127" s="7">
        <v>1</v>
      </c>
      <c r="H127" s="21" t="s">
        <v>364</v>
      </c>
      <c r="I127" s="13">
        <v>42864.806435185186</v>
      </c>
      <c r="J127" s="7">
        <v>0</v>
      </c>
      <c r="K127" s="92" t="str">
        <f t="shared" si="26"/>
        <v>4045/4046</v>
      </c>
      <c r="L127" s="21" t="str">
        <f>VLOOKUP(A127,'Trips&amp;Operators'!$C$1:$G$99999,5,FALSE)</f>
        <v>NEWELL JAMES</v>
      </c>
      <c r="M127" s="6">
        <f t="shared" si="27"/>
        <v>2.7812500004074536E-2</v>
      </c>
      <c r="N127" s="7">
        <f t="shared" si="45"/>
        <v>40.050000005867332</v>
      </c>
      <c r="O127" s="7"/>
      <c r="P127" s="7"/>
      <c r="Q127" s="22"/>
      <c r="R127" s="190"/>
      <c r="S127" s="196">
        <f t="shared" si="46"/>
        <v>1</v>
      </c>
      <c r="T127" s="190" t="str">
        <f t="shared" si="28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29"/>
        <v>https://d0f6bd738d7f1b3e5a7ca70fe4ff75f0.us-east-1.aws.found.io/app/kibana#/discover/Steve-Slow-Train-Analysis-(2080s-and-2083s)?_g=(refreshInterval:(display:Off,pause:!f,section:0,value:0),time:(from:'2017-05-09T17:30:33-0600',mode:absolute,to:'2017-05-09T20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192" t="str">
        <f t="shared" si="30"/>
        <v>N</v>
      </c>
      <c r="X127" s="192">
        <f t="shared" si="44"/>
        <v>1</v>
      </c>
      <c r="Y127" s="192">
        <f t="shared" si="32"/>
        <v>23.299800000000001</v>
      </c>
      <c r="Z127" s="192">
        <f t="shared" si="33"/>
        <v>1.49E-2</v>
      </c>
      <c r="AA127" s="192">
        <f t="shared" si="34"/>
        <v>23.2849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5"/>
        <v>0214-09</v>
      </c>
      <c r="AE127" s="80" t="str">
        <f t="shared" si="36"/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AF127" s="77" t="str">
        <f t="shared" si="37"/>
        <v>"C:\Program Files (x86)\AstroGrep\AstroGrep.exe" /e /r /s /spath="%USERPROFILE%\AppData\Local\Temp\OnboardLogs" /stypes="app*4045*20170510*" /stext=" 01:.+((SYSTEM_STATE.+slice.+state.+changed )|(ment ac)|(multiple cpu faults)|(system.+state.+changed )|(\[timeout)|(PRM\|1\|D)|(kpr)|(kdp)|(train st.+moving)|(\|lc)|(penalty))"</v>
      </c>
      <c r="AG127" s="1" t="str">
        <f t="shared" si="38"/>
        <v>EC</v>
      </c>
      <c r="AH127" s="81" t="str">
        <f t="shared" si="39"/>
        <v>"%USERPROFILE%\Documents\GitHub\eaglep3\Utilities\RefineRTDCRunTimes.py" --tripid 214-09 --locoid 4045 --swversion DE.1.0.9.0 --startMP 204:232998 --initTime 2017-05-09T18:30:33 --startdatetime 2017-05-09T18:41:13 --delay 1 --endMP 204:149 --enddatetime 2017-05-09T19:21:16 --enforcementcount 0 &gt;&gt;C:\Users\stu\Documents\GitHub\eaglep3-reporting\EC\2017-05-09-refined-times.txt</v>
      </c>
      <c r="AI127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{"issue":{"subject":"","project_id":79,"tracker_id":40,"status_id":1,"priority_id":2,"assigned_to_id":23,"start_date":"2017-05-09","description":"","custom_fields":[{"id":1,"name":"Subdivision","value":"EC"},{"id":4,"name":"Milepost","value":"0.0149"},{"id":17,"name":"Train ID","value":"214-09"},{"id":16,"name":"Locomotive ID","value":"4045"},{"id":130,"name":"Impact","value":""},{"id":150,"name":"Time of Event (Mountain Time)","value":"19:21:16"},{"id":151,"name":"Denver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1"/>
        <v>start /low /b %USERPROFILE%\Documents\GitHub\eaglep3\Utilities\DownloadLogsFromS3.py --loco 4045 --day 2017-05-09</v>
      </c>
      <c r="AN127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758</v>
      </c>
      <c r="B128" s="7">
        <v>4012</v>
      </c>
      <c r="C128" s="21" t="s">
        <v>207</v>
      </c>
      <c r="D128" s="21" t="s">
        <v>508</v>
      </c>
      <c r="E128" s="13">
        <v>42864.746423611112</v>
      </c>
      <c r="F128" s="13">
        <v>42864.750405092593</v>
      </c>
      <c r="G128" s="7">
        <v>2</v>
      </c>
      <c r="H128" s="21" t="s">
        <v>424</v>
      </c>
      <c r="I128" s="13">
        <v>42864.777696759258</v>
      </c>
      <c r="J128" s="7">
        <v>0</v>
      </c>
      <c r="K128" s="92" t="str">
        <f t="shared" si="26"/>
        <v>4011/4012</v>
      </c>
      <c r="L128" s="21" t="str">
        <f>VLOOKUP(A128,'Trips&amp;Operators'!$C$1:$G$99999,5,FALSE)</f>
        <v>THOMPSON LESTER</v>
      </c>
      <c r="M128" s="6">
        <f t="shared" si="27"/>
        <v>2.7291666665405501E-2</v>
      </c>
      <c r="N128" s="7">
        <f t="shared" si="45"/>
        <v>39.299999998183921</v>
      </c>
      <c r="O128" s="7"/>
      <c r="P128" s="7"/>
      <c r="Q128" s="22"/>
      <c r="R128" s="190"/>
      <c r="S128" s="196">
        <f t="shared" si="46"/>
        <v>1</v>
      </c>
      <c r="T128" s="190" t="str">
        <f t="shared" si="28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29"/>
        <v>https://d0f6bd738d7f1b3e5a7ca70fe4ff75f0.us-east-1.aws.found.io/app/kibana#/discover/Steve-Slow-Train-Analysis-(2080s-and-2083s)?_g=(refreshInterval:(display:Off,pause:!f,section:0,value:0),time:(from:'2017-05-09T16:54:51-0600',mode:absolute,to:'2017-05-09T19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8" s="192" t="str">
        <f t="shared" si="30"/>
        <v>N</v>
      </c>
      <c r="X128" s="192">
        <f t="shared" si="44"/>
        <v>1</v>
      </c>
      <c r="Y128" s="192">
        <f t="shared" si="32"/>
        <v>4.3299999999999998E-2</v>
      </c>
      <c r="Z128" s="192">
        <f t="shared" si="33"/>
        <v>23.331199999999999</v>
      </c>
      <c r="AA128" s="192">
        <f t="shared" si="34"/>
        <v>23.2879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5"/>
        <v>0215-09</v>
      </c>
      <c r="AE128" s="80" t="str">
        <f t="shared" si="36"/>
        <v>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 &amp; 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</v>
      </c>
      <c r="AF128" s="77" t="str">
        <f t="shared" si="37"/>
        <v>"C:\Program Files (x86)\AstroGrep\AstroGrep.exe" /e /r /s /spath="%USERPROFILE%\AppData\Local\Temp\OnboardLogs" /stypes="app*4012*20170510*" /stext=" 00:.+((SYSTEM_STATE.+slice.+state.+changed )|(ment ac)|(multiple cpu faults)|(system.+state.+changed )|(\[timeout)|(PRM\|1\|D)|(kpr)|(kdp)|(train st.+moving)|(\|lc)|(penalty))"</v>
      </c>
      <c r="AG128" s="1" t="str">
        <f t="shared" si="38"/>
        <v>EC</v>
      </c>
      <c r="AH128" s="81" t="str">
        <f t="shared" si="39"/>
        <v>"%USERPROFILE%\Documents\GitHub\eaglep3\Utilities\RefineRTDCRunTimes.py" --tripid 215-09 --locoid 4012 --swversion DE.1.0.9.0 --startMP 204:433 --initTime 2017-05-09T17:54:51 --startdatetime 2017-05-09T18:00:35 --delay 2 --endMP 204:233312 --enddatetime 2017-05-09T18:39:53 --enforcementcount 0 &gt;&gt;C:\Users\stu\Documents\GitHub\eaglep3-reporting\EC\2017-05-09-refined-times.txt</v>
      </c>
      <c r="AI128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{"issue":{"subject":"","project_id":79,"tracker_id":40,"status_id":1,"priority_id":2,"assigned_to_id":23,"start_date":"2017-05-09","description":"","custom_fields":[{"id":1,"name":"Subdivision","value":"EC"},{"id":4,"name":"Milepost","value":"23.3312"},{"id":17,"name":"Train ID","value":"215-09"},{"id":16,"name":"Locomotive ID","value":"4012"},{"id":130,"name":"Impact","value":""},{"id":150,"name":"Time of Event (Mountain Time)","value":"18:39:53"},{"id":151,"name":"Denver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1"/>
        <v>start /low /b %USERPROFILE%\Documents\GitHub\eaglep3\Utilities\DownloadLogsFromS3.py --loco 4012 --day 2017-05-09</v>
      </c>
      <c r="AN128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767</v>
      </c>
      <c r="B129" s="7">
        <v>4011</v>
      </c>
      <c r="C129" s="21" t="s">
        <v>207</v>
      </c>
      <c r="D129" s="21" t="s">
        <v>848</v>
      </c>
      <c r="E129" s="13">
        <v>42864.78601851852</v>
      </c>
      <c r="F129" s="13">
        <v>42864.789131944446</v>
      </c>
      <c r="G129" s="7">
        <v>1</v>
      </c>
      <c r="H129" s="21" t="s">
        <v>382</v>
      </c>
      <c r="I129" s="13">
        <v>42864.817546296297</v>
      </c>
      <c r="J129" s="7">
        <v>0</v>
      </c>
      <c r="K129" s="92" t="str">
        <f t="shared" si="26"/>
        <v>4011/4012</v>
      </c>
      <c r="L129" s="21" t="str">
        <f>VLOOKUP(A129,'Trips&amp;Operators'!$C$1:$G$99999,5,FALSE)</f>
        <v>THOMPSON LESTER</v>
      </c>
      <c r="M129" s="6">
        <f t="shared" si="27"/>
        <v>2.8414351851097308E-2</v>
      </c>
      <c r="N129" s="7">
        <f t="shared" si="45"/>
        <v>40.916666665580124</v>
      </c>
      <c r="O129" s="7"/>
      <c r="P129" s="7"/>
      <c r="Q129" s="22"/>
      <c r="R129" s="190"/>
      <c r="S129" s="196">
        <f t="shared" si="46"/>
        <v>1</v>
      </c>
      <c r="T129" s="190" t="str">
        <f t="shared" si="28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29"/>
        <v>https://d0f6bd738d7f1b3e5a7ca70fe4ff75f0.us-east-1.aws.found.io/app/kibana#/discover/Steve-Slow-Train-Analysis-(2080s-and-2083s)?_g=(refreshInterval:(display:Off,pause:!f,section:0,value:0),time:(from:'2017-05-09T17:51:52-0600',mode:absolute,to:'2017-05-09T20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9" s="192" t="str">
        <f t="shared" si="30"/>
        <v>N</v>
      </c>
      <c r="X129" s="192">
        <f t="shared" si="44"/>
        <v>1</v>
      </c>
      <c r="Y129" s="192">
        <f t="shared" si="32"/>
        <v>23.301100000000002</v>
      </c>
      <c r="Z129" s="192">
        <f t="shared" si="33"/>
        <v>1.47E-2</v>
      </c>
      <c r="AA129" s="192">
        <f t="shared" si="34"/>
        <v>23.2864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5"/>
        <v>0216-09</v>
      </c>
      <c r="AE129" s="80" t="str">
        <f t="shared" si="36"/>
        <v>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 &amp; 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</v>
      </c>
      <c r="AF129" s="77" t="str">
        <f t="shared" si="37"/>
        <v>"C:\Program Files (x86)\AstroGrep\AstroGrep.exe" /e /r /s /spath="%USERPROFILE%\AppData\Local\Temp\OnboardLogs" /stypes="app*4011*20170510*" /stext=" 01:.+((SYSTEM_STATE.+slice.+state.+changed )|(ment ac)|(multiple cpu faults)|(system.+state.+changed )|(\[timeout)|(PRM\|1\|D)|(kpr)|(kdp)|(train st.+moving)|(\|lc)|(penalty))"</v>
      </c>
      <c r="AG129" s="1" t="str">
        <f t="shared" si="38"/>
        <v>EC</v>
      </c>
      <c r="AH129" s="81" t="str">
        <f t="shared" si="39"/>
        <v>"%USERPROFILE%\Documents\GitHub\eaglep3\Utilities\RefineRTDCRunTimes.py" --tripid 216-09 --locoid 4011 --swversion DE.1.0.9.0 --startMP 204:233011 --initTime 2017-05-09T18:51:52 --startdatetime 2017-05-09T18:56:21 --delay 1 --endMP 204:147 --enddatetime 2017-05-09T19:37:16 --enforcementcount 0 &gt;&gt;C:\Users\stu\Documents\GitHub\eaglep3-reporting\EC\2017-05-09-refined-times.txt</v>
      </c>
      <c r="AI129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{"issue":{"subject":"","project_id":79,"tracker_id":40,"status_id":1,"priority_id":2,"assigned_to_id":23,"start_date":"2017-05-09","description":"","custom_fields":[{"id":1,"name":"Subdivision","value":"EC"},{"id":4,"name":"Milepost","value":"0.0147"},{"id":17,"name":"Train ID","value":"216-09"},{"id":16,"name":"Locomotive ID","value":"4011"},{"id":130,"name":"Impact","value":""},{"id":150,"name":"Time of Event (Mountain Time)","value":"19:37:16"},{"id":151,"name":"Denver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1"/>
        <v>start /low /b %USERPROFILE%\Documents\GitHub\eaglep3\Utilities\DownloadLogsFromS3.py --loco 4011 --day 2017-05-09</v>
      </c>
      <c r="AN129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592</v>
      </c>
      <c r="B130" s="7">
        <v>4052</v>
      </c>
      <c r="C130" s="21" t="s">
        <v>207</v>
      </c>
      <c r="D130" s="21" t="s">
        <v>372</v>
      </c>
      <c r="E130" s="13">
        <v>42864.75677083333</v>
      </c>
      <c r="F130" s="13">
        <v>42864.761064814818</v>
      </c>
      <c r="G130" s="7">
        <v>2</v>
      </c>
      <c r="H130" s="21" t="s">
        <v>878</v>
      </c>
      <c r="I130" s="13">
        <v>42864.787893518522</v>
      </c>
      <c r="J130" s="7">
        <v>0</v>
      </c>
      <c r="K130" s="92" t="str">
        <f t="shared" si="26"/>
        <v>4051/4052</v>
      </c>
      <c r="L130" s="21" t="str">
        <f>VLOOKUP(A130,'Trips&amp;Operators'!$C$1:$G$99999,5,FALSE)</f>
        <v>ZEWDU DEREJE</v>
      </c>
      <c r="M130" s="6">
        <f t="shared" si="27"/>
        <v>2.6828703703358769E-2</v>
      </c>
      <c r="N130" s="7">
        <f t="shared" si="45"/>
        <v>38.633333332836628</v>
      </c>
      <c r="O130" s="7"/>
      <c r="P130" s="7"/>
      <c r="Q130" s="22"/>
      <c r="R130" s="190"/>
      <c r="S130" s="196">
        <f t="shared" si="46"/>
        <v>1</v>
      </c>
      <c r="T130" s="190" t="str">
        <f t="shared" si="28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29"/>
        <v>https://d0f6bd738d7f1b3e5a7ca70fe4ff75f0.us-east-1.aws.found.io/app/kibana#/discover/Steve-Slow-Train-Analysis-(2080s-and-2083s)?_g=(refreshInterval:(display:Off,pause:!f,section:0,value:0),time:(from:'2017-05-09T17:09:45-0600',mode:absolute,to:'2017-05-09T19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0" s="192" t="str">
        <f t="shared" si="30"/>
        <v>N</v>
      </c>
      <c r="X130" s="192">
        <f t="shared" si="44"/>
        <v>1</v>
      </c>
      <c r="Y130" s="192">
        <f t="shared" si="32"/>
        <v>4.6399999999999997E-2</v>
      </c>
      <c r="Z130" s="192">
        <f t="shared" si="33"/>
        <v>23.334599999999998</v>
      </c>
      <c r="AA130" s="192">
        <f t="shared" si="34"/>
        <v>23.2882</v>
      </c>
      <c r="AB130" s="57" t="str">
        <f>VLOOKUP(A130,Enforcements!$C$7:$K$13,8,0)</f>
        <v>Bulletin (2)</v>
      </c>
      <c r="AC130" s="53" t="str">
        <f>VLOOKUP(A130,Enforcements!$C$7:$E$13,3,0)</f>
        <v>GRADE CROSSING</v>
      </c>
      <c r="AD130" s="54" t="str">
        <f t="shared" si="35"/>
        <v>0217-09</v>
      </c>
      <c r="AE130" s="80" t="str">
        <f t="shared" si="36"/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AF130" s="77" t="str">
        <f t="shared" si="37"/>
        <v>"C:\Program Files (x86)\AstroGrep\AstroGrep.exe" /e /r /s /spath="%USERPROFILE%\AppData\Local\Temp\OnboardLogs" /stypes="app*4052*20170510*" /stext=" 00:.+((SYSTEM_STATE.+slice.+state.+changed )|(ment ac)|(multiple cpu faults)|(system.+state.+changed )|(\[timeout)|(PRM\|1\|D)|(kpr)|(kdp)|(train st.+moving)|(\|lc)|(penalty))"</v>
      </c>
      <c r="AG130" s="1" t="str">
        <f t="shared" si="38"/>
        <v>EC</v>
      </c>
      <c r="AH130" s="81" t="str">
        <f t="shared" si="39"/>
        <v>"%USERPROFILE%\Documents\GitHub\eaglep3\Utilities\RefineRTDCRunTimes.py" --tripid 217-09 --locoid 4052 --swversion DE.1.0.9.0 --startMP 204:464 --initTime 2017-05-09T18:09:45 --startdatetime 2017-05-09T18:15:56 --delay 2 --endMP 204:233346 --enddatetime 2017-05-09T18:54:34 --enforcementcount 0 &gt;&gt;C:\Users\stu\Documents\GitHub\eaglep3-reporting\EC\2017-05-09-refined-times.txt</v>
      </c>
      <c r="AI130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{"issue":{"subject":"","project_id":79,"tracker_id":40,"status_id":1,"priority_id":2,"assigned_to_id":23,"start_date":"2017-05-09","description":"","custom_fields":[{"id":1,"name":"Subdivision","value":"EC"},{"id":4,"name":"Milepost","value":"23.3346"},{"id":17,"name":"Train ID","value":"217-09"},{"id":16,"name":"Locomotive ID","value":"4052"},{"id":130,"name":"Impact","value":""},{"id":150,"name":"Time of Event (Mountain Time)","value":"18:54:34"},{"id":151,"name":"Denver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1"/>
        <v>start /low /b %USERPROFILE%\Documents\GitHub\eaglep3\Utilities\DownloadLogsFromS3.py --loco 4052 --day 2017-05-09</v>
      </c>
      <c r="AN130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596</v>
      </c>
      <c r="B131" s="7">
        <v>4051</v>
      </c>
      <c r="C131" s="21" t="s">
        <v>207</v>
      </c>
      <c r="D131" s="21" t="s">
        <v>879</v>
      </c>
      <c r="E131" s="13">
        <v>42864.795775462961</v>
      </c>
      <c r="F131" s="13">
        <v>42864.799583333333</v>
      </c>
      <c r="G131" s="7">
        <v>2</v>
      </c>
      <c r="H131" s="21" t="s">
        <v>382</v>
      </c>
      <c r="I131" s="13">
        <v>42864.828148148146</v>
      </c>
      <c r="J131" s="7">
        <v>0</v>
      </c>
      <c r="K131" s="92" t="str">
        <f t="shared" si="26"/>
        <v>4051/4052</v>
      </c>
      <c r="L131" s="21" t="str">
        <f>VLOOKUP(A131,'Trips&amp;Operators'!$C$1:$G$99999,5,FALSE)</f>
        <v>ZEWDU DEREJE</v>
      </c>
      <c r="M131" s="6">
        <f t="shared" si="27"/>
        <v>2.8564814812853001E-2</v>
      </c>
      <c r="N131" s="7">
        <f t="shared" si="45"/>
        <v>41.133333330508322</v>
      </c>
      <c r="O131" s="7"/>
      <c r="P131" s="7"/>
      <c r="Q131" s="22"/>
      <c r="R131" s="190"/>
      <c r="S131" s="196">
        <f t="shared" si="46"/>
        <v>1</v>
      </c>
      <c r="T131" s="190" t="str">
        <f t="shared" si="28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29"/>
        <v>https://d0f6bd738d7f1b3e5a7ca70fe4ff75f0.us-east-1.aws.found.io/app/kibana#/discover/Steve-Slow-Train-Analysis-(2080s-and-2083s)?_g=(refreshInterval:(display:Off,pause:!f,section:0,value:0),time:(from:'2017-05-09T18:05:55-0600',mode:absolute,to:'2017-05-09T20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1" s="192" t="str">
        <f t="shared" si="30"/>
        <v>N</v>
      </c>
      <c r="X131" s="192">
        <f t="shared" si="44"/>
        <v>1</v>
      </c>
      <c r="Y131" s="192">
        <f t="shared" si="32"/>
        <v>23.3032</v>
      </c>
      <c r="Z131" s="192">
        <f t="shared" si="33"/>
        <v>1.47E-2</v>
      </c>
      <c r="AA131" s="192">
        <f t="shared" si="34"/>
        <v>23.288499999999999</v>
      </c>
      <c r="AB131" s="57" t="str">
        <f>VLOOKUP(A131,Enforcements!$C$7:$K$13,8,0)</f>
        <v>Bulletin (2)</v>
      </c>
      <c r="AC131" s="53" t="str">
        <f>VLOOKUP(A131,Enforcements!$C$7:$E$13,3,0)</f>
        <v>GRADE CROSSING</v>
      </c>
      <c r="AD131" s="54" t="str">
        <f t="shared" si="35"/>
        <v>0218-09</v>
      </c>
      <c r="AE131" s="80" t="str">
        <f t="shared" si="36"/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AF131" s="77" t="str">
        <f t="shared" si="37"/>
        <v>"C:\Program Files (x86)\AstroGrep\AstroGrep.exe" /e /r /s /spath="%USERPROFILE%\AppData\Local\Temp\OnboardLogs" /stypes="app*4051*20170510*" /stext=" 01:.+((SYSTEM_STATE.+slice.+state.+changed )|(ment ac)|(multiple cpu faults)|(system.+state.+changed )|(\[timeout)|(PRM\|1\|D)|(kpr)|(kdp)|(train st.+moving)|(\|lc)|(penalty))"</v>
      </c>
      <c r="AG131" s="1" t="str">
        <f t="shared" si="38"/>
        <v>EC</v>
      </c>
      <c r="AH131" s="81" t="str">
        <f t="shared" si="39"/>
        <v>"%USERPROFILE%\Documents\GitHub\eaglep3\Utilities\RefineRTDCRunTimes.py" --tripid 218-09 --locoid 4051 --swversion DE.1.0.9.0 --startMP 204:233032 --initTime 2017-05-09T19:05:55 --startdatetime 2017-05-09T19:11:24 --delay 2 --endMP 204:147 --enddatetime 2017-05-09T19:52:32 --enforcementcount 0 &gt;&gt;C:\Users\stu\Documents\GitHub\eaglep3-reporting\EC\2017-05-09-refined-times.txt</v>
      </c>
      <c r="AI131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{"issue":{"subject":"","project_id":79,"tracker_id":40,"status_id":1,"priority_id":2,"assigned_to_id":23,"start_date":"2017-05-09","description":"","custom_fields":[{"id":1,"name":"Subdivision","value":"EC"},{"id":4,"name":"Milepost","value":"0.0147"},{"id":17,"name":"Train ID","value":"218-09"},{"id":16,"name":"Locomotive ID","value":"4051"},{"id":130,"name":"Impact","value":""},{"id":150,"name":"Time of Event (Mountain Time)","value":"19:52:32"},{"id":151,"name":"Denver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1"/>
        <v>start /low /b %USERPROFILE%\Documents\GitHub\eaglep3\Utilities\DownloadLogsFromS3.py --loco 4051 --day 2017-05-09</v>
      </c>
      <c r="AN131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595</v>
      </c>
      <c r="B132" s="7">
        <v>4020</v>
      </c>
      <c r="C132" s="21" t="s">
        <v>207</v>
      </c>
      <c r="D132" s="21" t="s">
        <v>372</v>
      </c>
      <c r="E132" s="13">
        <v>42864.766712962963</v>
      </c>
      <c r="F132" s="13">
        <v>42864.771319444444</v>
      </c>
      <c r="G132" s="7">
        <v>2</v>
      </c>
      <c r="H132" s="21" t="s">
        <v>880</v>
      </c>
      <c r="I132" s="13">
        <v>42864.796087962961</v>
      </c>
      <c r="J132" s="7">
        <v>0</v>
      </c>
      <c r="K132" s="92" t="str">
        <f t="shared" si="26"/>
        <v>4019/4020</v>
      </c>
      <c r="L132" s="21" t="str">
        <f>VLOOKUP(A132,'Trips&amp;Operators'!$C$1:$G$99999,5,FALSE)</f>
        <v>BIRENBAUM THOMAS</v>
      </c>
      <c r="M132" s="6">
        <f t="shared" si="27"/>
        <v>2.4768518516793847E-2</v>
      </c>
      <c r="N132" s="7">
        <f t="shared" si="45"/>
        <v>35.66666666418314</v>
      </c>
      <c r="O132" s="7"/>
      <c r="P132" s="7"/>
      <c r="Q132" s="22"/>
      <c r="R132" s="190"/>
      <c r="S132" s="196">
        <f t="shared" si="46"/>
        <v>1</v>
      </c>
      <c r="T132" s="190" t="str">
        <f t="shared" si="28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29"/>
        <v>https://d0f6bd738d7f1b3e5a7ca70fe4ff75f0.us-east-1.aws.found.io/app/kibana#/discover/Steve-Slow-Train-Analysis-(2080s-and-2083s)?_g=(refreshInterval:(display:Off,pause:!f,section:0,value:0),time:(from:'2017-05-09T17:24:04-0600',mode:absolute,to:'2017-05-09T20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2" s="192" t="str">
        <f t="shared" si="30"/>
        <v>N</v>
      </c>
      <c r="X132" s="192">
        <f t="shared" si="44"/>
        <v>1</v>
      </c>
      <c r="Y132" s="192">
        <f t="shared" si="32"/>
        <v>4.6399999999999997E-2</v>
      </c>
      <c r="Z132" s="192">
        <f t="shared" si="33"/>
        <v>23.334900000000001</v>
      </c>
      <c r="AA132" s="192">
        <f t="shared" si="34"/>
        <v>23.288500000000003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5"/>
        <v>0219-09</v>
      </c>
      <c r="AE132" s="80" t="str">
        <f t="shared" si="36"/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AF132" s="77" t="str">
        <f t="shared" si="37"/>
        <v>"C:\Program Files (x86)\AstroGrep\AstroGrep.exe" /e /r /s /spath="%USERPROFILE%\AppData\Local\Temp\OnboardLogs" /stypes="app*4020*20170510*" /stext=" 01:.+((SYSTEM_STATE.+slice.+state.+changed )|(ment ac)|(multiple cpu faults)|(system.+state.+changed )|(\[timeout)|(PRM\|1\|D)|(kpr)|(kdp)|(train st.+moving)|(\|lc)|(penalty))"</v>
      </c>
      <c r="AG132" s="1" t="str">
        <f t="shared" si="38"/>
        <v>EC</v>
      </c>
      <c r="AH132" s="81" t="str">
        <f t="shared" si="39"/>
        <v>"%USERPROFILE%\Documents\GitHub\eaglep3\Utilities\RefineRTDCRunTimes.py" --tripid 219-09 --locoid 4020 --swversion DE.1.0.9.0 --startMP 204:464 --initTime 2017-05-09T18:24:04 --startdatetime 2017-05-09T18:30:42 --delay 2 --endMP 204:233349 --enddatetime 2017-05-09T19:06:22 --enforcementcount 0 &gt;&gt;C:\Users\stu\Documents\GitHub\eaglep3-reporting\EC\2017-05-09-refined-times.txt</v>
      </c>
      <c r="AI132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{"issue":{"subject":"","project_id":79,"tracker_id":40,"status_id":1,"priority_id":2,"assigned_to_id":23,"start_date":"2017-05-09","description":"","custom_fields":[{"id":1,"name":"Subdivision","value":"EC"},{"id":4,"name":"Milepost","value":"23.3349"},{"id":17,"name":"Train ID","value":"219-09"},{"id":16,"name":"Locomotive ID","value":"4020"},{"id":130,"name":"Impact","value":""},{"id":150,"name":"Time of Event (Mountain Time)","value":"19:06:22"},{"id":151,"name":"Denver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1"/>
        <v>start /low /b %USERPROFILE%\Documents\GitHub\eaglep3\Utilities\DownloadLogsFromS3.py --loco 4020 --day 2017-05-09</v>
      </c>
      <c r="AN132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775</v>
      </c>
      <c r="B133" s="7">
        <v>4019</v>
      </c>
      <c r="C133" s="21" t="s">
        <v>207</v>
      </c>
      <c r="D133" s="21" t="s">
        <v>848</v>
      </c>
      <c r="E133" s="13">
        <v>42864.806342592594</v>
      </c>
      <c r="F133" s="13">
        <v>42864.810115740744</v>
      </c>
      <c r="G133" s="7">
        <v>2</v>
      </c>
      <c r="H133" s="21" t="s">
        <v>881</v>
      </c>
      <c r="I133" s="13">
        <v>42864.835902777777</v>
      </c>
      <c r="J133" s="7">
        <v>0</v>
      </c>
      <c r="K133" s="92" t="str">
        <f t="shared" si="26"/>
        <v>4019/4020</v>
      </c>
      <c r="L133" s="21" t="str">
        <f>VLOOKUP(A133,'Trips&amp;Operators'!$C$1:$G$99999,5,FALSE)</f>
        <v>BIRENBAUM THOMAS</v>
      </c>
      <c r="M133" s="6">
        <f t="shared" si="27"/>
        <v>2.5787037033296656E-2</v>
      </c>
      <c r="N133" s="7">
        <f t="shared" si="45"/>
        <v>37.133333327947184</v>
      </c>
      <c r="O133" s="7"/>
      <c r="P133" s="7"/>
      <c r="Q133" s="22"/>
      <c r="R133" s="190"/>
      <c r="S133" s="196">
        <f t="shared" si="46"/>
        <v>1</v>
      </c>
      <c r="T133" s="190" t="str">
        <f t="shared" si="28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29"/>
        <v>https://d0f6bd738d7f1b3e5a7ca70fe4ff75f0.us-east-1.aws.found.io/app/kibana#/discover/Steve-Slow-Train-Analysis-(2080s-and-2083s)?_g=(refreshInterval:(display:Off,pause:!f,section:0,value:0),time:(from:'2017-05-09T18:21:08-0600',mode:absolute,to:'2017-05-09T21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3" s="192" t="str">
        <f t="shared" si="30"/>
        <v>N</v>
      </c>
      <c r="X133" s="192">
        <f t="shared" si="44"/>
        <v>1</v>
      </c>
      <c r="Y133" s="192">
        <f t="shared" si="32"/>
        <v>23.301100000000002</v>
      </c>
      <c r="Z133" s="192">
        <f t="shared" si="33"/>
        <v>9.4000000000000004E-3</v>
      </c>
      <c r="AA133" s="192">
        <f t="shared" si="34"/>
        <v>23.291700000000002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5"/>
        <v>0220-09</v>
      </c>
      <c r="AE133" s="80" t="str">
        <f t="shared" si="36"/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133" s="77" t="str">
        <f t="shared" si="37"/>
        <v>"C:\Program Files (x86)\AstroGrep\AstroGrep.exe" /e /r /s /spath="%USERPROFILE%\AppData\Local\Temp\OnboardLogs" /stypes="app*4019*20170510*" /stext=" 02:.+((SYSTEM_STATE.+slice.+state.+changed )|(ment ac)|(multiple cpu faults)|(system.+state.+changed )|(\[timeout)|(PRM\|1\|D)|(kpr)|(kdp)|(train st.+moving)|(\|lc)|(penalty))"</v>
      </c>
      <c r="AG133" s="1" t="str">
        <f t="shared" si="38"/>
        <v>EC</v>
      </c>
      <c r="AH133" s="81" t="str">
        <f t="shared" si="39"/>
        <v>"%USERPROFILE%\Documents\GitHub\eaglep3\Utilities\RefineRTDCRunTimes.py" --tripid 220-09 --locoid 4019 --swversion DE.1.0.9.0 --startMP 204:233011 --initTime 2017-05-09T19:21:08 --startdatetime 2017-05-09T19:26:34 --delay 2 --endMP 204:94 --enddatetime 2017-05-09T20:03:42 --enforcementcount 0 &gt;&gt;C:\Users\stu\Documents\GitHub\eaglep3-reporting\EC\2017-05-09-refined-times.txt</v>
      </c>
      <c r="AI133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{"issue":{"subject":"","project_id":79,"tracker_id":40,"status_id":1,"priority_id":2,"assigned_to_id":23,"start_date":"2017-05-09","description":"","custom_fields":[{"id":1,"name":"Subdivision","value":"EC"},{"id":4,"name":"Milepost","value":"0.0094"},{"id":17,"name":"Train ID","value":"220-09"},{"id":16,"name":"Locomotive ID","value":"4019"},{"id":130,"name":"Impact","value":""},{"id":150,"name":"Time of Event (Mountain Time)","value":"20:03:42"},{"id":151,"name":"Denver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1"/>
        <v>start /low /b %USERPROFILE%\Documents\GitHub\eaglep3\Utilities\DownloadLogsFromS3.py --loco 4019 --day 2017-05-09</v>
      </c>
      <c r="AN133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02:03:42"},{"id":29,"name":"Sharepoint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771</v>
      </c>
      <c r="B134" s="7">
        <v>4008</v>
      </c>
      <c r="C134" s="21" t="s">
        <v>207</v>
      </c>
      <c r="D134" s="21" t="s">
        <v>367</v>
      </c>
      <c r="E134" s="13">
        <v>42864.790300925924</v>
      </c>
      <c r="F134" s="13">
        <v>42864.792002314818</v>
      </c>
      <c r="G134" s="7">
        <v>1</v>
      </c>
      <c r="H134" s="21" t="s">
        <v>518</v>
      </c>
      <c r="I134" s="13">
        <v>42864.817476851851</v>
      </c>
      <c r="J134" s="7">
        <v>0</v>
      </c>
      <c r="K134" s="92" t="str">
        <f t="shared" si="26"/>
        <v>4007/4008</v>
      </c>
      <c r="L134" s="21" t="str">
        <f>VLOOKUP(A134,'Trips&amp;Operators'!$C$1:$G$99999,5,FALSE)</f>
        <v>CHANDLER KELVIN</v>
      </c>
      <c r="M134" s="6">
        <f t="shared" si="27"/>
        <v>2.5474537033005618E-2</v>
      </c>
      <c r="N134" s="7">
        <f t="shared" si="45"/>
        <v>36.683333327528089</v>
      </c>
      <c r="O134" s="7"/>
      <c r="P134" s="7"/>
      <c r="Q134" s="22"/>
      <c r="R134" s="190"/>
      <c r="S134" s="196">
        <f t="shared" si="46"/>
        <v>1</v>
      </c>
      <c r="T134" s="190" t="str">
        <f t="shared" si="28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29"/>
        <v>https://d0f6bd738d7f1b3e5a7ca70fe4ff75f0.us-east-1.aws.found.io/app/kibana#/discover/Steve-Slow-Train-Analysis-(2080s-and-2083s)?_g=(refreshInterval:(display:Off,pause:!f,section:0,value:0),time:(from:'2017-05-09T17:58:02-0600',mode:absolute,to:'2017-05-09T20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4" s="192" t="str">
        <f t="shared" si="30"/>
        <v>N</v>
      </c>
      <c r="X134" s="192">
        <f t="shared" si="44"/>
        <v>1</v>
      </c>
      <c r="Y134" s="192">
        <f t="shared" si="32"/>
        <v>4.6899999999999997E-2</v>
      </c>
      <c r="Z134" s="192">
        <f t="shared" si="33"/>
        <v>23.3276</v>
      </c>
      <c r="AA134" s="192">
        <f t="shared" si="34"/>
        <v>23.2807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5"/>
        <v>0221-09</v>
      </c>
      <c r="AE134" s="80" t="str">
        <f t="shared" si="36"/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134" s="77" t="str">
        <f t="shared" si="37"/>
        <v>"C:\Program Files (x86)\AstroGrep\AstroGrep.exe" /e /r /s /spath="%USERPROFILE%\AppData\Local\Temp\OnboardLogs" /stypes="app*4008*20170510*" /stext=" 01:.+((SYSTEM_STATE.+slice.+state.+changed )|(ment ac)|(multiple cpu faults)|(system.+state.+changed )|(\[timeout)|(PRM\|1\|D)|(kpr)|(kdp)|(train st.+moving)|(\|lc)|(penalty))"</v>
      </c>
      <c r="AG134" s="1" t="str">
        <f t="shared" si="38"/>
        <v>EC</v>
      </c>
      <c r="AH134" s="81" t="str">
        <f t="shared" si="39"/>
        <v>"%USERPROFILE%\Documents\GitHub\eaglep3\Utilities\RefineRTDCRunTimes.py" --tripid 221-09 --locoid 4008 --swversion DE.1.0.9.0 --startMP 204:469 --initTime 2017-05-09T18:58:02 --startdatetime 2017-05-09T19:00:29 --delay 1 --endMP 204:233276 --enddatetime 2017-05-09T19:37:10 --enforcementcount 0 &gt;&gt;C:\Users\stu\Documents\GitHub\eaglep3-reporting\EC\2017-05-09-refined-times.txt</v>
      </c>
      <c r="AI134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{"issue":{"subject":"","project_id":79,"tracker_id":40,"status_id":1,"priority_id":2,"assigned_to_id":23,"start_date":"2017-05-09","description":"","custom_fields":[{"id":1,"name":"Subdivision","value":"EC"},{"id":4,"name":"Milepost","value":"23.3276"},{"id":17,"name":"Train ID","value":"221-09"},{"id":16,"name":"Locomotive ID","value":"4008"},{"id":130,"name":"Impact","value":""},{"id":150,"name":"Time of Event (Mountain Time)","value":"19:37:10"},{"id":151,"name":"Denver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1"/>
        <v>start /low /b %USERPROFILE%\Documents\GitHub\eaglep3\Utilities\DownloadLogsFromS3.py --loco 4008 --day 2017-05-09</v>
      </c>
      <c r="AN134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779</v>
      </c>
      <c r="B135" s="7">
        <v>4007</v>
      </c>
      <c r="C135" s="21" t="s">
        <v>207</v>
      </c>
      <c r="D135" s="21" t="s">
        <v>396</v>
      </c>
      <c r="E135" s="13">
        <v>42864.828067129631</v>
      </c>
      <c r="F135" s="13">
        <v>42864.831145833334</v>
      </c>
      <c r="G135" s="7">
        <v>1</v>
      </c>
      <c r="H135" s="21" t="s">
        <v>882</v>
      </c>
      <c r="I135" s="13">
        <v>42864.85869212963</v>
      </c>
      <c r="J135" s="7">
        <v>0</v>
      </c>
      <c r="K135" s="92" t="str">
        <f t="shared" si="26"/>
        <v>4007/4008</v>
      </c>
      <c r="L135" s="21" t="str">
        <f>VLOOKUP(A135,'Trips&amp;Operators'!$C$1:$G$99999,5,FALSE)</f>
        <v>CHANDLER KELVIN</v>
      </c>
      <c r="M135" s="6">
        <f t="shared" si="27"/>
        <v>2.7546296296350192E-2</v>
      </c>
      <c r="N135" s="7">
        <f t="shared" si="45"/>
        <v>39.666666666744277</v>
      </c>
      <c r="O135" s="7"/>
      <c r="P135" s="7"/>
      <c r="Q135" s="22"/>
      <c r="R135" s="190"/>
      <c r="S135" s="196">
        <f t="shared" si="46"/>
        <v>1</v>
      </c>
      <c r="T135" s="190" t="str">
        <f t="shared" si="28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29"/>
        <v>https://d0f6bd738d7f1b3e5a7ca70fe4ff75f0.us-east-1.aws.found.io/app/kibana#/discover/Steve-Slow-Train-Analysis-(2080s-and-2083s)?_g=(refreshInterval:(display:Off,pause:!f,section:0,value:0),time:(from:'2017-05-09T18:52:25-0600',mode:absolute,to:'2017-05-09T21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5" s="192" t="str">
        <f t="shared" si="30"/>
        <v>N</v>
      </c>
      <c r="X135" s="192">
        <f t="shared" si="44"/>
        <v>1</v>
      </c>
      <c r="Y135" s="192">
        <f t="shared" si="32"/>
        <v>23.2987</v>
      </c>
      <c r="Z135" s="192">
        <f t="shared" si="33"/>
        <v>1.7600000000000001E-2</v>
      </c>
      <c r="AA135" s="192">
        <f t="shared" si="34"/>
        <v>23.281099999999999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5"/>
        <v>0222-09</v>
      </c>
      <c r="AE135" s="80" t="str">
        <f t="shared" si="36"/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AF135" s="77" t="str">
        <f t="shared" si="37"/>
        <v>"C:\Program Files (x86)\AstroGrep\AstroGrep.exe" /e /r /s /spath="%USERPROFILE%\AppData\Local\Temp\OnboardLogs" /stypes="app*4007*20170510*" /stext=" 02:.+((SYSTEM_STATE.+slice.+state.+changed )|(ment ac)|(multiple cpu faults)|(system.+state.+changed )|(\[timeout)|(PRM\|1\|D)|(kpr)|(kdp)|(train st.+moving)|(\|lc)|(penalty))"</v>
      </c>
      <c r="AG135" s="1" t="str">
        <f t="shared" si="38"/>
        <v>EC</v>
      </c>
      <c r="AH135" s="81" t="str">
        <f t="shared" si="39"/>
        <v>"%USERPROFILE%\Documents\GitHub\eaglep3\Utilities\RefineRTDCRunTimes.py" --tripid 222-09 --locoid 4007 --swversion DE.1.0.9.0 --startMP 204:232987 --initTime 2017-05-09T19:52:25 --startdatetime 2017-05-09T19:56:51 --delay 1 --endMP 204:176 --enddatetime 2017-05-09T20:36:31 --enforcementcount 0 &gt;&gt;C:\Users\stu\Documents\GitHub\eaglep3-reporting\EC\2017-05-09-refined-times.txt</v>
      </c>
      <c r="AI135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{"issue":{"subject":"","project_id":79,"tracker_id":40,"status_id":1,"priority_id":2,"assigned_to_id":23,"start_date":"2017-05-09","description":"","custom_fields":[{"id":1,"name":"Subdivision","value":"EC"},{"id":4,"name":"Milepost","value":"0.0176"},{"id":17,"name":"Train ID","value":"222-09"},{"id":16,"name":"Locomotive ID","value":"4007"},{"id":130,"name":"Impact","value":""},{"id":150,"name":"Time of Event (Mountain Time)","value":"20:36:31"},{"id":151,"name":"Denver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1"/>
        <v>start /low /b %USERPROFILE%\Documents\GitHub\eaglep3\Utilities\DownloadLogsFromS3.py --loco 4007 --day 2017-05-09</v>
      </c>
      <c r="AN135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02:36:31"},{"id":29,"name":"Sharepoint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776</v>
      </c>
      <c r="B136" s="7">
        <v>4046</v>
      </c>
      <c r="C136" s="21" t="s">
        <v>207</v>
      </c>
      <c r="D136" s="21" t="s">
        <v>348</v>
      </c>
      <c r="E136" s="13">
        <v>42864.809467592589</v>
      </c>
      <c r="F136" s="13">
        <v>42864.812638888892</v>
      </c>
      <c r="G136" s="7">
        <v>1</v>
      </c>
      <c r="H136" s="21" t="s">
        <v>457</v>
      </c>
      <c r="I136" s="13">
        <v>42864.836840277778</v>
      </c>
      <c r="J136" s="7">
        <v>0</v>
      </c>
      <c r="K136" s="92" t="str">
        <f t="shared" si="26"/>
        <v>4045/4046</v>
      </c>
      <c r="L136" s="21" t="str">
        <f>VLOOKUP(A136,'Trips&amp;Operators'!$C$1:$G$99999,5,FALSE)</f>
        <v>NEWELL JAMES</v>
      </c>
      <c r="M136" s="6">
        <f t="shared" si="27"/>
        <v>2.4201388885558117E-2</v>
      </c>
      <c r="N136" s="7">
        <f t="shared" si="45"/>
        <v>34.849999995203689</v>
      </c>
      <c r="O136" s="7"/>
      <c r="P136" s="7"/>
      <c r="Q136" s="22"/>
      <c r="R136" s="190"/>
      <c r="S136" s="196">
        <f t="shared" si="46"/>
        <v>1</v>
      </c>
      <c r="T136" s="190" t="str">
        <f t="shared" si="28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29"/>
        <v>https://d0f6bd738d7f1b3e5a7ca70fe4ff75f0.us-east-1.aws.found.io/app/kibana#/discover/Steve-Slow-Train-Analysis-(2080s-and-2083s)?_g=(refreshInterval:(display:Off,pause:!f,section:0,value:0),time:(from:'2017-05-09T18:25:38-0600',mode:absolute,to:'2017-05-09T21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92" t="str">
        <f t="shared" si="30"/>
        <v>N</v>
      </c>
      <c r="X136" s="192">
        <f t="shared" si="44"/>
        <v>1</v>
      </c>
      <c r="Y136" s="192">
        <f t="shared" si="32"/>
        <v>4.4900000000000002E-2</v>
      </c>
      <c r="Z136" s="192">
        <f t="shared" si="33"/>
        <v>23.326799999999999</v>
      </c>
      <c r="AA136" s="192">
        <f t="shared" si="34"/>
        <v>23.2819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5"/>
        <v>0223-09</v>
      </c>
      <c r="AE136" s="80" t="str">
        <f t="shared" si="36"/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AF136" s="77" t="str">
        <f t="shared" si="37"/>
        <v>"C:\Program Files (x86)\AstroGrep\AstroGrep.exe" /e /r /s /spath="%USERPROFILE%\AppData\Local\Temp\OnboardLogs" /stypes="app*4046*20170510*" /stext=" 02:.+((SYSTEM_STATE.+slice.+state.+changed )|(ment ac)|(multiple cpu faults)|(system.+state.+changed )|(\[timeout)|(PRM\|1\|D)|(kpr)|(kdp)|(train st.+moving)|(\|lc)|(penalty))"</v>
      </c>
      <c r="AG136" s="1" t="str">
        <f t="shared" si="38"/>
        <v>EC</v>
      </c>
      <c r="AH136" s="81" t="str">
        <f t="shared" si="39"/>
        <v>"%USERPROFILE%\Documents\GitHub\eaglep3\Utilities\RefineRTDCRunTimes.py" --tripid 223-09 --locoid 4046 --swversion DE.1.0.9.0 --startMP 204:449 --initTime 2017-05-09T19:25:38 --startdatetime 2017-05-09T19:30:12 --delay 1 --endMP 204:233268 --enddatetime 2017-05-09T20:05:03 --enforcementcount 0 &gt;&gt;C:\Users\stu\Documents\GitHub\eaglep3-reporting\EC\2017-05-09-refined-times.txt</v>
      </c>
      <c r="AI136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{"issue":{"subject":"","project_id":79,"tracker_id":40,"status_id":1,"priority_id":2,"assigned_to_id":23,"start_date":"2017-05-09","description":"","custom_fields":[{"id":1,"name":"Subdivision","value":"EC"},{"id":4,"name":"Milepost","value":"23.3268"},{"id":17,"name":"Train ID","value":"223-09"},{"id":16,"name":"Locomotive ID","value":"4046"},{"id":130,"name":"Impact","value":""},{"id":150,"name":"Time of Event (Mountain Time)","value":"20:05:03"},{"id":151,"name":"Denver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1"/>
        <v>start /low /b %USERPROFILE%\Documents\GitHub\eaglep3\Utilities\DownloadLogsFromS3.py --loco 4046 --day 2017-05-09</v>
      </c>
      <c r="AN136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02:05:03"},{"id":29,"name":"Sharepoint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781</v>
      </c>
      <c r="B137" s="7">
        <v>4045</v>
      </c>
      <c r="C137" s="21" t="s">
        <v>207</v>
      </c>
      <c r="D137" s="21" t="s">
        <v>883</v>
      </c>
      <c r="E137" s="13">
        <v>42864.838750000003</v>
      </c>
      <c r="F137" s="13">
        <v>42864.851782407408</v>
      </c>
      <c r="G137" s="7">
        <v>1</v>
      </c>
      <c r="H137" s="21" t="s">
        <v>357</v>
      </c>
      <c r="I137" s="13">
        <v>42864.877453703702</v>
      </c>
      <c r="J137" s="7">
        <v>0</v>
      </c>
      <c r="K137" s="92" t="str">
        <f t="shared" si="26"/>
        <v>4045/4046</v>
      </c>
      <c r="L137" s="21" t="str">
        <f>VLOOKUP(A137,'Trips&amp;Operators'!$C$1:$G$99999,5,FALSE)</f>
        <v>NEWELL JAMES</v>
      </c>
      <c r="M137" s="6">
        <f t="shared" si="27"/>
        <v>2.5671296294603962E-2</v>
      </c>
      <c r="N137" s="7">
        <f t="shared" si="45"/>
        <v>36.966666664229706</v>
      </c>
      <c r="O137" s="7"/>
      <c r="P137" s="7"/>
      <c r="Q137" s="22"/>
      <c r="R137" s="190"/>
      <c r="S137" s="196">
        <f t="shared" si="46"/>
        <v>1</v>
      </c>
      <c r="T137" s="190" t="str">
        <f t="shared" si="28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29"/>
        <v>https://d0f6bd738d7f1b3e5a7ca70fe4ff75f0.us-east-1.aws.found.io/app/kibana#/discover/Steve-Slow-Train-Analysis-(2080s-and-2083s)?_g=(refreshInterval:(display:Off,pause:!f,section:0,value:0),time:(from:'2017-05-09T19:07:48-0600',mode:absolute,to:'2017-05-09T22:03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92" t="str">
        <f t="shared" si="30"/>
        <v>N</v>
      </c>
      <c r="X137" s="192">
        <f t="shared" si="44"/>
        <v>1</v>
      </c>
      <c r="Y137" s="192">
        <f t="shared" si="32"/>
        <v>23.2973</v>
      </c>
      <c r="Z137" s="192">
        <f t="shared" si="33"/>
        <v>1.6E-2</v>
      </c>
      <c r="AA137" s="192">
        <f t="shared" si="34"/>
        <v>23.281300000000002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5"/>
        <v>0224-09</v>
      </c>
      <c r="AE137" s="80" t="str">
        <f t="shared" si="36"/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AF137" s="77" t="str">
        <f t="shared" si="37"/>
        <v>"C:\Program Files (x86)\AstroGrep\AstroGrep.exe" /e /r /s /spath="%USERPROFILE%\AppData\Local\Temp\OnboardLogs" /stypes="app*4045*20170510*" /stext=" 03:.+((SYSTEM_STATE.+slice.+state.+changed )|(ment ac)|(multiple cpu faults)|(system.+state.+changed )|(\[timeout)|(PRM\|1\|D)|(kpr)|(kdp)|(train st.+moving)|(\|lc)|(penalty))"</v>
      </c>
      <c r="AG137" s="1" t="str">
        <f t="shared" si="38"/>
        <v>EC</v>
      </c>
      <c r="AH137" s="81" t="str">
        <f t="shared" si="39"/>
        <v>"%USERPROFILE%\Documents\GitHub\eaglep3\Utilities\RefineRTDCRunTimes.py" --tripid 224-09 --locoid 4045 --swversion DE.1.0.9.0 --startMP 204:232973 --initTime 2017-05-09T20:07:48 --startdatetime 2017-05-09T20:26:34 --delay 1 --endMP 204:160 --enddatetime 2017-05-09T21:03:32 --enforcementcount 0 &gt;&gt;C:\Users\stu\Documents\GitHub\eaglep3-reporting\EC\2017-05-09-refined-times.txt</v>
      </c>
      <c r="AI137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{"issue":{"subject":"","project_id":79,"tracker_id":40,"status_id":1,"priority_id":2,"assigned_to_id":23,"start_date":"2017-05-09","description":"","custom_fields":[{"id":1,"name":"Subdivision","value":"EC"},{"id":4,"name":"Milepost","value":"0.016"},{"id":17,"name":"Train ID","value":"224-09"},{"id":16,"name":"Locomotive ID","value":"4045"},{"id":130,"name":"Impact","value":""},{"id":150,"name":"Time of Event (Mountain Time)","value":"21:03:32"},{"id":151,"name":"Denver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1"/>
        <v>start /low /b %USERPROFILE%\Documents\GitHub\eaglep3\Utilities\DownloadLogsFromS3.py --loco 4045 --day 2017-05-09</v>
      </c>
      <c r="AN137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03:03:32"},{"id":29,"name":"Sharepoint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780</v>
      </c>
      <c r="B138" s="7">
        <v>4052</v>
      </c>
      <c r="C138" s="21" t="s">
        <v>207</v>
      </c>
      <c r="D138" s="21" t="s">
        <v>354</v>
      </c>
      <c r="E138" s="13">
        <v>42864.829305555555</v>
      </c>
      <c r="F138" s="13">
        <v>42864.833645833336</v>
      </c>
      <c r="G138" s="7">
        <v>2</v>
      </c>
      <c r="H138" s="21" t="s">
        <v>395</v>
      </c>
      <c r="I138" s="13">
        <v>42864.859155092592</v>
      </c>
      <c r="J138" s="7">
        <v>0</v>
      </c>
      <c r="K138" s="92" t="str">
        <f t="shared" si="26"/>
        <v>4051/4052</v>
      </c>
      <c r="L138" s="21" t="str">
        <f>VLOOKUP(A138,'Trips&amp;Operators'!$C$1:$G$99999,5,FALSE)</f>
        <v>ZEWDU DEREJE</v>
      </c>
      <c r="M138" s="6">
        <f t="shared" si="27"/>
        <v>2.5509259256068617E-2</v>
      </c>
      <c r="N138" s="7">
        <f t="shared" si="45"/>
        <v>36.733333328738809</v>
      </c>
      <c r="O138" s="7"/>
      <c r="P138" s="7"/>
      <c r="Q138" s="22"/>
      <c r="R138" s="190"/>
      <c r="S138" s="196">
        <f t="shared" si="46"/>
        <v>1</v>
      </c>
      <c r="T138" s="190" t="str">
        <f t="shared" si="28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29"/>
        <v>https://d0f6bd738d7f1b3e5a7ca70fe4ff75f0.us-east-1.aws.found.io/app/kibana#/discover/Steve-Slow-Train-Analysis-(2080s-and-2083s)?_g=(refreshInterval:(display:Off,pause:!f,section:0,value:0),time:(from:'2017-05-09T18:54:12-0600',mode:absolute,to:'2017-05-09T21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8" s="192" t="str">
        <f t="shared" si="30"/>
        <v>N</v>
      </c>
      <c r="X138" s="192">
        <f t="shared" si="44"/>
        <v>1</v>
      </c>
      <c r="Y138" s="192">
        <f t="shared" si="32"/>
        <v>4.4600000000000001E-2</v>
      </c>
      <c r="Z138" s="192">
        <f t="shared" si="33"/>
        <v>23.329699999999999</v>
      </c>
      <c r="AA138" s="192">
        <f t="shared" si="34"/>
        <v>23.2851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5"/>
        <v>0225-09</v>
      </c>
      <c r="AE138" s="80" t="str">
        <f t="shared" si="36"/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AF138" s="77" t="str">
        <f t="shared" si="37"/>
        <v>"C:\Program Files (x86)\AstroGrep\AstroGrep.exe" /e /r /s /spath="%USERPROFILE%\AppData\Local\Temp\OnboardLogs" /stypes="app*4052*20170510*" /stext=" 02:.+((SYSTEM_STATE.+slice.+state.+changed )|(ment ac)|(multiple cpu faults)|(system.+state.+changed )|(\[timeout)|(PRM\|1\|D)|(kpr)|(kdp)|(train st.+moving)|(\|lc)|(penalty))"</v>
      </c>
      <c r="AG138" s="1" t="str">
        <f t="shared" si="38"/>
        <v>EC</v>
      </c>
      <c r="AH138" s="81" t="str">
        <f t="shared" si="39"/>
        <v>"%USERPROFILE%\Documents\GitHub\eaglep3\Utilities\RefineRTDCRunTimes.py" --tripid 225-09 --locoid 4052 --swversion DE.1.0.9.0 --startMP 204:446 --initTime 2017-05-09T19:54:12 --startdatetime 2017-05-09T20:00:27 --delay 2 --endMP 204:233297 --enddatetime 2017-05-09T20:37:11 --enforcementcount 0 &gt;&gt;C:\Users\stu\Documents\GitHub\eaglep3-reporting\EC\2017-05-09-refined-times.txt</v>
      </c>
      <c r="AI138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{"issue":{"subject":"","project_id":79,"tracker_id":40,"status_id":1,"priority_id":2,"assigned_to_id":23,"start_date":"2017-05-09","description":"","custom_fields":[{"id":1,"name":"Subdivision","value":"EC"},{"id":4,"name":"Milepost","value":"23.3297"},{"id":17,"name":"Train ID","value":"225-09"},{"id":16,"name":"Locomotive ID","value":"4052"},{"id":130,"name":"Impact","value":""},{"id":150,"name":"Time of Event (Mountain Time)","value":"20:37:11"},{"id":151,"name":"Denver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1"/>
        <v>start /low /b %USERPROFILE%\Documents\GitHub\eaglep3\Utilities\DownloadLogsFromS3.py --loco 4052 --day 2017-05-09</v>
      </c>
      <c r="AN138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02:37:11"},{"id":29,"name":"Sharepoint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786</v>
      </c>
      <c r="B139" s="7">
        <v>4051</v>
      </c>
      <c r="C139" s="21" t="s">
        <v>207</v>
      </c>
      <c r="D139" s="21" t="s">
        <v>884</v>
      </c>
      <c r="E139" s="13">
        <v>42864.869942129626</v>
      </c>
      <c r="F139" s="13">
        <v>42864.872465277775</v>
      </c>
      <c r="G139" s="7">
        <v>1</v>
      </c>
      <c r="H139" s="21" t="s">
        <v>885</v>
      </c>
      <c r="I139" s="13">
        <v>42864.899907407409</v>
      </c>
      <c r="J139" s="7">
        <v>0</v>
      </c>
      <c r="K139" s="92" t="str">
        <f t="shared" si="26"/>
        <v>4051/4052</v>
      </c>
      <c r="L139" s="21" t="str">
        <f>VLOOKUP(A139,'Trips&amp;Operators'!$C$1:$G$99999,5,FALSE)</f>
        <v>ZEWDU DEREJE</v>
      </c>
      <c r="M139" s="6">
        <f t="shared" si="27"/>
        <v>2.7442129634437151E-2</v>
      </c>
      <c r="N139" s="7">
        <f t="shared" si="45"/>
        <v>39.516666673589498</v>
      </c>
      <c r="O139" s="7"/>
      <c r="P139" s="7"/>
      <c r="Q139" s="22"/>
      <c r="R139" s="190"/>
      <c r="S139" s="196">
        <f t="shared" si="46"/>
        <v>1</v>
      </c>
      <c r="T139" s="190" t="str">
        <f t="shared" si="28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29"/>
        <v>https://d0f6bd738d7f1b3e5a7ca70fe4ff75f0.us-east-1.aws.found.io/app/kibana#/discover/Steve-Slow-Train-Analysis-(2080s-and-2083s)?_g=(refreshInterval:(display:Off,pause:!f,section:0,value:0),time:(from:'2017-05-09T19:52:43-0600',mode:absolute,to:'2017-05-09T22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9" s="192" t="str">
        <f t="shared" si="30"/>
        <v>N</v>
      </c>
      <c r="X139" s="192">
        <f t="shared" si="44"/>
        <v>1</v>
      </c>
      <c r="Y139" s="192">
        <f t="shared" si="32"/>
        <v>23.297899999999998</v>
      </c>
      <c r="Z139" s="192">
        <f t="shared" si="33"/>
        <v>1.1599999999999999E-2</v>
      </c>
      <c r="AA139" s="192">
        <f t="shared" si="34"/>
        <v>23.286299999999997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5"/>
        <v>0226-09</v>
      </c>
      <c r="AE139" s="80" t="str">
        <f t="shared" si="36"/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AF139" s="77" t="str">
        <f t="shared" si="37"/>
        <v>"C:\Program Files (x86)\AstroGrep\AstroGrep.exe" /e /r /s /spath="%USERPROFILE%\AppData\Local\Temp\OnboardLogs" /stypes="app*4051*20170510*" /stext=" 03:.+((SYSTEM_STATE.+slice.+state.+changed )|(ment ac)|(multiple cpu faults)|(system.+state.+changed )|(\[timeout)|(PRM\|1\|D)|(kpr)|(kdp)|(train st.+moving)|(\|lc)|(penalty))"</v>
      </c>
      <c r="AG139" s="1" t="str">
        <f t="shared" si="38"/>
        <v>EC</v>
      </c>
      <c r="AH139" s="81" t="str">
        <f t="shared" si="39"/>
        <v>"%USERPROFILE%\Documents\GitHub\eaglep3\Utilities\RefineRTDCRunTimes.py" --tripid 226-09 --locoid 4051 --swversion DE.1.0.9.0 --startMP 204:232979 --initTime 2017-05-09T20:52:43 --startdatetime 2017-05-09T20:56:21 --delay 1 --endMP 204:116 --enddatetime 2017-05-09T21:35:52 --enforcementcount 0 &gt;&gt;C:\Users\stu\Documents\GitHub\eaglep3-reporting\EC\2017-05-09-refined-times.txt</v>
      </c>
      <c r="AI139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{"issue":{"subject":"","project_id":79,"tracker_id":40,"status_id":1,"priority_id":2,"assigned_to_id":23,"start_date":"2017-05-09","description":"","custom_fields":[{"id":1,"name":"Subdivision","value":"EC"},{"id":4,"name":"Milepost","value":"0.0116"},{"id":17,"name":"Train ID","value":"226-09"},{"id":16,"name":"Locomotive ID","value":"4051"},{"id":130,"name":"Impact","value":""},{"id":150,"name":"Time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1"/>
        <v>start /low /b %USERPROFILE%\Documents\GitHub\eaglep3\Utilities\DownloadLogsFromS3.py --loco 4051 --day 2017-05-09</v>
      </c>
      <c r="AN139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03:35:52"},{"id":29,"name":"Sharepoint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784</v>
      </c>
      <c r="B140" s="7">
        <v>4020</v>
      </c>
      <c r="C140" s="21" t="s">
        <v>207</v>
      </c>
      <c r="D140" s="21" t="s">
        <v>886</v>
      </c>
      <c r="E140" s="13">
        <v>42864.851481481484</v>
      </c>
      <c r="F140" s="13">
        <v>42864.854409722226</v>
      </c>
      <c r="G140" s="7">
        <v>1</v>
      </c>
      <c r="H140" s="21" t="s">
        <v>513</v>
      </c>
      <c r="I140" s="13">
        <v>42864.878912037035</v>
      </c>
      <c r="J140" s="7">
        <v>0</v>
      </c>
      <c r="K140" s="92" t="str">
        <f t="shared" si="26"/>
        <v>4019/4020</v>
      </c>
      <c r="L140" s="21" t="str">
        <f>VLOOKUP(A140,'Trips&amp;Operators'!$C$1:$G$99999,5,FALSE)</f>
        <v>BIRENBAUM THOMAS</v>
      </c>
      <c r="M140" s="6">
        <f t="shared" si="27"/>
        <v>2.4502314809069503E-2</v>
      </c>
      <c r="N140" s="7">
        <f t="shared" si="45"/>
        <v>35.283333325060084</v>
      </c>
      <c r="O140" s="7"/>
      <c r="P140" s="7"/>
      <c r="Q140" s="22"/>
      <c r="R140" s="190"/>
      <c r="S140" s="196">
        <f t="shared" si="46"/>
        <v>1</v>
      </c>
      <c r="T140" s="190" t="str">
        <f t="shared" si="28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29"/>
        <v>https://d0f6bd738d7f1b3e5a7ca70fe4ff75f0.us-east-1.aws.found.io/app/kibana#/discover/Steve-Slow-Train-Analysis-(2080s-and-2083s)?_g=(refreshInterval:(display:Off,pause:!f,section:0,value:0),time:(from:'2017-05-09T19:26:08-0600',mode:absolute,to:'2017-05-09T22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0" s="192" t="str">
        <f t="shared" si="30"/>
        <v>N</v>
      </c>
      <c r="X140" s="192">
        <f t="shared" si="44"/>
        <v>1</v>
      </c>
      <c r="Y140" s="192">
        <f t="shared" si="32"/>
        <v>3.9300000000000002E-2</v>
      </c>
      <c r="Z140" s="192">
        <f t="shared" si="33"/>
        <v>23.3309</v>
      </c>
      <c r="AA140" s="192">
        <f t="shared" si="34"/>
        <v>23.291599999999999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5"/>
        <v>0227-09</v>
      </c>
      <c r="AE140" s="80" t="str">
        <f t="shared" si="36"/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AF140" s="77" t="str">
        <f t="shared" si="37"/>
        <v>"C:\Program Files (x86)\AstroGrep\AstroGrep.exe" /e /r /s /spath="%USERPROFILE%\AppData\Local\Temp\OnboardLogs" /stypes="app*4020*20170510*" /stext=" 03:.+((SYSTEM_STATE.+slice.+state.+changed )|(ment ac)|(multiple cpu faults)|(system.+state.+changed )|(\[timeout)|(PRM\|1\|D)|(kpr)|(kdp)|(train st.+moving)|(\|lc)|(penalty))"</v>
      </c>
      <c r="AG140" s="1" t="str">
        <f t="shared" si="38"/>
        <v>EC</v>
      </c>
      <c r="AH140" s="81" t="str">
        <f t="shared" si="39"/>
        <v>"%USERPROFILE%\Documents\GitHub\eaglep3\Utilities\RefineRTDCRunTimes.py" --tripid 227-09 --locoid 4020 --swversion DE.1.0.9.0 --startMP 204:393 --initTime 2017-05-09T20:26:08 --startdatetime 2017-05-09T20:30:21 --delay 1 --endMP 204:233309 --enddatetime 2017-05-09T21:05:38 --enforcementcount 0 &gt;&gt;C:\Users\stu\Documents\GitHub\eaglep3-reporting\EC\2017-05-09-refined-times.txt</v>
      </c>
      <c r="AI140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{"issue":{"subject":"","project_id":79,"tracker_id":40,"status_id":1,"priority_id":2,"assigned_to_id":23,"start_date":"2017-05-09","description":"","custom_fields":[{"id":1,"name":"Subdivision","value":"EC"},{"id":4,"name":"Milepost","value":"23.3309"},{"id":17,"name":"Train ID","value":"227-09"},{"id":16,"name":"Locomotive ID","value":"4020"},{"id":130,"name":"Impact","value":""},{"id":150,"name":"Time of Event (Mountain Time)","value":"21:05:38"},{"id":151,"name":"Denver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1"/>
        <v>start /low /b %USERPROFILE%\Documents\GitHub\eaglep3\Utilities\DownloadLogsFromS3.py --loco 4020 --day 2017-05-09</v>
      </c>
      <c r="AN140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03:05:38"},{"id":29,"name":"Sharepoint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2" t="s">
        <v>599</v>
      </c>
      <c r="B141" s="7">
        <v>4019</v>
      </c>
      <c r="C141" s="21" t="s">
        <v>207</v>
      </c>
      <c r="D141" s="21" t="s">
        <v>514</v>
      </c>
      <c r="E141" s="13">
        <v>42864.890335648146</v>
      </c>
      <c r="F141" s="13">
        <v>42864.893414351849</v>
      </c>
      <c r="G141" s="7">
        <v>1</v>
      </c>
      <c r="H141" s="21" t="s">
        <v>354</v>
      </c>
      <c r="I141" s="13">
        <v>42864.919374999998</v>
      </c>
      <c r="J141" s="7">
        <v>0</v>
      </c>
      <c r="K141" s="92" t="str">
        <f t="shared" ref="K141:K204" si="47">IF(ISEVEN(B141),(B141-1)&amp;"/"&amp;B141,B141&amp;"/"&amp;(B141+1))</f>
        <v>4019/4020</v>
      </c>
      <c r="L141" s="21" t="str">
        <f>VLOOKUP(A141,'Trips&amp;Operators'!$C$1:$G$99999,5,FALSE)</f>
        <v>BIRENBAUM THOMAS</v>
      </c>
      <c r="M141" s="6">
        <f t="shared" ref="M141:M204" si="48">I141-F141</f>
        <v>2.5960648148611654E-2</v>
      </c>
      <c r="N141" s="7">
        <f t="shared" si="45"/>
        <v>37.383333334000781</v>
      </c>
      <c r="O141" s="7"/>
      <c r="P141" s="7"/>
      <c r="Q141" s="22"/>
      <c r="R141" s="190"/>
      <c r="S141" s="196">
        <f t="shared" si="46"/>
        <v>1</v>
      </c>
      <c r="T141" s="190" t="str">
        <f t="shared" ref="T141:T204" si="49">IF(ISEVEN(LEFT(AD141,4)),"Southbound","NorthBound")</f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-09T20:22:05-0600',mode:absolute,to:'2017-05-09T23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1" s="192" t="str">
        <f t="shared" ref="W141:W204" si="51">IF(AA141&lt;IF(AG141="EC",23,5.65),"Y","N")</f>
        <v>N</v>
      </c>
      <c r="X141" s="192">
        <f t="shared" ref="X141:X166" si="52">VALUE(LEFT(AD141,4))-VALUE(LEFT(AD140,4))</f>
        <v>1</v>
      </c>
      <c r="Y141" s="192">
        <f t="shared" ref="Y141:Y204" si="53">RIGHT(D141,LEN(D141)-4)/10000</f>
        <v>23.2986</v>
      </c>
      <c r="Z141" s="192">
        <f t="shared" ref="Z141:Z204" si="54">RIGHT(H141,LEN(H141)-4)/10000</f>
        <v>4.4600000000000001E-2</v>
      </c>
      <c r="AA141" s="192">
        <f t="shared" ref="AA141:AA204" si="55">ABS(Z141-Y141)</f>
        <v>23.254000000000001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56">IF(LEN(A141)=6,"0"&amp;A141,A141)</f>
        <v>0228-09</v>
      </c>
      <c r="AE141" s="80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141" s="77" t="str">
        <f t="shared" ref="AF141:AF204" si="5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/stypes="app*4019*20170510*" /stext=" 04:.+((SYSTEM_STATE.+slice.+state.+changed )|(ment ac)|(multiple cpu faults)|(system.+state.+changed )|(\[timeout)|(PRM\|1\|D)|(kpr)|(kdp)|(train st.+moving)|(\|lc)|(penalty))"</v>
      </c>
      <c r="AG141" s="1" t="str">
        <f t="shared" ref="AG141:AG204" si="59">IFERROR(IF(VALUE(LEFT(AD141,2))&lt;=2,"EC",IF(OR(VALUE(LEFT(AD141,2))=8,VALUE(LEFT(AD141,2))=18),"NW","Other")),"Other")</f>
        <v>EC</v>
      </c>
      <c r="AH141" s="81" t="str">
        <f t="shared" si="39"/>
        <v>"%USERPROFILE%\Documents\GitHub\eaglep3\Utilities\RefineRTDCRunTimes.py" --tripid 228-09 --locoid 4019 --swversion DE.1.0.9.0 --startMP 204:232986 --initTime 2017-05-09T21:22:05 --startdatetime 2017-05-09T21:26:31 --delay 1 --endMP 204:446 --enddatetime 2017-05-09T22:03:54 --enforcementcount 0 &gt;&gt;C:\Users\stu\Documents\GitHub\eaglep3-reporting\EC\2017-05-09-refined-times.txt</v>
      </c>
      <c r="AI141" s="99" t="str">
        <f t="shared" si="40"/>
        <v>echo {"issue":{"subject":"","project_id":79,"tracker_id":40,"status_id":1,"priority_id":2,"assigned_to_id":23,"start_date":"2017-05-09","description":"","custom_fields":[{"id":1,"name":"Subdivision","value":"EC"},{"id":4,"name":"Milepost","value":"0.0446"},{"id":17,"name":"Train ID","value":"228-09"},{"id":16,"name":"Locomotive ID","value":"4019"},{"id":130,"name":"Impact","value":""},{"id":150,"name":"Time of Event (Mountain Time)","value":"22:03:54"},{"id":151,"name":"Denver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20"/>
      <c r="AK141" s="47"/>
      <c r="AL141" s="47"/>
      <c r="AM141" s="145" t="str">
        <f t="shared" si="41"/>
        <v>start /low /b %USERPROFILE%\Documents\GitHub\eaglep3\Utilities\DownloadLogsFromS3.py --loco 4019 --day 2017-05-09</v>
      </c>
      <c r="AN141" s="154" t="str">
        <f t="shared" si="42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04:03:54"},{"id":29,"name":"Sharepoint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2" spans="1:91" s="20" customFormat="1" x14ac:dyDescent="0.25">
      <c r="A142" s="32" t="s">
        <v>787</v>
      </c>
      <c r="B142" s="7">
        <v>4008</v>
      </c>
      <c r="C142" s="21" t="s">
        <v>207</v>
      </c>
      <c r="D142" s="21" t="s">
        <v>431</v>
      </c>
      <c r="E142" s="13">
        <v>42864.873159722221</v>
      </c>
      <c r="F142" s="13">
        <v>42864.875358796293</v>
      </c>
      <c r="G142" s="7">
        <v>1</v>
      </c>
      <c r="H142" s="21" t="s">
        <v>834</v>
      </c>
      <c r="I142" s="13">
        <v>42864.900995370372</v>
      </c>
      <c r="J142" s="7">
        <v>0</v>
      </c>
      <c r="K142" s="92" t="str">
        <f t="shared" si="47"/>
        <v>4007/4008</v>
      </c>
      <c r="L142" s="21" t="str">
        <f>VLOOKUP(A142,'Trips&amp;Operators'!$C$1:$G$99999,5,FALSE)</f>
        <v>CHANDLER KELVIN</v>
      </c>
      <c r="M142" s="6">
        <f t="shared" si="48"/>
        <v>2.5636574078816921E-2</v>
      </c>
      <c r="N142" s="7">
        <f t="shared" si="45"/>
        <v>36.916666673496366</v>
      </c>
      <c r="O142" s="7"/>
      <c r="P142" s="7"/>
      <c r="Q142" s="22"/>
      <c r="R142" s="190"/>
      <c r="S142" s="196">
        <f t="shared" si="46"/>
        <v>1</v>
      </c>
      <c r="T142" s="190" t="str">
        <f t="shared" si="49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0"/>
        <v>https://d0f6bd738d7f1b3e5a7ca70fe4ff75f0.us-east-1.aws.found.io/app/kibana#/discover/Steve-Slow-Train-Analysis-(2080s-and-2083s)?_g=(refreshInterval:(display:Off,pause:!f,section:0,value:0),time:(from:'2017-05-09T19:57:21-0600',mode:absolute,to:'2017-05-09T22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2" s="192" t="str">
        <f t="shared" si="51"/>
        <v>N</v>
      </c>
      <c r="X142" s="192">
        <f t="shared" si="52"/>
        <v>1</v>
      </c>
      <c r="Y142" s="192">
        <f t="shared" si="53"/>
        <v>4.7800000000000002E-2</v>
      </c>
      <c r="Z142" s="192">
        <f t="shared" si="54"/>
        <v>23.3306</v>
      </c>
      <c r="AA142" s="192">
        <f t="shared" si="55"/>
        <v>23.282800000000002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6"/>
        <v>0229-09</v>
      </c>
      <c r="AE142" s="80" t="str">
        <f t="shared" si="57"/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142" s="77" t="str">
        <f t="shared" si="58"/>
        <v>"C:\Program Files (x86)\AstroGrep\AstroGrep.exe" /e /r /s /spath="%USERPROFILE%\AppData\Local\Temp\OnboardLogs" /stypes="app*4008*20170510*" /stext=" 03:.+((SYSTEM_STATE.+slice.+state.+changed )|(ment ac)|(multiple cpu faults)|(system.+state.+changed )|(\[timeout)|(PRM\|1\|D)|(kpr)|(kdp)|(train st.+moving)|(\|lc)|(penalty))"</v>
      </c>
      <c r="AG142" s="1" t="str">
        <f t="shared" si="59"/>
        <v>EC</v>
      </c>
      <c r="AH142" s="81" t="str">
        <f t="shared" ref="AH142:AH202" si="6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229-09 --locoid 4008 --swversion DE.1.0.9.0 --startMP 204:478 --initTime 2017-05-09T20:57:21 --startdatetime 2017-05-09T21:00:31 --delay 1 --endMP 204:233306 --enddatetime 2017-05-09T21:37:26 --enforcementcount 0 &gt;&gt;C:\Users\stu\Documents\GitHub\eaglep3-reporting\EC\2017-05-09-refined-times.txt</v>
      </c>
      <c r="AI142" s="99" t="str">
        <f t="shared" ref="AI142:AI202" si="6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{"issue":{"subject":"","project_id":79,"tracker_id":40,"status_id":1,"priority_id":2,"assigned_to_id":23,"start_date":"2017-05-09","description":"","custom_fields":[{"id":1,"name":"Subdivision","value":"EC"},{"id":4,"name":"Milepost","value":"23.3306"},{"id":17,"name":"Train ID","value":"229-09"},{"id":16,"name":"Locomotive ID","value":"4008"},{"id":130,"name":"Impact","value":""},{"id":150,"name":"Time of Event (Mountain Time)","value":"21:37:26"},{"id":151,"name":"Denver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2" si="62">"start /low /b "&amp;dls3logs&amp;" --loco "&amp;B142&amp;" --day "&amp;TEXT(F142,"YYYY-MM-DD")</f>
        <v>start /low /b %USERPROFILE%\Documents\GitHub\eaglep3\Utilities\DownloadLogsFromS3.py --loco 4008 --day 2017-05-09</v>
      </c>
      <c r="AN142" s="154" t="str">
        <f t="shared" ref="AN142:AN202" si="63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03:37:26"},{"id":29,"name":"Sharepoint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791</v>
      </c>
      <c r="B143" s="7">
        <v>4007</v>
      </c>
      <c r="C143" s="21" t="s">
        <v>207</v>
      </c>
      <c r="D143" s="21" t="s">
        <v>519</v>
      </c>
      <c r="E143" s="13">
        <v>42864.911111111112</v>
      </c>
      <c r="F143" s="13">
        <v>42864.914143518516</v>
      </c>
      <c r="G143" s="7">
        <v>1</v>
      </c>
      <c r="H143" s="21" t="s">
        <v>887</v>
      </c>
      <c r="I143" s="13">
        <v>42864.942430555559</v>
      </c>
      <c r="J143" s="7">
        <v>0</v>
      </c>
      <c r="K143" s="92" t="str">
        <f t="shared" si="47"/>
        <v>4007/4008</v>
      </c>
      <c r="L143" s="21" t="str">
        <f>VLOOKUP(A143,'Trips&amp;Operators'!$C$1:$G$99999,5,FALSE)</f>
        <v>CHANDLER KELVIN</v>
      </c>
      <c r="M143" s="6">
        <f t="shared" si="48"/>
        <v>2.828703704290092E-2</v>
      </c>
      <c r="N143" s="7">
        <f t="shared" si="45"/>
        <v>40.733333341777325</v>
      </c>
      <c r="O143" s="7"/>
      <c r="P143" s="7"/>
      <c r="Q143" s="22"/>
      <c r="R143" s="190"/>
      <c r="S143" s="196">
        <f t="shared" si="46"/>
        <v>1</v>
      </c>
      <c r="T143" s="190" t="str">
        <f t="shared" si="49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0"/>
        <v>https://d0f6bd738d7f1b3e5a7ca70fe4ff75f0.us-east-1.aws.found.io/app/kibana#/discover/Steve-Slow-Train-Analysis-(2080s-and-2083s)?_g=(refreshInterval:(display:Off,pause:!f,section:0,value:0),time:(from:'2017-05-09T20:52:00-0600',mode:absolute,to:'2017-05-09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3" s="192" t="str">
        <f t="shared" si="51"/>
        <v>N</v>
      </c>
      <c r="X143" s="192">
        <f t="shared" si="52"/>
        <v>1</v>
      </c>
      <c r="Y143" s="192">
        <f t="shared" si="53"/>
        <v>23.2972</v>
      </c>
      <c r="Z143" s="192">
        <f t="shared" si="54"/>
        <v>1.7999999999999999E-2</v>
      </c>
      <c r="AA143" s="192">
        <f t="shared" si="55"/>
        <v>23.279199999999999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6"/>
        <v>0230-09</v>
      </c>
      <c r="AE143" s="80" t="str">
        <f t="shared" si="57"/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AF143" s="77" t="str">
        <f t="shared" si="58"/>
        <v>"C:\Program Files (x86)\AstroGrep\AstroGrep.exe" /e /r /s /spath="%USERPROFILE%\AppData\Local\Temp\OnboardLogs" /stypes="app*4007*20170510*" /stext=" 04:.+((SYSTEM_STATE.+slice.+state.+changed )|(ment ac)|(multiple cpu faults)|(system.+state.+changed )|(\[timeout)|(PRM\|1\|D)|(kpr)|(kdp)|(train st.+moving)|(\|lc)|(penalty))"</v>
      </c>
      <c r="AG143" s="1" t="str">
        <f t="shared" si="59"/>
        <v>EC</v>
      </c>
      <c r="AH143" s="81" t="str">
        <f t="shared" si="60"/>
        <v>"%USERPROFILE%\Documents\GitHub\eaglep3\Utilities\RefineRTDCRunTimes.py" --tripid 230-09 --locoid 4007 --swversion DE.1.0.9.0 --startMP 204:232972 --initTime 2017-05-09T21:52:00 --startdatetime 2017-05-09T21:56:22 --delay 1 --endMP 204:180 --enddatetime 2017-05-09T22:37:06 --enforcementcount 0 &gt;&gt;C:\Users\stu\Documents\GitHub\eaglep3-reporting\EC\2017-05-09-refined-times.txt</v>
      </c>
      <c r="AI143" s="99" t="str">
        <f t="shared" si="61"/>
        <v>echo {"issue":{"subject":"","project_id":79,"tracker_id":40,"status_id":1,"priority_id":2,"assigned_to_id":23,"start_date":"2017-05-09","description":"","custom_fields":[{"id":1,"name":"Subdivision","value":"EC"},{"id":4,"name":"Milepost","value":"0.018"},{"id":17,"name":"Train ID","value":"230-09"},{"id":16,"name":"Locomotive ID","value":"4007"},{"id":130,"name":"Impact","value":""},{"id":150,"name":"Time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2"/>
        <v>start /low /b %USERPROFILE%\Documents\GitHub\eaglep3\Utilities\DownloadLogsFromS3.py --loco 4007 --day 2017-05-09</v>
      </c>
      <c r="AN143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788</v>
      </c>
      <c r="B144" s="7">
        <v>4046</v>
      </c>
      <c r="C144" s="21" t="s">
        <v>207</v>
      </c>
      <c r="D144" s="21" t="s">
        <v>378</v>
      </c>
      <c r="E144" s="13">
        <v>42864.892326388886</v>
      </c>
      <c r="F144" s="13">
        <v>42864.895995370367</v>
      </c>
      <c r="G144" s="7">
        <v>1</v>
      </c>
      <c r="H144" s="21" t="s">
        <v>385</v>
      </c>
      <c r="I144" s="13">
        <v>42864.927129629628</v>
      </c>
      <c r="J144" s="7">
        <v>0</v>
      </c>
      <c r="K144" s="92" t="str">
        <f t="shared" si="47"/>
        <v>4045/4046</v>
      </c>
      <c r="L144" s="21" t="str">
        <f>VLOOKUP(A144,'Trips&amp;Operators'!$C$1:$G$99999,5,FALSE)</f>
        <v>NEWELL JAMES</v>
      </c>
      <c r="M144" s="6">
        <f t="shared" si="48"/>
        <v>3.1134259261307307E-2</v>
      </c>
      <c r="N144" s="7">
        <f t="shared" ref="N144:N175" si="64">24*60*SUM($M144:$M144)</f>
        <v>44.833333336282521</v>
      </c>
      <c r="O144" s="7"/>
      <c r="P144" s="7"/>
      <c r="Q144" s="22"/>
      <c r="R144" s="190"/>
      <c r="S144" s="196">
        <f t="shared" si="46"/>
        <v>1</v>
      </c>
      <c r="T144" s="190" t="str">
        <f t="shared" si="49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0"/>
        <v>https://d0f6bd738d7f1b3e5a7ca70fe4ff75f0.us-east-1.aws.found.io/app/kibana#/discover/Steve-Slow-Train-Analysis-(2080s-and-2083s)?_g=(refreshInterval:(display:Off,pause:!f,section:0,value:0),time:(from:'2017-05-09T20:24:57-0600',mode:absolute,to:'2017-05-09T23:15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92" t="str">
        <f t="shared" si="51"/>
        <v>N</v>
      </c>
      <c r="X144" s="192">
        <f t="shared" si="52"/>
        <v>1</v>
      </c>
      <c r="Y144" s="192">
        <f t="shared" si="53"/>
        <v>4.4699999999999997E-2</v>
      </c>
      <c r="Z144" s="192">
        <f t="shared" si="54"/>
        <v>23.328900000000001</v>
      </c>
      <c r="AA144" s="192">
        <f t="shared" si="55"/>
        <v>23.284200000000002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56"/>
        <v>0231-09</v>
      </c>
      <c r="AE144" s="80" t="str">
        <f t="shared" si="57"/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AF144" s="77" t="str">
        <f t="shared" si="58"/>
        <v>"C:\Program Files (x86)\AstroGrep\AstroGrep.exe" /e /r /s /spath="%USERPROFILE%\AppData\Local\Temp\OnboardLogs" /stypes="app*4046*20170510*" /stext=" 04:.+((SYSTEM_STATE.+slice.+state.+changed )|(ment ac)|(multiple cpu faults)|(system.+state.+changed )|(\[timeout)|(PRM\|1\|D)|(kpr)|(kdp)|(train st.+moving)|(\|lc)|(penalty))"</v>
      </c>
      <c r="AG144" s="1" t="str">
        <f t="shared" si="59"/>
        <v>EC</v>
      </c>
      <c r="AH144" s="81" t="str">
        <f t="shared" si="60"/>
        <v>"%USERPROFILE%\Documents\GitHub\eaglep3\Utilities\RefineRTDCRunTimes.py" --tripid 231-09 --locoid 4046 --swversion DE.1.0.9.0 --startMP 204:447 --initTime 2017-05-09T21:24:57 --startdatetime 2017-05-09T21:30:14 --delay 1 --endMP 204:233289 --enddatetime 2017-05-09T22:15:04 --enforcementcount 0 &gt;&gt;C:\Users\stu\Documents\GitHub\eaglep3-reporting\EC\2017-05-09-refined-times.txt</v>
      </c>
      <c r="AI144" s="99" t="str">
        <f t="shared" si="61"/>
        <v>echo {"issue":{"subject":"","project_id":79,"tracker_id":40,"status_id":1,"priority_id":2,"assigned_to_id":23,"start_date":"2017-05-09","description":"","custom_fields":[{"id":1,"name":"Subdivision","value":"EC"},{"id":4,"name":"Milepost","value":"23.3289"},{"id":17,"name":"Train ID","value":"231-09"},{"id":16,"name":"Locomotive ID","value":"4046"},{"id":130,"name":"Impact","value":""},{"id":150,"name":"Time of Event (Mountain Time)","value":"22:15:04"},{"id":151,"name":"Denver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2"/>
        <v>start /low /b %USERPROFILE%\Documents\GitHub\eaglep3\Utilities\DownloadLogsFromS3.py --loco 4046 --day 2017-05-09</v>
      </c>
      <c r="AN144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04:15:04"},{"id":29,"name":"Sharepoint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794</v>
      </c>
      <c r="B145" s="7">
        <v>4045</v>
      </c>
      <c r="C145" s="21" t="s">
        <v>207</v>
      </c>
      <c r="D145" s="21" t="s">
        <v>505</v>
      </c>
      <c r="E145" s="13">
        <v>42864.929652777777</v>
      </c>
      <c r="F145" s="13">
        <v>42864.934861111113</v>
      </c>
      <c r="G145" s="7">
        <v>1</v>
      </c>
      <c r="H145" s="21" t="s">
        <v>363</v>
      </c>
      <c r="I145" s="13">
        <v>42864.962638888886</v>
      </c>
      <c r="J145" s="7">
        <v>0</v>
      </c>
      <c r="K145" s="92" t="str">
        <f t="shared" si="47"/>
        <v>4045/4046</v>
      </c>
      <c r="L145" s="21" t="str">
        <f>VLOOKUP(A145,'Trips&amp;Operators'!$C$1:$G$99999,5,FALSE)</f>
        <v>NEWELL JAMES</v>
      </c>
      <c r="M145" s="6">
        <f t="shared" si="48"/>
        <v>2.7777777773735579E-2</v>
      </c>
      <c r="N145" s="7">
        <f t="shared" si="64"/>
        <v>39.999999994179234</v>
      </c>
      <c r="O145" s="7"/>
      <c r="P145" s="7"/>
      <c r="Q145" s="22"/>
      <c r="R145" s="190"/>
      <c r="S145" s="196">
        <f t="shared" si="46"/>
        <v>1</v>
      </c>
      <c r="T145" s="190" t="str">
        <f t="shared" si="49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0"/>
        <v>https://d0f6bd738d7f1b3e5a7ca70fe4ff75f0.us-east-1.aws.found.io/app/kibana#/discover/Steve-Slow-Train-Analysis-(2080s-and-2083s)?_g=(refreshInterval:(display:Off,pause:!f,section:0,value:0),time:(from:'2017-05-09T21:18:42-0600',mode:absolute,to:'2017-05-10T00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92" t="str">
        <f t="shared" si="51"/>
        <v>N</v>
      </c>
      <c r="X145" s="192">
        <f t="shared" si="52"/>
        <v>1</v>
      </c>
      <c r="Y145" s="192">
        <f t="shared" si="53"/>
        <v>23.297799999999999</v>
      </c>
      <c r="Z145" s="192">
        <f t="shared" si="54"/>
        <v>1.4999999999999999E-2</v>
      </c>
      <c r="AA145" s="192">
        <f t="shared" si="55"/>
        <v>23.282799999999998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6"/>
        <v>0232-09</v>
      </c>
      <c r="AE145" s="80" t="str">
        <f t="shared" si="57"/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AF145" s="77" t="str">
        <f t="shared" si="58"/>
        <v>"C:\Program Files (x86)\AstroGrep\AstroGrep.exe" /e /r /s /spath="%USERPROFILE%\AppData\Local\Temp\OnboardLogs" /stypes="app*4045*20170510*" /stext=" 05:.+((SYSTEM_STATE.+slice.+state.+changed )|(ment ac)|(multiple cpu faults)|(system.+state.+changed )|(\[timeout)|(PRM\|1\|D)|(kpr)|(kdp)|(train st.+moving)|(\|lc)|(penalty))"</v>
      </c>
      <c r="AG145" s="1" t="str">
        <f t="shared" si="59"/>
        <v>EC</v>
      </c>
      <c r="AH145" s="81" t="str">
        <f t="shared" si="60"/>
        <v>"%USERPROFILE%\Documents\GitHub\eaglep3\Utilities\RefineRTDCRunTimes.py" --tripid 232-09 --locoid 4045 --swversion DE.1.0.9.0 --startMP 204:232978 --initTime 2017-05-09T22:18:42 --startdatetime 2017-05-09T22:26:12 --delay 1 --endMP 204:150 --enddatetime 2017-05-09T23:06:12 --enforcementcount 0 &gt;&gt;C:\Users\stu\Documents\GitHub\eaglep3-reporting\EC\2017-05-09-refined-times.txt</v>
      </c>
      <c r="AI145" s="99" t="str">
        <f t="shared" si="61"/>
        <v>echo {"issue":{"subject":"","project_id":79,"tracker_id":40,"status_id":1,"priority_id":2,"assigned_to_id":23,"start_date":"2017-05-09","description":"","custom_fields":[{"id":1,"name":"Subdivision","value":"EC"},{"id":4,"name":"Milepost","value":"0.015"},{"id":17,"name":"Train ID","value":"232-09"},{"id":16,"name":"Locomotive ID","value":"4045"},{"id":130,"name":"Impact","value":""},{"id":150,"name":"Time of Event (Mountain Time)","value":"23:06:12"},{"id":151,"name":"Denver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2"/>
        <v>start /low /b %USERPROFILE%\Documents\GitHub\eaglep3\Utilities\DownloadLogsFromS3.py --loco 4045 --day 2017-05-09</v>
      </c>
      <c r="AN145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05:06:12"},{"id":29,"name":"Sharepoint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790</v>
      </c>
      <c r="B146" s="7">
        <v>4052</v>
      </c>
      <c r="C146" s="21" t="s">
        <v>207</v>
      </c>
      <c r="D146" s="21" t="s">
        <v>386</v>
      </c>
      <c r="E146" s="13">
        <v>42864.904826388891</v>
      </c>
      <c r="F146" s="13">
        <v>42864.917129629626</v>
      </c>
      <c r="G146" s="7">
        <v>1</v>
      </c>
      <c r="H146" s="21" t="s">
        <v>387</v>
      </c>
      <c r="I146" s="13">
        <v>42864.944016203706</v>
      </c>
      <c r="J146" s="7">
        <v>0</v>
      </c>
      <c r="K146" s="92" t="str">
        <f t="shared" si="47"/>
        <v>4051/4052</v>
      </c>
      <c r="L146" s="21" t="str">
        <f>VLOOKUP(A146,'Trips&amp;Operators'!$C$1:$G$99999,5,FALSE)</f>
        <v>ZEWDU DEREJE</v>
      </c>
      <c r="M146" s="6">
        <f t="shared" si="48"/>
        <v>2.6886574079981074E-2</v>
      </c>
      <c r="N146" s="7">
        <f t="shared" si="64"/>
        <v>38.716666675172746</v>
      </c>
      <c r="O146" s="7"/>
      <c r="P146" s="7"/>
      <c r="Q146" s="22"/>
      <c r="R146" s="190"/>
      <c r="S146" s="196">
        <f t="shared" si="46"/>
        <v>1</v>
      </c>
      <c r="T146" s="190" t="str">
        <f t="shared" si="49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0"/>
        <v>https://d0f6bd738d7f1b3e5a7ca70fe4ff75f0.us-east-1.aws.found.io/app/kibana#/discover/Steve-Slow-Train-Analysis-(2080s-and-2083s)?_g=(refreshInterval:(display:Off,pause:!f,section:0,value:0),time:(from:'2017-05-09T20:42:57-0600',mode:absolute,to:'2017-05-09T23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6" s="192" t="str">
        <f t="shared" si="51"/>
        <v>N</v>
      </c>
      <c r="X146" s="192">
        <f t="shared" si="52"/>
        <v>1</v>
      </c>
      <c r="Y146" s="192">
        <f t="shared" si="53"/>
        <v>4.4200000000000003E-2</v>
      </c>
      <c r="Z146" s="192">
        <f t="shared" si="54"/>
        <v>23.331900000000001</v>
      </c>
      <c r="AA146" s="192">
        <f t="shared" si="55"/>
        <v>23.287700000000001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6"/>
        <v>0233-09</v>
      </c>
      <c r="AE146" s="80" t="str">
        <f t="shared" si="57"/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AF146" s="77" t="str">
        <f t="shared" si="58"/>
        <v>"C:\Program Files (x86)\AstroGrep\AstroGrep.exe" /e /r /s /spath="%USERPROFILE%\AppData\Local\Temp\OnboardLogs" /stypes="app*4052*20170510*" /stext=" 04:.+((SYSTEM_STATE.+slice.+state.+changed )|(ment ac)|(multiple cpu faults)|(system.+state.+changed )|(\[timeout)|(PRM\|1\|D)|(kpr)|(kdp)|(train st.+moving)|(\|lc)|(penalty))"</v>
      </c>
      <c r="AG146" s="1" t="str">
        <f t="shared" si="59"/>
        <v>EC</v>
      </c>
      <c r="AH146" s="81" t="str">
        <f t="shared" si="60"/>
        <v>"%USERPROFILE%\Documents\GitHub\eaglep3\Utilities\RefineRTDCRunTimes.py" --tripid 233-09 --locoid 4052 --swversion DE.1.0.9.0 --startMP 204:442 --initTime 2017-05-09T21:42:57 --startdatetime 2017-05-09T22:00:40 --delay 1 --endMP 204:233319 --enddatetime 2017-05-09T22:39:23 --enforcementcount 0 &gt;&gt;C:\Users\stu\Documents\GitHub\eaglep3-reporting\EC\2017-05-09-refined-times.txt</v>
      </c>
      <c r="AI146" s="99" t="str">
        <f t="shared" si="61"/>
        <v>echo {"issue":{"subject":"","project_id":79,"tracker_id":40,"status_id":1,"priority_id":2,"assigned_to_id":23,"start_date":"2017-05-09","description":"","custom_fields":[{"id":1,"name":"Subdivision","value":"EC"},{"id":4,"name":"Milepost","value":"23.3319"},{"id":17,"name":"Train ID","value":"233-09"},{"id":16,"name":"Locomotive ID","value":"4052"},{"id":130,"name":"Impact","value":""},{"id":150,"name":"Time of Event (Mountain Time)","value":"22:39:23"},{"id":151,"name":"Denver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2"/>
        <v>start /low /b %USERPROFILE%\Documents\GitHub\eaglep3\Utilities\DownloadLogsFromS3.py --loco 4052 --day 2017-05-09</v>
      </c>
      <c r="AN146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04:39:23"},{"id":29,"name":"Sharepoint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797</v>
      </c>
      <c r="B147" s="7">
        <v>4051</v>
      </c>
      <c r="C147" s="21" t="s">
        <v>207</v>
      </c>
      <c r="D147" s="21" t="s">
        <v>407</v>
      </c>
      <c r="E147" s="13">
        <v>42864.954201388886</v>
      </c>
      <c r="F147" s="13">
        <v>42864.956018518518</v>
      </c>
      <c r="G147" s="7">
        <v>1</v>
      </c>
      <c r="H147" s="21" t="s">
        <v>363</v>
      </c>
      <c r="I147" s="13">
        <v>42864.9843287037</v>
      </c>
      <c r="J147" s="7">
        <v>0</v>
      </c>
      <c r="K147" s="92" t="str">
        <f t="shared" si="47"/>
        <v>4051/4052</v>
      </c>
      <c r="L147" s="21" t="str">
        <f>VLOOKUP(A147,'Trips&amp;Operators'!$C$1:$G$99999,5,FALSE)</f>
        <v>ZEWDU DEREJE</v>
      </c>
      <c r="M147" s="6">
        <f t="shared" si="48"/>
        <v>2.8310185181908309E-2</v>
      </c>
      <c r="N147" s="7">
        <f t="shared" si="64"/>
        <v>40.766666661947966</v>
      </c>
      <c r="O147" s="7"/>
      <c r="P147" s="7"/>
      <c r="Q147" s="22"/>
      <c r="R147" s="190"/>
      <c r="S147" s="196">
        <f t="shared" si="46"/>
        <v>1</v>
      </c>
      <c r="T147" s="190" t="str">
        <f t="shared" si="49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0"/>
        <v>https://d0f6bd738d7f1b3e5a7ca70fe4ff75f0.us-east-1.aws.found.io/app/kibana#/discover/Steve-Slow-Train-Analysis-(2080s-and-2083s)?_g=(refreshInterval:(display:Off,pause:!f,section:0,value:0),time:(from:'2017-05-09T21:54:03-0600',mode:absolute,to:'2017-05-10T00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7" s="192" t="str">
        <f t="shared" si="51"/>
        <v>N</v>
      </c>
      <c r="X147" s="192">
        <f t="shared" si="52"/>
        <v>1</v>
      </c>
      <c r="Y147" s="192">
        <f t="shared" si="53"/>
        <v>23.3</v>
      </c>
      <c r="Z147" s="192">
        <f t="shared" si="54"/>
        <v>1.4999999999999999E-2</v>
      </c>
      <c r="AA147" s="192">
        <f t="shared" si="55"/>
        <v>23.285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6"/>
        <v>0234-09</v>
      </c>
      <c r="AE147" s="80" t="str">
        <f t="shared" si="57"/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AF147" s="77" t="str">
        <f t="shared" si="58"/>
        <v>"C:\Program Files (x86)\AstroGrep\AstroGrep.exe" /e /r /s /spath="%USERPROFILE%\AppData\Local\Temp\OnboardLogs" /stypes="app*4051*20170510*" /stext=" 05:.+((SYSTEM_STATE.+slice.+state.+changed )|(ment ac)|(multiple cpu faults)|(system.+state.+changed )|(\[timeout)|(PRM\|1\|D)|(kpr)|(kdp)|(train st.+moving)|(\|lc)|(penalty))"</v>
      </c>
      <c r="AG147" s="1" t="str">
        <f t="shared" si="59"/>
        <v>EC</v>
      </c>
      <c r="AH147" s="81" t="str">
        <f t="shared" si="60"/>
        <v>"%USERPROFILE%\Documents\GitHub\eaglep3\Utilities\RefineRTDCRunTimes.py" --tripid 234-09 --locoid 4051 --swversion DE.1.0.9.0 --startMP 204:233000 --initTime 2017-05-09T22:54:03 --startdatetime 2017-05-09T22:56:40 --delay 1 --endMP 204:150 --enddatetime 2017-05-09T23:37:26 --enforcementcount 0 &gt;&gt;C:\Users\stu\Documents\GitHub\eaglep3-reporting\EC\2017-05-09-refined-times.txt</v>
      </c>
      <c r="AI147" s="99" t="str">
        <f t="shared" si="61"/>
        <v>echo {"issue":{"subject":"","project_id":79,"tracker_id":40,"status_id":1,"priority_id":2,"assigned_to_id":23,"start_date":"2017-05-09","description":"","custom_fields":[{"id":1,"name":"Subdivision","value":"EC"},{"id":4,"name":"Milepost","value":"0.015"},{"id":17,"name":"Train ID","value":"234-09"},{"id":16,"name":"Locomotive ID","value":"4051"},{"id":130,"name":"Impact","value":""},{"id":150,"name":"Time of Event (Mountain Time)","value":"23:37:26"},{"id":151,"name":"Denver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2"/>
        <v>start /low /b %USERPROFILE%\Documents\GitHub\eaglep3\Utilities\DownloadLogsFromS3.py --loco 4051 --day 2017-05-09</v>
      </c>
      <c r="AN147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05:37:26"},{"id":29,"name":"Sharepoint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793</v>
      </c>
      <c r="B148" s="7">
        <v>4020</v>
      </c>
      <c r="C148" s="21" t="s">
        <v>207</v>
      </c>
      <c r="D148" s="21" t="s">
        <v>888</v>
      </c>
      <c r="E148" s="13">
        <v>42864.923125000001</v>
      </c>
      <c r="F148" s="13">
        <v>42864.937962962962</v>
      </c>
      <c r="G148" s="7">
        <v>1</v>
      </c>
      <c r="H148" s="21" t="s">
        <v>889</v>
      </c>
      <c r="I148" s="13">
        <v>42864.962789351855</v>
      </c>
      <c r="J148" s="7">
        <v>0</v>
      </c>
      <c r="K148" s="92" t="str">
        <f t="shared" si="47"/>
        <v>4019/4020</v>
      </c>
      <c r="L148" s="21" t="str">
        <f>VLOOKUP(A148,'Trips&amp;Operators'!$C$1:$G$99999,5,FALSE)</f>
        <v>BIRENBAUM THOMAS</v>
      </c>
      <c r="M148" s="6">
        <f t="shared" si="48"/>
        <v>2.4826388893416151E-2</v>
      </c>
      <c r="N148" s="7">
        <f t="shared" si="64"/>
        <v>35.750000006519258</v>
      </c>
      <c r="O148" s="7"/>
      <c r="P148" s="7"/>
      <c r="Q148" s="22"/>
      <c r="R148" s="190"/>
      <c r="S148" s="196">
        <f t="shared" si="46"/>
        <v>1</v>
      </c>
      <c r="T148" s="190" t="str">
        <f t="shared" si="49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0"/>
        <v>https://d0f6bd738d7f1b3e5a7ca70fe4ff75f0.us-east-1.aws.found.io/app/kibana#/discover/Steve-Slow-Train-Analysis-(2080s-and-2083s)?_g=(refreshInterval:(display:Off,pause:!f,section:0,value:0),time:(from:'2017-05-09T21:09:18-0600',mode:absolute,to:'2017-05-10T00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8" s="192" t="str">
        <f t="shared" si="51"/>
        <v>N</v>
      </c>
      <c r="X148" s="192">
        <f t="shared" si="52"/>
        <v>1</v>
      </c>
      <c r="Y148" s="192">
        <f t="shared" si="53"/>
        <v>7.4800000000000005E-2</v>
      </c>
      <c r="Z148" s="192">
        <f t="shared" si="54"/>
        <v>23.345300000000002</v>
      </c>
      <c r="AA148" s="192">
        <f t="shared" si="55"/>
        <v>23.270500000000002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56"/>
        <v>0235-09</v>
      </c>
      <c r="AE148" s="80" t="str">
        <f t="shared" si="57"/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AF148" s="77" t="str">
        <f t="shared" si="58"/>
        <v>"C:\Program Files (x86)\AstroGrep\AstroGrep.exe" /e /r /s /spath="%USERPROFILE%\AppData\Local\Temp\OnboardLogs" /stypes="app*4020*20170510*" /stext=" 05:.+((SYSTEM_STATE.+slice.+state.+changed )|(ment ac)|(multiple cpu faults)|(system.+state.+changed )|(\[timeout)|(PRM\|1\|D)|(kpr)|(kdp)|(train st.+moving)|(\|lc)|(penalty))"</v>
      </c>
      <c r="AG148" s="1" t="str">
        <f t="shared" si="59"/>
        <v>EC</v>
      </c>
      <c r="AH148" s="81" t="str">
        <f t="shared" si="60"/>
        <v>"%USERPROFILE%\Documents\GitHub\eaglep3\Utilities\RefineRTDCRunTimes.py" --tripid 235-09 --locoid 4020 --swversion DE.1.0.9.0 --startMP 204:748 --initTime 2017-05-09T22:09:18 --startdatetime 2017-05-09T22:30:40 --delay 1 --endMP 204:233453 --enddatetime 2017-05-09T23:06:25 --enforcementcount 0 &gt;&gt;C:\Users\stu\Documents\GitHub\eaglep3-reporting\EC\2017-05-09-refined-times.txt</v>
      </c>
      <c r="AI148" s="99" t="str">
        <f t="shared" si="61"/>
        <v>echo {"issue":{"subject":"","project_id":79,"tracker_id":40,"status_id":1,"priority_id":2,"assigned_to_id":23,"start_date":"2017-05-09","description":"","custom_fields":[{"id":1,"name":"Subdivision","value":"EC"},{"id":4,"name":"Milepost","value":"23.3453"},{"id":17,"name":"Train ID","value":"235-09"},{"id":16,"name":"Locomotive ID","value":"4020"},{"id":130,"name":"Impact","value":""},{"id":150,"name":"Time of Event (Mountain Time)","value":"23:06:25"},{"id":151,"name":"Denver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62"/>
        <v>start /low /b %USERPROFILE%\Documents\GitHub\eaglep3\Utilities\DownloadLogsFromS3.py --loco 4020 --day 2017-05-09</v>
      </c>
      <c r="AN148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05:06:25"},{"id":29,"name":"Sharepoint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x14ac:dyDescent="0.25">
      <c r="A149" s="32" t="s">
        <v>799</v>
      </c>
      <c r="B149" s="7">
        <v>4019</v>
      </c>
      <c r="C149" s="21" t="s">
        <v>207</v>
      </c>
      <c r="D149" s="21" t="s">
        <v>890</v>
      </c>
      <c r="E149" s="13">
        <v>42864.971875000003</v>
      </c>
      <c r="F149" s="13">
        <v>42864.976875</v>
      </c>
      <c r="G149" s="7">
        <v>1</v>
      </c>
      <c r="H149" s="21" t="s">
        <v>381</v>
      </c>
      <c r="I149" s="13">
        <v>42865.003078703703</v>
      </c>
      <c r="J149" s="7">
        <v>0</v>
      </c>
      <c r="K149" s="92" t="str">
        <f t="shared" si="47"/>
        <v>4019/4020</v>
      </c>
      <c r="L149" s="21" t="str">
        <f>VLOOKUP(A149,'Trips&amp;Operators'!$C$1:$G$99999,5,FALSE)</f>
        <v>BIRENBAUM THOMAS</v>
      </c>
      <c r="M149" s="6">
        <f t="shared" si="48"/>
        <v>2.6203703702776693E-2</v>
      </c>
      <c r="N149" s="7">
        <f t="shared" si="64"/>
        <v>37.733333331998438</v>
      </c>
      <c r="O149" s="7"/>
      <c r="P149" s="7"/>
      <c r="Q149" s="22"/>
      <c r="R149" s="190"/>
      <c r="S149" s="196">
        <f t="shared" si="46"/>
        <v>1</v>
      </c>
      <c r="T149" s="190" t="str">
        <f t="shared" si="49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0"/>
        <v>https://d0f6bd738d7f1b3e5a7ca70fe4ff75f0.us-east-1.aws.found.io/app/kibana#/discover/Steve-Slow-Train-Analysis-(2080s-and-2083s)?_g=(refreshInterval:(display:Off,pause:!f,section:0,value:0),time:(from:'2017-05-09T22:19:30-0600',mode:absolute,to:'2017-05-10T01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9" s="192" t="str">
        <f t="shared" si="51"/>
        <v>N</v>
      </c>
      <c r="X149" s="192">
        <f t="shared" si="52"/>
        <v>1</v>
      </c>
      <c r="Y149" s="192">
        <f t="shared" si="53"/>
        <v>23.313800000000001</v>
      </c>
      <c r="Z149" s="192">
        <f t="shared" si="54"/>
        <v>1.41E-2</v>
      </c>
      <c r="AA149" s="192">
        <f t="shared" si="55"/>
        <v>23.299700000000001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6"/>
        <v>0236-09</v>
      </c>
      <c r="AE149" s="80" t="str">
        <f t="shared" si="57"/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149" s="77" t="str">
        <f t="shared" si="58"/>
        <v>"C:\Program Files (x86)\AstroGrep\AstroGrep.exe" /e /r /s /spath="%USERPROFILE%\AppData\Local\Temp\OnboardLogs" /stypes="app*4019*20170510*" /stext=" 06:.+((SYSTEM_STATE.+slice.+state.+changed )|(ment ac)|(multiple cpu faults)|(system.+state.+changed )|(\[timeout)|(PRM\|1\|D)|(kpr)|(kdp)|(train st.+moving)|(\|lc)|(penalty))"</v>
      </c>
      <c r="AG149" s="1" t="str">
        <f t="shared" si="59"/>
        <v>EC</v>
      </c>
      <c r="AH149" s="81" t="str">
        <f t="shared" si="60"/>
        <v>"%USERPROFILE%\Documents\GitHub\eaglep3\Utilities\RefineRTDCRunTimes.py" --tripid 236-09 --locoid 4019 --swversion DE.1.0.9.0 --startMP 204:233138 --initTime 2017-05-09T23:19:30 --startdatetime 2017-05-09T23:26:42 --delay 1 --endMP 204:141 --enddatetime 2017-05-10T00:04:26 --enforcementcount 0 &gt;&gt;C:\Users\stu\Documents\GitHub\eaglep3-reporting\EC\2017-05-09-refined-times.txt</v>
      </c>
      <c r="AI149" s="99" t="str">
        <f t="shared" si="61"/>
        <v>echo {"issue":{"subject":"","project_id":79,"tracker_id":40,"status_id":1,"priority_id":2,"assigned_to_id":23,"start_date":"2017-05-10","description":"","custom_fields":[{"id":1,"name":"Subdivision","value":"EC"},{"id":4,"name":"Milepost","value":"0.0141"},{"id":17,"name":"Train ID","value":"236-09"},{"id":16,"name":"Locomotive ID","value":"4019"},{"id":130,"name":"Impact","value":""},{"id":150,"name":"Time of Event (Mountain Time)","value":"00:04:26"},{"id":151,"name":"Denver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62"/>
        <v>start /low /b %USERPROFILE%\Documents\GitHub\eaglep3\Utilities\DownloadLogsFromS3.py --loco 4019 --day 2017-05-09</v>
      </c>
      <c r="AN149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06:04:26"},{"id":29,"name":"Sharepoint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796</v>
      </c>
      <c r="B150" s="7">
        <v>4008</v>
      </c>
      <c r="C150" s="21" t="s">
        <v>207</v>
      </c>
      <c r="D150" s="21" t="s">
        <v>372</v>
      </c>
      <c r="E150" s="13">
        <v>42864.946006944447</v>
      </c>
      <c r="F150" s="13">
        <v>42864.958622685182</v>
      </c>
      <c r="G150" s="7">
        <v>1</v>
      </c>
      <c r="H150" s="21" t="s">
        <v>838</v>
      </c>
      <c r="I150" s="13">
        <v>42864.984722222223</v>
      </c>
      <c r="J150" s="7">
        <v>0</v>
      </c>
      <c r="K150" s="92" t="str">
        <f t="shared" si="47"/>
        <v>4007/4008</v>
      </c>
      <c r="L150" s="21" t="str">
        <f>VLOOKUP(A150,'Trips&amp;Operators'!$C$1:$G$99999,5,FALSE)</f>
        <v>CHANDLER KELVIN</v>
      </c>
      <c r="M150" s="6">
        <f t="shared" si="48"/>
        <v>2.6099537040863652E-2</v>
      </c>
      <c r="N150" s="7">
        <f t="shared" si="64"/>
        <v>37.583333338843659</v>
      </c>
      <c r="O150" s="7"/>
      <c r="P150" s="7"/>
      <c r="Q150" s="22"/>
      <c r="R150" s="190"/>
      <c r="S150" s="196">
        <f t="shared" si="46"/>
        <v>1</v>
      </c>
      <c r="T150" s="190" t="str">
        <f t="shared" si="49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0"/>
        <v>https://d0f6bd738d7f1b3e5a7ca70fe4ff75f0.us-east-1.aws.found.io/app/kibana#/discover/Steve-Slow-Train-Analysis-(2080s-and-2083s)?_g=(refreshInterval:(display:Off,pause:!f,section:0,value:0),time:(from:'2017-05-09T21:42:15-0600',mode:absolute,to:'2017-05-10T00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0" s="192" t="str">
        <f t="shared" si="51"/>
        <v>N</v>
      </c>
      <c r="X150" s="192">
        <f t="shared" si="52"/>
        <v>1</v>
      </c>
      <c r="Y150" s="192">
        <f t="shared" si="53"/>
        <v>4.6399999999999997E-2</v>
      </c>
      <c r="Z150" s="192">
        <f t="shared" si="54"/>
        <v>23.330200000000001</v>
      </c>
      <c r="AA150" s="192">
        <f t="shared" si="55"/>
        <v>23.283800000000003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56"/>
        <v>0237-09</v>
      </c>
      <c r="AE150" s="80" t="str">
        <f t="shared" si="57"/>
        <v>aws s3 cp s3://rtdc.mdm.uploadarchive.raw/RTDC4008/ "%USERPROFILE%\AppData\Local\Temp\OnboardLogs"\RTDC4008\2017-05-09 --exclude "*" --recursive --include "*20170509*" &amp; "%USERPROFILE%\Documents\GitHub\mrs-test-scripts\Headless Mode &amp; Sideloading\WalkAndUnGZ.bat" "%USERPROFILE%\AppData\Local\Temp\OnboardLogs"\RTDC4008\2017-05-09 &amp; 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</v>
      </c>
      <c r="AF150" s="77" t="str">
        <f t="shared" si="58"/>
        <v>"C:\Program Files (x86)\AstroGrep\AstroGrep.exe" /e /r /s /spath="%USERPROFILE%\AppData\Local\Temp\OnboardLogs" /stypes="app*4008*20170510*" /stext=" 05:.+((SYSTEM_STATE.+slice.+state.+changed )|(ment ac)|(multiple cpu faults)|(system.+state.+changed )|(\[timeout)|(PRM\|1\|D)|(kpr)|(kdp)|(train st.+moving)|(\|lc)|(penalty))"</v>
      </c>
      <c r="AG150" s="1" t="str">
        <f t="shared" si="59"/>
        <v>EC</v>
      </c>
      <c r="AH150" s="81" t="str">
        <f t="shared" si="60"/>
        <v>"%USERPROFILE%\Documents\GitHub\eaglep3\Utilities\RefineRTDCRunTimes.py" --tripid 237-09 --locoid 4008 --swversion DE.1.0.9.0 --startMP 204:464 --initTime 2017-05-09T22:42:15 --startdatetime 2017-05-09T23:00:25 --delay 1 --endMP 204:233302 --enddatetime 2017-05-09T23:38:00 --enforcementcount 0 &gt;&gt;C:\Users\stu\Documents\GitHub\eaglep3-reporting\EC\2017-05-09-refined-times.txt</v>
      </c>
      <c r="AI150" s="99" t="str">
        <f t="shared" si="61"/>
        <v>echo {"issue":{"subject":"","project_id":79,"tracker_id":40,"status_id":1,"priority_id":2,"assigned_to_id":23,"start_date":"2017-05-09","description":"","custom_fields":[{"id":1,"name":"Subdivision","value":"EC"},{"id":4,"name":"Milepost","value":"23.3302"},{"id":17,"name":"Train ID","value":"237-09"},{"id":16,"name":"Locomotive ID","value":"4008"},{"id":130,"name":"Impact","value":""},{"id":150,"name":"Time of Event (Mountain Time)","value":"23:38:00"},{"id":151,"name":"Denver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2"/>
        <v>start /low /b %USERPROFILE%\Documents\GitHub\eaglep3\Utilities\DownloadLogsFromS3.py --loco 4008 --day 2017-05-09</v>
      </c>
      <c r="AN150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05:38:00"},{"id":29,"name":"Sharepoint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801</v>
      </c>
      <c r="B151" s="7">
        <v>4007</v>
      </c>
      <c r="C151" s="21" t="s">
        <v>207</v>
      </c>
      <c r="D151" s="21" t="s">
        <v>845</v>
      </c>
      <c r="E151" s="13">
        <v>42864.986620370371</v>
      </c>
      <c r="F151" s="13">
        <v>42864.997384259259</v>
      </c>
      <c r="G151" s="7">
        <v>1</v>
      </c>
      <c r="H151" s="21" t="s">
        <v>356</v>
      </c>
      <c r="I151" s="13">
        <v>42865.026250000003</v>
      </c>
      <c r="J151" s="7">
        <v>0</v>
      </c>
      <c r="K151" s="92" t="str">
        <f t="shared" si="47"/>
        <v>4007/4008</v>
      </c>
      <c r="L151" s="21" t="str">
        <f>VLOOKUP(A151,'Trips&amp;Operators'!$C$1:$G$99999,5,FALSE)</f>
        <v>DUNCAN SHEILA</v>
      </c>
      <c r="M151" s="6">
        <f t="shared" si="48"/>
        <v>2.8865740743640345E-2</v>
      </c>
      <c r="N151" s="7">
        <f t="shared" si="64"/>
        <v>41.566666670842096</v>
      </c>
      <c r="O151" s="7"/>
      <c r="P151" s="7"/>
      <c r="Q151" s="22"/>
      <c r="R151" s="190"/>
      <c r="S151" s="196">
        <f t="shared" si="46"/>
        <v>1</v>
      </c>
      <c r="T151" s="190" t="str">
        <f t="shared" si="49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0"/>
        <v>https://d0f6bd738d7f1b3e5a7ca70fe4ff75f0.us-east-1.aws.found.io/app/kibana#/discover/Steve-Slow-Train-Analysis-(2080s-and-2083s)?_g=(refreshInterval:(display:Off,pause:!f,section:0,value:0),time:(from:'2017-05-09T22:40:44-0600',mode:absolute,to:'2017-05-10T01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1" s="192" t="str">
        <f t="shared" si="51"/>
        <v>N</v>
      </c>
      <c r="X151" s="192">
        <f t="shared" si="52"/>
        <v>1</v>
      </c>
      <c r="Y151" s="192">
        <f t="shared" si="53"/>
        <v>23.297599999999999</v>
      </c>
      <c r="Z151" s="192">
        <f t="shared" si="54"/>
        <v>1.4500000000000001E-2</v>
      </c>
      <c r="AA151" s="192">
        <f t="shared" si="55"/>
        <v>23.283099999999997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6"/>
        <v>0238-09</v>
      </c>
      <c r="AE151" s="80" t="str">
        <f t="shared" si="57"/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AF151" s="77" t="str">
        <f t="shared" si="58"/>
        <v>"C:\Program Files (x86)\AstroGrep\AstroGrep.exe" /e /r /s /spath="%USERPROFILE%\AppData\Local\Temp\OnboardLogs" /stypes="app*4007*20170510*" /stext=" 06:.+((SYSTEM_STATE.+slice.+state.+changed )|(ment ac)|(multiple cpu faults)|(system.+state.+changed )|(\[timeout)|(PRM\|1\|D)|(kpr)|(kdp)|(train st.+moving)|(\|lc)|(penalty))"</v>
      </c>
      <c r="AG151" s="1" t="str">
        <f t="shared" si="59"/>
        <v>EC</v>
      </c>
      <c r="AH151" s="81" t="str">
        <f t="shared" si="60"/>
        <v>"%USERPROFILE%\Documents\GitHub\eaglep3\Utilities\RefineRTDCRunTimes.py" --tripid 238-09 --locoid 4007 --swversion DE.1.0.9.0 --startMP 204:232976 --initTime 2017-05-09T23:40:44 --startdatetime 2017-05-09T23:56:14 --delay 1 --endMP 204:145 --enddatetime 2017-05-10T00:37:48 --enforcementcount 0 &gt;&gt;C:\Users\stu\Documents\GitHub\eaglep3-reporting\EC\2017-05-09-refined-times.txt</v>
      </c>
      <c r="AI151" s="99" t="str">
        <f t="shared" si="61"/>
        <v>echo {"issue":{"subject":"","project_id":79,"tracker_id":40,"status_id":1,"priority_id":2,"assigned_to_id":23,"start_date":"2017-05-10","description":"","custom_fields":[{"id":1,"name":"Subdivision","value":"EC"},{"id":4,"name":"Milepost","value":"0.0145"},{"id":17,"name":"Train ID","value":"238-09"},{"id":16,"name":"Locomotive ID","value":"4007"},{"id":130,"name":"Impact","value":""},{"id":150,"name":"Time of Event (Mountain Time)","value":"00:37:48"},{"id":151,"name":"Denver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62"/>
        <v>start /low /b %USERPROFILE%\Documents\GitHub\eaglep3\Utilities\DownloadLogsFromS3.py --loco 4007 --day 2017-05-09</v>
      </c>
      <c r="AN151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06:37:48"},{"id":29,"name":"Sharepoint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2" t="s">
        <v>798</v>
      </c>
      <c r="B152" s="7">
        <v>4046</v>
      </c>
      <c r="C152" s="21" t="s">
        <v>207</v>
      </c>
      <c r="D152" s="21" t="s">
        <v>525</v>
      </c>
      <c r="E152" s="13">
        <v>42864.964236111111</v>
      </c>
      <c r="F152" s="13">
        <v>42864.979328703703</v>
      </c>
      <c r="G152" s="7">
        <v>1</v>
      </c>
      <c r="H152" s="21" t="s">
        <v>509</v>
      </c>
      <c r="I152" s="13">
        <v>42865.004548611112</v>
      </c>
      <c r="J152" s="7">
        <v>0</v>
      </c>
      <c r="K152" s="92" t="str">
        <f t="shared" si="47"/>
        <v>4045/4046</v>
      </c>
      <c r="L152" s="21" t="str">
        <f>VLOOKUP(A152,'Trips&amp;Operators'!$C$1:$G$99999,5,FALSE)</f>
        <v>NEWELL JAMES</v>
      </c>
      <c r="M152" s="6">
        <f t="shared" si="48"/>
        <v>2.5219907409336884E-2</v>
      </c>
      <c r="N152" s="7">
        <f t="shared" si="64"/>
        <v>36.316666669445112</v>
      </c>
      <c r="O152" s="7"/>
      <c r="P152" s="7"/>
      <c r="Q152" s="22"/>
      <c r="R152" s="190"/>
      <c r="S152" s="196">
        <f t="shared" si="46"/>
        <v>1</v>
      </c>
      <c r="T152" s="190" t="str">
        <f t="shared" si="49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0"/>
        <v>https://d0f6bd738d7f1b3e5a7ca70fe4ff75f0.us-east-1.aws.found.io/app/kibana#/discover/Steve-Slow-Train-Analysis-(2080s-and-2083s)?_g=(refreshInterval:(display:Off,pause:!f,section:0,value:0),time:(from:'2017-05-09T22:08:30-0600',mode:absolute,to:'2017-05-10T01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92" t="str">
        <f t="shared" si="51"/>
        <v>N</v>
      </c>
      <c r="X152" s="192">
        <f t="shared" si="52"/>
        <v>1</v>
      </c>
      <c r="Y152" s="192">
        <f t="shared" si="53"/>
        <v>4.8399999999999999E-2</v>
      </c>
      <c r="Z152" s="192">
        <f t="shared" si="54"/>
        <v>23.3307</v>
      </c>
      <c r="AA152" s="192">
        <f t="shared" si="55"/>
        <v>23.282299999999999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6"/>
        <v>0239-09</v>
      </c>
      <c r="AE152" s="80" t="str">
        <f t="shared" si="57"/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AF152" s="77" t="str">
        <f t="shared" si="58"/>
        <v>"C:\Program Files (x86)\AstroGrep\AstroGrep.exe" /e /r /s /spath="%USERPROFILE%\AppData\Local\Temp\OnboardLogs" /stypes="app*4046*20170510*" /stext=" 06:.+((SYSTEM_STATE.+slice.+state.+changed )|(ment ac)|(multiple cpu faults)|(system.+state.+changed )|(\[timeout)|(PRM\|1\|D)|(kpr)|(kdp)|(train st.+moving)|(\|lc)|(penalty))"</v>
      </c>
      <c r="AG152" s="1" t="str">
        <f t="shared" si="59"/>
        <v>EC</v>
      </c>
      <c r="AH152" s="81" t="str">
        <f t="shared" si="60"/>
        <v>"%USERPROFILE%\Documents\GitHub\eaglep3\Utilities\RefineRTDCRunTimes.py" --tripid 239-09 --locoid 4046 --swversion DE.1.0.9.0 --startMP 204:484 --initTime 2017-05-09T23:08:30 --startdatetime 2017-05-09T23:30:14 --delay 1 --endMP 204:233307 --enddatetime 2017-05-10T00:06:33 --enforcementcount 0 &gt;&gt;C:\Users\stu\Documents\GitHub\eaglep3-reporting\EC\2017-05-09-refined-times.txt</v>
      </c>
      <c r="AI152" s="99" t="str">
        <f t="shared" si="61"/>
        <v>echo {"issue":{"subject":"","project_id":79,"tracker_id":40,"status_id":1,"priority_id":2,"assigned_to_id":23,"start_date":"2017-05-10","description":"","custom_fields":[{"id":1,"name":"Subdivision","value":"EC"},{"id":4,"name":"Milepost","value":"23.3307"},{"id":17,"name":"Train ID","value":"239-09"},{"id":16,"name":"Locomotive ID","value":"4046"},{"id":130,"name":"Impact","value":""},{"id":150,"name":"Time of Event (Mountain Time)","value":"00:06:33"},{"id":151,"name":"Denver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62"/>
        <v>start /low /b %USERPROFILE%\Documents\GitHub\eaglep3\Utilities\DownloadLogsFromS3.py --loco 4046 --day 2017-05-09</v>
      </c>
      <c r="AN152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06:06:33"},{"id":29,"name":"Sharepoint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804</v>
      </c>
      <c r="B153" s="7">
        <v>4045</v>
      </c>
      <c r="C153" s="21" t="s">
        <v>207</v>
      </c>
      <c r="D153" s="21" t="s">
        <v>859</v>
      </c>
      <c r="E153" s="13">
        <v>42865.015416666669</v>
      </c>
      <c r="F153" s="13">
        <v>42865.018310185187</v>
      </c>
      <c r="G153" s="7">
        <v>2</v>
      </c>
      <c r="H153" s="21" t="s">
        <v>364</v>
      </c>
      <c r="I153" s="13">
        <v>42865.044953703706</v>
      </c>
      <c r="J153" s="7">
        <v>0</v>
      </c>
      <c r="K153" s="92" t="str">
        <f t="shared" si="47"/>
        <v>4045/4046</v>
      </c>
      <c r="L153" s="21" t="str">
        <f>VLOOKUP(A153,'Trips&amp;Operators'!$C$1:$G$99999,5,FALSE)</f>
        <v>NEWELL JAMES</v>
      </c>
      <c r="M153" s="6">
        <f t="shared" si="48"/>
        <v>2.6643518518540077E-2</v>
      </c>
      <c r="N153" s="7">
        <f t="shared" si="64"/>
        <v>38.366666666697711</v>
      </c>
      <c r="O153" s="7"/>
      <c r="P153" s="7"/>
      <c r="Q153" s="22"/>
      <c r="R153" s="190"/>
      <c r="S153" s="196">
        <f t="shared" si="46"/>
        <v>1</v>
      </c>
      <c r="T153" s="190" t="str">
        <f t="shared" si="49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0"/>
        <v>https://d0f6bd738d7f1b3e5a7ca70fe4ff75f0.us-east-1.aws.found.io/app/kibana#/discover/Steve-Slow-Train-Analysis-(2080s-and-2083s)?_g=(refreshInterval:(display:Off,pause:!f,section:0,value:0),time:(from:'2017-05-09T23:22:12-0600',mode:absolute,to:'2017-05-10T02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92" t="str">
        <f t="shared" si="51"/>
        <v>N</v>
      </c>
      <c r="X153" s="192">
        <f t="shared" si="52"/>
        <v>1</v>
      </c>
      <c r="Y153" s="192">
        <f t="shared" si="53"/>
        <v>23.298200000000001</v>
      </c>
      <c r="Z153" s="192">
        <f t="shared" si="54"/>
        <v>1.49E-2</v>
      </c>
      <c r="AA153" s="192">
        <f t="shared" si="55"/>
        <v>23.283300000000001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56"/>
        <v>0240-09</v>
      </c>
      <c r="AE153" s="80" t="str">
        <f t="shared" si="57"/>
        <v>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 &amp; aws s3 cp s3://rtdc.mdm.uploadarchive.raw/RTDC4045/ "%USERPROFILE%\AppData\Local\Temp\OnboardLogs"\RTDC4045\2017-05-11 --exclude "*" --recursive --include "*20170511*" &amp; "%USERPROFILE%\Documents\GitHub\mrs-test-scripts\Headless Mode &amp; Sideloading\WalkAndUnGZ.bat" "%USERPROFILE%\AppData\Local\Temp\OnboardLogs"\RTDC4045\2017-05-11</v>
      </c>
      <c r="AF153" s="77" t="str">
        <f t="shared" si="58"/>
        <v>"C:\Program Files (x86)\AstroGrep\AstroGrep.exe" /e /r /s /spath="%USERPROFILE%\AppData\Local\Temp\OnboardLogs" /stypes="app*4045*20170510*" /stext=" 07:.+((SYSTEM_STATE.+slice.+state.+changed )|(ment ac)|(multiple cpu faults)|(system.+state.+changed )|(\[timeout)|(PRM\|1\|D)|(kpr)|(kdp)|(train st.+moving)|(\|lc)|(penalty))"</v>
      </c>
      <c r="AG153" s="1" t="str">
        <f t="shared" si="59"/>
        <v>EC</v>
      </c>
      <c r="AH153" s="81" t="str">
        <f t="shared" si="60"/>
        <v>"%USERPROFILE%\Documents\GitHub\eaglep3\Utilities\RefineRTDCRunTimes.py" --tripid 240-09 --locoid 4045 --swversion DE.1.0.9.0 --startMP 204:232982 --initTime 2017-05-10T00:22:12 --startdatetime 2017-05-10T00:26:22 --delay 2 --endMP 204:149 --enddatetime 2017-05-10T01:04:44 --enforcementcount 0 &gt;&gt;C:\Users\stu\Documents\GitHub\eaglep3-reporting\EC\2017-05-09-refined-times.txt</v>
      </c>
      <c r="AI153" s="99" t="str">
        <f t="shared" si="61"/>
        <v>echo {"issue":{"subject":"","project_id":79,"tracker_id":40,"status_id":1,"priority_id":2,"assigned_to_id":23,"start_date":"2017-05-10","description":"","custom_fields":[{"id":1,"name":"Subdivision","value":"EC"},{"id":4,"name":"Milepost","value":"0.0149"},{"id":17,"name":"Train ID","value":"240-09"},{"id":16,"name":"Locomotive ID","value":"4045"},{"id":130,"name":"Impact","value":""},{"id":150,"name":"Time of Event (Mountain Time)","value":"01:04:44"},{"id":151,"name":"Denver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2"/>
        <v>start /low /b %USERPROFILE%\Documents\GitHub\eaglep3\Utilities\DownloadLogsFromS3.py --loco 4045 --day 2017-05-10</v>
      </c>
      <c r="AN153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07:04:44"},{"id":29,"name":"Sharepoint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802</v>
      </c>
      <c r="B154" s="7">
        <v>4052</v>
      </c>
      <c r="C154" s="21" t="s">
        <v>207</v>
      </c>
      <c r="D154" s="21" t="s">
        <v>388</v>
      </c>
      <c r="E154" s="13">
        <v>42864.986238425925</v>
      </c>
      <c r="F154" s="13">
        <v>42865.000185185185</v>
      </c>
      <c r="G154" s="7">
        <v>2</v>
      </c>
      <c r="H154" s="21" t="s">
        <v>395</v>
      </c>
      <c r="I154" s="13">
        <v>42865.026273148149</v>
      </c>
      <c r="J154" s="7">
        <v>0</v>
      </c>
      <c r="K154" s="92" t="str">
        <f t="shared" si="47"/>
        <v>4051/4052</v>
      </c>
      <c r="L154" s="21" t="str">
        <f>VLOOKUP(A154,'Trips&amp;Operators'!$C$1:$G$99999,5,FALSE)</f>
        <v>ZEWDU DEREJE</v>
      </c>
      <c r="M154" s="6">
        <f t="shared" si="48"/>
        <v>2.6087962964083999E-2</v>
      </c>
      <c r="N154" s="7">
        <f t="shared" si="64"/>
        <v>37.566666668280959</v>
      </c>
      <c r="O154" s="7"/>
      <c r="P154" s="7"/>
      <c r="Q154" s="22"/>
      <c r="R154" s="190"/>
      <c r="S154" s="196">
        <f t="shared" si="46"/>
        <v>1</v>
      </c>
      <c r="T154" s="190" t="str">
        <f t="shared" si="49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0"/>
        <v>https://d0f6bd738d7f1b3e5a7ca70fe4ff75f0.us-east-1.aws.found.io/app/kibana#/discover/Steve-Slow-Train-Analysis-(2080s-and-2083s)?_g=(refreshInterval:(display:Off,pause:!f,section:0,value:0),time:(from:'2017-05-09T22:40:11-0600',mode:absolute,to:'2017-05-10T01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4" s="192" t="str">
        <f t="shared" si="51"/>
        <v>N</v>
      </c>
      <c r="X154" s="192">
        <f t="shared" si="52"/>
        <v>1</v>
      </c>
      <c r="Y154" s="192">
        <f t="shared" si="53"/>
        <v>4.3700000000000003E-2</v>
      </c>
      <c r="Z154" s="192">
        <f t="shared" si="54"/>
        <v>23.329699999999999</v>
      </c>
      <c r="AA154" s="192">
        <f t="shared" si="55"/>
        <v>23.285999999999998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6"/>
        <v>0241-09</v>
      </c>
      <c r="AE154" s="80" t="str">
        <f t="shared" si="57"/>
        <v>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 &amp; aws s3 cp s3://rtdc.mdm.uploadarchive.raw/RTDC4052/ "%USERPROFILE%\AppData\Local\Temp\OnboardLogs"\RTDC4052\2017-05-11 --exclude "*" --recursive --include "*20170511*" &amp; "%USERPROFILE%\Documents\GitHub\mrs-test-scripts\Headless Mode &amp; Sideloading\WalkAndUnGZ.bat" "%USERPROFILE%\AppData\Local\Temp\OnboardLogs"\RTDC4052\2017-05-11</v>
      </c>
      <c r="AF154" s="77" t="str">
        <f t="shared" si="58"/>
        <v>"C:\Program Files (x86)\AstroGrep\AstroGrep.exe" /e /r /s /spath="%USERPROFILE%\AppData\Local\Temp\OnboardLogs" /stypes="app*4052*20170510*" /stext=" 06:.+((SYSTEM_STATE.+slice.+state.+changed )|(ment ac)|(multiple cpu faults)|(system.+state.+changed )|(\[timeout)|(PRM\|1\|D)|(kpr)|(kdp)|(train st.+moving)|(\|lc)|(penalty))"</v>
      </c>
      <c r="AG154" s="1" t="str">
        <f t="shared" si="59"/>
        <v>EC</v>
      </c>
      <c r="AH154" s="81" t="str">
        <f t="shared" si="60"/>
        <v>"%USERPROFILE%\Documents\GitHub\eaglep3\Utilities\RefineRTDCRunTimes.py" --tripid 241-09 --locoid 4052 --swversion DE.1.0.9.0 --startMP 204:437 --initTime 2017-05-09T23:40:11 --startdatetime 2017-05-10T00:00:16 --delay 2 --endMP 204:233297 --enddatetime 2017-05-10T00:37:50 --enforcementcount 0 &gt;&gt;C:\Users\stu\Documents\GitHub\eaglep3-reporting\EC\2017-05-09-refined-times.txt</v>
      </c>
      <c r="AI154" s="99" t="str">
        <f t="shared" si="61"/>
        <v>echo {"issue":{"subject":"","project_id":79,"tracker_id":40,"status_id":1,"priority_id":2,"assigned_to_id":23,"start_date":"2017-05-10","description":"","custom_fields":[{"id":1,"name":"Subdivision","value":"EC"},{"id":4,"name":"Milepost","value":"23.3297"},{"id":17,"name":"Train ID","value":"241-09"},{"id":16,"name":"Locomotive ID","value":"4052"},{"id":130,"name":"Impact","value":""},{"id":150,"name":"Time of Event (Mountain Time)","value":"00:37:50"},{"id":151,"name":"Denver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62"/>
        <v>start /low /b %USERPROFILE%\Documents\GitHub\eaglep3\Utilities\DownloadLogsFromS3.py --loco 4052 --day 2017-05-10</v>
      </c>
      <c r="AN154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06:37:50"},{"id":29,"name":"Sharepoint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806</v>
      </c>
      <c r="B155" s="7">
        <v>4051</v>
      </c>
      <c r="C155" s="21" t="s">
        <v>207</v>
      </c>
      <c r="D155" s="21" t="s">
        <v>845</v>
      </c>
      <c r="E155" s="13">
        <v>42865.033854166664</v>
      </c>
      <c r="F155" s="13">
        <v>42865.040902777779</v>
      </c>
      <c r="G155" s="7">
        <v>1</v>
      </c>
      <c r="H155" s="21" t="s">
        <v>197</v>
      </c>
      <c r="I155" s="13">
        <v>42865.068819444445</v>
      </c>
      <c r="J155" s="7">
        <v>0</v>
      </c>
      <c r="K155" s="92" t="str">
        <f t="shared" si="47"/>
        <v>4051/4052</v>
      </c>
      <c r="L155" s="21" t="str">
        <f>VLOOKUP(A155,'Trips&amp;Operators'!$C$1:$G$99999,5,FALSE)</f>
        <v>ZEWDU DEREJE</v>
      </c>
      <c r="M155" s="6">
        <f t="shared" si="48"/>
        <v>2.7916666665987577E-2</v>
      </c>
      <c r="N155" s="7">
        <f t="shared" si="64"/>
        <v>40.199999999022111</v>
      </c>
      <c r="O155" s="7"/>
      <c r="P155" s="7"/>
      <c r="Q155" s="22"/>
      <c r="R155" s="190"/>
      <c r="S155" s="196">
        <f t="shared" si="46"/>
        <v>1</v>
      </c>
      <c r="T155" s="190" t="str">
        <f t="shared" si="49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0"/>
        <v>https://d0f6bd738d7f1b3e5a7ca70fe4ff75f0.us-east-1.aws.found.io/app/kibana#/discover/Steve-Slow-Train-Analysis-(2080s-and-2083s)?_g=(refreshInterval:(display:Off,pause:!f,section:0,value:0),time:(from:'2017-05-09T23:48:45-0600',mode:absolute,to:'2017-05-10T02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5" s="192" t="str">
        <f t="shared" si="51"/>
        <v>N</v>
      </c>
      <c r="X155" s="192">
        <f t="shared" si="52"/>
        <v>1</v>
      </c>
      <c r="Y155" s="192">
        <f t="shared" si="53"/>
        <v>23.297599999999999</v>
      </c>
      <c r="Z155" s="192">
        <f t="shared" si="54"/>
        <v>1.52E-2</v>
      </c>
      <c r="AA155" s="192">
        <f t="shared" si="55"/>
        <v>23.282399999999999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56"/>
        <v>0242-09</v>
      </c>
      <c r="AE155" s="80" t="str">
        <f t="shared" si="57"/>
        <v>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 &amp; aws s3 cp s3://rtdc.mdm.uploadarchive.raw/RTDC4051/ "%USERPROFILE%\AppData\Local\Temp\OnboardLogs"\RTDC4051\2017-05-11 --exclude "*" --recursive --include "*20170511*" &amp; "%USERPROFILE%\Documents\GitHub\mrs-test-scripts\Headless Mode &amp; Sideloading\WalkAndUnGZ.bat" "%USERPROFILE%\AppData\Local\Temp\OnboardLogs"\RTDC4051\2017-05-11</v>
      </c>
      <c r="AF155" s="77" t="str">
        <f t="shared" si="58"/>
        <v>"C:\Program Files (x86)\AstroGrep\AstroGrep.exe" /e /r /s /spath="%USERPROFILE%\AppData\Local\Temp\OnboardLogs" /stypes="app*4051*20170510*" /stext=" 07:.+((SYSTEM_STATE.+slice.+state.+changed )|(ment ac)|(multiple cpu faults)|(system.+state.+changed )|(\[timeout)|(PRM\|1\|D)|(kpr)|(kdp)|(train st.+moving)|(\|lc)|(penalty))"</v>
      </c>
      <c r="AG155" s="1" t="str">
        <f t="shared" si="59"/>
        <v>EC</v>
      </c>
      <c r="AH155" s="81" t="str">
        <f t="shared" si="60"/>
        <v>"%USERPROFILE%\Documents\GitHub\eaglep3\Utilities\RefineRTDCRunTimes.py" --tripid 242-09 --locoid 4051 --swversion DE.1.0.9.0 --startMP 204:232976 --initTime 2017-05-10T00:48:45 --startdatetime 2017-05-10T00:58:54 --delay 1 --endMP 204:152 --enddatetime 2017-05-10T01:39:06 --enforcementcount 0 &gt;&gt;C:\Users\stu\Documents\GitHub\eaglep3-reporting\EC\2017-05-09-refined-times.txt</v>
      </c>
      <c r="AI155" s="99" t="str">
        <f t="shared" si="61"/>
        <v>echo {"issue":{"subject":"","project_id":79,"tracker_id":40,"status_id":1,"priority_id":2,"assigned_to_id":23,"start_date":"2017-05-10","description":"","custom_fields":[{"id":1,"name":"Subdivision","value":"EC"},{"id":4,"name":"Milepost","value":"0.0152"},{"id":17,"name":"Train ID","value":"242-09"},{"id":16,"name":"Locomotive ID","value":"4051"},{"id":130,"name":"Impact","value":""},{"id":150,"name":"Time of Event (Mountain Time)","value":"01:39:06"},{"id":151,"name":"Denver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62"/>
        <v>start /low /b %USERPROFILE%\Documents\GitHub\eaglep3\Utilities\DownloadLogsFromS3.py --loco 4051 --day 2017-05-10</v>
      </c>
      <c r="AN155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07:39:06"},{"id":29,"name":"Sharepoint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803</v>
      </c>
      <c r="B156" s="7">
        <v>4020</v>
      </c>
      <c r="C156" s="21" t="s">
        <v>207</v>
      </c>
      <c r="D156" s="21" t="s">
        <v>348</v>
      </c>
      <c r="E156" s="13">
        <v>42865.015138888892</v>
      </c>
      <c r="F156" s="13">
        <v>42865.020995370367</v>
      </c>
      <c r="G156" s="7">
        <v>1</v>
      </c>
      <c r="H156" s="21" t="s">
        <v>401</v>
      </c>
      <c r="I156" s="13">
        <v>42865.045254629629</v>
      </c>
      <c r="J156" s="7">
        <v>0</v>
      </c>
      <c r="K156" s="92" t="str">
        <f t="shared" si="47"/>
        <v>4019/4020</v>
      </c>
      <c r="L156" s="21" t="str">
        <f>VLOOKUP(A156,'Trips&amp;Operators'!$C$1:$G$99999,5,FALSE)</f>
        <v>BIRENBAUM THOMAS</v>
      </c>
      <c r="M156" s="6">
        <f t="shared" si="48"/>
        <v>2.4259259262180422E-2</v>
      </c>
      <c r="N156" s="7">
        <f t="shared" si="64"/>
        <v>34.933333337539807</v>
      </c>
      <c r="O156" s="7"/>
      <c r="P156" s="7"/>
      <c r="Q156" s="22"/>
      <c r="R156" s="190"/>
      <c r="S156" s="196">
        <f t="shared" si="46"/>
        <v>1</v>
      </c>
      <c r="T156" s="190" t="str">
        <f t="shared" si="49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0"/>
        <v>https://d0f6bd738d7f1b3e5a7ca70fe4ff75f0.us-east-1.aws.found.io/app/kibana#/discover/Steve-Slow-Train-Analysis-(2080s-and-2083s)?_g=(refreshInterval:(display:Off,pause:!f,section:0,value:0),time:(from:'2017-05-09T23:21:48-0600',mode:absolute,to:'2017-05-10T02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192" t="str">
        <f t="shared" si="51"/>
        <v>N</v>
      </c>
      <c r="X156" s="192">
        <f t="shared" si="52"/>
        <v>1</v>
      </c>
      <c r="Y156" s="192">
        <f t="shared" si="53"/>
        <v>4.4900000000000002E-2</v>
      </c>
      <c r="Z156" s="192">
        <f t="shared" si="54"/>
        <v>23.330100000000002</v>
      </c>
      <c r="AA156" s="192">
        <f t="shared" si="55"/>
        <v>23.285200000000003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6"/>
        <v>0243-09</v>
      </c>
      <c r="AE156" s="80" t="str">
        <f t="shared" si="57"/>
        <v>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 &amp; aws s3 cp s3://rtdc.mdm.uploadarchive.raw/RTDC4020/ "%USERPROFILE%\AppData\Local\Temp\OnboardLogs"\RTDC4020\2017-05-11 --exclude "*" --recursive --include "*20170511*" &amp; "%USERPROFILE%\Documents\GitHub\mrs-test-scripts\Headless Mode &amp; Sideloading\WalkAndUnGZ.bat" "%USERPROFILE%\AppData\Local\Temp\OnboardLogs"\RTDC4020\2017-05-11</v>
      </c>
      <c r="AF156" s="77" t="str">
        <f t="shared" si="58"/>
        <v>"C:\Program Files (x86)\AstroGrep\AstroGrep.exe" /e /r /s /spath="%USERPROFILE%\AppData\Local\Temp\OnboardLogs" /stypes="app*4020*20170510*" /stext=" 07:.+((SYSTEM_STATE.+slice.+state.+changed )|(ment ac)|(multiple cpu faults)|(system.+state.+changed )|(\[timeout)|(PRM\|1\|D)|(kpr)|(kdp)|(train st.+moving)|(\|lc)|(penalty))"</v>
      </c>
      <c r="AG156" s="1" t="str">
        <f t="shared" si="59"/>
        <v>EC</v>
      </c>
      <c r="AH156" s="81" t="str">
        <f t="shared" si="60"/>
        <v>"%USERPROFILE%\Documents\GitHub\eaglep3\Utilities\RefineRTDCRunTimes.py" --tripid 243-09 --locoid 4020 --swversion DE.1.0.9.0 --startMP 204:449 --initTime 2017-05-10T00:21:48 --startdatetime 2017-05-10T00:30:14 --delay 1 --endMP 204:233301 --enddatetime 2017-05-10T01:05:10 --enforcementcount 0 &gt;&gt;C:\Users\stu\Documents\GitHub\eaglep3-reporting\EC\2017-05-09-refined-times.txt</v>
      </c>
      <c r="AI156" s="99" t="str">
        <f t="shared" si="61"/>
        <v>echo {"issue":{"subject":"","project_id":79,"tracker_id":40,"status_id":1,"priority_id":2,"assigned_to_id":23,"start_date":"2017-05-10","description":"","custom_fields":[{"id":1,"name":"Subdivision","value":"EC"},{"id":4,"name":"Milepost","value":"23.3301"},{"id":17,"name":"Train ID","value":"243-09"},{"id":16,"name":"Locomotive ID","value":"4020"},{"id":130,"name":"Impact","value":""},{"id":150,"name":"Time of Event (Mountain Time)","value":"01:05:10"},{"id":151,"name":"Denver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62"/>
        <v>start /low /b %USERPROFILE%\Documents\GitHub\eaglep3\Utilities\DownloadLogsFromS3.py --loco 4020 --day 2017-05-10</v>
      </c>
      <c r="AN156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07:05:10"},{"id":29,"name":"Sharepoint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808</v>
      </c>
      <c r="B157" s="7">
        <v>4019</v>
      </c>
      <c r="C157" s="21" t="s">
        <v>207</v>
      </c>
      <c r="D157" s="21" t="s">
        <v>505</v>
      </c>
      <c r="E157" s="13">
        <v>42865.057476851849</v>
      </c>
      <c r="F157" s="13">
        <v>42865.059895833336</v>
      </c>
      <c r="G157" s="7">
        <v>1</v>
      </c>
      <c r="H157" s="21" t="s">
        <v>356</v>
      </c>
      <c r="I157" s="13">
        <v>42865.085856481484</v>
      </c>
      <c r="J157" s="7">
        <v>0</v>
      </c>
      <c r="K157" s="92" t="str">
        <f t="shared" si="47"/>
        <v>4019/4020</v>
      </c>
      <c r="L157" s="21" t="str">
        <f>VLOOKUP(A157,'Trips&amp;Operators'!$C$1:$G$99999,5,FALSE)</f>
        <v>BIRENBAUM THOMAS</v>
      </c>
      <c r="M157" s="6">
        <f t="shared" si="48"/>
        <v>2.5960648148611654E-2</v>
      </c>
      <c r="N157" s="7">
        <f t="shared" si="64"/>
        <v>37.383333334000781</v>
      </c>
      <c r="O157" s="7"/>
      <c r="P157" s="7"/>
      <c r="Q157" s="22"/>
      <c r="R157" s="190"/>
      <c r="S157" s="196">
        <f t="shared" si="46"/>
        <v>1</v>
      </c>
      <c r="T157" s="190" t="str">
        <f t="shared" si="49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50"/>
        <v>https://d0f6bd738d7f1b3e5a7ca70fe4ff75f0.us-east-1.aws.found.io/app/kibana#/discover/Steve-Slow-Train-Analysis-(2080s-and-2083s)?_g=(refreshInterval:(display:Off,pause:!f,section:0,value:0),time:(from:'2017-05-10T00:22:46-0600',mode:absolute,to:'2017-05-10T03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192" t="str">
        <f t="shared" si="51"/>
        <v>N</v>
      </c>
      <c r="X157" s="192">
        <f t="shared" si="52"/>
        <v>1</v>
      </c>
      <c r="Y157" s="192">
        <f t="shared" si="53"/>
        <v>23.297799999999999</v>
      </c>
      <c r="Z157" s="192">
        <f t="shared" si="54"/>
        <v>1.4500000000000001E-2</v>
      </c>
      <c r="AA157" s="192">
        <f t="shared" si="55"/>
        <v>23.283299999999997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6"/>
        <v>0244-09</v>
      </c>
      <c r="AE157" s="80" t="str">
        <f t="shared" si="57"/>
        <v>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 &amp; aws s3 cp s3://rtdc.mdm.uploadarchive.raw/RTDC4019/ "%USERPROFILE%\AppData\Local\Temp\OnboardLogs"\RTDC4019\2017-05-11 --exclude "*" --recursive --include "*20170511*" &amp; "%USERPROFILE%\Documents\GitHub\mrs-test-scripts\Headless Mode &amp; Sideloading\WalkAndUnGZ.bat" "%USERPROFILE%\AppData\Local\Temp\OnboardLogs"\RTDC4019\2017-05-11</v>
      </c>
      <c r="AF157" s="77" t="str">
        <f t="shared" si="58"/>
        <v>"C:\Program Files (x86)\AstroGrep\AstroGrep.exe" /e /r /s /spath="%USERPROFILE%\AppData\Local\Temp\OnboardLogs" /stypes="app*4019*20170510*" /stext=" 08:.+((SYSTEM_STATE.+slice.+state.+changed )|(ment ac)|(multiple cpu faults)|(system.+state.+changed )|(\[timeout)|(PRM\|1\|D)|(kpr)|(kdp)|(train st.+moving)|(\|lc)|(penalty))"</v>
      </c>
      <c r="AG157" s="1" t="str">
        <f t="shared" si="59"/>
        <v>EC</v>
      </c>
      <c r="AH157" s="81" t="str">
        <f t="shared" si="60"/>
        <v>"%USERPROFILE%\Documents\GitHub\eaglep3\Utilities\RefineRTDCRunTimes.py" --tripid 244-09 --locoid 4019 --swversion DE.1.0.9.0 --startMP 204:232978 --initTime 2017-05-10T01:22:46 --startdatetime 2017-05-10T01:26:15 --delay 1 --endMP 204:145 --enddatetime 2017-05-10T02:03:38 --enforcementcount 0 &gt;&gt;C:\Users\stu\Documents\GitHub\eaglep3-reporting\EC\2017-05-09-refined-times.txt</v>
      </c>
      <c r="AI157" s="99" t="str">
        <f t="shared" si="61"/>
        <v>echo {"issue":{"subject":"","project_id":79,"tracker_id":40,"status_id":1,"priority_id":2,"assigned_to_id":23,"start_date":"2017-05-10","description":"","custom_fields":[{"id":1,"name":"Subdivision","value":"EC"},{"id":4,"name":"Milepost","value":"0.0145"},{"id":17,"name":"Train ID","value":"244-09"},{"id":16,"name":"Locomotive ID","value":"4019"},{"id":130,"name":"Impact","value":""},{"id":150,"name":"Time of Event (Mountain Time)","value":"02:03:38"},{"id":151,"name":"Denver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62"/>
        <v>start /low /b %USERPROFILE%\Documents\GitHub\eaglep3\Utilities\DownloadLogsFromS3.py --loco 4019 --day 2017-05-10</v>
      </c>
      <c r="AN157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08:03:38"},{"id":29,"name":"Sharepoint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562</v>
      </c>
      <c r="B158" s="7">
        <v>4005</v>
      </c>
      <c r="C158" s="21" t="s">
        <v>207</v>
      </c>
      <c r="D158" s="21" t="s">
        <v>942</v>
      </c>
      <c r="E158" s="13">
        <v>42864.212523148148</v>
      </c>
      <c r="F158" s="13">
        <v>42864.214131944442</v>
      </c>
      <c r="G158" s="7">
        <v>1</v>
      </c>
      <c r="H158" s="21" t="s">
        <v>943</v>
      </c>
      <c r="I158" s="13">
        <v>42864.228043981479</v>
      </c>
      <c r="J158" s="7">
        <v>0</v>
      </c>
      <c r="K158" s="92" t="str">
        <f t="shared" si="47"/>
        <v>4005/4006</v>
      </c>
      <c r="L158" s="21" t="str">
        <f>VLOOKUP(A158,'Trips&amp;Operators'!$C$1:$G$99999,5,FALSE)</f>
        <v>COOLAHAN JOHN</v>
      </c>
      <c r="M158" s="6">
        <f t="shared" si="48"/>
        <v>1.3912037036789116E-2</v>
      </c>
      <c r="N158" s="7">
        <f t="shared" si="64"/>
        <v>20.033333332976326</v>
      </c>
      <c r="O158" s="7"/>
      <c r="P158" s="7"/>
      <c r="Q158" s="22"/>
      <c r="R158" s="190"/>
      <c r="S158" s="196">
        <f t="shared" si="46"/>
        <v>1</v>
      </c>
      <c r="T158" s="190" t="str">
        <f t="shared" si="49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 t="shared" si="50"/>
        <v>https://d0f6bd738d7f1b3e5a7ca70fe4ff75f0.us-east-1.aws.found.io/app/kibana#/discover/Steve-Slow-Train-Analysis-(2080s-and-2083s)?_g=(refreshInterval:(display:Off,pause:!f,section:0,value:0),time:(from:'2017-05-09T04:06:02-0600',mode:absolute,to:'2017-05-09T06:28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192" t="str">
        <f t="shared" si="51"/>
        <v>N</v>
      </c>
      <c r="X158" s="192">
        <f t="shared" si="52"/>
        <v>556</v>
      </c>
      <c r="Y158" s="192">
        <f t="shared" si="53"/>
        <v>5.8686999999999996</v>
      </c>
      <c r="Z158" s="192">
        <f t="shared" si="54"/>
        <v>7.17E-2</v>
      </c>
      <c r="AA158" s="192">
        <f t="shared" si="55"/>
        <v>5.7969999999999997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56"/>
        <v>0800-09</v>
      </c>
      <c r="AE158" s="80" t="str">
        <f t="shared" si="57"/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AF158" s="77" t="str">
        <f t="shared" si="58"/>
        <v>"C:\Program Files (x86)\AstroGrep\AstroGrep.exe" /e /r /s /spath="%USERPROFILE%\AppData\Local\Temp\OnboardLogs" /stypes="app*4005*20170509*" /stext=" 11:.+((SYSTEM_STATE.+slice.+state.+changed )|(ment ac)|(multiple cpu faults)|(system.+state.+changed )|(\[timeout)|(PRM\|1\|D)|(kpr)|(kdp)|(train st.+moving)|(\|lc)|(penalty))"</v>
      </c>
      <c r="AG158" s="1" t="str">
        <f t="shared" si="59"/>
        <v>NW</v>
      </c>
      <c r="AH158" s="81" t="str">
        <f t="shared" si="60"/>
        <v>"%USERPROFILE%\Documents\GitHub\eaglep3\Utilities\RefineRTDCRunTimes.py" --tripid 800-09 --locoid 4005 --swversion DE.1.0.9.0 --startMP 300:58687 --initTime 2017-05-09T05:06:02 --startdatetime 2017-05-09T05:08:21 --delay 1 --endMP 204:717 --enddatetime 2017-05-09T05:28:23 --enforcementcount 0 &gt;&gt;C:\Users\stu\Documents\GitHub\eaglep3-reporting\EC\2017-05-09-refined-times.txt</v>
      </c>
      <c r="AI158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{"issue":{"subject":"","project_id":79,"tracker_id":40,"status_id":1,"priority_id":2,"assigned_to_id":23,"start_date":"2017-05-09","description":"","custom_fields":[{"id":1,"name":"Subdivision","value":"NW"},{"id":4,"name":"Milepost","value":"0.0717"},{"id":17,"name":"Train ID","value":"800-09"},{"id":16,"name":"Locomotive ID","value":"4005"},{"id":130,"name":"Impact","value":""},{"id":150,"name":"Time of Event (Mountain Time)","value":"05:28:23"},{"id":151,"name":"Denver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62"/>
        <v>start /low /b %USERPROFILE%\Documents\GitHub\eaglep3\Utilities\DownloadLogsFromS3.py --loco 4005 --day 2017-05-09</v>
      </c>
      <c r="AN158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11:28:23"},{"id":29,"name":"Sharepoint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565</v>
      </c>
      <c r="B159" s="7">
        <v>4006</v>
      </c>
      <c r="C159" s="21" t="s">
        <v>207</v>
      </c>
      <c r="D159" s="21" t="s">
        <v>944</v>
      </c>
      <c r="E159" s="13">
        <v>42864.2346875</v>
      </c>
      <c r="F159" s="13">
        <v>42864.243935185186</v>
      </c>
      <c r="G159" s="7">
        <v>0</v>
      </c>
      <c r="H159" s="21" t="s">
        <v>945</v>
      </c>
      <c r="I159" s="13">
        <v>42864.254074074073</v>
      </c>
      <c r="J159" s="7">
        <v>0</v>
      </c>
      <c r="K159" s="92" t="str">
        <f t="shared" si="47"/>
        <v>4005/4006</v>
      </c>
      <c r="L159" s="21" t="str">
        <f>VLOOKUP(A159,'Trips&amp;Operators'!$C$1:$G$99999,5,FALSE)</f>
        <v>COOLAHAN JOHN</v>
      </c>
      <c r="M159" s="6">
        <f t="shared" si="48"/>
        <v>1.0138888887013309E-2</v>
      </c>
      <c r="N159" s="7">
        <f t="shared" si="64"/>
        <v>14.599999997299165</v>
      </c>
      <c r="O159" s="7"/>
      <c r="P159" s="7"/>
      <c r="Q159" s="22"/>
      <c r="R159" s="190"/>
      <c r="S159" s="196">
        <f t="shared" si="46"/>
        <v>1</v>
      </c>
      <c r="T159" s="190" t="str">
        <f t="shared" si="49"/>
        <v>NorthBound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50"/>
        <v>https://d0f6bd738d7f1b3e5a7ca70fe4ff75f0.us-east-1.aws.found.io/app/kibana#/discover/Steve-Slow-Train-Analysis-(2080s-and-2083s)?_g=(refreshInterval:(display:Off,pause:!f,section:0,value:0),time:(from:'2017-05-09T04:37:57-0600',mode:absolute,to:'2017-05-09T07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9" s="192" t="str">
        <f t="shared" si="51"/>
        <v>N</v>
      </c>
      <c r="X159" s="192">
        <f t="shared" si="52"/>
        <v>1</v>
      </c>
      <c r="Y159" s="192">
        <f t="shared" si="53"/>
        <v>0.1011</v>
      </c>
      <c r="Z159" s="192">
        <f t="shared" si="54"/>
        <v>5.8959999999999999</v>
      </c>
      <c r="AA159" s="192">
        <f t="shared" si="55"/>
        <v>5.7949000000000002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56"/>
        <v>0801-09</v>
      </c>
      <c r="AE159" s="80" t="str">
        <f t="shared" si="57"/>
        <v>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 &amp; 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</v>
      </c>
      <c r="AF159" s="77" t="str">
        <f t="shared" si="58"/>
        <v>"C:\Program Files (x86)\AstroGrep\AstroGrep.exe" /e /r /s /spath="%USERPROFILE%\AppData\Local\Temp\OnboardLogs" /stypes="app*4006*20170509*" /stext=" 12:.+((SYSTEM_STATE.+slice.+state.+changed )|(ment ac)|(multiple cpu faults)|(system.+state.+changed )|(\[timeout)|(PRM\|1\|D)|(kpr)|(kdp)|(train st.+moving)|(\|lc)|(penalty))"</v>
      </c>
      <c r="AG159" s="1" t="str">
        <f t="shared" si="59"/>
        <v>NW</v>
      </c>
      <c r="AH159" s="81" t="str">
        <f t="shared" si="60"/>
        <v>"%USERPROFILE%\Documents\GitHub\eaglep3\Utilities\RefineRTDCRunTimes.py" --tripid 801-09 --locoid 4006 --swversion DE.1.0.9.0 --startMP 204:1011 --initTime 2017-05-09T05:37:57 --startdatetime 2017-05-09T05:51:16 --delay 0 --endMP 300:58960 --enddatetime 2017-05-09T06:05:52 --enforcementcount 0 &gt;&gt;C:\Users\stu\Documents\GitHub\eaglep3-reporting\EC\2017-05-09-refined-times.txt</v>
      </c>
      <c r="AI159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{"issue":{"subject":"","project_id":79,"tracker_id":40,"status_id":1,"priority_id":2,"assigned_to_id":23,"start_date":"2017-05-09","description":"","custom_fields":[{"id":1,"name":"Subdivision","value":"NW"},{"id":4,"name":"Milepost","value":"5.896"},{"id":17,"name":"Train ID","value":"801-09"},{"id":16,"name":"Locomotive ID","value":"4006"},{"id":130,"name":"Impact","value":""},{"id":150,"name":"Time of Event (Mountain Time)","value":"06:05:52"},{"id":151,"name":"Denver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62"/>
        <v>start /low /b %USERPROFILE%\Documents\GitHub\eaglep3\Utilities\DownloadLogsFromS3.py --loco 4006 --day 2017-05-09</v>
      </c>
      <c r="AN159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566</v>
      </c>
      <c r="B160" s="7">
        <v>4005</v>
      </c>
      <c r="C160" s="21" t="s">
        <v>207</v>
      </c>
      <c r="D160" s="21" t="s">
        <v>537</v>
      </c>
      <c r="E160" s="13">
        <v>42864.255115740743</v>
      </c>
      <c r="F160" s="13">
        <v>42864.256666666668</v>
      </c>
      <c r="G160" s="7">
        <v>1</v>
      </c>
      <c r="H160" s="21" t="s">
        <v>946</v>
      </c>
      <c r="I160" s="13">
        <v>42864.268333333333</v>
      </c>
      <c r="J160" s="7">
        <v>0</v>
      </c>
      <c r="K160" s="92" t="str">
        <f t="shared" si="47"/>
        <v>4005/4006</v>
      </c>
      <c r="L160" s="21" t="str">
        <f>VLOOKUP(A160,'Trips&amp;Operators'!$C$1:$G$99999,5,FALSE)</f>
        <v>COOLAHAN JOHN</v>
      </c>
      <c r="M160" s="6">
        <f t="shared" si="48"/>
        <v>1.1666666665405501E-2</v>
      </c>
      <c r="N160" s="7">
        <f t="shared" si="64"/>
        <v>16.799999998183921</v>
      </c>
      <c r="O160" s="7"/>
      <c r="P160" s="7"/>
      <c r="Q160" s="22"/>
      <c r="R160" s="190"/>
      <c r="S160" s="196">
        <f t="shared" si="46"/>
        <v>1</v>
      </c>
      <c r="T160" s="190" t="str">
        <f t="shared" si="49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50"/>
        <v>https://d0f6bd738d7f1b3e5a7ca70fe4ff75f0.us-east-1.aws.found.io/app/kibana#/discover/Steve-Slow-Train-Analysis-(2080s-and-2083s)?_g=(refreshInterval:(display:Off,pause:!f,section:0,value:0),time:(from:'2017-05-09T05:07:22-0600',mode:absolute,to:'2017-05-09T07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0" s="192" t="str">
        <f t="shared" si="51"/>
        <v>N</v>
      </c>
      <c r="X160" s="192">
        <f t="shared" si="52"/>
        <v>1</v>
      </c>
      <c r="Y160" s="192">
        <f t="shared" si="53"/>
        <v>5.8644999999999996</v>
      </c>
      <c r="Z160" s="192">
        <f t="shared" si="54"/>
        <v>6.6600000000000006E-2</v>
      </c>
      <c r="AA160" s="192">
        <f t="shared" si="55"/>
        <v>5.7978999999999994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6"/>
        <v>0802-09</v>
      </c>
      <c r="AE160" s="80" t="str">
        <f t="shared" si="57"/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AF160" s="77" t="str">
        <f t="shared" si="58"/>
        <v>"C:\Program Files (x86)\AstroGrep\AstroGrep.exe" /e /r /s /spath="%USERPROFILE%\AppData\Local\Temp\OnboardLogs" /stypes="app*4005*20170509*" /stext=" 12:.+((SYSTEM_STATE.+slice.+state.+changed )|(ment ac)|(multiple cpu faults)|(system.+state.+changed )|(\[timeout)|(PRM\|1\|D)|(kpr)|(kdp)|(train st.+moving)|(\|lc)|(penalty))"</v>
      </c>
      <c r="AG160" s="1" t="str">
        <f t="shared" si="59"/>
        <v>NW</v>
      </c>
      <c r="AH160" s="81" t="str">
        <f t="shared" si="60"/>
        <v>"%USERPROFILE%\Documents\GitHub\eaglep3\Utilities\RefineRTDCRunTimes.py" --tripid 802-09 --locoid 4005 --swversion DE.1.0.9.0 --startMP 300:58645 --initTime 2017-05-09T06:07:22 --startdatetime 2017-05-09T06:09:36 --delay 1 --endMP 204:666 --enddatetime 2017-05-09T06:26:24 --enforcementcount 0 &gt;&gt;C:\Users\stu\Documents\GitHub\eaglep3-reporting\EC\2017-05-09-refined-times.txt</v>
      </c>
      <c r="AI160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{"issue":{"subject":"","project_id":79,"tracker_id":40,"status_id":1,"priority_id":2,"assigned_to_id":23,"start_date":"2017-05-09","description":"","custom_fields":[{"id":1,"name":"Subdivision","value":"NW"},{"id":4,"name":"Milepost","value":"0.0666"},{"id":17,"name":"Train ID","value":"802-09"},{"id":16,"name":"Locomotive ID","value":"4005"},{"id":130,"name":"Impact","value":""},{"id":150,"name":"Time of Event (Mountain Time)","value":"06:26:24"},{"id":151,"name":"Denver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62"/>
        <v>start /low /b %USERPROFILE%\Documents\GitHub\eaglep3\Utilities\DownloadLogsFromS3.py --loco 4005 --day 2017-05-09</v>
      </c>
      <c r="AN160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630</v>
      </c>
      <c r="B161" s="7">
        <v>4018</v>
      </c>
      <c r="C161" s="21" t="s">
        <v>207</v>
      </c>
      <c r="D161" s="21" t="s">
        <v>947</v>
      </c>
      <c r="E161" s="13">
        <v>42864.259039351855</v>
      </c>
      <c r="F161" s="13">
        <v>42864.264872685184</v>
      </c>
      <c r="G161" s="7">
        <v>1</v>
      </c>
      <c r="H161" s="21" t="s">
        <v>948</v>
      </c>
      <c r="I161" s="13">
        <v>42864.274687500001</v>
      </c>
      <c r="J161" s="7">
        <v>0</v>
      </c>
      <c r="K161" s="92" t="str">
        <f t="shared" si="47"/>
        <v>4017/4018</v>
      </c>
      <c r="L161" s="21" t="str">
        <f>VLOOKUP(A161,'Trips&amp;Operators'!$C$1:$G$99999,5,FALSE)</f>
        <v>BEAM ROSS</v>
      </c>
      <c r="M161" s="6">
        <f t="shared" si="48"/>
        <v>9.8148148172185756E-3</v>
      </c>
      <c r="N161" s="7">
        <f t="shared" si="64"/>
        <v>14.133333336794749</v>
      </c>
      <c r="O161" s="7"/>
      <c r="P161" s="7"/>
      <c r="Q161" s="22"/>
      <c r="R161" s="190"/>
      <c r="S161" s="196">
        <f t="shared" si="46"/>
        <v>1</v>
      </c>
      <c r="T161" s="190" t="str">
        <f t="shared" si="49"/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50"/>
        <v>https://d0f6bd738d7f1b3e5a7ca70fe4ff75f0.us-east-1.aws.found.io/app/kibana#/discover/Steve-Slow-Train-Analysis-(2080s-and-2083s)?_g=(refreshInterval:(display:Off,pause:!f,section:0,value:0),time:(from:'2017-05-09T05:13:01-0600',mode:absolute,to:'2017-05-09T07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1" s="192" t="str">
        <f t="shared" si="51"/>
        <v>N</v>
      </c>
      <c r="X161" s="192">
        <f t="shared" si="52"/>
        <v>1</v>
      </c>
      <c r="Y161" s="192">
        <f t="shared" si="53"/>
        <v>9.9500000000000005E-2</v>
      </c>
      <c r="Z161" s="192">
        <f t="shared" si="54"/>
        <v>5.8960999999999997</v>
      </c>
      <c r="AA161" s="192">
        <f t="shared" si="55"/>
        <v>5.7965999999999998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6"/>
        <v>0803-09</v>
      </c>
      <c r="AE161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61" s="77" t="str">
        <f t="shared" si="58"/>
        <v>"C:\Program Files (x86)\AstroGrep\AstroGrep.exe" /e /r /s /spath="%USERPROFILE%\AppData\Local\Temp\OnboardLogs" /stypes="app*4018*20170509*" /stext=" 12:.+((SYSTEM_STATE.+slice.+state.+changed )|(ment ac)|(multiple cpu faults)|(system.+state.+changed )|(\[timeout)|(PRM\|1\|D)|(kpr)|(kdp)|(train st.+moving)|(\|lc)|(penalty))"</v>
      </c>
      <c r="AG161" s="1" t="str">
        <f t="shared" si="59"/>
        <v>NW</v>
      </c>
      <c r="AH161" s="81" t="str">
        <f t="shared" si="60"/>
        <v>"%USERPROFILE%\Documents\GitHub\eaglep3\Utilities\RefineRTDCRunTimes.py" --tripid 803-09 --locoid 4018 --swversion DE.1.0.9.0 --startMP 204:995 --initTime 2017-05-09T06:13:01 --startdatetime 2017-05-09T06:21:25 --delay 1 --endMP 300:58961 --enddatetime 2017-05-09T06:35:33 --enforcementcount 0 &gt;&gt;C:\Users\stu\Documents\GitHub\eaglep3-reporting\EC\2017-05-09-refined-times.txt</v>
      </c>
      <c r="AI161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{"issue":{"subject":"","project_id":79,"tracker_id":40,"status_id":1,"priority_id":2,"assigned_to_id":23,"start_date":"2017-05-09","description":"","custom_fields":[{"id":1,"name":"Subdivision","value":"NW"},{"id":4,"name":"Milepost","value":"5.8961"},{"id":17,"name":"Train ID","value":"803-09"},{"id":16,"name":"Locomotive ID","value":"4018"},{"id":130,"name":"Impact","value":""},{"id":150,"name":"Time of Event (Mountain Time)","value":"06:35:33"},{"id":151,"name":"Denver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2"/>
        <v>start /low /b %USERPROFILE%\Documents\GitHub\eaglep3\Utilities\DownloadLogsFromS3.py --loco 4018 --day 2017-05-09</v>
      </c>
      <c r="AN161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633</v>
      </c>
      <c r="B162" s="7">
        <v>4017</v>
      </c>
      <c r="C162" s="21" t="s">
        <v>207</v>
      </c>
      <c r="D162" s="21" t="s">
        <v>949</v>
      </c>
      <c r="E162" s="13">
        <v>42864.27553240741</v>
      </c>
      <c r="F162" s="13">
        <v>42864.276770833334</v>
      </c>
      <c r="G162" s="7">
        <v>1</v>
      </c>
      <c r="H162" s="21" t="s">
        <v>950</v>
      </c>
      <c r="I162" s="13">
        <v>42864.289039351854</v>
      </c>
      <c r="J162" s="7">
        <v>0</v>
      </c>
      <c r="K162" s="92" t="str">
        <f t="shared" si="47"/>
        <v>4017/4018</v>
      </c>
      <c r="L162" s="21" t="str">
        <f>VLOOKUP(A162,'Trips&amp;Operators'!$C$1:$G$99999,5,FALSE)</f>
        <v>BEAM ROSS</v>
      </c>
      <c r="M162" s="6">
        <f t="shared" si="48"/>
        <v>1.226851851970423E-2</v>
      </c>
      <c r="N162" s="7">
        <f t="shared" si="64"/>
        <v>17.666666668374091</v>
      </c>
      <c r="O162" s="7"/>
      <c r="P162" s="7"/>
      <c r="Q162" s="22"/>
      <c r="R162" s="190"/>
      <c r="S162" s="196">
        <f t="shared" si="46"/>
        <v>1</v>
      </c>
      <c r="T162" s="190" t="str">
        <f t="shared" si="49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0"/>
        <v>https://d0f6bd738d7f1b3e5a7ca70fe4ff75f0.us-east-1.aws.found.io/app/kibana#/discover/Steve-Slow-Train-Analysis-(2080s-and-2083s)?_g=(refreshInterval:(display:Off,pause:!f,section:0,value:0),time:(from:'2017-05-09T05:36:46-0600',mode:absolute,to:'2017-05-09T07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2" s="192" t="str">
        <f t="shared" si="51"/>
        <v>N</v>
      </c>
      <c r="X162" s="192">
        <f t="shared" si="52"/>
        <v>1</v>
      </c>
      <c r="Y162" s="192">
        <f t="shared" si="53"/>
        <v>5.8640999999999996</v>
      </c>
      <c r="Z162" s="192">
        <f t="shared" si="54"/>
        <v>7.1199999999999999E-2</v>
      </c>
      <c r="AA162" s="192">
        <f t="shared" si="55"/>
        <v>5.7928999999999995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6"/>
        <v>0804-09</v>
      </c>
      <c r="AE162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62" s="77" t="str">
        <f t="shared" si="58"/>
        <v>"C:\Program Files (x86)\AstroGrep\AstroGrep.exe" /e /r /s /spath="%USERPROFILE%\AppData\Local\Temp\OnboardLogs" /stypes="app*4017*20170509*" /stext=" 12:.+((SYSTEM_STATE.+slice.+state.+changed )|(ment ac)|(multiple cpu faults)|(system.+state.+changed )|(\[timeout)|(PRM\|1\|D)|(kpr)|(kdp)|(train st.+moving)|(\|lc)|(penalty))"</v>
      </c>
      <c r="AG162" s="1" t="str">
        <f t="shared" si="59"/>
        <v>NW</v>
      </c>
      <c r="AH162" s="81" t="str">
        <f t="shared" si="60"/>
        <v>"%USERPROFILE%\Documents\GitHub\eaglep3\Utilities\RefineRTDCRunTimes.py" --tripid 804-09 --locoid 4017 --swversion DE.1.0.9.0 --startMP 300:58641 --initTime 2017-05-09T06:36:46 --startdatetime 2017-05-09T06:38:33 --delay 1 --endMP 204:712 --enddatetime 2017-05-09T06:56:13 --enforcementcount 0 &gt;&gt;C:\Users\stu\Documents\GitHub\eaglep3-reporting\EC\2017-05-09-refined-times.txt</v>
      </c>
      <c r="AI162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{"issue":{"subject":"","project_id":79,"tracker_id":40,"status_id":1,"priority_id":2,"assigned_to_id":23,"start_date":"2017-05-09","description":"","custom_fields":[{"id":1,"name":"Subdivision","value":"NW"},{"id":4,"name":"Milepost","value":"0.0712"},{"id":17,"name":"Train ID","value":"804-09"},{"id":16,"name":"Locomotive ID","value":"4017"},{"id":130,"name":"Impact","value":""},{"id":150,"name":"Time of Event (Mountain Time)","value":"06:56:13"},{"id":151,"name":"Denver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2"/>
        <v>start /low /b %USERPROFILE%\Documents\GitHub\eaglep3\Utilities\DownloadLogsFromS3.py --loco 4017 --day 2017-05-09</v>
      </c>
      <c r="AN162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569</v>
      </c>
      <c r="B163" s="7">
        <v>4006</v>
      </c>
      <c r="C163" s="21" t="s">
        <v>207</v>
      </c>
      <c r="D163" s="21" t="s">
        <v>540</v>
      </c>
      <c r="E163" s="13">
        <v>42864.279872685183</v>
      </c>
      <c r="F163" s="13">
        <v>42864.285613425927</v>
      </c>
      <c r="G163" s="7">
        <v>2</v>
      </c>
      <c r="H163" s="21" t="s">
        <v>951</v>
      </c>
      <c r="I163" s="13">
        <v>42864.295590277776</v>
      </c>
      <c r="J163" s="7">
        <v>0</v>
      </c>
      <c r="K163" s="92" t="str">
        <f t="shared" si="47"/>
        <v>4005/4006</v>
      </c>
      <c r="L163" s="21" t="str">
        <f>VLOOKUP(A163,'Trips&amp;Operators'!$C$1:$G$99999,5,FALSE)</f>
        <v>COOLAHAN JOHN</v>
      </c>
      <c r="M163" s="6">
        <f t="shared" si="48"/>
        <v>9.9768518484779634E-3</v>
      </c>
      <c r="N163" s="7">
        <f t="shared" si="64"/>
        <v>14.366666661808267</v>
      </c>
      <c r="O163" s="7"/>
      <c r="P163" s="7"/>
      <c r="Q163" s="22"/>
      <c r="R163" s="190"/>
      <c r="S163" s="196">
        <f t="shared" si="46"/>
        <v>1</v>
      </c>
      <c r="T163" s="190" t="str">
        <f t="shared" si="49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0"/>
        <v>https://d0f6bd738d7f1b3e5a7ca70fe4ff75f0.us-east-1.aws.found.io/app/kibana#/discover/Steve-Slow-Train-Analysis-(2080s-and-2083s)?_g=(refreshInterval:(display:Off,pause:!f,section:0,value:0),time:(from:'2017-05-09T05:43:01-0600',mode:absolute,to:'2017-05-09T08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3" s="192" t="str">
        <f t="shared" si="51"/>
        <v>N</v>
      </c>
      <c r="X163" s="192">
        <f t="shared" si="52"/>
        <v>1</v>
      </c>
      <c r="Y163" s="192">
        <f t="shared" si="53"/>
        <v>9.4799999999999995E-2</v>
      </c>
      <c r="Z163" s="192">
        <f t="shared" si="54"/>
        <v>5.9001000000000001</v>
      </c>
      <c r="AA163" s="192">
        <f t="shared" si="55"/>
        <v>5.8052999999999999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6"/>
        <v>0805-09</v>
      </c>
      <c r="AE163" s="80" t="str">
        <f t="shared" si="57"/>
        <v>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 &amp; 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</v>
      </c>
      <c r="AF163" s="77" t="str">
        <f t="shared" si="58"/>
        <v>"C:\Program Files (x86)\AstroGrep\AstroGrep.exe" /e /r /s /spath="%USERPROFILE%\AppData\Local\Temp\OnboardLogs" /stypes="app*4006*20170509*" /stext=" 13:.+((SYSTEM_STATE.+slice.+state.+changed )|(ment ac)|(multiple cpu faults)|(system.+state.+changed )|(\[timeout)|(PRM\|1\|D)|(kpr)|(kdp)|(train st.+moving)|(\|lc)|(penalty))"</v>
      </c>
      <c r="AG163" s="1" t="str">
        <f t="shared" si="59"/>
        <v>NW</v>
      </c>
      <c r="AH163" s="81" t="str">
        <f t="shared" si="60"/>
        <v>"%USERPROFILE%\Documents\GitHub\eaglep3\Utilities\RefineRTDCRunTimes.py" --tripid 805-09 --locoid 4006 --swversion DE.1.0.9.0 --startMP 204:948 --initTime 2017-05-09T06:43:01 --startdatetime 2017-05-09T06:51:17 --delay 2 --endMP 300:59001 --enddatetime 2017-05-09T07:05:39 --enforcementcount 0 &gt;&gt;C:\Users\stu\Documents\GitHub\eaglep3-reporting\EC\2017-05-09-refined-times.txt</v>
      </c>
      <c r="AI163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{"issue":{"subject":"","project_id":79,"tracker_id":40,"status_id":1,"priority_id":2,"assigned_to_id":23,"start_date":"2017-05-09","description":"","custom_fields":[{"id":1,"name":"Subdivision","value":"NW"},{"id":4,"name":"Milepost","value":"5.9001"},{"id":17,"name":"Train ID","value":"805-09"},{"id":16,"name":"Locomotive ID","value":"4006"},{"id":130,"name":"Impact","value":""},{"id":150,"name":"Time of Event (Mountain Time)","value":"07:05:39"},{"id":151,"name":"Denver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2"/>
        <v>start /low /b %USERPROFILE%\Documents\GitHub\eaglep3\Utilities\DownloadLogsFromS3.py --loco 4006 --day 2017-05-09</v>
      </c>
      <c r="AN163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571</v>
      </c>
      <c r="B164" s="7">
        <v>4005</v>
      </c>
      <c r="C164" s="21" t="s">
        <v>207</v>
      </c>
      <c r="D164" s="21" t="s">
        <v>942</v>
      </c>
      <c r="E164" s="13">
        <v>42864.297071759262</v>
      </c>
      <c r="F164" s="13">
        <v>42864.298530092594</v>
      </c>
      <c r="G164" s="7">
        <v>1</v>
      </c>
      <c r="H164" s="21" t="s">
        <v>952</v>
      </c>
      <c r="I164" s="13">
        <v>42864.309675925928</v>
      </c>
      <c r="J164" s="7">
        <v>0</v>
      </c>
      <c r="K164" s="92" t="str">
        <f t="shared" si="47"/>
        <v>4005/4006</v>
      </c>
      <c r="L164" s="21" t="str">
        <f>VLOOKUP(A164,'Trips&amp;Operators'!$C$1:$G$99999,5,FALSE)</f>
        <v>COOLAHAN JOHN</v>
      </c>
      <c r="M164" s="6">
        <f t="shared" si="48"/>
        <v>1.1145833334012423E-2</v>
      </c>
      <c r="N164" s="7">
        <f t="shared" si="64"/>
        <v>16.050000000977889</v>
      </c>
      <c r="O164" s="7"/>
      <c r="P164" s="7"/>
      <c r="Q164" s="22"/>
      <c r="R164" s="190"/>
      <c r="S164" s="196">
        <f t="shared" si="46"/>
        <v>1</v>
      </c>
      <c r="T164" s="190" t="str">
        <f t="shared" si="49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0"/>
        <v>https://d0f6bd738d7f1b3e5a7ca70fe4ff75f0.us-east-1.aws.found.io/app/kibana#/discover/Steve-Slow-Train-Analysis-(2080s-and-2083s)?_g=(refreshInterval:(display:Off,pause:!f,section:0,value:0),time:(from:'2017-05-09T06:07:47-0600',mode:absolute,to:'2017-05-09T08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4" s="192" t="str">
        <f t="shared" si="51"/>
        <v>N</v>
      </c>
      <c r="X164" s="192">
        <f t="shared" si="52"/>
        <v>1</v>
      </c>
      <c r="Y164" s="192">
        <f t="shared" si="53"/>
        <v>5.8686999999999996</v>
      </c>
      <c r="Z164" s="192">
        <f t="shared" si="54"/>
        <v>6.9599999999999995E-2</v>
      </c>
      <c r="AA164" s="192">
        <f t="shared" si="55"/>
        <v>5.7990999999999993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6"/>
        <v>0806-09</v>
      </c>
      <c r="AE164" s="80" t="str">
        <f t="shared" si="57"/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AF164" s="77" t="str">
        <f t="shared" si="58"/>
        <v>"C:\Program Files (x86)\AstroGrep\AstroGrep.exe" /e /r /s /spath="%USERPROFILE%\AppData\Local\Temp\OnboardLogs" /stypes="app*4005*20170509*" /stext=" 13:.+((SYSTEM_STATE.+slice.+state.+changed )|(ment ac)|(multiple cpu faults)|(system.+state.+changed )|(\[timeout)|(PRM\|1\|D)|(kpr)|(kdp)|(train st.+moving)|(\|lc)|(penalty))"</v>
      </c>
      <c r="AG164" s="1" t="str">
        <f t="shared" si="59"/>
        <v>NW</v>
      </c>
      <c r="AH164" s="81" t="str">
        <f t="shared" si="60"/>
        <v>"%USERPROFILE%\Documents\GitHub\eaglep3\Utilities\RefineRTDCRunTimes.py" --tripid 806-09 --locoid 4005 --swversion DE.1.0.9.0 --startMP 300:58687 --initTime 2017-05-09T07:07:47 --startdatetime 2017-05-09T07:09:53 --delay 1 --endMP 204:696 --enddatetime 2017-05-09T07:25:56 --enforcementcount 0 &gt;&gt;C:\Users\stu\Documents\GitHub\eaglep3-reporting\EC\2017-05-09-refined-times.txt</v>
      </c>
      <c r="AI164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{"issue":{"subject":"","project_id":79,"tracker_id":40,"status_id":1,"priority_id":2,"assigned_to_id":23,"start_date":"2017-05-09","description":"","custom_fields":[{"id":1,"name":"Subdivision","value":"NW"},{"id":4,"name":"Milepost","value":"0.0696"},{"id":17,"name":"Train ID","value":"806-09"},{"id":16,"name":"Locomotive ID","value":"4005"},{"id":130,"name":"Impact","value":""},{"id":150,"name":"Time of Event (Mountain Time)","value":"07:25:56"},{"id":151,"name":"Denver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62"/>
        <v>start /low /b %USERPROFILE%\Documents\GitHub\eaglep3\Utilities\DownloadLogsFromS3.py --loco 4005 --day 2017-05-09</v>
      </c>
      <c r="AN164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638</v>
      </c>
      <c r="B165" s="7">
        <v>4018</v>
      </c>
      <c r="C165" s="21" t="s">
        <v>207</v>
      </c>
      <c r="D165" s="21" t="s">
        <v>953</v>
      </c>
      <c r="E165" s="13">
        <v>42864.302870370368</v>
      </c>
      <c r="F165" s="13">
        <v>42864.306400462963</v>
      </c>
      <c r="G165" s="7">
        <v>1</v>
      </c>
      <c r="H165" s="21" t="s">
        <v>452</v>
      </c>
      <c r="I165" s="13">
        <v>42864.31690972222</v>
      </c>
      <c r="J165" s="7">
        <v>0</v>
      </c>
      <c r="K165" s="92" t="str">
        <f t="shared" si="47"/>
        <v>4017/4018</v>
      </c>
      <c r="L165" s="21" t="str">
        <f>VLOOKUP(A165,'Trips&amp;Operators'!$C$1:$G$99999,5,FALSE)</f>
        <v>BEAM ROSS</v>
      </c>
      <c r="M165" s="6">
        <f t="shared" si="48"/>
        <v>1.0509259256650694E-2</v>
      </c>
      <c r="N165" s="7">
        <f t="shared" si="64"/>
        <v>15.133333329576999</v>
      </c>
      <c r="O165" s="7"/>
      <c r="P165" s="7"/>
      <c r="Q165" s="22"/>
      <c r="R165" s="190" t="s">
        <v>1045</v>
      </c>
      <c r="S165" s="196">
        <f t="shared" si="46"/>
        <v>1</v>
      </c>
      <c r="T165" s="190" t="str">
        <f t="shared" si="49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0"/>
        <v>https://d0f6bd738d7f1b3e5a7ca70fe4ff75f0.us-east-1.aws.found.io/app/kibana#/discover/Steve-Slow-Train-Analysis-(2080s-and-2083s)?_g=(refreshInterval:(display:Off,pause:!f,section:0,value:0),time:(from:'2017-05-09T06:16:08-0600',mode:absolute,to:'2017-05-09T08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5" s="192" t="str">
        <f t="shared" si="51"/>
        <v>N</v>
      </c>
      <c r="X165" s="192">
        <f t="shared" si="52"/>
        <v>1</v>
      </c>
      <c r="Y165" s="192">
        <f t="shared" si="53"/>
        <v>9.9699999999999997E-2</v>
      </c>
      <c r="Z165" s="192">
        <f t="shared" si="54"/>
        <v>5.8945999999999996</v>
      </c>
      <c r="AA165" s="192">
        <f t="shared" si="55"/>
        <v>5.7948999999999993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6"/>
        <v>0807-09</v>
      </c>
      <c r="AE165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65" s="77" t="str">
        <f t="shared" si="58"/>
        <v>"C:\Program Files (x86)\AstroGrep\AstroGrep.exe" /e /r /s /spath="%USERPROFILE%\AppData\Local\Temp\OnboardLogs" /stypes="app*4018*20170509*" /stext=" 13:.+((SYSTEM_STATE.+slice.+state.+changed )|(ment ac)|(multiple cpu faults)|(system.+state.+changed )|(\[timeout)|(PRM\|1\|D)|(kpr)|(kdp)|(train st.+moving)|(\|lc)|(penalty))"</v>
      </c>
      <c r="AG165" s="1" t="str">
        <f t="shared" si="59"/>
        <v>NW</v>
      </c>
      <c r="AH165" s="81" t="str">
        <f t="shared" si="60"/>
        <v>"%USERPROFILE%\Documents\GitHub\eaglep3\Utilities\RefineRTDCRunTimes.py" --tripid 807-09 --locoid 4018 --swversion DE.1.0.9.0 --startMP 204:997 --initTime 2017-05-09T07:16:08 --startdatetime 2017-05-09T07:21:13 --delay 1 --endMP 300:58946 --enddatetime 2017-05-09T07:36:21 --enforcementcount 0 &gt;&gt;C:\Users\stu\Documents\GitHub\eaglep3-reporting\EC\2017-05-09-refined-times.txt</v>
      </c>
      <c r="AI165" s="99" t="str">
        <f t="shared" si="61"/>
        <v>echo {"issue":{"subject":"Wi-MAX data drop caused momentary red fence at CRMF 4N","project_id":79,"tracker_id":40,"status_id":1,"priority_id":2,"assigned_to_id":23,"start_date":"2017-05-09","description":"","custom_fields":[{"id":1,"name":"Subdivision","value":"NW"},{"id":4,"name":"Milepost","value":"5.8946"},{"id":17,"name":"Train ID","value":"807-09"},{"id":16,"name":"Locomotive ID","value":"4018"},{"id":130,"name":"Impact","value":""},{"id":150,"name":"Time of Event (Mountain Time)","value":"07:36:21"},{"id":151,"name":"Denver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62"/>
        <v>start /low /b %USERPROFILE%\Documents\GitHub\eaglep3\Utilities\DownloadLogsFromS3.py --loco 4018 --day 2017-05-09</v>
      </c>
      <c r="AN165" s="154" t="str">
        <f t="shared" si="63"/>
        <v>echo {"issue":{"subject":"Wi-MAX data drop caused momentary red fence at CRMF 4N","project_id":30,"tracker_id":4,"status_id":1,"priority_id":1,"assigned_to_id":10,"start_date":"2017-05-09","description":"","custom_fields":[{"id":30,"name":"Category","value":"Issue"},{"id":3,"name":"Functional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642</v>
      </c>
      <c r="B166" s="7">
        <v>4017</v>
      </c>
      <c r="C166" s="21" t="s">
        <v>207</v>
      </c>
      <c r="D166" s="21" t="s">
        <v>544</v>
      </c>
      <c r="E166" s="13">
        <v>42864.317650462966</v>
      </c>
      <c r="F166" s="13">
        <v>42864.31894675926</v>
      </c>
      <c r="G166" s="7">
        <v>1</v>
      </c>
      <c r="H166" s="21" t="s">
        <v>538</v>
      </c>
      <c r="I166" s="13">
        <v>42864.331076388888</v>
      </c>
      <c r="J166" s="7">
        <v>0</v>
      </c>
      <c r="K166" s="92" t="str">
        <f t="shared" si="47"/>
        <v>4017/4018</v>
      </c>
      <c r="L166" s="21" t="str">
        <f>VLOOKUP(A166,'Trips&amp;Operators'!$C$1:$G$99999,5,FALSE)</f>
        <v>BEAM ROSS</v>
      </c>
      <c r="M166" s="6">
        <f t="shared" si="48"/>
        <v>1.2129629627452232E-2</v>
      </c>
      <c r="N166" s="7">
        <f t="shared" si="64"/>
        <v>17.466666663531214</v>
      </c>
      <c r="O166" s="7"/>
      <c r="P166" s="7"/>
      <c r="Q166" s="22"/>
      <c r="R166" s="190"/>
      <c r="S166" s="196">
        <f t="shared" si="46"/>
        <v>1</v>
      </c>
      <c r="T166" s="190" t="str">
        <f t="shared" si="49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0"/>
        <v>https://d0f6bd738d7f1b3e5a7ca70fe4ff75f0.us-east-1.aws.found.io/app/kibana#/discover/Steve-Slow-Train-Analysis-(2080s-and-2083s)?_g=(refreshInterval:(display:Off,pause:!f,section:0,value:0),time:(from:'2017-05-09T06:37:25-0600',mode:absolute,to:'2017-05-09T08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6" s="192" t="str">
        <f t="shared" si="51"/>
        <v>N</v>
      </c>
      <c r="X166" s="192">
        <f t="shared" si="52"/>
        <v>1</v>
      </c>
      <c r="Y166" s="192">
        <f t="shared" si="53"/>
        <v>5.8616999999999999</v>
      </c>
      <c r="Z166" s="192">
        <f t="shared" si="54"/>
        <v>6.9099999999999995E-2</v>
      </c>
      <c r="AA166" s="192">
        <f t="shared" si="55"/>
        <v>5.7926000000000002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6"/>
        <v>0808-09</v>
      </c>
      <c r="AE166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66" s="77" t="str">
        <f t="shared" si="58"/>
        <v>"C:\Program Files (x86)\AstroGrep\AstroGrep.exe" /e /r /s /spath="%USERPROFILE%\AppData\Local\Temp\OnboardLogs" /stypes="app*4017*20170509*" /stext=" 13:.+((SYSTEM_STATE.+slice.+state.+changed )|(ment ac)|(multiple cpu faults)|(system.+state.+changed )|(\[timeout)|(PRM\|1\|D)|(kpr)|(kdp)|(train st.+moving)|(\|lc)|(penalty))"</v>
      </c>
      <c r="AG166" s="1" t="str">
        <f t="shared" si="59"/>
        <v>NW</v>
      </c>
      <c r="AH166" s="81" t="str">
        <f t="shared" si="60"/>
        <v>"%USERPROFILE%\Documents\GitHub\eaglep3\Utilities\RefineRTDCRunTimes.py" --tripid 808-09 --locoid 4017 --swversion DE.1.0.9.0 --startMP 300:58617 --initTime 2017-05-09T07:37:25 --startdatetime 2017-05-09T07:39:17 --delay 1 --endMP 204:691 --enddatetime 2017-05-09T07:56:45 --enforcementcount 0 &gt;&gt;C:\Users\stu\Documents\GitHub\eaglep3-reporting\EC\2017-05-09-refined-times.txt</v>
      </c>
      <c r="AI166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{"issue":{"subject":"","project_id":79,"tracker_id":40,"status_id":1,"priority_id":2,"assigned_to_id":23,"start_date":"2017-05-09","description":"","custom_fields":[{"id":1,"name":"Subdivision","value":"NW"},{"id":4,"name":"Milepost","value":"0.0691"},{"id":17,"name":"Train ID","value":"808-09"},{"id":16,"name":"Locomotive ID","value":"4017"},{"id":130,"name":"Impact","value":""},{"id":150,"name":"Time of Event (Mountain Time)","value":"07:56:45"},{"id":151,"name":"Denver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62"/>
        <v>start /low /b %USERPROFILE%\Documents\GitHub\eaglep3\Utilities\DownloadLogsFromS3.py --loco 4017 --day 2017-05-09</v>
      </c>
      <c r="AN166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13:56:45"},{"id":29,"name":"Sharepoint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643</v>
      </c>
      <c r="B167" s="7">
        <v>4006</v>
      </c>
      <c r="C167" s="21" t="s">
        <v>207</v>
      </c>
      <c r="D167" s="21" t="s">
        <v>954</v>
      </c>
      <c r="E167" s="13">
        <v>42864.322800925926</v>
      </c>
      <c r="F167" s="13">
        <v>42864.327280092592</v>
      </c>
      <c r="G167" s="7">
        <v>1</v>
      </c>
      <c r="H167" s="21" t="s">
        <v>955</v>
      </c>
      <c r="I167" s="13">
        <v>42864.33730324074</v>
      </c>
      <c r="J167" s="7">
        <v>0</v>
      </c>
      <c r="K167" s="92" t="str">
        <f t="shared" si="47"/>
        <v>4005/4006</v>
      </c>
      <c r="L167" s="21" t="str">
        <f>VLOOKUP(A167,'Trips&amp;Operators'!$C$1:$G$99999,5,FALSE)</f>
        <v>COOLAHAN JOHN</v>
      </c>
      <c r="M167" s="6">
        <f t="shared" si="48"/>
        <v>1.0023148148320615E-2</v>
      </c>
      <c r="N167" s="7">
        <f t="shared" si="64"/>
        <v>14.433333333581686</v>
      </c>
      <c r="O167" s="7"/>
      <c r="P167" s="7"/>
      <c r="Q167" s="22"/>
      <c r="R167" s="190"/>
      <c r="S167" s="196">
        <f t="shared" si="46"/>
        <v>1</v>
      </c>
      <c r="T167" s="190" t="str">
        <f t="shared" si="49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0"/>
        <v>https://d0f6bd738d7f1b3e5a7ca70fe4ff75f0.us-east-1.aws.found.io/app/kibana#/discover/Steve-Slow-Train-Analysis-(2080s-and-2083s)?_g=(refreshInterval:(display:Off,pause:!f,section:0,value:0),time:(from:'2017-05-09T06:44:50-0600',mode:absolute,to:'2017-05-09T09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7" s="192" t="str">
        <f t="shared" si="51"/>
        <v>N</v>
      </c>
      <c r="X167" s="192">
        <f t="shared" ref="X167:X173" si="65">VALUE(LEFT(AD167,4))-VALUE(LEFT(AD166,4))</f>
        <v>1</v>
      </c>
      <c r="Y167" s="192">
        <f t="shared" si="53"/>
        <v>9.8599999999999993E-2</v>
      </c>
      <c r="Z167" s="192">
        <f t="shared" si="54"/>
        <v>5.8992000000000004</v>
      </c>
      <c r="AA167" s="192">
        <f t="shared" si="55"/>
        <v>5.8006000000000002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6"/>
        <v>0809-09</v>
      </c>
      <c r="AE167" s="80" t="str">
        <f t="shared" si="57"/>
        <v>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 &amp; 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</v>
      </c>
      <c r="AF167" s="77" t="str">
        <f t="shared" si="58"/>
        <v>"C:\Program Files (x86)\AstroGrep\AstroGrep.exe" /e /r /s /spath="%USERPROFILE%\AppData\Local\Temp\OnboardLogs" /stypes="app*4006*20170509*" /stext=" 14:.+((SYSTEM_STATE.+slice.+state.+changed )|(ment ac)|(multiple cpu faults)|(system.+state.+changed )|(\[timeout)|(PRM\|1\|D)|(kpr)|(kdp)|(train st.+moving)|(\|lc)|(penalty))"</v>
      </c>
      <c r="AG167" s="1" t="str">
        <f t="shared" si="59"/>
        <v>NW</v>
      </c>
      <c r="AH167" s="81" t="str">
        <f t="shared" si="60"/>
        <v>"%USERPROFILE%\Documents\GitHub\eaglep3\Utilities\RefineRTDCRunTimes.py" --tripid 809-09 --locoid 4006 --swversion DE.1.0.9.0 --startMP 204:986 --initTime 2017-05-09T07:44:50 --startdatetime 2017-05-09T07:51:17 --delay 1 --endMP 300:58992 --enddatetime 2017-05-09T08:05:43 --enforcementcount 0 &gt;&gt;C:\Users\stu\Documents\GitHub\eaglep3-reporting\EC\2017-05-09-refined-times.txt</v>
      </c>
      <c r="AI167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{"issue":{"subject":"","project_id":79,"tracker_id":40,"status_id":1,"priority_id":2,"assigned_to_id":23,"start_date":"2017-05-09","description":"","custom_fields":[{"id":1,"name":"Subdivision","value":"NW"},{"id":4,"name":"Milepost","value":"5.8992"},{"id":17,"name":"Train ID","value":"809-09"},{"id":16,"name":"Locomotive ID","value":"4006"},{"id":130,"name":"Impact","value":""},{"id":150,"name":"Time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62"/>
        <v>start /low /b %USERPROFILE%\Documents\GitHub\eaglep3\Utilities\DownloadLogsFromS3.py --loco 4006 --day 2017-05-09</v>
      </c>
      <c r="AN167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645</v>
      </c>
      <c r="B168" s="7">
        <v>4005</v>
      </c>
      <c r="C168" s="21" t="s">
        <v>207</v>
      </c>
      <c r="D168" s="21" t="s">
        <v>957</v>
      </c>
      <c r="E168" s="13">
        <v>42864.338587962964</v>
      </c>
      <c r="F168" s="13">
        <v>42864.339918981481</v>
      </c>
      <c r="G168" s="7">
        <v>1</v>
      </c>
      <c r="H168" s="21" t="s">
        <v>958</v>
      </c>
      <c r="I168" s="13">
        <v>42864.351157407407</v>
      </c>
      <c r="J168" s="7">
        <v>0</v>
      </c>
      <c r="K168" s="92" t="str">
        <f t="shared" si="47"/>
        <v>4005/4006</v>
      </c>
      <c r="L168" s="21" t="str">
        <f>VLOOKUP(A168,'Trips&amp;Operators'!$C$1:$G$99999,5,FALSE)</f>
        <v>COOLAHAN JOHN</v>
      </c>
      <c r="M168" s="6">
        <f t="shared" si="48"/>
        <v>1.1238425926421769E-2</v>
      </c>
      <c r="N168" s="7">
        <f t="shared" si="64"/>
        <v>16.183333334047347</v>
      </c>
      <c r="O168" s="7"/>
      <c r="P168" s="7"/>
      <c r="Q168" s="22"/>
      <c r="R168" s="190"/>
      <c r="S168" s="196">
        <f t="shared" si="46"/>
        <v>1</v>
      </c>
      <c r="T168" s="190" t="str">
        <f t="shared" si="49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0"/>
        <v>https://d0f6bd738d7f1b3e5a7ca70fe4ff75f0.us-east-1.aws.found.io/app/kibana#/discover/Steve-Slow-Train-Analysis-(2080s-and-2083s)?_g=(refreshInterval:(display:Off,pause:!f,section:0,value:0),time:(from:'2017-05-09T07:07:34-0600',mode:absolute,to:'2017-05-09T09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8" s="192" t="str">
        <f t="shared" si="51"/>
        <v>N</v>
      </c>
      <c r="X168" s="192">
        <f t="shared" si="65"/>
        <v>1</v>
      </c>
      <c r="Y168" s="192">
        <f t="shared" si="53"/>
        <v>5.8681000000000001</v>
      </c>
      <c r="Z168" s="192">
        <f t="shared" si="54"/>
        <v>7.8E-2</v>
      </c>
      <c r="AA168" s="192">
        <f t="shared" si="55"/>
        <v>5.7900999999999998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6"/>
        <v>0810-09</v>
      </c>
      <c r="AE168" s="80" t="str">
        <f t="shared" si="57"/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AF168" s="77" t="str">
        <f t="shared" si="58"/>
        <v>"C:\Program Files (x86)\AstroGrep\AstroGrep.exe" /e /r /s /spath="%USERPROFILE%\AppData\Local\Temp\OnboardLogs" /stypes="app*4005*20170509*" /stext=" 14:.+((SYSTEM_STATE.+slice.+state.+changed )|(ment ac)|(multiple cpu faults)|(system.+state.+changed )|(\[timeout)|(PRM\|1\|D)|(kpr)|(kdp)|(train st.+moving)|(\|lc)|(penalty))"</v>
      </c>
      <c r="AG168" s="1" t="str">
        <f t="shared" si="59"/>
        <v>NW</v>
      </c>
      <c r="AH168" s="81" t="str">
        <f t="shared" si="60"/>
        <v>"%USERPROFILE%\Documents\GitHub\eaglep3\Utilities\RefineRTDCRunTimes.py" --tripid 810-09 --locoid 4005 --swversion DE.1.0.9.0 --startMP 300:58681 --initTime 2017-05-09T08:07:34 --startdatetime 2017-05-09T08:09:29 --delay 1 --endMP 204:780 --enddatetime 2017-05-09T08:25:40 --enforcementcount 0 &gt;&gt;C:\Users\stu\Documents\GitHub\eaglep3-reporting\EC\2017-05-09-refined-times.txt</v>
      </c>
      <c r="AI168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{"issue":{"subject":"","project_id":79,"tracker_id":40,"status_id":1,"priority_id":2,"assigned_to_id":23,"start_date":"2017-05-09","description":"","custom_fields":[{"id":1,"name":"Subdivision","value":"NW"},{"id":4,"name":"Milepost","value":"0.078"},{"id":17,"name":"Train ID","value":"810-09"},{"id":16,"name":"Locomotive ID","value":"4005"},{"id":130,"name":"Impact","value":""},{"id":150,"name":"Time of Event (Mountain Time)","value":"08:25:40"},{"id":151,"name":"Denver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62"/>
        <v>start /low /b %USERPROFILE%\Documents\GitHub\eaglep3\Utilities\DownloadLogsFromS3.py --loco 4005 --day 2017-05-09</v>
      </c>
      <c r="AN168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648</v>
      </c>
      <c r="B169" s="7">
        <v>4018</v>
      </c>
      <c r="C169" s="21" t="s">
        <v>207</v>
      </c>
      <c r="D169" s="21" t="s">
        <v>959</v>
      </c>
      <c r="E169" s="13">
        <v>42864.346180555556</v>
      </c>
      <c r="F169" s="13">
        <v>42864.348090277781</v>
      </c>
      <c r="G169" s="7">
        <v>1</v>
      </c>
      <c r="H169" s="21" t="s">
        <v>960</v>
      </c>
      <c r="I169" s="13">
        <v>42864.357951388891</v>
      </c>
      <c r="J169" s="7">
        <v>0</v>
      </c>
      <c r="K169" s="92" t="str">
        <f t="shared" si="47"/>
        <v>4017/4018</v>
      </c>
      <c r="L169" s="21" t="str">
        <f>VLOOKUP(A169,'Trips&amp;Operators'!$C$1:$G$99999,5,FALSE)</f>
        <v>BEAM ROSS</v>
      </c>
      <c r="M169" s="6">
        <f t="shared" si="48"/>
        <v>9.8611111097852699E-3</v>
      </c>
      <c r="N169" s="7">
        <f t="shared" si="64"/>
        <v>14.199999998090789</v>
      </c>
      <c r="O169" s="7"/>
      <c r="P169" s="7"/>
      <c r="Q169" s="22"/>
      <c r="R169" s="190"/>
      <c r="S169" s="196">
        <f t="shared" si="46"/>
        <v>1</v>
      </c>
      <c r="T169" s="190" t="str">
        <f t="shared" si="49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0"/>
        <v>https://d0f6bd738d7f1b3e5a7ca70fe4ff75f0.us-east-1.aws.found.io/app/kibana#/discover/Steve-Slow-Train-Analysis-(2080s-and-2083s)?_g=(refreshInterval:(display:Off,pause:!f,section:0,value:0),time:(from:'2017-05-09T07:18:30-0600',mode:absolute,to:'2017-05-09T09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9" s="192" t="str">
        <f t="shared" si="51"/>
        <v>N</v>
      </c>
      <c r="X169" s="192">
        <f t="shared" si="65"/>
        <v>1</v>
      </c>
      <c r="Y169" s="192">
        <f t="shared" si="53"/>
        <v>9.8100000000000007E-2</v>
      </c>
      <c r="Z169" s="192">
        <f t="shared" si="54"/>
        <v>5.8936999999999999</v>
      </c>
      <c r="AA169" s="192">
        <f t="shared" si="55"/>
        <v>5.7956000000000003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6"/>
        <v>0811-09</v>
      </c>
      <c r="AE169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69" s="77" t="str">
        <f t="shared" si="58"/>
        <v>"C:\Program Files (x86)\AstroGrep\AstroGrep.exe" /e /r /s /spath="%USERPROFILE%\AppData\Local\Temp\OnboardLogs" /stypes="app*4018*20170509*" /stext=" 14:.+((SYSTEM_STATE.+slice.+state.+changed )|(ment ac)|(multiple cpu faults)|(system.+state.+changed )|(\[timeout)|(PRM\|1\|D)|(kpr)|(kdp)|(train st.+moving)|(\|lc)|(penalty))"</v>
      </c>
      <c r="AG169" s="1" t="str">
        <f t="shared" si="59"/>
        <v>NW</v>
      </c>
      <c r="AH169" s="81" t="str">
        <f t="shared" si="60"/>
        <v>"%USERPROFILE%\Documents\GitHub\eaglep3\Utilities\RefineRTDCRunTimes.py" --tripid 811-09 --locoid 4018 --swversion DE.1.0.9.0 --startMP 204:981 --initTime 2017-05-09T08:18:30 --startdatetime 2017-05-09T08:21:15 --delay 1 --endMP 300:58937 --enddatetime 2017-05-09T08:35:27 --enforcementcount 0 &gt;&gt;C:\Users\stu\Documents\GitHub\eaglep3-reporting\EC\2017-05-09-refined-times.txt</v>
      </c>
      <c r="AI169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{"issue":{"subject":"","project_id":79,"tracker_id":40,"status_id":1,"priority_id":2,"assigned_to_id":23,"start_date":"2017-05-09","description":"","custom_fields":[{"id":1,"name":"Subdivision","value":"NW"},{"id":4,"name":"Milepost","value":"5.8937"},{"id":17,"name":"Train ID","value":"811-09"},{"id":16,"name":"Locomotive ID","value":"4018"},{"id":130,"name":"Impact","value":""},{"id":150,"name":"Time of Event (Mountain Time)","value":"08:35:27"},{"id":151,"name":"Denver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62"/>
        <v>start /low /b %USERPROFILE%\Documents\GitHub\eaglep3\Utilities\DownloadLogsFromS3.py --loco 4018 --day 2017-05-09</v>
      </c>
      <c r="AN169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652</v>
      </c>
      <c r="B170" s="7">
        <v>4017</v>
      </c>
      <c r="C170" s="21" t="s">
        <v>207</v>
      </c>
      <c r="D170" s="21" t="s">
        <v>961</v>
      </c>
      <c r="E170" s="13">
        <v>42864.360891203702</v>
      </c>
      <c r="F170" s="13">
        <v>42864.362303240741</v>
      </c>
      <c r="G170" s="7">
        <v>1</v>
      </c>
      <c r="H170" s="21" t="s">
        <v>962</v>
      </c>
      <c r="I170" s="13">
        <v>42864.372060185182</v>
      </c>
      <c r="J170" s="7">
        <v>0</v>
      </c>
      <c r="K170" s="92" t="str">
        <f t="shared" si="47"/>
        <v>4017/4018</v>
      </c>
      <c r="L170" s="21" t="str">
        <f>VLOOKUP(A170,'Trips&amp;Operators'!$C$1:$G$99999,5,FALSE)</f>
        <v>BEAM ROSS</v>
      </c>
      <c r="M170" s="6">
        <f t="shared" si="48"/>
        <v>9.7569444405962713E-3</v>
      </c>
      <c r="N170" s="7">
        <f t="shared" si="64"/>
        <v>14.049999994458631</v>
      </c>
      <c r="O170" s="7"/>
      <c r="P170" s="7"/>
      <c r="Q170" s="22"/>
      <c r="R170" s="190"/>
      <c r="S170" s="196">
        <f t="shared" si="46"/>
        <v>1</v>
      </c>
      <c r="T170" s="190" t="str">
        <f t="shared" si="49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0"/>
        <v>https://d0f6bd738d7f1b3e5a7ca70fe4ff75f0.us-east-1.aws.found.io/app/kibana#/discover/Steve-Slow-Train-Analysis-(2080s-and-2083s)?_g=(refreshInterval:(display:Off,pause:!f,section:0,value:0),time:(from:'2017-05-09T07:39:41-0600',mode:absolute,to:'2017-05-09T09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0" s="192" t="str">
        <f t="shared" si="51"/>
        <v>N</v>
      </c>
      <c r="X170" s="192">
        <f t="shared" si="65"/>
        <v>1</v>
      </c>
      <c r="Y170" s="192">
        <f t="shared" si="53"/>
        <v>5.8577000000000004</v>
      </c>
      <c r="Z170" s="192">
        <f t="shared" si="54"/>
        <v>7.0999999999999994E-2</v>
      </c>
      <c r="AA170" s="192">
        <f t="shared" si="55"/>
        <v>5.7867000000000006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6"/>
        <v>0812-09</v>
      </c>
      <c r="AE170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70" s="77" t="str">
        <f t="shared" si="58"/>
        <v>"C:\Program Files (x86)\AstroGrep\AstroGrep.exe" /e /r /s /spath="%USERPROFILE%\AppData\Local\Temp\OnboardLogs" /stypes="app*4017*20170509*" /stext=" 14:.+((SYSTEM_STATE.+slice.+state.+changed )|(ment ac)|(multiple cpu faults)|(system.+state.+changed )|(\[timeout)|(PRM\|1\|D)|(kpr)|(kdp)|(train st.+moving)|(\|lc)|(penalty))"</v>
      </c>
      <c r="AG170" s="1" t="str">
        <f t="shared" si="59"/>
        <v>NW</v>
      </c>
      <c r="AH170" s="81" t="str">
        <f t="shared" si="60"/>
        <v>"%USERPROFILE%\Documents\GitHub\eaglep3\Utilities\RefineRTDCRunTimes.py" --tripid 812-09 --locoid 4017 --swversion DE.1.0.9.0 --startMP 300:58577 --initTime 2017-05-09T08:39:41 --startdatetime 2017-05-09T08:41:43 --delay 1 --endMP 204:710 --enddatetime 2017-05-09T08:55:46 --enforcementcount 0 &gt;&gt;C:\Users\stu\Documents\GitHub\eaglep3-reporting\EC\2017-05-09-refined-times.txt</v>
      </c>
      <c r="AI170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{"issue":{"subject":"","project_id":79,"tracker_id":40,"status_id":1,"priority_id":2,"assigned_to_id":23,"start_date":"2017-05-09","description":"","custom_fields":[{"id":1,"name":"Subdivision","value":"NW"},{"id":4,"name":"Milepost","value":"0.071"},{"id":17,"name":"Train ID","value":"812-09"},{"id":16,"name":"Locomotive ID","value":"4017"},{"id":130,"name":"Impact","value":""},{"id":150,"name":"Time of Event (Mountain Time)","value":"08:55:46"},{"id":151,"name":"Denver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62"/>
        <v>start /low /b %USERPROFILE%\Documents\GitHub\eaglep3\Utilities\DownloadLogsFromS3.py --loco 4017 --day 2017-05-09</v>
      </c>
      <c r="AN170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658</v>
      </c>
      <c r="B171" s="7">
        <v>4018</v>
      </c>
      <c r="C171" s="21" t="s">
        <v>207</v>
      </c>
      <c r="D171" s="21" t="s">
        <v>963</v>
      </c>
      <c r="E171" s="13">
        <v>42864.386979166666</v>
      </c>
      <c r="F171" s="13">
        <v>42864.389745370368</v>
      </c>
      <c r="G171" s="7">
        <v>1</v>
      </c>
      <c r="H171" s="21" t="s">
        <v>964</v>
      </c>
      <c r="I171" s="13">
        <v>42864.399733796294</v>
      </c>
      <c r="J171" s="7">
        <v>0</v>
      </c>
      <c r="K171" s="92" t="str">
        <f t="shared" si="47"/>
        <v>4017/4018</v>
      </c>
      <c r="L171" s="21" t="str">
        <f>VLOOKUP(A171,'Trips&amp;Operators'!$C$1:$G$99999,5,FALSE)</f>
        <v>BEAM ROSS</v>
      </c>
      <c r="M171" s="6">
        <f t="shared" si="48"/>
        <v>9.9884259252576157E-3</v>
      </c>
      <c r="N171" s="7">
        <f t="shared" si="64"/>
        <v>14.383333332370967</v>
      </c>
      <c r="O171" s="7"/>
      <c r="P171" s="7"/>
      <c r="Q171" s="22"/>
      <c r="R171" s="190"/>
      <c r="S171" s="196">
        <f t="shared" si="46"/>
        <v>1</v>
      </c>
      <c r="T171" s="190" t="str">
        <f t="shared" si="49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0"/>
        <v>https://d0f6bd738d7f1b3e5a7ca70fe4ff75f0.us-east-1.aws.found.io/app/kibana#/discover/Steve-Slow-Train-Analysis-(2080s-and-2083s)?_g=(refreshInterval:(display:Off,pause:!f,section:0,value:0),time:(from:'2017-05-09T08:17:15-0600',mode:absolute,to:'2017-05-09T10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1" s="192" t="str">
        <f t="shared" si="51"/>
        <v>N</v>
      </c>
      <c r="X171" s="192">
        <f t="shared" si="65"/>
        <v>1</v>
      </c>
      <c r="Y171" s="192">
        <f t="shared" si="53"/>
        <v>9.9299999999999999E-2</v>
      </c>
      <c r="Z171" s="192">
        <f t="shared" si="54"/>
        <v>5.8930999999999996</v>
      </c>
      <c r="AA171" s="192">
        <f t="shared" si="55"/>
        <v>5.7937999999999992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6"/>
        <v>0813-09</v>
      </c>
      <c r="AE171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71" s="77" t="str">
        <f t="shared" si="58"/>
        <v>"C:\Program Files (x86)\AstroGrep\AstroGrep.exe" /e /r /s /spath="%USERPROFILE%\AppData\Local\Temp\OnboardLogs" /stypes="app*4018*20170509*" /stext=" 15:.+((SYSTEM_STATE.+slice.+state.+changed )|(ment ac)|(multiple cpu faults)|(system.+state.+changed )|(\[timeout)|(PRM\|1\|D)|(kpr)|(kdp)|(train st.+moving)|(\|lc)|(penalty))"</v>
      </c>
      <c r="AG171" s="1" t="str">
        <f t="shared" si="59"/>
        <v>NW</v>
      </c>
      <c r="AH171" s="81" t="str">
        <f t="shared" si="60"/>
        <v>"%USERPROFILE%\Documents\GitHub\eaglep3\Utilities\RefineRTDCRunTimes.py" --tripid 813-09 --locoid 4018 --swversion DE.1.0.9.0 --startMP 204:993 --initTime 2017-05-09T09:17:15 --startdatetime 2017-05-09T09:21:14 --delay 1 --endMP 300:58931 --enddatetime 2017-05-09T09:35:37 --enforcementcount 0 &gt;&gt;C:\Users\stu\Documents\GitHub\eaglep3-reporting\EC\2017-05-09-refined-times.txt</v>
      </c>
      <c r="AI171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{"issue":{"subject":"","project_id":79,"tracker_id":40,"status_id":1,"priority_id":2,"assigned_to_id":23,"start_date":"2017-05-09","description":"","custom_fields":[{"id":1,"name":"Subdivision","value":"NW"},{"id":4,"name":"Milepost","value":"5.8931"},{"id":17,"name":"Train ID","value":"813-09"},{"id":16,"name":"Locomotive ID","value":"4018"},{"id":130,"name":"Impact","value":""},{"id":150,"name":"Time of Event (Mountain Time)","value":"09:35:37"},{"id":151,"name":"Denver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62"/>
        <v>start /low /b %USERPROFILE%\Documents\GitHub\eaglep3\Utilities\DownloadLogsFromS3.py --loco 4018 --day 2017-05-09</v>
      </c>
      <c r="AN171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15:35:37"},{"id":29,"name":"Sharepoint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661</v>
      </c>
      <c r="B172" s="7">
        <v>4017</v>
      </c>
      <c r="C172" s="21" t="s">
        <v>207</v>
      </c>
      <c r="D172" s="21" t="s">
        <v>432</v>
      </c>
      <c r="E172" s="13">
        <v>42864.400636574072</v>
      </c>
      <c r="F172" s="13">
        <v>42864.401875000003</v>
      </c>
      <c r="G172" s="7">
        <v>1</v>
      </c>
      <c r="H172" s="21" t="s">
        <v>965</v>
      </c>
      <c r="I172" s="13">
        <v>42864.413414351853</v>
      </c>
      <c r="J172" s="7">
        <v>0</v>
      </c>
      <c r="K172" s="92" t="str">
        <f t="shared" si="47"/>
        <v>4017/4018</v>
      </c>
      <c r="L172" s="21" t="str">
        <f>VLOOKUP(A172,'Trips&amp;Operators'!$C$1:$G$99999,5,FALSE)</f>
        <v>BEAM ROSS</v>
      </c>
      <c r="M172" s="6">
        <f t="shared" si="48"/>
        <v>1.1539351849933155E-2</v>
      </c>
      <c r="N172" s="7">
        <f t="shared" si="64"/>
        <v>16.616666663903743</v>
      </c>
      <c r="O172" s="7"/>
      <c r="P172" s="7"/>
      <c r="Q172" s="22"/>
      <c r="R172" s="190"/>
      <c r="S172" s="196">
        <f t="shared" si="46"/>
        <v>1</v>
      </c>
      <c r="T172" s="190" t="str">
        <f t="shared" si="49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0"/>
        <v>https://d0f6bd738d7f1b3e5a7ca70fe4ff75f0.us-east-1.aws.found.io/app/kibana#/discover/Steve-Slow-Train-Analysis-(2080s-and-2083s)?_g=(refreshInterval:(display:Off,pause:!f,section:0,value:0),time:(from:'2017-05-09T08:36:55-0600',mode:absolute,to:'2017-05-09T10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2" s="192" t="str">
        <f t="shared" si="51"/>
        <v>N</v>
      </c>
      <c r="X172" s="192">
        <f t="shared" si="65"/>
        <v>1</v>
      </c>
      <c r="Y172" s="192">
        <f t="shared" si="53"/>
        <v>5.8620999999999999</v>
      </c>
      <c r="Z172" s="192">
        <f t="shared" si="54"/>
        <v>7.1300000000000002E-2</v>
      </c>
      <c r="AA172" s="192">
        <f t="shared" si="55"/>
        <v>5.7907999999999999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6"/>
        <v>0814-09</v>
      </c>
      <c r="AE172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72" s="77" t="str">
        <f t="shared" si="58"/>
        <v>"C:\Program Files (x86)\AstroGrep\AstroGrep.exe" /e /r /s /spath="%USERPROFILE%\AppData\Local\Temp\OnboardLogs" /stypes="app*4017*20170509*" /stext=" 15:.+((SYSTEM_STATE.+slice.+state.+changed )|(ment ac)|(multiple cpu faults)|(system.+state.+changed )|(\[timeout)|(PRM\|1\|D)|(kpr)|(kdp)|(train st.+moving)|(\|lc)|(penalty))"</v>
      </c>
      <c r="AG172" s="1" t="str">
        <f t="shared" si="59"/>
        <v>NW</v>
      </c>
      <c r="AH172" s="81" t="str">
        <f t="shared" si="60"/>
        <v>"%USERPROFILE%\Documents\GitHub\eaglep3\Utilities\RefineRTDCRunTimes.py" --tripid 814-09 --locoid 4017 --swversion DE.1.0.9.0 --startMP 300:58621 --initTime 2017-05-09T09:36:55 --startdatetime 2017-05-09T09:38:42 --delay 1 --endMP 204:713 --enddatetime 2017-05-09T09:55:19 --enforcementcount 0 &gt;&gt;C:\Users\stu\Documents\GitHub\eaglep3-reporting\EC\2017-05-09-refined-times.txt</v>
      </c>
      <c r="AI172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{"issue":{"subject":"","project_id":79,"tracker_id":40,"status_id":1,"priority_id":2,"assigned_to_id":23,"start_date":"2017-05-09","description":"","custom_fields":[{"id":1,"name":"Subdivision","value":"NW"},{"id":4,"name":"Milepost","value":"0.0713"},{"id":17,"name":"Train ID","value":"814-09"},{"id":16,"name":"Locomotive ID","value":"4017"},{"id":130,"name":"Impact","value":""},{"id":150,"name":"Time of Event (Mountain Time)","value":"09:55:19"},{"id":151,"name":"Denver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62"/>
        <v>start /low /b %USERPROFILE%\Documents\GitHub\eaglep3\Utilities\DownloadLogsFromS3.py --loco 4017 --day 2017-05-09</v>
      </c>
      <c r="AN172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15:55:19"},{"id":29,"name":"Sharepoint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667</v>
      </c>
      <c r="B173" s="7">
        <v>4018</v>
      </c>
      <c r="C173" s="21" t="s">
        <v>207</v>
      </c>
      <c r="D173" s="21" t="s">
        <v>966</v>
      </c>
      <c r="E173" s="13">
        <v>42864.42900462963</v>
      </c>
      <c r="F173" s="13">
        <v>42864.431400462963</v>
      </c>
      <c r="G173" s="7">
        <v>1</v>
      </c>
      <c r="H173" s="21" t="s">
        <v>389</v>
      </c>
      <c r="I173" s="13">
        <v>42864.441018518519</v>
      </c>
      <c r="J173" s="7">
        <v>0</v>
      </c>
      <c r="K173" s="92" t="str">
        <f t="shared" si="47"/>
        <v>4017/4018</v>
      </c>
      <c r="L173" s="21" t="str">
        <f>VLOOKUP(A173,'Trips&amp;Operators'!$C$1:$G$99999,5,FALSE)</f>
        <v>BEAM ROSS</v>
      </c>
      <c r="M173" s="6">
        <f t="shared" si="48"/>
        <v>9.6180555556202307E-3</v>
      </c>
      <c r="N173" s="7">
        <f t="shared" si="64"/>
        <v>13.850000000093132</v>
      </c>
      <c r="O173" s="7"/>
      <c r="P173" s="7"/>
      <c r="Q173" s="22"/>
      <c r="R173" s="190"/>
      <c r="S173" s="196">
        <f t="shared" si="46"/>
        <v>1</v>
      </c>
      <c r="T173" s="190" t="str">
        <f t="shared" si="49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0"/>
        <v>https://d0f6bd738d7f1b3e5a7ca70fe4ff75f0.us-east-1.aws.found.io/app/kibana#/discover/Steve-Slow-Train-Analysis-(2080s-and-2083s)?_g=(refreshInterval:(display:Off,pause:!f,section:0,value:0),time:(from:'2017-05-09T09:17:46-0600',mode:absolute,to:'2017-05-09T11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3" s="192" t="str">
        <f t="shared" si="51"/>
        <v>N</v>
      </c>
      <c r="X173" s="192">
        <f t="shared" si="65"/>
        <v>1</v>
      </c>
      <c r="Y173" s="192">
        <f t="shared" si="53"/>
        <v>0.1</v>
      </c>
      <c r="Z173" s="192">
        <f t="shared" si="54"/>
        <v>5.8939000000000004</v>
      </c>
      <c r="AA173" s="192">
        <f t="shared" si="55"/>
        <v>5.7939000000000007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6"/>
        <v>0815-09</v>
      </c>
      <c r="AE173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73" s="77" t="str">
        <f t="shared" si="58"/>
        <v>"C:\Program Files (x86)\AstroGrep\AstroGrep.exe" /e /r /s /spath="%USERPROFILE%\AppData\Local\Temp\OnboardLogs" /stypes="app*4018*20170509*" /stext=" 16:.+((SYSTEM_STATE.+slice.+state.+changed )|(ment ac)|(multiple cpu faults)|(system.+state.+changed )|(\[timeout)|(PRM\|1\|D)|(kpr)|(kdp)|(train st.+moving)|(\|lc)|(penalty))"</v>
      </c>
      <c r="AG173" s="1" t="str">
        <f t="shared" si="59"/>
        <v>NW</v>
      </c>
      <c r="AH173" s="81" t="str">
        <f t="shared" si="60"/>
        <v>"%USERPROFILE%\Documents\GitHub\eaglep3\Utilities\RefineRTDCRunTimes.py" --tripid 815-09 --locoid 4018 --swversion DE.1.0.9.0 --startMP 204:1000 --initTime 2017-05-09T10:17:46 --startdatetime 2017-05-09T10:21:13 --delay 1 --endMP 300:58939 --enddatetime 2017-05-09T10:35:04 --enforcementcount 0 &gt;&gt;C:\Users\stu\Documents\GitHub\eaglep3-reporting\EC\2017-05-09-refined-times.txt</v>
      </c>
      <c r="AI173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{"issue":{"subject":"","project_id":79,"tracker_id":40,"status_id":1,"priority_id":2,"assigned_to_id":23,"start_date":"2017-05-09","description":"","custom_fields":[{"id":1,"name":"Subdivision","value":"NW"},{"id":4,"name":"Milepost","value":"5.8939"},{"id":17,"name":"Train ID","value":"815-09"},{"id":16,"name":"Locomotive ID","value":"4018"},{"id":130,"name":"Impact","value":""},{"id":150,"name":"Time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2"/>
        <v>start /low /b %USERPROFILE%\Documents\GitHub\eaglep3\Utilities\DownloadLogsFromS3.py --loco 4018 --day 2017-05-09</v>
      </c>
      <c r="AN173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672</v>
      </c>
      <c r="B174" s="7">
        <v>4017</v>
      </c>
      <c r="C174" s="21" t="s">
        <v>207</v>
      </c>
      <c r="D174" s="21" t="s">
        <v>549</v>
      </c>
      <c r="E174" s="13">
        <v>42864.441932870373</v>
      </c>
      <c r="F174" s="13">
        <v>42864.44332175926</v>
      </c>
      <c r="G174" s="7">
        <v>1</v>
      </c>
      <c r="H174" s="21" t="s">
        <v>967</v>
      </c>
      <c r="I174" s="13">
        <v>42864.45511574074</v>
      </c>
      <c r="J174" s="7">
        <v>0</v>
      </c>
      <c r="K174" s="92" t="str">
        <f t="shared" si="47"/>
        <v>4017/4018</v>
      </c>
      <c r="L174" s="21" t="str">
        <f>VLOOKUP(A174,'Trips&amp;Operators'!$C$1:$G$99999,5,FALSE)</f>
        <v>BEAM ROSS</v>
      </c>
      <c r="M174" s="6">
        <f t="shared" si="48"/>
        <v>1.1793981480877846E-2</v>
      </c>
      <c r="N174" s="7">
        <f t="shared" si="64"/>
        <v>16.983333332464099</v>
      </c>
      <c r="O174" s="7"/>
      <c r="P174" s="7"/>
      <c r="Q174" s="22"/>
      <c r="R174" s="190"/>
      <c r="S174" s="196">
        <f t="shared" si="46"/>
        <v>1</v>
      </c>
      <c r="T174" s="190" t="str">
        <f t="shared" si="49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0"/>
        <v>https://d0f6bd738d7f1b3e5a7ca70fe4ff75f0.us-east-1.aws.found.io/app/kibana#/discover/Steve-Slow-Train-Analysis-(2080s-and-2083s)?_g=(refreshInterval:(display:Off,pause:!f,section:0,value:0),time:(from:'2017-05-09T09:36:23-0600',mode:absolute,to:'2017-05-09T11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4" s="192" t="str">
        <f t="shared" si="51"/>
        <v>N</v>
      </c>
      <c r="X174" s="192">
        <f t="shared" ref="X174:X183" si="66">VALUE(LEFT(AD174,4))-VALUE(LEFT(AD173,4))</f>
        <v>1</v>
      </c>
      <c r="Y174" s="192">
        <f t="shared" si="53"/>
        <v>5.8623000000000003</v>
      </c>
      <c r="Z174" s="192">
        <f t="shared" si="54"/>
        <v>6.9199999999999998E-2</v>
      </c>
      <c r="AA174" s="192">
        <f t="shared" si="55"/>
        <v>5.7930999999999999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6"/>
        <v>0816-09</v>
      </c>
      <c r="AE174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74" s="77" t="str">
        <f t="shared" si="58"/>
        <v>"C:\Program Files (x86)\AstroGrep\AstroGrep.exe" /e /r /s /spath="%USERPROFILE%\AppData\Local\Temp\OnboardLogs" /stypes="app*4017*20170509*" /stext=" 16:.+((SYSTEM_STATE.+slice.+state.+changed )|(ment ac)|(multiple cpu faults)|(system.+state.+changed )|(\[timeout)|(PRM\|1\|D)|(kpr)|(kdp)|(train st.+moving)|(\|lc)|(penalty))"</v>
      </c>
      <c r="AG174" s="1" t="str">
        <f t="shared" si="59"/>
        <v>NW</v>
      </c>
      <c r="AH174" s="81" t="str">
        <f t="shared" si="60"/>
        <v>"%USERPROFILE%\Documents\GitHub\eaglep3\Utilities\RefineRTDCRunTimes.py" --tripid 816-09 --locoid 4017 --swversion DE.1.0.9.0 --startMP 300:58623 --initTime 2017-05-09T10:36:23 --startdatetime 2017-05-09T10:38:23 --delay 1 --endMP 204:692 --enddatetime 2017-05-09T10:55:22 --enforcementcount 0 &gt;&gt;C:\Users\stu\Documents\GitHub\eaglep3-reporting\EC\2017-05-09-refined-times.txt</v>
      </c>
      <c r="AI174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{"issue":{"subject":"","project_id":79,"tracker_id":40,"status_id":1,"priority_id":2,"assigned_to_id":23,"start_date":"2017-05-09","description":"","custom_fields":[{"id":1,"name":"Subdivision","value":"NW"},{"id":4,"name":"Milepost","value":"0.0692"},{"id":17,"name":"Train ID","value":"816-09"},{"id":16,"name":"Locomotive ID","value":"4017"},{"id":130,"name":"Impact","value":""},{"id":150,"name":"Time of Event (Mountain Time)","value":"10:55:22"},{"id":151,"name":"Denver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62"/>
        <v>start /low /b %USERPROFILE%\Documents\GitHub\eaglep3\Utilities\DownloadLogsFromS3.py --loco 4017 --day 2017-05-09</v>
      </c>
      <c r="AN174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16:55:22"},{"id":29,"name":"Sharepoint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679</v>
      </c>
      <c r="B175" s="7">
        <v>4018</v>
      </c>
      <c r="C175" s="21" t="s">
        <v>207</v>
      </c>
      <c r="D175" s="21" t="s">
        <v>968</v>
      </c>
      <c r="E175" s="13">
        <v>42864.470324074071</v>
      </c>
      <c r="F175" s="13">
        <v>42864.473090277781</v>
      </c>
      <c r="G175" s="7">
        <v>1</v>
      </c>
      <c r="H175" s="21" t="s">
        <v>969</v>
      </c>
      <c r="I175" s="13">
        <v>42864.483124999999</v>
      </c>
      <c r="J175" s="7">
        <v>0</v>
      </c>
      <c r="K175" s="92" t="str">
        <f t="shared" si="47"/>
        <v>4017/4018</v>
      </c>
      <c r="L175" s="21" t="str">
        <f>VLOOKUP(A175,'Trips&amp;Operators'!$C$1:$G$99999,5,FALSE)</f>
        <v>BEAM ROSS</v>
      </c>
      <c r="M175" s="6">
        <f t="shared" si="48"/>
        <v>1.003472221782431E-2</v>
      </c>
      <c r="N175" s="7">
        <f t="shared" si="64"/>
        <v>14.449999993667006</v>
      </c>
      <c r="O175" s="7"/>
      <c r="P175" s="7"/>
      <c r="Q175" s="22"/>
      <c r="R175" s="190"/>
      <c r="S175" s="196">
        <f t="shared" si="46"/>
        <v>1</v>
      </c>
      <c r="T175" s="190" t="str">
        <f t="shared" si="49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0"/>
        <v>https://d0f6bd738d7f1b3e5a7ca70fe4ff75f0.us-east-1.aws.found.io/app/kibana#/discover/Steve-Slow-Train-Analysis-(2080s-and-2083s)?_g=(refreshInterval:(display:Off,pause:!f,section:0,value:0),time:(from:'2017-05-09T10:17:16-0600',mode:absolute,to:'2017-05-09T12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5" s="192" t="str">
        <f t="shared" si="51"/>
        <v>N</v>
      </c>
      <c r="X175" s="192">
        <f t="shared" si="66"/>
        <v>1</v>
      </c>
      <c r="Y175" s="192">
        <f t="shared" si="53"/>
        <v>0.1004</v>
      </c>
      <c r="Z175" s="192">
        <f t="shared" si="54"/>
        <v>5.8948</v>
      </c>
      <c r="AA175" s="192">
        <f t="shared" si="55"/>
        <v>5.7944000000000004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6"/>
        <v>0817-09</v>
      </c>
      <c r="AE175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75" s="77" t="str">
        <f t="shared" si="58"/>
        <v>"C:\Program Files (x86)\AstroGrep\AstroGrep.exe" /e /r /s /spath="%USERPROFILE%\AppData\Local\Temp\OnboardLogs" /stypes="app*4018*20170509*" /stext=" 17:.+((SYSTEM_STATE.+slice.+state.+changed )|(ment ac)|(multiple cpu faults)|(system.+state.+changed )|(\[timeout)|(PRM\|1\|D)|(kpr)|(kdp)|(train st.+moving)|(\|lc)|(penalty))"</v>
      </c>
      <c r="AG175" s="1" t="str">
        <f t="shared" si="59"/>
        <v>NW</v>
      </c>
      <c r="AH175" s="81" t="str">
        <f t="shared" si="60"/>
        <v>"%USERPROFILE%\Documents\GitHub\eaglep3\Utilities\RefineRTDCRunTimes.py" --tripid 817-09 --locoid 4018 --swversion DE.1.0.9.0 --startMP 204:1004 --initTime 2017-05-09T11:17:16 --startdatetime 2017-05-09T11:21:15 --delay 1 --endMP 300:58948 --enddatetime 2017-05-09T11:35:42 --enforcementcount 0 &gt;&gt;C:\Users\stu\Documents\GitHub\eaglep3-reporting\EC\2017-05-09-refined-times.txt</v>
      </c>
      <c r="AI175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{"issue":{"subject":"","project_id":79,"tracker_id":40,"status_id":1,"priority_id":2,"assigned_to_id":23,"start_date":"2017-05-09","description":"","custom_fields":[{"id":1,"name":"Subdivision","value":"NW"},{"id":4,"name":"Milepost","value":"5.8948"},{"id":17,"name":"Train ID","value":"817-09"},{"id":16,"name":"Locomotive ID","value":"4018"},{"id":130,"name":"Impact","value":""},{"id":150,"name":"Time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62"/>
        <v>start /low /b %USERPROFILE%\Documents\GitHub\eaglep3\Utilities\DownloadLogsFromS3.py --loco 4018 --day 2017-05-09</v>
      </c>
      <c r="AN175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683</v>
      </c>
      <c r="B176" s="7">
        <v>4017</v>
      </c>
      <c r="C176" s="21" t="s">
        <v>207</v>
      </c>
      <c r="D176" s="21" t="s">
        <v>970</v>
      </c>
      <c r="E176" s="13">
        <v>42864.483831018515</v>
      </c>
      <c r="F176" s="13">
        <v>42864.485173611109</v>
      </c>
      <c r="G176" s="7">
        <v>1</v>
      </c>
      <c r="H176" s="21" t="s">
        <v>971</v>
      </c>
      <c r="I176" s="13">
        <v>42864.49695601852</v>
      </c>
      <c r="J176" s="7">
        <v>0</v>
      </c>
      <c r="K176" s="92" t="str">
        <f t="shared" si="47"/>
        <v>4017/4018</v>
      </c>
      <c r="L176" s="21" t="str">
        <f>VLOOKUP(A176,'Trips&amp;Operators'!$C$1:$G$99999,5,FALSE)</f>
        <v>BEAM ROSS</v>
      </c>
      <c r="M176" s="6">
        <f t="shared" si="48"/>
        <v>1.1782407411374152E-2</v>
      </c>
      <c r="N176" s="7">
        <f t="shared" ref="N176:N184" si="67">24*60*SUM($M176:$M176)</f>
        <v>16.966666672378778</v>
      </c>
      <c r="O176" s="7"/>
      <c r="P176" s="7"/>
      <c r="Q176" s="22"/>
      <c r="R176" s="190"/>
      <c r="S176" s="196">
        <f t="shared" ref="S176:S239" si="68">SUM(U176:U176)/IF(AG176="EC",12,1)</f>
        <v>1</v>
      </c>
      <c r="T176" s="190" t="str">
        <f t="shared" si="49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0"/>
        <v>https://d0f6bd738d7f1b3e5a7ca70fe4ff75f0.us-east-1.aws.found.io/app/kibana#/discover/Steve-Slow-Train-Analysis-(2080s-and-2083s)?_g=(refreshInterval:(display:Off,pause:!f,section:0,value:0),time:(from:'2017-05-09T10:36:43-0600',mode:absolute,to:'2017-05-09T12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6" s="192" t="str">
        <f t="shared" si="51"/>
        <v>N</v>
      </c>
      <c r="X176" s="192">
        <f t="shared" si="66"/>
        <v>1</v>
      </c>
      <c r="Y176" s="192">
        <f t="shared" si="53"/>
        <v>5.8638000000000003</v>
      </c>
      <c r="Z176" s="192">
        <f t="shared" si="54"/>
        <v>7.1499999999999994E-2</v>
      </c>
      <c r="AA176" s="192">
        <f t="shared" si="55"/>
        <v>5.7923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6"/>
        <v>0818-09</v>
      </c>
      <c r="AE176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76" s="77" t="str">
        <f t="shared" si="58"/>
        <v>"C:\Program Files (x86)\AstroGrep\AstroGrep.exe" /e /r /s /spath="%USERPROFILE%\AppData\Local\Temp\OnboardLogs" /stypes="app*4017*20170509*" /stext=" 17:.+((SYSTEM_STATE.+slice.+state.+changed )|(ment ac)|(multiple cpu faults)|(system.+state.+changed )|(\[timeout)|(PRM\|1\|D)|(kpr)|(kdp)|(train st.+moving)|(\|lc)|(penalty))"</v>
      </c>
      <c r="AG176" s="1" t="str">
        <f t="shared" si="59"/>
        <v>NW</v>
      </c>
      <c r="AH176" s="81" t="str">
        <f t="shared" si="60"/>
        <v>"%USERPROFILE%\Documents\GitHub\eaglep3\Utilities\RefineRTDCRunTimes.py" --tripid 818-09 --locoid 4017 --swversion DE.1.0.9.0 --startMP 300:58638 --initTime 2017-05-09T11:36:43 --startdatetime 2017-05-09T11:38:39 --delay 1 --endMP 204:715 --enddatetime 2017-05-09T11:55:37 --enforcementcount 0 &gt;&gt;C:\Users\stu\Documents\GitHub\eaglep3-reporting\EC\2017-05-09-refined-times.txt</v>
      </c>
      <c r="AI176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{"issue":{"subject":"","project_id":79,"tracker_id":40,"status_id":1,"priority_id":2,"assigned_to_id":23,"start_date":"2017-05-09","description":"","custom_fields":[{"id":1,"name":"Subdivision","value":"NW"},{"id":4,"name":"Milepost","value":"0.0715"},{"id":17,"name":"Train ID","value":"818-09"},{"id":16,"name":"Locomotive ID","value":"4017"},{"id":130,"name":"Impact","value":""},{"id":150,"name":"Time of Event (Mountain Time)","value":"11:55:37"},{"id":151,"name":"Denver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62"/>
        <v>start /low /b %USERPROFILE%\Documents\GitHub\eaglep3\Utilities\DownloadLogsFromS3.py --loco 4017 --day 2017-05-09</v>
      </c>
      <c r="AN176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579</v>
      </c>
      <c r="B177" s="7">
        <v>4018</v>
      </c>
      <c r="C177" s="21" t="s">
        <v>207</v>
      </c>
      <c r="D177" s="21" t="s">
        <v>972</v>
      </c>
      <c r="E177" s="13">
        <v>42864.510312500002</v>
      </c>
      <c r="F177" s="13">
        <v>42864.514756944445</v>
      </c>
      <c r="G177" s="7">
        <v>1</v>
      </c>
      <c r="H177" s="21" t="s">
        <v>960</v>
      </c>
      <c r="I177" s="13">
        <v>42864.526238425926</v>
      </c>
      <c r="J177" s="7">
        <v>0</v>
      </c>
      <c r="K177" s="92" t="str">
        <f t="shared" si="47"/>
        <v>4017/4018</v>
      </c>
      <c r="L177" s="21" t="str">
        <f>VLOOKUP(A177,'Trips&amp;Operators'!$C$1:$G$99999,5,FALSE)</f>
        <v>BEAM ROSS</v>
      </c>
      <c r="M177" s="6">
        <f t="shared" si="48"/>
        <v>1.1481481480586808E-2</v>
      </c>
      <c r="N177" s="7">
        <f t="shared" si="67"/>
        <v>16.533333332045004</v>
      </c>
      <c r="O177" s="7"/>
      <c r="P177" s="7"/>
      <c r="Q177" s="22"/>
      <c r="R177" s="190"/>
      <c r="S177" s="196">
        <f t="shared" si="68"/>
        <v>1</v>
      </c>
      <c r="T177" s="190" t="str">
        <f t="shared" si="49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0"/>
        <v>https://d0f6bd738d7f1b3e5a7ca70fe4ff75f0.us-east-1.aws.found.io/app/kibana#/discover/Steve-Slow-Train-Analysis-(2080s-and-2083s)?_g=(refreshInterval:(display:Off,pause:!f,section:0,value:0),time:(from:'2017-05-09T11:14:51-0600',mode:absolute,to:'2017-05-09T13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7" s="192" t="str">
        <f t="shared" si="51"/>
        <v>N</v>
      </c>
      <c r="X177" s="192">
        <f t="shared" si="66"/>
        <v>1</v>
      </c>
      <c r="Y177" s="192">
        <f t="shared" si="53"/>
        <v>9.9900000000000003E-2</v>
      </c>
      <c r="Z177" s="192">
        <f t="shared" si="54"/>
        <v>5.8936999999999999</v>
      </c>
      <c r="AA177" s="192">
        <f t="shared" si="55"/>
        <v>5.7938000000000001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6"/>
        <v>0819-09</v>
      </c>
      <c r="AE177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77" s="77" t="str">
        <f t="shared" si="58"/>
        <v>"C:\Program Files (x86)\AstroGrep\AstroGrep.exe" /e /r /s /spath="%USERPROFILE%\AppData\Local\Temp\OnboardLogs" /stypes="app*4018*20170509*" /stext=" 18:.+((SYSTEM_STATE.+slice.+state.+changed )|(ment ac)|(multiple cpu faults)|(system.+state.+changed )|(\[timeout)|(PRM\|1\|D)|(kpr)|(kdp)|(train st.+moving)|(\|lc)|(penalty))"</v>
      </c>
      <c r="AG177" s="1" t="str">
        <f t="shared" si="59"/>
        <v>NW</v>
      </c>
      <c r="AH177" s="81" t="str">
        <f t="shared" si="60"/>
        <v>"%USERPROFILE%\Documents\GitHub\eaglep3\Utilities\RefineRTDCRunTimes.py" --tripid 819-09 --locoid 4018 --swversion DE.1.0.9.0 --startMP 204:999 --initTime 2017-05-09T12:14:51 --startdatetime 2017-05-09T12:21:15 --delay 1 --endMP 300:58937 --enddatetime 2017-05-09T12:37:47 --enforcementcount 0 &gt;&gt;C:\Users\stu\Documents\GitHub\eaglep3-reporting\EC\2017-05-09-refined-times.txt</v>
      </c>
      <c r="AI177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{"issue":{"subject":"","project_id":79,"tracker_id":40,"status_id":1,"priority_id":2,"assigned_to_id":23,"start_date":"2017-05-09","description":"","custom_fields":[{"id":1,"name":"Subdivision","value":"NW"},{"id":4,"name":"Milepost","value":"5.8937"},{"id":17,"name":"Train ID","value":"819-09"},{"id":16,"name":"Locomotive ID","value":"4018"},{"id":130,"name":"Impact","value":""},{"id":150,"name":"Time of Event (Mountain Time)","value":"12:37:47"},{"id":151,"name":"Denver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62"/>
        <v>start /low /b %USERPROFILE%\Documents\GitHub\eaglep3\Utilities\DownloadLogsFromS3.py --loco 4018 --day 2017-05-09</v>
      </c>
      <c r="AN177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18:37:47"},{"id":29,"name":"Sharepoint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697</v>
      </c>
      <c r="B178" s="7">
        <v>4017</v>
      </c>
      <c r="C178" s="21" t="s">
        <v>207</v>
      </c>
      <c r="D178" s="21" t="s">
        <v>456</v>
      </c>
      <c r="E178" s="13">
        <v>42864.527233796296</v>
      </c>
      <c r="F178" s="13">
        <v>42864.528356481482</v>
      </c>
      <c r="G178" s="7">
        <v>0</v>
      </c>
      <c r="H178" s="21" t="s">
        <v>943</v>
      </c>
      <c r="I178" s="13">
        <v>42864.539965277778</v>
      </c>
      <c r="J178" s="7">
        <v>0</v>
      </c>
      <c r="K178" s="92" t="str">
        <f t="shared" si="47"/>
        <v>4017/4018</v>
      </c>
      <c r="L178" s="21" t="str">
        <f>VLOOKUP(A178,'Trips&amp;Operators'!$C$1:$G$99999,5,FALSE)</f>
        <v>BEAM ROSS</v>
      </c>
      <c r="M178" s="6">
        <f t="shared" si="48"/>
        <v>1.1608796296059154E-2</v>
      </c>
      <c r="N178" s="7">
        <f t="shared" si="67"/>
        <v>16.716666666325182</v>
      </c>
      <c r="O178" s="7"/>
      <c r="P178" s="7"/>
      <c r="Q178" s="22"/>
      <c r="R178" s="190"/>
      <c r="S178" s="196">
        <f t="shared" si="68"/>
        <v>1</v>
      </c>
      <c r="T178" s="190" t="str">
        <f t="shared" si="49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50"/>
        <v>https://d0f6bd738d7f1b3e5a7ca70fe4ff75f0.us-east-1.aws.found.io/app/kibana#/discover/Steve-Slow-Train-Analysis-(2080s-and-2083s)?_g=(refreshInterval:(display:Off,pause:!f,section:0,value:0),time:(from:'2017-05-09T11:39:13-0600',mode:absolute,to:'2017-05-09T13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8" s="192" t="str">
        <f t="shared" si="51"/>
        <v>N</v>
      </c>
      <c r="X178" s="192">
        <f t="shared" si="66"/>
        <v>1</v>
      </c>
      <c r="Y178" s="192">
        <f t="shared" si="53"/>
        <v>5.8625999999999996</v>
      </c>
      <c r="Z178" s="192">
        <f t="shared" si="54"/>
        <v>7.17E-2</v>
      </c>
      <c r="AA178" s="192">
        <f t="shared" si="55"/>
        <v>5.7908999999999997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6"/>
        <v>0820-09</v>
      </c>
      <c r="AE178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78" s="77" t="str">
        <f t="shared" si="58"/>
        <v>"C:\Program Files (x86)\AstroGrep\AstroGrep.exe" /e /r /s /spath="%USERPROFILE%\AppData\Local\Temp\OnboardLogs" /stypes="app*4017*20170509*" /stext=" 18:.+((SYSTEM_STATE.+slice.+state.+changed )|(ment ac)|(multiple cpu faults)|(system.+state.+changed )|(\[timeout)|(PRM\|1\|D)|(kpr)|(kdp)|(train st.+moving)|(\|lc)|(penalty))"</v>
      </c>
      <c r="AG178" s="1" t="str">
        <f t="shared" si="59"/>
        <v>NW</v>
      </c>
      <c r="AH178" s="81" t="str">
        <f t="shared" si="60"/>
        <v>"%USERPROFILE%\Documents\GitHub\eaglep3\Utilities\RefineRTDCRunTimes.py" --tripid 820-09 --locoid 4017 --swversion DE.1.0.9.0 --startMP 300:58626 --initTime 2017-05-09T12:39:13 --startdatetime 2017-05-09T12:40:50 --delay 0 --endMP 204:717 --enddatetime 2017-05-09T12:57:33 --enforcementcount 0 &gt;&gt;C:\Users\stu\Documents\GitHub\eaglep3-reporting\EC\2017-05-09-refined-times.txt</v>
      </c>
      <c r="AI178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{"issue":{"subject":"","project_id":79,"tracker_id":40,"status_id":1,"priority_id":2,"assigned_to_id":23,"start_date":"2017-05-09","description":"","custom_fields":[{"id":1,"name":"Subdivision","value":"NW"},{"id":4,"name":"Milepost","value":"0.0717"},{"id":17,"name":"Train ID","value":"820-09"},{"id":16,"name":"Locomotive ID","value":"4017"},{"id":130,"name":"Impact","value":""},{"id":150,"name":"Time of Event (Mountain Time)","value":"12:57:33"},{"id":151,"name":"Denver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2"/>
        <v>start /low /b %USERPROFILE%\Documents\GitHub\eaglep3\Utilities\DownloadLogsFromS3.py --loco 4017 --day 2017-05-09</v>
      </c>
      <c r="AN178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18:57:33"},{"id":29,"name":"Sharepoint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581</v>
      </c>
      <c r="B179" s="7">
        <v>4018</v>
      </c>
      <c r="C179" s="21" t="s">
        <v>207</v>
      </c>
      <c r="D179" s="21" t="s">
        <v>972</v>
      </c>
      <c r="E179" s="13">
        <v>42864.553414351853</v>
      </c>
      <c r="F179" s="13">
        <v>42864.556446759256</v>
      </c>
      <c r="G179" s="7">
        <v>2</v>
      </c>
      <c r="H179" s="21" t="s">
        <v>973</v>
      </c>
      <c r="I179" s="13">
        <v>42864.566030092596</v>
      </c>
      <c r="J179" s="7">
        <v>0</v>
      </c>
      <c r="K179" s="92" t="str">
        <f t="shared" si="47"/>
        <v>4017/4018</v>
      </c>
      <c r="L179" s="21" t="str">
        <f>VLOOKUP(A179,'Trips&amp;Operators'!$C$1:$G$99999,5,FALSE)</f>
        <v>LEVIN SCOTT</v>
      </c>
      <c r="M179" s="6">
        <f t="shared" si="48"/>
        <v>9.5833333398331888E-3</v>
      </c>
      <c r="N179" s="7">
        <f t="shared" si="67"/>
        <v>13.800000009359792</v>
      </c>
      <c r="O179" s="7"/>
      <c r="P179" s="7"/>
      <c r="Q179" s="22"/>
      <c r="R179" s="190"/>
      <c r="S179" s="196">
        <f t="shared" si="68"/>
        <v>1</v>
      </c>
      <c r="T179" s="190" t="str">
        <f t="shared" si="49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0"/>
        <v>https://d0f6bd738d7f1b3e5a7ca70fe4ff75f0.us-east-1.aws.found.io/app/kibana#/discover/Steve-Slow-Train-Analysis-(2080s-and-2083s)?_g=(refreshInterval:(display:Off,pause:!f,section:0,value:0),time:(from:'2017-05-09T12:16:55-0600',mode:absolute,to:'2017-05-09T14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9" s="192" t="str">
        <f t="shared" si="51"/>
        <v>N</v>
      </c>
      <c r="X179" s="192">
        <f t="shared" si="66"/>
        <v>1</v>
      </c>
      <c r="Y179" s="192">
        <f t="shared" si="53"/>
        <v>9.9900000000000003E-2</v>
      </c>
      <c r="Z179" s="192">
        <f t="shared" si="54"/>
        <v>5.8087999999999997</v>
      </c>
      <c r="AA179" s="192">
        <f t="shared" si="55"/>
        <v>5.7088999999999999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6"/>
        <v>0821-09</v>
      </c>
      <c r="AE179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79" s="77" t="str">
        <f t="shared" si="58"/>
        <v>"C:\Program Files (x86)\AstroGrep\AstroGrep.exe" /e /r /s /spath="%USERPROFILE%\AppData\Local\Temp\OnboardLogs" /stypes="app*4018*20170509*" /stext=" 19:.+((SYSTEM_STATE.+slice.+state.+changed )|(ment ac)|(multiple cpu faults)|(system.+state.+changed )|(\[timeout)|(PRM\|1\|D)|(kpr)|(kdp)|(train st.+moving)|(\|lc)|(penalty))"</v>
      </c>
      <c r="AG179" s="1" t="str">
        <f t="shared" si="59"/>
        <v>NW</v>
      </c>
      <c r="AH179" s="81" t="str">
        <f t="shared" si="60"/>
        <v>"%USERPROFILE%\Documents\GitHub\eaglep3\Utilities\RefineRTDCRunTimes.py" --tripid 821-09 --locoid 4018 --swversion DE.1.0.9.0 --startMP 204:999 --initTime 2017-05-09T13:16:55 --startdatetime 2017-05-09T13:21:17 --delay 2 --endMP 300:58088 --enddatetime 2017-05-09T13:35:05 --enforcementcount 0 &gt;&gt;C:\Users\stu\Documents\GitHub\eaglep3-reporting\EC\2017-05-09-refined-times.txt</v>
      </c>
      <c r="AI179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{"issue":{"subject":"","project_id":79,"tracker_id":40,"status_id":1,"priority_id":2,"assigned_to_id":23,"start_date":"2017-05-09","description":"","custom_fields":[{"id":1,"name":"Subdivision","value":"NW"},{"id":4,"name":"Milepost","value":"5.8088"},{"id":17,"name":"Train ID","value":"821-09"},{"id":16,"name":"Locomotive ID","value":"4018"},{"id":130,"name":"Impact","value":""},{"id":150,"name":"Time of Event (Mountain Time)","value":"13:35:05"},{"id":151,"name":"Denver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2"/>
        <v>start /low /b %USERPROFILE%\Documents\GitHub\eaglep3\Utilities\DownloadLogsFromS3.py --loco 4018 --day 2017-05-09</v>
      </c>
      <c r="AN179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19:35:05"},{"id":29,"name":"Sharepoint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703</v>
      </c>
      <c r="B180" s="7">
        <v>4017</v>
      </c>
      <c r="C180" s="21" t="s">
        <v>207</v>
      </c>
      <c r="D180" s="21" t="s">
        <v>974</v>
      </c>
      <c r="E180" s="13">
        <v>42864.56726851852</v>
      </c>
      <c r="F180" s="13">
        <v>42864.56858796296</v>
      </c>
      <c r="G180" s="7">
        <v>1</v>
      </c>
      <c r="H180" s="21" t="s">
        <v>975</v>
      </c>
      <c r="I180" s="13">
        <v>42864.579953703702</v>
      </c>
      <c r="J180" s="7">
        <v>0</v>
      </c>
      <c r="K180" s="92" t="str">
        <f t="shared" si="47"/>
        <v>4017/4018</v>
      </c>
      <c r="L180" s="21" t="str">
        <f>VLOOKUP(A180,'Trips&amp;Operators'!$C$1:$G$99999,5,FALSE)</f>
        <v>LEVIN SCOTT</v>
      </c>
      <c r="M180" s="6">
        <f t="shared" si="48"/>
        <v>1.1365740741894115E-2</v>
      </c>
      <c r="N180" s="7">
        <f t="shared" si="67"/>
        <v>16.366666668327525</v>
      </c>
      <c r="O180" s="7"/>
      <c r="P180" s="7"/>
      <c r="Q180" s="22"/>
      <c r="R180" s="190"/>
      <c r="S180" s="196">
        <f t="shared" si="68"/>
        <v>1</v>
      </c>
      <c r="T180" s="190" t="str">
        <f t="shared" si="49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0"/>
        <v>https://d0f6bd738d7f1b3e5a7ca70fe4ff75f0.us-east-1.aws.found.io/app/kibana#/discover/Steve-Slow-Train-Analysis-(2080s-and-2083s)?_g=(refreshInterval:(display:Off,pause:!f,section:0,value:0),time:(from:'2017-05-09T12:36:52-0600',mode:absolute,to:'2017-05-09T14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0" s="192" t="str">
        <f t="shared" si="51"/>
        <v>N</v>
      </c>
      <c r="X180" s="192">
        <f t="shared" si="66"/>
        <v>1</v>
      </c>
      <c r="Y180" s="192">
        <f t="shared" si="53"/>
        <v>5.8697999999999997</v>
      </c>
      <c r="Z180" s="192">
        <f t="shared" si="54"/>
        <v>6.3500000000000001E-2</v>
      </c>
      <c r="AA180" s="192">
        <f t="shared" si="55"/>
        <v>5.8062999999999994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6"/>
        <v>0822-09</v>
      </c>
      <c r="AE180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80" s="77" t="str">
        <f t="shared" si="58"/>
        <v>"C:\Program Files (x86)\AstroGrep\AstroGrep.exe" /e /r /s /spath="%USERPROFILE%\AppData\Local\Temp\OnboardLogs" /stypes="app*4017*20170509*" /stext=" 19:.+((SYSTEM_STATE.+slice.+state.+changed )|(ment ac)|(multiple cpu faults)|(system.+state.+changed )|(\[timeout)|(PRM\|1\|D)|(kpr)|(kdp)|(train st.+moving)|(\|lc)|(penalty))"</v>
      </c>
      <c r="AG180" s="1" t="str">
        <f t="shared" si="59"/>
        <v>NW</v>
      </c>
      <c r="AH180" s="81" t="str">
        <f t="shared" si="60"/>
        <v>"%USERPROFILE%\Documents\GitHub\eaglep3\Utilities\RefineRTDCRunTimes.py" --tripid 822-09 --locoid 4017 --swversion DE.1.0.9.0 --startMP 300:58698 --initTime 2017-05-09T13:36:52 --startdatetime 2017-05-09T13:38:46 --delay 1 --endMP 204:635 --enddatetime 2017-05-09T13:55:08 --enforcementcount 0 &gt;&gt;C:\Users\stu\Documents\GitHub\eaglep3-reporting\EC\2017-05-09-refined-times.txt</v>
      </c>
      <c r="AI180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{"issue":{"subject":"","project_id":79,"tracker_id":40,"status_id":1,"priority_id":2,"assigned_to_id":23,"start_date":"2017-05-09","description":"","custom_fields":[{"id":1,"name":"Subdivision","value":"NW"},{"id":4,"name":"Milepost","value":"0.0635"},{"id":17,"name":"Train ID","value":"822-09"},{"id":16,"name":"Locomotive ID","value":"4017"},{"id":130,"name":"Impact","value":""},{"id":150,"name":"Time of Event (Mountain Time)","value":"13:55:08"},{"id":151,"name":"Denver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62"/>
        <v>start /low /b %USERPROFILE%\Documents\GitHub\eaglep3\Utilities\DownloadLogsFromS3.py --loco 4017 --day 2017-05-09</v>
      </c>
      <c r="AN180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19:55:08"},{"id":29,"name":"Sharepoint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582</v>
      </c>
      <c r="B181" s="7">
        <v>4018</v>
      </c>
      <c r="C181" s="21" t="s">
        <v>207</v>
      </c>
      <c r="D181" s="21" t="s">
        <v>976</v>
      </c>
      <c r="E181" s="13">
        <v>42864.596354166664</v>
      </c>
      <c r="F181" s="13">
        <v>42864.598078703704</v>
      </c>
      <c r="G181" s="7">
        <v>1</v>
      </c>
      <c r="H181" s="21" t="s">
        <v>977</v>
      </c>
      <c r="I181" s="13">
        <v>42864.607708333337</v>
      </c>
      <c r="J181" s="7">
        <v>0</v>
      </c>
      <c r="K181" s="92" t="str">
        <f t="shared" si="47"/>
        <v>4017/4018</v>
      </c>
      <c r="L181" s="21" t="str">
        <f>VLOOKUP(A181,'Trips&amp;Operators'!$C$1:$G$99999,5,FALSE)</f>
        <v>LEVIN SCOTT</v>
      </c>
      <c r="M181" s="6">
        <f t="shared" si="48"/>
        <v>9.6296296323998831E-3</v>
      </c>
      <c r="N181" s="7">
        <f t="shared" si="67"/>
        <v>13.866666670655832</v>
      </c>
      <c r="O181" s="7"/>
      <c r="P181" s="7"/>
      <c r="Q181" s="22"/>
      <c r="R181" s="190"/>
      <c r="S181" s="196">
        <f t="shared" si="68"/>
        <v>1</v>
      </c>
      <c r="T181" s="190" t="str">
        <f t="shared" si="49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0"/>
        <v>https://d0f6bd738d7f1b3e5a7ca70fe4ff75f0.us-east-1.aws.found.io/app/kibana#/discover/Steve-Slow-Train-Analysis-(2080s-and-2083s)?_g=(refreshInterval:(display:Off,pause:!f,section:0,value:0),time:(from:'2017-05-09T13:18:45-0600',mode:absolute,to:'2017-05-09T15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1" s="192" t="str">
        <f t="shared" si="51"/>
        <v>N</v>
      </c>
      <c r="X181" s="192">
        <f t="shared" si="66"/>
        <v>1</v>
      </c>
      <c r="Y181" s="192">
        <f t="shared" si="53"/>
        <v>9.2700000000000005E-2</v>
      </c>
      <c r="Z181" s="192">
        <f t="shared" si="54"/>
        <v>5.8956</v>
      </c>
      <c r="AA181" s="192">
        <f t="shared" si="55"/>
        <v>5.8029000000000002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6"/>
        <v>0823-09</v>
      </c>
      <c r="AE181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81" s="77" t="str">
        <f t="shared" si="58"/>
        <v>"C:\Program Files (x86)\AstroGrep\AstroGrep.exe" /e /r /s /spath="%USERPROFILE%\AppData\Local\Temp\OnboardLogs" /stypes="app*4018*20170509*" /stext=" 20:.+((SYSTEM_STATE.+slice.+state.+changed )|(ment ac)|(multiple cpu faults)|(system.+state.+changed )|(\[timeout)|(PRM\|1\|D)|(kpr)|(kdp)|(train st.+moving)|(\|lc)|(penalty))"</v>
      </c>
      <c r="AG181" s="1" t="str">
        <f t="shared" si="59"/>
        <v>NW</v>
      </c>
      <c r="AH181" s="81" t="str">
        <f t="shared" si="60"/>
        <v>"%USERPROFILE%\Documents\GitHub\eaglep3\Utilities\RefineRTDCRunTimes.py" --tripid 823-09 --locoid 4018 --swversion DE.1.0.9.0 --startMP 204:927 --initTime 2017-05-09T14:18:45 --startdatetime 2017-05-09T14:21:14 --delay 1 --endMP 300:58956 --enddatetime 2017-05-09T14:35:06 --enforcementcount 0 &gt;&gt;C:\Users\stu\Documents\GitHub\eaglep3-reporting\EC\2017-05-09-refined-times.txt</v>
      </c>
      <c r="AI181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{"issue":{"subject":"","project_id":79,"tracker_id":40,"status_id":1,"priority_id":2,"assigned_to_id":23,"start_date":"2017-05-09","description":"","custom_fields":[{"id":1,"name":"Subdivision","value":"NW"},{"id":4,"name":"Milepost","value":"5.8956"},{"id":17,"name":"Train ID","value":"823-09"},{"id":16,"name":"Locomotive ID","value":"4018"},{"id":130,"name":"Impact","value":""},{"id":150,"name":"Time of Event (Mountain Time)","value":"14:35:06"},{"id":151,"name":"Denver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5" t="str">
        <f t="shared" si="62"/>
        <v>start /low /b %USERPROFILE%\Documents\GitHub\eaglep3\Utilities\DownloadLogsFromS3.py --loco 4018 --day 2017-05-09</v>
      </c>
      <c r="AN181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712</v>
      </c>
      <c r="B182" s="7">
        <v>4017</v>
      </c>
      <c r="C182" s="21" t="s">
        <v>207</v>
      </c>
      <c r="D182" s="21" t="s">
        <v>537</v>
      </c>
      <c r="E182" s="13">
        <v>42864.608773148146</v>
      </c>
      <c r="F182" s="13">
        <v>42864.609837962962</v>
      </c>
      <c r="G182" s="7">
        <v>1</v>
      </c>
      <c r="H182" s="21" t="s">
        <v>978</v>
      </c>
      <c r="I182" s="13">
        <v>42864.621874999997</v>
      </c>
      <c r="J182" s="7">
        <v>0</v>
      </c>
      <c r="K182" s="92" t="str">
        <f t="shared" si="47"/>
        <v>4017/4018</v>
      </c>
      <c r="L182" s="21" t="str">
        <f>VLOOKUP(A182,'Trips&amp;Operators'!$C$1:$G$99999,5,FALSE)</f>
        <v>LEVIN SCOTT</v>
      </c>
      <c r="M182" s="6">
        <f t="shared" si="48"/>
        <v>1.2037037035042886E-2</v>
      </c>
      <c r="N182" s="7">
        <f t="shared" si="67"/>
        <v>17.333333330461755</v>
      </c>
      <c r="O182" s="7"/>
      <c r="P182" s="7"/>
      <c r="Q182" s="22"/>
      <c r="R182" s="190"/>
      <c r="S182" s="196">
        <f t="shared" si="68"/>
        <v>1</v>
      </c>
      <c r="T182" s="190" t="str">
        <f t="shared" si="49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0"/>
        <v>https://d0f6bd738d7f1b3e5a7ca70fe4ff75f0.us-east-1.aws.found.io/app/kibana#/discover/Steve-Slow-Train-Analysis-(2080s-and-2083s)?_g=(refreshInterval:(display:Off,pause:!f,section:0,value:0),time:(from:'2017-05-09T13:36:38-0600',mode:absolute,to:'2017-05-09T15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2" s="192" t="str">
        <f t="shared" si="51"/>
        <v>N</v>
      </c>
      <c r="X182" s="192">
        <f t="shared" si="66"/>
        <v>1</v>
      </c>
      <c r="Y182" s="192">
        <f t="shared" si="53"/>
        <v>5.8644999999999996</v>
      </c>
      <c r="Z182" s="192">
        <f t="shared" si="54"/>
        <v>6.4299999999999996E-2</v>
      </c>
      <c r="AA182" s="192">
        <f t="shared" si="55"/>
        <v>5.8001999999999994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6"/>
        <v>0824-09</v>
      </c>
      <c r="AE182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82" s="77" t="str">
        <f t="shared" si="58"/>
        <v>"C:\Program Files (x86)\AstroGrep\AstroGrep.exe" /e /r /s /spath="%USERPROFILE%\AppData\Local\Temp\OnboardLogs" /stypes="app*4017*20170509*" /stext=" 20:.+((SYSTEM_STATE.+slice.+state.+changed )|(ment ac)|(multiple cpu faults)|(system.+state.+changed )|(\[timeout)|(PRM\|1\|D)|(kpr)|(kdp)|(train st.+moving)|(\|lc)|(penalty))"</v>
      </c>
      <c r="AG182" s="1" t="str">
        <f t="shared" si="59"/>
        <v>NW</v>
      </c>
      <c r="AH182" s="81" t="str">
        <f t="shared" si="60"/>
        <v>"%USERPROFILE%\Documents\GitHub\eaglep3\Utilities\RefineRTDCRunTimes.py" --tripid 824-09 --locoid 4017 --swversion DE.1.0.9.0 --startMP 300:58645 --initTime 2017-05-09T14:36:38 --startdatetime 2017-05-09T14:38:10 --delay 1 --endMP 204:643 --enddatetime 2017-05-09T14:55:30 --enforcementcount 0 &gt;&gt;C:\Users\stu\Documents\GitHub\eaglep3-reporting\EC\2017-05-09-refined-times.txt</v>
      </c>
      <c r="AI182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{"issue":{"subject":"","project_id":79,"tracker_id":40,"status_id":1,"priority_id":2,"assigned_to_id":23,"start_date":"2017-05-09","description":"","custom_fields":[{"id":1,"name":"Subdivision","value":"NW"},{"id":4,"name":"Milepost","value":"0.0643"},{"id":17,"name":"Train ID","value":"824-09"},{"id":16,"name":"Locomotive ID","value":"4017"},{"id":130,"name":"Impact","value":""},{"id":150,"name":"Time of Event (Mountain Time)","value":"14:55:30"},{"id":151,"name":"Denver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5" t="str">
        <f t="shared" si="62"/>
        <v>start /low /b %USERPROFILE%\Documents\GitHub\eaglep3\Utilities\DownloadLogsFromS3.py --loco 4017 --day 2017-05-09</v>
      </c>
      <c r="AN182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584</v>
      </c>
      <c r="B183" s="7">
        <v>4018</v>
      </c>
      <c r="C183" s="21" t="s">
        <v>207</v>
      </c>
      <c r="D183" s="21" t="s">
        <v>979</v>
      </c>
      <c r="E183" s="13">
        <v>42864.637650462966</v>
      </c>
      <c r="F183" s="13">
        <v>42864.639733796299</v>
      </c>
      <c r="G183" s="7">
        <v>1</v>
      </c>
      <c r="H183" s="21" t="s">
        <v>980</v>
      </c>
      <c r="I183" s="13">
        <v>42864.649537037039</v>
      </c>
      <c r="J183" s="7">
        <v>0</v>
      </c>
      <c r="K183" s="92" t="str">
        <f t="shared" si="47"/>
        <v>4017/4018</v>
      </c>
      <c r="L183" s="21" t="str">
        <f>VLOOKUP(A183,'Trips&amp;Operators'!$C$1:$G$99999,5,FALSE)</f>
        <v>LEVIN SCOTT</v>
      </c>
      <c r="M183" s="6">
        <f t="shared" si="48"/>
        <v>9.8032407404389232E-3</v>
      </c>
      <c r="N183" s="7">
        <f t="shared" si="67"/>
        <v>14.116666666232049</v>
      </c>
      <c r="O183" s="7"/>
      <c r="P183" s="7"/>
      <c r="Q183" s="22"/>
      <c r="R183" s="190"/>
      <c r="S183" s="196">
        <f t="shared" si="68"/>
        <v>1</v>
      </c>
      <c r="T183" s="190" t="str">
        <f t="shared" si="49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0"/>
        <v>https://d0f6bd738d7f1b3e5a7ca70fe4ff75f0.us-east-1.aws.found.io/app/kibana#/discover/Steve-Slow-Train-Analysis-(2080s-and-2083s)?_g=(refreshInterval:(display:Off,pause:!f,section:0,value:0),time:(from:'2017-05-09T14:18:13-0600',mode:absolute,to:'2017-05-09T16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3" s="192" t="str">
        <f t="shared" si="51"/>
        <v>N</v>
      </c>
      <c r="X183" s="192">
        <f t="shared" si="66"/>
        <v>1</v>
      </c>
      <c r="Y183" s="192">
        <f t="shared" si="53"/>
        <v>9.2499999999999999E-2</v>
      </c>
      <c r="Z183" s="192">
        <f t="shared" si="54"/>
        <v>5.9016000000000002</v>
      </c>
      <c r="AA183" s="192">
        <f t="shared" si="55"/>
        <v>5.8090999999999999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6"/>
        <v>0825-09</v>
      </c>
      <c r="AE183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83" s="77" t="str">
        <f t="shared" si="58"/>
        <v>"C:\Program Files (x86)\AstroGrep\AstroGrep.exe" /e /r /s /spath="%USERPROFILE%\AppData\Local\Temp\OnboardLogs" /stypes="app*4018*20170509*" /stext=" 21:.+((SYSTEM_STATE.+slice.+state.+changed )|(ment ac)|(multiple cpu faults)|(system.+state.+changed )|(\[timeout)|(PRM\|1\|D)|(kpr)|(kdp)|(train st.+moving)|(\|lc)|(penalty))"</v>
      </c>
      <c r="AG183" s="1" t="str">
        <f t="shared" si="59"/>
        <v>NW</v>
      </c>
      <c r="AH183" s="81" t="str">
        <f t="shared" si="60"/>
        <v>"%USERPROFILE%\Documents\GitHub\eaglep3\Utilities\RefineRTDCRunTimes.py" --tripid 825-09 --locoid 4018 --swversion DE.1.0.9.0 --startMP 204:925 --initTime 2017-05-09T15:18:13 --startdatetime 2017-05-09T15:21:13 --delay 1 --endMP 300:59016 --enddatetime 2017-05-09T15:35:20 --enforcementcount 0 &gt;&gt;C:\Users\stu\Documents\GitHub\eaglep3-reporting\EC\2017-05-09-refined-times.txt</v>
      </c>
      <c r="AI183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{"issue":{"subject":"","project_id":79,"tracker_id":40,"status_id":1,"priority_id":2,"assigned_to_id":23,"start_date":"2017-05-09","description":"","custom_fields":[{"id":1,"name":"Subdivision","value":"NW"},{"id":4,"name":"Milepost","value":"5.9016"},{"id":17,"name":"Train ID","value":"825-09"},{"id":16,"name":"Locomotive ID","value":"4018"},{"id":130,"name":"Impact","value":""},{"id":150,"name":"Time of Event (Mountain Time)","value":"15:35:20"},{"id":151,"name":"Denver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2"/>
        <v>start /low /b %USERPROFILE%\Documents\GitHub\eaglep3\Utilities\DownloadLogsFromS3.py --loco 4018 --day 2017-05-09</v>
      </c>
      <c r="AN183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724</v>
      </c>
      <c r="B184" s="7">
        <v>4017</v>
      </c>
      <c r="C184" s="21" t="s">
        <v>207</v>
      </c>
      <c r="D184" s="21" t="s">
        <v>539</v>
      </c>
      <c r="E184" s="13">
        <v>42864.651087962964</v>
      </c>
      <c r="F184" s="13">
        <v>42864.653055555558</v>
      </c>
      <c r="G184" s="7">
        <v>2</v>
      </c>
      <c r="H184" s="21" t="s">
        <v>981</v>
      </c>
      <c r="I184" s="13">
        <v>42864.663969907408</v>
      </c>
      <c r="J184" s="7">
        <v>0</v>
      </c>
      <c r="K184" s="92" t="str">
        <f t="shared" si="47"/>
        <v>4017/4018</v>
      </c>
      <c r="L184" s="21" t="str">
        <f>VLOOKUP(A184,'Trips&amp;Operators'!$C$1:$G$99999,5,FALSE)</f>
        <v>LEVIN SCOTT</v>
      </c>
      <c r="M184" s="6">
        <f t="shared" si="48"/>
        <v>1.0914351849351078E-2</v>
      </c>
      <c r="N184" s="7">
        <f t="shared" si="67"/>
        <v>15.716666663065553</v>
      </c>
      <c r="O184" s="7"/>
      <c r="P184" s="7"/>
      <c r="Q184" s="22"/>
      <c r="R184" s="190"/>
      <c r="S184" s="196">
        <f t="shared" si="68"/>
        <v>1</v>
      </c>
      <c r="T184" s="190" t="str">
        <f t="shared" si="49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0"/>
        <v>https://d0f6bd738d7f1b3e5a7ca70fe4ff75f0.us-east-1.aws.found.io/app/kibana#/discover/Steve-Slow-Train-Analysis-(2080s-and-2083s)?_g=(refreshInterval:(display:Off,pause:!f,section:0,value:0),time:(from:'2017-05-09T14:37:34-0600',mode:absolute,to:'2017-05-09T16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4" s="192" t="str">
        <f t="shared" si="51"/>
        <v>N</v>
      </c>
      <c r="X184" s="192">
        <f t="shared" ref="X184:X191" si="69">VALUE(LEFT(AD184,4))-VALUE(LEFT(AD183,4))</f>
        <v>1</v>
      </c>
      <c r="Y184" s="192">
        <f t="shared" si="53"/>
        <v>5.8707000000000003</v>
      </c>
      <c r="Z184" s="192">
        <f t="shared" si="54"/>
        <v>8.6E-3</v>
      </c>
      <c r="AA184" s="192">
        <f t="shared" si="55"/>
        <v>5.8620999999999999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6"/>
        <v>0826-09</v>
      </c>
      <c r="AE184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84" s="77" t="str">
        <f t="shared" si="58"/>
        <v>"C:\Program Files (x86)\AstroGrep\AstroGrep.exe" /e /r /s /spath="%USERPROFILE%\AppData\Local\Temp\OnboardLogs" /stypes="app*4017*20170509*" /stext=" 21:.+((SYSTEM_STATE.+slice.+state.+changed )|(ment ac)|(multiple cpu faults)|(system.+state.+changed )|(\[timeout)|(PRM\|1\|D)|(kpr)|(kdp)|(train st.+moving)|(\|lc)|(penalty))"</v>
      </c>
      <c r="AG184" s="1" t="str">
        <f t="shared" si="59"/>
        <v>NW</v>
      </c>
      <c r="AH184" s="81" t="str">
        <f t="shared" si="60"/>
        <v>"%USERPROFILE%\Documents\GitHub\eaglep3\Utilities\RefineRTDCRunTimes.py" --tripid 826-09 --locoid 4017 --swversion DE.1.0.9.0 --startMP 300:58707 --initTime 2017-05-09T15:37:34 --startdatetime 2017-05-09T15:40:24 --delay 2 --endMP 204:86 --enddatetime 2017-05-09T15:56:07 --enforcementcount 0 &gt;&gt;C:\Users\stu\Documents\GitHub\eaglep3-reporting\EC\2017-05-09-refined-times.txt</v>
      </c>
      <c r="AI184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{"issue":{"subject":"","project_id":79,"tracker_id":40,"status_id":1,"priority_id":2,"assigned_to_id":23,"start_date":"2017-05-09","description":"","custom_fields":[{"id":1,"name":"Subdivision","value":"NW"},{"id":4,"name":"Milepost","value":"0.0086"},{"id":17,"name":"Train ID","value":"826-09"},{"id":16,"name":"Locomotive ID","value":"4017"},{"id":130,"name":"Impact","value":""},{"id":150,"name":"Time of Event (Mountain Time)","value":"15:56:07"},{"id":151,"name":"Denver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2"/>
        <v>start /low /b %USERPROFILE%\Documents\GitHub\eaglep3\Utilities\DownloadLogsFromS3.py --loco 4017 --day 2017-05-09</v>
      </c>
      <c r="AN184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726</v>
      </c>
      <c r="B185" s="7">
        <v>4006</v>
      </c>
      <c r="C185" s="21" t="s">
        <v>207</v>
      </c>
      <c r="D185" s="21" t="s">
        <v>959</v>
      </c>
      <c r="E185" s="13">
        <v>42864.65457175926</v>
      </c>
      <c r="F185" s="13">
        <v>42864.65452546296</v>
      </c>
      <c r="G185" s="7">
        <v>1</v>
      </c>
      <c r="H185" s="21" t="s">
        <v>959</v>
      </c>
      <c r="I185" s="13">
        <v>42864.656585648147</v>
      </c>
      <c r="J185" s="7">
        <v>0</v>
      </c>
      <c r="K185" s="92" t="str">
        <f t="shared" si="47"/>
        <v>4005/4006</v>
      </c>
      <c r="L185" s="21" t="str">
        <f>VLOOKUP(A185,'Trips&amp;Operators'!$C$1:$G$99999,5,FALSE)</f>
        <v>SWANSON BRYCE</v>
      </c>
      <c r="M185" s="6">
        <f t="shared" si="48"/>
        <v>2.0601851865649223E-3</v>
      </c>
      <c r="N185" s="7"/>
      <c r="O185" s="7"/>
      <c r="P185" s="7">
        <f>24*60*SUM($M185:$M185)</f>
        <v>2.9666666686534882</v>
      </c>
      <c r="Q185" s="22"/>
      <c r="R185" s="190" t="s">
        <v>553</v>
      </c>
      <c r="S185" s="196">
        <f t="shared" si="68"/>
        <v>0</v>
      </c>
      <c r="T185" s="190" t="str">
        <f t="shared" si="49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191" t="str">
        <f t="shared" si="50"/>
        <v>https://d0f6bd738d7f1b3e5a7ca70fe4ff75f0.us-east-1.aws.found.io/app/kibana#/discover/Steve-Slow-Train-Analysis-(2080s-and-2083s)?_g=(refreshInterval:(display:Off,pause:!f,section:0,value:0),time:(from:'2017-05-09T14:42:35-0600',mode:absolute,to:'2017-05-09T16:45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5" s="192" t="str">
        <f t="shared" si="51"/>
        <v>Y</v>
      </c>
      <c r="X185" s="192">
        <f t="shared" si="69"/>
        <v>1</v>
      </c>
      <c r="Y185" s="192">
        <f t="shared" si="53"/>
        <v>9.8100000000000007E-2</v>
      </c>
      <c r="Z185" s="192">
        <f t="shared" si="54"/>
        <v>9.8100000000000007E-2</v>
      </c>
      <c r="AA185" s="192">
        <f t="shared" si="55"/>
        <v>0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6"/>
        <v>0827-09</v>
      </c>
      <c r="AE185" s="80" t="str">
        <f t="shared" si="57"/>
        <v>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 &amp; 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</v>
      </c>
      <c r="AF185" s="77" t="str">
        <f t="shared" si="58"/>
        <v>"C:\Program Files (x86)\AstroGrep\AstroGrep.exe" /e /r /s /spath="%USERPROFILE%\AppData\Local\Temp\OnboardLogs" /stypes="app*4006*20170509*" /stext=" 21:.+((SYSTEM_STATE.+slice.+state.+changed )|(ment ac)|(multiple cpu faults)|(system.+state.+changed )|(\[timeout)|(PRM\|1\|D)|(kpr)|(kdp)|(train st.+moving)|(\|lc)|(penalty))"</v>
      </c>
      <c r="AG185" s="1" t="str">
        <f t="shared" si="59"/>
        <v>NW</v>
      </c>
      <c r="AH185" s="81" t="str">
        <f t="shared" si="60"/>
        <v>"%USERPROFILE%\Documents\GitHub\eaglep3\Utilities\RefineRTDCRunTimes.py" --tripid 827-09 --locoid 4006 --swversion DE.1.0.9.0 --startMP 204:981 --initTime 2017-05-09T15:42:35 --startdatetime 2017-05-09T15:42:31 --delay 1 --endMP 204:981 --enddatetime 2017-05-09T15:45:29 --enforcementcount 0 &gt;&gt;C:\Users\stu\Documents\GitHub\eaglep3-reporting\EC\2017-05-09-refined-times.txt</v>
      </c>
      <c r="AI185" s="99" t="str">
        <f t="shared" si="61"/>
        <v>echo {"issue":{"subject":"Onboard in-route failure","project_id":79,"tracker_id":40,"status_id":1,"priority_id":2,"assigned_to_id":23,"start_date":"2017-05-09","description":"","custom_fields":[{"id":1,"name":"Subdivision","value":"NW"},{"id":4,"name":"Milepost","value":"0.0981"},{"id":17,"name":"Train ID","value":"827-09"},{"id":16,"name":"Locomotive ID","value":"4006"},{"id":130,"name":"Impact","value":""},{"id":150,"name":"Time of Event (Mountain Time)","value":"15:45:29"},{"id":151,"name":"Denver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2"/>
        <v>start /low /b %USERPROFILE%\Documents\GitHub\eaglep3\Utilities\DownloadLogsFromS3.py --loco 4006 --day 2017-05-09</v>
      </c>
      <c r="AN185" s="154" t="str">
        <f t="shared" si="63"/>
        <v>echo {"issue":{"subject":"Onboard in-route failure","project_id":30,"tracker_id":4,"status_id":1,"priority_id":1,"assigned_to_id":10,"start_date":"2017-05-09","description":"","custom_fields":[{"id":30,"name":"Category","value":"Issue"},{"id":3,"name":"Functional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21:45:29"},{"id":29,"name":"Sharepoint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732</v>
      </c>
      <c r="B186" s="7">
        <v>4005</v>
      </c>
      <c r="C186" s="21" t="s">
        <v>207</v>
      </c>
      <c r="D186" s="21" t="s">
        <v>429</v>
      </c>
      <c r="E186" s="13">
        <v>42864.674780092595</v>
      </c>
      <c r="F186" s="13">
        <v>42864.675983796296</v>
      </c>
      <c r="G186" s="7">
        <v>1</v>
      </c>
      <c r="H186" s="21" t="s">
        <v>982</v>
      </c>
      <c r="I186" s="13">
        <v>42864.686018518521</v>
      </c>
      <c r="J186" s="7">
        <v>0</v>
      </c>
      <c r="K186" s="92" t="str">
        <f t="shared" si="47"/>
        <v>4005/4006</v>
      </c>
      <c r="L186" s="21" t="str">
        <f>VLOOKUP(A186,'Trips&amp;Operators'!$C$1:$G$99999,5,FALSE)</f>
        <v>SWANSON BRYCE</v>
      </c>
      <c r="M186" s="6">
        <f t="shared" si="48"/>
        <v>1.0034722225100268E-2</v>
      </c>
      <c r="N186" s="7">
        <f t="shared" ref="N186:N207" si="70">24*60*SUM($M186:$M186)</f>
        <v>14.450000004144385</v>
      </c>
      <c r="O186" s="7"/>
      <c r="P186" s="7"/>
      <c r="Q186" s="22"/>
      <c r="R186" s="190"/>
      <c r="S186" s="196">
        <f t="shared" si="68"/>
        <v>1</v>
      </c>
      <c r="T186" s="190" t="str">
        <f t="shared" si="49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0"/>
        <v>https://d0f6bd738d7f1b3e5a7ca70fe4ff75f0.us-east-1.aws.found.io/app/kibana#/discover/Steve-Slow-Train-Analysis-(2080s-and-2083s)?_g=(refreshInterval:(display:Off,pause:!f,section:0,value:0),time:(from:'2017-05-09T15:11:41-0600',mode:absolute,to:'2017-05-09T17:27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6" s="192" t="str">
        <f t="shared" si="51"/>
        <v>N</v>
      </c>
      <c r="X186" s="192">
        <f t="shared" si="69"/>
        <v>1</v>
      </c>
      <c r="Y186" s="192">
        <f t="shared" si="53"/>
        <v>5.8615000000000004</v>
      </c>
      <c r="Z186" s="192">
        <f t="shared" si="54"/>
        <v>6.8400000000000002E-2</v>
      </c>
      <c r="AA186" s="192">
        <f t="shared" si="55"/>
        <v>5.7931000000000008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6"/>
        <v>0828-09</v>
      </c>
      <c r="AE186" s="80" t="str">
        <f t="shared" si="57"/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AF186" s="77" t="str">
        <f t="shared" si="58"/>
        <v>"C:\Program Files (x86)\AstroGrep\AstroGrep.exe" /e /r /s /spath="%USERPROFILE%\AppData\Local\Temp\OnboardLogs" /stypes="app*4005*20170509*" /stext=" 22:.+((SYSTEM_STATE.+slice.+state.+changed )|(ment ac)|(multiple cpu faults)|(system.+state.+changed )|(\[timeout)|(PRM\|1\|D)|(kpr)|(kdp)|(train st.+moving)|(\|lc)|(penalty))"</v>
      </c>
      <c r="AG186" s="1" t="str">
        <f t="shared" si="59"/>
        <v>NW</v>
      </c>
      <c r="AH186" s="81" t="str">
        <f t="shared" si="60"/>
        <v>"%USERPROFILE%\Documents\GitHub\eaglep3\Utilities\RefineRTDCRunTimes.py" --tripid 828-09 --locoid 4005 --swversion DE.1.0.9.0 --startMP 300:58615 --initTime 2017-05-09T16:11:41 --startdatetime 2017-05-09T16:13:25 --delay 1 --endMP 204:684 --enddatetime 2017-05-09T16:27:52 --enforcementcount 0 &gt;&gt;C:\Users\stu\Documents\GitHub\eaglep3-reporting\EC\2017-05-09-refined-times.txt</v>
      </c>
      <c r="AI186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{"issue":{"subject":"","project_id":79,"tracker_id":40,"status_id":1,"priority_id":2,"assigned_to_id":23,"start_date":"2017-05-09","description":"","custom_fields":[{"id":1,"name":"Subdivision","value":"NW"},{"id":4,"name":"Milepost","value":"0.0684"},{"id":17,"name":"Train ID","value":"828-09"},{"id":16,"name":"Locomotive ID","value":"4005"},{"id":130,"name":"Impact","value":""},{"id":150,"name":"Time of Event (Mountain Time)","value":"16:27:52"},{"id":151,"name":"Denver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2"/>
        <v>start /low /b %USERPROFILE%\Documents\GitHub\eaglep3\Utilities\DownloadLogsFromS3.py --loco 4005 --day 2017-05-09</v>
      </c>
      <c r="AN186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22:27:52"},{"id":29,"name":"Sharepoint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733</v>
      </c>
      <c r="B187" s="7">
        <v>4018</v>
      </c>
      <c r="C187" s="21" t="s">
        <v>207</v>
      </c>
      <c r="D187" s="21" t="s">
        <v>983</v>
      </c>
      <c r="E187" s="13">
        <v>42864.675925925927</v>
      </c>
      <c r="F187" s="13">
        <v>42864.68141203704</v>
      </c>
      <c r="G187" s="7">
        <v>1</v>
      </c>
      <c r="H187" s="21" t="s">
        <v>984</v>
      </c>
      <c r="I187" s="13">
        <v>42864.691840277781</v>
      </c>
      <c r="J187" s="7">
        <v>0</v>
      </c>
      <c r="K187" s="92" t="str">
        <f t="shared" si="47"/>
        <v>4017/4018</v>
      </c>
      <c r="L187" s="21" t="str">
        <f>VLOOKUP(A187,'Trips&amp;Operators'!$C$1:$G$99999,5,FALSE)</f>
        <v>LEVIN SCOTT</v>
      </c>
      <c r="M187" s="6">
        <f t="shared" si="48"/>
        <v>1.0428240741021E-2</v>
      </c>
      <c r="N187" s="7">
        <f t="shared" si="70"/>
        <v>15.01666666707024</v>
      </c>
      <c r="O187" s="7"/>
      <c r="P187" s="7"/>
      <c r="Q187" s="22"/>
      <c r="R187" s="190"/>
      <c r="S187" s="196">
        <f t="shared" si="68"/>
        <v>1</v>
      </c>
      <c r="T187" s="190" t="str">
        <f t="shared" si="49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0"/>
        <v>https://d0f6bd738d7f1b3e5a7ca70fe4ff75f0.us-east-1.aws.found.io/app/kibana#/discover/Steve-Slow-Train-Analysis-(2080s-and-2083s)?_g=(refreshInterval:(display:Off,pause:!f,section:0,value:0),time:(from:'2017-05-09T15:13:20-0600',mode:absolute,to:'2017-05-09T17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7" s="192" t="str">
        <f t="shared" si="51"/>
        <v>N</v>
      </c>
      <c r="X187" s="192">
        <f t="shared" si="69"/>
        <v>1</v>
      </c>
      <c r="Y187" s="192">
        <f t="shared" si="53"/>
        <v>3.9E-2</v>
      </c>
      <c r="Z187" s="192">
        <f t="shared" si="54"/>
        <v>5.8940999999999999</v>
      </c>
      <c r="AA187" s="192">
        <f t="shared" si="55"/>
        <v>5.8551000000000002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6"/>
        <v>0829-09</v>
      </c>
      <c r="AE187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87" s="77" t="str">
        <f t="shared" si="58"/>
        <v>"C:\Program Files (x86)\AstroGrep\AstroGrep.exe" /e /r /s /spath="%USERPROFILE%\AppData\Local\Temp\OnboardLogs" /stypes="app*4018*20170509*" /stext=" 22:.+((SYSTEM_STATE.+slice.+state.+changed )|(ment ac)|(multiple cpu faults)|(system.+state.+changed )|(\[timeout)|(PRM\|1\|D)|(kpr)|(kdp)|(train st.+moving)|(\|lc)|(penalty))"</v>
      </c>
      <c r="AG187" s="1" t="str">
        <f t="shared" si="59"/>
        <v>NW</v>
      </c>
      <c r="AH187" s="81" t="str">
        <f t="shared" si="60"/>
        <v>"%USERPROFILE%\Documents\GitHub\eaglep3\Utilities\RefineRTDCRunTimes.py" --tripid 829-09 --locoid 4018 --swversion DE.1.0.9.0 --startMP 204:390 --initTime 2017-05-09T16:13:20 --startdatetime 2017-05-09T16:21:14 --delay 1 --endMP 300:58941 --enddatetime 2017-05-09T16:36:15 --enforcementcount 0 &gt;&gt;C:\Users\stu\Documents\GitHub\eaglep3-reporting\EC\2017-05-09-refined-times.txt</v>
      </c>
      <c r="AI187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{"issue":{"subject":"","project_id":79,"tracker_id":40,"status_id":1,"priority_id":2,"assigned_to_id":23,"start_date":"2017-05-09","description":"","custom_fields":[{"id":1,"name":"Subdivision","value":"NW"},{"id":4,"name":"Milepost","value":"5.8941"},{"id":17,"name":"Train ID","value":"829-09"},{"id":16,"name":"Locomotive ID","value":"4018"},{"id":130,"name":"Impact","value":""},{"id":150,"name":"Time of Event (Mountain Time)","value":"16:36:15"},{"id":151,"name":"Denver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2"/>
        <v>start /low /b %USERPROFILE%\Documents\GitHub\eaglep3\Utilities\DownloadLogsFromS3.py --loco 4018 --day 2017-05-09</v>
      </c>
      <c r="AN187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739</v>
      </c>
      <c r="B188" s="7">
        <v>4017</v>
      </c>
      <c r="C188" s="21" t="s">
        <v>207</v>
      </c>
      <c r="D188" s="21" t="s">
        <v>451</v>
      </c>
      <c r="E188" s="13">
        <v>42864.693124999998</v>
      </c>
      <c r="F188" s="13">
        <v>42864.694224537037</v>
      </c>
      <c r="G188" s="7">
        <v>1</v>
      </c>
      <c r="H188" s="21" t="s">
        <v>985</v>
      </c>
      <c r="I188" s="13">
        <v>42864.705081018517</v>
      </c>
      <c r="J188" s="7">
        <v>0</v>
      </c>
      <c r="K188" s="92" t="str">
        <f t="shared" si="47"/>
        <v>4017/4018</v>
      </c>
      <c r="L188" s="21" t="str">
        <f>VLOOKUP(A188,'Trips&amp;Operators'!$C$1:$G$99999,5,FALSE)</f>
        <v>LEVIN SCOTT</v>
      </c>
      <c r="M188" s="6">
        <f t="shared" si="48"/>
        <v>1.0856481480004732E-2</v>
      </c>
      <c r="N188" s="7">
        <f t="shared" si="70"/>
        <v>15.633333331206813</v>
      </c>
      <c r="O188" s="7"/>
      <c r="P188" s="7"/>
      <c r="Q188" s="22"/>
      <c r="R188" s="190"/>
      <c r="S188" s="196">
        <f t="shared" si="68"/>
        <v>1</v>
      </c>
      <c r="T188" s="190" t="str">
        <f t="shared" si="49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0"/>
        <v>https://d0f6bd738d7f1b3e5a7ca70fe4ff75f0.us-east-1.aws.found.io/app/kibana#/discover/Steve-Slow-Train-Analysis-(2080s-and-2083s)?_g=(refreshInterval:(display:Off,pause:!f,section:0,value:0),time:(from:'2017-05-09T15:38:06-0600',mode:absolute,to:'2017-05-09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8" s="192" t="str">
        <f t="shared" si="51"/>
        <v>N</v>
      </c>
      <c r="X188" s="192">
        <f t="shared" si="69"/>
        <v>1</v>
      </c>
      <c r="Y188" s="192">
        <f t="shared" si="53"/>
        <v>5.8630000000000004</v>
      </c>
      <c r="Z188" s="192">
        <f t="shared" si="54"/>
        <v>6.5600000000000006E-2</v>
      </c>
      <c r="AA188" s="192">
        <f t="shared" si="55"/>
        <v>5.7974000000000006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6"/>
        <v>0830-09</v>
      </c>
      <c r="AE188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88" s="77" t="str">
        <f t="shared" si="58"/>
        <v>"C:\Program Files (x86)\AstroGrep\AstroGrep.exe" /e /r /s /spath="%USERPROFILE%\AppData\Local\Temp\OnboardLogs" /stypes="app*4017*20170509*" /stext=" 22:.+((SYSTEM_STATE.+slice.+state.+changed )|(ment ac)|(multiple cpu faults)|(system.+state.+changed )|(\[timeout)|(PRM\|1\|D)|(kpr)|(kdp)|(train st.+moving)|(\|lc)|(penalty))"</v>
      </c>
      <c r="AG188" s="1" t="str">
        <f t="shared" si="59"/>
        <v>NW</v>
      </c>
      <c r="AH188" s="81" t="str">
        <f t="shared" si="60"/>
        <v>"%USERPROFILE%\Documents\GitHub\eaglep3\Utilities\RefineRTDCRunTimes.py" --tripid 830-09 --locoid 4017 --swversion DE.1.0.9.0 --startMP 300:58630 --initTime 2017-05-09T16:38:06 --startdatetime 2017-05-09T16:39:41 --delay 1 --endMP 204:656 --enddatetime 2017-05-09T16:55:19 --enforcementcount 0 &gt;&gt;C:\Users\stu\Documents\GitHub\eaglep3-reporting\EC\2017-05-09-refined-times.txt</v>
      </c>
      <c r="AI188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{"issue":{"subject":"","project_id":79,"tracker_id":40,"status_id":1,"priority_id":2,"assigned_to_id":23,"start_date":"2017-05-09","description":"","custom_fields":[{"id":1,"name":"Subdivision","value":"NW"},{"id":4,"name":"Milepost","value":"0.0656"},{"id":17,"name":"Train ID","value":"830-09"},{"id":16,"name":"Locomotive ID","value":"4017"},{"id":130,"name":"Impact","value":""},{"id":150,"name":"Time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2"/>
        <v>start /low /b %USERPROFILE%\Documents\GitHub\eaglep3\Utilities\DownloadLogsFromS3.py --loco 4017 --day 2017-05-09</v>
      </c>
      <c r="AN188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738</v>
      </c>
      <c r="B189" s="7">
        <v>4006</v>
      </c>
      <c r="C189" s="21" t="s">
        <v>207</v>
      </c>
      <c r="D189" s="21" t="s">
        <v>542</v>
      </c>
      <c r="E189" s="13">
        <v>42864.68787037037</v>
      </c>
      <c r="F189" s="13">
        <v>42864.702245370368</v>
      </c>
      <c r="G189" s="7">
        <v>2</v>
      </c>
      <c r="H189" s="21" t="s">
        <v>964</v>
      </c>
      <c r="I189" s="13">
        <v>42864.713587962964</v>
      </c>
      <c r="J189" s="7">
        <v>0</v>
      </c>
      <c r="K189" s="92" t="str">
        <f t="shared" si="47"/>
        <v>4005/4006</v>
      </c>
      <c r="L189" s="21" t="str">
        <f>VLOOKUP(A189,'Trips&amp;Operators'!$C$1:$G$99999,5,FALSE)</f>
        <v>SWANSON BRYCE</v>
      </c>
      <c r="M189" s="6">
        <f t="shared" si="48"/>
        <v>1.1342592595610768E-2</v>
      </c>
      <c r="N189" s="7">
        <f t="shared" si="70"/>
        <v>16.333333337679505</v>
      </c>
      <c r="O189" s="7"/>
      <c r="P189" s="7"/>
      <c r="Q189" s="22"/>
      <c r="R189" s="190"/>
      <c r="S189" s="196">
        <f t="shared" si="68"/>
        <v>1</v>
      </c>
      <c r="T189" s="190" t="str">
        <f t="shared" si="49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0"/>
        <v>https://d0f6bd738d7f1b3e5a7ca70fe4ff75f0.us-east-1.aws.found.io/app/kibana#/discover/Steve-Slow-Train-Analysis-(2080s-and-2083s)?_g=(refreshInterval:(display:Off,pause:!f,section:0,value:0),time:(from:'2017-05-09T15:30:32-0600',mode:absolute,to:'2017-05-09T18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9" s="192" t="str">
        <f t="shared" si="51"/>
        <v>N</v>
      </c>
      <c r="X189" s="192">
        <f t="shared" si="69"/>
        <v>1</v>
      </c>
      <c r="Y189" s="192">
        <f t="shared" si="53"/>
        <v>9.8799999999999999E-2</v>
      </c>
      <c r="Z189" s="192">
        <f t="shared" si="54"/>
        <v>5.8930999999999996</v>
      </c>
      <c r="AA189" s="192">
        <f t="shared" si="55"/>
        <v>5.7942999999999998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6"/>
        <v>0831-09</v>
      </c>
      <c r="AE189" s="80" t="str">
        <f t="shared" si="57"/>
        <v>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 &amp; 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</v>
      </c>
      <c r="AF189" s="77" t="str">
        <f t="shared" si="58"/>
        <v>"C:\Program Files (x86)\AstroGrep\AstroGrep.exe" /e /r /s /spath="%USERPROFILE%\AppData\Local\Temp\OnboardLogs" /stypes="app*4006*20170509*" /stext=" 23:.+((SYSTEM_STATE.+slice.+state.+changed )|(ment ac)|(multiple cpu faults)|(system.+state.+changed )|(\[timeout)|(PRM\|1\|D)|(kpr)|(kdp)|(train st.+moving)|(\|lc)|(penalty))"</v>
      </c>
      <c r="AG189" s="1" t="str">
        <f t="shared" si="59"/>
        <v>NW</v>
      </c>
      <c r="AH189" s="81" t="str">
        <f t="shared" si="60"/>
        <v>"%USERPROFILE%\Documents\GitHub\eaglep3\Utilities\RefineRTDCRunTimes.py" --tripid 831-09 --locoid 4006 --swversion DE.1.0.9.0 --startMP 204:988 --initTime 2017-05-09T16:30:32 --startdatetime 2017-05-09T16:51:14 --delay 2 --endMP 300:58931 --enddatetime 2017-05-09T17:07:34 --enforcementcount 0 &gt;&gt;C:\Users\stu\Documents\GitHub\eaglep3-reporting\EC\2017-05-09-refined-times.txt</v>
      </c>
      <c r="AI189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{"issue":{"subject":"","project_id":79,"tracker_id":40,"status_id":1,"priority_id":2,"assigned_to_id":23,"start_date":"2017-05-09","description":"","custom_fields":[{"id":1,"name":"Subdivision","value":"NW"},{"id":4,"name":"Milepost","value":"5.8931"},{"id":17,"name":"Train ID","value":"831-09"},{"id":16,"name":"Locomotive ID","value":"4006"},{"id":130,"name":"Impact","value":""},{"id":150,"name":"Time of Event (Mountain Time)","value":"17:07:34"},{"id":151,"name":"Denver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2"/>
        <v>start /low /b %USERPROFILE%\Documents\GitHub\eaglep3\Utilities\DownloadLogsFromS3.py --loco 4006 --day 2017-05-09</v>
      </c>
      <c r="AN189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745</v>
      </c>
      <c r="B190" s="7">
        <v>4005</v>
      </c>
      <c r="C190" s="21" t="s">
        <v>207</v>
      </c>
      <c r="D190" s="21" t="s">
        <v>986</v>
      </c>
      <c r="E190" s="13">
        <v>42864.714629629627</v>
      </c>
      <c r="F190" s="13">
        <v>42864.716053240743</v>
      </c>
      <c r="G190" s="7">
        <v>1</v>
      </c>
      <c r="H190" s="21" t="s">
        <v>987</v>
      </c>
      <c r="I190" s="13">
        <v>42864.726921296293</v>
      </c>
      <c r="J190" s="7">
        <v>0</v>
      </c>
      <c r="K190" s="92" t="str">
        <f t="shared" si="47"/>
        <v>4005/4006</v>
      </c>
      <c r="L190" s="21" t="str">
        <f>VLOOKUP(A190,'Trips&amp;Operators'!$C$1:$G$99999,5,FALSE)</f>
        <v>SWANSON BRYCE</v>
      </c>
      <c r="M190" s="6">
        <f t="shared" si="48"/>
        <v>1.0868055549508426E-2</v>
      </c>
      <c r="N190" s="7">
        <f t="shared" si="70"/>
        <v>15.649999991292134</v>
      </c>
      <c r="O190" s="7"/>
      <c r="P190" s="7"/>
      <c r="Q190" s="22"/>
      <c r="R190" s="190"/>
      <c r="S190" s="196">
        <f t="shared" si="68"/>
        <v>1</v>
      </c>
      <c r="T190" s="190" t="str">
        <f t="shared" si="49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0"/>
        <v>https://d0f6bd738d7f1b3e5a7ca70fe4ff75f0.us-east-1.aws.found.io/app/kibana#/discover/Steve-Slow-Train-Analysis-(2080s-and-2083s)?_g=(refreshInterval:(display:Off,pause:!f,section:0,value:0),time:(from:'2017-05-09T16:09:04-0600',mode:absolute,to:'2017-05-09T18:26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0" s="192" t="str">
        <f t="shared" si="51"/>
        <v>N</v>
      </c>
      <c r="X190" s="192">
        <f t="shared" si="69"/>
        <v>1</v>
      </c>
      <c r="Y190" s="192">
        <f t="shared" si="53"/>
        <v>5.8624000000000001</v>
      </c>
      <c r="Z190" s="192">
        <f t="shared" si="54"/>
        <v>6.7799999999999999E-2</v>
      </c>
      <c r="AA190" s="192">
        <f t="shared" si="55"/>
        <v>5.7946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6"/>
        <v>0832-09</v>
      </c>
      <c r="AE190" s="80" t="str">
        <f t="shared" si="57"/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AF190" s="77" t="str">
        <f t="shared" si="58"/>
        <v>"C:\Program Files (x86)\AstroGrep\AstroGrep.exe" /e /r /s /spath="%USERPROFILE%\AppData\Local\Temp\OnboardLogs" /stypes="app*4005*20170509*" /stext=" 23:.+((SYSTEM_STATE.+slice.+state.+changed )|(ment ac)|(multiple cpu faults)|(system.+state.+changed )|(\[timeout)|(PRM\|1\|D)|(kpr)|(kdp)|(train st.+moving)|(\|lc)|(penalty))"</v>
      </c>
      <c r="AG190" s="1" t="str">
        <f t="shared" si="59"/>
        <v>NW</v>
      </c>
      <c r="AH190" s="81" t="str">
        <f t="shared" si="60"/>
        <v>"%USERPROFILE%\Documents\GitHub\eaglep3\Utilities\RefineRTDCRunTimes.py" --tripid 832-09 --locoid 4005 --swversion DE.1.0.9.0 --startMP 300:58624 --initTime 2017-05-09T17:09:04 --startdatetime 2017-05-09T17:11:07 --delay 1 --endMP 204:678 --enddatetime 2017-05-09T17:26:46 --enforcementcount 0 &gt;&gt;C:\Users\stu\Documents\GitHub\eaglep3-reporting\EC\2017-05-09-refined-times.txt</v>
      </c>
      <c r="AI190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{"issue":{"subject":"","project_id":79,"tracker_id":40,"status_id":1,"priority_id":2,"assigned_to_id":23,"start_date":"2017-05-09","description":"","custom_fields":[{"id":1,"name":"Subdivision","value":"NW"},{"id":4,"name":"Milepost","value":"0.0678"},{"id":17,"name":"Train ID","value":"832-09"},{"id":16,"name":"Locomotive ID","value":"4005"},{"id":130,"name":"Impact","value":""},{"id":150,"name":"Time of Event (Mountain Time)","value":"17:26:46"},{"id":151,"name":"Denver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2"/>
        <v>start /low /b %USERPROFILE%\Documents\GitHub\eaglep3\Utilities\DownloadLogsFromS3.py --loco 4005 --day 2017-05-09</v>
      </c>
      <c r="AN190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23:26:46"},{"id":29,"name":"Sharepoint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746</v>
      </c>
      <c r="B191" s="7">
        <v>4018</v>
      </c>
      <c r="C191" s="21" t="s">
        <v>207</v>
      </c>
      <c r="D191" s="21" t="s">
        <v>541</v>
      </c>
      <c r="E191" s="13">
        <v>42864.720451388886</v>
      </c>
      <c r="F191" s="13">
        <v>42864.723090277781</v>
      </c>
      <c r="G191" s="7">
        <v>1</v>
      </c>
      <c r="H191" s="21" t="s">
        <v>547</v>
      </c>
      <c r="I191" s="13">
        <v>42864.732835648145</v>
      </c>
      <c r="J191" s="7">
        <v>0</v>
      </c>
      <c r="K191" s="92" t="str">
        <f t="shared" si="47"/>
        <v>4017/4018</v>
      </c>
      <c r="L191" s="21" t="str">
        <f>VLOOKUP(A191,'Trips&amp;Operators'!$C$1:$G$99999,5,FALSE)</f>
        <v>LEVIN SCOTT</v>
      </c>
      <c r="M191" s="6">
        <f t="shared" si="48"/>
        <v>9.7453703638166189E-3</v>
      </c>
      <c r="N191" s="7">
        <f t="shared" si="70"/>
        <v>14.033333323895931</v>
      </c>
      <c r="O191" s="7"/>
      <c r="P191" s="7"/>
      <c r="Q191" s="22"/>
      <c r="R191" s="190"/>
      <c r="S191" s="196">
        <f t="shared" si="68"/>
        <v>1</v>
      </c>
      <c r="T191" s="190" t="str">
        <f t="shared" si="49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0"/>
        <v>https://d0f6bd738d7f1b3e5a7ca70fe4ff75f0.us-east-1.aws.found.io/app/kibana#/discover/Steve-Slow-Train-Analysis-(2080s-and-2083s)?_g=(refreshInterval:(display:Off,pause:!f,section:0,value:0),time:(from:'2017-05-09T16:17:27-0600',mode:absolute,to:'2017-05-09T18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1" s="192" t="str">
        <f t="shared" si="51"/>
        <v>N</v>
      </c>
      <c r="X191" s="192">
        <f t="shared" si="69"/>
        <v>1</v>
      </c>
      <c r="Y191" s="192">
        <f t="shared" si="53"/>
        <v>9.5100000000000004E-2</v>
      </c>
      <c r="Z191" s="192">
        <f t="shared" si="54"/>
        <v>5.8952</v>
      </c>
      <c r="AA191" s="192">
        <f t="shared" si="55"/>
        <v>5.8000999999999996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6"/>
        <v>0833-09</v>
      </c>
      <c r="AE191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91" s="77" t="str">
        <f t="shared" si="58"/>
        <v>"C:\Program Files (x86)\AstroGrep\AstroGrep.exe" /e /r /s /spath="%USERPROFILE%\AppData\Local\Temp\OnboardLogs" /stypes="app*4018*20170509*" /stext=" 23:.+((SYSTEM_STATE.+slice.+state.+changed )|(ment ac)|(multiple cpu faults)|(system.+state.+changed )|(\[timeout)|(PRM\|1\|D)|(kpr)|(kdp)|(train st.+moving)|(\|lc)|(penalty))"</v>
      </c>
      <c r="AG191" s="1" t="str">
        <f t="shared" si="59"/>
        <v>NW</v>
      </c>
      <c r="AH191" s="81" t="str">
        <f t="shared" si="60"/>
        <v>"%USERPROFILE%\Documents\GitHub\eaglep3\Utilities\RefineRTDCRunTimes.py" --tripid 833-09 --locoid 4018 --swversion DE.1.0.9.0 --startMP 204:951 --initTime 2017-05-09T17:17:27 --startdatetime 2017-05-09T17:21:15 --delay 1 --endMP 300:58952 --enddatetime 2017-05-09T17:35:17 --enforcementcount 0 &gt;&gt;C:\Users\stu\Documents\GitHub\eaglep3-reporting\EC\2017-05-09-refined-times.txt</v>
      </c>
      <c r="AI191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{"issue":{"subject":"","project_id":79,"tracker_id":40,"status_id":1,"priority_id":2,"assigned_to_id":23,"start_date":"2017-05-09","description":"","custom_fields":[{"id":1,"name":"Subdivision","value":"NW"},{"id":4,"name":"Milepost","value":"5.8952"},{"id":17,"name":"Train ID","value":"833-09"},{"id":16,"name":"Locomotive ID","value":"4018"},{"id":130,"name":"Impact","value":""},{"id":150,"name":"Time of Event (Mountain Time)","value":"17:35:17"},{"id":151,"name":"Denver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2"/>
        <v>start /low /b %USERPROFILE%\Documents\GitHub\eaglep3\Utilities\DownloadLogsFromS3.py --loco 4018 --day 2017-05-09</v>
      </c>
      <c r="AN191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752</v>
      </c>
      <c r="B192" s="7">
        <v>4017</v>
      </c>
      <c r="C192" s="21" t="s">
        <v>207</v>
      </c>
      <c r="D192" s="21" t="s">
        <v>451</v>
      </c>
      <c r="E192" s="13">
        <v>42864.734120370369</v>
      </c>
      <c r="F192" s="13">
        <v>42864.735289351855</v>
      </c>
      <c r="G192" s="7">
        <v>1</v>
      </c>
      <c r="H192" s="21" t="s">
        <v>988</v>
      </c>
      <c r="I192" s="13">
        <v>42864.74759259259</v>
      </c>
      <c r="J192" s="7">
        <v>0</v>
      </c>
      <c r="K192" s="92" t="str">
        <f t="shared" si="47"/>
        <v>4017/4018</v>
      </c>
      <c r="L192" s="21" t="str">
        <f>VLOOKUP(A192,'Trips&amp;Operators'!$C$1:$G$99999,5,FALSE)</f>
        <v>LEVIN SCOTT</v>
      </c>
      <c r="M192" s="6">
        <f t="shared" si="48"/>
        <v>1.2303240735491272E-2</v>
      </c>
      <c r="N192" s="7">
        <f t="shared" si="70"/>
        <v>17.716666659107432</v>
      </c>
      <c r="O192" s="7"/>
      <c r="P192" s="7"/>
      <c r="Q192" s="22"/>
      <c r="R192" s="190"/>
      <c r="S192" s="196">
        <f t="shared" si="68"/>
        <v>1</v>
      </c>
      <c r="T192" s="190" t="str">
        <f t="shared" si="49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0"/>
        <v>https://d0f6bd738d7f1b3e5a7ca70fe4ff75f0.us-east-1.aws.found.io/app/kibana#/discover/Steve-Slow-Train-Analysis-(2080s-and-2083s)?_g=(refreshInterval:(display:Off,pause:!f,section:0,value:0),time:(from:'2017-05-09T16:37:08-0600',mode:absolute,to:'2017-05-09T18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2" s="192" t="str">
        <f t="shared" si="51"/>
        <v>N</v>
      </c>
      <c r="X192" s="192">
        <f t="shared" ref="X192:X223" si="71">VALUE(LEFT(AD192,4))-VALUE(LEFT(AD191,4))</f>
        <v>1</v>
      </c>
      <c r="Y192" s="192">
        <f t="shared" si="53"/>
        <v>5.8630000000000004</v>
      </c>
      <c r="Z192" s="192">
        <f t="shared" si="54"/>
        <v>6.4899999999999999E-2</v>
      </c>
      <c r="AA192" s="192">
        <f t="shared" si="55"/>
        <v>5.7981000000000007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6"/>
        <v>0834-09</v>
      </c>
      <c r="AE192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92" s="77" t="str">
        <f t="shared" si="58"/>
        <v>"C:\Program Files (x86)\AstroGrep\AstroGrep.exe" /e /r /s /spath="%USERPROFILE%\AppData\Local\Temp\OnboardLogs" /stypes="app*4017*20170509*" /stext=" 23:.+((SYSTEM_STATE.+slice.+state.+changed )|(ment ac)|(multiple cpu faults)|(system.+state.+changed )|(\[timeout)|(PRM\|1\|D)|(kpr)|(kdp)|(train st.+moving)|(\|lc)|(penalty))"</v>
      </c>
      <c r="AG192" s="1" t="str">
        <f t="shared" si="59"/>
        <v>NW</v>
      </c>
      <c r="AH192" s="81" t="str">
        <f t="shared" si="60"/>
        <v>"%USERPROFILE%\Documents\GitHub\eaglep3\Utilities\RefineRTDCRunTimes.py" --tripid 834-09 --locoid 4017 --swversion DE.1.0.9.0 --startMP 300:58630 --initTime 2017-05-09T17:37:08 --startdatetime 2017-05-09T17:38:49 --delay 1 --endMP 204:649 --enddatetime 2017-05-09T17:56:32 --enforcementcount 0 &gt;&gt;C:\Users\stu\Documents\GitHub\eaglep3-reporting\EC\2017-05-09-refined-times.txt</v>
      </c>
      <c r="AI192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{"issue":{"subject":"","project_id":79,"tracker_id":40,"status_id":1,"priority_id":2,"assigned_to_id":23,"start_date":"2017-05-09","description":"","custom_fields":[{"id":1,"name":"Subdivision","value":"NW"},{"id":4,"name":"Milepost","value":"0.0649"},{"id":17,"name":"Train ID","value":"834-09"},{"id":16,"name":"Locomotive ID","value":"4017"},{"id":130,"name":"Impact","value":""},{"id":150,"name":"Time of Event (Mountain Time)","value":"17:56:32"},{"id":151,"name":"Denver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62"/>
        <v>start /low /b %USERPROFILE%\Documents\GitHub\eaglep3\Utilities\DownloadLogsFromS3.py --loco 4017 --day 2017-05-09</v>
      </c>
      <c r="AN192" s="154" t="str">
        <f t="shared" si="63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749</v>
      </c>
      <c r="B193" s="7">
        <v>4006</v>
      </c>
      <c r="C193" s="21" t="s">
        <v>207</v>
      </c>
      <c r="D193" s="21" t="s">
        <v>989</v>
      </c>
      <c r="E193" s="13">
        <v>42864.728217592594</v>
      </c>
      <c r="F193" s="13">
        <v>42864.743993055556</v>
      </c>
      <c r="G193" s="7">
        <v>1</v>
      </c>
      <c r="H193" s="21" t="s">
        <v>990</v>
      </c>
      <c r="I193" s="13">
        <v>42864.754710648151</v>
      </c>
      <c r="J193" s="7">
        <v>0</v>
      </c>
      <c r="K193" s="92" t="str">
        <f t="shared" si="47"/>
        <v>4005/4006</v>
      </c>
      <c r="L193" s="21" t="str">
        <f>VLOOKUP(A193,'Trips&amp;Operators'!$C$1:$G$99999,5,FALSE)</f>
        <v>SWANSON BRYCE</v>
      </c>
      <c r="M193" s="6">
        <f t="shared" si="48"/>
        <v>1.0717592595028691E-2</v>
      </c>
      <c r="N193" s="7">
        <f t="shared" si="70"/>
        <v>15.433333336841315</v>
      </c>
      <c r="O193" s="7"/>
      <c r="P193" s="7"/>
      <c r="Q193" s="22"/>
      <c r="R193" s="190"/>
      <c r="S193" s="196">
        <f t="shared" si="68"/>
        <v>1</v>
      </c>
      <c r="T193" s="190" t="str">
        <f t="shared" si="49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0"/>
        <v>https://d0f6bd738d7f1b3e5a7ca70fe4ff75f0.us-east-1.aws.found.io/app/kibana#/discover/Steve-Slow-Train-Analysis-(2080s-and-2083s)?_g=(refreshInterval:(display:Off,pause:!f,section:0,value:0),time:(from:'2017-05-09T16:28:38-0600',mode:absolute,to:'2017-05-09T19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3" s="192" t="str">
        <f t="shared" si="51"/>
        <v>N</v>
      </c>
      <c r="X193" s="192">
        <f t="shared" si="71"/>
        <v>1</v>
      </c>
      <c r="Y193" s="192">
        <f t="shared" si="53"/>
        <v>9.7799999999999998E-2</v>
      </c>
      <c r="Z193" s="192">
        <f t="shared" si="54"/>
        <v>5.8920000000000003</v>
      </c>
      <c r="AA193" s="192">
        <f t="shared" si="55"/>
        <v>5.7942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6"/>
        <v>0835-09</v>
      </c>
      <c r="AE193" s="80" t="str">
        <f t="shared" si="57"/>
        <v>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 &amp; 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</v>
      </c>
      <c r="AF193" s="77" t="str">
        <f t="shared" si="58"/>
        <v>"C:\Program Files (x86)\AstroGrep\AstroGrep.exe" /e /r /s /spath="%USERPROFILE%\AppData\Local\Temp\OnboardLogs" /stypes="app*4006*20170510*" /stext=" 00:.+((SYSTEM_STATE.+slice.+state.+changed )|(ment ac)|(multiple cpu faults)|(system.+state.+changed )|(\[timeout)|(PRM\|1\|D)|(kpr)|(kdp)|(train st.+moving)|(\|lc)|(penalty))"</v>
      </c>
      <c r="AG193" s="1" t="str">
        <f t="shared" si="59"/>
        <v>NW</v>
      </c>
      <c r="AH193" s="81" t="str">
        <f t="shared" si="60"/>
        <v>"%USERPROFILE%\Documents\GitHub\eaglep3\Utilities\RefineRTDCRunTimes.py" --tripid 835-09 --locoid 4006 --swversion DE.1.0.9.0 --startMP 204:978 --initTime 2017-05-09T17:28:38 --startdatetime 2017-05-09T17:51:21 --delay 1 --endMP 300:58920 --enddatetime 2017-05-09T18:06:47 --enforcementcount 0 &gt;&gt;C:\Users\stu\Documents\GitHub\eaglep3-reporting\EC\2017-05-09-refined-times.txt</v>
      </c>
      <c r="AI193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{"issue":{"subject":"","project_id":79,"tracker_id":40,"status_id":1,"priority_id":2,"assigned_to_id":23,"start_date":"2017-05-09","description":"","custom_fields":[{"id":1,"name":"Subdivision","value":"NW"},{"id":4,"name":"Milepost","value":"5.892"},{"id":17,"name":"Train ID","value":"835-09"},{"id":16,"name":"Locomotive ID","value":"4006"},{"id":130,"name":"Impact","value":""},{"id":150,"name":"Time of Event (Mountain Time)","value":"18:06:47"},{"id":151,"name":"Denver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2"/>
        <v>start /low /b %USERPROFILE%\Documents\GitHub\eaglep3\Utilities\DownloadLogsFromS3.py --loco 4006 --day 2017-05-09</v>
      </c>
      <c r="AN193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761</v>
      </c>
      <c r="B194" s="7">
        <v>4005</v>
      </c>
      <c r="C194" s="21" t="s">
        <v>207</v>
      </c>
      <c r="D194" s="21" t="s">
        <v>991</v>
      </c>
      <c r="E194" s="13">
        <v>42864.755844907406</v>
      </c>
      <c r="F194" s="13">
        <v>42864.757094907407</v>
      </c>
      <c r="G194" s="7">
        <v>1</v>
      </c>
      <c r="H194" s="21" t="s">
        <v>453</v>
      </c>
      <c r="I194" s="13">
        <v>42864.769756944443</v>
      </c>
      <c r="J194" s="7">
        <v>0</v>
      </c>
      <c r="K194" s="92" t="str">
        <f t="shared" si="47"/>
        <v>4005/4006</v>
      </c>
      <c r="L194" s="21" t="str">
        <f>VLOOKUP(A194,'Trips&amp;Operators'!$C$1:$G$99999,5,FALSE)</f>
        <v>SWANSON BRYCE</v>
      </c>
      <c r="M194" s="6">
        <f t="shared" si="48"/>
        <v>1.2662037035624962E-2</v>
      </c>
      <c r="N194" s="7">
        <f t="shared" si="70"/>
        <v>18.233333331299946</v>
      </c>
      <c r="O194" s="7"/>
      <c r="P194" s="7"/>
      <c r="Q194" s="22"/>
      <c r="R194" s="190"/>
      <c r="S194" s="196">
        <f t="shared" si="68"/>
        <v>1</v>
      </c>
      <c r="T194" s="190" t="str">
        <f t="shared" si="49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0"/>
        <v>https://d0f6bd738d7f1b3e5a7ca70fe4ff75f0.us-east-1.aws.found.io/app/kibana#/discover/Steve-Slow-Train-Analysis-(2080s-and-2083s)?_g=(refreshInterval:(display:Off,pause:!f,section:0,value:0),time:(from:'2017-05-09T17:08:25-0600',mode:absolute,to:'2017-05-09T19:28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4" s="192" t="str">
        <f t="shared" si="51"/>
        <v>N</v>
      </c>
      <c r="X194" s="192">
        <f t="shared" si="71"/>
        <v>1</v>
      </c>
      <c r="Y194" s="192">
        <f t="shared" si="53"/>
        <v>5.8613</v>
      </c>
      <c r="Z194" s="192">
        <f t="shared" si="54"/>
        <v>6.8500000000000005E-2</v>
      </c>
      <c r="AA194" s="192">
        <f t="shared" si="55"/>
        <v>5.7927999999999997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6"/>
        <v>0836-09</v>
      </c>
      <c r="AE194" s="80" t="str">
        <f t="shared" si="57"/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AF194" s="77" t="str">
        <f t="shared" si="58"/>
        <v>"C:\Program Files (x86)\AstroGrep\AstroGrep.exe" /e /r /s /spath="%USERPROFILE%\AppData\Local\Temp\OnboardLogs" /stypes="app*4005*20170510*" /stext=" 00:.+((SYSTEM_STATE.+slice.+state.+changed )|(ment ac)|(multiple cpu faults)|(system.+state.+changed )|(\[timeout)|(PRM\|1\|D)|(kpr)|(kdp)|(train st.+moving)|(\|lc)|(penalty))"</v>
      </c>
      <c r="AG194" s="1" t="str">
        <f t="shared" si="59"/>
        <v>NW</v>
      </c>
      <c r="AH194" s="81" t="str">
        <f t="shared" si="60"/>
        <v>"%USERPROFILE%\Documents\GitHub\eaglep3\Utilities\RefineRTDCRunTimes.py" --tripid 836-09 --locoid 4005 --swversion DE.1.0.9.0 --startMP 300:58613 --initTime 2017-05-09T18:08:25 --startdatetime 2017-05-09T18:10:13 --delay 1 --endMP 204:685 --enddatetime 2017-05-09T18:28:27 --enforcementcount 0 &gt;&gt;C:\Users\stu\Documents\GitHub\eaglep3-reporting\EC\2017-05-09-refined-times.txt</v>
      </c>
      <c r="AI194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{"issue":{"subject":"","project_id":79,"tracker_id":40,"status_id":1,"priority_id":2,"assigned_to_id":23,"start_date":"2017-05-09","description":"","custom_fields":[{"id":1,"name":"Subdivision","value":"NW"},{"id":4,"name":"Milepost","value":"0.0685"},{"id":17,"name":"Train ID","value":"836-09"},{"id":16,"name":"Locomotive ID","value":"4005"},{"id":130,"name":"Impact","value":""},{"id":150,"name":"Time of Event (Mountain Time)","value":"18:28:27"},{"id":151,"name":"Denver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2"/>
        <v>start /low /b %USERPROFILE%\Documents\GitHub\eaglep3\Utilities\DownloadLogsFromS3.py --loco 4005 --day 2017-05-09</v>
      </c>
      <c r="AN194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00:28:27"},{"id":29,"name":"Sharepoint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593</v>
      </c>
      <c r="B195" s="7">
        <v>4018</v>
      </c>
      <c r="C195" s="21" t="s">
        <v>207</v>
      </c>
      <c r="D195" s="21" t="s">
        <v>543</v>
      </c>
      <c r="E195" s="13">
        <v>42864.762048611112</v>
      </c>
      <c r="F195" s="13">
        <v>42864.764768518522</v>
      </c>
      <c r="G195" s="7">
        <v>1</v>
      </c>
      <c r="H195" s="21" t="s">
        <v>964</v>
      </c>
      <c r="I195" s="13">
        <v>42864.775081018517</v>
      </c>
      <c r="J195" s="7">
        <v>0</v>
      </c>
      <c r="K195" s="92" t="str">
        <f t="shared" si="47"/>
        <v>4017/4018</v>
      </c>
      <c r="L195" s="21" t="str">
        <f>VLOOKUP(A195,'Trips&amp;Operators'!$C$1:$G$99999,5,FALSE)</f>
        <v>LEVIN SCOTT</v>
      </c>
      <c r="M195" s="6">
        <f t="shared" si="48"/>
        <v>1.0312499995052349E-2</v>
      </c>
      <c r="N195" s="7">
        <f t="shared" si="70"/>
        <v>14.849999992875382</v>
      </c>
      <c r="O195" s="7"/>
      <c r="P195" s="7"/>
      <c r="Q195" s="22"/>
      <c r="R195" s="190"/>
      <c r="S195" s="196">
        <f t="shared" si="68"/>
        <v>1</v>
      </c>
      <c r="T195" s="190" t="str">
        <f t="shared" si="49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0"/>
        <v>https://d0f6bd738d7f1b3e5a7ca70fe4ff75f0.us-east-1.aws.found.io/app/kibana#/discover/Steve-Slow-Train-Analysis-(2080s-and-2083s)?_g=(refreshInterval:(display:Off,pause:!f,section:0,value:0),time:(from:'2017-05-09T17:17:21-0600',mode:absolute,to:'2017-05-09T19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5" s="192" t="str">
        <f t="shared" si="51"/>
        <v>N</v>
      </c>
      <c r="X195" s="192">
        <f t="shared" si="71"/>
        <v>1</v>
      </c>
      <c r="Y195" s="192">
        <f t="shared" si="53"/>
        <v>9.3700000000000006E-2</v>
      </c>
      <c r="Z195" s="192">
        <f t="shared" si="54"/>
        <v>5.8930999999999996</v>
      </c>
      <c r="AA195" s="192">
        <f t="shared" si="55"/>
        <v>5.7993999999999994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6"/>
        <v>0837-09</v>
      </c>
      <c r="AE195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95" s="77" t="str">
        <f t="shared" si="58"/>
        <v>"C:\Program Files (x86)\AstroGrep\AstroGrep.exe" /e /r /s /spath="%USERPROFILE%\AppData\Local\Temp\OnboardLogs" /stypes="app*4018*20170510*" /stext=" 00:.+((SYSTEM_STATE.+slice.+state.+changed )|(ment ac)|(multiple cpu faults)|(system.+state.+changed )|(\[timeout)|(PRM\|1\|D)|(kpr)|(kdp)|(train st.+moving)|(\|lc)|(penalty))"</v>
      </c>
      <c r="AG195" s="1" t="str">
        <f t="shared" si="59"/>
        <v>NW</v>
      </c>
      <c r="AH195" s="81" t="str">
        <f t="shared" si="60"/>
        <v>"%USERPROFILE%\Documents\GitHub\eaglep3\Utilities\RefineRTDCRunTimes.py" --tripid 837-09 --locoid 4018 --swversion DE.1.0.9.0 --startMP 204:937 --initTime 2017-05-09T18:17:21 --startdatetime 2017-05-09T18:21:16 --delay 1 --endMP 300:58931 --enddatetime 2017-05-09T18:36:07 --enforcementcount 0 &gt;&gt;C:\Users\stu\Documents\GitHub\eaglep3-reporting\EC\2017-05-09-refined-times.txt</v>
      </c>
      <c r="AI195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{"issue":{"subject":"","project_id":79,"tracker_id":40,"status_id":1,"priority_id":2,"assigned_to_id":23,"start_date":"2017-05-09","description":"","custom_fields":[{"id":1,"name":"Subdivision","value":"NW"},{"id":4,"name":"Milepost","value":"5.8931"},{"id":17,"name":"Train ID","value":"837-09"},{"id":16,"name":"Locomotive ID","value":"4018"},{"id":130,"name":"Impact","value":""},{"id":150,"name":"Time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2"/>
        <v>start /low /b %USERPROFILE%\Documents\GitHub\eaglep3\Utilities\DownloadLogsFromS3.py --loco 4018 --day 2017-05-09</v>
      </c>
      <c r="AN195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594</v>
      </c>
      <c r="B196" s="7">
        <v>4017</v>
      </c>
      <c r="C196" s="21" t="s">
        <v>207</v>
      </c>
      <c r="D196" s="21" t="s">
        <v>429</v>
      </c>
      <c r="E196" s="13">
        <v>42864.776365740741</v>
      </c>
      <c r="F196" s="13">
        <v>42864.777881944443</v>
      </c>
      <c r="G196" s="7">
        <v>1</v>
      </c>
      <c r="H196" s="21" t="s">
        <v>545</v>
      </c>
      <c r="I196" s="13">
        <v>42864.788460648146</v>
      </c>
      <c r="J196" s="7">
        <v>0</v>
      </c>
      <c r="K196" s="92" t="str">
        <f t="shared" si="47"/>
        <v>4017/4018</v>
      </c>
      <c r="L196" s="21" t="str">
        <f>VLOOKUP(A196,'Trips&amp;Operators'!$C$1:$G$99999,5,FALSE)</f>
        <v>LEVIN SCOTT</v>
      </c>
      <c r="M196" s="6">
        <f t="shared" si="48"/>
        <v>1.0578703702776693E-2</v>
      </c>
      <c r="N196" s="7">
        <f t="shared" si="70"/>
        <v>15.233333331998438</v>
      </c>
      <c r="O196" s="7"/>
      <c r="P196" s="7"/>
      <c r="Q196" s="22"/>
      <c r="R196" s="190"/>
      <c r="S196" s="196">
        <f t="shared" si="68"/>
        <v>1</v>
      </c>
      <c r="T196" s="190" t="str">
        <f t="shared" si="49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0"/>
        <v>https://d0f6bd738d7f1b3e5a7ca70fe4ff75f0.us-east-1.aws.found.io/app/kibana#/discover/Steve-Slow-Train-Analysis-(2080s-and-2083s)?_g=(refreshInterval:(display:Off,pause:!f,section:0,value:0),time:(from:'2017-05-09T17:37:58-0600',mode:absolute,to:'2017-05-09T19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6" s="192" t="str">
        <f t="shared" si="51"/>
        <v>N</v>
      </c>
      <c r="X196" s="192">
        <f t="shared" si="71"/>
        <v>1</v>
      </c>
      <c r="Y196" s="192">
        <f t="shared" si="53"/>
        <v>5.8615000000000004</v>
      </c>
      <c r="Z196" s="192">
        <f t="shared" si="54"/>
        <v>7.0800000000000002E-2</v>
      </c>
      <c r="AA196" s="192">
        <f t="shared" si="55"/>
        <v>5.7907000000000002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56"/>
        <v>0838-09</v>
      </c>
      <c r="AE196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96" s="77" t="str">
        <f t="shared" si="58"/>
        <v>"C:\Program Files (x86)\AstroGrep\AstroGrep.exe" /e /r /s /spath="%USERPROFILE%\AppData\Local\Temp\OnboardLogs" /stypes="app*4017*20170510*" /stext=" 00:.+((SYSTEM_STATE.+slice.+state.+changed )|(ment ac)|(multiple cpu faults)|(system.+state.+changed )|(\[timeout)|(PRM\|1\|D)|(kpr)|(kdp)|(train st.+moving)|(\|lc)|(penalty))"</v>
      </c>
      <c r="AG196" s="1" t="str">
        <f t="shared" si="59"/>
        <v>NW</v>
      </c>
      <c r="AH196" s="81" t="str">
        <f t="shared" si="60"/>
        <v>"%USERPROFILE%\Documents\GitHub\eaglep3\Utilities\RefineRTDCRunTimes.py" --tripid 838-09 --locoid 4017 --swversion DE.1.0.9.0 --startMP 300:58615 --initTime 2017-05-09T18:37:58 --startdatetime 2017-05-09T18:40:09 --delay 1 --endMP 204:708 --enddatetime 2017-05-09T18:55:23 --enforcementcount 0 &gt;&gt;C:\Users\stu\Documents\GitHub\eaglep3-reporting\EC\2017-05-09-refined-times.txt</v>
      </c>
      <c r="AI196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{"issue":{"subject":"","project_id":79,"tracker_id":40,"status_id":1,"priority_id":2,"assigned_to_id":23,"start_date":"2017-05-09","description":"","custom_fields":[{"id":1,"name":"Subdivision","value":"NW"},{"id":4,"name":"Milepost","value":"0.0708"},{"id":17,"name":"Train ID","value":"838-09"},{"id":16,"name":"Locomotive ID","value":"4017"},{"id":130,"name":"Impact","value":""},{"id":150,"name":"Time of Event (Mountain Time)","value":"18:55:23"},{"id":151,"name":"Denver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2"/>
        <v>start /low /b %USERPROFILE%\Documents\GitHub\eaglep3\Utilities\DownloadLogsFromS3.py --loco 4017 --day 2017-05-09</v>
      </c>
      <c r="AN196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764</v>
      </c>
      <c r="B197" s="7">
        <v>4006</v>
      </c>
      <c r="C197" s="21" t="s">
        <v>207</v>
      </c>
      <c r="D197" s="21" t="s">
        <v>546</v>
      </c>
      <c r="E197" s="13">
        <v>42864.771006944444</v>
      </c>
      <c r="F197" s="13">
        <v>42864.785717592589</v>
      </c>
      <c r="G197" s="7">
        <v>19</v>
      </c>
      <c r="H197" s="21" t="s">
        <v>548</v>
      </c>
      <c r="I197" s="13">
        <v>42864.796643518515</v>
      </c>
      <c r="J197" s="7">
        <v>0</v>
      </c>
      <c r="K197" s="92" t="str">
        <f t="shared" si="47"/>
        <v>4005/4006</v>
      </c>
      <c r="L197" s="21" t="str">
        <f>VLOOKUP(A197,'Trips&amp;Operators'!$C$1:$G$99999,5,FALSE)</f>
        <v>SWANSON BRYCE</v>
      </c>
      <c r="M197" s="6">
        <f t="shared" si="48"/>
        <v>1.0925925926130731E-2</v>
      </c>
      <c r="N197" s="7">
        <f t="shared" si="70"/>
        <v>15.733333333628252</v>
      </c>
      <c r="O197" s="7"/>
      <c r="P197" s="7"/>
      <c r="Q197" s="22"/>
      <c r="R197" s="190"/>
      <c r="S197" s="196">
        <f t="shared" si="68"/>
        <v>1</v>
      </c>
      <c r="T197" s="190" t="str">
        <f t="shared" si="49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0"/>
        <v>https://d0f6bd738d7f1b3e5a7ca70fe4ff75f0.us-east-1.aws.found.io/app/kibana#/discover/Steve-Slow-Train-Analysis-(2080s-and-2083s)?_g=(refreshInterval:(display:Off,pause:!f,section:0,value:0),time:(from:'2017-05-09T17:30:15-0600',mode:absolute,to:'2017-05-09T20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7" s="192" t="str">
        <f t="shared" si="51"/>
        <v>N</v>
      </c>
      <c r="X197" s="192">
        <f t="shared" si="71"/>
        <v>1</v>
      </c>
      <c r="Y197" s="192">
        <f t="shared" si="53"/>
        <v>9.7900000000000001E-2</v>
      </c>
      <c r="Z197" s="192">
        <f t="shared" si="54"/>
        <v>5.8925999999999998</v>
      </c>
      <c r="AA197" s="192">
        <f t="shared" si="55"/>
        <v>5.7946999999999997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56"/>
        <v>0839-09</v>
      </c>
      <c r="AE197" s="80" t="str">
        <f t="shared" si="57"/>
        <v>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 &amp; 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</v>
      </c>
      <c r="AF197" s="77" t="str">
        <f t="shared" si="58"/>
        <v>"C:\Program Files (x86)\AstroGrep\AstroGrep.exe" /e /r /s /spath="%USERPROFILE%\AppData\Local\Temp\OnboardLogs" /stypes="app*4006*20170510*" /stext=" 01:.+((SYSTEM_STATE.+slice.+state.+changed )|(ment ac)|(multiple cpu faults)|(system.+state.+changed )|(\[timeout)|(PRM\|1\|D)|(kpr)|(kdp)|(train st.+moving)|(\|lc)|(penalty))"</v>
      </c>
      <c r="AG197" s="1" t="str">
        <f t="shared" si="59"/>
        <v>NW</v>
      </c>
      <c r="AH197" s="81" t="str">
        <f t="shared" si="60"/>
        <v>"%USERPROFILE%\Documents\GitHub\eaglep3\Utilities\RefineRTDCRunTimes.py" --tripid 839-09 --locoid 4006 --swversion DE.1.0.9.0 --startMP 204:979 --initTime 2017-05-09T18:30:15 --startdatetime 2017-05-09T18:51:26 --delay 19 --endMP 300:58926 --enddatetime 2017-05-09T19:07:10 --enforcementcount 0 &gt;&gt;C:\Users\stu\Documents\GitHub\eaglep3-reporting\EC\2017-05-09-refined-times.txt</v>
      </c>
      <c r="AI197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{"issue":{"subject":"","project_id":79,"tracker_id":40,"status_id":1,"priority_id":2,"assigned_to_id":23,"start_date":"2017-05-09","description":"","custom_fields":[{"id":1,"name":"Subdivision","value":"NW"},{"id":4,"name":"Milepost","value":"5.8926"},{"id":17,"name":"Train ID","value":"839-09"},{"id":16,"name":"Locomotive ID","value":"4006"},{"id":130,"name":"Impact","value":""},{"id":150,"name":"Time of Event (Mountain Time)","value":"19:07:10"},{"id":151,"name":"Denver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2"/>
        <v>start /low /b %USERPROFILE%\Documents\GitHub\eaglep3\Utilities\DownloadLogsFromS3.py --loco 4006 --day 2017-05-09</v>
      </c>
      <c r="AN197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777</v>
      </c>
      <c r="B198" s="7">
        <v>4017</v>
      </c>
      <c r="C198" s="21" t="s">
        <v>207</v>
      </c>
      <c r="D198" s="21" t="s">
        <v>986</v>
      </c>
      <c r="E198" s="13">
        <v>42864.817719907405</v>
      </c>
      <c r="F198" s="13">
        <v>42864.819039351853</v>
      </c>
      <c r="G198" s="7">
        <v>1</v>
      </c>
      <c r="H198" s="21" t="s">
        <v>992</v>
      </c>
      <c r="I198" s="13">
        <v>42864.831689814811</v>
      </c>
      <c r="J198" s="7">
        <v>0</v>
      </c>
      <c r="K198" s="92" t="str">
        <f t="shared" si="47"/>
        <v>4017/4018</v>
      </c>
      <c r="L198" s="21" t="str">
        <f>VLOOKUP(A198,'Trips&amp;Operators'!$C$1:$G$99999,5,FALSE)</f>
        <v>LEVIN SCOTT</v>
      </c>
      <c r="M198" s="6">
        <f t="shared" si="48"/>
        <v>1.265046295884531E-2</v>
      </c>
      <c r="N198" s="7">
        <f t="shared" si="70"/>
        <v>18.216666660737246</v>
      </c>
      <c r="O198" s="7"/>
      <c r="P198" s="7"/>
      <c r="Q198" s="22"/>
      <c r="R198" s="190"/>
      <c r="S198" s="196">
        <f t="shared" si="68"/>
        <v>1</v>
      </c>
      <c r="T198" s="190" t="str">
        <f t="shared" si="49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0"/>
        <v>https://d0f6bd738d7f1b3e5a7ca70fe4ff75f0.us-east-1.aws.found.io/app/kibana#/discover/Steve-Slow-Train-Analysis-(2080s-and-2083s)?_g=(refreshInterval:(display:Off,pause:!f,section:0,value:0),time:(from:'2017-05-09T18:37:31-0600',mode:absolute,to:'2017-05-09T20:57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8" s="192" t="str">
        <f t="shared" si="51"/>
        <v>N</v>
      </c>
      <c r="X198" s="192">
        <f t="shared" si="71"/>
        <v>1</v>
      </c>
      <c r="Y198" s="192">
        <f t="shared" si="53"/>
        <v>5.8624000000000001</v>
      </c>
      <c r="Z198" s="192">
        <f t="shared" si="54"/>
        <v>6.1400000000000003E-2</v>
      </c>
      <c r="AA198" s="192">
        <f t="shared" si="55"/>
        <v>5.8010000000000002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56"/>
        <v>0840-09</v>
      </c>
      <c r="AE198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198" s="77" t="str">
        <f t="shared" si="58"/>
        <v>"C:\Program Files (x86)\AstroGrep\AstroGrep.exe" /e /r /s /spath="%USERPROFILE%\AppData\Local\Temp\OnboardLogs" /stypes="app*4017*20170510*" /stext=" 01:.+((SYSTEM_STATE.+slice.+state.+changed )|(ment ac)|(multiple cpu faults)|(system.+state.+changed )|(\[timeout)|(PRM\|1\|D)|(kpr)|(kdp)|(train st.+moving)|(\|lc)|(penalty))"</v>
      </c>
      <c r="AG198" s="1" t="str">
        <f t="shared" si="59"/>
        <v>NW</v>
      </c>
      <c r="AH198" s="81" t="str">
        <f t="shared" si="60"/>
        <v>"%USERPROFILE%\Documents\GitHub\eaglep3\Utilities\RefineRTDCRunTimes.py" --tripid 840-09 --locoid 4017 --swversion DE.1.0.9.0 --startMP 300:58624 --initTime 2017-05-09T19:37:31 --startdatetime 2017-05-09T19:39:25 --delay 1 --endMP 204:614 --enddatetime 2017-05-09T19:57:38 --enforcementcount 0 &gt;&gt;C:\Users\stu\Documents\GitHub\eaglep3-reporting\EC\2017-05-09-refined-times.txt</v>
      </c>
      <c r="AI198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{"issue":{"subject":"","project_id":79,"tracker_id":40,"status_id":1,"priority_id":2,"assigned_to_id":23,"start_date":"2017-05-09","description":"","custom_fields":[{"id":1,"name":"Subdivision","value":"NW"},{"id":4,"name":"Milepost","value":"0.0614"},{"id":17,"name":"Train ID","value":"840-09"},{"id":16,"name":"Locomotive ID","value":"4017"},{"id":130,"name":"Impact","value":""},{"id":150,"name":"Time of Event (Mountain Time)","value":"19:57:38"},{"id":151,"name":"Denver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2"/>
        <v>start /low /b %USERPROFILE%\Documents\GitHub\eaglep3\Utilities\DownloadLogsFromS3.py --loco 4017 --day 2017-05-09</v>
      </c>
      <c r="AN198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01:57:38"},{"id":29,"name":"Sharepoint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s="20" customFormat="1" x14ac:dyDescent="0.25">
      <c r="A199" s="32" t="s">
        <v>774</v>
      </c>
      <c r="B199" s="7">
        <v>4018</v>
      </c>
      <c r="C199" s="21" t="s">
        <v>207</v>
      </c>
      <c r="D199" s="21" t="s">
        <v>966</v>
      </c>
      <c r="E199" s="13">
        <v>42864.804236111115</v>
      </c>
      <c r="F199" s="13">
        <v>42864.806400462963</v>
      </c>
      <c r="G199" s="7">
        <v>1</v>
      </c>
      <c r="H199" s="21" t="s">
        <v>960</v>
      </c>
      <c r="I199" s="13">
        <v>42864.816412037035</v>
      </c>
      <c r="J199" s="7">
        <v>0</v>
      </c>
      <c r="K199" s="92" t="str">
        <f t="shared" si="47"/>
        <v>4017/4018</v>
      </c>
      <c r="L199" s="21" t="str">
        <f>VLOOKUP(A199,'Trips&amp;Operators'!$C$1:$G$99999,5,FALSE)</f>
        <v>LEVIN SCOTT</v>
      </c>
      <c r="M199" s="6">
        <f t="shared" si="48"/>
        <v>1.0011574071540963E-2</v>
      </c>
      <c r="N199" s="7">
        <f t="shared" si="70"/>
        <v>14.416666663018987</v>
      </c>
      <c r="O199" s="7"/>
      <c r="P199" s="7"/>
      <c r="Q199" s="22"/>
      <c r="R199" s="190"/>
      <c r="S199" s="196">
        <f t="shared" si="68"/>
        <v>1</v>
      </c>
      <c r="T199" s="190" t="str">
        <f t="shared" si="49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0"/>
        <v>https://d0f6bd738d7f1b3e5a7ca70fe4ff75f0.us-east-1.aws.found.io/app/kibana#/discover/Steve-Slow-Train-Analysis-(2080s-and-2083s)?_g=(refreshInterval:(display:Off,pause:!f,section:0,value:0),time:(from:'2017-05-09T18:18:06-0600',mode:absolute,to:'2017-05-09T20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9" s="192" t="str">
        <f t="shared" si="51"/>
        <v>N</v>
      </c>
      <c r="X199" s="192">
        <f t="shared" si="71"/>
        <v>1</v>
      </c>
      <c r="Y199" s="192">
        <f t="shared" si="53"/>
        <v>0.1</v>
      </c>
      <c r="Z199" s="192">
        <f t="shared" si="54"/>
        <v>5.8936999999999999</v>
      </c>
      <c r="AA199" s="192">
        <f t="shared" si="55"/>
        <v>5.7937000000000003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56"/>
        <v>0841-09</v>
      </c>
      <c r="AE199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199" s="77" t="str">
        <f t="shared" si="58"/>
        <v>"C:\Program Files (x86)\AstroGrep\AstroGrep.exe" /e /r /s /spath="%USERPROFILE%\AppData\Local\Temp\OnboardLogs" /stypes="app*4018*20170510*" /stext=" 01:.+((SYSTEM_STATE.+slice.+state.+changed )|(ment ac)|(multiple cpu faults)|(system.+state.+changed )|(\[timeout)|(PRM\|1\|D)|(kpr)|(kdp)|(train st.+moving)|(\|lc)|(penalty))"</v>
      </c>
      <c r="AG199" s="1" t="str">
        <f t="shared" si="59"/>
        <v>NW</v>
      </c>
      <c r="AH199" s="81" t="str">
        <f t="shared" si="60"/>
        <v>"%USERPROFILE%\Documents\GitHub\eaglep3\Utilities\RefineRTDCRunTimes.py" --tripid 841-09 --locoid 4018 --swversion DE.1.0.9.0 --startMP 204:1000 --initTime 2017-05-09T19:18:06 --startdatetime 2017-05-09T19:21:13 --delay 1 --endMP 300:58937 --enddatetime 2017-05-09T19:35:38 --enforcementcount 0 &gt;&gt;C:\Users\stu\Documents\GitHub\eaglep3-reporting\EC\2017-05-09-refined-times.txt</v>
      </c>
      <c r="AI199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{"issue":{"subject":"","project_id":79,"tracker_id":40,"status_id":1,"priority_id":2,"assigned_to_id":23,"start_date":"2017-05-09","description":"","custom_fields":[{"id":1,"name":"Subdivision","value":"NW"},{"id":4,"name":"Milepost","value":"5.8937"},{"id":17,"name":"Train ID","value":"841-09"},{"id":16,"name":"Locomotive ID","value":"4018"},{"id":130,"name":"Impact","value":""},{"id":150,"name":"Time of Event (Mountain Time)","value":"19:35:38"},{"id":151,"name":"Denver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5" t="str">
        <f t="shared" si="62"/>
        <v>start /low /b %USERPROFILE%\Documents\GitHub\eaglep3\Utilities\DownloadLogsFromS3.py --loco 4018 --day 2017-05-09</v>
      </c>
      <c r="AN199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785</v>
      </c>
      <c r="B200" s="7">
        <v>4017</v>
      </c>
      <c r="C200" s="21" t="s">
        <v>207</v>
      </c>
      <c r="D200" s="21" t="s">
        <v>993</v>
      </c>
      <c r="E200" s="13">
        <v>42864.859085648146</v>
      </c>
      <c r="F200" s="13">
        <v>42864.860231481478</v>
      </c>
      <c r="G200" s="7">
        <v>1</v>
      </c>
      <c r="H200" s="21" t="s">
        <v>994</v>
      </c>
      <c r="I200" s="13">
        <v>42864.871932870374</v>
      </c>
      <c r="J200" s="7">
        <v>0</v>
      </c>
      <c r="K200" s="92" t="str">
        <f t="shared" si="47"/>
        <v>4017/4018</v>
      </c>
      <c r="L200" s="21" t="str">
        <f>VLOOKUP(A200,'Trips&amp;Operators'!$C$1:$G$99999,5,FALSE)</f>
        <v>LEVIN SCOTT</v>
      </c>
      <c r="M200" s="6">
        <f t="shared" si="48"/>
        <v>1.1701388895744458E-2</v>
      </c>
      <c r="N200" s="7">
        <f t="shared" si="70"/>
        <v>16.850000009872019</v>
      </c>
      <c r="O200" s="7"/>
      <c r="P200" s="7"/>
      <c r="Q200" s="22"/>
      <c r="R200" s="190"/>
      <c r="S200" s="196">
        <f t="shared" si="68"/>
        <v>1</v>
      </c>
      <c r="T200" s="190" t="str">
        <f t="shared" si="49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0"/>
        <v>https://d0f6bd738d7f1b3e5a7ca70fe4ff75f0.us-east-1.aws.found.io/app/kibana#/discover/Steve-Slow-Train-Analysis-(2080s-and-2083s)?_g=(refreshInterval:(display:Off,pause:!f,section:0,value:0),time:(from:'2017-05-09T19:37:05-0600',mode:absolute,to:'2017-05-09T21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0" s="192" t="str">
        <f t="shared" si="51"/>
        <v>N</v>
      </c>
      <c r="X200" s="192">
        <f t="shared" si="71"/>
        <v>1</v>
      </c>
      <c r="Y200" s="192">
        <f t="shared" si="53"/>
        <v>5.8634000000000004</v>
      </c>
      <c r="Z200" s="192">
        <f t="shared" si="54"/>
        <v>6.6100000000000006E-2</v>
      </c>
      <c r="AA200" s="192">
        <f t="shared" si="55"/>
        <v>5.7973000000000008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56"/>
        <v>0842-09</v>
      </c>
      <c r="AE200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200" s="77" t="str">
        <f t="shared" si="58"/>
        <v>"C:\Program Files (x86)\AstroGrep\AstroGrep.exe" /e /r /s /spath="%USERPROFILE%\AppData\Local\Temp\OnboardLogs" /stypes="app*4017*20170510*" /stext=" 02:.+((SYSTEM_STATE.+slice.+state.+changed )|(ment ac)|(multiple cpu faults)|(system.+state.+changed )|(\[timeout)|(PRM\|1\|D)|(kpr)|(kdp)|(train st.+moving)|(\|lc)|(penalty))"</v>
      </c>
      <c r="AG200" s="1" t="str">
        <f t="shared" si="59"/>
        <v>NW</v>
      </c>
      <c r="AH200" s="81" t="str">
        <f t="shared" si="60"/>
        <v>"%USERPROFILE%\Documents\GitHub\eaglep3\Utilities\RefineRTDCRunTimes.py" --tripid 842-09 --locoid 4017 --swversion DE.1.0.9.0 --startMP 300:58634 --initTime 2017-05-09T20:37:05 --startdatetime 2017-05-09T20:38:44 --delay 1 --endMP 204:661 --enddatetime 2017-05-09T20:55:35 --enforcementcount 0 &gt;&gt;C:\Users\stu\Documents\GitHub\eaglep3-reporting\EC\2017-05-09-refined-times.txt</v>
      </c>
      <c r="AI200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{"issue":{"subject":"","project_id":79,"tracker_id":40,"status_id":1,"priority_id":2,"assigned_to_id":23,"start_date":"2017-05-09","description":"","custom_fields":[{"id":1,"name":"Subdivision","value":"NW"},{"id":4,"name":"Milepost","value":"0.0661"},{"id":17,"name":"Train ID","value":"842-09"},{"id":16,"name":"Locomotive ID","value":"4017"},{"id":130,"name":"Impact","value":""},{"id":150,"name":"Time of Event (Mountain Time)","value":"20:55:35"},{"id":151,"name":"Denver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2"/>
        <v>start /low /b %USERPROFILE%\Documents\GitHub\eaglep3\Utilities\DownloadLogsFromS3.py --loco 4017 --day 2017-05-09</v>
      </c>
      <c r="AN200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02:55:35"},{"id":29,"name":"Sharepoint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782</v>
      </c>
      <c r="B201" s="7">
        <v>4018</v>
      </c>
      <c r="C201" s="21" t="s">
        <v>207</v>
      </c>
      <c r="D201" s="21" t="s">
        <v>995</v>
      </c>
      <c r="E201" s="13">
        <v>42864.842303240737</v>
      </c>
      <c r="F201" s="13">
        <v>42864.848078703704</v>
      </c>
      <c r="G201" s="7">
        <v>1</v>
      </c>
      <c r="H201" s="21" t="s">
        <v>454</v>
      </c>
      <c r="I201" s="13">
        <v>42864.857939814814</v>
      </c>
      <c r="J201" s="7">
        <v>0</v>
      </c>
      <c r="K201" s="92" t="str">
        <f t="shared" si="47"/>
        <v>4017/4018</v>
      </c>
      <c r="L201" s="21" t="str">
        <f>VLOOKUP(A201,'Trips&amp;Operators'!$C$1:$G$99999,5,FALSE)</f>
        <v>LEVIN SCOTT</v>
      </c>
      <c r="M201" s="6">
        <f t="shared" si="48"/>
        <v>9.8611111097852699E-3</v>
      </c>
      <c r="N201" s="7">
        <f t="shared" si="70"/>
        <v>14.199999998090789</v>
      </c>
      <c r="O201" s="7"/>
      <c r="P201" s="7"/>
      <c r="Q201" s="22"/>
      <c r="R201" s="190"/>
      <c r="S201" s="196">
        <f t="shared" si="68"/>
        <v>1</v>
      </c>
      <c r="T201" s="190" t="str">
        <f t="shared" si="49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0"/>
        <v>https://d0f6bd738d7f1b3e5a7ca70fe4ff75f0.us-east-1.aws.found.io/app/kibana#/discover/Steve-Slow-Train-Analysis-(2080s-and-2083s)?_g=(refreshInterval:(display:Off,pause:!f,section:0,value:0),time:(from:'2017-05-09T19:12:55-0600',mode:absolute,to:'2017-05-09T21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1" s="192" t="str">
        <f t="shared" si="51"/>
        <v>N</v>
      </c>
      <c r="X201" s="192">
        <f t="shared" si="71"/>
        <v>1</v>
      </c>
      <c r="Y201" s="192">
        <f t="shared" si="53"/>
        <v>9.2999999999999999E-2</v>
      </c>
      <c r="Z201" s="192">
        <f t="shared" si="54"/>
        <v>5.8949999999999996</v>
      </c>
      <c r="AA201" s="192">
        <f t="shared" si="55"/>
        <v>5.8019999999999996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56"/>
        <v>0843-09</v>
      </c>
      <c r="AE201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201" s="77" t="str">
        <f t="shared" si="58"/>
        <v>"C:\Program Files (x86)\AstroGrep\AstroGrep.exe" /e /r /s /spath="%USERPROFILE%\AppData\Local\Temp\OnboardLogs" /stypes="app*4018*20170510*" /stext=" 02:.+((SYSTEM_STATE.+slice.+state.+changed )|(ment ac)|(multiple cpu faults)|(system.+state.+changed )|(\[timeout)|(PRM\|1\|D)|(kpr)|(kdp)|(train st.+moving)|(\|lc)|(penalty))"</v>
      </c>
      <c r="AG201" s="1" t="str">
        <f t="shared" si="59"/>
        <v>NW</v>
      </c>
      <c r="AH201" s="81" t="str">
        <f t="shared" si="60"/>
        <v>"%USERPROFILE%\Documents\GitHub\eaglep3\Utilities\RefineRTDCRunTimes.py" --tripid 843-09 --locoid 4018 --swversion DE.1.0.9.0 --startMP 204:930 --initTime 2017-05-09T20:12:55 --startdatetime 2017-05-09T20:21:14 --delay 1 --endMP 300:58950 --enddatetime 2017-05-09T20:35:26 --enforcementcount 0 &gt;&gt;C:\Users\stu\Documents\GitHub\eaglep3-reporting\EC\2017-05-09-refined-times.txt</v>
      </c>
      <c r="AI201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{"issue":{"subject":"","project_id":79,"tracker_id":40,"status_id":1,"priority_id":2,"assigned_to_id":23,"start_date":"2017-05-09","description":"","custom_fields":[{"id":1,"name":"Subdivision","value":"NW"},{"id":4,"name":"Milepost","value":"5.895"},{"id":17,"name":"Train ID","value":"843-09"},{"id":16,"name":"Locomotive ID","value":"4018"},{"id":130,"name":"Impact","value":""},{"id":150,"name":"Time of Event (Mountain Time)","value":"20:35:26"},{"id":151,"name":"Denver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2"/>
        <v>start /low /b %USERPROFILE%\Documents\GitHub\eaglep3\Utilities\DownloadLogsFromS3.py --loco 4018 --day 2017-05-09</v>
      </c>
      <c r="AN201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02:35:26"},{"id":29,"name":"Sharepoint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789</v>
      </c>
      <c r="B202" s="7">
        <v>4017</v>
      </c>
      <c r="C202" s="21" t="s">
        <v>207</v>
      </c>
      <c r="D202" s="21" t="s">
        <v>996</v>
      </c>
      <c r="E202" s="13">
        <v>42864.902800925927</v>
      </c>
      <c r="F202" s="13">
        <v>42864.90421296296</v>
      </c>
      <c r="G202" s="7">
        <v>2</v>
      </c>
      <c r="H202" s="21" t="s">
        <v>997</v>
      </c>
      <c r="I202" s="13">
        <v>42864.914270833331</v>
      </c>
      <c r="J202" s="7">
        <v>0</v>
      </c>
      <c r="K202" s="92" t="str">
        <f t="shared" si="47"/>
        <v>4017/4018</v>
      </c>
      <c r="L202" s="21" t="str">
        <f>VLOOKUP(A202,'Trips&amp;Operators'!$C$1:$G$99999,5,FALSE)</f>
        <v>SWANSON BRYCE</v>
      </c>
      <c r="M202" s="6">
        <f t="shared" si="48"/>
        <v>1.0057870371383615E-2</v>
      </c>
      <c r="N202" s="7">
        <f t="shared" si="70"/>
        <v>14.483333334792405</v>
      </c>
      <c r="O202" s="7"/>
      <c r="P202" s="7"/>
      <c r="Q202" s="22"/>
      <c r="R202" s="190"/>
      <c r="S202" s="196">
        <f t="shared" si="68"/>
        <v>1</v>
      </c>
      <c r="T202" s="190" t="str">
        <f t="shared" si="49"/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50"/>
        <v>https://d0f6bd738d7f1b3e5a7ca70fe4ff75f0.us-east-1.aws.found.io/app/kibana#/discover/Steve-Slow-Train-Analysis-(2080s-and-2083s)?_g=(refreshInterval:(display:Off,pause:!f,section:0,value:0),time:(from:'2017-05-09T20:40:02-0600',mode:absolute,to:'2017-05-09T22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2" s="192" t="str">
        <f t="shared" si="51"/>
        <v>N</v>
      </c>
      <c r="X202" s="192">
        <f t="shared" si="71"/>
        <v>1</v>
      </c>
      <c r="Y202" s="192">
        <f t="shared" si="53"/>
        <v>5.7347999999999999</v>
      </c>
      <c r="Z202" s="192">
        <f t="shared" si="54"/>
        <v>6.8900000000000003E-2</v>
      </c>
      <c r="AA202" s="192">
        <f t="shared" si="55"/>
        <v>5.6658999999999997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56"/>
        <v>0844-09</v>
      </c>
      <c r="AE202" s="80" t="str">
        <f t="shared" si="57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202" s="77" t="str">
        <f t="shared" si="58"/>
        <v>"C:\Program Files (x86)\AstroGrep\AstroGrep.exe" /e /r /s /spath="%USERPROFILE%\AppData\Local\Temp\OnboardLogs" /stypes="app*4017*20170510*" /stext=" 03:.+((SYSTEM_STATE.+slice.+state.+changed )|(ment ac)|(multiple cpu faults)|(system.+state.+changed )|(\[timeout)|(PRM\|1\|D)|(kpr)|(kdp)|(train st.+moving)|(\|lc)|(penalty))"</v>
      </c>
      <c r="AG202" s="1" t="str">
        <f t="shared" si="59"/>
        <v>NW</v>
      </c>
      <c r="AH202" s="81" t="str">
        <f t="shared" si="60"/>
        <v>"%USERPROFILE%\Documents\GitHub\eaglep3\Utilities\RefineRTDCRunTimes.py" --tripid 844-09 --locoid 4017 --swversion DE.1.0.9.0 --startMP 300:57348 --initTime 2017-05-09T21:40:02 --startdatetime 2017-05-09T21:42:04 --delay 2 --endMP 204:689 --enddatetime 2017-05-09T21:56:33 --enforcementcount 0 &gt;&gt;C:\Users\stu\Documents\GitHub\eaglep3-reporting\EC\2017-05-09-refined-times.txt</v>
      </c>
      <c r="AI202" s="99" t="str">
        <f t="shared" si="61"/>
        <v>echo {"issue":{"subject":"","project_id":79,"tracker_id":40,"status_id":1,"priority_id":2,"assigned_to_id":23,"start_date":"2017-05-09","description":"","custom_fields":[{"id":1,"name":"Subdivision","value":"NW"},{"id":4,"name":"Milepost","value":"0.0689"},{"id":17,"name":"Train ID","value":"844-09"},{"id":16,"name":"Locomotive ID","value":"4017"},{"id":130,"name":"Impact","value":""},{"id":150,"name":"Time of Event (Mountain Time)","value":"21:56:33"},{"id":151,"name":"Denver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2"/>
        <v>start /low /b %USERPROFILE%\Documents\GitHub\eaglep3\Utilities\DownloadLogsFromS3.py --loco 4017 --day 2017-05-09</v>
      </c>
      <c r="AN202" s="154" t="str">
        <f t="shared" si="63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03:56:33"},{"id":29,"name":"Sharepoint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597</v>
      </c>
      <c r="B203" s="7">
        <v>4018</v>
      </c>
      <c r="C203" s="21" t="s">
        <v>207</v>
      </c>
      <c r="D203" s="21" t="s">
        <v>998</v>
      </c>
      <c r="E203" s="13">
        <v>42864.877303240741</v>
      </c>
      <c r="F203" s="13">
        <v>42864.889768518522</v>
      </c>
      <c r="G203" s="7">
        <v>1</v>
      </c>
      <c r="H203" s="21" t="s">
        <v>999</v>
      </c>
      <c r="I203" s="13">
        <v>42864.901782407411</v>
      </c>
      <c r="J203" s="7">
        <v>0</v>
      </c>
      <c r="K203" s="92" t="str">
        <f t="shared" si="47"/>
        <v>4017/4018</v>
      </c>
      <c r="L203" s="21" t="str">
        <f>VLOOKUP(A203,'Trips&amp;Operators'!$C$1:$G$99999,5,FALSE)</f>
        <v>SWANSON BRYCE</v>
      </c>
      <c r="M203" s="6">
        <f t="shared" si="48"/>
        <v>1.2013888888759539E-2</v>
      </c>
      <c r="N203" s="7">
        <f t="shared" si="70"/>
        <v>17.299999999813735</v>
      </c>
      <c r="O203" s="7"/>
      <c r="P203" s="7"/>
      <c r="Q203" s="22"/>
      <c r="R203" s="190"/>
      <c r="S203" s="196">
        <f t="shared" si="68"/>
        <v>1</v>
      </c>
      <c r="T203" s="190" t="str">
        <f t="shared" si="49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0"/>
        <v>https://d0f6bd738d7f1b3e5a7ca70fe4ff75f0.us-east-1.aws.found.io/app/kibana#/discover/Steve-Slow-Train-Analysis-(2080s-and-2083s)?_g=(refreshInterval:(display:Off,pause:!f,section:0,value:0),time:(from:'2017-05-09T20:03:19-0600',mode:absolute,to:'2017-05-09T22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192" t="str">
        <f t="shared" si="51"/>
        <v>N</v>
      </c>
      <c r="X203" s="192">
        <f t="shared" si="71"/>
        <v>1</v>
      </c>
      <c r="Y203" s="192">
        <f t="shared" si="53"/>
        <v>9.3600000000000003E-2</v>
      </c>
      <c r="Z203" s="192">
        <f t="shared" si="54"/>
        <v>5.8917999999999999</v>
      </c>
      <c r="AA203" s="192">
        <f t="shared" si="55"/>
        <v>5.7981999999999996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56"/>
        <v>0845-09</v>
      </c>
      <c r="AE203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203" s="77" t="str">
        <f t="shared" si="58"/>
        <v>"C:\Program Files (x86)\AstroGrep\AstroGrep.exe" /e /r /s /spath="%USERPROFILE%\AppData\Local\Temp\OnboardLogs" /stypes="app*4018*20170510*" /stext=" 03:.+((SYSTEM_STATE.+slice.+state.+changed )|(ment ac)|(multiple cpu faults)|(system.+state.+changed )|(\[timeout)|(PRM\|1\|D)|(kpr)|(kdp)|(train st.+moving)|(\|lc)|(penalty))"</v>
      </c>
      <c r="AG203" s="1" t="str">
        <f t="shared" si="59"/>
        <v>NW</v>
      </c>
      <c r="AH203" s="81" t="str">
        <f t="shared" ref="AH203:AH263" si="72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845-09 --locoid 4018 --swversion DE.1.0.9.0 --startMP 204:936 --initTime 2017-05-09T21:03:19 --startdatetime 2017-05-09T21:21:16 --delay 1 --endMP 300:58918 --enddatetime 2017-05-09T21:38:34 --enforcementcount 0 &gt;&gt;C:\Users\stu\Documents\GitHub\eaglep3-reporting\EC\2017-05-09-refined-times.txt</v>
      </c>
      <c r="AI203" s="99" t="str">
        <f t="shared" ref="AI203:AI263" si="73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{"issue":{"subject":"","project_id":79,"tracker_id":40,"status_id":1,"priority_id":2,"assigned_to_id":23,"start_date":"2017-05-09","description":"","custom_fields":[{"id":1,"name":"Subdivision","value":"NW"},{"id":4,"name":"Milepost","value":"5.8918"},{"id":17,"name":"Train ID","value":"845-09"},{"id":16,"name":"Locomotive ID","value":"4018"},{"id":130,"name":"Impact","value":""},{"id":150,"name":"Time of Event (Mountain Time)","value":"21:38:34"},{"id":151,"name":"Denver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ref="AM203:AM263" si="74">"start /low /b "&amp;dls3logs&amp;" --loco "&amp;B203&amp;" --day "&amp;TEXT(F203,"YYYY-MM-DD")</f>
        <v>start /low /b %USERPROFILE%\Documents\GitHub\eaglep3\Utilities\DownloadLogsFromS3.py --loco 4018 --day 2017-05-09</v>
      </c>
      <c r="AN203" s="154" t="str">
        <f t="shared" ref="AN203:AN263" si="75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03:38:34"},{"id":29,"name":"Sharepoint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792</v>
      </c>
      <c r="B204" s="7">
        <v>4018</v>
      </c>
      <c r="C204" s="21" t="s">
        <v>207</v>
      </c>
      <c r="D204" s="21" t="s">
        <v>430</v>
      </c>
      <c r="E204" s="13">
        <v>42864.91673611111</v>
      </c>
      <c r="F204" s="13">
        <v>42864.93167824074</v>
      </c>
      <c r="G204" s="7">
        <v>1</v>
      </c>
      <c r="H204" s="21" t="s">
        <v>389</v>
      </c>
      <c r="I204" s="13">
        <v>42864.942708333336</v>
      </c>
      <c r="J204" s="7">
        <v>0</v>
      </c>
      <c r="K204" s="92" t="str">
        <f t="shared" si="47"/>
        <v>4017/4018</v>
      </c>
      <c r="L204" s="21" t="str">
        <f>VLOOKUP(A204,'Trips&amp;Operators'!$C$1:$G$99999,5,FALSE)</f>
        <v>SWANSON BRYCE</v>
      </c>
      <c r="M204" s="6">
        <f t="shared" si="48"/>
        <v>1.1030092595319729E-2</v>
      </c>
      <c r="N204" s="7">
        <f t="shared" si="70"/>
        <v>15.88333333726041</v>
      </c>
      <c r="O204" s="7"/>
      <c r="P204" s="7"/>
      <c r="Q204" s="22"/>
      <c r="R204" s="190"/>
      <c r="S204" s="196">
        <f t="shared" si="68"/>
        <v>1</v>
      </c>
      <c r="T204" s="190" t="str">
        <f t="shared" si="49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0"/>
        <v>https://d0f6bd738d7f1b3e5a7ca70fe4ff75f0.us-east-1.aws.found.io/app/kibana#/discover/Steve-Slow-Train-Analysis-(2080s-and-2083s)?_g=(refreshInterval:(display:Off,pause:!f,section:0,value:0),time:(from:'2017-05-09T21:00:06-0600',mode:absolute,to:'2017-05-09T23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4" s="192" t="str">
        <f t="shared" si="51"/>
        <v>N</v>
      </c>
      <c r="X204" s="192">
        <f t="shared" si="71"/>
        <v>2</v>
      </c>
      <c r="Y204" s="192">
        <f t="shared" si="53"/>
        <v>9.64E-2</v>
      </c>
      <c r="Z204" s="192">
        <f t="shared" si="54"/>
        <v>5.8939000000000004</v>
      </c>
      <c r="AA204" s="192">
        <f t="shared" si="55"/>
        <v>5.7975000000000003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56"/>
        <v>0847-09</v>
      </c>
      <c r="AE204" s="80" t="str">
        <f t="shared" si="57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204" s="77" t="str">
        <f t="shared" si="58"/>
        <v>"C:\Program Files (x86)\AstroGrep\AstroGrep.exe" /e /r /s /spath="%USERPROFILE%\AppData\Local\Temp\OnboardLogs" /stypes="app*4018*20170510*" /stext=" 04:.+((SYSTEM_STATE.+slice.+state.+changed )|(ment ac)|(multiple cpu faults)|(system.+state.+changed )|(\[timeout)|(PRM\|1\|D)|(kpr)|(kdp)|(train st.+moving)|(\|lc)|(penalty))"</v>
      </c>
      <c r="AG204" s="1" t="str">
        <f t="shared" si="59"/>
        <v>NW</v>
      </c>
      <c r="AH204" s="81" t="str">
        <f t="shared" si="72"/>
        <v>"%USERPROFILE%\Documents\GitHub\eaglep3\Utilities\RefineRTDCRunTimes.py" --tripid 847-09 --locoid 4018 --swversion DE.1.0.9.0 --startMP 204:964 --initTime 2017-05-09T22:00:06 --startdatetime 2017-05-09T22:21:37 --delay 1 --endMP 300:58939 --enddatetime 2017-05-09T22:37:30 --enforcementcount 0 &gt;&gt;C:\Users\stu\Documents\GitHub\eaglep3-reporting\EC\2017-05-09-refined-times.txt</v>
      </c>
      <c r="AI204" s="99" t="str">
        <f t="shared" si="73"/>
        <v>echo {"issue":{"subject":"","project_id":79,"tracker_id":40,"status_id":1,"priority_id":2,"assigned_to_id":23,"start_date":"2017-05-09","description":"","custom_fields":[{"id":1,"name":"Subdivision","value":"NW"},{"id":4,"name":"Milepost","value":"5.8939"},{"id":17,"name":"Train ID","value":"847-09"},{"id":16,"name":"Locomotive ID","value":"4018"},{"id":130,"name":"Impact","value":""},{"id":150,"name":"Time of Event (Mountain Time)","value":"22:37:30"},{"id":151,"name":"Denver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4"/>
        <v>start /low /b %USERPROFILE%\Documents\GitHub\eaglep3\Utilities\DownloadLogsFromS3.py --loco 4018 --day 2017-05-09</v>
      </c>
      <c r="AN204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04:37:30"},{"id":29,"name":"Sharepoint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601</v>
      </c>
      <c r="B205" s="7">
        <v>4029</v>
      </c>
      <c r="C205" s="21" t="s">
        <v>207</v>
      </c>
      <c r="D205" s="21" t="s">
        <v>891</v>
      </c>
      <c r="E205" s="13">
        <v>42864.116608796299</v>
      </c>
      <c r="F205" s="13">
        <v>42864.121006944442</v>
      </c>
      <c r="G205" s="7">
        <v>6</v>
      </c>
      <c r="H205" s="21" t="s">
        <v>197</v>
      </c>
      <c r="I205" s="13">
        <v>42864.126585648148</v>
      </c>
      <c r="J205" s="7">
        <v>0</v>
      </c>
      <c r="K205" s="92" t="str">
        <f t="shared" ref="K205:K263" si="76">IF(ISEVEN(B205),(B205-1)&amp;"/"&amp;B205,B205&amp;"/"&amp;(B205+1))</f>
        <v>4029/4030</v>
      </c>
      <c r="L205" s="21" t="str">
        <f>VLOOKUP(A205,'Trips&amp;Operators'!$C$1:$G$99999,5,FALSE)</f>
        <v>SANTIZO D. EDY</v>
      </c>
      <c r="M205" s="6">
        <f t="shared" ref="M205:M263" si="77">I205-F205</f>
        <v>5.5787037053960375E-3</v>
      </c>
      <c r="N205" s="7">
        <f t="shared" si="70"/>
        <v>8.0333333357702941</v>
      </c>
      <c r="O205" s="7"/>
      <c r="P205" s="7"/>
      <c r="Q205" s="22"/>
      <c r="R205" s="190"/>
      <c r="S205" s="196">
        <f t="shared" si="68"/>
        <v>1</v>
      </c>
      <c r="T205" s="190" t="str">
        <f t="shared" ref="T205:T263" si="78">IF(ISEVEN(LEFT(AD205,4)),"Southbound","NorthBound")</f>
        <v>Southbound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63" si="7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-09T01:47:55-0600',mode:absolute,to:'2017-05-09T04:02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5" s="192" t="str">
        <f t="shared" ref="W205:W263" si="80">IF(AA205&lt;IF(AG205="EC",23,5.65),"Y","N")</f>
        <v>Y</v>
      </c>
      <c r="X205" s="192">
        <f t="shared" si="71"/>
        <v>-545</v>
      </c>
      <c r="Y205" s="192">
        <f t="shared" ref="Y205:Y263" si="81">RIGHT(D205,LEN(D205)-4)/10000</f>
        <v>1.9489000000000001</v>
      </c>
      <c r="Z205" s="192">
        <f t="shared" ref="Z205:Z263" si="82">RIGHT(H205,LEN(H205)-4)/10000</f>
        <v>1.52E-2</v>
      </c>
      <c r="AA205" s="192">
        <f t="shared" ref="AA205:AA268" si="83">ABS(Z205-Y205)</f>
        <v>1.9337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63" si="84">IF(LEN(A205)=6,"0"&amp;A205,A205)</f>
        <v>0302-09</v>
      </c>
      <c r="AE205" s="80" t="str">
        <f t="shared" ref="AE205:AE263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AF205" s="77" t="str">
        <f t="shared" ref="AF205:AF263" si="8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/stypes="app*4029*20170509*" /stext=" 09:.+((SYSTEM_STATE.+slice.+state.+changed )|(ment ac)|(multiple cpu faults)|(system.+state.+changed )|(\[timeout)|(PRM\|1\|D)|(kpr)|(kdp)|(train st.+moving)|(\|lc)|(penalty))"</v>
      </c>
      <c r="AG205" s="1" t="str">
        <f t="shared" ref="AG205:AG263" si="87">IFERROR(IF(VALUE(LEFT(AD205,2))&lt;=2,"EC",IF(OR(VALUE(LEFT(AD205,2))=8,VALUE(LEFT(AD205,2))=18),"NW","Other")),"Other")</f>
        <v>Other</v>
      </c>
      <c r="AH205" s="81" t="str">
        <f t="shared" si="72"/>
        <v>"%USERPROFILE%\Documents\GitHub\eaglep3\Utilities\RefineRTDCRunTimes.py" --tripid 302-09 --locoid 4029 --swversion DE.1.0.9.0 --startMP 300:19489 --initTime 2017-05-09T02:47:55 --startdatetime 2017-05-09T02:54:15 --delay 6 --endMP 204:152 --enddatetime 2017-05-09T03:02:17 --enforcementcount 0 &gt;&gt;C:\Users\stu\Documents\GitHub\eaglep3-reporting\EC\2017-05-09-refined-times.txt</v>
      </c>
      <c r="AI205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{"issue":{"subject":"","project_id":79,"tracker_id":40,"status_id":1,"priority_id":2,"assigned_to_id":23,"start_date":"2017-05-09","description":"","custom_fields":[{"id":1,"name":"Subdivision","value":"Other"},{"id":4,"name":"Milepost","value":"0.0152"},{"id":17,"name":"Train ID","value":"302-09"},{"id":16,"name":"Locomotive ID","value":"4029"},{"id":130,"name":"Impact","value":""},{"id":150,"name":"Time of Event (Mountain Time)","value":"03:02:17"},{"id":151,"name":"Denver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4"/>
        <v>start /low /b %USERPROFILE%\Documents\GitHub\eaglep3\Utilities\DownloadLogsFromS3.py --loco 4029 --day 2017-05-09</v>
      </c>
      <c r="AN205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09:02:17"},{"id":29,"name":"Sharepoint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766</v>
      </c>
      <c r="B206" s="7">
        <v>4032</v>
      </c>
      <c r="C206" s="21" t="s">
        <v>207</v>
      </c>
      <c r="D206" s="21" t="s">
        <v>892</v>
      </c>
      <c r="E206" s="13">
        <v>42864.779965277776</v>
      </c>
      <c r="F206" s="13">
        <v>42864.788668981484</v>
      </c>
      <c r="G206" s="7">
        <v>1</v>
      </c>
      <c r="H206" s="21" t="s">
        <v>369</v>
      </c>
      <c r="I206" s="13">
        <v>42864.800474537034</v>
      </c>
      <c r="J206" s="7">
        <v>0</v>
      </c>
      <c r="K206" s="92" t="str">
        <f t="shared" si="76"/>
        <v>4031/4032</v>
      </c>
      <c r="L206" s="21" t="str">
        <f>VLOOKUP(A206,'Trips&amp;Operators'!$C$1:$G$99999,5,FALSE)</f>
        <v>CLARK KATHLEEN</v>
      </c>
      <c r="M206" s="6">
        <f t="shared" si="77"/>
        <v>1.1805555550381541E-2</v>
      </c>
      <c r="N206" s="7">
        <f t="shared" si="70"/>
        <v>16.999999992549419</v>
      </c>
      <c r="O206" s="7"/>
      <c r="P206" s="7"/>
      <c r="Q206" s="22"/>
      <c r="R206" s="190"/>
      <c r="S206" s="196">
        <f t="shared" si="68"/>
        <v>1</v>
      </c>
      <c r="T206" s="190" t="str">
        <f t="shared" si="78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79"/>
        <v>https://d0f6bd738d7f1b3e5a7ca70fe4ff75f0.us-east-1.aws.found.io/app/kibana#/discover/Steve-Slow-Train-Analysis-(2080s-and-2083s)?_g=(refreshInterval:(display:Off,pause:!f,section:0,value:0),time:(from:'2017-05-09T17:43:09-0600',mode:absolute,to:'2017-05-09T20:12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6" s="192" t="str">
        <f t="shared" si="80"/>
        <v>Y</v>
      </c>
      <c r="X206" s="192">
        <f t="shared" si="71"/>
        <v>1</v>
      </c>
      <c r="Y206" s="192">
        <f t="shared" si="81"/>
        <v>5.0799999999999998E-2</v>
      </c>
      <c r="Z206" s="192">
        <f t="shared" si="82"/>
        <v>2.3346</v>
      </c>
      <c r="AA206" s="192">
        <f t="shared" si="83"/>
        <v>2.2837999999999998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4"/>
        <v>0303-09</v>
      </c>
      <c r="AE206" s="80" t="str">
        <f t="shared" si="85"/>
        <v>aws s3 cp s3://rtdc.mdm.uploadarchive.raw/RTDC4032/ "%USERPROFILE%\AppData\Local\Temp\OnboardLogs"\RTDC4032\2017-05-09 --exclude "*" --recursive --include "*20170509*" &amp; "%USERPROFILE%\Documents\GitHub\mrs-test-scripts\Headless Mode &amp; Sideloading\WalkAndUnGZ.bat" "%USERPROFILE%\AppData\Local\Temp\OnboardLogs"\RTDC4032\2017-05-09 &amp; 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</v>
      </c>
      <c r="AF206" s="77" t="str">
        <f t="shared" si="86"/>
        <v>"C:\Program Files (x86)\AstroGrep\AstroGrep.exe" /e /r /s /spath="%USERPROFILE%\AppData\Local\Temp\OnboardLogs" /stypes="app*4032*20170510*" /stext=" 01:.+((SYSTEM_STATE.+slice.+state.+changed )|(ment ac)|(multiple cpu faults)|(system.+state.+changed )|(\[timeout)|(PRM\|1\|D)|(kpr)|(kdp)|(train st.+moving)|(\|lc)|(penalty))"</v>
      </c>
      <c r="AG206" s="1" t="str">
        <f t="shared" si="87"/>
        <v>Other</v>
      </c>
      <c r="AH206" s="81" t="str">
        <f t="shared" si="72"/>
        <v>"%USERPROFILE%\Documents\GitHub\eaglep3\Utilities\RefineRTDCRunTimes.py" --tripid 303-09 --locoid 4032 --swversion DE.1.0.9.0 --startMP 204:508 --initTime 2017-05-09T18:43:09 --startdatetime 2017-05-09T18:55:41 --delay 1 --endMP 300:23346 --enddatetime 2017-05-09T19:12:41 --enforcementcount 0 &gt;&gt;C:\Users\stu\Documents\GitHub\eaglep3-reporting\EC\2017-05-09-refined-times.txt</v>
      </c>
      <c r="AI206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{"issue":{"subject":"","project_id":79,"tracker_id":40,"status_id":1,"priority_id":2,"assigned_to_id":23,"start_date":"2017-05-09","description":"","custom_fields":[{"id":1,"name":"Subdivision","value":"Other"},{"id":4,"name":"Milepost","value":"2.3346"},{"id":17,"name":"Train ID","value":"303-09"},{"id":16,"name":"Locomotive ID","value":"4032"},{"id":130,"name":"Impact","value":""},{"id":150,"name":"Time of Event (Mountain Time)","value":"19:12:41"},{"id":151,"name":"Denver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74"/>
        <v>start /low /b %USERPROFILE%\Documents\GitHub\eaglep3\Utilities\DownloadLogsFromS3.py --loco 4032 --day 2017-05-09</v>
      </c>
      <c r="AN206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01:12:41"},{"id":29,"name":"Sharepoint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766</v>
      </c>
      <c r="B207" s="7">
        <v>4032</v>
      </c>
      <c r="C207" s="21" t="s">
        <v>207</v>
      </c>
      <c r="D207" s="21" t="s">
        <v>369</v>
      </c>
      <c r="E207" s="13">
        <v>42864.779965277776</v>
      </c>
      <c r="F207" s="13">
        <v>42864.788668981484</v>
      </c>
      <c r="G207" s="7">
        <v>26</v>
      </c>
      <c r="H207" s="21" t="s">
        <v>369</v>
      </c>
      <c r="I207" s="13">
        <v>42864.800474537034</v>
      </c>
      <c r="J207" s="7">
        <v>0</v>
      </c>
      <c r="K207" s="92" t="str">
        <f t="shared" si="76"/>
        <v>4031/4032</v>
      </c>
      <c r="L207" s="21" t="str">
        <f>VLOOKUP(A207,'Trips&amp;Operators'!$C$1:$G$99999,5,FALSE)</f>
        <v>CLARK KATHLEEN</v>
      </c>
      <c r="M207" s="6">
        <f t="shared" si="77"/>
        <v>1.1805555550381541E-2</v>
      </c>
      <c r="N207" s="7">
        <f t="shared" si="70"/>
        <v>16.999999992549419</v>
      </c>
      <c r="O207" s="7"/>
      <c r="P207" s="7"/>
      <c r="Q207" s="22"/>
      <c r="R207" s="190"/>
      <c r="S207" s="196">
        <f t="shared" si="68"/>
        <v>0</v>
      </c>
      <c r="T207" s="190" t="str">
        <f t="shared" si="78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1" t="str">
        <f t="shared" si="79"/>
        <v>https://d0f6bd738d7f1b3e5a7ca70fe4ff75f0.us-east-1.aws.found.io/app/kibana#/discover/Steve-Slow-Train-Analysis-(2080s-and-2083s)?_g=(refreshInterval:(display:Off,pause:!f,section:0,value:0),time:(from:'2017-05-09T17:43:09-0600',mode:absolute,to:'2017-05-09T20:12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192" t="str">
        <f t="shared" si="80"/>
        <v>Y</v>
      </c>
      <c r="X207" s="192">
        <f t="shared" si="71"/>
        <v>0</v>
      </c>
      <c r="Y207" s="192">
        <f t="shared" si="81"/>
        <v>2.3346</v>
      </c>
      <c r="Z207" s="192">
        <f t="shared" si="82"/>
        <v>2.3346</v>
      </c>
      <c r="AA207" s="192">
        <f t="shared" si="83"/>
        <v>0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4"/>
        <v>0303-09</v>
      </c>
      <c r="AE207" s="80" t="str">
        <f t="shared" si="85"/>
        <v>aws s3 cp s3://rtdc.mdm.uploadarchive.raw/RTDC4032/ "%USERPROFILE%\AppData\Local\Temp\OnboardLogs"\RTDC4032\2017-05-09 --exclude "*" --recursive --include "*20170509*" &amp; "%USERPROFILE%\Documents\GitHub\mrs-test-scripts\Headless Mode &amp; Sideloading\WalkAndUnGZ.bat" "%USERPROFILE%\AppData\Local\Temp\OnboardLogs"\RTDC4032\2017-05-09 &amp; 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</v>
      </c>
      <c r="AF207" s="77" t="str">
        <f t="shared" si="86"/>
        <v>"C:\Program Files (x86)\AstroGrep\AstroGrep.exe" /e /r /s /spath="%USERPROFILE%\AppData\Local\Temp\OnboardLogs" /stypes="app*4032*20170510*" /stext=" 01:.+((SYSTEM_STATE.+slice.+state.+changed )|(ment ac)|(multiple cpu faults)|(system.+state.+changed )|(\[timeout)|(PRM\|1\|D)|(kpr)|(kdp)|(train st.+moving)|(\|lc)|(penalty))"</v>
      </c>
      <c r="AG207" s="1" t="str">
        <f t="shared" si="87"/>
        <v>Other</v>
      </c>
      <c r="AH207" s="81" t="str">
        <f t="shared" si="72"/>
        <v>"%USERPROFILE%\Documents\GitHub\eaglep3\Utilities\RefineRTDCRunTimes.py" --tripid 303-09 --locoid 4032 --swversion DE.1.0.9.0 --startMP 300:23346 --initTime 2017-05-09T18:43:09 --startdatetime 2017-05-09T18:55:41 --delay 26 --endMP 300:23346 --enddatetime 2017-05-09T19:12:41 --enforcementcount 0 &gt;&gt;C:\Users\stu\Documents\GitHub\eaglep3-reporting\EC\2017-05-09-refined-times.txt</v>
      </c>
      <c r="AI207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{"issue":{"subject":"","project_id":79,"tracker_id":40,"status_id":1,"priority_id":2,"assigned_to_id":23,"start_date":"2017-05-09","description":"","custom_fields":[{"id":1,"name":"Subdivision","value":"Other"},{"id":4,"name":"Milepost","value":"2.3346"},{"id":17,"name":"Train ID","value":"303-09"},{"id":16,"name":"Locomotive ID","value":"4032"},{"id":130,"name":"Impact","value":""},{"id":150,"name":"Time of Event (Mountain Time)","value":"19:12:41"},{"id":151,"name":"Denver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74"/>
        <v>start /low /b %USERPROFILE%\Documents\GitHub\eaglep3\Utilities\DownloadLogsFromS3.py --loco 4032 --day 2017-05-09</v>
      </c>
      <c r="AN207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01:12:41"},{"id":29,"name":"Sharepoint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556</v>
      </c>
      <c r="B208" s="7">
        <v>4011</v>
      </c>
      <c r="C208" s="21" t="s">
        <v>207</v>
      </c>
      <c r="D208" s="21" t="s">
        <v>893</v>
      </c>
      <c r="E208" s="13">
        <v>42864.13957175926</v>
      </c>
      <c r="F208" s="13">
        <v>42864.145520833335</v>
      </c>
      <c r="G208" s="7">
        <v>8</v>
      </c>
      <c r="H208" s="21" t="s">
        <v>894</v>
      </c>
      <c r="I208" s="13">
        <v>42864.14875</v>
      </c>
      <c r="J208" s="7">
        <v>0</v>
      </c>
      <c r="K208" s="92" t="str">
        <f t="shared" si="76"/>
        <v>4011/4012</v>
      </c>
      <c r="L208" s="21" t="str">
        <f>VLOOKUP(A208,'Trips&amp;Operators'!$C$1:$G$99999,5,FALSE)</f>
        <v>MAELZER KURT</v>
      </c>
      <c r="M208" s="6">
        <f t="shared" si="77"/>
        <v>3.2291666648234241E-3</v>
      </c>
      <c r="N208" s="7"/>
      <c r="O208" s="7"/>
      <c r="P208" s="7">
        <f>24*60*SUM($M208:$M208)</f>
        <v>4.6499999973457307</v>
      </c>
      <c r="Q208" s="22"/>
      <c r="R208" s="190" t="s">
        <v>1044</v>
      </c>
      <c r="S208" s="196">
        <f t="shared" si="68"/>
        <v>0</v>
      </c>
      <c r="T208" s="190" t="str">
        <f t="shared" si="78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1" t="str">
        <f t="shared" si="79"/>
        <v>https://d0f6bd738d7f1b3e5a7ca70fe4ff75f0.us-east-1.aws.found.io/app/kibana#/discover/Steve-Slow-Train-Analysis-(2080s-and-2083s)?_g=(refreshInterval:(display:Off,pause:!f,section:0,value:0),time:(from:'2017-05-09T02:20:59-0600',mode:absolute,to:'2017-05-09T04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192" t="str">
        <f t="shared" si="80"/>
        <v>Y</v>
      </c>
      <c r="X208" s="192">
        <f t="shared" si="71"/>
        <v>1</v>
      </c>
      <c r="Y208" s="192">
        <f t="shared" si="81"/>
        <v>2.1882000000000001</v>
      </c>
      <c r="Z208" s="192">
        <f t="shared" si="82"/>
        <v>1.4356</v>
      </c>
      <c r="AA208" s="192">
        <f t="shared" si="83"/>
        <v>0.75260000000000016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4"/>
        <v>0304-09</v>
      </c>
      <c r="AE208" s="80" t="str">
        <f t="shared" si="85"/>
        <v>aws s3 cp s3://rtdc.mdm.uploadarchive.raw/RTDC4011/ "%USERPROFILE%\AppData\Local\Temp\OnboardLogs"\RTDC4011\2017-05-09 --exclude "*" --recursive --include "*20170509*" &amp; "%USERPROFILE%\Documents\GitHub\mrs-test-scripts\Headless Mode &amp; Sideloading\WalkAndUnGZ.bat" "%USERPROFILE%\AppData\Local\Temp\OnboardLogs"\RTDC4011\2017-05-09 &amp; aws s3 cp s3://rtdc.mdm.uploadarchive.raw/RTDC4011/ "%USERPROFILE%\AppData\Local\Temp\OnboardLogs"\RTDC4011\2017-05-10 --exclude "*" --recursive --include "*20170510*" &amp; "%USERPROFILE%\Documents\GitHub\mrs-test-scripts\Headless Mode &amp; Sideloading\WalkAndUnGZ.bat" "%USERPROFILE%\AppData\Local\Temp\OnboardLogs"\RTDC4011\2017-05-10</v>
      </c>
      <c r="AF208" s="77" t="str">
        <f t="shared" si="86"/>
        <v>"C:\Program Files (x86)\AstroGrep\AstroGrep.exe" /e /r /s /spath="%USERPROFILE%\AppData\Local\Temp\OnboardLogs" /stypes="app*4011*20170509*" /stext=" 09:.+((SYSTEM_STATE.+slice.+state.+changed )|(ment ac)|(multiple cpu faults)|(system.+state.+changed )|(\[timeout)|(PRM\|1\|D)|(kpr)|(kdp)|(train st.+moving)|(\|lc)|(penalty))"</v>
      </c>
      <c r="AG208" s="1" t="str">
        <f t="shared" si="87"/>
        <v>Other</v>
      </c>
      <c r="AH208" s="81" t="str">
        <f t="shared" si="72"/>
        <v>"%USERPROFILE%\Documents\GitHub\eaglep3\Utilities\RefineRTDCRunTimes.py" --tripid 304-09 --locoid 4011 --swversion DE.1.0.9.0 --startMP 300:21882 --initTime 2017-05-09T03:20:59 --startdatetime 2017-05-09T03:29:33 --delay 8 --endMP 300:14356 --enddatetime 2017-05-09T03:34:12 --enforcementcount 0 &gt;&gt;C:\Users\stu\Documents\GitHub\eaglep3-reporting\EC\2017-05-09-refined-times.txt</v>
      </c>
      <c r="AI208" s="99" t="str">
        <f t="shared" si="73"/>
        <v>echo {"issue":{"subject":"Selected wrong track (should have chosen Main 2)","project_id":79,"tracker_id":40,"status_id":1,"priority_id":2,"assigned_to_id":23,"start_date":"2017-05-09","description":"","custom_fields":[{"id":1,"name":"Subdivision","value":"Other"},{"id":4,"name":"Milepost","value":"1.4356"},{"id":17,"name":"Train ID","value":"304-09"},{"id":16,"name":"Locomotive ID","value":"4011"},{"id":130,"name":"Impact","value":""},{"id":150,"name":"Time of Event (Mountain Time)","value":"03:34:12"},{"id":151,"name":"Denver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74"/>
        <v>start /low /b %USERPROFILE%\Documents\GitHub\eaglep3\Utilities\DownloadLogsFromS3.py --loco 4011 --day 2017-05-09</v>
      </c>
      <c r="AN208" s="154" t="str">
        <f t="shared" si="75"/>
        <v>echo {"issue":{"subject":"Selected wrong track (should have chosen Main 2)","project_id":30,"tracker_id":4,"status_id":1,"priority_id":1,"assigned_to_id":10,"start_date":"2017-05-09","description":"","custom_fields":[{"id":30,"name":"Category","value":"Issue"},{"id":3,"name":"Functional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772</v>
      </c>
      <c r="B209" s="7">
        <v>4030</v>
      </c>
      <c r="C209" s="21" t="s">
        <v>207</v>
      </c>
      <c r="D209" s="21" t="s">
        <v>368</v>
      </c>
      <c r="E209" s="13">
        <v>42864.797708333332</v>
      </c>
      <c r="F209" s="13">
        <v>42864.80097222222</v>
      </c>
      <c r="G209" s="7">
        <v>1</v>
      </c>
      <c r="H209" s="21" t="s">
        <v>436</v>
      </c>
      <c r="I209" s="13">
        <v>42864.806516203702</v>
      </c>
      <c r="J209" s="7">
        <v>0</v>
      </c>
      <c r="K209" s="92" t="str">
        <f t="shared" si="76"/>
        <v>4029/4030</v>
      </c>
      <c r="L209" s="21" t="str">
        <f>VLOOKUP(A209,'Trips&amp;Operators'!$C$1:$G$99999,5,FALSE)</f>
        <v>LALONDE GREGORY</v>
      </c>
      <c r="M209" s="6">
        <f t="shared" si="77"/>
        <v>5.543981482333038E-3</v>
      </c>
      <c r="N209" s="7">
        <f t="shared" ref="N209:N240" si="88">24*60*SUM($M209:$M209)</f>
        <v>7.9833333345595747</v>
      </c>
      <c r="O209" s="7"/>
      <c r="P209" s="7"/>
      <c r="Q209" s="22"/>
      <c r="R209" s="190"/>
      <c r="S209" s="196">
        <f t="shared" si="68"/>
        <v>1</v>
      </c>
      <c r="T209" s="190" t="str">
        <f t="shared" si="78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79"/>
        <v>https://d0f6bd738d7f1b3e5a7ca70fe4ff75f0.us-east-1.aws.found.io/app/kibana#/discover/Steve-Slow-Train-Analysis-(2080s-and-2083s)?_g=(refreshInterval:(display:Off,pause:!f,section:0,value:0),time:(from:'2017-05-09T18:08:42-0600',mode:absolute,to:'2017-05-09T20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9" s="192" t="str">
        <f t="shared" si="80"/>
        <v>Y</v>
      </c>
      <c r="X209" s="192">
        <f t="shared" si="71"/>
        <v>1</v>
      </c>
      <c r="Y209" s="192">
        <f t="shared" si="81"/>
        <v>4.5100000000000001E-2</v>
      </c>
      <c r="Z209" s="192">
        <f t="shared" si="82"/>
        <v>2.3311999999999999</v>
      </c>
      <c r="AA209" s="192">
        <f t="shared" si="83"/>
        <v>2.2860999999999998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4"/>
        <v>0305-09</v>
      </c>
      <c r="AE209" s="80" t="str">
        <f t="shared" si="85"/>
        <v>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 &amp; 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</v>
      </c>
      <c r="AF209" s="77" t="str">
        <f t="shared" si="86"/>
        <v>"C:\Program Files (x86)\AstroGrep\AstroGrep.exe" /e /r /s /spath="%USERPROFILE%\AppData\Local\Temp\OnboardLogs" /stypes="app*4030*20170510*" /stext=" 01:.+((SYSTEM_STATE.+slice.+state.+changed )|(ment ac)|(multiple cpu faults)|(system.+state.+changed )|(\[timeout)|(PRM\|1\|D)|(kpr)|(kdp)|(train st.+moving)|(\|lc)|(penalty))"</v>
      </c>
      <c r="AG209" s="1" t="str">
        <f t="shared" si="87"/>
        <v>Other</v>
      </c>
      <c r="AH209" s="81" t="str">
        <f t="shared" si="72"/>
        <v>"%USERPROFILE%\Documents\GitHub\eaglep3\Utilities\RefineRTDCRunTimes.py" --tripid 305-09 --locoid 4030 --swversion DE.1.0.9.0 --startMP 204:451 --initTime 2017-05-09T19:08:42 --startdatetime 2017-05-09T19:13:24 --delay 1 --endMP 300:23312 --enddatetime 2017-05-09T19:21:23 --enforcementcount 0 &gt;&gt;C:\Users\stu\Documents\GitHub\eaglep3-reporting\EC\2017-05-09-refined-times.txt</v>
      </c>
      <c r="AI209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{"issue":{"subject":"","project_id":79,"tracker_id":40,"status_id":1,"priority_id":2,"assigned_to_id":23,"start_date":"2017-05-09","description":"","custom_fields":[{"id":1,"name":"Subdivision","value":"Other"},{"id":4,"name":"Milepost","value":"2.3312"},{"id":17,"name":"Train ID","value":"305-09"},{"id":16,"name":"Locomotive ID","value":"4030"},{"id":130,"name":"Impact","value":""},{"id":150,"name":"Time of Event (Mountain Time)","value":"19:21:23"},{"id":151,"name":"Denver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74"/>
        <v>start /low /b %USERPROFILE%\Documents\GitHub\eaglep3\Utilities\DownloadLogsFromS3.py --loco 4030 --day 2017-05-09</v>
      </c>
      <c r="AN209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558</v>
      </c>
      <c r="B210" s="7">
        <v>4031</v>
      </c>
      <c r="C210" s="21" t="s">
        <v>207</v>
      </c>
      <c r="D210" s="21" t="s">
        <v>895</v>
      </c>
      <c r="E210" s="13">
        <v>42864.161458333336</v>
      </c>
      <c r="F210" s="13">
        <v>42864.16578703704</v>
      </c>
      <c r="G210" s="7">
        <v>6</v>
      </c>
      <c r="H210" s="21" t="s">
        <v>896</v>
      </c>
      <c r="I210" s="13">
        <v>42864.172939814816</v>
      </c>
      <c r="J210" s="7">
        <v>0</v>
      </c>
      <c r="K210" s="92" t="str">
        <f t="shared" si="76"/>
        <v>4031/4032</v>
      </c>
      <c r="L210" s="21" t="str">
        <f>VLOOKUP(A210,'Trips&amp;Operators'!$C$1:$G$99999,5,FALSE)</f>
        <v>STARKS ANGELINA</v>
      </c>
      <c r="M210" s="6">
        <f t="shared" si="77"/>
        <v>7.1527777763549238E-3</v>
      </c>
      <c r="N210" s="7">
        <f t="shared" si="88"/>
        <v>10.29999999795109</v>
      </c>
      <c r="O210" s="7"/>
      <c r="P210" s="7"/>
      <c r="Q210" s="22"/>
      <c r="R210" s="190"/>
      <c r="S210" s="196">
        <f t="shared" si="68"/>
        <v>1</v>
      </c>
      <c r="T210" s="190" t="str">
        <f t="shared" si="78"/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79"/>
        <v>https://d0f6bd738d7f1b3e5a7ca70fe4ff75f0.us-east-1.aws.found.io/app/kibana#/discover/Steve-Slow-Train-Analysis-(2080s-and-2083s)?_g=(refreshInterval:(display:Off,pause:!f,section:0,value:0),time:(from:'2017-05-09T02:52:30-0600',mode:absolute,to:'2017-05-09T05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0" s="192" t="str">
        <f t="shared" si="80"/>
        <v>Y</v>
      </c>
      <c r="X210" s="192">
        <f t="shared" si="71"/>
        <v>1</v>
      </c>
      <c r="Y210" s="192">
        <f t="shared" si="81"/>
        <v>2.2787999999999999</v>
      </c>
      <c r="Z210" s="192">
        <f t="shared" si="82"/>
        <v>2.0299999999999999E-2</v>
      </c>
      <c r="AA210" s="192">
        <f t="shared" si="83"/>
        <v>2.2584999999999997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4"/>
        <v>0306-09</v>
      </c>
      <c r="AE210" s="80" t="str">
        <f t="shared" si="85"/>
        <v>aws s3 cp s3://rtdc.mdm.uploadarchive.raw/RTDC4031/ "%USERPROFILE%\AppData\Local\Temp\OnboardLogs"\RTDC4031\2017-05-09 --exclude "*" --recursive --include "*20170509*" &amp; "%USERPROFILE%\Documents\GitHub\mrs-test-scripts\Headless Mode &amp; Sideloading\WalkAndUnGZ.bat" "%USERPROFILE%\AppData\Local\Temp\OnboardLogs"\RTDC4031\2017-05-09 &amp; 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</v>
      </c>
      <c r="AF210" s="77" t="str">
        <f t="shared" si="86"/>
        <v>"C:\Program Files (x86)\AstroGrep\AstroGrep.exe" /e /r /s /spath="%USERPROFILE%\AppData\Local\Temp\OnboardLogs" /stypes="app*4031*20170509*" /stext=" 10:.+((SYSTEM_STATE.+slice.+state.+changed )|(ment ac)|(multiple cpu faults)|(system.+state.+changed )|(\[timeout)|(PRM\|1\|D)|(kpr)|(kdp)|(train st.+moving)|(\|lc)|(penalty))"</v>
      </c>
      <c r="AG210" s="1" t="str">
        <f t="shared" si="87"/>
        <v>Other</v>
      </c>
      <c r="AH210" s="81" t="str">
        <f t="shared" si="72"/>
        <v>"%USERPROFILE%\Documents\GitHub\eaglep3\Utilities\RefineRTDCRunTimes.py" --tripid 306-09 --locoid 4031 --swversion DE.1.0.9.0 --startMP 300:22788 --initTime 2017-05-09T03:52:30 --startdatetime 2017-05-09T03:58:44 --delay 6 --endMP 204:203 --enddatetime 2017-05-09T04:09:02 --enforcementcount 0 &gt;&gt;C:\Users\stu\Documents\GitHub\eaglep3-reporting\EC\2017-05-09-refined-times.txt</v>
      </c>
      <c r="AI210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{"issue":{"subject":"","project_id":79,"tracker_id":40,"status_id":1,"priority_id":2,"assigned_to_id":23,"start_date":"2017-05-09","description":"","custom_fields":[{"id":1,"name":"Subdivision","value":"Other"},{"id":4,"name":"Milepost","value":"0.0203"},{"id":17,"name":"Train ID","value":"306-09"},{"id":16,"name":"Locomotive ID","value":"4031"},{"id":130,"name":"Impact","value":""},{"id":150,"name":"Time of Event (Mountain Time)","value":"04:09:02"},{"id":151,"name":"Denver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74"/>
        <v>start /low /b %USERPROFILE%\Documents\GitHub\eaglep3\Utilities\DownloadLogsFromS3.py --loco 4031 --day 2017-05-09</v>
      </c>
      <c r="AN210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10:09:02"},{"id":29,"name":"Sharepoint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778</v>
      </c>
      <c r="B211" s="7">
        <v>4012</v>
      </c>
      <c r="C211" s="21" t="s">
        <v>207</v>
      </c>
      <c r="D211" s="21" t="s">
        <v>354</v>
      </c>
      <c r="E211" s="13">
        <v>42864.819432870368</v>
      </c>
      <c r="F211" s="13">
        <v>42864.821840277778</v>
      </c>
      <c r="G211" s="7">
        <v>1</v>
      </c>
      <c r="H211" s="21" t="s">
        <v>897</v>
      </c>
      <c r="I211" s="13">
        <v>42864.832395833335</v>
      </c>
      <c r="J211" s="7">
        <v>0</v>
      </c>
      <c r="K211" s="92" t="str">
        <f t="shared" si="76"/>
        <v>4011/4012</v>
      </c>
      <c r="L211" s="21" t="str">
        <f>VLOOKUP(A211,'Trips&amp;Operators'!$C$1:$G$99999,5,FALSE)</f>
        <v>THOMPSON LESTER</v>
      </c>
      <c r="M211" s="6">
        <f t="shared" si="77"/>
        <v>1.0555555556493346E-2</v>
      </c>
      <c r="N211" s="7">
        <f t="shared" si="88"/>
        <v>15.200000001350418</v>
      </c>
      <c r="O211" s="7"/>
      <c r="P211" s="7"/>
      <c r="Q211" s="22"/>
      <c r="R211" s="190"/>
      <c r="S211" s="196">
        <f t="shared" si="68"/>
        <v>1</v>
      </c>
      <c r="T211" s="190" t="str">
        <f t="shared" si="78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79"/>
        <v>https://d0f6bd738d7f1b3e5a7ca70fe4ff75f0.us-east-1.aws.found.io/app/kibana#/discover/Steve-Slow-Train-Analysis-(2080s-and-2083s)?_g=(refreshInterval:(display:Off,pause:!f,section:0,value:0),time:(from:'2017-05-09T18:39:59-0600',mode:absolute,to:'2017-05-09T20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1" s="192" t="str">
        <f t="shared" si="80"/>
        <v>Y</v>
      </c>
      <c r="X211" s="192">
        <f t="shared" si="71"/>
        <v>1</v>
      </c>
      <c r="Y211" s="192">
        <f t="shared" si="81"/>
        <v>4.4600000000000001E-2</v>
      </c>
      <c r="Z211" s="192">
        <f t="shared" si="82"/>
        <v>2.3306</v>
      </c>
      <c r="AA211" s="192">
        <f t="shared" si="83"/>
        <v>2.286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4"/>
        <v>0307-09</v>
      </c>
      <c r="AE211" s="80" t="str">
        <f t="shared" si="85"/>
        <v>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 &amp; 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</v>
      </c>
      <c r="AF211" s="77" t="str">
        <f t="shared" si="86"/>
        <v>"C:\Program Files (x86)\AstroGrep\AstroGrep.exe" /e /r /s /spath="%USERPROFILE%\AppData\Local\Temp\OnboardLogs" /stypes="app*4012*20170510*" /stext=" 01:.+((SYSTEM_STATE.+slice.+state.+changed )|(ment ac)|(multiple cpu faults)|(system.+state.+changed )|(\[timeout)|(PRM\|1\|D)|(kpr)|(kdp)|(train st.+moving)|(\|lc)|(penalty))"</v>
      </c>
      <c r="AG211" s="1" t="str">
        <f t="shared" si="87"/>
        <v>Other</v>
      </c>
      <c r="AH211" s="81" t="str">
        <f t="shared" si="72"/>
        <v>"%USERPROFILE%\Documents\GitHub\eaglep3\Utilities\RefineRTDCRunTimes.py" --tripid 307-09 --locoid 4012 --swversion DE.1.0.9.0 --startMP 204:446 --initTime 2017-05-09T19:39:59 --startdatetime 2017-05-09T19:43:27 --delay 1 --endMP 300:23306 --enddatetime 2017-05-09T19:58:39 --enforcementcount 0 &gt;&gt;C:\Users\stu\Documents\GitHub\eaglep3-reporting\EC\2017-05-09-refined-times.txt</v>
      </c>
      <c r="AI211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{"issue":{"subject":"","project_id":79,"tracker_id":40,"status_id":1,"priority_id":2,"assigned_to_id":23,"start_date":"2017-05-09","description":"","custom_fields":[{"id":1,"name":"Subdivision","value":"Other"},{"id":4,"name":"Milepost","value":"2.3306"},{"id":17,"name":"Train ID","value":"307-09"},{"id":16,"name":"Locomotive ID","value":"4012"},{"id":130,"name":"Impact","value":""},{"id":150,"name":"Time of Event (Mountain Time)","value":"19:58:39"},{"id":151,"name":"Denver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74"/>
        <v>start /low /b %USERPROFILE%\Documents\GitHub\eaglep3\Utilities\DownloadLogsFromS3.py --loco 4012 --day 2017-05-09</v>
      </c>
      <c r="AN211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606</v>
      </c>
      <c r="B212" s="7">
        <v>4019</v>
      </c>
      <c r="C212" s="21" t="s">
        <v>207</v>
      </c>
      <c r="D212" s="21" t="s">
        <v>898</v>
      </c>
      <c r="E212" s="13">
        <v>42864.171747685185</v>
      </c>
      <c r="F212" s="13">
        <v>42864.175810185188</v>
      </c>
      <c r="G212" s="7">
        <v>5</v>
      </c>
      <c r="H212" s="21" t="s">
        <v>198</v>
      </c>
      <c r="I212" s="13">
        <v>42864.182303240741</v>
      </c>
      <c r="J212" s="7">
        <v>0</v>
      </c>
      <c r="K212" s="92" t="str">
        <f t="shared" si="76"/>
        <v>4019/4020</v>
      </c>
      <c r="L212" s="21" t="str">
        <f>VLOOKUP(A212,'Trips&amp;Operators'!$C$1:$G$99999,5,FALSE)</f>
        <v>BONDS REYNALDO</v>
      </c>
      <c r="M212" s="6">
        <f t="shared" si="77"/>
        <v>6.4930555527098477E-3</v>
      </c>
      <c r="N212" s="7">
        <f t="shared" si="88"/>
        <v>9.3499999959021807</v>
      </c>
      <c r="O212" s="7"/>
      <c r="P212" s="7"/>
      <c r="Q212" s="22"/>
      <c r="R212" s="190"/>
      <c r="S212" s="196">
        <f t="shared" si="68"/>
        <v>1</v>
      </c>
      <c r="T212" s="190" t="str">
        <f t="shared" si="78"/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79"/>
        <v>https://d0f6bd738d7f1b3e5a7ca70fe4ff75f0.us-east-1.aws.found.io/app/kibana#/discover/Steve-Slow-Train-Analysis-(2080s-and-2083s)?_g=(refreshInterval:(display:Off,pause:!f,section:0,value:0),time:(from:'2017-05-09T03:07:19-0600',mode:absolute,to:'2017-05-09T05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2" s="192" t="str">
        <f t="shared" si="80"/>
        <v>Y</v>
      </c>
      <c r="X212" s="192">
        <f t="shared" si="71"/>
        <v>1</v>
      </c>
      <c r="Y212" s="192">
        <f t="shared" si="81"/>
        <v>2.3527</v>
      </c>
      <c r="Z212" s="192">
        <f t="shared" si="82"/>
        <v>1.5800000000000002E-2</v>
      </c>
      <c r="AA212" s="192">
        <f t="shared" si="83"/>
        <v>2.3369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4"/>
        <v>0308-09</v>
      </c>
      <c r="AE212" s="80" t="str">
        <f t="shared" si="85"/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AF212" s="77" t="str">
        <f t="shared" si="86"/>
        <v>"C:\Program Files (x86)\AstroGrep\AstroGrep.exe" /e /r /s /spath="%USERPROFILE%\AppData\Local\Temp\OnboardLogs" /stypes="app*4019*20170509*" /stext=" 10:.+((SYSTEM_STATE.+slice.+state.+changed )|(ment ac)|(multiple cpu faults)|(system.+state.+changed )|(\[timeout)|(PRM\|1\|D)|(kpr)|(kdp)|(train st.+moving)|(\|lc)|(penalty))"</v>
      </c>
      <c r="AG212" s="1" t="str">
        <f t="shared" si="87"/>
        <v>Other</v>
      </c>
      <c r="AH212" s="81" t="str">
        <f t="shared" si="72"/>
        <v>"%USERPROFILE%\Documents\GitHub\eaglep3\Utilities\RefineRTDCRunTimes.py" --tripid 308-09 --locoid 4019 --swversion DE.1.0.9.0 --startMP 300:23527 --initTime 2017-05-09T04:07:19 --startdatetime 2017-05-09T04:13:10 --delay 5 --endMP 204:158 --enddatetime 2017-05-09T04:22:31 --enforcementcount 0 &gt;&gt;C:\Users\stu\Documents\GitHub\eaglep3-reporting\EC\2017-05-09-refined-times.txt</v>
      </c>
      <c r="AI212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{"issue":{"subject":"","project_id":79,"tracker_id":40,"status_id":1,"priority_id":2,"assigned_to_id":23,"start_date":"2017-05-09","description":"","custom_fields":[{"id":1,"name":"Subdivision","value":"Other"},{"id":4,"name":"Milepost","value":"0.0158"},{"id":17,"name":"Train ID","value":"308-09"},{"id":16,"name":"Locomotive ID","value":"4019"},{"id":130,"name":"Impact","value":""},{"id":150,"name":"Time of Event (Mountain Time)","value":"04:22:31"},{"id":151,"name":"Denver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74"/>
        <v>start /low /b %USERPROFILE%\Documents\GitHub\eaglep3\Utilities\DownloadLogsFromS3.py --loco 4019 --day 2017-05-09</v>
      </c>
      <c r="AN212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10:22:31"},{"id":29,"name":"Sharepoint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807</v>
      </c>
      <c r="B213" s="7">
        <v>4046</v>
      </c>
      <c r="C213" s="21" t="s">
        <v>207</v>
      </c>
      <c r="D213" s="21" t="s">
        <v>527</v>
      </c>
      <c r="E213" s="13">
        <v>42865.046215277776</v>
      </c>
      <c r="F213" s="13">
        <v>42865.048414351855</v>
      </c>
      <c r="G213" s="7">
        <v>1</v>
      </c>
      <c r="H213" s="21" t="s">
        <v>899</v>
      </c>
      <c r="I213" s="13">
        <v>42865.056909722225</v>
      </c>
      <c r="J213" s="7">
        <v>0</v>
      </c>
      <c r="K213" s="92" t="str">
        <f t="shared" si="76"/>
        <v>4045/4046</v>
      </c>
      <c r="L213" s="21" t="str">
        <f>VLOOKUP(A213,'Trips&amp;Operators'!$C$1:$G$99999,5,FALSE)</f>
        <v>NEWELL JAMES</v>
      </c>
      <c r="M213" s="6">
        <f t="shared" si="77"/>
        <v>8.4953703699284233E-3</v>
      </c>
      <c r="N213" s="7">
        <f t="shared" si="88"/>
        <v>12.23333333269693</v>
      </c>
      <c r="O213" s="7"/>
      <c r="P213" s="7"/>
      <c r="Q213" s="22"/>
      <c r="R213" s="190"/>
      <c r="S213" s="196">
        <f t="shared" si="68"/>
        <v>1</v>
      </c>
      <c r="T213" s="190" t="str">
        <f t="shared" si="78"/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79"/>
        <v>https://d0f6bd738d7f1b3e5a7ca70fe4ff75f0.us-east-1.aws.found.io/app/kibana#/discover/Steve-Slow-Train-Analysis-(2080s-and-2083s)?_g=(refreshInterval:(display:Off,pause:!f,section:0,value:0),time:(from:'2017-05-10T00:06:33-0600',mode:absolute,to:'2017-05-10T02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3" s="192" t="str">
        <f t="shared" si="80"/>
        <v>Y</v>
      </c>
      <c r="X213" s="192">
        <f t="shared" si="71"/>
        <v>1</v>
      </c>
      <c r="Y213" s="192">
        <f t="shared" si="81"/>
        <v>4.7699999999999999E-2</v>
      </c>
      <c r="Z213" s="192">
        <f t="shared" si="82"/>
        <v>2.3290999999999999</v>
      </c>
      <c r="AA213" s="192">
        <f t="shared" si="83"/>
        <v>2.2814000000000001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4"/>
        <v>0309-09</v>
      </c>
      <c r="AE213" s="80" t="str">
        <f t="shared" si="85"/>
        <v>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 &amp; aws s3 cp s3://rtdc.mdm.uploadarchive.raw/RTDC4046/ "%USERPROFILE%\AppData\Local\Temp\OnboardLogs"\RTDC4046\2017-05-11 --exclude "*" --recursive --include "*20170511*" &amp; "%USERPROFILE%\Documents\GitHub\mrs-test-scripts\Headless Mode &amp; Sideloading\WalkAndUnGZ.bat" "%USERPROFILE%\AppData\Local\Temp\OnboardLogs"\RTDC4046\2017-05-11</v>
      </c>
      <c r="AF213" s="77" t="str">
        <f t="shared" si="86"/>
        <v>"C:\Program Files (x86)\AstroGrep\AstroGrep.exe" /e /r /s /spath="%USERPROFILE%\AppData\Local\Temp\OnboardLogs" /stypes="app*4046*20170510*" /stext=" 07:.+((SYSTEM_STATE.+slice.+state.+changed )|(ment ac)|(multiple cpu faults)|(system.+state.+changed )|(\[timeout)|(PRM\|1\|D)|(kpr)|(kdp)|(train st.+moving)|(\|lc)|(penalty))"</v>
      </c>
      <c r="AG213" s="1" t="str">
        <f t="shared" si="87"/>
        <v>Other</v>
      </c>
      <c r="AH213" s="81" t="str">
        <f t="shared" si="72"/>
        <v>"%USERPROFILE%\Documents\GitHub\eaglep3\Utilities\RefineRTDCRunTimes.py" --tripid 309-09 --locoid 4046 --swversion DE.1.0.9.0 --startMP 204:477 --initTime 2017-05-10T01:06:33 --startdatetime 2017-05-10T01:09:43 --delay 1 --endMP 300:23291 --enddatetime 2017-05-10T01:21:57 --enforcementcount 0 &gt;&gt;C:\Users\stu\Documents\GitHub\eaglep3-reporting\EC\2017-05-09-refined-times.txt</v>
      </c>
      <c r="AI213" s="99" t="str">
        <f t="shared" si="73"/>
        <v>echo {"issue":{"subject":"","project_id":79,"tracker_id":40,"status_id":1,"priority_id":2,"assigned_to_id":23,"start_date":"2017-05-10","description":"","custom_fields":[{"id":1,"name":"Subdivision","value":"Other"},{"id":4,"name":"Milepost","value":"2.3291"},{"id":17,"name":"Train ID","value":"309-09"},{"id":16,"name":"Locomotive ID","value":"4046"},{"id":130,"name":"Impact","value":""},{"id":150,"name":"Time of Event (Mountain Time)","value":"01:21:57"},{"id":151,"name":"Denver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74"/>
        <v>start /low /b %USERPROFILE%\Documents\GitHub\eaglep3\Utilities\DownloadLogsFromS3.py --loco 4046 --day 2017-05-10</v>
      </c>
      <c r="AN213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07:21:57"},{"id":29,"name":"Sharepoint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607</v>
      </c>
      <c r="B214" s="7">
        <v>4009</v>
      </c>
      <c r="C214" s="21" t="s">
        <v>207</v>
      </c>
      <c r="D214" s="21" t="s">
        <v>900</v>
      </c>
      <c r="E214" s="13">
        <v>42864.181134259263</v>
      </c>
      <c r="F214" s="13">
        <v>42864.184201388889</v>
      </c>
      <c r="G214" s="7">
        <v>4</v>
      </c>
      <c r="H214" s="21" t="s">
        <v>198</v>
      </c>
      <c r="I214" s="13">
        <v>42864.190949074073</v>
      </c>
      <c r="J214" s="7">
        <v>0</v>
      </c>
      <c r="K214" s="92" t="str">
        <f t="shared" si="76"/>
        <v>4009/4010</v>
      </c>
      <c r="L214" s="21" t="str">
        <f>VLOOKUP(A214,'Trips&amp;Operators'!$C$1:$G$99999,5,FALSE)</f>
        <v>DAVIS WENDY</v>
      </c>
      <c r="M214" s="6">
        <f t="shared" si="77"/>
        <v>6.7476851836545393E-3</v>
      </c>
      <c r="N214" s="7">
        <f t="shared" si="88"/>
        <v>9.7166666644625366</v>
      </c>
      <c r="O214" s="7"/>
      <c r="P214" s="7"/>
      <c r="Q214" s="22"/>
      <c r="R214" s="190"/>
      <c r="S214" s="196">
        <f t="shared" si="68"/>
        <v>1</v>
      </c>
      <c r="T214" s="190" t="str">
        <f t="shared" si="78"/>
        <v>Southbound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79"/>
        <v>https://d0f6bd738d7f1b3e5a7ca70fe4ff75f0.us-east-1.aws.found.io/app/kibana#/discover/Steve-Slow-Train-Analysis-(2080s-and-2083s)?_g=(refreshInterval:(display:Off,pause:!f,section:0,value:0),time:(from:'2017-05-09T03:20:50-0600',mode:absolute,to:'2017-05-09T05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4" s="192" t="str">
        <f t="shared" si="80"/>
        <v>Y</v>
      </c>
      <c r="X214" s="192">
        <f t="shared" si="71"/>
        <v>1</v>
      </c>
      <c r="Y214" s="192">
        <f t="shared" si="81"/>
        <v>2.2927</v>
      </c>
      <c r="Z214" s="192">
        <f t="shared" si="82"/>
        <v>1.5800000000000002E-2</v>
      </c>
      <c r="AA214" s="192">
        <f t="shared" si="83"/>
        <v>2.2768999999999999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4"/>
        <v>0310-09</v>
      </c>
      <c r="AE214" s="80" t="str">
        <f t="shared" si="85"/>
        <v>aws s3 cp s3://rtdc.mdm.uploadarchive.raw/RTDC4009/ "%USERPROFILE%\AppData\Local\Temp\OnboardLogs"\RTDC4009\2017-05-09 --exclude "*" --recursive --include "*20170509*" &amp; "%USERPROFILE%\Documents\GitHub\mrs-test-scripts\Headless Mode &amp; Sideloading\WalkAndUnGZ.bat" "%USERPROFILE%\AppData\Local\Temp\OnboardLogs"\RTDC4009\2017-05-09 &amp; aws s3 cp s3://rtdc.mdm.uploadarchive.raw/RTDC4009/ "%USERPROFILE%\AppData\Local\Temp\OnboardLogs"\RTDC4009\2017-05-10 --exclude "*" --recursive --include "*20170510*" &amp; "%USERPROFILE%\Documents\GitHub\mrs-test-scripts\Headless Mode &amp; Sideloading\WalkAndUnGZ.bat" "%USERPROFILE%\AppData\Local\Temp\OnboardLogs"\RTDC4009\2017-05-10</v>
      </c>
      <c r="AF214" s="77" t="str">
        <f t="shared" si="86"/>
        <v>"C:\Program Files (x86)\AstroGrep\AstroGrep.exe" /e /r /s /spath="%USERPROFILE%\AppData\Local\Temp\OnboardLogs" /stypes="app*4009*20170509*" /stext=" 10:.+((SYSTEM_STATE.+slice.+state.+changed )|(ment ac)|(multiple cpu faults)|(system.+state.+changed )|(\[timeout)|(PRM\|1\|D)|(kpr)|(kdp)|(train st.+moving)|(\|lc)|(penalty))"</v>
      </c>
      <c r="AG214" s="1" t="str">
        <f t="shared" si="87"/>
        <v>Other</v>
      </c>
      <c r="AH214" s="81" t="str">
        <f t="shared" si="72"/>
        <v>"%USERPROFILE%\Documents\GitHub\eaglep3\Utilities\RefineRTDCRunTimes.py" --tripid 310-09 --locoid 4009 --swversion DE.1.0.9.0 --startMP 300:22927 --initTime 2017-05-09T04:20:50 --startdatetime 2017-05-09T04:25:15 --delay 4 --endMP 204:158 --enddatetime 2017-05-09T04:34:58 --enforcementcount 0 &gt;&gt;C:\Users\stu\Documents\GitHub\eaglep3-reporting\EC\2017-05-09-refined-times.txt</v>
      </c>
      <c r="AI214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{"issue":{"subject":"","project_id":79,"tracker_id":40,"status_id":1,"priority_id":2,"assigned_to_id":23,"start_date":"2017-05-09","description":"","custom_fields":[{"id":1,"name":"Subdivision","value":"Other"},{"id":4,"name":"Milepost","value":"0.0158"},{"id":17,"name":"Train ID","value":"310-09"},{"id":16,"name":"Locomotive ID","value":"4009"},{"id":130,"name":"Impact","value":""},{"id":150,"name":"Time of Event (Mountain Time)","value":"04:34:58"},{"id":151,"name":"Denver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74"/>
        <v>start /low /b %USERPROFILE%\Documents\GitHub\eaglep3\Utilities\DownloadLogsFromS3.py --loco 4009 --day 2017-05-09</v>
      </c>
      <c r="AN214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10:34:58"},{"id":29,"name":"Sharepoint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809</v>
      </c>
      <c r="B215" s="7">
        <v>4052</v>
      </c>
      <c r="C215" s="21" t="s">
        <v>207</v>
      </c>
      <c r="D215" s="21" t="s">
        <v>866</v>
      </c>
      <c r="E215" s="13">
        <v>42865.070347222223</v>
      </c>
      <c r="F215" s="13">
        <v>42865.072430555556</v>
      </c>
      <c r="G215" s="7">
        <v>2</v>
      </c>
      <c r="H215" s="21" t="s">
        <v>901</v>
      </c>
      <c r="I215" s="13">
        <v>25568.708333333332</v>
      </c>
      <c r="J215" s="7">
        <v>0</v>
      </c>
      <c r="K215" s="92" t="str">
        <f t="shared" si="76"/>
        <v>4051/4052</v>
      </c>
      <c r="L215" s="21" t="str">
        <f>VLOOKUP(A215,'Trips&amp;Operators'!$C$1:$G$99999,5,FALSE)</f>
        <v>ZEWDU DEREJE</v>
      </c>
      <c r="M215" s="6">
        <f t="shared" si="77"/>
        <v>-17296.364097222224</v>
      </c>
      <c r="N215" s="7">
        <f t="shared" si="88"/>
        <v>-24906764.300000001</v>
      </c>
      <c r="O215" s="7"/>
      <c r="P215" s="7"/>
      <c r="Q215" s="22"/>
      <c r="R215" s="190"/>
      <c r="S215" s="196">
        <f t="shared" si="68"/>
        <v>1</v>
      </c>
      <c r="T215" s="190" t="str">
        <f t="shared" si="78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79"/>
        <v>https://d0f6bd738d7f1b3e5a7ca70fe4ff75f0.us-east-1.aws.found.io/app/kibana#/discover/Steve-Slow-Train-Analysis-(2080s-and-2083s)?_g=(refreshInterval:(display:Off,pause:!f,section:0,value:0),time:(from:'2017-05-10T00:41:18-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5" s="192" t="str">
        <f t="shared" si="80"/>
        <v>Y</v>
      </c>
      <c r="X215" s="192">
        <f t="shared" si="71"/>
        <v>1</v>
      </c>
      <c r="Y215" s="192">
        <f t="shared" si="81"/>
        <v>4.7100000000000003E-2</v>
      </c>
      <c r="Z215" s="192">
        <f t="shared" si="82"/>
        <v>2.3302</v>
      </c>
      <c r="AA215" s="192">
        <f t="shared" si="83"/>
        <v>2.2831000000000001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4"/>
        <v>0311-09</v>
      </c>
      <c r="AE215" s="80" t="str">
        <f t="shared" si="85"/>
        <v>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 &amp; aws s3 cp s3://rtdc.mdm.uploadarchive.raw/RTDC4052/ "%USERPROFILE%\AppData\Local\Temp\OnboardLogs"\RTDC4052\2017-05-11 --exclude "*" --recursive --include "*20170511*" &amp; "%USERPROFILE%\Documents\GitHub\mrs-test-scripts\Headless Mode &amp; Sideloading\WalkAndUnGZ.bat" "%USERPROFILE%\AppData\Local\Temp\OnboardLogs"\RTDC4052\2017-05-11</v>
      </c>
      <c r="AF215" s="77" t="str">
        <f t="shared" si="86"/>
        <v>"C:\Program Files (x86)\AstroGrep\AstroGrep.exe" /e /r /s /spath="%USERPROFILE%\AppData\Local\Temp\OnboardLogs" /stypes="app*4052*19691231*" /stext=" 23:.+((SYSTEM_STATE.+slice.+state.+changed )|(ment ac)|(multiple cpu faults)|(system.+state.+changed )|(\[timeout)|(PRM\|1\|D)|(kpr)|(kdp)|(train st.+moving)|(\|lc)|(penalty))"</v>
      </c>
      <c r="AG215" s="1" t="str">
        <f t="shared" si="87"/>
        <v>Other</v>
      </c>
      <c r="AH215" s="81" t="str">
        <f t="shared" si="72"/>
        <v>"%USERPROFILE%\Documents\GitHub\eaglep3\Utilities\RefineRTDCRunTimes.py" --tripid 311-09 --locoid 4052 --swversion DE.1.0.9.0 --startMP 204:471 --initTime 2017-05-10T01:41:18 --startdatetime 2017-05-10T01:44:18 --delay 2 --endMP 300:23302 --enddatetime 1969-12-31T17:00:00 --enforcementcount 0 &gt;&gt;C:\Users\stu\Documents\GitHub\eaglep3-reporting\EC\2017-05-09-refined-times.txt</v>
      </c>
      <c r="AI215" s="9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ID","value":"311-09"},{"id":16,"name":"Locomotive ID","value":"4052"},{"id":130,"name":"Impact","value":""},{"id":150,"name":"Time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74"/>
        <v>start /low /b %USERPROFILE%\Documents\GitHub\eaglep3\Utilities\DownloadLogsFromS3.py --loco 4052 --day 2017-05-10</v>
      </c>
      <c r="AN215" s="154" t="str">
        <f t="shared" si="7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500</v>
      </c>
      <c r="B216" s="7">
        <v>4040</v>
      </c>
      <c r="C216" s="21" t="s">
        <v>207</v>
      </c>
      <c r="D216" s="21" t="s">
        <v>204</v>
      </c>
      <c r="E216" s="13">
        <v>42864.090567129628</v>
      </c>
      <c r="F216" s="13">
        <v>42864.101539351854</v>
      </c>
      <c r="G216" s="7">
        <v>1</v>
      </c>
      <c r="H216" s="21" t="s">
        <v>526</v>
      </c>
      <c r="I216" s="13">
        <v>42864.111724537041</v>
      </c>
      <c r="J216" s="7">
        <v>0</v>
      </c>
      <c r="K216" s="92" t="str">
        <f t="shared" si="76"/>
        <v>4039/4040</v>
      </c>
      <c r="L216" s="21" t="str">
        <f>VLOOKUP(A216,'Trips&amp;Operators'!$C$1:$G$99999,5,FALSE)</f>
        <v>ZEWDU DEREJE</v>
      </c>
      <c r="M216" s="6">
        <f t="shared" si="77"/>
        <v>1.0185185186855961E-2</v>
      </c>
      <c r="N216" s="7">
        <f t="shared" si="88"/>
        <v>14.666666669072583</v>
      </c>
      <c r="O216" s="7"/>
      <c r="P216" s="7"/>
      <c r="Q216" s="22"/>
      <c r="R216" s="190"/>
      <c r="S216" s="196">
        <f t="shared" si="68"/>
        <v>1</v>
      </c>
      <c r="T216" s="190" t="str">
        <f t="shared" si="78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79"/>
        <v>https://d0f6bd738d7f1b3e5a7ca70fe4ff75f0.us-east-1.aws.found.io/app/kibana#/discover/Steve-Slow-Train-Analysis-(2080s-and-2083s)?_g=(refreshInterval:(display:Off,pause:!f,section:0,value:0),time:(from:'2017-05-09T01:10:25-0600',mode:absolute,to:'2017-05-09T03:40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6" s="192" t="str">
        <f t="shared" si="80"/>
        <v>Y</v>
      </c>
      <c r="X216" s="192">
        <f t="shared" si="71"/>
        <v>2</v>
      </c>
      <c r="Y216" s="192">
        <f t="shared" si="81"/>
        <v>4.5999999999999999E-2</v>
      </c>
      <c r="Z216" s="192">
        <f t="shared" si="82"/>
        <v>2.331</v>
      </c>
      <c r="AA216" s="192">
        <f t="shared" si="83"/>
        <v>2.2850000000000001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4"/>
        <v>0313-08</v>
      </c>
      <c r="AE216" s="80" t="str">
        <f t="shared" si="85"/>
        <v>aws s3 cp s3://rtdc.mdm.uploadarchive.raw/RTDC4040/ "%USERPROFILE%\AppData\Local\Temp\OnboardLogs"\RTDC4040\2017-05-09 --exclude "*" --recursive --include "*20170509*" &amp; "%USERPROFILE%\Documents\GitHub\mrs-test-scripts\Headless Mode &amp; Sideloading\WalkAndUnGZ.bat" "%USERPROFILE%\AppData\Local\Temp\OnboardLogs"\RTDC4040\2017-05-09 &amp; aws s3 cp s3://rtdc.mdm.uploadarchive.raw/RTDC4040/ "%USERPROFILE%\AppData\Local\Temp\OnboardLogs"\RTDC4040\2017-05-10 --exclude "*" --recursive --include "*20170510*" &amp; "%USERPROFILE%\Documents\GitHub\mrs-test-scripts\Headless Mode &amp; Sideloading\WalkAndUnGZ.bat" "%USERPROFILE%\AppData\Local\Temp\OnboardLogs"\RTDC4040\2017-05-10</v>
      </c>
      <c r="AF216" s="77" t="str">
        <f t="shared" si="86"/>
        <v>"C:\Program Files (x86)\AstroGrep\AstroGrep.exe" /e /r /s /spath="%USERPROFILE%\AppData\Local\Temp\OnboardLogs" /stypes="app*4040*20170509*" /stext=" 08:.+((SYSTEM_STATE.+slice.+state.+changed )|(ment ac)|(multiple cpu faults)|(system.+state.+changed )|(\[timeout)|(PRM\|1\|D)|(kpr)|(kdp)|(train st.+moving)|(\|lc)|(penalty))"</v>
      </c>
      <c r="AG216" s="1" t="str">
        <f t="shared" si="87"/>
        <v>Other</v>
      </c>
      <c r="AH216" s="81" t="str">
        <f t="shared" si="72"/>
        <v>"%USERPROFILE%\Documents\GitHub\eaglep3\Utilities\RefineRTDCRunTimes.py" --tripid 313-08 --locoid 4040 --swversion DE.1.0.9.0 --startMP 204:460 --initTime 2017-05-09T02:10:25 --startdatetime 2017-05-09T02:26:13 --delay 1 --endMP 300:23310 --enddatetime 2017-05-09T02:40:53 --enforcementcount 0 &gt;&gt;C:\Users\stu\Documents\GitHub\eaglep3-reporting\EC\2017-05-09-refined-times.txt</v>
      </c>
      <c r="AI216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{"issue":{"subject":"","project_id":79,"tracker_id":40,"status_id":1,"priority_id":2,"assigned_to_id":23,"start_date":"2017-05-09","description":"","custom_fields":[{"id":1,"name":"Subdivision","value":"Other"},{"id":4,"name":"Milepost","value":"2.331"},{"id":17,"name":"Train ID","value":"313-08"},{"id":16,"name":"Locomotive ID","value":"4040"},{"id":130,"name":"Impact","value":""},{"id":150,"name":"Time of Event (Mountain Time)","value":"02:40:53"},{"id":151,"name":"Denver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74"/>
        <v>start /low /b %USERPROFILE%\Documents\GitHub\eaglep3\Utilities\DownloadLogsFromS3.py --loco 4040 --day 2017-05-09</v>
      </c>
      <c r="AN216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810</v>
      </c>
      <c r="B217" s="7">
        <v>4020</v>
      </c>
      <c r="C217" s="21" t="s">
        <v>207</v>
      </c>
      <c r="D217" s="21" t="s">
        <v>203</v>
      </c>
      <c r="E217" s="13">
        <v>42865.087592592594</v>
      </c>
      <c r="F217" s="13">
        <v>42865.088842592595</v>
      </c>
      <c r="G217" s="7">
        <v>1</v>
      </c>
      <c r="H217" s="21" t="s">
        <v>369</v>
      </c>
      <c r="I217" s="13">
        <v>42865.099710648145</v>
      </c>
      <c r="J217" s="7">
        <v>0</v>
      </c>
      <c r="K217" s="92" t="str">
        <f t="shared" si="76"/>
        <v>4019/4020</v>
      </c>
      <c r="L217" s="21" t="str">
        <f>VLOOKUP(A217,'Trips&amp;Operators'!$C$1:$G$99999,5,FALSE)</f>
        <v>BIRENBAUM THOMAS</v>
      </c>
      <c r="M217" s="6">
        <f t="shared" si="77"/>
        <v>1.0868055549508426E-2</v>
      </c>
      <c r="N217" s="7">
        <f t="shared" si="88"/>
        <v>15.649999991292134</v>
      </c>
      <c r="O217" s="7"/>
      <c r="P217" s="7"/>
      <c r="Q217" s="22"/>
      <c r="R217" s="190"/>
      <c r="S217" s="196">
        <f t="shared" si="68"/>
        <v>1</v>
      </c>
      <c r="T217" s="190" t="str">
        <f t="shared" si="78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79"/>
        <v>https://d0f6bd738d7f1b3e5a7ca70fe4ff75f0.us-east-1.aws.found.io/app/kibana#/discover/Steve-Slow-Train-Analysis-(2080s-and-2083s)?_g=(refreshInterval:(display:Off,pause:!f,section:0,value:0),time:(from:'2017-05-10T01:06:08-0600',mode:absolute,to:'2017-05-10T03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192" t="str">
        <f t="shared" si="80"/>
        <v>Y</v>
      </c>
      <c r="X217" s="192">
        <f t="shared" si="71"/>
        <v>0</v>
      </c>
      <c r="Y217" s="192">
        <f t="shared" si="81"/>
        <v>4.5699999999999998E-2</v>
      </c>
      <c r="Z217" s="192">
        <f t="shared" si="82"/>
        <v>2.3346</v>
      </c>
      <c r="AA217" s="192">
        <f t="shared" si="83"/>
        <v>2.2888999999999999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4"/>
        <v>0313-09</v>
      </c>
      <c r="AE217" s="80" t="str">
        <f t="shared" si="85"/>
        <v>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 &amp; aws s3 cp s3://rtdc.mdm.uploadarchive.raw/RTDC4020/ "%USERPROFILE%\AppData\Local\Temp\OnboardLogs"\RTDC4020\2017-05-11 --exclude "*" --recursive --include "*20170511*" &amp; "%USERPROFILE%\Documents\GitHub\mrs-test-scripts\Headless Mode &amp; Sideloading\WalkAndUnGZ.bat" "%USERPROFILE%\AppData\Local\Temp\OnboardLogs"\RTDC4020\2017-05-11</v>
      </c>
      <c r="AF217" s="77" t="str">
        <f t="shared" si="86"/>
        <v>"C:\Program Files (x86)\AstroGrep\AstroGrep.exe" /e /r /s /spath="%USERPROFILE%\AppData\Local\Temp\OnboardLogs" /stypes="app*4020*20170510*" /stext=" 08:.+((SYSTEM_STATE.+slice.+state.+changed )|(ment ac)|(multiple cpu faults)|(system.+state.+changed )|(\[timeout)|(PRM\|1\|D)|(kpr)|(kdp)|(train st.+moving)|(\|lc)|(penalty))"</v>
      </c>
      <c r="AG217" s="1" t="str">
        <f t="shared" si="87"/>
        <v>Other</v>
      </c>
      <c r="AH217" s="81" t="str">
        <f t="shared" si="72"/>
        <v>"%USERPROFILE%\Documents\GitHub\eaglep3\Utilities\RefineRTDCRunTimes.py" --tripid 313-09 --locoid 4020 --swversion DE.1.0.9.0 --startMP 204:457 --initTime 2017-05-10T02:06:08 --startdatetime 2017-05-10T02:07:56 --delay 1 --endMP 300:23346 --enddatetime 2017-05-10T02:23:35 --enforcementcount 0 &gt;&gt;C:\Users\stu\Documents\GitHub\eaglep3-reporting\EC\2017-05-09-refined-times.txt</v>
      </c>
      <c r="AI217" s="99" t="str">
        <f t="shared" si="73"/>
        <v>echo {"issue":{"subject":"","project_id":79,"tracker_id":40,"status_id":1,"priority_id":2,"assigned_to_id":23,"start_date":"2017-05-10","description":"","custom_fields":[{"id":1,"name":"Subdivision","value":"Other"},{"id":4,"name":"Milepost","value":"2.3346"},{"id":17,"name":"Train ID","value":"313-09"},{"id":16,"name":"Locomotive ID","value":"4020"},{"id":130,"name":"Impact","value":""},{"id":150,"name":"Time of Event (Mountain Time)","value":"02:23:35"},{"id":151,"name":"Denver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74"/>
        <v>start /low /b %USERPROFILE%\Documents\GitHub\eaglep3\Utilities\DownloadLogsFromS3.py --loco 4020 --day 2017-05-10</v>
      </c>
      <c r="AN217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08:23:35"},{"id":29,"name":"Sharepoint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805</v>
      </c>
      <c r="B218" s="7">
        <v>4008</v>
      </c>
      <c r="C218" s="21" t="s">
        <v>207</v>
      </c>
      <c r="D218" s="21" t="s">
        <v>405</v>
      </c>
      <c r="E218" s="13">
        <v>42865.030462962961</v>
      </c>
      <c r="F218" s="13">
        <v>42865.032939814817</v>
      </c>
      <c r="G218" s="7">
        <v>3</v>
      </c>
      <c r="H218" s="21" t="s">
        <v>901</v>
      </c>
      <c r="I218" s="13">
        <v>42865.041631944441</v>
      </c>
      <c r="J218" s="7">
        <v>0</v>
      </c>
      <c r="K218" s="92" t="str">
        <f t="shared" si="76"/>
        <v>4007/4008</v>
      </c>
      <c r="L218" s="21" t="str">
        <f>VLOOKUP(A218,'Trips&amp;Operators'!$C$1:$G$99999,5,FALSE)</f>
        <v>CHANDLER KELVIN</v>
      </c>
      <c r="M218" s="6">
        <f t="shared" si="77"/>
        <v>8.6921296242508106E-3</v>
      </c>
      <c r="N218" s="7">
        <f t="shared" si="88"/>
        <v>12.516666658921167</v>
      </c>
      <c r="O218" s="7"/>
      <c r="P218" s="7"/>
      <c r="Q218" s="22"/>
      <c r="R218" s="190"/>
      <c r="S218" s="196">
        <f t="shared" si="68"/>
        <v>1</v>
      </c>
      <c r="T218" s="190" t="str">
        <f t="shared" si="78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79"/>
        <v>https://d0f6bd738d7f1b3e5a7ca70fe4ff75f0.us-east-1.aws.found.io/app/kibana#/discover/Steve-Slow-Train-Analysis-(2080s-and-2083s)?_g=(refreshInterval:(display:Off,pause:!f,section:0,value:0),time:(from:'2017-05-09T23:43:52-0600',mode:absolute,to:'2017-05-10T01:59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8" s="192" t="str">
        <f t="shared" si="80"/>
        <v>Y</v>
      </c>
      <c r="X218" s="192">
        <f t="shared" si="71"/>
        <v>2</v>
      </c>
      <c r="Y218" s="192">
        <f t="shared" si="81"/>
        <v>4.5499999999999999E-2</v>
      </c>
      <c r="Z218" s="192">
        <f t="shared" si="82"/>
        <v>2.3302</v>
      </c>
      <c r="AA218" s="192">
        <f t="shared" si="83"/>
        <v>2.2847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4"/>
        <v>0315-09</v>
      </c>
      <c r="AE218" s="80" t="str">
        <f t="shared" si="85"/>
        <v>aws s3 cp s3://rtdc.mdm.uploadarchive.raw/RTDC4008/ "%USERPROFILE%\AppData\Local\Temp\OnboardLogs"\RTDC4008\2017-05-10 --exclude "*" --recursive --include "*20170510*" &amp; "%USERPROFILE%\Documents\GitHub\mrs-test-scripts\Headless Mode &amp; Sideloading\WalkAndUnGZ.bat" "%USERPROFILE%\AppData\Local\Temp\OnboardLogs"\RTDC4008\2017-05-10 &amp; aws s3 cp s3://rtdc.mdm.uploadarchive.raw/RTDC4008/ "%USERPROFILE%\AppData\Local\Temp\OnboardLogs"\RTDC4008\2017-05-11 --exclude "*" --recursive --include "*20170511*" &amp; "%USERPROFILE%\Documents\GitHub\mrs-test-scripts\Headless Mode &amp; Sideloading\WalkAndUnGZ.bat" "%USERPROFILE%\AppData\Local\Temp\OnboardLogs"\RTDC4008\2017-05-11</v>
      </c>
      <c r="AF218" s="77" t="str">
        <f t="shared" si="86"/>
        <v>"C:\Program Files (x86)\AstroGrep\AstroGrep.exe" /e /r /s /spath="%USERPROFILE%\AppData\Local\Temp\OnboardLogs" /stypes="app*4008*20170510*" /stext=" 06:.+((SYSTEM_STATE.+slice.+state.+changed )|(ment ac)|(multiple cpu faults)|(system.+state.+changed )|(\[timeout)|(PRM\|1\|D)|(kpr)|(kdp)|(train st.+moving)|(\|lc)|(penalty))"</v>
      </c>
      <c r="AG218" s="1" t="str">
        <f t="shared" si="87"/>
        <v>Other</v>
      </c>
      <c r="AH218" s="81" t="str">
        <f t="shared" si="72"/>
        <v>"%USERPROFILE%\Documents\GitHub\eaglep3\Utilities\RefineRTDCRunTimes.py" --tripid 315-09 --locoid 4008 --swversion DE.1.0.9.0 --startMP 204:455 --initTime 2017-05-10T00:43:52 --startdatetime 2017-05-10T00:47:26 --delay 3 --endMP 300:23302 --enddatetime 2017-05-10T00:59:57 --enforcementcount 0 &gt;&gt;C:\Users\stu\Documents\GitHub\eaglep3-reporting\EC\2017-05-09-refined-times.txt</v>
      </c>
      <c r="AI218" s="99" t="str">
        <f t="shared" si="73"/>
        <v>echo {"issue":{"subject":"","project_id":79,"tracker_id":40,"status_id":1,"priority_id":2,"assigned_to_id":23,"start_date":"2017-05-10","description":"","custom_fields":[{"id":1,"name":"Subdivision","value":"Other"},{"id":4,"name":"Milepost","value":"2.3302"},{"id":17,"name":"Train ID","value":"315-09"},{"id":16,"name":"Locomotive ID","value":"4008"},{"id":130,"name":"Impact","value":""},{"id":150,"name":"Time of Event (Mountain Time)","value":"00:59:57"},{"id":151,"name":"Denver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74"/>
        <v>start /low /b %USERPROFILE%\Documents\GitHub\eaglep3\Utilities\DownloadLogsFromS3.py --loco 4008 --day 2017-05-10</v>
      </c>
      <c r="AN218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06:59:57"},{"id":29,"name":"Sharepoint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610</v>
      </c>
      <c r="B219" s="7">
        <v>4006</v>
      </c>
      <c r="C219" s="21" t="s">
        <v>207</v>
      </c>
      <c r="D219" s="21" t="s">
        <v>1009</v>
      </c>
      <c r="E219" s="13">
        <v>42864.198946759258</v>
      </c>
      <c r="F219" s="13">
        <v>42864.203194444446</v>
      </c>
      <c r="G219" s="7">
        <v>6</v>
      </c>
      <c r="H219" s="21" t="s">
        <v>1010</v>
      </c>
      <c r="I219" s="13">
        <v>42864.209479166668</v>
      </c>
      <c r="J219" s="7">
        <v>0</v>
      </c>
      <c r="K219" s="92" t="str">
        <f t="shared" si="76"/>
        <v>4005/4006</v>
      </c>
      <c r="L219" s="21" t="str">
        <f>VLOOKUP(A219,'Trips&amp;Operators'!$C$1:$G$99999,5,FALSE)</f>
        <v>COOLAHAN JOHN</v>
      </c>
      <c r="M219" s="6">
        <f t="shared" si="77"/>
        <v>6.284722221607808E-3</v>
      </c>
      <c r="N219" s="7">
        <f t="shared" si="88"/>
        <v>9.0499999991152436</v>
      </c>
      <c r="O219" s="7"/>
      <c r="P219" s="7"/>
      <c r="Q219" s="22"/>
      <c r="R219" s="190"/>
      <c r="S219" s="196">
        <f t="shared" si="68"/>
        <v>0</v>
      </c>
      <c r="T219" s="190" t="str">
        <f t="shared" si="78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79"/>
        <v>https://d0f6bd738d7f1b3e5a7ca70fe4ff75f0.us-east-1.aws.found.io/app/kibana#/discover/Steve-Slow-Train-Analysis-(2080s-and-2083s)?_g=(refreshInterval:(display:Off,pause:!f,section:0,value:0),time:(from:'2017-05-09T03:46:29-0600',mode:absolute,to:'2017-05-09T06:01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192" t="str">
        <f t="shared" si="80"/>
        <v>Y</v>
      </c>
      <c r="X219" s="192">
        <f t="shared" si="71"/>
        <v>586</v>
      </c>
      <c r="Y219" s="192">
        <f t="shared" si="81"/>
        <v>2.9927000000000001</v>
      </c>
      <c r="Z219" s="192">
        <f t="shared" si="82"/>
        <v>5.8997000000000002</v>
      </c>
      <c r="AA219" s="192">
        <f t="shared" si="83"/>
        <v>2.907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4"/>
        <v>0901-09</v>
      </c>
      <c r="AE219" s="80" t="str">
        <f t="shared" si="85"/>
        <v>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 &amp; 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</v>
      </c>
      <c r="AF219" s="77" t="str">
        <f t="shared" si="86"/>
        <v>"C:\Program Files (x86)\AstroGrep\AstroGrep.exe" /e /r /s /spath="%USERPROFILE%\AppData\Local\Temp\OnboardLogs" /stypes="app*4006*20170509*" /stext=" 11:.+((SYSTEM_STATE.+slice.+state.+changed )|(ment ac)|(multiple cpu faults)|(system.+state.+changed )|(\[timeout)|(PRM\|1\|D)|(kpr)|(kdp)|(train st.+moving)|(\|lc)|(penalty))"</v>
      </c>
      <c r="AG219" s="1" t="str">
        <f t="shared" si="87"/>
        <v>Other</v>
      </c>
      <c r="AH219" s="81" t="str">
        <f t="shared" si="72"/>
        <v>"%USERPROFILE%\Documents\GitHub\eaglep3\Utilities\RefineRTDCRunTimes.py" --tripid 901-09 --locoid 4006 --swversion DE.1.0.9.0 --startMP 300:29927 --initTime 2017-05-09T04:46:29 --startdatetime 2017-05-09T04:52:36 --delay 6 --endMP 300:58997 --enddatetime 2017-05-09T05:01:39 --enforcementcount 0 &gt;&gt;C:\Users\stu\Documents\GitHub\eaglep3-reporting\EC\2017-05-09-refined-times.txt</v>
      </c>
      <c r="AI219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{"issue":{"subject":"","project_id":79,"tracker_id":40,"status_id":1,"priority_id":2,"assigned_to_id":23,"start_date":"2017-05-09","description":"","custom_fields":[{"id":1,"name":"Subdivision","value":"Other"},{"id":4,"name":"Milepost","value":"5.8997"},{"id":17,"name":"Train ID","value":"901-09"},{"id":16,"name":"Locomotive ID","value":"4006"},{"id":130,"name":"Impact","value":""},{"id":150,"name":"Time of Event (Mountain Time)","value":"05:01:39"},{"id":151,"name":"Denver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74"/>
        <v>start /low /b %USERPROFILE%\Documents\GitHub\eaglep3\Utilities\DownloadLogsFromS3.py --loco 4006 --day 2017-05-09</v>
      </c>
      <c r="AN219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11:01:39"},{"id":29,"name":"Sharepoint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s="20" customFormat="1" x14ac:dyDescent="0.25">
      <c r="A220" s="32" t="s">
        <v>624</v>
      </c>
      <c r="B220" s="7">
        <v>4017</v>
      </c>
      <c r="C220" s="21" t="s">
        <v>207</v>
      </c>
      <c r="D220" s="21" t="s">
        <v>1011</v>
      </c>
      <c r="E220" s="13">
        <v>42864.248263888891</v>
      </c>
      <c r="F220" s="13">
        <v>42864.250532407408</v>
      </c>
      <c r="G220" s="7">
        <v>3</v>
      </c>
      <c r="H220" s="21" t="s">
        <v>952</v>
      </c>
      <c r="I220" s="13">
        <v>42864.256180555552</v>
      </c>
      <c r="J220" s="7">
        <v>0</v>
      </c>
      <c r="K220" s="92" t="str">
        <f t="shared" si="76"/>
        <v>4017/4018</v>
      </c>
      <c r="L220" s="21" t="str">
        <f>VLOOKUP(A220,'Trips&amp;Operators'!$C$1:$G$99999,5,FALSE)</f>
        <v>BEAM ROSS</v>
      </c>
      <c r="M220" s="6">
        <f t="shared" si="77"/>
        <v>5.648148144246079E-3</v>
      </c>
      <c r="N220" s="7">
        <f t="shared" si="88"/>
        <v>8.1333333277143538</v>
      </c>
      <c r="O220" s="7"/>
      <c r="P220" s="7"/>
      <c r="Q220" s="22"/>
      <c r="R220" s="190"/>
      <c r="S220" s="196">
        <f t="shared" si="68"/>
        <v>1</v>
      </c>
      <c r="T220" s="190" t="str">
        <f t="shared" si="78"/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79"/>
        <v>https://d0f6bd738d7f1b3e5a7ca70fe4ff75f0.us-east-1.aws.found.io/app/kibana#/discover/Steve-Slow-Train-Analysis-(2080s-and-2083s)?_g=(refreshInterval:(display:Off,pause:!f,section:0,value:0),time:(from:'2017-05-09T04:57:30-0600',mode:absolute,to:'2017-05-09T07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0" s="192" t="str">
        <f t="shared" si="80"/>
        <v>Y</v>
      </c>
      <c r="X220" s="192">
        <f t="shared" si="71"/>
        <v>1</v>
      </c>
      <c r="Y220" s="192">
        <f t="shared" si="81"/>
        <v>2.1930999999999998</v>
      </c>
      <c r="Z220" s="192">
        <f t="shared" si="82"/>
        <v>6.9599999999999995E-2</v>
      </c>
      <c r="AA220" s="192">
        <f t="shared" si="83"/>
        <v>2.1234999999999999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4"/>
        <v>0902-09</v>
      </c>
      <c r="AE220" s="80" t="str">
        <f t="shared" si="85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220" s="77" t="str">
        <f t="shared" si="86"/>
        <v>"C:\Program Files (x86)\AstroGrep\AstroGrep.exe" /e /r /s /spath="%USERPROFILE%\AppData\Local\Temp\OnboardLogs" /stypes="app*4017*20170509*" /stext=" 12:.+((SYSTEM_STATE.+slice.+state.+changed )|(ment ac)|(multiple cpu faults)|(system.+state.+changed )|(\[timeout)|(PRM\|1\|D)|(kpr)|(kdp)|(train st.+moving)|(\|lc)|(penalty))"</v>
      </c>
      <c r="AG220" s="1" t="str">
        <f t="shared" si="87"/>
        <v>Other</v>
      </c>
      <c r="AH220" s="81" t="str">
        <f t="shared" si="72"/>
        <v>"%USERPROFILE%\Documents\GitHub\eaglep3\Utilities\RefineRTDCRunTimes.py" --tripid 902-09 --locoid 4017 --swversion DE.1.0.9.0 --startMP 300:21931 --initTime 2017-05-09T05:57:30 --startdatetime 2017-05-09T06:00:46 --delay 3 --endMP 204:696 --enddatetime 2017-05-09T06:08:54 --enforcementcount 0 &gt;&gt;C:\Users\stu\Documents\GitHub\eaglep3-reporting\EC\2017-05-09-refined-times.txt</v>
      </c>
      <c r="AI220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{"issue":{"subject":"","project_id":79,"tracker_id":40,"status_id":1,"priority_id":2,"assigned_to_id":23,"start_date":"2017-05-09","description":"","custom_fields":[{"id":1,"name":"Subdivision","value":"Other"},{"id":4,"name":"Milepost","value":"0.0696"},{"id":17,"name":"Train ID","value":"902-09"},{"id":16,"name":"Locomotive ID","value":"4017"},{"id":130,"name":"Impact","value":""},{"id":150,"name":"Time of Event (Mountain Time)","value":"06:08:54"},{"id":151,"name":"Denver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0" s="47"/>
      <c r="AL220" s="47"/>
      <c r="AM220" s="145" t="str">
        <f t="shared" si="74"/>
        <v>start /low /b %USERPROFILE%\Documents\GitHub\eaglep3\Utilities\DownloadLogsFromS3.py --loco 4017 --day 2017-05-09</v>
      </c>
      <c r="AN220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651</v>
      </c>
      <c r="B221" s="7">
        <v>4006</v>
      </c>
      <c r="C221" s="21" t="s">
        <v>207</v>
      </c>
      <c r="D221" s="21" t="s">
        <v>1012</v>
      </c>
      <c r="E221" s="13">
        <v>42864.352766203701</v>
      </c>
      <c r="F221" s="13">
        <v>42864.354328703703</v>
      </c>
      <c r="G221" s="7">
        <v>1</v>
      </c>
      <c r="H221" s="21" t="s">
        <v>1013</v>
      </c>
      <c r="I221" s="13">
        <v>42864.360474537039</v>
      </c>
      <c r="J221" s="7">
        <v>0</v>
      </c>
      <c r="K221" s="92" t="str">
        <f t="shared" si="76"/>
        <v>4005/4006</v>
      </c>
      <c r="L221" s="21" t="str">
        <f>VLOOKUP(A221,'Trips&amp;Operators'!$C$1:$G$99999,5,FALSE)</f>
        <v>COOLAHAN JOHN</v>
      </c>
      <c r="M221" s="6">
        <f t="shared" si="77"/>
        <v>6.1458333366317675E-3</v>
      </c>
      <c r="N221" s="7">
        <f t="shared" si="88"/>
        <v>8.8500000047497451</v>
      </c>
      <c r="O221" s="7"/>
      <c r="P221" s="7"/>
      <c r="Q221" s="22"/>
      <c r="R221" s="190"/>
      <c r="S221" s="196">
        <f t="shared" si="68"/>
        <v>1</v>
      </c>
      <c r="T221" s="190" t="str">
        <f t="shared" si="78"/>
        <v>NorthBound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 t="shared" si="79"/>
        <v>https://d0f6bd738d7f1b3e5a7ca70fe4ff75f0.us-east-1.aws.found.io/app/kibana#/discover/Steve-Slow-Train-Analysis-(2080s-and-2083s)?_g=(refreshInterval:(display:Off,pause:!f,section:0,value:0),time:(from:'2017-05-09T07:27:59-0600',mode:absolute,to:'2017-05-09T09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1" s="192" t="str">
        <f t="shared" si="80"/>
        <v>Y</v>
      </c>
      <c r="X221" s="192">
        <f t="shared" si="71"/>
        <v>1</v>
      </c>
      <c r="Y221" s="192">
        <f t="shared" si="81"/>
        <v>0.1065</v>
      </c>
      <c r="Z221" s="192">
        <f t="shared" si="82"/>
        <v>2.4209999999999998</v>
      </c>
      <c r="AA221" s="192">
        <f t="shared" si="83"/>
        <v>2.3144999999999998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4"/>
        <v>0903-09</v>
      </c>
      <c r="AE221" s="80" t="str">
        <f t="shared" si="85"/>
        <v>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 &amp; 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</v>
      </c>
      <c r="AF221" s="77" t="str">
        <f t="shared" si="86"/>
        <v>"C:\Program Files (x86)\AstroGrep\AstroGrep.exe" /e /r /s /spath="%USERPROFILE%\AppData\Local\Temp\OnboardLogs" /stypes="app*4006*20170509*" /stext=" 14:.+((SYSTEM_STATE.+slice.+state.+changed )|(ment ac)|(multiple cpu faults)|(system.+state.+changed )|(\[timeout)|(PRM\|1\|D)|(kpr)|(kdp)|(train st.+moving)|(\|lc)|(penalty))"</v>
      </c>
      <c r="AG221" s="1" t="str">
        <f t="shared" si="87"/>
        <v>Other</v>
      </c>
      <c r="AH221" s="81" t="str">
        <f t="shared" si="72"/>
        <v>"%USERPROFILE%\Documents\GitHub\eaglep3\Utilities\RefineRTDCRunTimes.py" --tripid 903-09 --locoid 4006 --swversion DE.1.0.9.0 --startMP 204:1065 --initTime 2017-05-09T08:27:59 --startdatetime 2017-05-09T08:30:14 --delay 1 --endMP 300:24210 --enddatetime 2017-05-09T08:39:05 --enforcementcount 0 &gt;&gt;C:\Users\stu\Documents\GitHub\eaglep3-reporting\EC\2017-05-09-refined-times.txt</v>
      </c>
      <c r="AI221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{"issue":{"subject":"","project_id":79,"tracker_id":40,"status_id":1,"priority_id":2,"assigned_to_id":23,"start_date":"2017-05-09","description":"","custom_fields":[{"id":1,"name":"Subdivision","value":"Other"},{"id":4,"name":"Milepost","value":"2.421"},{"id":17,"name":"Train ID","value":"903-09"},{"id":16,"name":"Locomotive ID","value":"4006"},{"id":130,"name":"Impact","value":""},{"id":150,"name":"Time of Event (Mountain Time)","value":"08:39:05"},{"id":151,"name":"Denver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74"/>
        <v>start /low /b %USERPROFILE%\Documents\GitHub\eaglep3\Utilities\DownloadLogsFromS3.py --loco 4006 --day 2017-05-09</v>
      </c>
      <c r="AN221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14:39:05"},{"id":29,"name":"Sharepoint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719</v>
      </c>
      <c r="B222" s="7">
        <v>4005</v>
      </c>
      <c r="C222" s="21" t="s">
        <v>207</v>
      </c>
      <c r="D222" s="21" t="s">
        <v>1014</v>
      </c>
      <c r="E222" s="13">
        <v>42864.643067129633</v>
      </c>
      <c r="F222" s="13">
        <v>42864.645856481482</v>
      </c>
      <c r="G222" s="7">
        <v>3</v>
      </c>
      <c r="H222" s="21" t="s">
        <v>1015</v>
      </c>
      <c r="I222" s="13">
        <v>42864.652256944442</v>
      </c>
      <c r="J222" s="7">
        <v>0</v>
      </c>
      <c r="K222" s="92" t="str">
        <f t="shared" si="76"/>
        <v>4005/4006</v>
      </c>
      <c r="L222" s="21" t="str">
        <f>VLOOKUP(A222,'Trips&amp;Operators'!$C$1:$G$99999,5,FALSE)</f>
        <v>SWANSON BRYCE</v>
      </c>
      <c r="M222" s="6">
        <f t="shared" si="77"/>
        <v>6.4004629603005014E-3</v>
      </c>
      <c r="N222" s="7">
        <f t="shared" si="88"/>
        <v>9.2166666628327221</v>
      </c>
      <c r="O222" s="7"/>
      <c r="P222" s="7"/>
      <c r="Q222" s="22"/>
      <c r="R222" s="190"/>
      <c r="S222" s="196">
        <f t="shared" si="68"/>
        <v>1</v>
      </c>
      <c r="T222" s="190" t="str">
        <f t="shared" si="78"/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79"/>
        <v>https://d0f6bd738d7f1b3e5a7ca70fe4ff75f0.us-east-1.aws.found.io/app/kibana#/discover/Steve-Slow-Train-Analysis-(2080s-and-2083s)?_g=(refreshInterval:(display:Off,pause:!f,section:0,value:0),time:(from:'2017-05-09T14:26:01-0600',mode:absolute,to:'2017-05-09T16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2" s="192" t="str">
        <f t="shared" si="80"/>
        <v>Y</v>
      </c>
      <c r="X222" s="192">
        <f t="shared" si="71"/>
        <v>1</v>
      </c>
      <c r="Y222" s="192">
        <f t="shared" si="81"/>
        <v>2.2989000000000002</v>
      </c>
      <c r="Z222" s="192">
        <f t="shared" si="82"/>
        <v>6.8000000000000005E-2</v>
      </c>
      <c r="AA222" s="192">
        <f t="shared" si="83"/>
        <v>2.2309000000000001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4"/>
        <v>0904-09</v>
      </c>
      <c r="AE222" s="80" t="str">
        <f t="shared" si="85"/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AF222" s="77" t="str">
        <f t="shared" si="86"/>
        <v>"C:\Program Files (x86)\AstroGrep\AstroGrep.exe" /e /r /s /spath="%USERPROFILE%\AppData\Local\Temp\OnboardLogs" /stypes="app*4005*20170509*" /stext=" 21:.+((SYSTEM_STATE.+slice.+state.+changed )|(ment ac)|(multiple cpu faults)|(system.+state.+changed )|(\[timeout)|(PRM\|1\|D)|(kpr)|(kdp)|(train st.+moving)|(\|lc)|(penalty))"</v>
      </c>
      <c r="AG222" s="1" t="str">
        <f t="shared" si="87"/>
        <v>Other</v>
      </c>
      <c r="AH222" s="81" t="str">
        <f t="shared" si="72"/>
        <v>"%USERPROFILE%\Documents\GitHub\eaglep3\Utilities\RefineRTDCRunTimes.py" --tripid 904-09 --locoid 4005 --swversion DE.1.0.9.0 --startMP 300:22989 --initTime 2017-05-09T15:26:01 --startdatetime 2017-05-09T15:30:02 --delay 3 --endMP 204:680 --enddatetime 2017-05-09T15:39:15 --enforcementcount 0 &gt;&gt;C:\Users\stu\Documents\GitHub\eaglep3-reporting\EC\2017-05-09-refined-times.txt</v>
      </c>
      <c r="AI222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{"issue":{"subject":"","project_id":79,"tracker_id":40,"status_id":1,"priority_id":2,"assigned_to_id":23,"start_date":"2017-05-09","description":"","custom_fields":[{"id":1,"name":"Subdivision","value":"Other"},{"id":4,"name":"Milepost","value":"0.068"},{"id":17,"name":"Train ID","value":"904-09"},{"id":16,"name":"Locomotive ID","value":"4005"},{"id":130,"name":"Impact","value":""},{"id":150,"name":"Time of Event (Mountain Time)","value":"15:39:15"},{"id":151,"name":"Denver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74"/>
        <v>start /low /b %USERPROFILE%\Documents\GitHub\eaglep3\Utilities\DownloadLogsFromS3.py --loco 4005 --day 2017-05-09</v>
      </c>
      <c r="AN222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21:39:15"},{"id":29,"name":"Sharepoint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773</v>
      </c>
      <c r="B223" s="7">
        <v>4005</v>
      </c>
      <c r="C223" s="21" t="s">
        <v>207</v>
      </c>
      <c r="D223" s="21" t="s">
        <v>1016</v>
      </c>
      <c r="E223" s="13">
        <v>42864.798009259262</v>
      </c>
      <c r="F223" s="13">
        <v>42864.799409722225</v>
      </c>
      <c r="G223" s="7">
        <v>1</v>
      </c>
      <c r="H223" s="21" t="s">
        <v>1017</v>
      </c>
      <c r="I223" s="13">
        <v>42864.807662037034</v>
      </c>
      <c r="J223" s="7">
        <v>0</v>
      </c>
      <c r="K223" s="92" t="str">
        <f t="shared" si="76"/>
        <v>4005/4006</v>
      </c>
      <c r="L223" s="21" t="str">
        <f>VLOOKUP(A223,'Trips&amp;Operators'!$C$1:$G$99999,5,FALSE)</f>
        <v>SWANSON BRYCE</v>
      </c>
      <c r="M223" s="6">
        <f t="shared" si="77"/>
        <v>8.2523148084874265E-3</v>
      </c>
      <c r="N223" s="7">
        <f t="shared" si="88"/>
        <v>11.883333324221894</v>
      </c>
      <c r="O223" s="7"/>
      <c r="P223" s="7"/>
      <c r="Q223" s="22"/>
      <c r="R223" s="190"/>
      <c r="S223" s="196">
        <f t="shared" si="68"/>
        <v>0</v>
      </c>
      <c r="T223" s="190" t="str">
        <f t="shared" si="78"/>
        <v>Southbound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79"/>
        <v>https://d0f6bd738d7f1b3e5a7ca70fe4ff75f0.us-east-1.aws.found.io/app/kibana#/discover/Steve-Slow-Train-Analysis-(2080s-and-2083s)?_g=(refreshInterval:(display:Off,pause:!f,section:0,value:0),time:(from:'2017-05-09T18:09:08-0600',mode:absolute,to:'2017-05-09T20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3" s="192" t="str">
        <f t="shared" si="80"/>
        <v>Y</v>
      </c>
      <c r="X223" s="192">
        <f t="shared" si="71"/>
        <v>2</v>
      </c>
      <c r="Y223" s="192">
        <f t="shared" si="81"/>
        <v>5.8611000000000004</v>
      </c>
      <c r="Z223" s="192">
        <f t="shared" si="82"/>
        <v>2.8788</v>
      </c>
      <c r="AA223" s="192">
        <f t="shared" si="83"/>
        <v>2.9823000000000004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4"/>
        <v>0906-09</v>
      </c>
      <c r="AE223" s="80" t="str">
        <f t="shared" si="85"/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AF223" s="77" t="str">
        <f t="shared" si="86"/>
        <v>"C:\Program Files (x86)\AstroGrep\AstroGrep.exe" /e /r /s /spath="%USERPROFILE%\AppData\Local\Temp\OnboardLogs" /stypes="app*4005*20170510*" /stext=" 01:.+((SYSTEM_STATE.+slice.+state.+changed )|(ment ac)|(multiple cpu faults)|(system.+state.+changed )|(\[timeout)|(PRM\|1\|D)|(kpr)|(kdp)|(train st.+moving)|(\|lc)|(penalty))"</v>
      </c>
      <c r="AG223" s="1" t="str">
        <f t="shared" si="87"/>
        <v>Other</v>
      </c>
      <c r="AH223" s="81" t="str">
        <f t="shared" si="72"/>
        <v>"%USERPROFILE%\Documents\GitHub\eaglep3\Utilities\RefineRTDCRunTimes.py" --tripid 906-09 --locoid 4005 --swversion DE.1.0.9.0 --startMP 300:58611 --initTime 2017-05-09T19:09:08 --startdatetime 2017-05-09T19:11:09 --delay 1 --endMP 300:28788 --enddatetime 2017-05-09T19:23:02 --enforcementcount 0 &gt;&gt;C:\Users\stu\Documents\GitHub\eaglep3-reporting\EC\2017-05-09-refined-times.txt</v>
      </c>
      <c r="AI223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{"issue":{"subject":"","project_id":79,"tracker_id":40,"status_id":1,"priority_id":2,"assigned_to_id":23,"start_date":"2017-05-09","description":"","custom_fields":[{"id":1,"name":"Subdivision","value":"Other"},{"id":4,"name":"Milepost","value":"2.8788"},{"id":17,"name":"Train ID","value":"906-09"},{"id":16,"name":"Locomotive ID","value":"4005"},{"id":130,"name":"Impact","value":""},{"id":150,"name":"Time of Event (Mountain Time)","value":"19:23:02"},{"id":151,"name":"Denver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74"/>
        <v>start /low /b %USERPROFILE%\Documents\GitHub\eaglep3\Utilities\DownloadLogsFromS3.py --loco 4005 --day 2017-05-09</v>
      </c>
      <c r="AN223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01:23:02"},{"id":29,"name":"Sharepoint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795</v>
      </c>
      <c r="B224" s="7">
        <v>4017</v>
      </c>
      <c r="C224" s="21" t="s">
        <v>207</v>
      </c>
      <c r="D224" s="21" t="s">
        <v>432</v>
      </c>
      <c r="E224" s="13">
        <v>42864.943703703706</v>
      </c>
      <c r="F224" s="13">
        <v>42864.956678240742</v>
      </c>
      <c r="G224" s="7">
        <v>1</v>
      </c>
      <c r="H224" s="21" t="s">
        <v>1018</v>
      </c>
      <c r="I224" s="13">
        <v>42864.959351851852</v>
      </c>
      <c r="J224" s="7">
        <v>0</v>
      </c>
      <c r="K224" s="92" t="str">
        <f t="shared" si="76"/>
        <v>4017/4018</v>
      </c>
      <c r="L224" s="21" t="str">
        <f>VLOOKUP(A224,'Trips&amp;Operators'!$C$1:$G$99999,5,FALSE)</f>
        <v>SWANSON BRYCE</v>
      </c>
      <c r="M224" s="6">
        <f t="shared" si="77"/>
        <v>2.6736111103673466E-3</v>
      </c>
      <c r="N224" s="7">
        <f t="shared" si="88"/>
        <v>3.849999998928979</v>
      </c>
      <c r="O224" s="7"/>
      <c r="P224" s="7"/>
      <c r="Q224" s="22"/>
      <c r="R224" s="190"/>
      <c r="S224" s="196">
        <f t="shared" si="68"/>
        <v>0</v>
      </c>
      <c r="T224" s="190" t="str">
        <f t="shared" si="78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79"/>
        <v>https://d0f6bd738d7f1b3e5a7ca70fe4ff75f0.us-east-1.aws.found.io/app/kibana#/discover/Steve-Slow-Train-Analysis-(2080s-and-2083s)?_g=(refreshInterval:(display:Off,pause:!f,section:0,value:0),time:(from:'2017-05-09T21:38:56-0600',mode:absolute,to:'2017-05-10T00:01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4" s="192" t="str">
        <f t="shared" si="80"/>
        <v>Y</v>
      </c>
      <c r="X224" s="192">
        <f t="shared" ref="X224:X255" si="89">VALUE(LEFT(AD224,4))-VALUE(LEFT(AD223,4))</f>
        <v>2</v>
      </c>
      <c r="Y224" s="192">
        <f t="shared" si="81"/>
        <v>5.8620999999999999</v>
      </c>
      <c r="Z224" s="192">
        <f t="shared" si="82"/>
        <v>2.1392000000000002</v>
      </c>
      <c r="AA224" s="192">
        <f t="shared" si="83"/>
        <v>3.7228999999999997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4"/>
        <v>0908-09</v>
      </c>
      <c r="AE224" s="80" t="str">
        <f t="shared" si="85"/>
        <v>aws s3 cp s3://rtdc.mdm.uploadarchive.raw/RTDC4017/ "%USERPROFILE%\AppData\Local\Temp\OnboardLogs"\RTDC4017\2017-05-09 --exclude "*" --recursive --include "*20170509*" &amp; "%USERPROFILE%\Documents\GitHub\mrs-test-scripts\Headless Mode &amp; Sideloading\WalkAndUnGZ.bat" "%USERPROFILE%\AppData\Local\Temp\OnboardLogs"\RTDC4017\2017-05-09 &amp; aws s3 cp s3://rtdc.mdm.uploadarchive.raw/RTDC4017/ "%USERPROFILE%\AppData\Local\Temp\OnboardLogs"\RTDC4017\2017-05-10 --exclude "*" --recursive --include "*20170510*" &amp; "%USERPROFILE%\Documents\GitHub\mrs-test-scripts\Headless Mode &amp; Sideloading\WalkAndUnGZ.bat" "%USERPROFILE%\AppData\Local\Temp\OnboardLogs"\RTDC4017\2017-05-10</v>
      </c>
      <c r="AF224" s="77" t="str">
        <f t="shared" si="86"/>
        <v>"C:\Program Files (x86)\AstroGrep\AstroGrep.exe" /e /r /s /spath="%USERPROFILE%\AppData\Local\Temp\OnboardLogs" /stypes="app*4017*20170510*" /stext=" 05:.+((SYSTEM_STATE.+slice.+state.+changed )|(ment ac)|(multiple cpu faults)|(system.+state.+changed )|(\[timeout)|(PRM\|1\|D)|(kpr)|(kdp)|(train st.+moving)|(\|lc)|(penalty))"</v>
      </c>
      <c r="AG224" s="1" t="str">
        <f t="shared" si="87"/>
        <v>Other</v>
      </c>
      <c r="AH224" s="81" t="str">
        <f t="shared" si="72"/>
        <v>"%USERPROFILE%\Documents\GitHub\eaglep3\Utilities\RefineRTDCRunTimes.py" --tripid 908-09 --locoid 4017 --swversion DE.1.0.9.0 --startMP 300:58621 --initTime 2017-05-09T22:38:56 --startdatetime 2017-05-09T22:57:37 --delay 1 --endMP 300:21392 --enddatetime 2017-05-09T23:01:28 --enforcementcount 0 &gt;&gt;C:\Users\stu\Documents\GitHub\eaglep3-reporting\EC\2017-05-09-refined-times.txt</v>
      </c>
      <c r="AI224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{"issue":{"subject":"","project_id":79,"tracker_id":40,"status_id":1,"priority_id":2,"assigned_to_id":23,"start_date":"2017-05-09","description":"","custom_fields":[{"id":1,"name":"Subdivision","value":"Other"},{"id":4,"name":"Milepost","value":"2.1392"},{"id":17,"name":"Train ID","value":"908-09"},{"id":16,"name":"Locomotive ID","value":"4017"},{"id":130,"name":"Impact","value":""},{"id":150,"name":"Time of Event (Mountain Time)","value":"23:01:28"},{"id":151,"name":"Denver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74"/>
        <v>start /low /b %USERPROFILE%\Documents\GitHub\eaglep3\Utilities\DownloadLogsFromS3.py --loco 4017 --day 2017-05-09</v>
      </c>
      <c r="AN224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05:01:28"},{"id":29,"name":"Sharepoint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795</v>
      </c>
      <c r="B225" s="7">
        <v>4018</v>
      </c>
      <c r="C225" s="21" t="s">
        <v>207</v>
      </c>
      <c r="D225" s="21" t="s">
        <v>1019</v>
      </c>
      <c r="E225" s="13">
        <v>42864.954861111109</v>
      </c>
      <c r="F225" s="13">
        <v>42864.956678240742</v>
      </c>
      <c r="G225" s="7">
        <v>1</v>
      </c>
      <c r="H225" s="21" t="s">
        <v>369</v>
      </c>
      <c r="I225" s="13">
        <v>42864.959351851852</v>
      </c>
      <c r="J225" s="7">
        <v>0</v>
      </c>
      <c r="K225" s="92" t="str">
        <f t="shared" si="76"/>
        <v>4017/4018</v>
      </c>
      <c r="L225" s="21" t="str">
        <f>VLOOKUP(A225,'Trips&amp;Operators'!$C$1:$G$99999,5,FALSE)</f>
        <v>SWANSON BRYCE</v>
      </c>
      <c r="M225" s="6">
        <f t="shared" si="77"/>
        <v>2.6736111103673466E-3</v>
      </c>
      <c r="N225" s="7">
        <f t="shared" si="88"/>
        <v>3.849999998928979</v>
      </c>
      <c r="O225" s="7"/>
      <c r="P225" s="7"/>
      <c r="Q225" s="22"/>
      <c r="R225" s="190"/>
      <c r="S225" s="196">
        <f t="shared" si="68"/>
        <v>0</v>
      </c>
      <c r="T225" s="190" t="str">
        <f t="shared" si="78"/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79"/>
        <v>https://d0f6bd738d7f1b3e5a7ca70fe4ff75f0.us-east-1.aws.found.io/app/kibana#/discover/Steve-Slow-Train-Analysis-(2080s-and-2083s)?_g=(refreshInterval:(display:Off,pause:!f,section:0,value:0),time:(from:'2017-05-09T21:55:00-0600',mode:absolute,to:'2017-05-10T00:01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5" s="192" t="str">
        <f t="shared" si="80"/>
        <v>Y</v>
      </c>
      <c r="X225" s="192">
        <f t="shared" si="89"/>
        <v>0</v>
      </c>
      <c r="Y225" s="192">
        <f t="shared" si="81"/>
        <v>2.1766999999999999</v>
      </c>
      <c r="Z225" s="192">
        <f t="shared" si="82"/>
        <v>2.3346</v>
      </c>
      <c r="AA225" s="192">
        <f t="shared" si="83"/>
        <v>0.15790000000000015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4"/>
        <v>0908-09</v>
      </c>
      <c r="AE225" s="80" t="str">
        <f t="shared" si="85"/>
        <v>aws s3 cp s3://rtdc.mdm.uploadarchive.raw/RTDC4018/ "%USERPROFILE%\AppData\Local\Temp\OnboardLogs"\RTDC4018\2017-05-09 --exclude "*" --recursive --include "*20170509*" &amp; "%USERPROFILE%\Documents\GitHub\mrs-test-scripts\Headless Mode &amp; Sideloading\WalkAndUnGZ.bat" "%USERPROFILE%\AppData\Local\Temp\OnboardLogs"\RTDC4018\2017-05-09 &amp; aws s3 cp s3://rtdc.mdm.uploadarchive.raw/RTDC4018/ "%USERPROFILE%\AppData\Local\Temp\OnboardLogs"\RTDC4018\2017-05-10 --exclude "*" --recursive --include "*20170510*" &amp; "%USERPROFILE%\Documents\GitHub\mrs-test-scripts\Headless Mode &amp; Sideloading\WalkAndUnGZ.bat" "%USERPROFILE%\AppData\Local\Temp\OnboardLogs"\RTDC4018\2017-05-10</v>
      </c>
      <c r="AF225" s="77" t="str">
        <f t="shared" si="86"/>
        <v>"C:\Program Files (x86)\AstroGrep\AstroGrep.exe" /e /r /s /spath="%USERPROFILE%\AppData\Local\Temp\OnboardLogs" /stypes="app*4018*20170510*" /stext=" 05:.+((SYSTEM_STATE.+slice.+state.+changed )|(ment ac)|(multiple cpu faults)|(system.+state.+changed )|(\[timeout)|(PRM\|1\|D)|(kpr)|(kdp)|(train st.+moving)|(\|lc)|(penalty))"</v>
      </c>
      <c r="AG225" s="1" t="str">
        <f t="shared" si="87"/>
        <v>Other</v>
      </c>
      <c r="AH225" s="81" t="str">
        <f t="shared" si="72"/>
        <v>"%USERPROFILE%\Documents\GitHub\eaglep3\Utilities\RefineRTDCRunTimes.py" --tripid 908-09 --locoid 4018 --swversion DE.1.0.9.0 --startMP 300:21767 --initTime 2017-05-09T22:55:00 --startdatetime 2017-05-09T22:57:37 --delay 1 --endMP 300:23346 --enddatetime 2017-05-09T23:01:28 --enforcementcount 0 &gt;&gt;C:\Users\stu\Documents\GitHub\eaglep3-reporting\EC\2017-05-09-refined-times.txt</v>
      </c>
      <c r="AI225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{"issue":{"subject":"","project_id":79,"tracker_id":40,"status_id":1,"priority_id":2,"assigned_to_id":23,"start_date":"2017-05-09","description":"","custom_fields":[{"id":1,"name":"Subdivision","value":"Other"},{"id":4,"name":"Milepost","value":"2.3346"},{"id":17,"name":"Train ID","value":"908-09"},{"id":16,"name":"Locomotive ID","value":"4018"},{"id":130,"name":"Impact","value":""},{"id":150,"name":"Time of Event (Mountain Time)","value":"23:01:28"},{"id":151,"name":"Denver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74"/>
        <v>start /low /b %USERPROFILE%\Documents\GitHub\eaglep3\Utilities\DownloadLogsFromS3.py --loco 4018 --day 2017-05-09</v>
      </c>
      <c r="AN225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05:01:28"},{"id":29,"name":"Sharepoint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628</v>
      </c>
      <c r="B226" s="7">
        <v>4031</v>
      </c>
      <c r="C226" s="21" t="s">
        <v>207</v>
      </c>
      <c r="D226" s="21" t="s">
        <v>902</v>
      </c>
      <c r="E226" s="13">
        <v>42864.256782407407</v>
      </c>
      <c r="F226" s="13">
        <v>42864.258194444446</v>
      </c>
      <c r="G226" s="7">
        <v>1</v>
      </c>
      <c r="H226" s="21" t="s">
        <v>903</v>
      </c>
      <c r="I226" s="13">
        <v>42864.259293981479</v>
      </c>
      <c r="J226" s="7">
        <v>0</v>
      </c>
      <c r="K226" s="92" t="str">
        <f t="shared" si="76"/>
        <v>4031/4032</v>
      </c>
      <c r="L226" s="21" t="str">
        <f>VLOOKUP(A226,'Trips&amp;Operators'!$C$1:$G$99999,5,FALSE)</f>
        <v>SPECTOR MICHAEL</v>
      </c>
      <c r="M226" s="6">
        <f t="shared" si="77"/>
        <v>1.0995370321325026E-3</v>
      </c>
      <c r="N226" s="7">
        <f t="shared" si="88"/>
        <v>1.5833333262708038</v>
      </c>
      <c r="O226" s="7"/>
      <c r="P226" s="7"/>
      <c r="Q226" s="22"/>
      <c r="R226" s="190"/>
      <c r="S226" s="196">
        <f t="shared" si="68"/>
        <v>0</v>
      </c>
      <c r="T226" s="190" t="e">
        <f t="shared" si="78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79"/>
        <v>https://d0f6bd738d7f1b3e5a7ca70fe4ff75f0.us-east-1.aws.found.io/app/kibana#/discover/Steve-Slow-Train-Analysis-(2080s-and-2083s)?_g=(refreshInterval:(display:Off,pause:!f,section:0,value:0),time:(from:'2017-05-09T05:09:46-0600',mode:absolute,to:'2017-05-09T07:13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6" s="192" t="str">
        <f t="shared" si="80"/>
        <v>Y</v>
      </c>
      <c r="X226" s="192" t="e">
        <f t="shared" si="89"/>
        <v>#VALUE!</v>
      </c>
      <c r="Y226" s="192">
        <f t="shared" si="81"/>
        <v>0.32769999999999999</v>
      </c>
      <c r="Z226" s="192">
        <f t="shared" si="82"/>
        <v>0.11650000000000001</v>
      </c>
      <c r="AA226" s="192">
        <f t="shared" si="83"/>
        <v>0.2112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4"/>
        <v>50-09</v>
      </c>
      <c r="AE226" s="80" t="str">
        <f t="shared" si="85"/>
        <v>aws s3 cp s3://rtdc.mdm.uploadarchive.raw/RTDC4031/ "%USERPROFILE%\AppData\Local\Temp\OnboardLogs"\RTDC4031\2017-05-09 --exclude "*" --recursive --include "*20170509*" &amp; "%USERPROFILE%\Documents\GitHub\mrs-test-scripts\Headless Mode &amp; Sideloading\WalkAndUnGZ.bat" "%USERPROFILE%\AppData\Local\Temp\OnboardLogs"\RTDC4031\2017-05-09 &amp; 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</v>
      </c>
      <c r="AF226" s="77" t="str">
        <f t="shared" si="86"/>
        <v>"C:\Program Files (x86)\AstroGrep\AstroGrep.exe" /e /r /s /spath="%USERPROFILE%\AppData\Local\Temp\OnboardLogs" /stypes="app*4031*20170509*" /stext=" 12:.+((SYSTEM_STATE.+slice.+state.+changed )|(ment ac)|(multiple cpu faults)|(system.+state.+changed )|(\[timeout)|(PRM\|1\|D)|(kpr)|(kdp)|(train st.+moving)|(\|lc)|(penalty))"</v>
      </c>
      <c r="AG226" s="1" t="str">
        <f t="shared" si="87"/>
        <v>Other</v>
      </c>
      <c r="AH226" s="81" t="str">
        <f t="shared" si="72"/>
        <v>"%USERPROFILE%\Documents\GitHub\eaglep3\Utilities\RefineRTDCRunTimes.py" --tripid 50-09 --locoid 4031 --swversion DE.1.0.9.0 --startMP 204:3277 --initTime 2017-05-09T06:09:46 --startdatetime 2017-05-09T06:11:48 --delay 1 --endMP 204:1165 --enddatetime 2017-05-09T06:13:23 --enforcementcount 0 &gt;&gt;C:\Users\stu\Documents\GitHub\eaglep3-reporting\EC\2017-05-09-refined-times.txt</v>
      </c>
      <c r="AI226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{"issue":{"subject":"","project_id":79,"tracker_id":40,"status_id":1,"priority_id":2,"assigned_to_id":23,"start_date":"2017-05-09","description":"","custom_fields":[{"id":1,"name":"Subdivision","value":"Other"},{"id":4,"name":"Milepost","value":"0.1165"},{"id":17,"name":"Train ID","value":"50-09"},{"id":16,"name":"Locomotive ID","value":"4031"},{"id":130,"name":"Impact","value":""},{"id":150,"name":"Time of Event (Mountain Time)","value":"06:13:23"},{"id":151,"name":"Denver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74"/>
        <v>start /low /b %USERPROFILE%\Documents\GitHub\eaglep3\Utilities\DownloadLogsFromS3.py --loco 4031 --day 2017-05-09</v>
      </c>
      <c r="AN226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12:13:23"},{"id":29,"name":"Sharepoint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628</v>
      </c>
      <c r="B227" s="7">
        <v>4032</v>
      </c>
      <c r="C227" s="21" t="s">
        <v>207</v>
      </c>
      <c r="D227" s="21" t="s">
        <v>354</v>
      </c>
      <c r="E227" s="13">
        <v>42864.248900462961</v>
      </c>
      <c r="F227" s="13">
        <v>42864.258194444446</v>
      </c>
      <c r="G227" s="7">
        <v>1</v>
      </c>
      <c r="H227" s="21" t="s">
        <v>904</v>
      </c>
      <c r="I227" s="13">
        <v>42864.259293981479</v>
      </c>
      <c r="J227" s="7">
        <v>0</v>
      </c>
      <c r="K227" s="92" t="str">
        <f t="shared" si="76"/>
        <v>4031/4032</v>
      </c>
      <c r="L227" s="21" t="str">
        <f>VLOOKUP(A227,'Trips&amp;Operators'!$C$1:$G$99999,5,FALSE)</f>
        <v>SPECTOR MICHAEL</v>
      </c>
      <c r="M227" s="6">
        <f t="shared" si="77"/>
        <v>1.0995370321325026E-3</v>
      </c>
      <c r="N227" s="7">
        <f t="shared" si="88"/>
        <v>1.5833333262708038</v>
      </c>
      <c r="O227" s="7"/>
      <c r="P227" s="7"/>
      <c r="Q227" s="22"/>
      <c r="R227" s="190"/>
      <c r="S227" s="196">
        <f t="shared" si="68"/>
        <v>0</v>
      </c>
      <c r="T227" s="190" t="e">
        <f t="shared" si="78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79"/>
        <v>https://d0f6bd738d7f1b3e5a7ca70fe4ff75f0.us-east-1.aws.found.io/app/kibana#/discover/Steve-Slow-Train-Analysis-(2080s-and-2083s)?_g=(refreshInterval:(display:Off,pause:!f,section:0,value:0),time:(from:'2017-05-09T04:58:25-0600',mode:absolute,to:'2017-05-09T07:13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7" s="192" t="str">
        <f t="shared" si="80"/>
        <v>Y</v>
      </c>
      <c r="X227" s="192" t="e">
        <f t="shared" si="89"/>
        <v>#VALUE!</v>
      </c>
      <c r="Y227" s="192">
        <f t="shared" si="81"/>
        <v>4.4600000000000001E-2</v>
      </c>
      <c r="Z227" s="192">
        <f t="shared" si="82"/>
        <v>0.35809999999999997</v>
      </c>
      <c r="AA227" s="192">
        <f t="shared" si="83"/>
        <v>0.3135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4"/>
        <v>50-09</v>
      </c>
      <c r="AE227" s="80" t="str">
        <f t="shared" si="85"/>
        <v>aws s3 cp s3://rtdc.mdm.uploadarchive.raw/RTDC4032/ "%USERPROFILE%\AppData\Local\Temp\OnboardLogs"\RTDC4032\2017-05-09 --exclude "*" --recursive --include "*20170509*" &amp; "%USERPROFILE%\Documents\GitHub\mrs-test-scripts\Headless Mode &amp; Sideloading\WalkAndUnGZ.bat" "%USERPROFILE%\AppData\Local\Temp\OnboardLogs"\RTDC4032\2017-05-09 &amp; 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</v>
      </c>
      <c r="AF227" s="77" t="str">
        <f t="shared" si="86"/>
        <v>"C:\Program Files (x86)\AstroGrep\AstroGrep.exe" /e /r /s /spath="%USERPROFILE%\AppData\Local\Temp\OnboardLogs" /stypes="app*4032*20170509*" /stext=" 12:.+((SYSTEM_STATE.+slice.+state.+changed )|(ment ac)|(multiple cpu faults)|(system.+state.+changed )|(\[timeout)|(PRM\|1\|D)|(kpr)|(kdp)|(train st.+moving)|(\|lc)|(penalty))"</v>
      </c>
      <c r="AG227" s="1" t="str">
        <f t="shared" si="87"/>
        <v>Other</v>
      </c>
      <c r="AH227" s="81" t="str">
        <f t="shared" si="72"/>
        <v>"%USERPROFILE%\Documents\GitHub\eaglep3\Utilities\RefineRTDCRunTimes.py" --tripid 50-09 --locoid 4032 --swversion DE.1.0.9.0 --startMP 204:446 --initTime 2017-05-09T05:58:25 --startdatetime 2017-05-09T06:11:48 --delay 1 --endMP 204:3581 --enddatetime 2017-05-09T06:13:23 --enforcementcount 0 &gt;&gt;C:\Users\stu\Documents\GitHub\eaglep3-reporting\EC\2017-05-09-refined-times.txt</v>
      </c>
      <c r="AI227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{"issue":{"subject":"","project_id":79,"tracker_id":40,"status_id":1,"priority_id":2,"assigned_to_id":23,"start_date":"2017-05-09","description":"","custom_fields":[{"id":1,"name":"Subdivision","value":"Other"},{"id":4,"name":"Milepost","value":"0.3581"},{"id":17,"name":"Train ID","value":"50-09"},{"id":16,"name":"Locomotive ID","value":"4032"},{"id":130,"name":"Impact","value":""},{"id":150,"name":"Time of Event (Mountain Time)","value":"06:13:23"},{"id":151,"name":"Denver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74"/>
        <v>start /low /b %USERPROFILE%\Documents\GitHub\eaglep3\Utilities\DownloadLogsFromS3.py --loco 4032 --day 2017-05-09</v>
      </c>
      <c r="AN227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12:13:23"},{"id":29,"name":"Sharepoint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587</v>
      </c>
      <c r="B228" s="7">
        <v>4021</v>
      </c>
      <c r="C228" s="21" t="s">
        <v>207</v>
      </c>
      <c r="D228" s="21" t="s">
        <v>905</v>
      </c>
      <c r="E228" s="13">
        <v>42864.699201388888</v>
      </c>
      <c r="F228" s="13">
        <v>42864.703009259261</v>
      </c>
      <c r="G228" s="7">
        <v>5</v>
      </c>
      <c r="H228" s="21">
        <v>8.530555555555555</v>
      </c>
      <c r="I228" s="13">
        <v>42864.71334490741</v>
      </c>
      <c r="J228" s="7">
        <v>0</v>
      </c>
      <c r="K228" s="92" t="str">
        <f t="shared" si="76"/>
        <v>4021/4022</v>
      </c>
      <c r="L228" s="21" t="str">
        <f>VLOOKUP(A228,'Trips&amp;Operators'!$C$1:$G$99999,5,FALSE)</f>
        <v>CHANDLER KELVIN</v>
      </c>
      <c r="M228" s="6">
        <f t="shared" si="77"/>
        <v>1.0335648148611654E-2</v>
      </c>
      <c r="N228" s="7">
        <f t="shared" si="88"/>
        <v>14.883333334000781</v>
      </c>
      <c r="O228" s="7"/>
      <c r="P228" s="7"/>
      <c r="Q228" s="22"/>
      <c r="R228" s="190"/>
      <c r="S228" s="196">
        <f t="shared" si="68"/>
        <v>0</v>
      </c>
      <c r="T228" s="190" t="e">
        <f t="shared" si="78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79"/>
        <v>https://d0f6bd738d7f1b3e5a7ca70fe4ff75f0.us-east-1.aws.found.io/app/kibana#/discover/Steve-Slow-Train-Analysis-(2080s-and-2083s)?_g=(refreshInterval:(display:Off,pause:!f,section:0,value:0),time:(from:'2017-05-09T15:46:51-0600',mode:absolute,to:'2017-05-09T18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8" s="192" t="str">
        <f t="shared" si="80"/>
        <v>N</v>
      </c>
      <c r="X228" s="192" t="e">
        <f t="shared" si="89"/>
        <v>#VALUE!</v>
      </c>
      <c r="Y228" s="192">
        <f t="shared" si="81"/>
        <v>2.3449</v>
      </c>
      <c r="Z228" s="192">
        <f t="shared" si="82"/>
        <v>5555555.5555999996</v>
      </c>
      <c r="AA228" s="192">
        <f t="shared" si="83"/>
        <v>5555553.2106999997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4"/>
        <v>51-09</v>
      </c>
      <c r="AE228" s="80" t="str">
        <f t="shared" si="85"/>
        <v>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 &amp; aws s3 cp s3://rtdc.mdm.uploadarchive.raw/RTDC4021/ "%USERPROFILE%\AppData\Local\Temp\OnboardLogs"\RTDC4021\2017-05-10 --exclude "*" --recursive --include "*20170510*" &amp; "%USERPROFILE%\Documents\GitHub\mrs-test-scripts\Headless Mode &amp; Sideloading\WalkAndUnGZ.bat" "%USERPROFILE%\AppData\Local\Temp\OnboardLogs"\RTDC4021\2017-05-10</v>
      </c>
      <c r="AF228" s="77" t="str">
        <f t="shared" si="86"/>
        <v>"C:\Program Files (x86)\AstroGrep\AstroGrep.exe" /e /r /s /spath="%USERPROFILE%\AppData\Local\Temp\OnboardLogs" /stypes="app*4021*20170509*" /stext=" 23:.+((SYSTEM_STATE.+slice.+state.+changed )|(ment ac)|(multiple cpu faults)|(system.+state.+changed )|(\[timeout)|(PRM\|1\|D)|(kpr)|(kdp)|(train st.+moving)|(\|lc)|(penalty))"</v>
      </c>
      <c r="AG228" s="1" t="str">
        <f t="shared" si="87"/>
        <v>Other</v>
      </c>
      <c r="AH228" s="81" t="str">
        <f t="shared" si="72"/>
        <v>"%USERPROFILE%\Documents\GitHub\eaglep3\Utilities\RefineRTDCRunTimes.py" --tripid 51-09 --locoid 4021 --swversion DE.1.0.9.0 --startMP 300:23449 --initTime 2017-05-09T16:46:51 --startdatetime 2017-05-09T16:52:20 --delay 5 --endMP 8.53055555555556 --enddatetime 2017-05-09T17:07:13 --enforcementcount 0 &gt;&gt;C:\Users\stu\Documents\GitHub\eaglep3-reporting\EC\2017-05-09-refined-times.txt</v>
      </c>
      <c r="AI228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5555555.5556"},{"id":17,"name":"Train ID","value":"51-09"},{"id":16,"name":"Locomotive ID","value":"4021"},{"id":130,"name":"Impact","value":""},{"id":150,"name":"Time of Event (Mountain Time)","value":"17:07:13"},{"id":151,"name":"Denver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74"/>
        <v>start /low /b %USERPROFILE%\Documents\GitHub\eaglep3\Utilities\DownloadLogsFromS3.py --loco 4021 --day 2017-05-09</v>
      </c>
      <c r="AN228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668</v>
      </c>
      <c r="B229" s="7">
        <v>4021</v>
      </c>
      <c r="C229" s="21" t="s">
        <v>207</v>
      </c>
      <c r="D229" s="21" t="s">
        <v>906</v>
      </c>
      <c r="E229" s="13">
        <v>42864.437175925923</v>
      </c>
      <c r="F229" s="13">
        <v>42864.441006944442</v>
      </c>
      <c r="G229" s="7">
        <v>5</v>
      </c>
      <c r="H229" s="21">
        <v>8.5395833333333329</v>
      </c>
      <c r="I229" s="13">
        <v>42864.448993055557</v>
      </c>
      <c r="J229" s="7">
        <v>0</v>
      </c>
      <c r="K229" s="92" t="str">
        <f t="shared" si="76"/>
        <v>4021/4022</v>
      </c>
      <c r="L229" s="21" t="str">
        <f>VLOOKUP(A229,'Trips&amp;Operators'!$C$1:$G$99999,5,FALSE)</f>
        <v>DAVIDSON DAVID</v>
      </c>
      <c r="M229" s="6">
        <f t="shared" si="77"/>
        <v>7.9861111153149977E-3</v>
      </c>
      <c r="N229" s="7">
        <f t="shared" si="88"/>
        <v>11.500000006053597</v>
      </c>
      <c r="O229" s="7"/>
      <c r="P229" s="7"/>
      <c r="Q229" s="22"/>
      <c r="R229" s="190"/>
      <c r="S229" s="196">
        <f t="shared" si="68"/>
        <v>0</v>
      </c>
      <c r="T229" s="190" t="e">
        <f t="shared" si="78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79"/>
        <v>https://d0f6bd738d7f1b3e5a7ca70fe4ff75f0.us-east-1.aws.found.io/app/kibana#/discover/Steve-Slow-Train-Analysis-(2080s-and-2083s)?_g=(refreshInterval:(display:Off,pause:!f,section:0,value:0),time:(from:'2017-05-09T09:29:32-0600',mode:absolute,to:'2017-05-09T11:46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9" s="192" t="str">
        <f t="shared" si="80"/>
        <v>N</v>
      </c>
      <c r="X229" s="192" t="e">
        <f t="shared" si="89"/>
        <v>#VALUE!</v>
      </c>
      <c r="Y229" s="192">
        <f t="shared" si="81"/>
        <v>2.3534999999999999</v>
      </c>
      <c r="Z229" s="192">
        <f t="shared" si="82"/>
        <v>95833333.333299994</v>
      </c>
      <c r="AA229" s="192">
        <f t="shared" si="83"/>
        <v>95833330.979800001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4"/>
        <v>52-09</v>
      </c>
      <c r="AE229" s="80" t="str">
        <f t="shared" si="85"/>
        <v>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 &amp; aws s3 cp s3://rtdc.mdm.uploadarchive.raw/RTDC4021/ "%USERPROFILE%\AppData\Local\Temp\OnboardLogs"\RTDC4021\2017-05-10 --exclude "*" --recursive --include "*20170510*" &amp; "%USERPROFILE%\Documents\GitHub\mrs-test-scripts\Headless Mode &amp; Sideloading\WalkAndUnGZ.bat" "%USERPROFILE%\AppData\Local\Temp\OnboardLogs"\RTDC4021\2017-05-10</v>
      </c>
      <c r="AF229" s="77" t="str">
        <f t="shared" si="86"/>
        <v>"C:\Program Files (x86)\AstroGrep\AstroGrep.exe" /e /r /s /spath="%USERPROFILE%\AppData\Local\Temp\OnboardLogs" /stypes="app*4021*20170509*" /stext=" 16:.+((SYSTEM_STATE.+slice.+state.+changed )|(ment ac)|(multiple cpu faults)|(system.+state.+changed )|(\[timeout)|(PRM\|1\|D)|(kpr)|(kdp)|(train st.+moving)|(\|lc)|(penalty))"</v>
      </c>
      <c r="AG229" s="1" t="str">
        <f t="shared" si="87"/>
        <v>Other</v>
      </c>
      <c r="AH229" s="81" t="str">
        <f t="shared" si="72"/>
        <v>"%USERPROFILE%\Documents\GitHub\eaglep3\Utilities\RefineRTDCRunTimes.py" --tripid 52-09 --locoid 4021 --swversion DE.1.0.9.0 --startMP 300:23535 --initTime 2017-05-09T10:29:32 --startdatetime 2017-05-09T10:35:03 --delay 5 --endMP 8.53958333333333 --enddatetime 2017-05-09T10:46:33 --enforcementcount 0 &gt;&gt;C:\Users\stu\Documents\GitHub\eaglep3-reporting\EC\2017-05-09-refined-times.txt</v>
      </c>
      <c r="AI229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95833333.3333"},{"id":17,"name":"Train ID","value":"52-09"},{"id":16,"name":"Locomotive ID","value":"4021"},{"id":130,"name":"Impact","value":""},{"id":150,"name":"Time of Event (Mountain Time)","value":"10:46:33"},{"id":151,"name":"Denver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74"/>
        <v>start /low /b %USERPROFILE%\Documents\GitHub\eaglep3\Utilities\DownloadLogsFromS3.py --loco 4021 --day 2017-05-09</v>
      </c>
      <c r="AN229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16:46:33"},{"id":29,"name":"Sharepoint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678</v>
      </c>
      <c r="B230" s="7">
        <v>4022</v>
      </c>
      <c r="C230" s="21" t="s">
        <v>207</v>
      </c>
      <c r="D230" s="21" t="s">
        <v>907</v>
      </c>
      <c r="E230" s="13">
        <v>42864.469097222223</v>
      </c>
      <c r="F230" s="13">
        <v>42864.470949074072</v>
      </c>
      <c r="G230" s="7">
        <v>1</v>
      </c>
      <c r="H230" s="21" t="s">
        <v>908</v>
      </c>
      <c r="I230" s="13">
        <v>42864.477523148147</v>
      </c>
      <c r="J230" s="7">
        <v>0</v>
      </c>
      <c r="K230" s="92" t="str">
        <f t="shared" si="76"/>
        <v>4021/4022</v>
      </c>
      <c r="L230" s="21" t="str">
        <f>VLOOKUP(A230,'Trips&amp;Operators'!$C$1:$G$99999,5,FALSE)</f>
        <v>MAELZER KURT</v>
      </c>
      <c r="M230" s="6">
        <f t="shared" si="77"/>
        <v>6.5740740756154992E-3</v>
      </c>
      <c r="N230" s="7">
        <f t="shared" si="88"/>
        <v>9.4666666688863188</v>
      </c>
      <c r="O230" s="7"/>
      <c r="P230" s="7"/>
      <c r="Q230" s="22"/>
      <c r="R230" s="190"/>
      <c r="S230" s="196">
        <f t="shared" si="68"/>
        <v>0</v>
      </c>
      <c r="T230" s="190" t="e">
        <f t="shared" si="78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79"/>
        <v>https://d0f6bd738d7f1b3e5a7ca70fe4ff75f0.us-east-1.aws.found.io/app/kibana#/discover/Steve-Slow-Train-Analysis-(2080s-and-2083s)?_g=(refreshInterval:(display:Off,pause:!f,section:0,value:0),time:(from:'2017-05-09T10:15:30-0600',mode:absolute,to:'2017-05-09T12:27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0" s="192" t="str">
        <f t="shared" si="80"/>
        <v>Y</v>
      </c>
      <c r="X230" s="192" t="e">
        <f t="shared" si="89"/>
        <v>#VALUE!</v>
      </c>
      <c r="Y230" s="192">
        <f t="shared" si="81"/>
        <v>3.3700000000000001E-2</v>
      </c>
      <c r="Z230" s="192">
        <f t="shared" si="82"/>
        <v>2.4247999999999998</v>
      </c>
      <c r="AA230" s="192">
        <f t="shared" si="83"/>
        <v>2.3910999999999998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4"/>
        <v>53-09</v>
      </c>
      <c r="AE230" s="80" t="str">
        <f t="shared" si="85"/>
        <v>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 &amp; aws s3 cp s3://rtdc.mdm.uploadarchive.raw/RTDC4022/ "%USERPROFILE%\AppData\Local\Temp\OnboardLogs"\RTDC4022\2017-05-10 --exclude "*" --recursive --include "*20170510*" &amp; "%USERPROFILE%\Documents\GitHub\mrs-test-scripts\Headless Mode &amp; Sideloading\WalkAndUnGZ.bat" "%USERPROFILE%\AppData\Local\Temp\OnboardLogs"\RTDC4022\2017-05-10</v>
      </c>
      <c r="AF230" s="77" t="str">
        <f t="shared" si="86"/>
        <v>"C:\Program Files (x86)\AstroGrep\AstroGrep.exe" /e /r /s /spath="%USERPROFILE%\AppData\Local\Temp\OnboardLogs" /stypes="app*4022*20170509*" /stext=" 17:.+((SYSTEM_STATE.+slice.+state.+changed )|(ment ac)|(multiple cpu faults)|(system.+state.+changed )|(\[timeout)|(PRM\|1\|D)|(kpr)|(kdp)|(train st.+moving)|(\|lc)|(penalty))"</v>
      </c>
      <c r="AG230" s="1" t="str">
        <f t="shared" si="87"/>
        <v>Other</v>
      </c>
      <c r="AH230" s="81" t="str">
        <f t="shared" si="72"/>
        <v>"%USERPROFILE%\Documents\GitHub\eaglep3\Utilities\RefineRTDCRunTimes.py" --tripid 53-09 --locoid 4022 --swversion DE.1.0.9.0 --startMP 204:337 --initTime 2017-05-09T11:15:30 --startdatetime 2017-05-09T11:18:10 --delay 1 --endMP 300:24248 --enddatetime 2017-05-09T11:27:38 --enforcementcount 0 &gt;&gt;C:\Users\stu\Documents\GitHub\eaglep3-reporting\EC\2017-05-09-refined-times.txt</v>
      </c>
      <c r="AI230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{"issue":{"subject":"","project_id":79,"tracker_id":40,"status_id":1,"priority_id":2,"assigned_to_id":23,"start_date":"2017-05-09","description":"","custom_fields":[{"id":1,"name":"Subdivision","value":"Other"},{"id":4,"name":"Milepost","value":"2.4248"},{"id":17,"name":"Train ID","value":"53-09"},{"id":16,"name":"Locomotive ID","value":"4022"},{"id":130,"name":"Impact","value":""},{"id":150,"name":"Time of Event (Mountain Time)","value":"11:27:38"},{"id":151,"name":"Denver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74"/>
        <v>start /low /b %USERPROFILE%\Documents\GitHub\eaglep3\Utilities\DownloadLogsFromS3.py --loco 4022 --day 2017-05-09</v>
      </c>
      <c r="AN230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17:27:38"},{"id":29,"name":"Sharepoint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743</v>
      </c>
      <c r="B231" s="7">
        <v>4023</v>
      </c>
      <c r="C231" s="21" t="s">
        <v>207</v>
      </c>
      <c r="D231" s="21" t="s">
        <v>909</v>
      </c>
      <c r="E231" s="13">
        <v>42864.711168981485</v>
      </c>
      <c r="F231" s="13">
        <v>42864.713217592594</v>
      </c>
      <c r="G231" s="7">
        <v>2</v>
      </c>
      <c r="H231" s="21" t="s">
        <v>910</v>
      </c>
      <c r="I231" s="13">
        <v>42864.718553240738</v>
      </c>
      <c r="J231" s="7">
        <v>0</v>
      </c>
      <c r="K231" s="92" t="str">
        <f t="shared" si="76"/>
        <v>4023/4024</v>
      </c>
      <c r="L231" s="21" t="str">
        <f>VLOOKUP(A231,'Trips&amp;Operators'!$C$1:$G$99999,5,FALSE)</f>
        <v>NEWELL JAMES</v>
      </c>
      <c r="M231" s="6">
        <f t="shared" si="77"/>
        <v>5.3356481439550407E-3</v>
      </c>
      <c r="N231" s="7">
        <f t="shared" si="88"/>
        <v>7.6833333272952586</v>
      </c>
      <c r="O231" s="7"/>
      <c r="P231" s="7"/>
      <c r="Q231" s="22"/>
      <c r="R231" s="190"/>
      <c r="S231" s="196">
        <f t="shared" si="68"/>
        <v>0</v>
      </c>
      <c r="T231" s="190" t="e">
        <f t="shared" si="78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79"/>
        <v>https://d0f6bd738d7f1b3e5a7ca70fe4ff75f0.us-east-1.aws.found.io/app/kibana#/discover/Steve-Slow-Train-Analysis-(2080s-and-2083s)?_g=(refreshInterval:(display:Off,pause:!f,section:0,value:0),time:(from:'2017-05-09T16:04:05-0600',mode:absolute,to:'2017-05-09T18:14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1" s="192" t="str">
        <f t="shared" si="80"/>
        <v>Y</v>
      </c>
      <c r="X231" s="192" t="e">
        <f t="shared" si="89"/>
        <v>#VALUE!</v>
      </c>
      <c r="Y231" s="192">
        <f t="shared" si="81"/>
        <v>2.3188</v>
      </c>
      <c r="Z231" s="192">
        <f t="shared" si="82"/>
        <v>8.9099999999999999E-2</v>
      </c>
      <c r="AA231" s="192">
        <f t="shared" si="83"/>
        <v>2.2296999999999998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4"/>
        <v>54-09</v>
      </c>
      <c r="AE231" s="80" t="str">
        <f t="shared" si="85"/>
        <v>aws s3 cp s3://rtdc.mdm.uploadarchive.raw/RTDC4023/ "%USERPROFILE%\AppData\Local\Temp\OnboardLogs"\RTDC4023\2017-05-09 --exclude "*" --recursive --include "*20170509*" &amp; "%USERPROFILE%\Documents\GitHub\mrs-test-scripts\Headless Mode &amp; Sideloading\WalkAndUnGZ.bat" "%USERPROFILE%\AppData\Local\Temp\OnboardLogs"\RTDC4023\2017-05-09 &amp; aws s3 cp s3://rtdc.mdm.uploadarchive.raw/RTDC4023/ "%USERPROFILE%\AppData\Local\Temp\OnboardLogs"\RTDC4023\2017-05-10 --exclude "*" --recursive --include "*20170510*" &amp; "%USERPROFILE%\Documents\GitHub\mrs-test-scripts\Headless Mode &amp; Sideloading\WalkAndUnGZ.bat" "%USERPROFILE%\AppData\Local\Temp\OnboardLogs"\RTDC4023\2017-05-10</v>
      </c>
      <c r="AF231" s="77" t="str">
        <f t="shared" si="86"/>
        <v>"C:\Program Files (x86)\AstroGrep\AstroGrep.exe" /e /r /s /spath="%USERPROFILE%\AppData\Local\Temp\OnboardLogs" /stypes="app*4023*20170509*" /stext=" 23:.+((SYSTEM_STATE.+slice.+state.+changed )|(ment ac)|(multiple cpu faults)|(system.+state.+changed )|(\[timeout)|(PRM\|1\|D)|(kpr)|(kdp)|(train st.+moving)|(\|lc)|(penalty))"</v>
      </c>
      <c r="AG231" s="1" t="str">
        <f t="shared" si="87"/>
        <v>Other</v>
      </c>
      <c r="AH231" s="81" t="str">
        <f t="shared" si="72"/>
        <v>"%USERPROFILE%\Documents\GitHub\eaglep3\Utilities\RefineRTDCRunTimes.py" --tripid 54-09 --locoid 4023 --swversion DE.1.0.9.0 --startMP 300:23188 --initTime 2017-05-09T17:04:05 --startdatetime 2017-05-09T17:07:02 --delay 2 --endMP 204:891 --enddatetime 2017-05-09T17:14:43 --enforcementcount 0 &gt;&gt;C:\Users\stu\Documents\GitHub\eaglep3-reporting\EC\2017-05-09-refined-times.txt</v>
      </c>
      <c r="AI231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{"issue":{"subject":"","project_id":79,"tracker_id":40,"status_id":1,"priority_id":2,"assigned_to_id":23,"start_date":"2017-05-09","description":"","custom_fields":[{"id":1,"name":"Subdivision","value":"Other"},{"id":4,"name":"Milepost","value":"0.0891"},{"id":17,"name":"Train ID","value":"54-09"},{"id":16,"name":"Locomotive ID","value":"4023"},{"id":130,"name":"Impact","value":""},{"id":150,"name":"Time of Event (Mountain Time)","value":"17:14:43"},{"id":151,"name":"Denver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74"/>
        <v>start /low /b %USERPROFILE%\Documents\GitHub\eaglep3\Utilities\DownloadLogsFromS3.py --loco 4023 --day 2017-05-09</v>
      </c>
      <c r="AN231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23:14:43"},{"id":29,"name":"Sharepoint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589</v>
      </c>
      <c r="B232" s="7">
        <v>4022</v>
      </c>
      <c r="C232" s="21" t="s">
        <v>207</v>
      </c>
      <c r="D232" s="21" t="s">
        <v>911</v>
      </c>
      <c r="E232" s="13">
        <v>42864.729224537034</v>
      </c>
      <c r="F232" s="13">
        <v>42864.731770833336</v>
      </c>
      <c r="G232" s="7">
        <v>2</v>
      </c>
      <c r="H232" s="21" t="s">
        <v>526</v>
      </c>
      <c r="I232" s="13">
        <v>42864.739224537036</v>
      </c>
      <c r="J232" s="7">
        <v>0</v>
      </c>
      <c r="K232" s="92" t="str">
        <f t="shared" si="76"/>
        <v>4021/4022</v>
      </c>
      <c r="L232" s="21" t="str">
        <f>VLOOKUP(A232,'Trips&amp;Operators'!$C$1:$G$99999,5,FALSE)</f>
        <v>ROMERO CHAD</v>
      </c>
      <c r="M232" s="6">
        <f t="shared" si="77"/>
        <v>7.4537036998663098E-3</v>
      </c>
      <c r="N232" s="7">
        <f t="shared" si="88"/>
        <v>10.733333327807486</v>
      </c>
      <c r="O232" s="7"/>
      <c r="P232" s="7"/>
      <c r="Q232" s="22"/>
      <c r="R232" s="190"/>
      <c r="S232" s="196">
        <f t="shared" si="68"/>
        <v>0</v>
      </c>
      <c r="T232" s="190" t="e">
        <f t="shared" si="78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79"/>
        <v>https://d0f6bd738d7f1b3e5a7ca70fe4ff75f0.us-east-1.aws.found.io/app/kibana#/discover/Steve-Slow-Train-Analysis-(2080s-and-2083s)?_g=(refreshInterval:(display:Off,pause:!f,section:0,value:0),time:(from:'2017-05-09T16:30:05-0600',mode:absolute,to:'2017-05-09T18:44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2" s="192" t="str">
        <f t="shared" si="80"/>
        <v>Y</v>
      </c>
      <c r="X232" s="192" t="e">
        <f t="shared" si="89"/>
        <v>#VALUE!</v>
      </c>
      <c r="Y232" s="192">
        <f t="shared" si="81"/>
        <v>3.4299999999999997E-2</v>
      </c>
      <c r="Z232" s="192">
        <f t="shared" si="82"/>
        <v>2.331</v>
      </c>
      <c r="AA232" s="192">
        <f t="shared" si="83"/>
        <v>2.2967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4"/>
        <v>55-09</v>
      </c>
      <c r="AE232" s="80" t="str">
        <f t="shared" si="85"/>
        <v>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 &amp; aws s3 cp s3://rtdc.mdm.uploadarchive.raw/RTDC4022/ "%USERPROFILE%\AppData\Local\Temp\OnboardLogs"\RTDC4022\2017-05-10 --exclude "*" --recursive --include "*20170510*" &amp; "%USERPROFILE%\Documents\GitHub\mrs-test-scripts\Headless Mode &amp; Sideloading\WalkAndUnGZ.bat" "%USERPROFILE%\AppData\Local\Temp\OnboardLogs"\RTDC4022\2017-05-10</v>
      </c>
      <c r="AF232" s="77" t="str">
        <f t="shared" si="86"/>
        <v>"C:\Program Files (x86)\AstroGrep\AstroGrep.exe" /e /r /s /spath="%USERPROFILE%\AppData\Local\Temp\OnboardLogs" /stypes="app*4022*20170509*" /stext=" 23:.+((SYSTEM_STATE.+slice.+state.+changed )|(ment ac)|(multiple cpu faults)|(system.+state.+changed )|(\[timeout)|(PRM\|1\|D)|(kpr)|(kdp)|(train st.+moving)|(\|lc)|(penalty))"</v>
      </c>
      <c r="AG232" s="1" t="str">
        <f t="shared" si="87"/>
        <v>Other</v>
      </c>
      <c r="AH232" s="81" t="str">
        <f t="shared" si="72"/>
        <v>"%USERPROFILE%\Documents\GitHub\eaglep3\Utilities\RefineRTDCRunTimes.py" --tripid 55-09 --locoid 4022 --swversion DE.1.0.9.0 --startMP 204:343 --initTime 2017-05-09T17:30:05 --startdatetime 2017-05-09T17:33:45 --delay 2 --endMP 300:23310 --enddatetime 2017-05-09T17:44:29 --enforcementcount 0 &gt;&gt;C:\Users\stu\Documents\GitHub\eaglep3-reporting\EC\2017-05-09-refined-times.txt</v>
      </c>
      <c r="AI232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{"issue":{"subject":"","project_id":79,"tracker_id":40,"status_id":1,"priority_id":2,"assigned_to_id":23,"start_date":"2017-05-09","description":"","custom_fields":[{"id":1,"name":"Subdivision","value":"Other"},{"id":4,"name":"Milepost","value":"2.331"},{"id":17,"name":"Train ID","value":"55-09"},{"id":16,"name":"Locomotive ID","value":"4022"},{"id":130,"name":"Impact","value":""},{"id":150,"name":"Time of Event (Mountain Time)","value":"17:44:29"},{"id":151,"name":"Denver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74"/>
        <v>start /low /b %USERPROFILE%\Documents\GitHub\eaglep3\Utilities\DownloadLogsFromS3.py --loco 4022 --day 2017-05-09</v>
      </c>
      <c r="AN232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23:44:29"},{"id":29,"name":"Sharepoint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682</v>
      </c>
      <c r="B233" s="7">
        <v>4021</v>
      </c>
      <c r="C233" s="21" t="s">
        <v>207</v>
      </c>
      <c r="D233" s="21" t="s">
        <v>912</v>
      </c>
      <c r="E233" s="13">
        <v>42864.481365740743</v>
      </c>
      <c r="F233" s="13">
        <v>42864.483680555553</v>
      </c>
      <c r="G233" s="7">
        <v>3</v>
      </c>
      <c r="H233" s="21" t="s">
        <v>913</v>
      </c>
      <c r="I233" s="13">
        <v>42864.49</v>
      </c>
      <c r="J233" s="7">
        <v>0</v>
      </c>
      <c r="K233" s="92" t="str">
        <f t="shared" si="76"/>
        <v>4021/4022</v>
      </c>
      <c r="L233" s="21" t="str">
        <f>VLOOKUP(A233,'Trips&amp;Operators'!$C$1:$G$99999,5,FALSE)</f>
        <v>LALONDE GREGORY</v>
      </c>
      <c r="M233" s="6">
        <f t="shared" si="77"/>
        <v>6.3194444446708076E-3</v>
      </c>
      <c r="N233" s="7">
        <f t="shared" si="88"/>
        <v>9.1000000003259629</v>
      </c>
      <c r="O233" s="7"/>
      <c r="P233" s="7"/>
      <c r="Q233" s="22"/>
      <c r="R233" s="190"/>
      <c r="S233" s="196">
        <f t="shared" si="68"/>
        <v>0</v>
      </c>
      <c r="T233" s="190" t="e">
        <f t="shared" si="78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79"/>
        <v>https://d0f6bd738d7f1b3e5a7ca70fe4ff75f0.us-east-1.aws.found.io/app/kibana#/discover/Steve-Slow-Train-Analysis-(2080s-and-2083s)?_g=(refreshInterval:(display:Off,pause:!f,section:0,value:0),time:(from:'2017-05-09T10:33:10-0600',mode:absolute,to:'2017-05-09T12:45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192" t="str">
        <f t="shared" si="80"/>
        <v>Y</v>
      </c>
      <c r="X233" s="192" t="e">
        <f t="shared" si="89"/>
        <v>#VALUE!</v>
      </c>
      <c r="Y233" s="192">
        <f t="shared" si="81"/>
        <v>2.3464</v>
      </c>
      <c r="Z233" s="192">
        <f t="shared" si="82"/>
        <v>1.55E-2</v>
      </c>
      <c r="AA233" s="192">
        <f t="shared" si="83"/>
        <v>2.3309000000000002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4"/>
        <v>56-09</v>
      </c>
      <c r="AE233" s="80" t="str">
        <f t="shared" si="85"/>
        <v>aws s3 cp s3://rtdc.mdm.uploadarchive.raw/RTDC4021/ "%USERPROFILE%\AppData\Local\Temp\OnboardLogs"\RTDC4021\2017-05-09 --exclude "*" --recursive --include "*20170509*" &amp; "%USERPROFILE%\Documents\GitHub\mrs-test-scripts\Headless Mode &amp; Sideloading\WalkAndUnGZ.bat" "%USERPROFILE%\AppData\Local\Temp\OnboardLogs"\RTDC4021\2017-05-09 &amp; aws s3 cp s3://rtdc.mdm.uploadarchive.raw/RTDC4021/ "%USERPROFILE%\AppData\Local\Temp\OnboardLogs"\RTDC4021\2017-05-10 --exclude "*" --recursive --include "*20170510*" &amp; "%USERPROFILE%\Documents\GitHub\mrs-test-scripts\Headless Mode &amp; Sideloading\WalkAndUnGZ.bat" "%USERPROFILE%\AppData\Local\Temp\OnboardLogs"\RTDC4021\2017-05-10</v>
      </c>
      <c r="AF233" s="77" t="str">
        <f t="shared" si="86"/>
        <v>"C:\Program Files (x86)\AstroGrep\AstroGrep.exe" /e /r /s /spath="%USERPROFILE%\AppData\Local\Temp\OnboardLogs" /stypes="app*4021*20170509*" /stext=" 17:.+((SYSTEM_STATE.+slice.+state.+changed )|(ment ac)|(multiple cpu faults)|(system.+state.+changed )|(\[timeout)|(PRM\|1\|D)|(kpr)|(kdp)|(train st.+moving)|(\|lc)|(penalty))"</v>
      </c>
      <c r="AG233" s="1" t="str">
        <f t="shared" si="87"/>
        <v>Other</v>
      </c>
      <c r="AH233" s="81" t="str">
        <f t="shared" si="72"/>
        <v>"%USERPROFILE%\Documents\GitHub\eaglep3\Utilities\RefineRTDCRunTimes.py" --tripid 56-09 --locoid 4021 --swversion DE.1.0.9.0 --startMP 300:23464 --initTime 2017-05-09T11:33:10 --startdatetime 2017-05-09T11:36:30 --delay 3 --endMP 204:155 --enddatetime 2017-05-09T11:45:36 --enforcementcount 0 &gt;&gt;C:\Users\stu\Documents\GitHub\eaglep3-reporting\EC\2017-05-09-refined-times.txt</v>
      </c>
      <c r="AI233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{"issue":{"subject":"","project_id":79,"tracker_id":40,"status_id":1,"priority_id":2,"assigned_to_id":23,"start_date":"2017-05-09","description":"","custom_fields":[{"id":1,"name":"Subdivision","value":"Other"},{"id":4,"name":"Milepost","value":"0.0155"},{"id":17,"name":"Train ID","value":"56-09"},{"id":16,"name":"Locomotive ID","value":"4021"},{"id":130,"name":"Impact","value":""},{"id":150,"name":"Time of Event (Mountain Time)","value":"11:45:36"},{"id":151,"name":"Denver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74"/>
        <v>start /low /b %USERPROFILE%\Documents\GitHub\eaglep3\Utilities\DownloadLogsFromS3.py --loco 4021 --day 2017-05-09</v>
      </c>
      <c r="AN233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17:45:36"},{"id":29,"name":"Sharepoint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689</v>
      </c>
      <c r="B234" s="7">
        <v>4022</v>
      </c>
      <c r="C234" s="21" t="s">
        <v>207</v>
      </c>
      <c r="D234" s="21" t="s">
        <v>843</v>
      </c>
      <c r="E234" s="13">
        <v>42864.505115740743</v>
      </c>
      <c r="F234" s="13">
        <v>42864.508888888886</v>
      </c>
      <c r="G234" s="7">
        <v>2</v>
      </c>
      <c r="H234" s="21" t="s">
        <v>914</v>
      </c>
      <c r="I234" s="13">
        <v>42864.515451388892</v>
      </c>
      <c r="J234" s="7">
        <v>0</v>
      </c>
      <c r="K234" s="92" t="str">
        <f t="shared" si="76"/>
        <v>4021/4022</v>
      </c>
      <c r="L234" s="21" t="str">
        <f>VLOOKUP(A234,'Trips&amp;Operators'!$C$1:$G$99999,5,FALSE)</f>
        <v>LOZA FIDEL</v>
      </c>
      <c r="M234" s="6">
        <f t="shared" si="77"/>
        <v>6.5625000061118044E-3</v>
      </c>
      <c r="N234" s="7">
        <f t="shared" si="88"/>
        <v>9.4500000088009983</v>
      </c>
      <c r="O234" s="7"/>
      <c r="P234" s="7"/>
      <c r="Q234" s="22"/>
      <c r="R234" s="190"/>
      <c r="S234" s="196">
        <f t="shared" si="68"/>
        <v>0</v>
      </c>
      <c r="T234" s="190" t="e">
        <f t="shared" si="78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79"/>
        <v>https://d0f6bd738d7f1b3e5a7ca70fe4ff75f0.us-east-1.aws.found.io/app/kibana#/discover/Steve-Slow-Train-Analysis-(2080s-and-2083s)?_g=(refreshInterval:(display:Off,pause:!f,section:0,value:0),time:(from:'2017-05-09T11:07:22-0600',mode:absolute,to:'2017-05-09T13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4" s="192" t="str">
        <f t="shared" si="80"/>
        <v>Y</v>
      </c>
      <c r="X234" s="192" t="e">
        <f t="shared" si="89"/>
        <v>#VALUE!</v>
      </c>
      <c r="Y234" s="192">
        <f t="shared" si="81"/>
        <v>4.3499999999999997E-2</v>
      </c>
      <c r="Z234" s="192">
        <f t="shared" si="82"/>
        <v>2.4260000000000002</v>
      </c>
      <c r="AA234" s="192">
        <f t="shared" si="83"/>
        <v>2.3825000000000003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4"/>
        <v>57-09</v>
      </c>
      <c r="AE234" s="80" t="str">
        <f t="shared" si="85"/>
        <v>aws s3 cp s3://rtdc.mdm.uploadarchive.raw/RTDC4022/ "%USERPROFILE%\AppData\Local\Temp\OnboardLogs"\RTDC4022\2017-05-09 --exclude "*" --recursive --include "*20170509*" &amp; "%USERPROFILE%\Documents\GitHub\mrs-test-scripts\Headless Mode &amp; Sideloading\WalkAndUnGZ.bat" "%USERPROFILE%\AppData\Local\Temp\OnboardLogs"\RTDC4022\2017-05-09 &amp; aws s3 cp s3://rtdc.mdm.uploadarchive.raw/RTDC4022/ "%USERPROFILE%\AppData\Local\Temp\OnboardLogs"\RTDC4022\2017-05-10 --exclude "*" --recursive --include "*20170510*" &amp; "%USERPROFILE%\Documents\GitHub\mrs-test-scripts\Headless Mode &amp; Sideloading\WalkAndUnGZ.bat" "%USERPROFILE%\AppData\Local\Temp\OnboardLogs"\RTDC4022\2017-05-10</v>
      </c>
      <c r="AF234" s="77" t="str">
        <f t="shared" si="86"/>
        <v>"C:\Program Files (x86)\AstroGrep\AstroGrep.exe" /e /r /s /spath="%USERPROFILE%\AppData\Local\Temp\OnboardLogs" /stypes="app*4022*20170509*" /stext=" 18:.+((SYSTEM_STATE.+slice.+state.+changed )|(ment ac)|(multiple cpu faults)|(system.+state.+changed )|(\[timeout)|(PRM\|1\|D)|(kpr)|(kdp)|(train st.+moving)|(\|lc)|(penalty))"</v>
      </c>
      <c r="AG234" s="1" t="str">
        <f t="shared" si="87"/>
        <v>Other</v>
      </c>
      <c r="AH234" s="81" t="str">
        <f t="shared" si="72"/>
        <v>"%USERPROFILE%\Documents\GitHub\eaglep3\Utilities\RefineRTDCRunTimes.py" --tripid 57-09 --locoid 4022 --swversion DE.1.0.9.0 --startMP 204:435 --initTime 2017-05-09T12:07:22 --startdatetime 2017-05-09T12:12:48 --delay 2 --endMP 300:24260 --enddatetime 2017-05-09T12:22:15 --enforcementcount 0 &gt;&gt;C:\Users\stu\Documents\GitHub\eaglep3-reporting\EC\2017-05-09-refined-times.txt</v>
      </c>
      <c r="AI234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{"issue":{"subject":"","project_id":79,"tracker_id":40,"status_id":1,"priority_id":2,"assigned_to_id":23,"start_date":"2017-05-09","description":"","custom_fields":[{"id":1,"name":"Subdivision","value":"Other"},{"id":4,"name":"Milepost","value":"2.426"},{"id":17,"name":"Train ID","value":"57-09"},{"id":16,"name":"Locomotive ID","value":"4022"},{"id":130,"name":"Impact","value":""},{"id":150,"name":"Time of Event (Mountain Time)","value":"12:22:15"},{"id":151,"name":"Denver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74"/>
        <v>start /low /b %USERPROFILE%\Documents\GitHub\eaglep3\Utilities\DownloadLogsFromS3.py --loco 4022 --day 2017-05-09</v>
      </c>
      <c r="AN234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18:22:15"},{"id":29,"name":"Sharepoint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760</v>
      </c>
      <c r="B235" s="7">
        <v>4024</v>
      </c>
      <c r="C235" s="21" t="s">
        <v>207</v>
      </c>
      <c r="D235" s="21" t="s">
        <v>528</v>
      </c>
      <c r="E235" s="13">
        <v>42864.751018518517</v>
      </c>
      <c r="F235" s="13">
        <v>42864.756597222222</v>
      </c>
      <c r="G235" s="7">
        <v>1</v>
      </c>
      <c r="H235" s="21" t="s">
        <v>369</v>
      </c>
      <c r="I235" s="13">
        <v>42864.762766203705</v>
      </c>
      <c r="J235" s="7">
        <v>0</v>
      </c>
      <c r="K235" s="92" t="str">
        <f t="shared" si="76"/>
        <v>4023/4024</v>
      </c>
      <c r="L235" s="21" t="str">
        <f>VLOOKUP(A235,'Trips&amp;Operators'!$C$1:$G$99999,5,FALSE)</f>
        <v>DAVIS MICHAEL</v>
      </c>
      <c r="M235" s="6">
        <f t="shared" si="77"/>
        <v>6.1689814829151146E-3</v>
      </c>
      <c r="N235" s="7">
        <f t="shared" si="88"/>
        <v>8.883333335397765</v>
      </c>
      <c r="O235" s="7"/>
      <c r="P235" s="7"/>
      <c r="Q235" s="22"/>
      <c r="R235" s="190"/>
      <c r="S235" s="196">
        <f t="shared" si="68"/>
        <v>0</v>
      </c>
      <c r="T235" s="190" t="e">
        <f t="shared" si="78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79"/>
        <v>https://d0f6bd738d7f1b3e5a7ca70fe4ff75f0.us-east-1.aws.found.io/app/kibana#/discover/Steve-Slow-Train-Analysis-(2080s-and-2083s)?_g=(refreshInterval:(display:Off,pause:!f,section:0,value:0),time:(from:'2017-05-09T17:01:28-0600',mode:absolute,to:'2017-05-09T19:18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5" s="192" t="str">
        <f t="shared" si="80"/>
        <v>Y</v>
      </c>
      <c r="X235" s="192" t="e">
        <f t="shared" si="89"/>
        <v>#VALUE!</v>
      </c>
      <c r="Y235" s="192">
        <f t="shared" si="81"/>
        <v>0.1205</v>
      </c>
      <c r="Z235" s="192">
        <f t="shared" si="82"/>
        <v>2.3346</v>
      </c>
      <c r="AA235" s="192">
        <f t="shared" si="83"/>
        <v>2.2141000000000002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4"/>
        <v>59-09</v>
      </c>
      <c r="AE235" s="80" t="str">
        <f t="shared" si="85"/>
        <v>aws s3 cp s3://rtdc.mdm.uploadarchive.raw/RTDC4024/ "%USERPROFILE%\AppData\Local\Temp\OnboardLogs"\RTDC4024\2017-05-09 --exclude "*" --recursive --include "*20170509*" &amp; "%USERPROFILE%\Documents\GitHub\mrs-test-scripts\Headless Mode &amp; Sideloading\WalkAndUnGZ.bat" "%USERPROFILE%\AppData\Local\Temp\OnboardLogs"\RTDC4024\2017-05-09 &amp; aws s3 cp s3://rtdc.mdm.uploadarchive.raw/RTDC4024/ "%USERPROFILE%\AppData\Local\Temp\OnboardLogs"\RTDC4024\2017-05-10 --exclude "*" --recursive --include "*20170510*" &amp; "%USERPROFILE%\Documents\GitHub\mrs-test-scripts\Headless Mode &amp; Sideloading\WalkAndUnGZ.bat" "%USERPROFILE%\AppData\Local\Temp\OnboardLogs"\RTDC4024\2017-05-10</v>
      </c>
      <c r="AF235" s="77" t="str">
        <f t="shared" si="86"/>
        <v>"C:\Program Files (x86)\AstroGrep\AstroGrep.exe" /e /r /s /spath="%USERPROFILE%\AppData\Local\Temp\OnboardLogs" /stypes="app*4024*20170510*" /stext=" 00:.+((SYSTEM_STATE.+slice.+state.+changed )|(ment ac)|(multiple cpu faults)|(system.+state.+changed )|(\[timeout)|(PRM\|1\|D)|(kpr)|(kdp)|(train st.+moving)|(\|lc)|(penalty))"</v>
      </c>
      <c r="AG235" s="1" t="str">
        <f t="shared" si="87"/>
        <v>Other</v>
      </c>
      <c r="AH235" s="81" t="str">
        <f t="shared" si="72"/>
        <v>"%USERPROFILE%\Documents\GitHub\eaglep3\Utilities\RefineRTDCRunTimes.py" --tripid 59-09 --locoid 4024 --swversion DE.1.0.9.0 --startMP 204:1205 --initTime 2017-05-09T18:01:28 --startdatetime 2017-05-09T18:09:30 --delay 1 --endMP 300:23346 --enddatetime 2017-05-09T18:18:23 --enforcementcount 0 &gt;&gt;C:\Users\stu\Documents\GitHub\eaglep3-reporting\EC\2017-05-09-refined-times.txt</v>
      </c>
      <c r="AI235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{"issue":{"subject":"","project_id":79,"tracker_id":40,"status_id":1,"priority_id":2,"assigned_to_id":23,"start_date":"2017-05-09","description":"","custom_fields":[{"id":1,"name":"Subdivision","value":"Other"},{"id":4,"name":"Milepost","value":"2.3346"},{"id":17,"name":"Train ID","value":"59-09"},{"id":16,"name":"Locomotive ID","value":"4024"},{"id":130,"name":"Impact","value":""},{"id":150,"name":"Time of Event (Mountain Time)","value":"18:18:23"},{"id":151,"name":"Denver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74"/>
        <v>start /low /b %USERPROFILE%\Documents\GitHub\eaglep3\Utilities\DownloadLogsFromS3.py --loco 4024 --day 2017-05-09</v>
      </c>
      <c r="AN235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00:18:23"},{"id":29,"name":"Sharepoint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760</v>
      </c>
      <c r="B236" s="7">
        <v>4024</v>
      </c>
      <c r="C236" s="21" t="s">
        <v>207</v>
      </c>
      <c r="D236" s="21" t="s">
        <v>915</v>
      </c>
      <c r="E236" s="13">
        <v>42864.751018518517</v>
      </c>
      <c r="F236" s="13">
        <v>42864.756597222222</v>
      </c>
      <c r="G236" s="7">
        <v>18</v>
      </c>
      <c r="H236" s="21" t="s">
        <v>369</v>
      </c>
      <c r="I236" s="13">
        <v>42864.762766203705</v>
      </c>
      <c r="J236" s="7">
        <v>0</v>
      </c>
      <c r="K236" s="92" t="str">
        <f t="shared" si="76"/>
        <v>4023/4024</v>
      </c>
      <c r="L236" s="21" t="str">
        <f>VLOOKUP(A236,'Trips&amp;Operators'!$C$1:$G$99999,5,FALSE)</f>
        <v>DAVIS MICHAEL</v>
      </c>
      <c r="M236" s="6">
        <f t="shared" si="77"/>
        <v>6.1689814829151146E-3</v>
      </c>
      <c r="N236" s="7">
        <f t="shared" si="88"/>
        <v>8.883333335397765</v>
      </c>
      <c r="O236" s="7"/>
      <c r="P236" s="7"/>
      <c r="Q236" s="22"/>
      <c r="R236" s="190"/>
      <c r="S236" s="196">
        <f t="shared" si="68"/>
        <v>0</v>
      </c>
      <c r="T236" s="190" t="e">
        <f t="shared" si="78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79"/>
        <v>https://d0f6bd738d7f1b3e5a7ca70fe4ff75f0.us-east-1.aws.found.io/app/kibana#/discover/Steve-Slow-Train-Analysis-(2080s-and-2083s)?_g=(refreshInterval:(display:Off,pause:!f,section:0,value:0),time:(from:'2017-05-09T17:01:28-0600',mode:absolute,to:'2017-05-09T19:18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6" s="192" t="str">
        <f t="shared" si="80"/>
        <v>Y</v>
      </c>
      <c r="X236" s="192" t="e">
        <f t="shared" si="89"/>
        <v>#VALUE!</v>
      </c>
      <c r="Y236" s="192">
        <f t="shared" si="81"/>
        <v>2.3268</v>
      </c>
      <c r="Z236" s="192">
        <f t="shared" si="82"/>
        <v>2.3346</v>
      </c>
      <c r="AA236" s="192">
        <f t="shared" si="83"/>
        <v>7.8000000000000291E-3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4"/>
        <v>59-09</v>
      </c>
      <c r="AE236" s="80" t="str">
        <f t="shared" si="85"/>
        <v>aws s3 cp s3://rtdc.mdm.uploadarchive.raw/RTDC4024/ "%USERPROFILE%\AppData\Local\Temp\OnboardLogs"\RTDC4024\2017-05-09 --exclude "*" --recursive --include "*20170509*" &amp; "%USERPROFILE%\Documents\GitHub\mrs-test-scripts\Headless Mode &amp; Sideloading\WalkAndUnGZ.bat" "%USERPROFILE%\AppData\Local\Temp\OnboardLogs"\RTDC4024\2017-05-09 &amp; aws s3 cp s3://rtdc.mdm.uploadarchive.raw/RTDC4024/ "%USERPROFILE%\AppData\Local\Temp\OnboardLogs"\RTDC4024\2017-05-10 --exclude "*" --recursive --include "*20170510*" &amp; "%USERPROFILE%\Documents\GitHub\mrs-test-scripts\Headless Mode &amp; Sideloading\WalkAndUnGZ.bat" "%USERPROFILE%\AppData\Local\Temp\OnboardLogs"\RTDC4024\2017-05-10</v>
      </c>
      <c r="AF236" s="77" t="str">
        <f t="shared" si="86"/>
        <v>"C:\Program Files (x86)\AstroGrep\AstroGrep.exe" /e /r /s /spath="%USERPROFILE%\AppData\Local\Temp\OnboardLogs" /stypes="app*4024*20170510*" /stext=" 00:.+((SYSTEM_STATE.+slice.+state.+changed )|(ment ac)|(multiple cpu faults)|(system.+state.+changed )|(\[timeout)|(PRM\|1\|D)|(kpr)|(kdp)|(train st.+moving)|(\|lc)|(penalty))"</v>
      </c>
      <c r="AG236" s="1" t="str">
        <f t="shared" si="87"/>
        <v>Other</v>
      </c>
      <c r="AH236" s="81" t="str">
        <f t="shared" si="72"/>
        <v>"%USERPROFILE%\Documents\GitHub\eaglep3\Utilities\RefineRTDCRunTimes.py" --tripid 59-09 --locoid 4024 --swversion DE.1.0.9.0 --startMP 300:23268 --initTime 2017-05-09T18:01:28 --startdatetime 2017-05-09T18:09:30 --delay 18 --endMP 300:23346 --enddatetime 2017-05-09T18:18:23 --enforcementcount 0 &gt;&gt;C:\Users\stu\Documents\GitHub\eaglep3-reporting\EC\2017-05-09-refined-times.txt</v>
      </c>
      <c r="AI236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{"issue":{"subject":"","project_id":79,"tracker_id":40,"status_id":1,"priority_id":2,"assigned_to_id":23,"start_date":"2017-05-09","description":"","custom_fields":[{"id":1,"name":"Subdivision","value":"Other"},{"id":4,"name":"Milepost","value":"2.3346"},{"id":17,"name":"Train ID","value":"59-09"},{"id":16,"name":"Locomotive ID","value":"4024"},{"id":130,"name":"Impact","value":""},{"id":150,"name":"Time of Event (Mountain Time)","value":"18:18:23"},{"id":151,"name":"Denver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74"/>
        <v>start /low /b %USERPROFILE%\Documents\GitHub\eaglep3\Utilities\DownloadLogsFromS3.py --loco 4024 --day 2017-05-09</v>
      </c>
      <c r="AN236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00:18:23"},{"id":29,"name":"Sharepoint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768</v>
      </c>
      <c r="B237" s="7">
        <v>4041</v>
      </c>
      <c r="C237" s="21" t="s">
        <v>207</v>
      </c>
      <c r="D237" s="21" t="s">
        <v>916</v>
      </c>
      <c r="E237" s="13">
        <v>42864.787997685184</v>
      </c>
      <c r="F237" s="13">
        <v>25568.708333333332</v>
      </c>
      <c r="G237" s="7">
        <v>2</v>
      </c>
      <c r="H237" s="21" t="s">
        <v>917</v>
      </c>
      <c r="I237" s="13">
        <v>25568.708333333332</v>
      </c>
      <c r="J237" s="7">
        <v>0</v>
      </c>
      <c r="K237" s="92" t="str">
        <f t="shared" si="76"/>
        <v>4041/4042</v>
      </c>
      <c r="L237" s="21" t="str">
        <f>VLOOKUP(A237,'Trips&amp;Operators'!$C$1:$G$99999,5,FALSE)</f>
        <v>MAGEE KENYA</v>
      </c>
      <c r="M237" s="6">
        <f t="shared" si="77"/>
        <v>0</v>
      </c>
      <c r="N237" s="7">
        <f t="shared" si="88"/>
        <v>0</v>
      </c>
      <c r="O237" s="7"/>
      <c r="P237" s="7"/>
      <c r="Q237" s="22"/>
      <c r="R237" s="190"/>
      <c r="S237" s="196">
        <f t="shared" si="68"/>
        <v>0</v>
      </c>
      <c r="T237" s="190" t="e">
        <f t="shared" si="78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79"/>
        <v>https://d0f6bd738d7f1b3e5a7ca70fe4ff75f0.us-east-1.aws.found.io/app/kibana#/discover/Steve-Slow-Train-Analysis-(2080s-and-2083s)?_g=(refreshInterval:(display:Off,pause:!f,section:0,value:0),time:(from:'2017-05-09T17:54:43-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7" s="192" t="str">
        <f t="shared" si="80"/>
        <v>Y</v>
      </c>
      <c r="X237" s="192" t="e">
        <f t="shared" si="89"/>
        <v>#VALUE!</v>
      </c>
      <c r="Y237" s="192">
        <f t="shared" si="81"/>
        <v>2.3576000000000001</v>
      </c>
      <c r="Z237" s="192">
        <f t="shared" si="82"/>
        <v>2.1667999999999998</v>
      </c>
      <c r="AA237" s="192">
        <f t="shared" si="83"/>
        <v>0.1908000000000003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4"/>
        <v>61-09</v>
      </c>
      <c r="AE237" s="80" t="str">
        <f t="shared" si="85"/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37" s="77" t="str">
        <f t="shared" si="86"/>
        <v>"C:\Program Files (x86)\AstroGrep\AstroGrep.exe" /e /r /s /spath="%USERPROFILE%\AppData\Local\Temp\OnboardLogs" /stypes="app*4041*19691231*" /stext=" 23:.+((SYSTEM_STATE.+slice.+state.+changed )|(ment ac)|(multiple cpu faults)|(system.+state.+changed )|(\[timeout)|(PRM\|1\|D)|(kpr)|(kdp)|(train st.+moving)|(\|lc)|(penalty))"</v>
      </c>
      <c r="AG237" s="1" t="str">
        <f t="shared" si="87"/>
        <v>Other</v>
      </c>
      <c r="AH237" s="81" t="str">
        <f t="shared" si="72"/>
        <v>"%USERPROFILE%\Documents\GitHub\eaglep3\Utilities\RefineRTDCRunTimes.py" --tripid 61-09 --locoid 4041 --swversion DE.1.0.9.0 --startMP 300:23576 --initTime 2017-05-09T18:54:43 --startdatetime 1969-12-31T17:00:00 --delay 2 --endMP 300:21668 --enddatetime 1969-12-31T17:00:00 --enforcementcount 0 &gt;&gt;C:\Users\stu\Documents\GitHub\eaglep3-reporting\EC\2017-05-09-refined-times.txt</v>
      </c>
      <c r="AI237" s="9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{"issue":{"subject":"","project_id":79,"tracker_id":40,"status_id":1,"priority_id":2,"assigned_to_id":23,"start_date":"1969-12-31","description":"","custom_fields":[{"id":1,"name":"Subdivision","value":"Other"},{"id":4,"name":"Milepost","value":"2.1668"},{"id":17,"name":"Train ID","value":"61-09"},{"id":16,"name":"Locomotive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74"/>
        <v>start /low /b %USERPROFILE%\Documents\GitHub\eaglep3\Utilities\DownloadLogsFromS3.py --loco 4041 --day 1969-12-31</v>
      </c>
      <c r="AN237" s="154" t="str">
        <f t="shared" si="7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598</v>
      </c>
      <c r="B238" s="7">
        <v>4013</v>
      </c>
      <c r="C238" s="21" t="s">
        <v>207</v>
      </c>
      <c r="D238" s="21" t="s">
        <v>918</v>
      </c>
      <c r="E238" s="13">
        <v>42864.836724537039</v>
      </c>
      <c r="F238" s="13">
        <v>42864.840092592596</v>
      </c>
      <c r="G238" s="7">
        <v>4</v>
      </c>
      <c r="H238" s="21" t="s">
        <v>364</v>
      </c>
      <c r="I238" s="13">
        <v>42864.847673611112</v>
      </c>
      <c r="J238" s="7">
        <v>0</v>
      </c>
      <c r="K238" s="92" t="str">
        <f t="shared" si="76"/>
        <v>4013/4014</v>
      </c>
      <c r="L238" s="21" t="str">
        <f>VLOOKUP(A238,'Trips&amp;Operators'!$C$1:$G$99999,5,FALSE)</f>
        <v>GUZMAN DANNY</v>
      </c>
      <c r="M238" s="6">
        <f t="shared" si="77"/>
        <v>7.5810185153386556E-3</v>
      </c>
      <c r="N238" s="7">
        <f t="shared" si="88"/>
        <v>10.916666662087664</v>
      </c>
      <c r="O238" s="7"/>
      <c r="P238" s="7"/>
      <c r="Q238" s="22"/>
      <c r="R238" s="190"/>
      <c r="S238" s="196">
        <f t="shared" si="68"/>
        <v>0</v>
      </c>
      <c r="T238" s="190" t="e">
        <f t="shared" si="78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79"/>
        <v>https://d0f6bd738d7f1b3e5a7ca70fe4ff75f0.us-east-1.aws.found.io/app/kibana#/discover/Steve-Slow-Train-Analysis-(2080s-and-2083s)?_g=(refreshInterval:(display:Off,pause:!f,section:0,value:0),time:(from:'2017-05-09T19:04:53-0600',mode:absolute,to:'2017-05-09T21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8" s="192" t="str">
        <f t="shared" si="80"/>
        <v>Y</v>
      </c>
      <c r="X238" s="192" t="e">
        <f t="shared" si="89"/>
        <v>#VALUE!</v>
      </c>
      <c r="Y238" s="192">
        <f t="shared" si="81"/>
        <v>2.3801999999999999</v>
      </c>
      <c r="Z238" s="192">
        <f t="shared" si="82"/>
        <v>1.49E-2</v>
      </c>
      <c r="AA238" s="192">
        <f t="shared" si="83"/>
        <v>2.3653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4"/>
        <v>62-09</v>
      </c>
      <c r="AE238" s="80" t="str">
        <f t="shared" si="85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38" s="77" t="str">
        <f t="shared" si="86"/>
        <v>"C:\Program Files (x86)\AstroGrep\AstroGrep.exe" /e /r /s /spath="%USERPROFILE%\AppData\Local\Temp\OnboardLogs" /stypes="app*4013*20170510*" /stext=" 02:.+((SYSTEM_STATE.+slice.+state.+changed )|(ment ac)|(multiple cpu faults)|(system.+state.+changed )|(\[timeout)|(PRM\|1\|D)|(kpr)|(kdp)|(train st.+moving)|(\|lc)|(penalty))"</v>
      </c>
      <c r="AG238" s="1" t="str">
        <f t="shared" si="87"/>
        <v>Other</v>
      </c>
      <c r="AH238" s="81" t="str">
        <f t="shared" si="72"/>
        <v>"%USERPROFILE%\Documents\GitHub\eaglep3\Utilities\RefineRTDCRunTimes.py" --tripid 62-09 --locoid 4013 --swversion DE.1.0.9.0 --startMP 300:23802 --initTime 2017-05-09T20:04:53 --startdatetime 2017-05-09T20:09:44 --delay 4 --endMP 204:149 --enddatetime 2017-05-09T20:20:39 --enforcementcount 0 &gt;&gt;C:\Users\stu\Documents\GitHub\eaglep3-reporting\EC\2017-05-09-refined-times.txt</v>
      </c>
      <c r="AI238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{"issue":{"subject":"","project_id":79,"tracker_id":40,"status_id":1,"priority_id":2,"assigned_to_id":23,"start_date":"2017-05-09","description":"","custom_fields":[{"id":1,"name":"Subdivision","value":"Other"},{"id":4,"name":"Milepost","value":"0.0149"},{"id":17,"name":"Train ID","value":"62-09"},{"id":16,"name":"Locomotive ID","value":"4013"},{"id":130,"name":"Impact","value":""},{"id":150,"name":"Time of Event (Mountain Time)","value":"20:20:39"},{"id":151,"name":"Denver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74"/>
        <v>start /low /b %USERPROFILE%\Documents\GitHub\eaglep3\Utilities\DownloadLogsFromS3.py --loco 4013 --day 2017-05-09</v>
      </c>
      <c r="AN238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02:20:39"},{"id":29,"name":"Sharepoint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598</v>
      </c>
      <c r="B239" s="7">
        <v>4013</v>
      </c>
      <c r="C239" s="21" t="s">
        <v>207</v>
      </c>
      <c r="D239" s="21" t="s">
        <v>919</v>
      </c>
      <c r="E239" s="13">
        <v>42864.919918981483</v>
      </c>
      <c r="F239" s="13">
        <v>42864.946666666663</v>
      </c>
      <c r="G239" s="7">
        <v>0</v>
      </c>
      <c r="H239" s="21" t="s">
        <v>920</v>
      </c>
      <c r="I239" s="13">
        <v>42864.955057870371</v>
      </c>
      <c r="J239" s="7">
        <v>0</v>
      </c>
      <c r="K239" s="92" t="str">
        <f t="shared" si="76"/>
        <v>4013/4014</v>
      </c>
      <c r="L239" s="21" t="str">
        <f>VLOOKUP(A239,'Trips&amp;Operators'!$C$1:$G$99999,5,FALSE)</f>
        <v>GUZMAN DANNY</v>
      </c>
      <c r="M239" s="6">
        <f t="shared" si="77"/>
        <v>8.3912037080153823E-3</v>
      </c>
      <c r="N239" s="7">
        <f t="shared" si="88"/>
        <v>12.08333333954215</v>
      </c>
      <c r="O239" s="7"/>
      <c r="P239" s="7"/>
      <c r="Q239" s="22"/>
      <c r="R239" s="190"/>
      <c r="S239" s="196">
        <f t="shared" si="68"/>
        <v>0</v>
      </c>
      <c r="T239" s="190" t="e">
        <f t="shared" si="78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79"/>
        <v>https://d0f6bd738d7f1b3e5a7ca70fe4ff75f0.us-east-1.aws.found.io/app/kibana#/discover/Steve-Slow-Train-Analysis-(2080s-and-2083s)?_g=(refreshInterval:(display:Off,pause:!f,section:0,value:0),time:(from:'2017-05-09T21:04:41-0600',mode:absolute,to:'2017-05-09T23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9" s="192" t="str">
        <f t="shared" si="80"/>
        <v>Y</v>
      </c>
      <c r="X239" s="192" t="e">
        <f t="shared" si="89"/>
        <v>#VALUE!</v>
      </c>
      <c r="Y239" s="192">
        <f t="shared" si="81"/>
        <v>2.9771000000000001</v>
      </c>
      <c r="Z239" s="192">
        <f t="shared" si="82"/>
        <v>0.1144</v>
      </c>
      <c r="AA239" s="192">
        <f t="shared" si="83"/>
        <v>2.8627000000000002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84"/>
        <v>62-09</v>
      </c>
      <c r="AE239" s="80" t="str">
        <f t="shared" si="85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39" s="77" t="str">
        <f t="shared" si="86"/>
        <v>"C:\Program Files (x86)\AstroGrep\AstroGrep.exe" /e /r /s /spath="%USERPROFILE%\AppData\Local\Temp\OnboardLogs" /stypes="app*4013*20170510*" /stext=" 04:.+((SYSTEM_STATE.+slice.+state.+changed )|(ment ac)|(multiple cpu faults)|(system.+state.+changed )|(\[timeout)|(PRM\|1\|D)|(kpr)|(kdp)|(train st.+moving)|(\|lc)|(penalty))"</v>
      </c>
      <c r="AG239" s="1" t="str">
        <f t="shared" si="87"/>
        <v>Other</v>
      </c>
      <c r="AH239" s="81" t="str">
        <f t="shared" si="72"/>
        <v>"%USERPROFILE%\Documents\GitHub\eaglep3\Utilities\RefineRTDCRunTimes.py" --tripid 62-09 --locoid 4013 --swversion DE.1.0.9.0 --startMP 300:29771 --initTime 2017-05-09T22:04:41 --startdatetime 2017-05-09T22:43:12 --delay 0 --endMP 204:1144 --enddatetime 2017-05-09T22:55:17 --enforcementcount 0 &gt;&gt;C:\Users\stu\Documents\GitHub\eaglep3-reporting\EC\2017-05-09-refined-times.txt</v>
      </c>
      <c r="AI239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{"issue":{"subject":"","project_id":79,"tracker_id":40,"status_id":1,"priority_id":2,"assigned_to_id":23,"start_date":"2017-05-09","description":"","custom_fields":[{"id":1,"name":"Subdivision","value":"Other"},{"id":4,"name":"Milepost","value":"0.1144"},{"id":17,"name":"Train ID","value":"62-09"},{"id":16,"name":"Locomotive ID","value":"4013"},{"id":130,"name":"Impact","value":""},{"id":150,"name":"Time of Event (Mountain Time)","value":"22:55:17"},{"id":151,"name":"Denver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74"/>
        <v>start /low /b %USERPROFILE%\Documents\GitHub\eaglep3\Utilities\DownloadLogsFromS3.py --loco 4013 --day 2017-05-09</v>
      </c>
      <c r="AN239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04:55:17"},{"id":29,"name":"Sharepoint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598</v>
      </c>
      <c r="B240" s="7">
        <v>4013</v>
      </c>
      <c r="C240" s="21" t="s">
        <v>207</v>
      </c>
      <c r="D240" s="21" t="s">
        <v>921</v>
      </c>
      <c r="E240" s="13">
        <v>42864.944340277776</v>
      </c>
      <c r="F240" s="13">
        <v>42864.967222222222</v>
      </c>
      <c r="G240" s="7">
        <v>3</v>
      </c>
      <c r="H240" s="21" t="s">
        <v>922</v>
      </c>
      <c r="I240" s="13">
        <v>42864.972986111112</v>
      </c>
      <c r="J240" s="7">
        <v>0</v>
      </c>
      <c r="K240" s="92" t="str">
        <f t="shared" si="76"/>
        <v>4013/4014</v>
      </c>
      <c r="L240" s="21" t="str">
        <f>VLOOKUP(A240,'Trips&amp;Operators'!$C$1:$G$99999,5,FALSE)</f>
        <v>GUZMAN DANNY</v>
      </c>
      <c r="M240" s="6">
        <f t="shared" si="77"/>
        <v>5.7638888902147301E-3</v>
      </c>
      <c r="N240" s="7">
        <f t="shared" si="88"/>
        <v>8.3000000019092113</v>
      </c>
      <c r="O240" s="7"/>
      <c r="P240" s="7"/>
      <c r="Q240" s="22"/>
      <c r="R240" s="190"/>
      <c r="S240" s="196">
        <f t="shared" ref="S240:S263" si="90">SUM(U240:U240)/IF(AG240="EC",12,1)</f>
        <v>0</v>
      </c>
      <c r="T240" s="190" t="e">
        <f t="shared" si="78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79"/>
        <v>https://d0f6bd738d7f1b3e5a7ca70fe4ff75f0.us-east-1.aws.found.io/app/kibana#/discover/Steve-Slow-Train-Analysis-(2080s-and-2083s)?_g=(refreshInterval:(display:Off,pause:!f,section:0,value:0),time:(from:'2017-05-09T21:39:51-0600',mode:absolute,to:'2017-05-10T00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0" s="192" t="str">
        <f t="shared" si="80"/>
        <v>Y</v>
      </c>
      <c r="X240" s="192" t="e">
        <f t="shared" si="89"/>
        <v>#VALUE!</v>
      </c>
      <c r="Y240" s="192">
        <f t="shared" si="81"/>
        <v>3.9512</v>
      </c>
      <c r="Z240" s="192">
        <f t="shared" si="82"/>
        <v>0.1153</v>
      </c>
      <c r="AA240" s="192">
        <f t="shared" si="83"/>
        <v>3.8359000000000001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84"/>
        <v>62-09</v>
      </c>
      <c r="AE240" s="80" t="str">
        <f t="shared" si="85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0" s="77" t="str">
        <f t="shared" si="86"/>
        <v>"C:\Program Files (x86)\AstroGrep\AstroGrep.exe" /e /r /s /spath="%USERPROFILE%\AppData\Local\Temp\OnboardLogs" /stypes="app*4013*20170510*" /stext=" 05:.+((SYSTEM_STATE.+slice.+state.+changed )|(ment ac)|(multiple cpu faults)|(system.+state.+changed )|(\[timeout)|(PRM\|1\|D)|(kpr)|(kdp)|(train st.+moving)|(\|lc)|(penalty))"</v>
      </c>
      <c r="AG240" s="1" t="str">
        <f t="shared" si="87"/>
        <v>Other</v>
      </c>
      <c r="AH240" s="81" t="str">
        <f t="shared" si="72"/>
        <v>"%USERPROFILE%\Documents\GitHub\eaglep3\Utilities\RefineRTDCRunTimes.py" --tripid 62-09 --locoid 4013 --swversion DE.1.0.9.0 --startMP 300:39512 --initTime 2017-05-09T22:39:51 --startdatetime 2017-05-09T23:12:48 --delay 3 --endMP 204:1153 --enddatetime 2017-05-09T23:21:06 --enforcementcount 0 &gt;&gt;C:\Users\stu\Documents\GitHub\eaglep3-reporting\EC\2017-05-09-refined-times.txt</v>
      </c>
      <c r="AI240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{"issue":{"subject":"","project_id":79,"tracker_id":40,"status_id":1,"priority_id":2,"assigned_to_id":23,"start_date":"2017-05-09","description":"","custom_fields":[{"id":1,"name":"Subdivision","value":"Other"},{"id":4,"name":"Milepost","value":"0.1153"},{"id":17,"name":"Train ID","value":"62-09"},{"id":16,"name":"Locomotive ID","value":"4013"},{"id":130,"name":"Impact","value":""},{"id":150,"name":"Time of Event (Mountain Time)","value":"23:21:06"},{"id":151,"name":"Denver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74"/>
        <v>start /low /b %USERPROFILE%\Documents\GitHub\eaglep3\Utilities\DownloadLogsFromS3.py --loco 4013 --day 2017-05-09</v>
      </c>
      <c r="AN240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05:21:06"},{"id":29,"name":"Sharepoint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598</v>
      </c>
      <c r="B241" s="7">
        <v>4013</v>
      </c>
      <c r="C241" s="21" t="s">
        <v>207</v>
      </c>
      <c r="D241" s="21" t="s">
        <v>923</v>
      </c>
      <c r="E241" s="13">
        <v>42864.868437500001</v>
      </c>
      <c r="F241" s="13">
        <v>42864.870787037034</v>
      </c>
      <c r="G241" s="7">
        <v>3</v>
      </c>
      <c r="H241" s="21" t="s">
        <v>924</v>
      </c>
      <c r="I241" s="13">
        <v>42864.875439814816</v>
      </c>
      <c r="J241" s="7">
        <v>0</v>
      </c>
      <c r="K241" s="92" t="str">
        <f t="shared" si="76"/>
        <v>4013/4014</v>
      </c>
      <c r="L241" s="21" t="str">
        <f>VLOOKUP(A241,'Trips&amp;Operators'!$C$1:$G$99999,5,FALSE)</f>
        <v>GUZMAN DANNY</v>
      </c>
      <c r="M241" s="6">
        <f t="shared" si="77"/>
        <v>4.652777781302575E-3</v>
      </c>
      <c r="N241" s="7">
        <f t="shared" ref="N241:N263" si="91">24*60*SUM($M241:$M241)</f>
        <v>6.700000005075708</v>
      </c>
      <c r="O241" s="7"/>
      <c r="P241" s="7"/>
      <c r="Q241" s="22"/>
      <c r="R241" s="190"/>
      <c r="S241" s="196">
        <f t="shared" si="90"/>
        <v>0</v>
      </c>
      <c r="T241" s="190" t="e">
        <f t="shared" si="78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79"/>
        <v>https://d0f6bd738d7f1b3e5a7ca70fe4ff75f0.us-east-1.aws.found.io/app/kibana#/discover/Steve-Slow-Train-Analysis-(2080s-and-2083s)?_g=(refreshInterval:(display:Off,pause:!f,section:0,value:0),time:(from:'2017-05-09T19:50:33-0600',mode:absolute,to:'2017-05-09T22:00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1" s="192" t="str">
        <f t="shared" si="80"/>
        <v>Y</v>
      </c>
      <c r="X241" s="192" t="e">
        <f t="shared" si="89"/>
        <v>#VALUE!</v>
      </c>
      <c r="Y241" s="192">
        <f t="shared" si="81"/>
        <v>4.0255999999999998</v>
      </c>
      <c r="Z241" s="192">
        <f t="shared" si="82"/>
        <v>1.4200000000000001E-2</v>
      </c>
      <c r="AA241" s="192">
        <f t="shared" si="83"/>
        <v>4.0114000000000001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84"/>
        <v>62-09</v>
      </c>
      <c r="AE241" s="80" t="str">
        <f t="shared" si="85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1" s="77" t="str">
        <f t="shared" si="86"/>
        <v>"C:\Program Files (x86)\AstroGrep\AstroGrep.exe" /e /r /s /spath="%USERPROFILE%\AppData\Local\Temp\OnboardLogs" /stypes="app*4013*20170510*" /stext=" 03:.+((SYSTEM_STATE.+slice.+state.+changed )|(ment ac)|(multiple cpu faults)|(system.+state.+changed )|(\[timeout)|(PRM\|1\|D)|(kpr)|(kdp)|(train st.+moving)|(\|lc)|(penalty))"</v>
      </c>
      <c r="AG241" s="1" t="str">
        <f t="shared" si="87"/>
        <v>Other</v>
      </c>
      <c r="AH241" s="81" t="str">
        <f t="shared" si="72"/>
        <v>"%USERPROFILE%\Documents\GitHub\eaglep3\Utilities\RefineRTDCRunTimes.py" --tripid 62-09 --locoid 4013 --swversion DE.1.0.9.0 --startMP 300:40256 --initTime 2017-05-09T20:50:33 --startdatetime 2017-05-09T20:53:56 --delay 3 --endMP 204:142 --enddatetime 2017-05-09T21:00:38 --enforcementcount 0 &gt;&gt;C:\Users\stu\Documents\GitHub\eaglep3-reporting\EC\2017-05-09-refined-times.txt</v>
      </c>
      <c r="AI241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{"issue":{"subject":"","project_id":79,"tracker_id":40,"status_id":1,"priority_id":2,"assigned_to_id":23,"start_date":"2017-05-09","description":"","custom_fields":[{"id":1,"name":"Subdivision","value":"Other"},{"id":4,"name":"Milepost","value":"0.0142"},{"id":17,"name":"Train ID","value":"62-09"},{"id":16,"name":"Locomotive ID","value":"4013"},{"id":130,"name":"Impact","value":""},{"id":150,"name":"Time of Event (Mountain Time)","value":"21:00:38"},{"id":151,"name":"Denver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74"/>
        <v>start /low /b %USERPROFILE%\Documents\GitHub\eaglep3\Utilities\DownloadLogsFromS3.py --loco 4013 --day 2017-05-09</v>
      </c>
      <c r="AN241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03:00:38"},{"id":29,"name":"Sharepoint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598</v>
      </c>
      <c r="B242" s="7">
        <v>4013</v>
      </c>
      <c r="C242" s="21" t="s">
        <v>207</v>
      </c>
      <c r="D242" s="21" t="s">
        <v>925</v>
      </c>
      <c r="E242" s="13">
        <v>42864.868437500001</v>
      </c>
      <c r="F242" s="13">
        <v>42864.870787037034</v>
      </c>
      <c r="G242" s="7">
        <v>3</v>
      </c>
      <c r="H242" s="21" t="s">
        <v>924</v>
      </c>
      <c r="I242" s="13">
        <v>42864.875439814816</v>
      </c>
      <c r="J242" s="7">
        <v>0</v>
      </c>
      <c r="K242" s="92" t="str">
        <f t="shared" si="76"/>
        <v>4013/4014</v>
      </c>
      <c r="L242" s="21" t="str">
        <f>VLOOKUP(A242,'Trips&amp;Operators'!$C$1:$G$99999,5,FALSE)</f>
        <v>GUZMAN DANNY</v>
      </c>
      <c r="M242" s="6">
        <f t="shared" si="77"/>
        <v>4.652777781302575E-3</v>
      </c>
      <c r="N242" s="7">
        <f t="shared" si="91"/>
        <v>6.700000005075708</v>
      </c>
      <c r="O242" s="7"/>
      <c r="P242" s="7"/>
      <c r="Q242" s="22"/>
      <c r="R242" s="190"/>
      <c r="S242" s="196">
        <f t="shared" si="90"/>
        <v>0</v>
      </c>
      <c r="T242" s="190" t="e">
        <f t="shared" si="78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79"/>
        <v>https://d0f6bd738d7f1b3e5a7ca70fe4ff75f0.us-east-1.aws.found.io/app/kibana#/discover/Steve-Slow-Train-Analysis-(2080s-and-2083s)?_g=(refreshInterval:(display:Off,pause:!f,section:0,value:0),time:(from:'2017-05-09T19:50:33-0600',mode:absolute,to:'2017-05-09T22:00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2" s="192" t="str">
        <f t="shared" si="80"/>
        <v>Y</v>
      </c>
      <c r="X242" s="192" t="e">
        <f t="shared" si="89"/>
        <v>#VALUE!</v>
      </c>
      <c r="Y242" s="192">
        <f t="shared" si="81"/>
        <v>4.0796999999999999</v>
      </c>
      <c r="Z242" s="192">
        <f t="shared" si="82"/>
        <v>1.4200000000000001E-2</v>
      </c>
      <c r="AA242" s="192">
        <f t="shared" si="83"/>
        <v>4.0655000000000001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84"/>
        <v>62-09</v>
      </c>
      <c r="AE242" s="80" t="str">
        <f t="shared" si="85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2" s="77" t="str">
        <f t="shared" si="86"/>
        <v>"C:\Program Files (x86)\AstroGrep\AstroGrep.exe" /e /r /s /spath="%USERPROFILE%\AppData\Local\Temp\OnboardLogs" /stypes="app*4013*20170510*" /stext=" 03:.+((SYSTEM_STATE.+slice.+state.+changed )|(ment ac)|(multiple cpu faults)|(system.+state.+changed )|(\[timeout)|(PRM\|1\|D)|(kpr)|(kdp)|(train st.+moving)|(\|lc)|(penalty))"</v>
      </c>
      <c r="AG242" s="1" t="str">
        <f t="shared" si="87"/>
        <v>Other</v>
      </c>
      <c r="AH242" s="81" t="str">
        <f t="shared" si="72"/>
        <v>"%USERPROFILE%\Documents\GitHub\eaglep3\Utilities\RefineRTDCRunTimes.py" --tripid 62-09 --locoid 4013 --swversion DE.1.0.9.0 --startMP 300:40797 --initTime 2017-05-09T20:50:33 --startdatetime 2017-05-09T20:53:56 --delay 3 --endMP 204:142 --enddatetime 2017-05-09T21:00:38 --enforcementcount 0 &gt;&gt;C:\Users\stu\Documents\GitHub\eaglep3-reporting\EC\2017-05-09-refined-times.txt</v>
      </c>
      <c r="AI242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{"issue":{"subject":"","project_id":79,"tracker_id":40,"status_id":1,"priority_id":2,"assigned_to_id":23,"start_date":"2017-05-09","description":"","custom_fields":[{"id":1,"name":"Subdivision","value":"Other"},{"id":4,"name":"Milepost","value":"0.0142"},{"id":17,"name":"Train ID","value":"62-09"},{"id":16,"name":"Locomotive ID","value":"4013"},{"id":130,"name":"Impact","value":""},{"id":150,"name":"Time of Event (Mountain Time)","value":"21:00:38"},{"id":151,"name":"Denver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74"/>
        <v>start /low /b %USERPROFILE%\Documents\GitHub\eaglep3\Utilities\DownloadLogsFromS3.py --loco 4013 --day 2017-05-09</v>
      </c>
      <c r="AN242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03:00:38"},{"id":29,"name":"Sharepoint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598</v>
      </c>
      <c r="B243" s="7">
        <v>4013</v>
      </c>
      <c r="C243" s="21" t="s">
        <v>207</v>
      </c>
      <c r="D243" s="21" t="s">
        <v>926</v>
      </c>
      <c r="E243" s="13">
        <v>42864.912881944445</v>
      </c>
      <c r="F243" s="13">
        <v>42864.92082175926</v>
      </c>
      <c r="G243" s="7">
        <v>4</v>
      </c>
      <c r="H243" s="21" t="s">
        <v>927</v>
      </c>
      <c r="I243" s="13">
        <v>42864.927453703705</v>
      </c>
      <c r="J243" s="7">
        <v>0</v>
      </c>
      <c r="K243" s="92" t="str">
        <f t="shared" si="76"/>
        <v>4013/4014</v>
      </c>
      <c r="L243" s="21" t="str">
        <f>VLOOKUP(A243,'Trips&amp;Operators'!$C$1:$G$99999,5,FALSE)</f>
        <v>GUZMAN DANNY</v>
      </c>
      <c r="M243" s="6">
        <f t="shared" si="77"/>
        <v>6.6319444449618459E-3</v>
      </c>
      <c r="N243" s="7">
        <f t="shared" si="91"/>
        <v>9.5500000007450581</v>
      </c>
      <c r="O243" s="7"/>
      <c r="P243" s="7"/>
      <c r="Q243" s="22"/>
      <c r="R243" s="190"/>
      <c r="S243" s="196">
        <f t="shared" si="90"/>
        <v>0</v>
      </c>
      <c r="T243" s="190" t="e">
        <f t="shared" si="78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79"/>
        <v>https://d0f6bd738d7f1b3e5a7ca70fe4ff75f0.us-east-1.aws.found.io/app/kibana#/discover/Steve-Slow-Train-Analysis-(2080s-and-2083s)?_g=(refreshInterval:(display:Off,pause:!f,section:0,value:0),time:(from:'2017-05-09T20:54:33-0600',mode:absolute,to:'2017-05-09T23:15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3" s="192" t="str">
        <f t="shared" si="80"/>
        <v>Y</v>
      </c>
      <c r="X243" s="192" t="e">
        <f t="shared" si="89"/>
        <v>#VALUE!</v>
      </c>
      <c r="Y243" s="192">
        <f t="shared" si="81"/>
        <v>4.1243999999999996</v>
      </c>
      <c r="Z243" s="192">
        <f t="shared" si="82"/>
        <v>4.0735000000000001</v>
      </c>
      <c r="AA243" s="192">
        <f t="shared" si="83"/>
        <v>5.0899999999999501E-2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84"/>
        <v>62-09</v>
      </c>
      <c r="AE243" s="80" t="str">
        <f t="shared" si="85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3" s="77" t="str">
        <f t="shared" si="86"/>
        <v>"C:\Program Files (x86)\AstroGrep\AstroGrep.exe" /e /r /s /spath="%USERPROFILE%\AppData\Local\Temp\OnboardLogs" /stypes="app*4013*20170510*" /stext=" 04:.+((SYSTEM_STATE.+slice.+state.+changed )|(ment ac)|(multiple cpu faults)|(system.+state.+changed )|(\[timeout)|(PRM\|1\|D)|(kpr)|(kdp)|(train st.+moving)|(\|lc)|(penalty))"</v>
      </c>
      <c r="AG243" s="1" t="str">
        <f t="shared" si="87"/>
        <v>Other</v>
      </c>
      <c r="AH243" s="81" t="str">
        <f t="shared" si="72"/>
        <v>"%USERPROFILE%\Documents\GitHub\eaglep3\Utilities\RefineRTDCRunTimes.py" --tripid 62-09 --locoid 4013 --swversion DE.1.0.9.0 --startMP 300:41244 --initTime 2017-05-09T21:54:33 --startdatetime 2017-05-09T22:05:59 --delay 4 --endMP 300:40735 --enddatetime 2017-05-09T22:15:32 --enforcementcount 0 &gt;&gt;C:\Users\stu\Documents\GitHub\eaglep3-reporting\EC\2017-05-09-refined-times.txt</v>
      </c>
      <c r="AI243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{"issue":{"subject":"","project_id":79,"tracker_id":40,"status_id":1,"priority_id":2,"assigned_to_id":23,"start_date":"2017-05-09","description":"","custom_fields":[{"id":1,"name":"Subdivision","value":"Other"},{"id":4,"name":"Milepost","value":"4.0735"},{"id":17,"name":"Train ID","value":"62-09"},{"id":16,"name":"Locomotive ID","value":"4013"},{"id":130,"name":"Impact","value":""},{"id":150,"name":"Time of Event (Mountain Time)","value":"22:15:32"},{"id":151,"name":"Denver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74"/>
        <v>start /low /b %USERPROFILE%\Documents\GitHub\eaglep3\Utilities\DownloadLogsFromS3.py --loco 4013 --day 2017-05-09</v>
      </c>
      <c r="AN243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04:15:32"},{"id":29,"name":"Sharepoint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783</v>
      </c>
      <c r="B244" s="7">
        <v>4014</v>
      </c>
      <c r="C244" s="21" t="s">
        <v>207</v>
      </c>
      <c r="D244" s="21" t="s">
        <v>928</v>
      </c>
      <c r="E244" s="13">
        <v>42864.929664351854</v>
      </c>
      <c r="F244" s="13">
        <v>42864.934351851851</v>
      </c>
      <c r="G244" s="7">
        <v>1</v>
      </c>
      <c r="H244" s="21" t="s">
        <v>929</v>
      </c>
      <c r="I244" s="13">
        <v>42864.943472222221</v>
      </c>
      <c r="J244" s="7">
        <v>0</v>
      </c>
      <c r="K244" s="92" t="str">
        <f t="shared" si="76"/>
        <v>4013/4014</v>
      </c>
      <c r="L244" s="21" t="str">
        <f>VLOOKUP(A244,'Trips&amp;Operators'!$C$1:$G$99999,5,FALSE)</f>
        <v>GUZMAN DANNY</v>
      </c>
      <c r="M244" s="6">
        <f t="shared" si="77"/>
        <v>9.1203703705104999E-3</v>
      </c>
      <c r="N244" s="7">
        <f t="shared" si="91"/>
        <v>13.13333333353512</v>
      </c>
      <c r="O244" s="7"/>
      <c r="P244" s="7"/>
      <c r="Q244" s="22"/>
      <c r="R244" s="190"/>
      <c r="S244" s="196">
        <f t="shared" si="90"/>
        <v>0</v>
      </c>
      <c r="T244" s="190" t="e">
        <f t="shared" si="78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79"/>
        <v>https://d0f6bd738d7f1b3e5a7ca70fe4ff75f0.us-east-1.aws.found.io/app/kibana#/discover/Steve-Slow-Train-Analysis-(2080s-and-2083s)?_g=(refreshInterval:(display:Off,pause:!f,section:0,value:0),time:(from:'2017-05-09T21:18:43-0600',mode:absolute,to:'2017-05-09T23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4" s="192" t="str">
        <f t="shared" si="80"/>
        <v>Y</v>
      </c>
      <c r="X244" s="192" t="e">
        <f t="shared" si="89"/>
        <v>#VALUE!</v>
      </c>
      <c r="Y244" s="192">
        <f t="shared" si="81"/>
        <v>0.14480000000000001</v>
      </c>
      <c r="Z244" s="192">
        <f t="shared" si="82"/>
        <v>4.2481</v>
      </c>
      <c r="AA244" s="192">
        <f t="shared" si="83"/>
        <v>4.1032999999999999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84"/>
        <v>63-09</v>
      </c>
      <c r="AE244" s="80" t="str">
        <f t="shared" si="85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44" s="77" t="str">
        <f t="shared" si="86"/>
        <v>"C:\Program Files (x86)\AstroGrep\AstroGrep.exe" /e /r /s /spath="%USERPROFILE%\AppData\Local\Temp\OnboardLogs" /stypes="app*4014*20170510*" /stext=" 04:.+((SYSTEM_STATE.+slice.+state.+changed )|(ment ac)|(multiple cpu faults)|(system.+state.+changed )|(\[timeout)|(PRM\|1\|D)|(kpr)|(kdp)|(train st.+moving)|(\|lc)|(penalty))"</v>
      </c>
      <c r="AG244" s="1" t="str">
        <f t="shared" si="87"/>
        <v>Other</v>
      </c>
      <c r="AH244" s="81" t="str">
        <f t="shared" si="72"/>
        <v>"%USERPROFILE%\Documents\GitHub\eaglep3\Utilities\RefineRTDCRunTimes.py" --tripid 63-09 --locoid 4014 --swversion DE.1.0.9.0 --startMP 204:1448 --initTime 2017-05-09T22:18:43 --startdatetime 2017-05-09T22:25:28 --delay 1 --endMP 300:42481 --enddatetime 2017-05-09T22:38:36 --enforcementcount 0 &gt;&gt;C:\Users\stu\Documents\GitHub\eaglep3-reporting\EC\2017-05-09-refined-times.txt</v>
      </c>
      <c r="AI244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{"issue":{"subject":"","project_id":79,"tracker_id":40,"status_id":1,"priority_id":2,"assigned_to_id":23,"start_date":"2017-05-09","description":"","custom_fields":[{"id":1,"name":"Subdivision","value":"Other"},{"id":4,"name":"Milepost","value":"4.2481"},{"id":17,"name":"Train ID","value":"63-09"},{"id":16,"name":"Locomotive ID","value":"4014"},{"id":130,"name":"Impact","value":""},{"id":150,"name":"Time of Event (Mountain Time)","value":"22:38:36"},{"id":151,"name":"Denver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74"/>
        <v>start /low /b %USERPROFILE%\Documents\GitHub\eaglep3\Utilities\DownloadLogsFromS3.py --loco 4014 --day 2017-05-09</v>
      </c>
      <c r="AN244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04:38:36"},{"id":29,"name":"Sharepoint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783</v>
      </c>
      <c r="B245" s="7">
        <v>4014</v>
      </c>
      <c r="C245" s="21" t="s">
        <v>207</v>
      </c>
      <c r="D245" s="21" t="s">
        <v>930</v>
      </c>
      <c r="E245" s="13">
        <v>42864.885023148148</v>
      </c>
      <c r="F245" s="13">
        <v>42864.934351851851</v>
      </c>
      <c r="G245" s="7">
        <v>1</v>
      </c>
      <c r="H245" s="21" t="s">
        <v>931</v>
      </c>
      <c r="I245" s="13">
        <v>42864.943472222221</v>
      </c>
      <c r="J245" s="7">
        <v>0</v>
      </c>
      <c r="K245" s="92" t="str">
        <f t="shared" si="76"/>
        <v>4013/4014</v>
      </c>
      <c r="L245" s="21" t="str">
        <f>VLOOKUP(A245,'Trips&amp;Operators'!$C$1:$G$99999,5,FALSE)</f>
        <v>GUZMAN DANNY</v>
      </c>
      <c r="M245" s="6">
        <f t="shared" si="77"/>
        <v>9.1203703705104999E-3</v>
      </c>
      <c r="N245" s="7">
        <f t="shared" si="91"/>
        <v>13.13333333353512</v>
      </c>
      <c r="O245" s="7"/>
      <c r="P245" s="7"/>
      <c r="Q245" s="22"/>
      <c r="R245" s="190"/>
      <c r="S245" s="196">
        <f t="shared" si="90"/>
        <v>0</v>
      </c>
      <c r="T245" s="190" t="e">
        <f t="shared" si="78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79"/>
        <v>https://d0f6bd738d7f1b3e5a7ca70fe4ff75f0.us-east-1.aws.found.io/app/kibana#/discover/Steve-Slow-Train-Analysis-(2080s-and-2083s)?_g=(refreshInterval:(display:Off,pause:!f,section:0,value:0),time:(from:'2017-05-09T20:14:26-0600',mode:absolute,to:'2017-05-09T23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5" s="192" t="str">
        <f t="shared" si="80"/>
        <v>Y</v>
      </c>
      <c r="X245" s="192" t="e">
        <f t="shared" si="89"/>
        <v>#VALUE!</v>
      </c>
      <c r="Y245" s="192">
        <f t="shared" si="81"/>
        <v>4.41E-2</v>
      </c>
      <c r="Z245" s="192">
        <f t="shared" si="82"/>
        <v>4.2487000000000004</v>
      </c>
      <c r="AA245" s="192">
        <f t="shared" si="83"/>
        <v>4.2046000000000001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84"/>
        <v>63-09</v>
      </c>
      <c r="AE245" s="80" t="str">
        <f t="shared" si="85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45" s="77" t="str">
        <f t="shared" si="86"/>
        <v>"C:\Program Files (x86)\AstroGrep\AstroGrep.exe" /e /r /s /spath="%USERPROFILE%\AppData\Local\Temp\OnboardLogs" /stypes="app*4014*20170510*" /stext=" 04:.+((SYSTEM_STATE.+slice.+state.+changed )|(ment ac)|(multiple cpu faults)|(system.+state.+changed )|(\[timeout)|(PRM\|1\|D)|(kpr)|(kdp)|(train st.+moving)|(\|lc)|(penalty))"</v>
      </c>
      <c r="AG245" s="1" t="str">
        <f t="shared" si="87"/>
        <v>Other</v>
      </c>
      <c r="AH245" s="81" t="str">
        <f t="shared" si="72"/>
        <v>"%USERPROFILE%\Documents\GitHub\eaglep3\Utilities\RefineRTDCRunTimes.py" --tripid 63-09 --locoid 4014 --swversion DE.1.0.9.0 --startMP 204:441 --initTime 2017-05-09T21:14:26 --startdatetime 2017-05-09T22:25:28 --delay 1 --endMP 300:42487 --enddatetime 2017-05-09T22:38:36 --enforcementcount 0 &gt;&gt;C:\Users\stu\Documents\GitHub\eaglep3-reporting\EC\2017-05-09-refined-times.txt</v>
      </c>
      <c r="AI245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{"issue":{"subject":"","project_id":79,"tracker_id":40,"status_id":1,"priority_id":2,"assigned_to_id":23,"start_date":"2017-05-09","description":"","custom_fields":[{"id":1,"name":"Subdivision","value":"Other"},{"id":4,"name":"Milepost","value":"4.2487"},{"id":17,"name":"Train ID","value":"63-09"},{"id":16,"name":"Locomotive ID","value":"4014"},{"id":130,"name":"Impact","value":""},{"id":150,"name":"Time of Event (Mountain Time)","value":"22:38:36"},{"id":151,"name":"Denver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74"/>
        <v>start /low /b %USERPROFILE%\Documents\GitHub\eaglep3\Utilities\DownloadLogsFromS3.py --loco 4014 --day 2017-05-09</v>
      </c>
      <c r="AN245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04:38:36"},{"id":29,"name":"Sharepoint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783</v>
      </c>
      <c r="B246" s="7">
        <v>4014</v>
      </c>
      <c r="C246" s="21" t="s">
        <v>207</v>
      </c>
      <c r="D246" s="21" t="s">
        <v>368</v>
      </c>
      <c r="E246" s="13">
        <v>42864.849965277775</v>
      </c>
      <c r="F246" s="13">
        <v>42864.89271990741</v>
      </c>
      <c r="G246" s="7">
        <v>2</v>
      </c>
      <c r="H246" s="21" t="s">
        <v>932</v>
      </c>
      <c r="I246" s="13">
        <v>42864.911747685182</v>
      </c>
      <c r="J246" s="7">
        <v>0</v>
      </c>
      <c r="K246" s="92" t="str">
        <f t="shared" si="76"/>
        <v>4013/4014</v>
      </c>
      <c r="L246" s="21" t="str">
        <f>VLOOKUP(A246,'Trips&amp;Operators'!$C$1:$G$99999,5,FALSE)</f>
        <v>GUZMAN DANNY</v>
      </c>
      <c r="M246" s="6">
        <f t="shared" si="77"/>
        <v>1.9027777772862464E-2</v>
      </c>
      <c r="N246" s="7">
        <f t="shared" si="91"/>
        <v>27.399999992921948</v>
      </c>
      <c r="O246" s="7"/>
      <c r="P246" s="7"/>
      <c r="Q246" s="22"/>
      <c r="R246" s="190"/>
      <c r="S246" s="196">
        <f t="shared" si="90"/>
        <v>0</v>
      </c>
      <c r="T246" s="190" t="e">
        <f t="shared" si="78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79"/>
        <v>https://d0f6bd738d7f1b3e5a7ca70fe4ff75f0.us-east-1.aws.found.io/app/kibana#/discover/Steve-Slow-Train-Analysis-(2080s-and-2083s)?_g=(refreshInterval:(display:Off,pause:!f,section:0,value:0),time:(from:'2017-05-09T19:23:57-0600',mode:absolute,to:'2017-05-09T22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6" s="192" t="str">
        <f t="shared" si="80"/>
        <v>Y</v>
      </c>
      <c r="X246" s="192" t="e">
        <f t="shared" si="89"/>
        <v>#VALUE!</v>
      </c>
      <c r="Y246" s="192">
        <f t="shared" si="81"/>
        <v>4.5100000000000001E-2</v>
      </c>
      <c r="Z246" s="192">
        <f t="shared" si="82"/>
        <v>4.2539999999999996</v>
      </c>
      <c r="AA246" s="192">
        <f t="shared" si="83"/>
        <v>4.2088999999999999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84"/>
        <v>63-09</v>
      </c>
      <c r="AE246" s="80" t="str">
        <f t="shared" si="85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46" s="77" t="str">
        <f t="shared" si="86"/>
        <v>"C:\Program Files (x86)\AstroGrep\AstroGrep.exe" /e /r /s /spath="%USERPROFILE%\AppData\Local\Temp\OnboardLogs" /stypes="app*4014*20170510*" /stext=" 03:.+((SYSTEM_STATE.+slice.+state.+changed )|(ment ac)|(multiple cpu faults)|(system.+state.+changed )|(\[timeout)|(PRM\|1\|D)|(kpr)|(kdp)|(train st.+moving)|(\|lc)|(penalty))"</v>
      </c>
      <c r="AG246" s="1" t="str">
        <f t="shared" si="87"/>
        <v>Other</v>
      </c>
      <c r="AH246" s="81" t="str">
        <f t="shared" si="72"/>
        <v>"%USERPROFILE%\Documents\GitHub\eaglep3\Utilities\RefineRTDCRunTimes.py" --tripid 63-09 --locoid 4014 --swversion DE.1.0.9.0 --startMP 204:451 --initTime 2017-05-09T20:23:57 --startdatetime 2017-05-09T21:25:31 --delay 2 --endMP 300:42540 --enddatetime 2017-05-09T21:52:55 --enforcementcount 0 &gt;&gt;C:\Users\stu\Documents\GitHub\eaglep3-reporting\EC\2017-05-09-refined-times.txt</v>
      </c>
      <c r="AI246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{"issue":{"subject":"","project_id":79,"tracker_id":40,"status_id":1,"priority_id":2,"assigned_to_id":23,"start_date":"2017-05-09","description":"","custom_fields":[{"id":1,"name":"Subdivision","value":"Other"},{"id":4,"name":"Milepost","value":"4.254"},{"id":17,"name":"Train ID","value":"63-09"},{"id":16,"name":"Locomotive ID","value":"4014"},{"id":130,"name":"Impact","value":""},{"id":150,"name":"Time of Event (Mountain Time)","value":"21:52:55"},{"id":151,"name":"Denver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74"/>
        <v>start /low /b %USERPROFILE%\Documents\GitHub\eaglep3\Utilities\DownloadLogsFromS3.py --loco 4014 --day 2017-05-09</v>
      </c>
      <c r="AN246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03:52:55"},{"id":29,"name":"Sharepoint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713</v>
      </c>
      <c r="B247" s="7">
        <v>4031</v>
      </c>
      <c r="C247" s="21" t="s">
        <v>207</v>
      </c>
      <c r="D247" s="21" t="s">
        <v>933</v>
      </c>
      <c r="E247" s="13">
        <v>42864.620474537034</v>
      </c>
      <c r="F247" s="13">
        <v>42864.621770833335</v>
      </c>
      <c r="G247" s="7">
        <v>1</v>
      </c>
      <c r="H247" s="21" t="s">
        <v>858</v>
      </c>
      <c r="I247" s="13">
        <v>42864.623414351852</v>
      </c>
      <c r="J247" s="7">
        <v>0</v>
      </c>
      <c r="K247" s="92" t="str">
        <f t="shared" si="76"/>
        <v>4031/4032</v>
      </c>
      <c r="L247" s="21" t="str">
        <f>VLOOKUP(A247,'Trips&amp;Operators'!$C$1:$G$99999,5,FALSE)</f>
        <v>NELSON ARIANE</v>
      </c>
      <c r="M247" s="6">
        <f t="shared" si="77"/>
        <v>1.6435185170848854E-3</v>
      </c>
      <c r="N247" s="7">
        <f t="shared" si="91"/>
        <v>2.366666664602235</v>
      </c>
      <c r="O247" s="7"/>
      <c r="P247" s="7"/>
      <c r="Q247" s="22"/>
      <c r="R247" s="190"/>
      <c r="S247" s="196">
        <f t="shared" si="90"/>
        <v>0</v>
      </c>
      <c r="T247" s="190" t="e">
        <f t="shared" si="78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79"/>
        <v>https://d0f6bd738d7f1b3e5a7ca70fe4ff75f0.us-east-1.aws.found.io/app/kibana#/discover/Steve-Slow-Train-Analysis-(2080s-and-2083s)?_g=(refreshInterval:(display:Off,pause:!f,section:0,value:0),time:(from:'2017-05-09T13:53:29-0600',mode:absolute,to:'2017-05-09T15:57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7" s="192" t="str">
        <f t="shared" si="80"/>
        <v>Y</v>
      </c>
      <c r="X247" s="192" t="e">
        <f t="shared" si="89"/>
        <v>#VALUE!</v>
      </c>
      <c r="Y247" s="192">
        <f t="shared" si="81"/>
        <v>0.3266</v>
      </c>
      <c r="Z247" s="192">
        <f t="shared" si="82"/>
        <v>1.61E-2</v>
      </c>
      <c r="AA247" s="192">
        <f t="shared" si="83"/>
        <v>0.3105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84"/>
        <v>65-09</v>
      </c>
      <c r="AE247" s="80" t="str">
        <f t="shared" si="85"/>
        <v>aws s3 cp s3://rtdc.mdm.uploadarchive.raw/RTDC4031/ "%USERPROFILE%\AppData\Local\Temp\OnboardLogs"\RTDC4031\2017-05-09 --exclude "*" --recursive --include "*20170509*" &amp; "%USERPROFILE%\Documents\GitHub\mrs-test-scripts\Headless Mode &amp; Sideloading\WalkAndUnGZ.bat" "%USERPROFILE%\AppData\Local\Temp\OnboardLogs"\RTDC4031\2017-05-09 &amp; 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</v>
      </c>
      <c r="AF247" s="77" t="str">
        <f t="shared" si="86"/>
        <v>"C:\Program Files (x86)\AstroGrep\AstroGrep.exe" /e /r /s /spath="%USERPROFILE%\AppData\Local\Temp\OnboardLogs" /stypes="app*4031*20170509*" /stext=" 20:.+((SYSTEM_STATE.+slice.+state.+changed )|(ment ac)|(multiple cpu faults)|(system.+state.+changed )|(\[timeout)|(PRM\|1\|D)|(kpr)|(kdp)|(train st.+moving)|(\|lc)|(penalty))"</v>
      </c>
      <c r="AG247" s="1" t="str">
        <f t="shared" si="87"/>
        <v>Other</v>
      </c>
      <c r="AH247" s="81" t="str">
        <f t="shared" si="72"/>
        <v>"%USERPROFILE%\Documents\GitHub\eaglep3\Utilities\RefineRTDCRunTimes.py" --tripid 65-09 --locoid 4031 --swversion DE.1.0.9.0 --startMP 204:3266 --initTime 2017-05-09T14:53:29 --startdatetime 2017-05-09T14:55:21 --delay 1 --endMP 204:161 --enddatetime 2017-05-09T14:57:43 --enforcementcount 0 &gt;&gt;C:\Users\stu\Documents\GitHub\eaglep3-reporting\EC\2017-05-09-refined-times.txt</v>
      </c>
      <c r="AI247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{"issue":{"subject":"","project_id":79,"tracker_id":40,"status_id":1,"priority_id":2,"assigned_to_id":23,"start_date":"2017-05-09","description":"","custom_fields":[{"id":1,"name":"Subdivision","value":"Other"},{"id":4,"name":"Milepost","value":"0.0161"},{"id":17,"name":"Train ID","value":"65-09"},{"id":16,"name":"Locomotive ID","value":"4031"},{"id":130,"name":"Impact","value":""},{"id":150,"name":"Time of Event (Mountain Time)","value":"14:57:43"},{"id":151,"name":"Denver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74"/>
        <v>start /low /b %USERPROFILE%\Documents\GitHub\eaglep3\Utilities\DownloadLogsFromS3.py --loco 4031 --day 2017-05-09</v>
      </c>
      <c r="AN247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713</v>
      </c>
      <c r="B248" s="7">
        <v>4032</v>
      </c>
      <c r="C248" s="21" t="s">
        <v>207</v>
      </c>
      <c r="D248" s="21" t="s">
        <v>934</v>
      </c>
      <c r="E248" s="13">
        <v>42864.608611111114</v>
      </c>
      <c r="F248" s="13">
        <v>42864.621770833335</v>
      </c>
      <c r="G248" s="7">
        <v>2</v>
      </c>
      <c r="H248" s="21" t="s">
        <v>935</v>
      </c>
      <c r="I248" s="13">
        <v>42864.623414351852</v>
      </c>
      <c r="J248" s="7">
        <v>0</v>
      </c>
      <c r="K248" s="92" t="str">
        <f t="shared" si="76"/>
        <v>4031/4032</v>
      </c>
      <c r="L248" s="21" t="str">
        <f>VLOOKUP(A248,'Trips&amp;Operators'!$C$1:$G$99999,5,FALSE)</f>
        <v>NELSON ARIANE</v>
      </c>
      <c r="M248" s="6">
        <f t="shared" si="77"/>
        <v>1.6435185170848854E-3</v>
      </c>
      <c r="N248" s="7">
        <f t="shared" si="91"/>
        <v>2.366666664602235</v>
      </c>
      <c r="O248" s="7"/>
      <c r="P248" s="7"/>
      <c r="Q248" s="22"/>
      <c r="R248" s="190"/>
      <c r="S248" s="196">
        <f t="shared" si="90"/>
        <v>0</v>
      </c>
      <c r="T248" s="190" t="e">
        <f t="shared" si="78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79"/>
        <v>https://d0f6bd738d7f1b3e5a7ca70fe4ff75f0.us-east-1.aws.found.io/app/kibana#/discover/Steve-Slow-Train-Analysis-(2080s-and-2083s)?_g=(refreshInterval:(display:Off,pause:!f,section:0,value:0),time:(from:'2017-05-09T13:36:24-0600',mode:absolute,to:'2017-05-09T15:57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8" s="192" t="str">
        <f t="shared" si="80"/>
        <v>Y</v>
      </c>
      <c r="X248" s="192" t="e">
        <f t="shared" si="89"/>
        <v>#VALUE!</v>
      </c>
      <c r="Y248" s="192">
        <f t="shared" si="81"/>
        <v>0.1477</v>
      </c>
      <c r="Z248" s="192">
        <f t="shared" si="82"/>
        <v>0.36</v>
      </c>
      <c r="AA248" s="192">
        <f t="shared" si="83"/>
        <v>0.21229999999999999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84"/>
        <v>65-09</v>
      </c>
      <c r="AE248" s="80" t="str">
        <f t="shared" si="85"/>
        <v>aws s3 cp s3://rtdc.mdm.uploadarchive.raw/RTDC4032/ "%USERPROFILE%\AppData\Local\Temp\OnboardLogs"\RTDC4032\2017-05-09 --exclude "*" --recursive --include "*20170509*" &amp; "%USERPROFILE%\Documents\GitHub\mrs-test-scripts\Headless Mode &amp; Sideloading\WalkAndUnGZ.bat" "%USERPROFILE%\AppData\Local\Temp\OnboardLogs"\RTDC4032\2017-05-09 &amp; 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</v>
      </c>
      <c r="AF248" s="77" t="str">
        <f t="shared" si="86"/>
        <v>"C:\Program Files (x86)\AstroGrep\AstroGrep.exe" /e /r /s /spath="%USERPROFILE%\AppData\Local\Temp\OnboardLogs" /stypes="app*4032*20170509*" /stext=" 20:.+((SYSTEM_STATE.+slice.+state.+changed )|(ment ac)|(multiple cpu faults)|(system.+state.+changed )|(\[timeout)|(PRM\|1\|D)|(kpr)|(kdp)|(train st.+moving)|(\|lc)|(penalty))"</v>
      </c>
      <c r="AG248" s="1" t="str">
        <f t="shared" si="87"/>
        <v>Other</v>
      </c>
      <c r="AH248" s="81" t="str">
        <f t="shared" si="72"/>
        <v>"%USERPROFILE%\Documents\GitHub\eaglep3\Utilities\RefineRTDCRunTimes.py" --tripid 65-09 --locoid 4032 --swversion DE.1.0.9.0 --startMP 204:1477 --initTime 2017-05-09T14:36:24 --startdatetime 2017-05-09T14:55:21 --delay 2 --endMP 204:3600 --enddatetime 2017-05-09T14:57:43 --enforcementcount 0 &gt;&gt;C:\Users\stu\Documents\GitHub\eaglep3-reporting\EC\2017-05-09-refined-times.txt</v>
      </c>
      <c r="AI248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{"issue":{"subject":"","project_id":79,"tracker_id":40,"status_id":1,"priority_id":2,"assigned_to_id":23,"start_date":"2017-05-09","description":"","custom_fields":[{"id":1,"name":"Subdivision","value":"Other"},{"id":4,"name":"Milepost","value":"0.36"},{"id":17,"name":"Train ID","value":"65-09"},{"id":16,"name":"Locomotive ID","value":"4032"},{"id":130,"name":"Impact","value":""},{"id":150,"name":"Time of Event (Mountain Time)","value":"14:57:43"},{"id":151,"name":"Denver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74"/>
        <v>start /low /b %USERPROFILE%\Documents\GitHub\eaglep3\Utilities\DownloadLogsFromS3.py --loco 4032 --day 2017-05-09</v>
      </c>
      <c r="AN248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20:57:43"},{"id":29,"name":"Sharepoint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465</v>
      </c>
      <c r="B249" s="7">
        <v>4013</v>
      </c>
      <c r="C249" s="21" t="s">
        <v>207</v>
      </c>
      <c r="D249" s="21" t="s">
        <v>936</v>
      </c>
      <c r="E249" s="13">
        <v>42864.114027777781</v>
      </c>
      <c r="F249" s="13">
        <v>42864.128900462965</v>
      </c>
      <c r="G249" s="7">
        <v>2</v>
      </c>
      <c r="H249" s="21" t="s">
        <v>937</v>
      </c>
      <c r="I249" s="13">
        <v>42864.136574074073</v>
      </c>
      <c r="J249" s="7">
        <v>0</v>
      </c>
      <c r="K249" s="92" t="str">
        <f t="shared" si="76"/>
        <v>4013/4014</v>
      </c>
      <c r="L249" s="21" t="str">
        <f>VLOOKUP(A249,'Trips&amp;Operators'!$C$1:$G$99999,5,FALSE)</f>
        <v>GUZMAN DANNY</v>
      </c>
      <c r="M249" s="6">
        <f t="shared" si="77"/>
        <v>7.6736111077480018E-3</v>
      </c>
      <c r="N249" s="7">
        <f t="shared" si="91"/>
        <v>11.049999995157123</v>
      </c>
      <c r="O249" s="7"/>
      <c r="P249" s="7"/>
      <c r="Q249" s="22"/>
      <c r="R249" s="190"/>
      <c r="S249" s="196">
        <f t="shared" si="90"/>
        <v>0</v>
      </c>
      <c r="T249" s="190" t="e">
        <f t="shared" si="78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79"/>
        <v>https://d0f6bd738d7f1b3e5a7ca70fe4ff75f0.us-east-1.aws.found.io/app/kibana#/discover/Steve-Slow-Train-Analysis-(2080s-and-2083s)?_g=(refreshInterval:(display:Off,pause:!f,section:0,value:0),time:(from:'2017-05-09T01:44:12-0600',mode:absolute,to:'2017-05-09T04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9" s="192" t="str">
        <f t="shared" si="80"/>
        <v>Y</v>
      </c>
      <c r="X249" s="192" t="e">
        <f t="shared" si="89"/>
        <v>#VALUE!</v>
      </c>
      <c r="Y249" s="192">
        <f t="shared" si="81"/>
        <v>4.0637999999999996</v>
      </c>
      <c r="Z249" s="192">
        <f t="shared" si="82"/>
        <v>1.2830999999999999</v>
      </c>
      <c r="AA249" s="192">
        <f t="shared" si="83"/>
        <v>2.7806999999999995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84"/>
        <v>66-08</v>
      </c>
      <c r="AE249" s="80" t="str">
        <f t="shared" si="85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49" s="77" t="str">
        <f t="shared" si="86"/>
        <v>"C:\Program Files (x86)\AstroGrep\AstroGrep.exe" /e /r /s /spath="%USERPROFILE%\AppData\Local\Temp\OnboardLogs" /stypes="app*4013*20170509*" /stext=" 09:.+((SYSTEM_STATE.+slice.+state.+changed )|(ment ac)|(multiple cpu faults)|(system.+state.+changed )|(\[timeout)|(PRM\|1\|D)|(kpr)|(kdp)|(train st.+moving)|(\|lc)|(penalty))"</v>
      </c>
      <c r="AG249" s="1" t="str">
        <f t="shared" si="87"/>
        <v>Other</v>
      </c>
      <c r="AH249" s="81" t="str">
        <f t="shared" si="72"/>
        <v>"%USERPROFILE%\Documents\GitHub\eaglep3\Utilities\RefineRTDCRunTimes.py" --tripid 66-08 --locoid 4013 --swversion DE.1.0.9.0 --startMP 300:40638 --initTime 2017-05-09T02:44:12 --startdatetime 2017-05-09T03:05:37 --delay 2 --endMP 300:12831 --enddatetime 2017-05-09T03:16:40 --enforcementcount 0 &gt;&gt;C:\Users\stu\Documents\GitHub\eaglep3-reporting\EC\2017-05-09-refined-times.txt</v>
      </c>
      <c r="AI249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{"issue":{"subject":"","project_id":79,"tracker_id":40,"status_id":1,"priority_id":2,"assigned_to_id":23,"start_date":"2017-05-09","description":"","custom_fields":[{"id":1,"name":"Subdivision","value":"Other"},{"id":4,"name":"Milepost","value":"1.2831"},{"id":17,"name":"Train ID","value":"66-08"},{"id":16,"name":"Locomotive ID","value":"4013"},{"id":130,"name":"Impact","value":""},{"id":150,"name":"Time of Event (Mountain Time)","value":"03:16:40"},{"id":151,"name":"Denver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74"/>
        <v>start /low /b %USERPROFILE%\Documents\GitHub\eaglep3\Utilities\DownloadLogsFromS3.py --loco 4013 --day 2017-05-09</v>
      </c>
      <c r="AN249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465</v>
      </c>
      <c r="B250" s="7">
        <v>4013</v>
      </c>
      <c r="C250" s="21" t="s">
        <v>207</v>
      </c>
      <c r="D250" s="21" t="s">
        <v>529</v>
      </c>
      <c r="E250" s="13">
        <v>42864.083749999998</v>
      </c>
      <c r="F250" s="13">
        <v>42864.116111111114</v>
      </c>
      <c r="G250" s="7">
        <v>2</v>
      </c>
      <c r="H250" s="21" t="s">
        <v>530</v>
      </c>
      <c r="I250" s="13">
        <v>42864.116678240738</v>
      </c>
      <c r="J250" s="7">
        <v>0</v>
      </c>
      <c r="K250" s="92" t="str">
        <f t="shared" si="76"/>
        <v>4013/4014</v>
      </c>
      <c r="L250" s="21" t="str">
        <f>VLOOKUP(A250,'Trips&amp;Operators'!$C$1:$G$99999,5,FALSE)</f>
        <v>GUZMAN DANNY</v>
      </c>
      <c r="M250" s="6">
        <f t="shared" si="77"/>
        <v>5.6712962395977229E-4</v>
      </c>
      <c r="N250" s="7">
        <f t="shared" si="91"/>
        <v>0.8166666585020721</v>
      </c>
      <c r="O250" s="7"/>
      <c r="P250" s="7"/>
      <c r="Q250" s="22"/>
      <c r="R250" s="190"/>
      <c r="S250" s="196">
        <f t="shared" si="90"/>
        <v>0</v>
      </c>
      <c r="T250" s="190" t="e">
        <f t="shared" si="78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79"/>
        <v>https://d0f6bd738d7f1b3e5a7ca70fe4ff75f0.us-east-1.aws.found.io/app/kibana#/discover/Steve-Slow-Train-Analysis-(2080s-and-2083s)?_g=(refreshInterval:(display:Off,pause:!f,section:0,value:0),time:(from:'2017-05-09T01:00:36-0600',mode:absolute,to:'2017-05-09T03:48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0" s="192" t="str">
        <f t="shared" si="80"/>
        <v>Y</v>
      </c>
      <c r="X250" s="192" t="e">
        <f t="shared" si="89"/>
        <v>#VALUE!</v>
      </c>
      <c r="Y250" s="192">
        <f t="shared" si="81"/>
        <v>4.1322999999999999</v>
      </c>
      <c r="Z250" s="192">
        <f t="shared" si="82"/>
        <v>0.44569999999999999</v>
      </c>
      <c r="AA250" s="192">
        <f t="shared" si="83"/>
        <v>3.6865999999999999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84"/>
        <v>66-08</v>
      </c>
      <c r="AE250" s="80" t="str">
        <f t="shared" si="85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50" s="77" t="str">
        <f t="shared" si="86"/>
        <v>"C:\Program Files (x86)\AstroGrep\AstroGrep.exe" /e /r /s /spath="%USERPROFILE%\AppData\Local\Temp\OnboardLogs" /stypes="app*4013*20170509*" /stext=" 08:.+((SYSTEM_STATE.+slice.+state.+changed )|(ment ac)|(multiple cpu faults)|(system.+state.+changed )|(\[timeout)|(PRM\|1\|D)|(kpr)|(kdp)|(train st.+moving)|(\|lc)|(penalty))"</v>
      </c>
      <c r="AG250" s="1" t="str">
        <f t="shared" si="87"/>
        <v>Other</v>
      </c>
      <c r="AH250" s="81" t="str">
        <f t="shared" si="72"/>
        <v>"%USERPROFILE%\Documents\GitHub\eaglep3\Utilities\RefineRTDCRunTimes.py" --tripid 66-08 --locoid 4013 --swversion DE.1.0.9.0 --startMP 300:41323 --initTime 2017-05-09T02:00:36 --startdatetime 2017-05-09T02:47:12 --delay 2 --endMP 204:4457 --enddatetime 2017-05-09T02:48:01 --enforcementcount 0 &gt;&gt;C:\Users\stu\Documents\GitHub\eaglep3-reporting\EC\2017-05-09-refined-times.txt</v>
      </c>
      <c r="AI250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{"issue":{"subject":"","project_id":79,"tracker_id":40,"status_id":1,"priority_id":2,"assigned_to_id":23,"start_date":"2017-05-09","description":"","custom_fields":[{"id":1,"name":"Subdivision","value":"Other"},{"id":4,"name":"Milepost","value":"0.4457"},{"id":17,"name":"Train ID","value":"66-08"},{"id":16,"name":"Locomotive ID","value":"4013"},{"id":130,"name":"Impact","value":""},{"id":150,"name":"Time of Event (Mountain Time)","value":"02:48:01"},{"id":151,"name":"Denver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74"/>
        <v>start /low /b %USERPROFILE%\Documents\GitHub\eaglep3\Utilities\DownloadLogsFromS3.py --loco 4013 --day 2017-05-09</v>
      </c>
      <c r="AN250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08:48:01"},{"id":29,"name":"Sharepoint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465</v>
      </c>
      <c r="B251" s="7">
        <v>4014</v>
      </c>
      <c r="C251" s="21" t="s">
        <v>207</v>
      </c>
      <c r="D251" s="21" t="s">
        <v>531</v>
      </c>
      <c r="E251" s="13">
        <v>42864.101458333331</v>
      </c>
      <c r="F251" s="13">
        <v>42864.128900462965</v>
      </c>
      <c r="G251" s="7">
        <v>1</v>
      </c>
      <c r="H251" s="21" t="s">
        <v>532</v>
      </c>
      <c r="I251" s="13">
        <v>42864.136574074073</v>
      </c>
      <c r="J251" s="7">
        <v>0</v>
      </c>
      <c r="K251" s="92" t="str">
        <f t="shared" si="76"/>
        <v>4013/4014</v>
      </c>
      <c r="L251" s="21" t="str">
        <f>VLOOKUP(A251,'Trips&amp;Operators'!$C$1:$G$99999,5,FALSE)</f>
        <v>GUZMAN DANNY</v>
      </c>
      <c r="M251" s="6">
        <f t="shared" si="77"/>
        <v>7.6736111077480018E-3</v>
      </c>
      <c r="N251" s="7">
        <f t="shared" si="91"/>
        <v>11.049999995157123</v>
      </c>
      <c r="O251" s="7"/>
      <c r="P251" s="7"/>
      <c r="Q251" s="22"/>
      <c r="R251" s="190"/>
      <c r="S251" s="196">
        <f t="shared" si="90"/>
        <v>0</v>
      </c>
      <c r="T251" s="190" t="e">
        <f t="shared" si="78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79"/>
        <v>https://d0f6bd738d7f1b3e5a7ca70fe4ff75f0.us-east-1.aws.found.io/app/kibana#/discover/Steve-Slow-Train-Analysis-(2080s-and-2083s)?_g=(refreshInterval:(display:Off,pause:!f,section:0,value:0),time:(from:'2017-05-09T01:26:06-0600',mode:absolute,to:'2017-05-09T04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1" s="192" t="str">
        <f t="shared" si="80"/>
        <v>Y</v>
      </c>
      <c r="X251" s="192" t="e">
        <f t="shared" si="89"/>
        <v>#VALUE!</v>
      </c>
      <c r="Y251" s="192">
        <f t="shared" si="81"/>
        <v>3.27E-2</v>
      </c>
      <c r="Z251" s="192">
        <f t="shared" si="82"/>
        <v>4.2460000000000004</v>
      </c>
      <c r="AA251" s="192">
        <f t="shared" si="83"/>
        <v>4.2133000000000003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84"/>
        <v>66-08</v>
      </c>
      <c r="AE251" s="80" t="str">
        <f t="shared" si="85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51" s="77" t="str">
        <f t="shared" si="86"/>
        <v>"C:\Program Files (x86)\AstroGrep\AstroGrep.exe" /e /r /s /spath="%USERPROFILE%\AppData\Local\Temp\OnboardLogs" /stypes="app*4014*20170509*" /stext=" 09:.+((SYSTEM_STATE.+slice.+state.+changed )|(ment ac)|(multiple cpu faults)|(system.+state.+changed )|(\[timeout)|(PRM\|1\|D)|(kpr)|(kdp)|(train st.+moving)|(\|lc)|(penalty))"</v>
      </c>
      <c r="AG251" s="1" t="str">
        <f t="shared" si="87"/>
        <v>Other</v>
      </c>
      <c r="AH251" s="81" t="str">
        <f t="shared" si="72"/>
        <v>"%USERPROFILE%\Documents\GitHub\eaglep3\Utilities\RefineRTDCRunTimes.py" --tripid 66-08 --locoid 4014 --swversion DE.1.0.9.0 --startMP 204:327 --initTime 2017-05-09T02:26:06 --startdatetime 2017-05-09T03:05:37 --delay 1 --endMP 300:42460 --enddatetime 2017-05-09T03:16:40 --enforcementcount 0 &gt;&gt;C:\Users\stu\Documents\GitHub\eaglep3-reporting\EC\2017-05-09-refined-times.txt</v>
      </c>
      <c r="AI251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{"issue":{"subject":"","project_id":79,"tracker_id":40,"status_id":1,"priority_id":2,"assigned_to_id":23,"start_date":"2017-05-09","description":"","custom_fields":[{"id":1,"name":"Subdivision","value":"Other"},{"id":4,"name":"Milepost","value":"4.246"},{"id":17,"name":"Train ID","value":"66-08"},{"id":16,"name":"Locomotive ID","value":"4014"},{"id":130,"name":"Impact","value":""},{"id":150,"name":"Time of Event (Mountain Time)","value":"03:16:40"},{"id":151,"name":"Denver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74"/>
        <v>start /low /b %USERPROFILE%\Documents\GitHub\eaglep3\Utilities\DownloadLogsFromS3.py --loco 4014 --day 2017-05-09</v>
      </c>
      <c r="AN251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465</v>
      </c>
      <c r="B252" s="7">
        <v>4014</v>
      </c>
      <c r="C252" s="21" t="s">
        <v>207</v>
      </c>
      <c r="D252" s="21" t="s">
        <v>938</v>
      </c>
      <c r="E252" s="13">
        <v>42864.127500000002</v>
      </c>
      <c r="F252" s="13">
        <v>42864.128900462965</v>
      </c>
      <c r="G252" s="7">
        <v>1</v>
      </c>
      <c r="H252" s="21" t="s">
        <v>517</v>
      </c>
      <c r="I252" s="13">
        <v>42864.136574074073</v>
      </c>
      <c r="J252" s="7">
        <v>0</v>
      </c>
      <c r="K252" s="92" t="str">
        <f t="shared" si="76"/>
        <v>4013/4014</v>
      </c>
      <c r="L252" s="21" t="str">
        <f>VLOOKUP(A252,'Trips&amp;Operators'!$C$1:$G$99999,5,FALSE)</f>
        <v>GUZMAN DANNY</v>
      </c>
      <c r="M252" s="6">
        <f t="shared" si="77"/>
        <v>7.6736111077480018E-3</v>
      </c>
      <c r="N252" s="7">
        <f t="shared" si="91"/>
        <v>11.049999995157123</v>
      </c>
      <c r="O252" s="7"/>
      <c r="P252" s="7"/>
      <c r="Q252" s="22"/>
      <c r="R252" s="190"/>
      <c r="S252" s="196">
        <f t="shared" si="90"/>
        <v>0</v>
      </c>
      <c r="T252" s="190" t="e">
        <f t="shared" si="78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79"/>
        <v>https://d0f6bd738d7f1b3e5a7ca70fe4ff75f0.us-east-1.aws.found.io/app/kibana#/discover/Steve-Slow-Train-Analysis-(2080s-and-2083s)?_g=(refreshInterval:(display:Off,pause:!f,section:0,value:0),time:(from:'2017-05-09T02:03:36-0600',mode:absolute,to:'2017-05-09T04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2" s="192" t="str">
        <f t="shared" si="80"/>
        <v>Y</v>
      </c>
      <c r="X252" s="192" t="e">
        <f t="shared" si="89"/>
        <v>#VALUE!</v>
      </c>
      <c r="Y252" s="192">
        <f t="shared" si="81"/>
        <v>1.3169</v>
      </c>
      <c r="Z252" s="192">
        <f t="shared" si="82"/>
        <v>2.3300999999999998</v>
      </c>
      <c r="AA252" s="192">
        <f t="shared" si="83"/>
        <v>1.0131999999999999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84"/>
        <v>66-08</v>
      </c>
      <c r="AE252" s="80" t="str">
        <f t="shared" si="85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52" s="77" t="str">
        <f t="shared" si="86"/>
        <v>"C:\Program Files (x86)\AstroGrep\AstroGrep.exe" /e /r /s /spath="%USERPROFILE%\AppData\Local\Temp\OnboardLogs" /stypes="app*4014*20170509*" /stext=" 09:.+((SYSTEM_STATE.+slice.+state.+changed )|(ment ac)|(multiple cpu faults)|(system.+state.+changed )|(\[timeout)|(PRM\|1\|D)|(kpr)|(kdp)|(train st.+moving)|(\|lc)|(penalty))"</v>
      </c>
      <c r="AG252" s="1" t="str">
        <f t="shared" si="87"/>
        <v>Other</v>
      </c>
      <c r="AH252" s="81" t="str">
        <f t="shared" si="72"/>
        <v>"%USERPROFILE%\Documents\GitHub\eaglep3\Utilities\RefineRTDCRunTimes.py" --tripid 66-08 --locoid 4014 --swversion DE.1.0.9.0 --startMP 300:13169 --initTime 2017-05-09T03:03:36 --startdatetime 2017-05-09T03:05:37 --delay 1 --endMP 300:23301 --enddatetime 2017-05-09T03:16:40 --enforcementcount 0 &gt;&gt;C:\Users\stu\Documents\GitHub\eaglep3-reporting\EC\2017-05-09-refined-times.txt</v>
      </c>
      <c r="AI252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{"issue":{"subject":"","project_id":79,"tracker_id":40,"status_id":1,"priority_id":2,"assigned_to_id":23,"start_date":"2017-05-09","description":"","custom_fields":[{"id":1,"name":"Subdivision","value":"Other"},{"id":4,"name":"Milepost","value":"2.3301"},{"id":17,"name":"Train ID","value":"66-08"},{"id":16,"name":"Locomotive ID","value":"4014"},{"id":130,"name":"Impact","value":""},{"id":150,"name":"Time of Event (Mountain Time)","value":"03:16:40"},{"id":151,"name":"Denver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74"/>
        <v>start /low /b %USERPROFILE%\Documents\GitHub\eaglep3\Utilities\DownloadLogsFromS3.py --loco 4014 --day 2017-05-09</v>
      </c>
      <c r="AN252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734</v>
      </c>
      <c r="B253" s="7">
        <v>4010</v>
      </c>
      <c r="C253" s="21" t="s">
        <v>207</v>
      </c>
      <c r="D253" s="21" t="s">
        <v>939</v>
      </c>
      <c r="E253" s="13">
        <v>42864.680833333332</v>
      </c>
      <c r="F253" s="13">
        <v>42864.686273148145</v>
      </c>
      <c r="G253" s="7">
        <v>1</v>
      </c>
      <c r="H253" s="21" t="s">
        <v>897</v>
      </c>
      <c r="I253" s="13">
        <v>42864.69425925926</v>
      </c>
      <c r="J253" s="7">
        <v>0</v>
      </c>
      <c r="K253" s="92" t="str">
        <f t="shared" si="76"/>
        <v>4009/4010</v>
      </c>
      <c r="L253" s="21" t="str">
        <f>VLOOKUP(A253,'Trips&amp;Operators'!$C$1:$G$99999,5,FALSE)</f>
        <v>DE LA ROSA ALEX</v>
      </c>
      <c r="M253" s="6">
        <f t="shared" si="77"/>
        <v>7.9861111153149977E-3</v>
      </c>
      <c r="N253" s="7">
        <f t="shared" si="91"/>
        <v>11.500000006053597</v>
      </c>
      <c r="O253" s="7"/>
      <c r="P253" s="7"/>
      <c r="Q253" s="22"/>
      <c r="R253" s="190"/>
      <c r="S253" s="196">
        <f t="shared" si="90"/>
        <v>0</v>
      </c>
      <c r="T253" s="190" t="e">
        <f t="shared" si="78"/>
        <v>#VALUE!</v>
      </c>
      <c r="U253" s="190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1" t="str">
        <f t="shared" si="79"/>
        <v>https://d0f6bd738d7f1b3e5a7ca70fe4ff75f0.us-east-1.aws.found.io/app/kibana#/discover/Steve-Slow-Train-Analysis-(2080s-and-2083s)?_g=(refreshInterval:(display:Off,pause:!f,section:0,value:0),time:(from:'2017-05-09T15:20:24-0600',mode:absolute,to:'2017-05-09T17:39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3" s="192" t="str">
        <f t="shared" si="80"/>
        <v>Y</v>
      </c>
      <c r="X253" s="192" t="e">
        <f t="shared" si="89"/>
        <v>#VALUE!</v>
      </c>
      <c r="Y253" s="192">
        <f t="shared" si="81"/>
        <v>0.1484</v>
      </c>
      <c r="Z253" s="192">
        <f t="shared" si="82"/>
        <v>2.3306</v>
      </c>
      <c r="AA253" s="192">
        <f t="shared" si="83"/>
        <v>2.1821999999999999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84"/>
        <v>67-09</v>
      </c>
      <c r="AE253" s="80" t="str">
        <f t="shared" si="85"/>
        <v>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 &amp; aws s3 cp s3://rtdc.mdm.uploadarchive.raw/RTDC4010/ "%USERPROFILE%\AppData\Local\Temp\OnboardLogs"\RTDC4010\2017-05-10 --exclude "*" --recursive --include "*20170510*" &amp; "%USERPROFILE%\Documents\GitHub\mrs-test-scripts\Headless Mode &amp; Sideloading\WalkAndUnGZ.bat" "%USERPROFILE%\AppData\Local\Temp\OnboardLogs"\RTDC4010\2017-05-10</v>
      </c>
      <c r="AF253" s="77" t="str">
        <f t="shared" si="86"/>
        <v>"C:\Program Files (x86)\AstroGrep\AstroGrep.exe" /e /r /s /spath="%USERPROFILE%\AppData\Local\Temp\OnboardLogs" /stypes="app*4010*20170509*" /stext=" 22:.+((SYSTEM_STATE.+slice.+state.+changed )|(ment ac)|(multiple cpu faults)|(system.+state.+changed )|(\[timeout)|(PRM\|1\|D)|(kpr)|(kdp)|(train st.+moving)|(\|lc)|(penalty))"</v>
      </c>
      <c r="AG253" s="1" t="str">
        <f t="shared" si="87"/>
        <v>Other</v>
      </c>
      <c r="AH253" s="81" t="str">
        <f t="shared" si="72"/>
        <v>"%USERPROFILE%\Documents\GitHub\eaglep3\Utilities\RefineRTDCRunTimes.py" --tripid 67-09 --locoid 4010 --swversion DE.1.0.9.0 --startMP 204:1484 --initTime 2017-05-09T16:20:24 --startdatetime 2017-05-09T16:28:14 --delay 1 --endMP 300:23306 --enddatetime 2017-05-09T16:39:44 --enforcementcount 0 &gt;&gt;C:\Users\stu\Documents\GitHub\eaglep3-reporting\EC\2017-05-09-refined-times.txt</v>
      </c>
      <c r="AI253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{"issue":{"subject":"","project_id":79,"tracker_id":40,"status_id":1,"priority_id":2,"assigned_to_id":23,"start_date":"2017-05-09","description":"","custom_fields":[{"id":1,"name":"Subdivision","value":"Other"},{"id":4,"name":"Milepost","value":"2.3306"},{"id":17,"name":"Train ID","value":"67-09"},{"id":16,"name":"Locomotive ID","value":"4010"},{"id":130,"name":"Impact","value":""},{"id":150,"name":"Time of Event (Mountain Time)","value":"16:39:44"},{"id":151,"name":"Denver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74"/>
        <v>start /low /b %USERPROFILE%\Documents\GitHub\eaglep3\Utilities\DownloadLogsFromS3.py --loco 4010 --day 2017-05-09</v>
      </c>
      <c r="AN253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22:39:44"},{"id":29,"name":"Sharepoint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466</v>
      </c>
      <c r="B254" s="7">
        <v>4033</v>
      </c>
      <c r="C254" s="21" t="s">
        <v>207</v>
      </c>
      <c r="D254" s="21" t="s">
        <v>533</v>
      </c>
      <c r="E254" s="13">
        <v>42864.096944444442</v>
      </c>
      <c r="F254" s="13">
        <v>42864.136157407411</v>
      </c>
      <c r="G254" s="7">
        <v>1</v>
      </c>
      <c r="H254" s="21" t="s">
        <v>534</v>
      </c>
      <c r="I254" s="13">
        <v>42864.151712962965</v>
      </c>
      <c r="J254" s="7">
        <v>0</v>
      </c>
      <c r="K254" s="92" t="str">
        <f t="shared" si="76"/>
        <v>4033/4034</v>
      </c>
      <c r="L254" s="21" t="str">
        <f>VLOOKUP(A254,'Trips&amp;Operators'!$C$1:$G$99999,5,FALSE)</f>
        <v>WILLIAMS DONTE</v>
      </c>
      <c r="M254" s="6">
        <f t="shared" si="77"/>
        <v>1.5555555553874001E-2</v>
      </c>
      <c r="N254" s="7">
        <f t="shared" si="91"/>
        <v>22.399999997578561</v>
      </c>
      <c r="O254" s="7"/>
      <c r="P254" s="7"/>
      <c r="Q254" s="22"/>
      <c r="R254" s="190"/>
      <c r="S254" s="196">
        <f t="shared" si="90"/>
        <v>0</v>
      </c>
      <c r="T254" s="190" t="e">
        <f t="shared" si="78"/>
        <v>#VALUE!</v>
      </c>
      <c r="U254" s="190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1" t="str">
        <f t="shared" si="79"/>
        <v>https://d0f6bd738d7f1b3e5a7ca70fe4ff75f0.us-east-1.aws.found.io/app/kibana#/discover/Steve-Slow-Train-Analysis-(2080s-and-2083s)?_g=(refreshInterval:(display:Off,pause:!f,section:0,value:0),time:(from:'2017-05-09T01:19:36-0600',mode:absolute,to:'2017-05-09T04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54" s="192" t="str">
        <f t="shared" si="80"/>
        <v>N</v>
      </c>
      <c r="X254" s="192" t="e">
        <f t="shared" si="89"/>
        <v>#VALUE!</v>
      </c>
      <c r="Y254" s="192">
        <f t="shared" si="81"/>
        <v>23.2879</v>
      </c>
      <c r="Z254" s="192">
        <f t="shared" si="82"/>
        <v>8.3999999999999995E-3</v>
      </c>
      <c r="AA254" s="192">
        <f t="shared" si="83"/>
        <v>23.279499999999999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84"/>
        <v>72-08</v>
      </c>
      <c r="AE254" s="80" t="str">
        <f t="shared" si="85"/>
        <v>aws s3 cp s3://rtdc.mdm.uploadarchive.raw/RTDC4033/ "%USERPROFILE%\AppData\Local\Temp\OnboardLogs"\RTDC4033\2017-05-09 --exclude "*" --recursive --include "*20170509*" &amp; "%USERPROFILE%\Documents\GitHub\mrs-test-scripts\Headless Mode &amp; Sideloading\WalkAndUnGZ.bat" "%USERPROFILE%\AppData\Local\Temp\OnboardLogs"\RTDC4033\2017-05-09 &amp; aws s3 cp s3://rtdc.mdm.uploadarchive.raw/RTDC4033/ "%USERPROFILE%\AppData\Local\Temp\OnboardLogs"\RTDC4033\2017-05-10 --exclude "*" --recursive --include "*20170510*" &amp; "%USERPROFILE%\Documents\GitHub\mrs-test-scripts\Headless Mode &amp; Sideloading\WalkAndUnGZ.bat" "%USERPROFILE%\AppData\Local\Temp\OnboardLogs"\RTDC4033\2017-05-10</v>
      </c>
      <c r="AF254" s="77" t="str">
        <f t="shared" si="86"/>
        <v>"C:\Program Files (x86)\AstroGrep\AstroGrep.exe" /e /r /s /spath="%USERPROFILE%\AppData\Local\Temp\OnboardLogs" /stypes="app*4033*20170509*" /stext=" 09:.+((SYSTEM_STATE.+slice.+state.+changed )|(ment ac)|(multiple cpu faults)|(system.+state.+changed )|(\[timeout)|(PRM\|1\|D)|(kpr)|(kdp)|(train st.+moving)|(\|lc)|(penalty))"</v>
      </c>
      <c r="AG254" s="1" t="str">
        <f t="shared" si="87"/>
        <v>Other</v>
      </c>
      <c r="AH254" s="81" t="str">
        <f t="shared" si="72"/>
        <v>"%USERPROFILE%\Documents\GitHub\eaglep3\Utilities\RefineRTDCRunTimes.py" --tripid 72-08 --locoid 4033 --swversion DE.1.0.9.0 --startMP 204:232879 --initTime 2017-05-09T02:19:36 --startdatetime 2017-05-09T03:16:04 --delay 1 --endMP 204:84 --enddatetime 2017-05-09T03:38:28 --enforcementcount 0 &gt;&gt;C:\Users\stu\Documents\GitHub\eaglep3-reporting\EC\2017-05-09-refined-times.txt</v>
      </c>
      <c r="AI254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{"issue":{"subject":"","project_id":79,"tracker_id":40,"status_id":1,"priority_id":2,"assigned_to_id":23,"start_date":"2017-05-09","description":"","custom_fields":[{"id":1,"name":"Subdivision","value":"Other"},{"id":4,"name":"Milepost","value":"0.0084"},{"id":17,"name":"Train ID","value":"72-08"},{"id":16,"name":"Locomotive ID","value":"4033"},{"id":130,"name":"Impact","value":""},{"id":150,"name":"Time of Event (Mountain Time)","value":"03:38:28"},{"id":151,"name":"Denver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74"/>
        <v>start /low /b %USERPROFILE%\Documents\GitHub\eaglep3\Utilities\DownloadLogsFromS3.py --loco 4033 --day 2017-05-09</v>
      </c>
      <c r="AN254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466</v>
      </c>
      <c r="B255" s="7">
        <v>4034</v>
      </c>
      <c r="C255" s="21" t="s">
        <v>207</v>
      </c>
      <c r="D255" s="21" t="s">
        <v>535</v>
      </c>
      <c r="E255" s="13">
        <v>42864.085636574076</v>
      </c>
      <c r="F255" s="13">
        <v>42864.098692129628</v>
      </c>
      <c r="G255" s="7">
        <v>1</v>
      </c>
      <c r="H255" s="21" t="s">
        <v>536</v>
      </c>
      <c r="I255" s="13">
        <v>42864.132210648146</v>
      </c>
      <c r="J255" s="7">
        <v>0</v>
      </c>
      <c r="K255" s="92" t="str">
        <f t="shared" si="76"/>
        <v>4033/4034</v>
      </c>
      <c r="L255" s="21" t="str">
        <f>VLOOKUP(A255,'Trips&amp;Operators'!$C$1:$G$99999,5,FALSE)</f>
        <v>WILLIAMS DONTE</v>
      </c>
      <c r="M255" s="6">
        <f t="shared" si="77"/>
        <v>3.3518518517666962E-2</v>
      </c>
      <c r="N255" s="7">
        <f t="shared" si="91"/>
        <v>48.266666665440425</v>
      </c>
      <c r="O255" s="7"/>
      <c r="P255" s="7"/>
      <c r="Q255" s="22"/>
      <c r="R255" s="190"/>
      <c r="S255" s="196">
        <f t="shared" si="90"/>
        <v>0</v>
      </c>
      <c r="T255" s="190" t="e">
        <f t="shared" si="78"/>
        <v>#VALUE!</v>
      </c>
      <c r="U255" s="190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1" t="str">
        <f t="shared" si="79"/>
        <v>https://d0f6bd738d7f1b3e5a7ca70fe4ff75f0.us-east-1.aws.found.io/app/kibana#/discover/Steve-Slow-Train-Analysis-(2080s-and-2083s)?_g=(refreshInterval:(display:Off,pause:!f,section:0,value:0),time:(from:'2017-05-09T01:03:19-0600',mode:absolute,to:'2017-05-09T04:10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5" s="192" t="str">
        <f t="shared" si="80"/>
        <v>N</v>
      </c>
      <c r="X255" s="192" t="e">
        <f t="shared" si="89"/>
        <v>#VALUE!</v>
      </c>
      <c r="Y255" s="192">
        <f t="shared" si="81"/>
        <v>15.424099999999999</v>
      </c>
      <c r="Z255" s="192">
        <f t="shared" si="82"/>
        <v>23.3188</v>
      </c>
      <c r="AA255" s="192">
        <f t="shared" si="83"/>
        <v>7.8947000000000003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84"/>
        <v>72-08</v>
      </c>
      <c r="AE255" s="80" t="str">
        <f t="shared" si="85"/>
        <v>aws s3 cp s3://rtdc.mdm.uploadarchive.raw/RTDC4034/ "%USERPROFILE%\AppData\Local\Temp\OnboardLogs"\RTDC4034\2017-05-09 --exclude "*" --recursive --include "*20170509*" &amp; "%USERPROFILE%\Documents\GitHub\mrs-test-scripts\Headless Mode &amp; Sideloading\WalkAndUnGZ.bat" "%USERPROFILE%\AppData\Local\Temp\OnboardLogs"\RTDC4034\2017-05-09 &amp; aws s3 cp s3://rtdc.mdm.uploadarchive.raw/RTDC4034/ "%USERPROFILE%\AppData\Local\Temp\OnboardLogs"\RTDC4034\2017-05-10 --exclude "*" --recursive --include "*20170510*" &amp; "%USERPROFILE%\Documents\GitHub\mrs-test-scripts\Headless Mode &amp; Sideloading\WalkAndUnGZ.bat" "%USERPROFILE%\AppData\Local\Temp\OnboardLogs"\RTDC4034\2017-05-10</v>
      </c>
      <c r="AF255" s="77" t="str">
        <f t="shared" si="86"/>
        <v>"C:\Program Files (x86)\AstroGrep\AstroGrep.exe" /e /r /s /spath="%USERPROFILE%\AppData\Local\Temp\OnboardLogs" /stypes="app*4034*20170509*" /stext=" 09:.+((SYSTEM_STATE.+slice.+state.+changed )|(ment ac)|(multiple cpu faults)|(system.+state.+changed )|(\[timeout)|(PRM\|1\|D)|(kpr)|(kdp)|(train st.+moving)|(\|lc)|(penalty))"</v>
      </c>
      <c r="AG255" s="1" t="str">
        <f t="shared" si="87"/>
        <v>Other</v>
      </c>
      <c r="AH255" s="81" t="str">
        <f t="shared" si="72"/>
        <v>"%USERPROFILE%\Documents\GitHub\eaglep3\Utilities\RefineRTDCRunTimes.py" --tripid 72-08 --locoid 4034 --swversion DE.1.0.9.0 --startMP 204:154241 --initTime 2017-05-09T02:03:19 --startdatetime 2017-05-09T02:22:07 --delay 1 --endMP 204:233188 --enddatetime 2017-05-09T03:10:23 --enforcementcount 0 &gt;&gt;C:\Users\stu\Documents\GitHub\eaglep3-reporting\EC\2017-05-09-refined-times.txt</v>
      </c>
      <c r="AI255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{"issue":{"subject":"","project_id":79,"tracker_id":40,"status_id":1,"priority_id":2,"assigned_to_id":23,"start_date":"2017-05-09","description":"","custom_fields":[{"id":1,"name":"Subdivision","value":"Other"},{"id":4,"name":"Milepost","value":"23.3188"},{"id":17,"name":"Train ID","value":"72-08"},{"id":16,"name":"Locomotive ID","value":"4034"},{"id":130,"name":"Impact","value":""},{"id":150,"name":"Time of Event (Mountain Time)","value":"03:10:23"},{"id":151,"name":"Denver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74"/>
        <v>start /low /b %USERPROFILE%\Documents\GitHub\eaglep3\Utilities\DownloadLogsFromS3.py --loco 4034 --day 2017-05-09</v>
      </c>
      <c r="AN255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466</v>
      </c>
      <c r="B256" s="7">
        <v>4034</v>
      </c>
      <c r="C256" s="21" t="s">
        <v>207</v>
      </c>
      <c r="D256" s="21" t="s">
        <v>940</v>
      </c>
      <c r="E256" s="13">
        <v>42864.133726851855</v>
      </c>
      <c r="F256" s="13">
        <v>42864.136157407411</v>
      </c>
      <c r="G256" s="7">
        <v>1</v>
      </c>
      <c r="H256" s="21" t="s">
        <v>941</v>
      </c>
      <c r="I256" s="13">
        <v>42864.151712962965</v>
      </c>
      <c r="J256" s="7">
        <v>0</v>
      </c>
      <c r="K256" s="92" t="str">
        <f t="shared" si="76"/>
        <v>4033/4034</v>
      </c>
      <c r="L256" s="21" t="str">
        <f>VLOOKUP(A256,'Trips&amp;Operators'!$C$1:$G$99999,5,FALSE)</f>
        <v>WILLIAMS DONTE</v>
      </c>
      <c r="M256" s="6">
        <f t="shared" si="77"/>
        <v>1.5555555553874001E-2</v>
      </c>
      <c r="N256" s="7">
        <f t="shared" si="91"/>
        <v>22.399999997578561</v>
      </c>
      <c r="O256" s="7"/>
      <c r="P256" s="7"/>
      <c r="Q256" s="22"/>
      <c r="R256" s="190"/>
      <c r="S256" s="196">
        <f t="shared" si="90"/>
        <v>0</v>
      </c>
      <c r="T256" s="190" t="e">
        <f t="shared" si="78"/>
        <v>#VALUE!</v>
      </c>
      <c r="U256" s="190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1" t="str">
        <f t="shared" si="79"/>
        <v>https://d0f6bd738d7f1b3e5a7ca70fe4ff75f0.us-east-1.aws.found.io/app/kibana#/discover/Steve-Slow-Train-Analysis-(2080s-and-2083s)?_g=(refreshInterval:(display:Off,pause:!f,section:0,value:0),time:(from:'2017-05-09T02:12:34-0600',mode:absolute,to:'2017-05-09T04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6" s="192" t="str">
        <f t="shared" si="80"/>
        <v>Y</v>
      </c>
      <c r="X256" s="192" t="e">
        <f t="shared" ref="X256:X263" si="92">VALUE(LEFT(AD256,4))-VALUE(LEFT(AD255,4))</f>
        <v>#VALUE!</v>
      </c>
      <c r="Y256" s="192">
        <f t="shared" si="81"/>
        <v>3.8600000000000002E-2</v>
      </c>
      <c r="Z256" s="192">
        <f t="shared" si="82"/>
        <v>2.3294999999999999</v>
      </c>
      <c r="AA256" s="192">
        <f t="shared" si="83"/>
        <v>2.2908999999999997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84"/>
        <v>72-08</v>
      </c>
      <c r="AE256" s="80" t="str">
        <f t="shared" si="85"/>
        <v>aws s3 cp s3://rtdc.mdm.uploadarchive.raw/RTDC4034/ "%USERPROFILE%\AppData\Local\Temp\OnboardLogs"\RTDC4034\2017-05-09 --exclude "*" --recursive --include "*20170509*" &amp; "%USERPROFILE%\Documents\GitHub\mrs-test-scripts\Headless Mode &amp; Sideloading\WalkAndUnGZ.bat" "%USERPROFILE%\AppData\Local\Temp\OnboardLogs"\RTDC4034\2017-05-09 &amp; aws s3 cp s3://rtdc.mdm.uploadarchive.raw/RTDC4034/ "%USERPROFILE%\AppData\Local\Temp\OnboardLogs"\RTDC4034\2017-05-10 --exclude "*" --recursive --include "*20170510*" &amp; "%USERPROFILE%\Documents\GitHub\mrs-test-scripts\Headless Mode &amp; Sideloading\WalkAndUnGZ.bat" "%USERPROFILE%\AppData\Local\Temp\OnboardLogs"\RTDC4034\2017-05-10</v>
      </c>
      <c r="AF256" s="77" t="str">
        <f t="shared" si="86"/>
        <v>"C:\Program Files (x86)\AstroGrep\AstroGrep.exe" /e /r /s /spath="%USERPROFILE%\AppData\Local\Temp\OnboardLogs" /stypes="app*4034*20170509*" /stext=" 09:.+((SYSTEM_STATE.+slice.+state.+changed )|(ment ac)|(multiple cpu faults)|(system.+state.+changed )|(\[timeout)|(PRM\|1\|D)|(kpr)|(kdp)|(train st.+moving)|(\|lc)|(penalty))"</v>
      </c>
      <c r="AG256" s="1" t="str">
        <f t="shared" si="87"/>
        <v>Other</v>
      </c>
      <c r="AH256" s="81" t="str">
        <f t="shared" si="72"/>
        <v>"%USERPROFILE%\Documents\GitHub\eaglep3\Utilities\RefineRTDCRunTimes.py" --tripid 72-08 --locoid 4034 --swversion DE.1.0.9.0 --startMP 204:386 --initTime 2017-05-09T03:12:34 --startdatetime 2017-05-09T03:16:04 --delay 1 --endMP 300:23295 --enddatetime 2017-05-09T03:38:28 --enforcementcount 0 &gt;&gt;C:\Users\stu\Documents\GitHub\eaglep3-reporting\EC\2017-05-09-refined-times.txt</v>
      </c>
      <c r="AI256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{"issue":{"subject":"","project_id":79,"tracker_id":40,"status_id":1,"priority_id":2,"assigned_to_id":23,"start_date":"2017-05-09","description":"","custom_fields":[{"id":1,"name":"Subdivision","value":"Other"},{"id":4,"name":"Milepost","value":"2.3295"},{"id":17,"name":"Train ID","value":"72-08"},{"id":16,"name":"Locomotive ID","value":"4034"},{"id":130,"name":"Impact","value":""},{"id":150,"name":"Time of Event (Mountain Time)","value":"03:38:28"},{"id":151,"name":"Denver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74"/>
        <v>start /low /b %USERPROFILE%\Documents\GitHub\eaglep3\Utilities\DownloadLogsFromS3.py --loco 4034 --day 2017-05-09</v>
      </c>
      <c r="AN256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09:38:28"},{"id":29,"name":"Sharepoint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751</v>
      </c>
      <c r="B257" s="7">
        <v>4004</v>
      </c>
      <c r="C257" s="21" t="s">
        <v>207</v>
      </c>
      <c r="D257" s="21" t="s">
        <v>956</v>
      </c>
      <c r="E257" s="13">
        <v>42864.730682870373</v>
      </c>
      <c r="F257" s="13">
        <v>42864.735937500001</v>
      </c>
      <c r="G257" s="7">
        <v>1</v>
      </c>
      <c r="H257" s="21" t="s">
        <v>369</v>
      </c>
      <c r="I257" s="13">
        <v>42864.744027777779</v>
      </c>
      <c r="J257" s="7">
        <v>0</v>
      </c>
      <c r="K257" s="92" t="str">
        <f t="shared" si="76"/>
        <v>4003/4004</v>
      </c>
      <c r="L257" s="21" t="str">
        <f>VLOOKUP(A257,'Trips&amp;Operators'!$C$1:$G$99999,5,FALSE)</f>
        <v>NELSON ARIANE</v>
      </c>
      <c r="M257" s="6">
        <f t="shared" si="77"/>
        <v>8.0902777772280388E-3</v>
      </c>
      <c r="N257" s="7">
        <f t="shared" si="91"/>
        <v>11.649999999208376</v>
      </c>
      <c r="O257" s="7"/>
      <c r="P257" s="7"/>
      <c r="Q257" s="22"/>
      <c r="R257" s="190"/>
      <c r="S257" s="196">
        <f t="shared" si="90"/>
        <v>0</v>
      </c>
      <c r="T257" s="190" t="e">
        <f t="shared" si="78"/>
        <v>#VALUE!</v>
      </c>
      <c r="U257" s="190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1" t="str">
        <f t="shared" si="79"/>
        <v>https://d0f6bd738d7f1b3e5a7ca70fe4ff75f0.us-east-1.aws.found.io/app/kibana#/discover/Steve-Slow-Train-Analysis-(2080s-and-2083s)?_g=(refreshInterval:(display:Off,pause:!f,section:0,value:0),time:(from:'2017-05-09T16:32:11-0600',mode:absolute,to:'2017-05-09T18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7" s="192" t="str">
        <f t="shared" si="80"/>
        <v>Y</v>
      </c>
      <c r="X257" s="192" t="e">
        <f t="shared" si="92"/>
        <v>#VALUE!</v>
      </c>
      <c r="Y257" s="192">
        <f t="shared" si="81"/>
        <v>0.1147</v>
      </c>
      <c r="Z257" s="192">
        <f t="shared" si="82"/>
        <v>2.3346</v>
      </c>
      <c r="AA257" s="192">
        <f t="shared" si="83"/>
        <v>2.2199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84"/>
        <v>81-09</v>
      </c>
      <c r="AE257" s="80" t="str">
        <f t="shared" si="85"/>
        <v>aws s3 cp s3://rtdc.mdm.uploadarchive.raw/RTDC4004/ "%USERPROFILE%\AppData\Local\Temp\OnboardLogs"\RTDC4004\2017-05-09 --exclude "*" --recursive --include "*20170509*" &amp; "%USERPROFILE%\Documents\GitHub\mrs-test-scripts\Headless Mode &amp; Sideloading\WalkAndUnGZ.bat" "%USERPROFILE%\AppData\Local\Temp\OnboardLogs"\RTDC4004\2017-05-09 &amp; aws s3 cp s3://rtdc.mdm.uploadarchive.raw/RTDC4004/ "%USERPROFILE%\AppData\Local\Temp\OnboardLogs"\RTDC4004\2017-05-10 --exclude "*" --recursive --include "*20170510*" &amp; "%USERPROFILE%\Documents\GitHub\mrs-test-scripts\Headless Mode &amp; Sideloading\WalkAndUnGZ.bat" "%USERPROFILE%\AppData\Local\Temp\OnboardLogs"\RTDC4004\2017-05-10</v>
      </c>
      <c r="AF257" s="77" t="str">
        <f t="shared" si="86"/>
        <v>"C:\Program Files (x86)\AstroGrep\AstroGrep.exe" /e /r /s /spath="%USERPROFILE%\AppData\Local\Temp\OnboardLogs" /stypes="app*4004*20170509*" /stext=" 23:.+((SYSTEM_STATE.+slice.+state.+changed )|(ment ac)|(multiple cpu faults)|(system.+state.+changed )|(\[timeout)|(PRM\|1\|D)|(kpr)|(kdp)|(train st.+moving)|(\|lc)|(penalty))"</v>
      </c>
      <c r="AG257" s="1" t="str">
        <f t="shared" si="87"/>
        <v>Other</v>
      </c>
      <c r="AH257" s="81" t="str">
        <f t="shared" si="72"/>
        <v>"%USERPROFILE%\Documents\GitHub\eaglep3\Utilities\RefineRTDCRunTimes.py" --tripid 81-09 --locoid 4004 --swversion DE.1.0.9.0 --startMP 204:1147 --initTime 2017-05-09T17:32:11 --startdatetime 2017-05-09T17:39:45 --delay 1 --endMP 300:23346 --enddatetime 2017-05-09T17:51:24 --enforcementcount 0 &gt;&gt;C:\Users\stu\Documents\GitHub\eaglep3-reporting\EC\2017-05-09-refined-times.txt</v>
      </c>
      <c r="AI257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{"issue":{"subject":"","project_id":79,"tracker_id":40,"status_id":1,"priority_id":2,"assigned_to_id":23,"start_date":"2017-05-09","description":"","custom_fields":[{"id":1,"name":"Subdivision","value":"Other"},{"id":4,"name":"Milepost","value":"2.3346"},{"id":17,"name":"Train ID","value":"81-09"},{"id":16,"name":"Locomotive ID","value":"4004"},{"id":130,"name":"Impact","value":""},{"id":150,"name":"Time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74"/>
        <v>start /low /b %USERPROFILE%\Documents\GitHub\eaglep3\Utilities\DownloadLogsFromS3.py --loco 4004 --day 2017-05-09</v>
      </c>
      <c r="AN257" s="154" t="str">
        <f t="shared" si="75"/>
        <v>echo {"issue":{"subject":"","project_id":30,"tracker_id":4,"status_id":1,"priority_id":1,"assigned_to_id":10,"start_date":"2017-05-09","description":"","custom_fields":[{"id":30,"name":"Category","value":"Issue"},{"id":3,"name":"Functional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UTC","value":"2017-05-09 23:51:24"},{"id":29,"name":"Sharepoint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600</v>
      </c>
      <c r="B258" s="7">
        <v>4014</v>
      </c>
      <c r="C258" s="21" t="s">
        <v>207</v>
      </c>
      <c r="D258" s="21" t="s">
        <v>1000</v>
      </c>
      <c r="E258" s="13">
        <v>42864.997361111113</v>
      </c>
      <c r="F258" s="13">
        <v>42865.00571759259</v>
      </c>
      <c r="G258" s="7">
        <v>2</v>
      </c>
      <c r="H258" s="21" t="s">
        <v>1001</v>
      </c>
      <c r="I258" s="13">
        <v>42865.011018518519</v>
      </c>
      <c r="J258" s="7">
        <v>0</v>
      </c>
      <c r="K258" s="92" t="str">
        <f t="shared" si="76"/>
        <v>4013/4014</v>
      </c>
      <c r="L258" s="21" t="str">
        <f>VLOOKUP(A258,'Trips&amp;Operators'!$C$1:$G$99999,5,FALSE)</f>
        <v>GUZMAN DANNY</v>
      </c>
      <c r="M258" s="6">
        <f t="shared" si="77"/>
        <v>5.3009259281679988E-3</v>
      </c>
      <c r="N258" s="7">
        <f t="shared" si="91"/>
        <v>7.6333333365619183</v>
      </c>
      <c r="O258" s="7"/>
      <c r="P258" s="7"/>
      <c r="Q258" s="22"/>
      <c r="R258" s="190"/>
      <c r="S258" s="196">
        <f t="shared" si="90"/>
        <v>0</v>
      </c>
      <c r="T258" s="190" t="e">
        <f t="shared" si="78"/>
        <v>#VALUE!</v>
      </c>
      <c r="U258" s="190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1" t="str">
        <f t="shared" si="79"/>
        <v>https://d0f6bd738d7f1b3e5a7ca70fe4ff75f0.us-east-1.aws.found.io/app/kibana#/discover/Steve-Slow-Train-Analysis-(2080s-and-2083s)?_g=(refreshInterval:(display:Off,pause:!f,section:0,value:0),time:(from:'2017-05-09T22:56:12-0600',mode:absolute,to:'2017-05-10T01:15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8" s="192" t="str">
        <f t="shared" si="80"/>
        <v>Y</v>
      </c>
      <c r="X258" s="192" t="e">
        <f t="shared" si="92"/>
        <v>#VALUE!</v>
      </c>
      <c r="Y258" s="192">
        <f t="shared" si="81"/>
        <v>0.14649999999999999</v>
      </c>
      <c r="Z258" s="192">
        <f t="shared" si="82"/>
        <v>2.5121000000000002</v>
      </c>
      <c r="AA258" s="192">
        <f t="shared" si="83"/>
        <v>2.3656000000000001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84"/>
        <v>87-09</v>
      </c>
      <c r="AE258" s="80" t="str">
        <f t="shared" si="85"/>
        <v>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 &amp; 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</v>
      </c>
      <c r="AF258" s="77" t="str">
        <f t="shared" si="86"/>
        <v>"C:\Program Files (x86)\AstroGrep\AstroGrep.exe" /e /r /s /spath="%USERPROFILE%\AppData\Local\Temp\OnboardLogs" /stypes="app*4014*20170510*" /stext=" 06:.+((SYSTEM_STATE.+slice.+state.+changed )|(ment ac)|(multiple cpu faults)|(system.+state.+changed )|(\[timeout)|(PRM\|1\|D)|(kpr)|(kdp)|(train st.+moving)|(\|lc)|(penalty))"</v>
      </c>
      <c r="AG258" s="1" t="str">
        <f t="shared" si="87"/>
        <v>Other</v>
      </c>
      <c r="AH258" s="81" t="str">
        <f t="shared" si="72"/>
        <v>"%USERPROFILE%\Documents\GitHub\eaglep3\Utilities\RefineRTDCRunTimes.py" --tripid 87-09 --locoid 4014 --swversion DE.1.0.9.0 --startMP 204:1465 --initTime 2017-05-09T23:56:12 --startdatetime 2017-05-10T00:08:14 --delay 2 --endMP 300:25121 --enddatetime 2017-05-10T00:15:52 --enforcementcount 0 &gt;&gt;C:\Users\stu\Documents\GitHub\eaglep3-reporting\EC\2017-05-09-refined-times.txt</v>
      </c>
      <c r="AI258" s="99" t="str">
        <f t="shared" si="73"/>
        <v>echo {"issue":{"subject":"","project_id":79,"tracker_id":40,"status_id":1,"priority_id":2,"assigned_to_id":23,"start_date":"2017-05-10","description":"","custom_fields":[{"id":1,"name":"Subdivision","value":"Other"},{"id":4,"name":"Milepost","value":"2.5121"},{"id":17,"name":"Train ID","value":"87-09"},{"id":16,"name":"Locomotive ID","value":"4014"},{"id":130,"name":"Impact","value":""},{"id":150,"name":"Time of Event (Mountain Time)","value":"00:15:52"},{"id":151,"name":"Denver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74"/>
        <v>start /low /b %USERPROFILE%\Documents\GitHub\eaglep3\Utilities\DownloadLogsFromS3.py --loco 4014 --day 2017-05-10</v>
      </c>
      <c r="AN258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06:15:52"},{"id":29,"name":"Sharepoint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600</v>
      </c>
      <c r="B259" s="7">
        <v>4014</v>
      </c>
      <c r="C259" s="21" t="s">
        <v>207</v>
      </c>
      <c r="D259" s="21" t="s">
        <v>1002</v>
      </c>
      <c r="E259" s="13">
        <v>42864.962442129632</v>
      </c>
      <c r="F259" s="13">
        <v>42864.977673611109</v>
      </c>
      <c r="G259" s="7">
        <v>2</v>
      </c>
      <c r="H259" s="21" t="s">
        <v>1003</v>
      </c>
      <c r="I259" s="13">
        <v>42864.978043981479</v>
      </c>
      <c r="J259" s="7">
        <v>0</v>
      </c>
      <c r="K259" s="92" t="str">
        <f t="shared" si="76"/>
        <v>4013/4014</v>
      </c>
      <c r="L259" s="21" t="str">
        <f>VLOOKUP(A259,'Trips&amp;Operators'!$C$1:$G$99999,5,FALSE)</f>
        <v>GUZMAN DANNY</v>
      </c>
      <c r="M259" s="6">
        <f t="shared" si="77"/>
        <v>3.7037036963738501E-4</v>
      </c>
      <c r="N259" s="7">
        <f t="shared" si="91"/>
        <v>0.53333333227783442</v>
      </c>
      <c r="O259" s="7"/>
      <c r="P259" s="7"/>
      <c r="Q259" s="22"/>
      <c r="R259" s="190"/>
      <c r="S259" s="196">
        <f t="shared" si="90"/>
        <v>0</v>
      </c>
      <c r="T259" s="190" t="e">
        <f t="shared" si="78"/>
        <v>#VALUE!</v>
      </c>
      <c r="U259" s="190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1" t="str">
        <f t="shared" si="79"/>
        <v>https://d0f6bd738d7f1b3e5a7ca70fe4ff75f0.us-east-1.aws.found.io/app/kibana#/discover/Steve-Slow-Train-Analysis-(2080s-and-2083s)?_g=(refreshInterval:(display:Off,pause:!f,section:0,value:0),time:(from:'2017-05-09T22:05:55-0600',mode:absolute,to:'2017-05-10T00:28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9" s="192" t="str">
        <f t="shared" si="80"/>
        <v>Y</v>
      </c>
      <c r="X259" s="192" t="e">
        <f t="shared" si="92"/>
        <v>#VALUE!</v>
      </c>
      <c r="Y259" s="192">
        <f t="shared" si="81"/>
        <v>0.1469</v>
      </c>
      <c r="Z259" s="192">
        <f t="shared" si="82"/>
        <v>2.3671000000000002</v>
      </c>
      <c r="AA259" s="192">
        <f t="shared" si="83"/>
        <v>2.2202000000000002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84"/>
        <v>87-09</v>
      </c>
      <c r="AE259" s="80" t="str">
        <f t="shared" si="85"/>
        <v>aws s3 cp s3://rtdc.mdm.uploadarchive.raw/RTDC4014/ "%USERPROFILE%\AppData\Local\Temp\OnboardLogs"\RTDC4014\2017-05-09 --exclude "*" --recursive --include "*20170509*" &amp; "%USERPROFILE%\Documents\GitHub\mrs-test-scripts\Headless Mode &amp; Sideloading\WalkAndUnGZ.bat" "%USERPROFILE%\AppData\Local\Temp\OnboardLogs"\RTDC4014\2017-05-09 &amp; 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</v>
      </c>
      <c r="AF259" s="77" t="str">
        <f t="shared" si="86"/>
        <v>"C:\Program Files (x86)\AstroGrep\AstroGrep.exe" /e /r /s /spath="%USERPROFILE%\AppData\Local\Temp\OnboardLogs" /stypes="app*4014*20170510*" /stext=" 05:.+((SYSTEM_STATE.+slice.+state.+changed )|(ment ac)|(multiple cpu faults)|(system.+state.+changed )|(\[timeout)|(PRM\|1\|D)|(kpr)|(kdp)|(train st.+moving)|(\|lc)|(penalty))"</v>
      </c>
      <c r="AG259" s="1" t="str">
        <f t="shared" si="87"/>
        <v>Other</v>
      </c>
      <c r="AH259" s="81" t="str">
        <f t="shared" si="72"/>
        <v>"%USERPROFILE%\Documents\GitHub\eaglep3\Utilities\RefineRTDCRunTimes.py" --tripid 87-09 --locoid 4014 --swversion DE.1.0.9.0 --startMP 204:1469 --initTime 2017-05-09T23:05:55 --startdatetime 2017-05-09T23:27:51 --delay 2 --endMP 300:23671 --enddatetime 2017-05-09T23:28:23 --enforcementcount 0 &gt;&gt;C:\Users\stu\Documents\GitHub\eaglep3-reporting\EC\2017-05-09-refined-times.txt</v>
      </c>
      <c r="AI259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{"issue":{"subject":"","project_id":79,"tracker_id":40,"status_id":1,"priority_id":2,"assigned_to_id":23,"start_date":"2017-05-09","description":"","custom_fields":[{"id":1,"name":"Subdivision","value":"Other"},{"id":4,"name":"Milepost","value":"2.3671"},{"id":17,"name":"Train ID","value":"87-09"},{"id":16,"name":"Locomotive ID","value":"4014"},{"id":130,"name":"Impact","value":""},{"id":150,"name":"Time of Event (Mountain Time)","value":"23:28:23"},{"id":151,"name":"Denver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74"/>
        <v>start /low /b %USERPROFILE%\Documents\GitHub\eaglep3\Utilities\DownloadLogsFromS3.py --loco 4014 --day 2017-05-09</v>
      </c>
      <c r="AN259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05:28:23"},{"id":29,"name":"Sharepoint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2" t="s">
        <v>600</v>
      </c>
      <c r="B260" s="7">
        <v>4014</v>
      </c>
      <c r="C260" s="21" t="s">
        <v>207</v>
      </c>
      <c r="D260" s="21" t="s">
        <v>1004</v>
      </c>
      <c r="E260" s="13">
        <v>42864.976018518515</v>
      </c>
      <c r="F260" s="13">
        <v>42865.00571759259</v>
      </c>
      <c r="G260" s="7">
        <v>1</v>
      </c>
      <c r="H260" s="21" t="s">
        <v>1005</v>
      </c>
      <c r="I260" s="13">
        <v>42865.011018518519</v>
      </c>
      <c r="J260" s="7">
        <v>0</v>
      </c>
      <c r="K260" s="92" t="str">
        <f t="shared" si="76"/>
        <v>4013/4014</v>
      </c>
      <c r="L260" s="21" t="str">
        <f>VLOOKUP(A260,'Trips&amp;Operators'!$C$1:$G$99999,5,FALSE)</f>
        <v>GUZMAN DANNY</v>
      </c>
      <c r="M260" s="6">
        <f t="shared" si="77"/>
        <v>5.3009259281679988E-3</v>
      </c>
      <c r="N260" s="7">
        <f t="shared" si="91"/>
        <v>7.6333333365619183</v>
      </c>
      <c r="O260" s="7"/>
      <c r="P260" s="7"/>
      <c r="Q260" s="22"/>
      <c r="R260" s="190"/>
      <c r="S260" s="196">
        <f t="shared" si="90"/>
        <v>0</v>
      </c>
      <c r="T260" s="190" t="e">
        <f t="shared" si="78"/>
        <v>#VALUE!</v>
      </c>
      <c r="U260" s="190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91" t="str">
        <f t="shared" si="79"/>
        <v>https://d0f6bd738d7f1b3e5a7ca70fe4ff75f0.us-east-1.aws.found.io/app/kibana#/discover/Steve-Slow-Train-Analysis-(2080s-and-2083s)?_g=(refreshInterval:(display:Off,pause:!f,section:0,value:0),time:(from:'2017-05-09T22:25:28-0600',mode:absolute,to:'2017-05-10T01:15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0" s="192" t="str">
        <f t="shared" si="80"/>
        <v>Y</v>
      </c>
      <c r="X260" s="192" t="e">
        <f t="shared" si="92"/>
        <v>#VALUE!</v>
      </c>
      <c r="Y260" s="192">
        <f t="shared" si="81"/>
        <v>2.3660999999999999</v>
      </c>
      <c r="Z260" s="192">
        <f t="shared" si="82"/>
        <v>2.5243000000000002</v>
      </c>
      <c r="AA260" s="192">
        <f t="shared" si="83"/>
        <v>0.15820000000000034</v>
      </c>
      <c r="AB260" s="57" t="e">
        <f>VLOOKUP(A260,Enforcements!$C$7:$K$13,8,0)</f>
        <v>#N/A</v>
      </c>
      <c r="AC260" s="53" t="e">
        <f>VLOOKUP(A260,Enforcements!$C$7:$E$13,3,0)</f>
        <v>#N/A</v>
      </c>
      <c r="AD260" s="54" t="str">
        <f t="shared" si="84"/>
        <v>87-09</v>
      </c>
      <c r="AE260" s="80" t="str">
        <f t="shared" si="85"/>
        <v>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 &amp; 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</v>
      </c>
      <c r="AF260" s="77" t="str">
        <f t="shared" si="86"/>
        <v>"C:\Program Files (x86)\AstroGrep\AstroGrep.exe" /e /r /s /spath="%USERPROFILE%\AppData\Local\Temp\OnboardLogs" /stypes="app*4014*20170510*" /stext=" 06:.+((SYSTEM_STATE.+slice.+state.+changed )|(ment ac)|(multiple cpu faults)|(system.+state.+changed )|(\[timeout)|(PRM\|1\|D)|(kpr)|(kdp)|(train st.+moving)|(\|lc)|(penalty))"</v>
      </c>
      <c r="AG260" s="1" t="str">
        <f t="shared" si="87"/>
        <v>Other</v>
      </c>
      <c r="AH260" s="81" t="str">
        <f t="shared" si="72"/>
        <v>"%USERPROFILE%\Documents\GitHub\eaglep3\Utilities\RefineRTDCRunTimes.py" --tripid 87-09 --locoid 4014 --swversion DE.1.0.9.0 --startMP 300:23661 --initTime 2017-05-09T23:25:28 --startdatetime 2017-05-10T00:08:14 --delay 1 --endMP 300:25243 --enddatetime 2017-05-10T00:15:52 --enforcementcount 0 &gt;&gt;C:\Users\stu\Documents\GitHub\eaglep3-reporting\EC\2017-05-09-refined-times.txt</v>
      </c>
      <c r="AI260" s="99" t="str">
        <f t="shared" si="73"/>
        <v>echo {"issue":{"subject":"","project_id":79,"tracker_id":40,"status_id":1,"priority_id":2,"assigned_to_id":23,"start_date":"2017-05-10","description":"","custom_fields":[{"id":1,"name":"Subdivision","value":"Other"},{"id":4,"name":"Milepost","value":"2.5243"},{"id":17,"name":"Train ID","value":"87-09"},{"id":16,"name":"Locomotive ID","value":"4014"},{"id":130,"name":"Impact","value":""},{"id":150,"name":"Time of Event (Mountain Time)","value":"00:15:52"},{"id":151,"name":"Denver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5" t="str">
        <f t="shared" si="74"/>
        <v>start /low /b %USERPROFILE%\Documents\GitHub\eaglep3\Utilities\DownloadLogsFromS3.py --loco 4014 --day 2017-05-10</v>
      </c>
      <c r="AN260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06:15:52"},{"id":29,"name":"Sharepoint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 s="32" t="s">
        <v>800</v>
      </c>
      <c r="B261" s="7">
        <v>4013</v>
      </c>
      <c r="C261" s="21" t="s">
        <v>207</v>
      </c>
      <c r="D261" s="21" t="s">
        <v>1006</v>
      </c>
      <c r="E261" s="13">
        <v>42865.013391203705</v>
      </c>
      <c r="F261" s="13">
        <v>42865.029629629629</v>
      </c>
      <c r="G261" s="7">
        <v>1</v>
      </c>
      <c r="H261" s="21" t="s">
        <v>1007</v>
      </c>
      <c r="I261" s="13">
        <v>42865.037569444445</v>
      </c>
      <c r="J261" s="7">
        <v>0</v>
      </c>
      <c r="K261" s="92" t="str">
        <f t="shared" si="76"/>
        <v>4013/4014</v>
      </c>
      <c r="L261" s="21" t="str">
        <f>VLOOKUP(A261,'Trips&amp;Operators'!$C$1:$G$99999,5,FALSE)</f>
        <v>GUZMAN DANNY</v>
      </c>
      <c r="M261" s="6">
        <f t="shared" si="77"/>
        <v>7.9398148154723458E-3</v>
      </c>
      <c r="N261" s="7">
        <f t="shared" si="91"/>
        <v>11.433333334280178</v>
      </c>
      <c r="O261" s="7"/>
      <c r="P261" s="7"/>
      <c r="Q261" s="22"/>
      <c r="R261" s="190"/>
      <c r="S261" s="196">
        <f t="shared" si="90"/>
        <v>0</v>
      </c>
      <c r="T261" s="190" t="e">
        <f t="shared" si="78"/>
        <v>#VALUE!</v>
      </c>
      <c r="U261" s="190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91" t="str">
        <f t="shared" si="79"/>
        <v>https://d0f6bd738d7f1b3e5a7ca70fe4ff75f0.us-east-1.aws.found.io/app/kibana#/discover/Steve-Slow-Train-Analysis-(2080s-and-2083s)?_g=(refreshInterval:(display:Off,pause:!f,section:0,value:0),time:(from:'2017-05-09T23:19:17-0600',mode:absolute,to:'2017-05-10T01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1" s="192" t="str">
        <f t="shared" si="80"/>
        <v>Y</v>
      </c>
      <c r="X261" s="192" t="e">
        <f t="shared" si="92"/>
        <v>#VALUE!</v>
      </c>
      <c r="Y261" s="192">
        <f t="shared" si="81"/>
        <v>2.4811999999999999</v>
      </c>
      <c r="Z261" s="192">
        <f t="shared" si="82"/>
        <v>0.11550000000000001</v>
      </c>
      <c r="AA261" s="192">
        <f t="shared" si="83"/>
        <v>2.3656999999999999</v>
      </c>
      <c r="AB261" s="57" t="e">
        <f>VLOOKUP(A261,Enforcements!$C$7:$K$13,8,0)</f>
        <v>#N/A</v>
      </c>
      <c r="AC261" s="53" t="e">
        <f>VLOOKUP(A261,Enforcements!$C$7:$E$13,3,0)</f>
        <v>#N/A</v>
      </c>
      <c r="AD261" s="54" t="str">
        <f t="shared" si="84"/>
        <v>88-09</v>
      </c>
      <c r="AE261" s="80" t="str">
        <f t="shared" si="85"/>
        <v>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 &amp; aws s3 cp s3://rtdc.mdm.uploadarchive.raw/RTDC4013/ "%USERPROFILE%\AppData\Local\Temp\OnboardLogs"\RTDC4013\2017-05-11 --exclude "*" --recursive --include "*20170511*" &amp; "%USERPROFILE%\Documents\GitHub\mrs-test-scripts\Headless Mode &amp; Sideloading\WalkAndUnGZ.bat" "%USERPROFILE%\AppData\Local\Temp\OnboardLogs"\RTDC4013\2017-05-11</v>
      </c>
      <c r="AF261" s="77" t="str">
        <f t="shared" si="86"/>
        <v>"C:\Program Files (x86)\AstroGrep\AstroGrep.exe" /e /r /s /spath="%USERPROFILE%\AppData\Local\Temp\OnboardLogs" /stypes="app*4013*20170510*" /stext=" 06:.+((SYSTEM_STATE.+slice.+state.+changed )|(ment ac)|(multiple cpu faults)|(system.+state.+changed )|(\[timeout)|(PRM\|1\|D)|(kpr)|(kdp)|(train st.+moving)|(\|lc)|(penalty))"</v>
      </c>
      <c r="AG261" s="1" t="str">
        <f t="shared" si="87"/>
        <v>Other</v>
      </c>
      <c r="AH261" s="81" t="str">
        <f t="shared" si="72"/>
        <v>"%USERPROFILE%\Documents\GitHub\eaglep3\Utilities\RefineRTDCRunTimes.py" --tripid 88-09 --locoid 4013 --swversion DE.1.0.9.0 --startMP 300:24812 --initTime 2017-05-10T00:19:17 --startdatetime 2017-05-10T00:42:40 --delay 1 --endMP 204:1155 --enddatetime 2017-05-10T00:54:06 --enforcementcount 0 &gt;&gt;C:\Users\stu\Documents\GitHub\eaglep3-reporting\EC\2017-05-09-refined-times.txt</v>
      </c>
      <c r="AI261" s="99" t="str">
        <f t="shared" si="73"/>
        <v>echo {"issue":{"subject":"","project_id":79,"tracker_id":40,"status_id":1,"priority_id":2,"assigned_to_id":23,"start_date":"2017-05-10","description":"","custom_fields":[{"id":1,"name":"Subdivision","value":"Other"},{"id":4,"name":"Milepost","value":"0.1155"},{"id":17,"name":"Train ID","value":"88-09"},{"id":16,"name":"Locomotive ID","value":"4013"},{"id":130,"name":"Impact","value":""},{"id":150,"name":"Time of Event (Mountain Time)","value":"00:54:06"},{"id":151,"name":"Denver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5" t="str">
        <f t="shared" si="74"/>
        <v>start /low /b %USERPROFILE%\Documents\GitHub\eaglep3\Utilities\DownloadLogsFromS3.py --loco 4013 --day 2017-05-10</v>
      </c>
      <c r="AN261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06:54:06"},{"id":29,"name":"Sharepoint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2" spans="1:40" x14ac:dyDescent="0.25">
      <c r="A262" s="32" t="s">
        <v>800</v>
      </c>
      <c r="B262" s="7">
        <v>4013</v>
      </c>
      <c r="C262" s="21" t="s">
        <v>207</v>
      </c>
      <c r="D262" s="21" t="s">
        <v>1008</v>
      </c>
      <c r="E262" s="13">
        <v>42864.981111111112</v>
      </c>
      <c r="F262" s="13">
        <v>42864.982916666668</v>
      </c>
      <c r="G262" s="7">
        <v>1</v>
      </c>
      <c r="H262" s="21" t="s">
        <v>816</v>
      </c>
      <c r="I262" s="13">
        <v>42864.990208333336</v>
      </c>
      <c r="J262" s="7">
        <v>0</v>
      </c>
      <c r="K262" s="92" t="str">
        <f t="shared" si="76"/>
        <v>4013/4014</v>
      </c>
      <c r="L262" s="21" t="str">
        <f>VLOOKUP(A262,'Trips&amp;Operators'!$C$1:$G$99999,5,FALSE)</f>
        <v>GUZMAN DANNY</v>
      </c>
      <c r="M262" s="6">
        <f t="shared" si="77"/>
        <v>7.291666668606922E-3</v>
      </c>
      <c r="N262" s="7">
        <f t="shared" si="91"/>
        <v>10.500000002793968</v>
      </c>
      <c r="O262" s="7"/>
      <c r="P262" s="7"/>
      <c r="Q262" s="22"/>
      <c r="R262" s="190"/>
      <c r="S262" s="196">
        <f t="shared" si="90"/>
        <v>0</v>
      </c>
      <c r="T262" s="190" t="e">
        <f t="shared" si="78"/>
        <v>#VALUE!</v>
      </c>
      <c r="U262" s="190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1" t="str">
        <f t="shared" si="79"/>
        <v>https://d0f6bd738d7f1b3e5a7ca70fe4ff75f0.us-east-1.aws.found.io/app/kibana#/discover/Steve-Slow-Train-Analysis-(2080s-and-2083s)?_g=(refreshInterval:(display:Off,pause:!f,section:0,value:0),time:(from:'2017-05-09T22:32:48-0600',mode:absolute,to:'2017-05-10T00:45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2" s="192" t="str">
        <f t="shared" si="80"/>
        <v>Y</v>
      </c>
      <c r="X262" s="192" t="e">
        <f t="shared" si="92"/>
        <v>#VALUE!</v>
      </c>
      <c r="Y262" s="192">
        <f t="shared" si="81"/>
        <v>2.4923000000000002</v>
      </c>
      <c r="Z262" s="192">
        <f t="shared" si="82"/>
        <v>0.1145</v>
      </c>
      <c r="AA262" s="192">
        <f t="shared" si="83"/>
        <v>2.3778000000000001</v>
      </c>
      <c r="AB262" s="57" t="e">
        <f>VLOOKUP(A262,Enforcements!$C$7:$K$13,8,0)</f>
        <v>#N/A</v>
      </c>
      <c r="AC262" s="53" t="e">
        <f>VLOOKUP(A262,Enforcements!$C$7:$E$13,3,0)</f>
        <v>#N/A</v>
      </c>
      <c r="AD262" s="54" t="str">
        <f t="shared" si="84"/>
        <v>88-09</v>
      </c>
      <c r="AE262" s="80" t="str">
        <f t="shared" si="85"/>
        <v>aws s3 cp s3://rtdc.mdm.uploadarchive.raw/RTDC4013/ "%USERPROFILE%\AppData\Local\Temp\OnboardLogs"\RTDC4013\2017-05-09 --exclude "*" --recursive --include "*20170509*" &amp; "%USERPROFILE%\Documents\GitHub\mrs-test-scripts\Headless Mode &amp; Sideloading\WalkAndUnGZ.bat" "%USERPROFILE%\AppData\Local\Temp\OnboardLogs"\RTDC4013\2017-05-09 &amp; aws s3 cp s3://rtdc.mdm.uploadarchive.raw/RTDC4013/ "%USERPROFILE%\AppData\Local\Temp\OnboardLogs"\RTDC4013\2017-05-10 --exclude "*" --recursive --include "*20170510*" &amp; "%USERPROFILE%\Documents\GitHub\mrs-test-scripts\Headless Mode &amp; Sideloading\WalkAndUnGZ.bat" "%USERPROFILE%\AppData\Local\Temp\OnboardLogs"\RTDC4013\2017-05-10</v>
      </c>
      <c r="AF262" s="77" t="str">
        <f t="shared" si="86"/>
        <v>"C:\Program Files (x86)\AstroGrep\AstroGrep.exe" /e /r /s /spath="%USERPROFILE%\AppData\Local\Temp\OnboardLogs" /stypes="app*4013*20170510*" /stext=" 05:.+((SYSTEM_STATE.+slice.+state.+changed )|(ment ac)|(multiple cpu faults)|(system.+state.+changed )|(\[timeout)|(PRM\|1\|D)|(kpr)|(kdp)|(train st.+moving)|(\|lc)|(penalty))"</v>
      </c>
      <c r="AG262" s="1" t="str">
        <f t="shared" si="87"/>
        <v>Other</v>
      </c>
      <c r="AH262" s="81" t="str">
        <f t="shared" si="72"/>
        <v>"%USERPROFILE%\Documents\GitHub\eaglep3\Utilities\RefineRTDCRunTimes.py" --tripid 88-09 --locoid 4013 --swversion DE.1.0.9.0 --startMP 300:24923 --initTime 2017-05-09T23:32:48 --startdatetime 2017-05-09T23:35:24 --delay 1 --endMP 204:1145 --enddatetime 2017-05-09T23:45:54 --enforcementcount 0 &gt;&gt;C:\Users\stu\Documents\GitHub\eaglep3-reporting\EC\2017-05-09-refined-times.txt</v>
      </c>
      <c r="AI262" s="99" t="str">
        <f t="shared" si="73"/>
        <v>echo {"issue":{"subject":"","project_id":79,"tracker_id":40,"status_id":1,"priority_id":2,"assigned_to_id":23,"start_date":"2017-05-09","description":"","custom_fields":[{"id":1,"name":"Subdivision","value":"Other"},{"id":4,"name":"Milepost","value":"0.1145"},{"id":17,"name":"Train ID","value":"88-09"},{"id":16,"name":"Locomotive ID","value":"4013"},{"id":130,"name":"Impact","value":""},{"id":150,"name":"Time of Event (Mountain Time)","value":"23:45:54"},{"id":151,"name":"Denver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5" t="str">
        <f t="shared" si="74"/>
        <v>start /low /b %USERPROFILE%\Documents\GitHub\eaglep3\Utilities\DownloadLogsFromS3.py --loco 4013 --day 2017-05-09</v>
      </c>
      <c r="AN262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05:45:54"},{"id":29,"name":"Sharepoint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3" spans="1:40" x14ac:dyDescent="0.25">
      <c r="A263" s="32" t="s">
        <v>800</v>
      </c>
      <c r="B263" s="7">
        <v>4014</v>
      </c>
      <c r="C263" s="21" t="s">
        <v>207</v>
      </c>
      <c r="D263" s="21" t="s">
        <v>939</v>
      </c>
      <c r="E263" s="13">
        <v>42865.027418981481</v>
      </c>
      <c r="F263" s="13">
        <v>42865.029629629629</v>
      </c>
      <c r="G263" s="7">
        <v>1</v>
      </c>
      <c r="H263" s="21" t="s">
        <v>897</v>
      </c>
      <c r="I263" s="13">
        <v>42865.037569444445</v>
      </c>
      <c r="J263" s="7">
        <v>0</v>
      </c>
      <c r="K263" s="92" t="str">
        <f t="shared" si="76"/>
        <v>4013/4014</v>
      </c>
      <c r="L263" s="21" t="str">
        <f>VLOOKUP(A263,'Trips&amp;Operators'!$C$1:$G$99999,5,FALSE)</f>
        <v>GUZMAN DANNY</v>
      </c>
      <c r="M263" s="6">
        <f t="shared" si="77"/>
        <v>7.9398148154723458E-3</v>
      </c>
      <c r="N263" s="7">
        <f t="shared" si="91"/>
        <v>11.433333334280178</v>
      </c>
      <c r="O263" s="7"/>
      <c r="P263" s="7"/>
      <c r="Q263" s="22"/>
      <c r="R263" s="190"/>
      <c r="S263" s="196">
        <f t="shared" si="90"/>
        <v>0</v>
      </c>
      <c r="T263" s="190" t="e">
        <f t="shared" si="78"/>
        <v>#VALUE!</v>
      </c>
      <c r="U263" s="190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1" t="str">
        <f t="shared" si="79"/>
        <v>https://d0f6bd738d7f1b3e5a7ca70fe4ff75f0.us-east-1.aws.found.io/app/kibana#/discover/Steve-Slow-Train-Analysis-(2080s-and-2083s)?_g=(refreshInterval:(display:Off,pause:!f,section:0,value:0),time:(from:'2017-05-09T23:39:29-0600',mode:absolute,to:'2017-05-10T01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3" s="192" t="str">
        <f t="shared" si="80"/>
        <v>Y</v>
      </c>
      <c r="X263" s="192" t="e">
        <f t="shared" si="92"/>
        <v>#VALUE!</v>
      </c>
      <c r="Y263" s="192">
        <f t="shared" si="81"/>
        <v>0.1484</v>
      </c>
      <c r="Z263" s="192">
        <f t="shared" si="82"/>
        <v>2.3306</v>
      </c>
      <c r="AA263" s="192">
        <f t="shared" si="83"/>
        <v>2.1821999999999999</v>
      </c>
      <c r="AB263" s="57" t="e">
        <f>VLOOKUP(A263,Enforcements!$C$7:$K$13,8,0)</f>
        <v>#N/A</v>
      </c>
      <c r="AC263" s="53" t="e">
        <f>VLOOKUP(A263,Enforcements!$C$7:$E$13,3,0)</f>
        <v>#N/A</v>
      </c>
      <c r="AD263" s="54" t="str">
        <f t="shared" si="84"/>
        <v>88-09</v>
      </c>
      <c r="AE263" s="80" t="str">
        <f t="shared" si="85"/>
        <v>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 &amp; 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</v>
      </c>
      <c r="AF263" s="77" t="str">
        <f t="shared" si="86"/>
        <v>"C:\Program Files (x86)\AstroGrep\AstroGrep.exe" /e /r /s /spath="%USERPROFILE%\AppData\Local\Temp\OnboardLogs" /stypes="app*4014*20170510*" /stext=" 06:.+((SYSTEM_STATE.+slice.+state.+changed )|(ment ac)|(multiple cpu faults)|(system.+state.+changed )|(\[timeout)|(PRM\|1\|D)|(kpr)|(kdp)|(train st.+moving)|(\|lc)|(penalty))"</v>
      </c>
      <c r="AG263" s="1" t="str">
        <f t="shared" si="87"/>
        <v>Other</v>
      </c>
      <c r="AH263" s="81" t="str">
        <f t="shared" si="72"/>
        <v>"%USERPROFILE%\Documents\GitHub\eaglep3\Utilities\RefineRTDCRunTimes.py" --tripid 88-09 --locoid 4014 --swversion DE.1.0.9.0 --startMP 204:1484 --initTime 2017-05-10T00:39:29 --startdatetime 2017-05-10T00:42:40 --delay 1 --endMP 300:23306 --enddatetime 2017-05-10T00:54:06 --enforcementcount 0 &gt;&gt;C:\Users\stu\Documents\GitHub\eaglep3-reporting\EC\2017-05-09-refined-times.txt</v>
      </c>
      <c r="AI263" s="99" t="str">
        <f t="shared" si="73"/>
        <v>echo {"issue":{"subject":"","project_id":79,"tracker_id":40,"status_id":1,"priority_id":2,"assigned_to_id":23,"start_date":"2017-05-10","description":"","custom_fields":[{"id":1,"name":"Subdivision","value":"Other"},{"id":4,"name":"Milepost","value":"2.3306"},{"id":17,"name":"Train ID","value":"88-09"},{"id":16,"name":"Locomotive ID","value":"4014"},{"id":130,"name":"Impact","value":""},{"id":150,"name":"Time of Event (Mountain Time)","value":"00:54:06"},{"id":151,"name":"Denver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5" t="str">
        <f t="shared" si="74"/>
        <v>start /low /b %USERPROFILE%\Documents\GitHub\eaglep3\Utilities\DownloadLogsFromS3.py --loco 4014 --day 2017-05-10</v>
      </c>
      <c r="AN263" s="154" t="str">
        <f t="shared" si="75"/>
        <v>echo {"issue":{"subject":"","project_id":30,"tracker_id":4,"status_id":1,"priority_id":1,"assigned_to_id":10,"start_date":"2017-05-10","description":"","custom_fields":[{"id":30,"name":"Category","value":"Issue"},{"id":3,"name":"Functional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UTC","value":"2017-05-10 06:54:06"},{"id":29,"name":"Sharepoint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4" spans="1:4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4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4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4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4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4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4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4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40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</sheetData>
  <autoFilter ref="A12:AG272">
    <sortState ref="A13:AG275">
      <sortCondition ref="AG13:AG266"/>
      <sortCondition ref="AD13:AD266"/>
    </sortState>
  </autoFilter>
  <sortState ref="A13:AH200">
    <sortCondition ref="AG13:AG200"/>
    <sortCondition ref="AD13:AD200"/>
  </sortState>
  <mergeCells count="1">
    <mergeCell ref="A11:P11"/>
  </mergeCells>
  <conditionalFormatting sqref="W11:W12 W273:X1048576 W13:X263">
    <cfRule type="cellIs" dxfId="10" priority="401" operator="equal">
      <formula>"Y"</formula>
    </cfRule>
  </conditionalFormatting>
  <conditionalFormatting sqref="X273:X1048576 X13:X263">
    <cfRule type="cellIs" dxfId="9" priority="384" operator="greaterThan">
      <formula>1</formula>
    </cfRule>
  </conditionalFormatting>
  <conditionalFormatting sqref="X273:X1048576 X12:X263">
    <cfRule type="cellIs" dxfId="8" priority="381" operator="equal">
      <formula>0</formula>
    </cfRule>
  </conditionalFormatting>
  <conditionalFormatting sqref="A13:S263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A13:S263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AK13:AK263</xm:sqref>
        </x14:dataValidation>
        <x14:dataValidation type="list" allowBlank="1" showInputMessage="1" showErrorMessage="1">
          <x14:formula1>
            <xm:f>'Redmine List Values'!$C$2:$C$15</xm:f>
          </x14:formula1>
          <xm:sqref>AL13:AL263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4"/>
  <sheetViews>
    <sheetView tabSelected="1" topLeftCell="A2" zoomScaleNormal="100" workbookViewId="0">
      <selection activeCell="P15" sqref="P1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COUNTIF($O$7:$O$292,"=Y")</f>
        <v>4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COUNTA($O$7:$O$292)-O2</f>
        <v>51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- 2017-05-09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42864.327523148146</v>
      </c>
      <c r="B7" s="30" t="s">
        <v>394</v>
      </c>
      <c r="C7" s="30" t="s">
        <v>572</v>
      </c>
      <c r="D7" s="30" t="s">
        <v>49</v>
      </c>
      <c r="E7" s="30" t="s">
        <v>191</v>
      </c>
      <c r="F7" s="42">
        <v>0</v>
      </c>
      <c r="G7" s="42">
        <v>160</v>
      </c>
      <c r="H7" s="42">
        <v>26995</v>
      </c>
      <c r="I7" s="42">
        <v>27123</v>
      </c>
      <c r="J7" s="30" t="s">
        <v>192</v>
      </c>
      <c r="K7" s="42">
        <v>27053</v>
      </c>
      <c r="L7" s="134" t="s">
        <v>50</v>
      </c>
      <c r="M7" s="135">
        <f t="shared" ref="M7:M38" si="0">CONVERT((I7-K7)/10000,"mi","ft")*IF(L7="Increasing Mileposts (1)",-1,1)</f>
        <v>-36.96</v>
      </c>
      <c r="N7" s="136" t="str">
        <f>VLOOKUP(C7,'Trips&amp;Operators'!$C$1:$G$99999,5,FALSE)</f>
        <v>STARKS ANGELINA</v>
      </c>
      <c r="O7" s="207" t="s">
        <v>184</v>
      </c>
      <c r="P7" s="137" t="s">
        <v>551</v>
      </c>
      <c r="Q7" s="30"/>
      <c r="R7" s="84" t="str">
        <f>IF(VLOOKUP(C7,'Train Runs'!$A$13:$AE$9931,1,1)=C7,VLOOKUP(C7,'Train Runs'!$A$13:$AE$9931,31,1),NA())</f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S7" s="87" t="str">
        <f>VLOOKUP(C7,'Train Runs'!$A$13:$AE$9931,22,0)</f>
        <v>https://d0f6bd738d7f1b3e5a7ca70fe4ff75f0.us-east-1.aws.found.io/app/kibana#/discover/Steve-Slow-Train-Analysis-(2080s-and-2083s)?_g=(refreshInterval:(display:Off,pause:!f,section:0,value:0),time:(from:'2017-05-09T06:39:57-0600',mode:absolute,to:'2017-05-09T09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/stypes="*4052*201705091*" /stext=" 13:.+((SYSTEM_STATE.+slice.+state.+changed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4052</v>
      </c>
      <c r="V7" s="31">
        <f t="shared" ref="V7:V38" si="3">A7-utc_offset/24</f>
        <v>42864.577523148146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arrival","project_id":79,"tracker_id":40,"status_id":1,"priority_id":2,"assigned_to_id":23,"start_date":"2017-05-09","description":"","custom_fields":[{"id":1,"name":"Subdivision","value":"EC"},{"id":4,"name":"Milepost","value":"2.7053"},{"id":17,"name":"Train ID","value":"133-09"},{"id":16,"name":"Locomotive ID","value":"4052"},{"id":130,"name":"Impact","value":""},{"id":150,"name":"Time of Event (Mountain Time)","value":"07:51:38"},{"id":151,"name":"Denver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/cygdrive/c/Users/stu/AppData/Local/Temp/OnboardLogs/RTDC4052 --include="*4052*201705091*"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"%USERPROFILE%\AppData\Local\Temp\OnboardLogs"\RTDC4052\*4052*201705091* &gt;&gt; 2017-05-09-SliceDisagreementCheck.txt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4052 --day 2017-05-09</v>
      </c>
    </row>
    <row r="8" spans="1:32" s="1" customFormat="1" x14ac:dyDescent="0.25">
      <c r="A8" s="31">
        <v>42864.654166666667</v>
      </c>
      <c r="B8" s="30" t="s">
        <v>462</v>
      </c>
      <c r="C8" s="30" t="s">
        <v>585</v>
      </c>
      <c r="D8" s="30" t="s">
        <v>49</v>
      </c>
      <c r="E8" s="30" t="s">
        <v>191</v>
      </c>
      <c r="F8" s="42">
        <v>150</v>
      </c>
      <c r="G8" s="42">
        <v>200</v>
      </c>
      <c r="H8" s="42">
        <v>33623</v>
      </c>
      <c r="I8" s="42">
        <v>33335</v>
      </c>
      <c r="J8" s="30" t="s">
        <v>192</v>
      </c>
      <c r="K8" s="42">
        <v>33257</v>
      </c>
      <c r="L8" s="134" t="s">
        <v>51</v>
      </c>
      <c r="M8" s="135">
        <f t="shared" si="0"/>
        <v>41.183999999999997</v>
      </c>
      <c r="N8" s="136" t="str">
        <f>VLOOKUP(C8,'Trips&amp;Operators'!$C$1:$G$99999,5,FALSE)</f>
        <v>THOMPSON LESTER</v>
      </c>
      <c r="O8" s="207" t="s">
        <v>184</v>
      </c>
      <c r="P8" s="137" t="s">
        <v>551</v>
      </c>
      <c r="Q8" s="30"/>
      <c r="R8" s="84" t="str">
        <f>IF(VLOOKUP(C8,'Train Runs'!$A$13:$AE$9931,1,1)=C8,VLOOKUP(C8,'Train Runs'!$A$13:$AE$9931,31,1),NA())</f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S8" s="87" t="str">
        <f>VLOOKUP(C8,'Train Runs'!$A$13:$AE$9931,22,0)</f>
        <v>https://d0f6bd738d7f1b3e5a7ca70fe4ff75f0.us-east-1.aws.found.io/app/kibana#/discover/Steve-Slow-Train-Analysis-(2080s-and-2083s)?_g=(refreshInterval:(display:Off,pause:!f,section:0,value:0),time:(from:'2017-05-09T14:07:09-0600',mode:absolute,to:'2017-05-09T16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8" s="89" t="str">
        <f t="shared" si="1"/>
        <v>"C:\Program Files (x86)\AstroGrep\AstroGrep.exe" /e /r /s /spath="%USERPROFILE%\AppData\Local\Temp\OnboardLogs" /stypes="*4045*201705092*"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4045</v>
      </c>
      <c r="V8" s="31">
        <f t="shared" si="3"/>
        <v>42864.904166666667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arrival","project_id":79,"tracker_id":40,"status_id":1,"priority_id":2,"assigned_to_id":23,"start_date":"2017-05-09","description":"","custom_fields":[{"id":1,"name":"Subdivision","value":"EC"},{"id":4,"name":"Milepost","value":"3.3257"},{"id":17,"name":"Train ID","value":"186-09"},{"id":16,"name":"Locomotive ID","value":"4045"},{"id":130,"name":"Impact","value":""},{"id":150,"name":"Time of Event (Mountain Time)","value":"15:42:00"},{"id":151,"name":"Denver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/cygdrive/c/Users/stu/AppData/Local/Temp/OnboardLogs/RTDC4045 --include="*4045*201705092*"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"%USERPROFILE%\AppData\Local\Temp\OnboardLogs"\RTDC4045\*4045*201705092* &gt;&gt; 2017-05-09-SliceDisagreementCheck.txt</v>
      </c>
      <c r="AE8" s="148" t="str">
        <f t="shared" ref="AE8:AE61" si="9">"start /low /b "&amp;dls3logs&amp;" --loco "&amp;U8&amp;" --day "&amp;TEXT(V8,"YYYY-MM-DD")</f>
        <v>start /low /b %USERPROFILE%\Documents\GitHub\eaglep3\Utilities\DownloadLogsFromS3.py --loco 4045 --day 2017-05-09</v>
      </c>
    </row>
    <row r="9" spans="1:32" s="1" customFormat="1" x14ac:dyDescent="0.25">
      <c r="A9" s="31">
        <v>42864.725601851853</v>
      </c>
      <c r="B9" s="30" t="s">
        <v>462</v>
      </c>
      <c r="C9" s="30" t="s">
        <v>588</v>
      </c>
      <c r="D9" s="30" t="s">
        <v>49</v>
      </c>
      <c r="E9" s="30" t="s">
        <v>191</v>
      </c>
      <c r="F9" s="42">
        <v>240</v>
      </c>
      <c r="G9" s="42">
        <v>344</v>
      </c>
      <c r="H9" s="42">
        <v>35667</v>
      </c>
      <c r="I9" s="42">
        <v>34832</v>
      </c>
      <c r="J9" s="30" t="s">
        <v>192</v>
      </c>
      <c r="K9" s="42">
        <v>33257</v>
      </c>
      <c r="L9" s="134" t="s">
        <v>51</v>
      </c>
      <c r="M9" s="135">
        <f t="shared" si="0"/>
        <v>831.6</v>
      </c>
      <c r="N9" s="136" t="str">
        <f>VLOOKUP(C9,'Trips&amp;Operators'!$C$1:$G$99999,5,FALSE)</f>
        <v>THOMPSON LESTER</v>
      </c>
      <c r="O9" s="207" t="s">
        <v>184</v>
      </c>
      <c r="P9" s="137" t="s">
        <v>551</v>
      </c>
      <c r="Q9" s="30"/>
      <c r="R9" s="84" t="str">
        <f>IF(VLOOKUP(C9,'Train Runs'!$A$13:$AE$9931,1,1)=C9,VLOOKUP(C9,'Train Runs'!$A$13:$AE$9931,31,1),NA())</f>
        <v>aws s3 cp s3://rtdc.mdm.uploadarchive.raw/RTDC4045/ "%USERPROFILE%\AppData\Local\Temp\OnboardLogs"\RTDC4045\2017-05-09 --exclude "*" --recursive --include "*20170509*" &amp; "%USERPROFILE%\Documents\GitHub\mrs-test-scripts\Headless Mode &amp; Sideloading\WalkAndUnGZ.bat" "%USERPROFILE%\AppData\Local\Temp\OnboardLogs"\RTDC4045\2017-05-09 &amp; aws s3 cp s3://rtdc.mdm.uploadarchive.raw/RTDC4045/ "%USERPROFILE%\AppData\Local\Temp\OnboardLogs"\RTDC4045\2017-05-10 --exclude "*" --recursive --include "*20170510*" &amp; "%USERPROFILE%\Documents\GitHub\mrs-test-scripts\Headless Mode &amp; Sideloading\WalkAndUnGZ.bat" "%USERPROFILE%\AppData\Local\Temp\OnboardLogs"\RTDC4045\2017-05-10</v>
      </c>
      <c r="S9" s="87" t="str">
        <f>VLOOKUP(C9,'Train Runs'!$A$13:$AE$9931,22,0)</f>
        <v>https://d0f6bd738d7f1b3e5a7ca70fe4ff75f0.us-east-1.aws.found.io/app/kibana#/discover/Steve-Slow-Train-Analysis-(2080s-and-2083s)?_g=(refreshInterval:(display:Off,pause:!f,section:0,value:0),time:(from:'2017-05-09T15:53:34-0600',mode:absolute,to:'2017-05-09T18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9" s="89" t="str">
        <f t="shared" si="1"/>
        <v>"C:\Program Files (x86)\AstroGrep\AstroGrep.exe" /e /r /s /spath="%USERPROFILE%\AppData\Local\Temp\OnboardLogs" /stypes="*4045*201705092*" /stext=" 23:.+((SYSTEM_STATE.+slice.+state.+changed )|(ment ac)|(multiple cpu faults)|(system.+state.+changed )|(\[timeout)|(PRM\|1\|D)|(kpr)|(kdp)|(train st.+moving)|(\|lc)|(penalty))"</v>
      </c>
      <c r="U9" s="9" t="str">
        <f t="shared" si="2"/>
        <v>4045</v>
      </c>
      <c r="V9" s="31">
        <f t="shared" si="3"/>
        <v>42864.975601851853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arrival","project_id":79,"tracker_id":40,"status_id":1,"priority_id":2,"assigned_to_id":23,"start_date":"2017-05-09","description":"","custom_fields":[{"id":1,"name":"Subdivision","value":"EC"},{"id":4,"name":"Milepost","value":"3.3257"},{"id":17,"name":"Train ID","value":"200-09"},{"id":16,"name":"Locomotive ID","value":"4045"},{"id":130,"name":"Impact","value":""},{"id":150,"name":"Time of Event (Mountain Time)","value":"17:24:52"},{"id":151,"name":"Denver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/cygdrive/c/Users/stu/AppData/Local/Temp/OnboardLogs/RTDC4045 --include="*4045*201705092*"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"%USERPROFILE%\AppData\Local\Temp\OnboardLogs"\RTDC4045\*4045*201705092* &gt;&gt; 2017-05-09-SliceDisagreementCheck.txt</v>
      </c>
      <c r="AE9" s="148" t="str">
        <f t="shared" si="9"/>
        <v>start /low /b %USERPROFILE%\Documents\GitHub\eaglep3\Utilities\DownloadLogsFromS3.py --loco 4045 --day 2017-05-09</v>
      </c>
    </row>
    <row r="10" spans="1:32" s="1" customFormat="1" x14ac:dyDescent="0.25">
      <c r="A10" s="31">
        <v>42864.350682870368</v>
      </c>
      <c r="B10" s="30" t="s">
        <v>460</v>
      </c>
      <c r="C10" s="30" t="s">
        <v>573</v>
      </c>
      <c r="D10" s="30" t="s">
        <v>49</v>
      </c>
      <c r="E10" s="30" t="s">
        <v>191</v>
      </c>
      <c r="F10" s="42">
        <v>50</v>
      </c>
      <c r="G10" s="42">
        <v>121</v>
      </c>
      <c r="H10" s="42">
        <v>43360</v>
      </c>
      <c r="I10" s="42">
        <v>42039</v>
      </c>
      <c r="J10" s="30" t="s">
        <v>192</v>
      </c>
      <c r="K10" s="42">
        <v>42961</v>
      </c>
      <c r="L10" s="134" t="s">
        <v>51</v>
      </c>
      <c r="M10" s="135">
        <f t="shared" si="0"/>
        <v>-486.81599999999997</v>
      </c>
      <c r="N10" s="136" t="str">
        <f>VLOOKUP(C10,'Trips&amp;Operators'!$C$1:$G$99999,5,FALSE)</f>
        <v>SANTIZO D. EDY</v>
      </c>
      <c r="O10" s="207" t="s">
        <v>184</v>
      </c>
      <c r="P10" s="137" t="s">
        <v>551</v>
      </c>
      <c r="Q10" s="30"/>
      <c r="R10" s="84" t="str">
        <f>IF(VLOOKUP(C10,'Train Runs'!$A$13:$AE$9931,1,1)=C10,VLOOKUP(C10,'Train Runs'!$A$13:$AE$9931,31,1),NA())</f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S10" s="87" t="str">
        <f>VLOOKUP(C10,'Train Runs'!$A$13:$AE$9931,22,0)</f>
        <v>https://d0f6bd738d7f1b3e5a7ca70fe4ff75f0.us-east-1.aws.found.io/app/kibana#/discover/Steve-Slow-Train-Analysis-(2080s-and-2083s)?_g=(refreshInterval:(display:Off,pause:!f,section:0,value:0),time:(from:'2017-05-09T06:37:06-0600',mode:absolute,to:'2017-05-09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89" t="str">
        <f t="shared" si="1"/>
        <v>"C:\Program Files (x86)\AstroGrep\AstroGrep.exe" /e /r /s /spath="%USERPROFILE%\AppData\Local\Temp\OnboardLogs" /stypes="*4029*201705091*" /stext=" 14:.+((SYSTEM_STATE.+slice.+state.+changed )|(ment ac)|(multiple cpu faults)|(system.+state.+changed )|(\[timeout)|(PRM\|1\|D)|(kpr)|(kdp)|(train st.+moving)|(\|lc)|(penalty))"</v>
      </c>
      <c r="U10" s="9" t="str">
        <f t="shared" si="2"/>
        <v>4029</v>
      </c>
      <c r="V10" s="31">
        <f t="shared" si="3"/>
        <v>42864.600682870368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arrival","project_id":79,"tracker_id":40,"status_id":1,"priority_id":2,"assigned_to_id":23,"start_date":"2017-05-09","description":"","custom_fields":[{"id":1,"name":"Subdivision","value":"EC"},{"id":4,"name":"Milepost","value":"4.2961"},{"id":17,"name":"Train ID","value":"128-09"},{"id":16,"name":"Locomotive ID","value":"4029"},{"id":130,"name":"Impact","value":""},{"id":150,"name":"Time of Event (Mountain Time)","value":"08:24:59"},{"id":151,"name":"Denver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/cygdrive/c/Users/stu/AppData/Local/Temp/OnboardLogs/RTDC4029 --include="*4029*201705091*"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"%USERPROFILE%\AppData\Local\Temp\OnboardLogs"\RTDC4029\*4029*201705091* &gt;&gt; 2017-05-09-SliceDisagreementCheck.txt</v>
      </c>
      <c r="AE10" s="148" t="str">
        <f t="shared" si="9"/>
        <v>start /low /b %USERPROFILE%\Documents\GitHub\eaglep3\Utilities\DownloadLogsFromS3.py --loco 4029 --day 2017-05-09</v>
      </c>
    </row>
    <row r="11" spans="1:32" s="1" customFormat="1" x14ac:dyDescent="0.25">
      <c r="A11" s="31">
        <v>42864.817083333335</v>
      </c>
      <c r="B11" s="30" t="s">
        <v>392</v>
      </c>
      <c r="C11" s="30" t="s">
        <v>596</v>
      </c>
      <c r="D11" s="30" t="s">
        <v>49</v>
      </c>
      <c r="E11" s="30" t="s">
        <v>191</v>
      </c>
      <c r="F11" s="42">
        <v>0</v>
      </c>
      <c r="G11" s="42">
        <v>376</v>
      </c>
      <c r="H11" s="42">
        <v>58812</v>
      </c>
      <c r="I11" s="42">
        <v>57476</v>
      </c>
      <c r="J11" s="30" t="s">
        <v>192</v>
      </c>
      <c r="K11" s="42">
        <v>58301</v>
      </c>
      <c r="L11" s="134" t="s">
        <v>51</v>
      </c>
      <c r="M11" s="135">
        <f t="shared" si="0"/>
        <v>-435.6</v>
      </c>
      <c r="N11" s="136" t="str">
        <f>VLOOKUP(C11,'Trips&amp;Operators'!$C$1:$G$99999,5,FALSE)</f>
        <v>ZEWDU DEREJE</v>
      </c>
      <c r="O11" s="207" t="s">
        <v>184</v>
      </c>
      <c r="P11" s="137" t="s">
        <v>551</v>
      </c>
      <c r="Q11" s="30"/>
      <c r="R11" s="84" t="str">
        <f>IF(VLOOKUP(C11,'Train Runs'!$A$13:$AE$9931,1,1)=C11,VLOOKUP(C11,'Train Runs'!$A$13:$AE$9931,31,1),NA())</f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S11" s="87" t="str">
        <f>VLOOKUP(C11,'Train Runs'!$A$13:$AE$9931,22,0)</f>
        <v>https://d0f6bd738d7f1b3e5a7ca70fe4ff75f0.us-east-1.aws.found.io/app/kibana#/discover/Steve-Slow-Train-Analysis-(2080s-and-2083s)?_g=(refreshInterval:(display:Off,pause:!f,section:0,value:0),time:(from:'2017-05-09T18:05:55-0600',mode:absolute,to:'2017-05-09T20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1" s="89" t="str">
        <f t="shared" si="1"/>
        <v>"C:\Program Files (x86)\AstroGrep\AstroGrep.exe" /e /r /s /spath="%USERPROFILE%\AppData\Local\Temp\OnboardLogs" /stypes="*4051*201705100*" /stext=" 01:.+((SYSTEM_STATE.+slice.+state.+changed )|(ment ac)|(multiple cpu faults)|(system.+state.+changed )|(\[timeout)|(PRM\|1\|D)|(kpr)|(kdp)|(train st.+moving)|(\|lc)|(penalty))"</v>
      </c>
      <c r="U11" s="9" t="str">
        <f t="shared" si="2"/>
        <v>4051</v>
      </c>
      <c r="V11" s="31">
        <f t="shared" si="3"/>
        <v>42865.067083333335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arrival","project_id":79,"tracker_id":40,"status_id":1,"priority_id":2,"assigned_to_id":23,"start_date":"2017-05-09","description":"","custom_fields":[{"id":1,"name":"Subdivision","value":"EC"},{"id":4,"name":"Milepost","value":"5.8301"},{"id":17,"name":"Train ID","value":"218-09"},{"id":16,"name":"Locomotive ID","value":"4051"},{"id":130,"name":"Impact","value":""},{"id":150,"name":"Time of Event (Mountain Time)","value":"19:36:36"},{"id":151,"name":"Denver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/cygdrive/c/Users/stu/AppData/Local/Temp/OnboardLogs/RTDC4051 --include="*4051*201705100*"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"%USERPROFILE%\AppData\Local\Temp\OnboardLogs"\RTDC4051\*4051*201705100* &gt;&gt; 2017-05-09-SliceDisagreementCheck.txt</v>
      </c>
      <c r="AE11" s="148" t="str">
        <f t="shared" si="9"/>
        <v>start /low /b %USERPROFILE%\Documents\GitHub\eaglep3\Utilities\DownloadLogsFromS3.py --loco 4051 --day 2017-05-10</v>
      </c>
    </row>
    <row r="12" spans="1:32" s="1" customFormat="1" x14ac:dyDescent="0.25">
      <c r="A12" s="31">
        <v>42864.770891203705</v>
      </c>
      <c r="B12" s="30" t="s">
        <v>394</v>
      </c>
      <c r="C12" s="30" t="s">
        <v>592</v>
      </c>
      <c r="D12" s="30" t="s">
        <v>49</v>
      </c>
      <c r="E12" s="30" t="s">
        <v>191</v>
      </c>
      <c r="F12" s="42">
        <v>0</v>
      </c>
      <c r="G12" s="42">
        <v>409</v>
      </c>
      <c r="H12" s="42">
        <v>62567</v>
      </c>
      <c r="I12" s="42">
        <v>63419</v>
      </c>
      <c r="J12" s="30" t="s">
        <v>192</v>
      </c>
      <c r="K12" s="42">
        <v>63069</v>
      </c>
      <c r="L12" s="134" t="s">
        <v>50</v>
      </c>
      <c r="M12" s="135">
        <f t="shared" si="0"/>
        <v>-184.8</v>
      </c>
      <c r="N12" s="136" t="str">
        <f>VLOOKUP(C12,'Trips&amp;Operators'!$C$1:$G$99999,5,FALSE)</f>
        <v>ZEWDU DEREJE</v>
      </c>
      <c r="O12" s="207" t="s">
        <v>184</v>
      </c>
      <c r="P12" s="137" t="s">
        <v>551</v>
      </c>
      <c r="Q12" s="30"/>
      <c r="R12" s="84" t="str">
        <f>IF(VLOOKUP(C12,'Train Runs'!$A$13:$AE$9931,1,1)=C12,VLOOKUP(C12,'Train Runs'!$A$13:$AE$9931,31,1),NA())</f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S12" s="87" t="str">
        <f>VLOOKUP(C12,'Train Runs'!$A$13:$AE$9931,22,0)</f>
        <v>https://d0f6bd738d7f1b3e5a7ca70fe4ff75f0.us-east-1.aws.found.io/app/kibana#/discover/Steve-Slow-Train-Analysis-(2080s-and-2083s)?_g=(refreshInterval:(display:Off,pause:!f,section:0,value:0),time:(from:'2017-05-09T17:09:45-0600',mode:absolute,to:'2017-05-09T19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2" s="89" t="str">
        <f t="shared" si="1"/>
        <v>"C:\Program Files (x86)\AstroGrep\AstroGrep.exe" /e /r /s /spath="%USERPROFILE%\AppData\Local\Temp\OnboardLogs" /stypes="*4052*201705100*"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4052</v>
      </c>
      <c r="V12" s="31">
        <f t="shared" si="3"/>
        <v>42865.020891203705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arrival","project_id":79,"tracker_id":40,"status_id":1,"priority_id":2,"assigned_to_id":23,"start_date":"2017-05-09","description":"","custom_fields":[{"id":1,"name":"Subdivision","value":"EC"},{"id":4,"name":"Milepost","value":"6.3069"},{"id":17,"name":"Train ID","value":"217-09"},{"id":16,"name":"Locomotive ID","value":"4052"},{"id":130,"name":"Impact","value":""},{"id":150,"name":"Time of Event (Mountain Time)","value":"18:30:05"},{"id":151,"name":"Denver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/cygdrive/c/Users/stu/AppData/Local/Temp/OnboardLogs/RTDC4052 --include="*4052*201705100*"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"%USERPROFILE%\AppData\Local\Temp\OnboardLogs"\RTDC4052\*4052*201705100* &gt;&gt; 2017-05-09-SliceDisagreementCheck.txt</v>
      </c>
      <c r="AE12" s="148" t="str">
        <f t="shared" si="9"/>
        <v>start /low /b %USERPROFILE%\Documents\GitHub\eaglep3\Utilities\DownloadLogsFromS3.py --loco 4052 --day 2017-05-10</v>
      </c>
    </row>
    <row r="13" spans="1:32" s="1" customFormat="1" x14ac:dyDescent="0.25">
      <c r="A13" s="31">
        <v>42864.454270833332</v>
      </c>
      <c r="B13" s="30" t="s">
        <v>392</v>
      </c>
      <c r="C13" s="30" t="s">
        <v>577</v>
      </c>
      <c r="D13" s="30" t="s">
        <v>49</v>
      </c>
      <c r="E13" s="30" t="s">
        <v>191</v>
      </c>
      <c r="F13" s="42">
        <v>80</v>
      </c>
      <c r="G13" s="42">
        <v>141</v>
      </c>
      <c r="H13" s="42">
        <v>63993</v>
      </c>
      <c r="I13" s="42">
        <v>63808</v>
      </c>
      <c r="J13" s="30" t="s">
        <v>192</v>
      </c>
      <c r="K13" s="42">
        <v>63309</v>
      </c>
      <c r="L13" s="134" t="s">
        <v>51</v>
      </c>
      <c r="M13" s="135">
        <f t="shared" si="0"/>
        <v>263.47199999999998</v>
      </c>
      <c r="N13" s="136" t="str">
        <f>VLOOKUP(C13,'Trips&amp;Operators'!$C$1:$G$99999,5,FALSE)</f>
        <v>STARKS ANGELINA</v>
      </c>
      <c r="O13" s="207" t="s">
        <v>184</v>
      </c>
      <c r="P13" s="137" t="s">
        <v>551</v>
      </c>
      <c r="Q13" s="30"/>
      <c r="R13" s="84" t="str">
        <f>IF(VLOOKUP(C13,'Train Runs'!$A$13:$AE$9931,1,1)=C13,VLOOKUP(C13,'Train Runs'!$A$13:$AE$9931,31,1),NA())</f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S13" s="87" t="str">
        <f>VLOOKUP(C13,'Train Runs'!$A$13:$AE$9931,22,0)</f>
        <v>https://d0f6bd738d7f1b3e5a7ca70fe4ff75f0.us-east-1.aws.found.io/app/kibana#/discover/Steve-Slow-Train-Analysis-(2080s-and-2083s)?_g=(refreshInterval:(display:Off,pause:!f,section:0,value:0),time:(from:'2017-05-09T09:22:41-0600',mode:absolute,to:'2017-05-09T12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3" s="89" t="str">
        <f t="shared" si="1"/>
        <v>"C:\Program Files (x86)\AstroGrep\AstroGrep.exe" /e /r /s /spath="%USERPROFILE%\AppData\Local\Temp\OnboardLogs" /stypes="*4051*201705091*"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4051</v>
      </c>
      <c r="V13" s="31">
        <f t="shared" si="3"/>
        <v>42864.704270833332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arrival","project_id":79,"tracker_id":40,"status_id":1,"priority_id":2,"assigned_to_id":23,"start_date":"2017-05-09","description":"","custom_fields":[{"id":1,"name":"Subdivision","value":"EC"},{"id":4,"name":"Milepost","value":"6.3309"},{"id":17,"name":"Train ID","value":"148-09"},{"id":16,"name":"Locomotive ID","value":"4051"},{"id":130,"name":"Impact","value":""},{"id":150,"name":"Time of Event (Mountain Time)","value":"10:54:09"},{"id":151,"name":"Denver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/cygdrive/c/Users/stu/AppData/Local/Temp/OnboardLogs/RTDC4051 --include="*4051*201705091*"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"%USERPROFILE%\AppData\Local\Temp\OnboardLogs"\RTDC4051\*4051*201705091* &gt;&gt; 2017-05-09-SliceDisagreementCheck.txt</v>
      </c>
      <c r="AE13" s="148" t="str">
        <f t="shared" si="9"/>
        <v>start /low /b %USERPROFILE%\Documents\GitHub\eaglep3\Utilities\DownloadLogsFromS3.py --loco 4051 --day 2017-05-09</v>
      </c>
    </row>
    <row r="14" spans="1:32" x14ac:dyDescent="0.25">
      <c r="A14" s="31">
        <v>42864.34747685185</v>
      </c>
      <c r="B14" s="30" t="s">
        <v>460</v>
      </c>
      <c r="C14" s="30" t="s">
        <v>573</v>
      </c>
      <c r="D14" s="30" t="s">
        <v>98</v>
      </c>
      <c r="E14" s="30" t="s">
        <v>191</v>
      </c>
      <c r="F14" s="42">
        <v>110</v>
      </c>
      <c r="G14" s="42">
        <v>161</v>
      </c>
      <c r="H14" s="42">
        <v>63129</v>
      </c>
      <c r="I14" s="42">
        <v>62855</v>
      </c>
      <c r="J14" s="30" t="s">
        <v>192</v>
      </c>
      <c r="K14" s="42">
        <v>63309</v>
      </c>
      <c r="L14" s="134" t="s">
        <v>51</v>
      </c>
      <c r="M14" s="135">
        <f t="shared" si="0"/>
        <v>-239.71199999999999</v>
      </c>
      <c r="N14" s="136" t="str">
        <f>VLOOKUP(C14,'Trips&amp;Operators'!$C$1:$G$99999,5,FALSE)</f>
        <v>SANTIZO D. EDY</v>
      </c>
      <c r="O14" s="207" t="s">
        <v>184</v>
      </c>
      <c r="P14" s="137" t="s">
        <v>551</v>
      </c>
      <c r="Q14" s="30"/>
      <c r="R14" s="84" t="str">
        <f>IF(VLOOKUP(C14,'Train Runs'!$A$13:$AE$9931,1,1)=C14,VLOOKUP(C14,'Train Runs'!$A$13:$AE$9931,31,1),NA())</f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S14" s="87" t="str">
        <f>VLOOKUP(C14,'Train Runs'!$A$13:$AE$9931,22,0)</f>
        <v>https://d0f6bd738d7f1b3e5a7ca70fe4ff75f0.us-east-1.aws.found.io/app/kibana#/discover/Steve-Slow-Train-Analysis-(2080s-and-2083s)?_g=(refreshInterval:(display:Off,pause:!f,section:0,value:0),time:(from:'2017-05-09T06:37:06-0600',mode:absolute,to:'2017-05-09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4" s="89" t="str">
        <f t="shared" si="1"/>
        <v>"C:\Program Files (x86)\AstroGrep\AstroGrep.exe" /e /r /s /spath="%USERPROFILE%\AppData\Local\Temp\OnboardLogs" /stypes="*4029*201705091*"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4029</v>
      </c>
      <c r="V14" s="31">
        <f t="shared" si="3"/>
        <v>42864.59747685185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arrival","project_id":79,"tracker_id":40,"status_id":1,"priority_id":2,"assigned_to_id":23,"start_date":"2017-05-09","description":"","custom_fields":[{"id":1,"name":"Subdivision","value":"EC"},{"id":4,"name":"Milepost","value":"6.3309"},{"id":17,"name":"Train ID","value":"128-09"},{"id":16,"name":"Locomotive ID","value":"4029"},{"id":130,"name":"Impact","value":""},{"id":150,"name":"Time of Event (Mountain Time)","value":"08:20:22"},{"id":151,"name":"Denver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/cygdrive/c/Users/stu/AppData/Local/Temp/OnboardLogs/RTDC4029 --include="*4029*201705091*"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"%USERPROFILE%\AppData\Local\Temp\OnboardLogs"\RTDC4029\*4029*201705091* &gt;&gt; 2017-05-09-SliceDisagreementCheck.txt</v>
      </c>
      <c r="AE14" s="148" t="str">
        <f t="shared" si="9"/>
        <v>start /low /b %USERPROFILE%\Documents\GitHub\eaglep3\Utilities\DownloadLogsFromS3.py --loco 4029 --day 2017-05-09</v>
      </c>
      <c r="AF14" s="1"/>
    </row>
    <row r="15" spans="1:32" x14ac:dyDescent="0.25">
      <c r="A15" s="31">
        <v>42864.711180555554</v>
      </c>
      <c r="B15" s="30" t="s">
        <v>460</v>
      </c>
      <c r="C15" s="30" t="s">
        <v>586</v>
      </c>
      <c r="D15" s="30" t="s">
        <v>49</v>
      </c>
      <c r="E15" s="30" t="s">
        <v>191</v>
      </c>
      <c r="F15" s="42">
        <v>290</v>
      </c>
      <c r="G15" s="42">
        <v>776</v>
      </c>
      <c r="H15" s="42">
        <v>68857</v>
      </c>
      <c r="I15" s="42">
        <v>65232</v>
      </c>
      <c r="J15" s="30" t="s">
        <v>192</v>
      </c>
      <c r="K15" s="42">
        <v>63309</v>
      </c>
      <c r="L15" s="134" t="s">
        <v>51</v>
      </c>
      <c r="M15" s="135">
        <f t="shared" si="0"/>
        <v>1015.3440000000001</v>
      </c>
      <c r="N15" s="136" t="str">
        <f>VLOOKUP(C15,'Trips&amp;Operators'!$C$1:$G$99999,5,FALSE)</f>
        <v>ROMERO CHAD</v>
      </c>
      <c r="O15" s="207" t="s">
        <v>184</v>
      </c>
      <c r="P15" s="137" t="s">
        <v>551</v>
      </c>
      <c r="Q15" s="30"/>
      <c r="R15" s="84" t="str">
        <f>IF(VLOOKUP(C15,'Train Runs'!$A$13:$AE$9931,1,1)=C15,VLOOKUP(C15,'Train Runs'!$A$13:$AE$9931,31,1),NA())</f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S15" s="87" t="str">
        <f>VLOOKUP(C15,'Train Runs'!$A$13:$AE$9931,22,0)</f>
        <v>https://d0f6bd738d7f1b3e5a7ca70fe4ff75f0.us-east-1.aws.found.io/app/kibana#/discover/Steve-Slow-Train-Analysis-(2080s-and-2083s)?_g=(refreshInterval:(display:Off,pause:!f,section:0,value:0),time:(from:'2017-05-09T15:37:40-0600',mode:absolute,to:'2017-05-09T18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9" t="str">
        <f t="shared" si="1"/>
        <v>"C:\Program Files (x86)\AstroGrep\AstroGrep.exe" /e /r /s /spath="%USERPROFILE%\AppData\Local\Temp\OnboardLogs" /stypes="*4029*201705092*"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4029</v>
      </c>
      <c r="V15" s="31">
        <f t="shared" si="3"/>
        <v>42864.961180555554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arrival","project_id":79,"tracker_id":40,"status_id":1,"priority_id":2,"assigned_to_id":23,"start_date":"2017-05-09","description":"","custom_fields":[{"id":1,"name":"Subdivision","value":"EC"},{"id":4,"name":"Milepost","value":"6.3309"},{"id":17,"name":"Train ID","value":"198-09"},{"id":16,"name":"Locomotive ID","value":"4029"},{"id":130,"name":"Impact","value":""},{"id":150,"name":"Time of Event (Mountain Time)","value":"17:04:06"},{"id":151,"name":"Denver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/cygdrive/c/Users/stu/AppData/Local/Temp/OnboardLogs/RTDC4029 --include="*4029*201705092*"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"%USERPROFILE%\AppData\Local\Temp\OnboardLogs"\RTDC4029\*4029*201705092* &gt;&gt; 2017-05-09-SliceDisagreementCheck.txt</v>
      </c>
      <c r="AE15" s="148" t="str">
        <f t="shared" si="9"/>
        <v>start /low /b %USERPROFILE%\Documents\GitHub\eaglep3\Utilities\DownloadLogsFromS3.py --loco 4029 --day 2017-05-09</v>
      </c>
      <c r="AF15" s="1"/>
    </row>
    <row r="16" spans="1:32" x14ac:dyDescent="0.25">
      <c r="A16" s="31">
        <v>42864.406701388885</v>
      </c>
      <c r="B16" s="30" t="s">
        <v>575</v>
      </c>
      <c r="C16" s="30" t="s">
        <v>576</v>
      </c>
      <c r="D16" s="30" t="s">
        <v>49</v>
      </c>
      <c r="E16" s="30" t="s">
        <v>191</v>
      </c>
      <c r="F16" s="42">
        <v>0</v>
      </c>
      <c r="G16" s="42">
        <v>185</v>
      </c>
      <c r="H16" s="42">
        <v>109833</v>
      </c>
      <c r="I16" s="42">
        <v>109520</v>
      </c>
      <c r="J16" s="30" t="s">
        <v>192</v>
      </c>
      <c r="K16" s="42">
        <v>109135</v>
      </c>
      <c r="L16" s="134" t="s">
        <v>51</v>
      </c>
      <c r="M16" s="135">
        <f t="shared" si="0"/>
        <v>203.28</v>
      </c>
      <c r="N16" s="136" t="str">
        <f>VLOOKUP(C16,'Trips&amp;Operators'!$C$1:$G$99999,5,FALSE)</f>
        <v>LOZA FIDEL</v>
      </c>
      <c r="O16" s="207" t="s">
        <v>184</v>
      </c>
      <c r="P16" s="137" t="s">
        <v>552</v>
      </c>
      <c r="Q16" s="30"/>
      <c r="R16" s="84" t="str">
        <f>IF(VLOOKUP(C16,'Train Runs'!$A$13:$AE$9931,1,1)=C16,VLOOKUP(C16,'Train Runs'!$A$13:$AE$9931,31,1),NA())</f>
        <v>aws s3 cp s3://rtdc.mdm.uploadarchive.raw/RTDC4007/ "%USERPROFILE%\AppData\Local\Temp\OnboardLogs"\RTDC4007\2017-05-09 --exclude "*" --recursive --include "*20170509*" &amp; "%USERPROFILE%\Documents\GitHub\mrs-test-scripts\Headless Mode &amp; Sideloading\WalkAndUnGZ.bat" "%USERPROFILE%\AppData\Local\Temp\OnboardLogs"\RTDC4007\2017-05-09 &amp; aws s3 cp s3://rtdc.mdm.uploadarchive.raw/RTDC4007/ "%USERPROFILE%\AppData\Local\Temp\OnboardLogs"\RTDC4007\2017-05-10 --exclude "*" --recursive --include "*20170510*" &amp; "%USERPROFILE%\Documents\GitHub\mrs-test-scripts\Headless Mode &amp; Sideloading\WalkAndUnGZ.bat" "%USERPROFILE%\AppData\Local\Temp\OnboardLogs"\RTDC4007\2017-05-10</v>
      </c>
      <c r="S16" s="87" t="str">
        <f>VLOOKUP(C16,'Train Runs'!$A$13:$AE$9931,22,0)</f>
        <v>https://d0f6bd738d7f1b3e5a7ca70fe4ff75f0.us-east-1.aws.found.io/app/kibana#/discover/Steve-Slow-Train-Analysis-(2080s-and-2083s)?_g=(refreshInterval:(display:Off,pause:!f,section:0,value:0),time:(from:'2017-05-09T08:22:00-0600',mode:absolute,to:'2017-05-09T11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89" t="str">
        <f t="shared" si="1"/>
        <v>"C:\Program Files (x86)\AstroGrep\AstroGrep.exe" /e /r /s /spath="%USERPROFILE%\AppData\Local\Temp\OnboardLogs" /stypes="*4007*201705091*"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4007</v>
      </c>
      <c r="V16" s="31">
        <f t="shared" si="3"/>
        <v>42864.656701388885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{"issue":{"subject":"Form C","project_id":79,"tracker_id":40,"status_id":1,"priority_id":2,"assigned_to_id":23,"start_date":"2017-05-09","description":"","custom_fields":[{"id":1,"name":"Subdivision","value":"EC"},{"id":4,"name":"Milepost","value":"10.9135"},{"id":17,"name":"Train ID","value":"140-09"},{"id":16,"name":"Locomotive ID","value":"4007"},{"id":130,"name":"Impact","value":""},{"id":150,"name":"Time of Event (Mountain Time)","value":"09:45:39"},{"id":151,"name":"Denver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/cygdrive/c/Users/stu/AppData/Local/Temp/OnboardLogs/RTDC4007 --include="*4007*201705091*"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"%USERPROFILE%\AppData\Local\Temp\OnboardLogs"\RTDC4007\*4007*201705091* &gt;&gt; 2017-05-09-SliceDisagreementCheck.txt</v>
      </c>
      <c r="AE16" s="148" t="str">
        <f t="shared" si="9"/>
        <v>start /low /b %USERPROFILE%\Documents\GitHub\eaglep3\Utilities\DownloadLogsFromS3.py --loco 4007 --day 2017-05-09</v>
      </c>
      <c r="AF16" s="1"/>
    </row>
    <row r="17" spans="1:32" x14ac:dyDescent="0.25">
      <c r="A17" s="31">
        <v>42864.448553240742</v>
      </c>
      <c r="B17" s="30" t="s">
        <v>392</v>
      </c>
      <c r="C17" s="30" t="s">
        <v>577</v>
      </c>
      <c r="D17" s="30" t="s">
        <v>49</v>
      </c>
      <c r="E17" s="30" t="s">
        <v>191</v>
      </c>
      <c r="F17" s="42">
        <v>0</v>
      </c>
      <c r="G17" s="42">
        <v>186</v>
      </c>
      <c r="H17" s="42">
        <v>110320</v>
      </c>
      <c r="I17" s="42">
        <v>110028</v>
      </c>
      <c r="J17" s="30" t="s">
        <v>192</v>
      </c>
      <c r="K17" s="42">
        <v>109135</v>
      </c>
      <c r="L17" s="134" t="s">
        <v>51</v>
      </c>
      <c r="M17" s="135">
        <f t="shared" si="0"/>
        <v>471.50400000000002</v>
      </c>
      <c r="N17" s="136" t="str">
        <f>VLOOKUP(C17,'Trips&amp;Operators'!$C$1:$G$99999,5,FALSE)</f>
        <v>STARKS ANGELINA</v>
      </c>
      <c r="O17" s="207" t="s">
        <v>184</v>
      </c>
      <c r="P17" s="137" t="s">
        <v>552</v>
      </c>
      <c r="Q17" s="30"/>
      <c r="R17" s="84" t="str">
        <f>IF(VLOOKUP(C17,'Train Runs'!$A$13:$AE$9931,1,1)=C17,VLOOKUP(C17,'Train Runs'!$A$13:$AE$9931,31,1),NA())</f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S17" s="87" t="str">
        <f>VLOOKUP(C17,'Train Runs'!$A$13:$AE$9931,22,0)</f>
        <v>https://d0f6bd738d7f1b3e5a7ca70fe4ff75f0.us-east-1.aws.found.io/app/kibana#/discover/Steve-Slow-Train-Analysis-(2080s-and-2083s)?_g=(refreshInterval:(display:Off,pause:!f,section:0,value:0),time:(from:'2017-05-09T09:22:41-0600',mode:absolute,to:'2017-05-09T12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7" s="89" t="str">
        <f t="shared" si="1"/>
        <v>"C:\Program Files (x86)\AstroGrep\AstroGrep.exe" /e /r /s /spath="%USERPROFILE%\AppData\Local\Temp\OnboardLogs" /stypes="*4051*201705091*"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4051</v>
      </c>
      <c r="V17" s="31">
        <f t="shared" si="3"/>
        <v>42864.698553240742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{"issue":{"subject":"Form C","project_id":79,"tracker_id":40,"status_id":1,"priority_id":2,"assigned_to_id":23,"start_date":"2017-05-09","description":"","custom_fields":[{"id":1,"name":"Subdivision","value":"EC"},{"id":4,"name":"Milepost","value":"10.9135"},{"id":17,"name":"Train ID","value":"148-09"},{"id":16,"name":"Locomotive ID","value":"4051"},{"id":130,"name":"Impact","value":""},{"id":150,"name":"Time of Event (Mountain Time)","value":"10:45:55"},{"id":151,"name":"Denver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/cygdrive/c/Users/stu/AppData/Local/Temp/OnboardLogs/RTDC4051 --include="*4051*201705091*"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"%USERPROFILE%\AppData\Local\Temp\OnboardLogs"\RTDC4051\*4051*201705091* &gt;&gt; 2017-05-09-SliceDisagreementCheck.txt</v>
      </c>
      <c r="AE17" s="148" t="str">
        <f t="shared" si="9"/>
        <v>start /low /b %USERPROFILE%\Documents\GitHub\eaglep3\Utilities\DownloadLogsFromS3.py --loco 4051 --day 2017-05-09</v>
      </c>
      <c r="AF17" s="1"/>
    </row>
    <row r="18" spans="1:32" x14ac:dyDescent="0.25">
      <c r="A18" s="31">
        <v>42864.208703703705</v>
      </c>
      <c r="B18" s="30" t="s">
        <v>362</v>
      </c>
      <c r="C18" s="30" t="s">
        <v>560</v>
      </c>
      <c r="D18" s="30" t="s">
        <v>49</v>
      </c>
      <c r="E18" s="30" t="s">
        <v>191</v>
      </c>
      <c r="F18" s="42">
        <v>400</v>
      </c>
      <c r="G18" s="42">
        <v>453</v>
      </c>
      <c r="H18" s="42">
        <v>110347</v>
      </c>
      <c r="I18" s="42">
        <v>108917</v>
      </c>
      <c r="J18" s="30" t="s">
        <v>192</v>
      </c>
      <c r="K18" s="42">
        <v>109135</v>
      </c>
      <c r="L18" s="134" t="s">
        <v>51</v>
      </c>
      <c r="M18" s="135">
        <f t="shared" si="0"/>
        <v>-115.104</v>
      </c>
      <c r="N18" s="136" t="str">
        <f>VLOOKUP(C18,'Trips&amp;Operators'!$C$1:$G$99999,5,FALSE)</f>
        <v>SPECTOR MICHAEL</v>
      </c>
      <c r="O18" s="207" t="s">
        <v>184</v>
      </c>
      <c r="P18" s="137" t="s">
        <v>551</v>
      </c>
      <c r="Q18" s="30"/>
      <c r="R18" s="84" t="str">
        <f>IF(VLOOKUP(C18,'Train Runs'!$A$13:$AE$9931,1,1)=C18,VLOOKUP(C18,'Train Runs'!$A$13:$AE$9931,31,1),NA())</f>
        <v>aws s3 cp s3://rtdc.mdm.uploadarchive.raw/RTDC4003/ "%USERPROFILE%\AppData\Local\Temp\OnboardLogs"\RTDC4003\2017-05-09 --exclude "*" --recursive --include "*20170509*" &amp; "%USERPROFILE%\Documents\GitHub\mrs-test-scripts\Headless Mode &amp; Sideloading\WalkAndUnGZ.bat" "%USERPROFILE%\AppData\Local\Temp\OnboardLogs"\RTDC4003\2017-05-09 &amp; aws s3 cp s3://rtdc.mdm.uploadarchive.raw/RTDC4003/ "%USERPROFILE%\AppData\Local\Temp\OnboardLogs"\RTDC4003\2017-05-10 --exclude "*" --recursive --include "*20170510*" &amp; "%USERPROFILE%\Documents\GitHub\mrs-test-scripts\Headless Mode &amp; Sideloading\WalkAndUnGZ.bat" "%USERPROFILE%\AppData\Local\Temp\OnboardLogs"\RTDC4003\2017-05-10</v>
      </c>
      <c r="S18" s="87" t="str">
        <f>VLOOKUP(C18,'Train Runs'!$A$13:$AE$9931,22,0)</f>
        <v>https://d0f6bd738d7f1b3e5a7ca70fe4ff75f0.us-east-1.aws.found.io/app/kibana#/discover/Steve-Slow-Train-Analysis-(2080s-and-2083s)?_g=(refreshInterval:(display:Off,pause:!f,section:0,value:0),time:(from:'2017-05-09T03:31:11-0600',mode:absolute,to:'2017-05-09T06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89" t="str">
        <f t="shared" si="1"/>
        <v>"C:\Program Files (x86)\AstroGrep\AstroGrep.exe" /e /r /s /spath="%USERPROFILE%\AppData\Local\Temp\OnboardLogs" /stypes="*4003*201705091*" /stext=" 11:.+((SYSTEM_STATE.+slice.+state.+changed )|(ment ac)|(multiple cpu faults)|(system.+state.+changed )|(\[timeout)|(PRM\|1\|D)|(kpr)|(kdp)|(train st.+moving)|(\|lc)|(penalty))"</v>
      </c>
      <c r="U18" s="9" t="str">
        <f t="shared" si="2"/>
        <v>4003</v>
      </c>
      <c r="V18" s="31">
        <f t="shared" si="3"/>
        <v>42864.458703703705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arrival","project_id":79,"tracker_id":40,"status_id":1,"priority_id":2,"assigned_to_id":23,"start_date":"2017-05-09","description":"","custom_fields":[{"id":1,"name":"Subdivision","value":"EC"},{"id":4,"name":"Milepost","value":"10.9135"},{"id":17,"name":"Train ID","value":"104-09"},{"id":16,"name":"Locomotive ID","value":"4003"},{"id":130,"name":"Impact","value":""},{"id":150,"name":"Time of Event (Mountain Time)","value":"05:00:32"},{"id":151,"name":"Denver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/cygdrive/c/Users/stu/AppData/Local/Temp/OnboardLogs/RTDC4003 --include="*4003*201705091*"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"%USERPROFILE%\AppData\Local\Temp\OnboardLogs"\RTDC4003\*4003*201705091* &gt;&gt; 2017-05-09-SliceDisagreementCheck.txt</v>
      </c>
      <c r="AE18" s="148" t="str">
        <f t="shared" si="9"/>
        <v>start /low /b %USERPROFILE%\Documents\GitHub\eaglep3\Utilities\DownloadLogsFromS3.py --loco 4003 --day 2017-05-09</v>
      </c>
      <c r="AF18" s="1"/>
    </row>
    <row r="19" spans="1:32" x14ac:dyDescent="0.25">
      <c r="A19" s="31">
        <v>42864.180775462963</v>
      </c>
      <c r="B19" s="30" t="s">
        <v>394</v>
      </c>
      <c r="C19" s="30" t="s">
        <v>559</v>
      </c>
      <c r="D19" s="30" t="s">
        <v>49</v>
      </c>
      <c r="E19" s="30" t="s">
        <v>205</v>
      </c>
      <c r="F19" s="42">
        <v>400</v>
      </c>
      <c r="G19" s="42">
        <v>497</v>
      </c>
      <c r="H19" s="42">
        <v>17360</v>
      </c>
      <c r="I19" s="42">
        <v>18044</v>
      </c>
      <c r="J19" s="30" t="s">
        <v>206</v>
      </c>
      <c r="K19" s="42">
        <v>17867</v>
      </c>
      <c r="L19" s="134" t="s">
        <v>50</v>
      </c>
      <c r="M19" s="135">
        <f t="shared" si="0"/>
        <v>-93.456000000000003</v>
      </c>
      <c r="N19" s="136" t="str">
        <f>VLOOKUP(C19,'Trips&amp;Operators'!$C$1:$G$99999,5,FALSE)</f>
        <v>STARKS ANGELINA</v>
      </c>
      <c r="O19" s="207" t="s">
        <v>184</v>
      </c>
      <c r="P19" s="137"/>
      <c r="Q19" s="30"/>
      <c r="R19" s="84" t="str">
        <f>IF(VLOOKUP(C19,'Train Runs'!$A$13:$AE$9931,1,1)=C19,VLOOKUP(C19,'Train Runs'!$A$13:$AE$9931,31,1),NA())</f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S19" s="87" t="str">
        <f>VLOOKUP(C19,'Train Runs'!$A$13:$AE$9931,22,0)</f>
        <v>https://d0f6bd738d7f1b3e5a7ca70fe4ff75f0.us-east-1.aws.found.io/app/kibana#/discover/Steve-Slow-Train-Analysis-(2080s-and-2083s)?_g=(refreshInterval:(display:Off,pause:!f,section:0,value:0),time:(from:'2017-05-09T03:12:03-0600',mode:absolute,to:'2017-05-09T05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9" s="89" t="str">
        <f t="shared" si="1"/>
        <v>"C:\Program Files (x86)\AstroGrep\AstroGrep.exe" /e /r /s /spath="%USERPROFILE%\AppData\Local\Temp\OnboardLogs" /stypes="*4052*201705091*" /stext=" 10:.+((SYSTEM_STATE.+slice.+state.+changed )|(ment ac)|(multiple cpu faults)|(system.+state.+changed )|(\[timeout)|(PRM\|1\|D)|(kpr)|(kdp)|(train st.+moving)|(\|lc)|(penalty))"</v>
      </c>
      <c r="U19" s="9" t="str">
        <f t="shared" si="2"/>
        <v>4052</v>
      </c>
      <c r="V19" s="31">
        <f t="shared" si="3"/>
        <v>42864.430775462963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{"issue":{"subject":"","project_id":79,"tracker_id":40,"status_id":1,"priority_id":2,"assigned_to_id":23,"start_date":"2017-05-09","description":"","custom_fields":[{"id":1,"name":"Subdivision","value":"EC"},{"id":4,"name":"Milepost","value":"1.7867"},{"id":17,"name":"Train ID","value":"105-09"},{"id":16,"name":"Locomotive ID","value":"4052"},{"id":130,"name":"Impact","value":""},{"id":150,"name":"Time of Event (Mountain Time)","value":"04:20:19"},{"id":151,"name":"Denver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/cygdrive/c/Users/stu/AppData/Local/Temp/OnboardLogs/RTDC4052 --include="*4052*201705091*"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"%USERPROFILE%\AppData\Local\Temp\OnboardLogs"\RTDC4052\*4052*201705091* &gt;&gt; 2017-05-09-SliceDisagreementCheck.txt</v>
      </c>
      <c r="AE19" s="148" t="str">
        <f t="shared" si="9"/>
        <v>start /low /b %USERPROFILE%\Documents\GitHub\eaglep3\Utilities\DownloadLogsFromS3.py --loco 4052 --day 2017-05-09</v>
      </c>
      <c r="AF19" s="1"/>
    </row>
    <row r="20" spans="1:32" x14ac:dyDescent="0.25">
      <c r="A20" s="31">
        <v>42864.304652777777</v>
      </c>
      <c r="B20" s="30" t="s">
        <v>478</v>
      </c>
      <c r="C20" s="30" t="s">
        <v>570</v>
      </c>
      <c r="D20" s="30" t="s">
        <v>49</v>
      </c>
      <c r="E20" s="30" t="s">
        <v>205</v>
      </c>
      <c r="F20" s="42">
        <v>400</v>
      </c>
      <c r="G20" s="42">
        <v>650</v>
      </c>
      <c r="H20" s="42">
        <v>13194</v>
      </c>
      <c r="I20" s="42">
        <v>17293</v>
      </c>
      <c r="J20" s="30" t="s">
        <v>206</v>
      </c>
      <c r="K20" s="42">
        <v>17867</v>
      </c>
      <c r="L20" s="134" t="s">
        <v>50</v>
      </c>
      <c r="M20" s="135">
        <f t="shared" si="0"/>
        <v>303.072</v>
      </c>
      <c r="N20" s="136" t="str">
        <f>VLOOKUP(C20,'Trips&amp;Operators'!$C$1:$G$99999,5,FALSE)</f>
        <v>ROCHA YAOTL</v>
      </c>
      <c r="O20" s="207" t="s">
        <v>184</v>
      </c>
      <c r="P20" s="137"/>
      <c r="Q20" s="30"/>
      <c r="R20" s="84" t="str">
        <f>IF(VLOOKUP(C20,'Train Runs'!$A$13:$AE$9931,1,1)=C20,VLOOKUP(C20,'Train Runs'!$A$13:$AE$9931,31,1),NA())</f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S20" s="87" t="str">
        <f>VLOOKUP(C20,'Train Runs'!$A$13:$AE$9931,22,0)</f>
        <v>https://d0f6bd738d7f1b3e5a7ca70fe4ff75f0.us-east-1.aws.found.io/app/kibana#/discover/Steve-Slow-Train-Analysis-(2080s-and-2083s)?_g=(refreshInterval:(display:Off,pause:!f,section:0,value:0),time:(from:'2017-05-09T06:09:50-0600',mode:absolute,to:'2017-05-09T08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0" s="89" t="str">
        <f t="shared" si="1"/>
        <v>"C:\Program Files (x86)\AstroGrep\AstroGrep.exe" /e /r /s /spath="%USERPROFILE%\AppData\Local\Temp\OnboardLogs" /stypes="*4046*201705091*"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4046</v>
      </c>
      <c r="V20" s="31">
        <f t="shared" si="3"/>
        <v>42864.554652777777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{"issue":{"subject":"","project_id":79,"tracker_id":40,"status_id":1,"priority_id":2,"assigned_to_id":23,"start_date":"2017-05-09","description":"","custom_fields":[{"id":1,"name":"Subdivision","value":"EC"},{"id":4,"name":"Milepost","value":"1.7867"},{"id":17,"name":"Train ID","value":"129-09"},{"id":16,"name":"Locomotive ID","value":"4046"},{"id":130,"name":"Impact","value":""},{"id":150,"name":"Time of Event (Mountain Time)","value":"07:18:42"},{"id":151,"name":"Denver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/cygdrive/c/Users/stu/AppData/Local/Temp/OnboardLogs/RTDC4046 --include="*4046*201705091*"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"%USERPROFILE%\AppData\Local\Temp\OnboardLogs"\RTDC4046\*4046*201705091* &gt;&gt; 2017-05-09-SliceDisagreementCheck.txt</v>
      </c>
      <c r="AE20" s="148" t="str">
        <f t="shared" si="9"/>
        <v>start /low /b %USERPROFILE%\Documents\GitHub\eaglep3\Utilities\DownloadLogsFromS3.py --loco 4046 --day 2017-05-09</v>
      </c>
      <c r="AF20" s="1"/>
    </row>
    <row r="21" spans="1:32" x14ac:dyDescent="0.25">
      <c r="A21" s="31">
        <v>42864.460138888891</v>
      </c>
      <c r="B21" s="30" t="s">
        <v>459</v>
      </c>
      <c r="C21" s="30" t="s">
        <v>578</v>
      </c>
      <c r="D21" s="30" t="s">
        <v>49</v>
      </c>
      <c r="E21" s="30" t="s">
        <v>205</v>
      </c>
      <c r="F21" s="42">
        <v>550</v>
      </c>
      <c r="G21" s="42">
        <v>772</v>
      </c>
      <c r="H21" s="42">
        <v>218112</v>
      </c>
      <c r="I21" s="42">
        <v>221589</v>
      </c>
      <c r="J21" s="30" t="s">
        <v>206</v>
      </c>
      <c r="K21" s="42">
        <v>222090</v>
      </c>
      <c r="L21" s="134" t="s">
        <v>50</v>
      </c>
      <c r="M21" s="135">
        <f t="shared" si="0"/>
        <v>264.52800000000002</v>
      </c>
      <c r="N21" s="136" t="str">
        <f>VLOOKUP(C21,'Trips&amp;Operators'!$C$1:$G$99999,5,FALSE)</f>
        <v>COOLAHAN JOHN</v>
      </c>
      <c r="O21" s="207" t="s">
        <v>184</v>
      </c>
      <c r="P21" s="137"/>
      <c r="Q21" s="30"/>
      <c r="R21" s="84" t="str">
        <f>IF(VLOOKUP(C21,'Train Runs'!$A$13:$AE$9931,1,1)=C21,VLOOKUP(C21,'Train Runs'!$A$13:$AE$9931,31,1),NA())</f>
        <v>aws s3 cp s3://rtdc.mdm.uploadarchive.raw/RTDC4030/ "%USERPROFILE%\AppData\Local\Temp\OnboardLogs"\RTDC4030\2017-05-09 --exclude "*" --recursive --include "*20170509*" &amp; "%USERPROFILE%\Documents\GitHub\mrs-test-scripts\Headless Mode &amp; Sideloading\WalkAndUnGZ.bat" "%USERPROFILE%\AppData\Local\Temp\OnboardLogs"\RTDC4030\2017-05-09 &amp; aws s3 cp s3://rtdc.mdm.uploadarchive.raw/RTDC4030/ "%USERPROFILE%\AppData\Local\Temp\OnboardLogs"\RTDC4030\2017-05-10 --exclude "*" --recursive --include "*20170510*" &amp; "%USERPROFILE%\Documents\GitHub\mrs-test-scripts\Headless Mode &amp; Sideloading\WalkAndUnGZ.bat" "%USERPROFILE%\AppData\Local\Temp\OnboardLogs"\RTDC4030\2017-05-10</v>
      </c>
      <c r="S21" s="87" t="str">
        <f>VLOOKUP(C21,'Train Runs'!$A$13:$AE$9931,22,0)</f>
        <v>https://d0f6bd738d7f1b3e5a7ca70fe4ff75f0.us-east-1.aws.found.io/app/kibana#/discover/Steve-Slow-Train-Analysis-(2080s-and-2083s)?_g=(refreshInterval:(display:Off,pause:!f,section:0,value:0),time:(from:'2017-05-09T09:26:17-0600',mode:absolute,to:'2017-05-09T12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1" s="89" t="str">
        <f t="shared" si="1"/>
        <v>"C:\Program Files (x86)\AstroGrep\AstroGrep.exe" /e /r /s /spath="%USERPROFILE%\AppData\Local\Temp\OnboardLogs" /stypes="*4030*201705091*" /stext=" 17:.+((SYSTEM_STATE.+slice.+state.+changed )|(ment ac)|(multiple cpu faults)|(system.+state.+changed )|(\[timeout)|(PRM\|1\|D)|(kpr)|(kdp)|(train st.+moving)|(\|lc)|(penalty))"</v>
      </c>
      <c r="U21" s="9" t="str">
        <f t="shared" si="2"/>
        <v>4030</v>
      </c>
      <c r="V21" s="31">
        <f t="shared" si="3"/>
        <v>42864.710138888891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{"issue":{"subject":"","project_id":79,"tracker_id":40,"status_id":1,"priority_id":2,"assigned_to_id":23,"start_date":"2017-05-09","description":"","custom_fields":[{"id":1,"name":"Subdivision","value":"EC"},{"id":4,"name":"Milepost","value":"22.209"},{"id":17,"name":"Train ID","value":"155-09"},{"id":16,"name":"Locomotive ID","value":"4030"},{"id":130,"name":"Impact","value":""},{"id":150,"name":"Time of Event (Mountain Time)","value":"11:02:36"},{"id":151,"name":"Denver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/cygdrive/c/Users/stu/AppData/Local/Temp/OnboardLogs/RTDC4030 --include="*4030*201705091*"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"%USERPROFILE%\AppData\Local\Temp\OnboardLogs"\RTDC4030\*4030*201705091* &gt;&gt; 2017-05-09-SliceDisagreementCheck.txt</v>
      </c>
      <c r="AE21" s="148" t="str">
        <f t="shared" si="9"/>
        <v>start /low /b %USERPROFILE%\Documents\GitHub\eaglep3\Utilities\DownloadLogsFromS3.py --loco 4030 --day 2017-05-09</v>
      </c>
      <c r="AF21" s="1"/>
    </row>
    <row r="22" spans="1:32" x14ac:dyDescent="0.25">
      <c r="A22" s="31">
        <v>42864.550428240742</v>
      </c>
      <c r="B22" s="30" t="s">
        <v>460</v>
      </c>
      <c r="C22" s="30" t="s">
        <v>580</v>
      </c>
      <c r="D22" s="30" t="s">
        <v>98</v>
      </c>
      <c r="E22" s="30" t="s">
        <v>205</v>
      </c>
      <c r="F22" s="42">
        <v>350</v>
      </c>
      <c r="G22" s="42">
        <v>400</v>
      </c>
      <c r="H22" s="42">
        <v>229382</v>
      </c>
      <c r="I22" s="42">
        <v>228253</v>
      </c>
      <c r="J22" s="30" t="s">
        <v>206</v>
      </c>
      <c r="K22" s="42">
        <v>232107</v>
      </c>
      <c r="L22" s="134" t="s">
        <v>51</v>
      </c>
      <c r="M22" s="135">
        <f t="shared" si="0"/>
        <v>-2034.912</v>
      </c>
      <c r="N22" s="136" t="str">
        <f>VLOOKUP(C22,'Trips&amp;Operators'!$C$1:$G$99999,5,FALSE)</f>
        <v>ROMERO CHAD</v>
      </c>
      <c r="O22" s="207" t="s">
        <v>184</v>
      </c>
      <c r="P22" s="137"/>
      <c r="Q22" s="30"/>
      <c r="R22" s="84" t="str">
        <f>IF(VLOOKUP(C22,'Train Runs'!$A$13:$AE$9931,1,1)=C22,VLOOKUP(C22,'Train Runs'!$A$13:$AE$9931,31,1),NA())</f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S22" s="87" t="str">
        <f>VLOOKUP(C22,'Train Runs'!$A$13:$AE$9931,22,0)</f>
        <v>https://d0f6bd738d7f1b3e5a7ca70fe4ff75f0.us-east-1.aws.found.io/app/kibana#/discover/Steve-Slow-Train-Analysis-(2080s-and-2083s)?_g=(refreshInterval:(display:Off,pause:!f,section:0,value:0),time:(from:'2017-05-09T11:56:59-0600',mode:absolute,to:'2017-05-09T14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89" t="str">
        <f t="shared" si="1"/>
        <v>"C:\Program Files (x86)\AstroGrep\AstroGrep.exe" /e /r /s /spath="%USERPROFILE%\AppData\Local\Temp\OnboardLogs" /stypes="*4029*201705091*" /stext=" 19:.+((SYSTEM_STATE.+slice.+state.+changed )|(ment ac)|(multiple cpu faults)|(system.+state.+changed )|(\[timeout)|(PRM\|1\|D)|(kpr)|(kdp)|(train st.+moving)|(\|lc)|(penalty))"</v>
      </c>
      <c r="U22" s="9" t="str">
        <f t="shared" si="2"/>
        <v>4029</v>
      </c>
      <c r="V22" s="31">
        <f t="shared" si="3"/>
        <v>42864.800428240742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{"issue":{"subject":"","project_id":79,"tracker_id":40,"status_id":1,"priority_id":2,"assigned_to_id":23,"start_date":"2017-05-09","description":"","custom_fields":[{"id":1,"name":"Subdivision","value":"EC"},{"id":4,"name":"Milepost","value":"23.2107"},{"id":17,"name":"Train ID","value":"170-09"},{"id":16,"name":"Locomotive ID","value":"4029"},{"id":130,"name":"Impact","value":""},{"id":150,"name":"Time of Event (Mountain Time)","value":"13:12:37"},{"id":151,"name":"Denver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/cygdrive/c/Users/stu/AppData/Local/Temp/OnboardLogs/RTDC4029 --include="*4029*201705091*"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"%USERPROFILE%\AppData\Local\Temp\OnboardLogs"\RTDC4029\*4029*201705091* &gt;&gt; 2017-05-09-SliceDisagreementCheck.txt</v>
      </c>
      <c r="AE22" s="148" t="str">
        <f t="shared" si="9"/>
        <v>start /low /b %USERPROFILE%\Documents\GitHub\eaglep3\Utilities\DownloadLogsFromS3.py --loco 4029 --day 2017-05-09</v>
      </c>
      <c r="AF22" s="1"/>
    </row>
    <row r="23" spans="1:32" x14ac:dyDescent="0.25">
      <c r="A23" s="31">
        <v>42864.177800925929</v>
      </c>
      <c r="B23" s="30" t="s">
        <v>394</v>
      </c>
      <c r="C23" s="30" t="s">
        <v>559</v>
      </c>
      <c r="D23" s="30" t="s">
        <v>49</v>
      </c>
      <c r="E23" s="30" t="s">
        <v>390</v>
      </c>
      <c r="F23" s="42">
        <v>0</v>
      </c>
      <c r="G23" s="42">
        <v>91</v>
      </c>
      <c r="H23" s="42">
        <v>1278</v>
      </c>
      <c r="I23" s="42">
        <v>1408</v>
      </c>
      <c r="J23" s="30" t="s">
        <v>391</v>
      </c>
      <c r="K23" s="42">
        <v>1692</v>
      </c>
      <c r="L23" s="134" t="s">
        <v>50</v>
      </c>
      <c r="M23" s="135">
        <f t="shared" si="0"/>
        <v>149.952</v>
      </c>
      <c r="N23" s="136" t="str">
        <f>VLOOKUP(C23,'Trips&amp;Operators'!$C$1:$G$99999,5,FALSE)</f>
        <v>STARKS ANGELINA</v>
      </c>
      <c r="O23" s="207" t="s">
        <v>184</v>
      </c>
      <c r="P23" s="137" t="s">
        <v>555</v>
      </c>
      <c r="Q23" s="30"/>
      <c r="R23" s="84" t="str">
        <f>IF(VLOOKUP(C23,'Train Runs'!$A$13:$AE$9931,1,1)=C23,VLOOKUP(C23,'Train Runs'!$A$13:$AE$9931,31,1),NA())</f>
        <v>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 &amp; aws s3 cp s3://rtdc.mdm.uploadarchive.raw/RTDC4052/ "%USERPROFILE%\AppData\Local\Temp\OnboardLogs"\RTDC4052\2017-05-10 --exclude "*" --recursive --include "*20170510*" &amp; "%USERPROFILE%\Documents\GitHub\mrs-test-scripts\Headless Mode &amp; Sideloading\WalkAndUnGZ.bat" "%USERPROFILE%\AppData\Local\Temp\OnboardLogs"\RTDC4052\2017-05-10</v>
      </c>
      <c r="S23" s="87" t="str">
        <f>VLOOKUP(C23,'Train Runs'!$A$13:$AE$9931,22,0)</f>
        <v>https://d0f6bd738d7f1b3e5a7ca70fe4ff75f0.us-east-1.aws.found.io/app/kibana#/discover/Steve-Slow-Train-Analysis-(2080s-and-2083s)?_g=(refreshInterval:(display:Off,pause:!f,section:0,value:0),time:(from:'2017-05-09T03:12:03-0600',mode:absolute,to:'2017-05-09T05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89" t="str">
        <f t="shared" si="1"/>
        <v>"C:\Program Files (x86)\AstroGrep\AstroGrep.exe" /e /r /s /spath="%USERPROFILE%\AppData\Local\Temp\OnboardLogs" /stypes="*4052*201705091*" /stext=" 10:.+((SYSTEM_STATE.+slice.+state.+changed )|(ment ac)|(multiple cpu faults)|(system.+state.+changed )|(\[timeout)|(PRM\|1\|D)|(kpr)|(kdp)|(train st.+moving)|(\|lc)|(penalty))"</v>
      </c>
      <c r="U23" s="9" t="str">
        <f t="shared" si="2"/>
        <v>4052</v>
      </c>
      <c r="V23" s="31">
        <f t="shared" si="3"/>
        <v>42864.427800925929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{"issue":{"subject":"Selected wrong track","project_id":79,"tracker_id":40,"status_id":1,"priority_id":2,"assigned_to_id":23,"start_date":"2017-05-09","description":"","custom_fields":[{"id":1,"name":"Subdivision","value":"EC"},{"id":4,"name":"Milepost","value":"0.1692"},{"id":17,"name":"Train ID","value":"105-09"},{"id":16,"name":"Locomotive ID","value":"4052"},{"id":130,"name":"Impact","value":""},{"id":150,"name":"Time of Event (Mountain Time)","value":"04:16:02"},{"id":151,"name":"Denver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/cygdrive/c/Users/stu/AppData/Local/Temp/OnboardLogs/RTDC4052 --include="*4052*201705091*"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"%USERPROFILE%\AppData\Local\Temp\OnboardLogs"\RTDC4052\*4052*201705091* &gt;&gt; 2017-05-09-SliceDisagreementCheck.txt</v>
      </c>
      <c r="AE23" s="148" t="str">
        <f t="shared" si="9"/>
        <v>start /low /b %USERPROFILE%\Documents\GitHub\eaglep3\Utilities\DownloadLogsFromS3.py --loco 4052 --day 2017-05-09</v>
      </c>
      <c r="AF23" s="1"/>
    </row>
    <row r="24" spans="1:32" x14ac:dyDescent="0.25">
      <c r="A24" s="31">
        <v>42864.378055555557</v>
      </c>
      <c r="B24" s="30" t="s">
        <v>392</v>
      </c>
      <c r="C24" s="30" t="s">
        <v>574</v>
      </c>
      <c r="D24" s="30" t="s">
        <v>49</v>
      </c>
      <c r="E24" s="30" t="s">
        <v>471</v>
      </c>
      <c r="F24" s="42">
        <v>0</v>
      </c>
      <c r="G24" s="42">
        <v>642</v>
      </c>
      <c r="H24" s="42">
        <v>69827</v>
      </c>
      <c r="I24" s="42">
        <v>67311</v>
      </c>
      <c r="J24" s="30" t="s">
        <v>464</v>
      </c>
      <c r="K24" s="42">
        <v>69363</v>
      </c>
      <c r="L24" s="134" t="s">
        <v>51</v>
      </c>
      <c r="M24" s="135">
        <f t="shared" si="0"/>
        <v>-1083.4559999999999</v>
      </c>
      <c r="N24" s="136" t="str">
        <f>VLOOKUP(C24,'Trips&amp;Operators'!$C$1:$G$99999,5,FALSE)</f>
        <v>STARKS ANGELINA</v>
      </c>
      <c r="O24" s="207" t="s">
        <v>393</v>
      </c>
      <c r="P24" s="137" t="s">
        <v>554</v>
      </c>
      <c r="Q24" s="30"/>
      <c r="R24" s="84" t="str">
        <f>IF(VLOOKUP(C24,'Train Runs'!$A$13:$AE$9931,1,1)=C24,VLOOKUP(C24,'Train Runs'!$A$13:$AE$9931,31,1),NA())</f>
        <v>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 &amp; aws s3 cp s3://rtdc.mdm.uploadarchive.raw/RTDC4051/ "%USERPROFILE%\AppData\Local\Temp\OnboardLogs"\RTDC4051\2017-05-10 --exclude "*" --recursive --include "*20170510*" &amp; "%USERPROFILE%\Documents\GitHub\mrs-test-scripts\Headless Mode &amp; Sideloading\WalkAndUnGZ.bat" "%USERPROFILE%\AppData\Local\Temp\OnboardLogs"\RTDC4051\2017-05-10</v>
      </c>
      <c r="S24" s="87" t="str">
        <f>VLOOKUP(C24,'Train Runs'!$A$13:$AE$9931,22,0)</f>
        <v>https://d0f6bd738d7f1b3e5a7ca70fe4ff75f0.us-east-1.aws.found.io/app/kibana#/discover/Steve-Slow-Train-Analysis-(2080s-and-2083s)?_g=(refreshInterval:(display:Off,pause:!f,section:0,value:0),time:(from:'2017-05-09T07:37:22-0600',mode:absolute,to:'2017-05-09T10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4" s="89" t="str">
        <f t="shared" si="1"/>
        <v>"C:\Program Files (x86)\AstroGrep\AstroGrep.exe" /e /r /s /spath="%USERPROFILE%\AppData\Local\Temp\OnboardLogs" /stypes="*4051*201705091*"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4051</v>
      </c>
      <c r="V24" s="31">
        <f t="shared" si="3"/>
        <v>42864.628055555557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{"issue":{"subject":"Wi-MAX data drop","project_id":79,"tracker_id":40,"status_id":1,"priority_id":2,"assigned_to_id":23,"start_date":"2017-05-09","description":"","custom_fields":[{"id":1,"name":"Subdivision","value":"EC"},{"id":4,"name":"Milepost","value":"6.9363"},{"id":17,"name":"Train ID","value":"134-09"},{"id":16,"name":"Locomotive ID","value":"4051"},{"id":130,"name":"Impact","value":""},{"id":150,"name":"Time of Event (Mountain Time)","value":"09:04:24"},{"id":151,"name":"Denver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/cygdrive/c/Users/stu/AppData/Local/Temp/OnboardLogs/RTDC4051 --include="*4051*201705091*"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"%USERPROFILE%\AppData\Local\Temp\OnboardLogs"\RTDC4051\*4051*201705091* &gt;&gt; 2017-05-09-SliceDisagreementCheck.txt</v>
      </c>
      <c r="AE24" s="148" t="str">
        <f t="shared" si="9"/>
        <v>start /low /b %USERPROFILE%\Documents\GitHub\eaglep3\Utilities\DownloadLogsFromS3.py --loco 4051 --day 2017-05-09</v>
      </c>
      <c r="AF24" s="1"/>
    </row>
    <row r="25" spans="1:32" x14ac:dyDescent="0.25">
      <c r="A25" s="31">
        <v>42864.286712962959</v>
      </c>
      <c r="B25" s="30" t="s">
        <v>353</v>
      </c>
      <c r="C25" s="30" t="s">
        <v>568</v>
      </c>
      <c r="D25" s="30" t="s">
        <v>49</v>
      </c>
      <c r="E25" s="30" t="s">
        <v>471</v>
      </c>
      <c r="F25" s="42">
        <v>0</v>
      </c>
      <c r="G25" s="42">
        <v>560</v>
      </c>
      <c r="H25" s="42">
        <v>123998</v>
      </c>
      <c r="I25" s="42">
        <v>126543</v>
      </c>
      <c r="J25" s="30" t="s">
        <v>464</v>
      </c>
      <c r="K25" s="42">
        <v>126678</v>
      </c>
      <c r="L25" s="134" t="s">
        <v>50</v>
      </c>
      <c r="M25" s="135">
        <f t="shared" si="0"/>
        <v>71.28</v>
      </c>
      <c r="N25" s="136" t="str">
        <f>VLOOKUP(C25,'Trips&amp;Operators'!$C$1:$G$99999,5,FALSE)</f>
        <v>DAVIS WENDY</v>
      </c>
      <c r="O25" s="207" t="s">
        <v>393</v>
      </c>
      <c r="P25" s="137" t="s">
        <v>554</v>
      </c>
      <c r="Q25" s="30"/>
      <c r="R25" s="84" t="str">
        <f>IF(VLOOKUP(C25,'Train Runs'!$A$13:$AE$9931,1,1)=C25,VLOOKUP(C25,'Train Runs'!$A$13:$AE$9931,31,1),NA())</f>
        <v>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 &amp; aws s3 cp s3://rtdc.mdm.uploadarchive.raw/RTDC4010/ "%USERPROFILE%\AppData\Local\Temp\OnboardLogs"\RTDC4010\2017-05-10 --exclude "*" --recursive --include "*20170510*" &amp; "%USERPROFILE%\Documents\GitHub\mrs-test-scripts\Headless Mode &amp; Sideloading\WalkAndUnGZ.bat" "%USERPROFILE%\AppData\Local\Temp\OnboardLogs"\RTDC4010\2017-05-10</v>
      </c>
      <c r="S25" s="87" t="str">
        <f>VLOOKUP(C25,'Train Runs'!$A$13:$AE$9931,22,0)</f>
        <v>https://d0f6bd738d7f1b3e5a7ca70fe4ff75f0.us-east-1.aws.found.io/app/kibana#/discover/Steve-Slow-Train-Analysis-(2080s-and-2083s)?_g=(refreshInterval:(display:Off,pause:!f,section:0,value:0),time:(from:'2017-05-09T05:24:50-0600',mode:absolute,to:'2017-05-09T08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89" t="str">
        <f t="shared" si="1"/>
        <v>"C:\Program Files (x86)\AstroGrep\AstroGrep.exe" /e /r /s /spath="%USERPROFILE%\AppData\Local\Temp\OnboardLogs" /stypes="*4010*201705091*"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4010</v>
      </c>
      <c r="V25" s="31">
        <f t="shared" si="3"/>
        <v>42864.536712962959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{"issue":{"subject":"Wi-MAX data drop","project_id":79,"tracker_id":40,"status_id":1,"priority_id":2,"assigned_to_id":23,"start_date":"2017-05-09","description":"","custom_fields":[{"id":1,"name":"Subdivision","value":"EC"},{"id":4,"name":"Milepost","value":"12.6678"},{"id":17,"name":"Train ID","value":"123-09"},{"id":16,"name":"Locomotive ID","value":"4010"},{"id":130,"name":"Impact","value":""},{"id":150,"name":"Time of Event (Mountain Time)","value":"06:52:52"},{"id":151,"name":"Denver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/cygdrive/c/Users/stu/AppData/Local/Temp/OnboardLogs/RTDC4010 --include="*4010*201705091*"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"%USERPROFILE%\AppData\Local\Temp\OnboardLogs"\RTDC4010\*4010*201705091* &gt;&gt; 2017-05-09-SliceDisagreementCheck.txt</v>
      </c>
      <c r="AE25" s="148" t="str">
        <f t="shared" si="9"/>
        <v>start /low /b %USERPROFILE%\Documents\GitHub\eaglep3\Utilities\DownloadLogsFromS3.py --loco 4010 --day 2017-05-09</v>
      </c>
      <c r="AF25" s="1"/>
    </row>
    <row r="26" spans="1:32" x14ac:dyDescent="0.25">
      <c r="A26" s="31">
        <v>42864.244895833333</v>
      </c>
      <c r="B26" s="30" t="s">
        <v>557</v>
      </c>
      <c r="C26" s="30" t="s">
        <v>563</v>
      </c>
      <c r="D26" s="30" t="s">
        <v>49</v>
      </c>
      <c r="E26" s="30" t="s">
        <v>185</v>
      </c>
      <c r="F26" s="42">
        <v>0</v>
      </c>
      <c r="G26" s="42">
        <v>72</v>
      </c>
      <c r="H26" s="42">
        <v>271</v>
      </c>
      <c r="I26" s="42">
        <v>181</v>
      </c>
      <c r="J26" s="30" t="s">
        <v>186</v>
      </c>
      <c r="K26" s="42">
        <v>1</v>
      </c>
      <c r="L26" s="134" t="s">
        <v>51</v>
      </c>
      <c r="M26" s="135">
        <f t="shared" si="0"/>
        <v>95.04</v>
      </c>
      <c r="N26" s="136" t="str">
        <f>VLOOKUP(C26,'Trips&amp;Operators'!$C$1:$G$99999,5,FALSE)</f>
        <v>STARKS ANGELINA</v>
      </c>
      <c r="O26" s="207" t="s">
        <v>184</v>
      </c>
      <c r="P26" s="137"/>
      <c r="Q26" s="30"/>
      <c r="R26" s="84" t="str">
        <f>IF(VLOOKUP(C26,'Train Runs'!$A$13:$AE$9931,1,1)=C26,VLOOKUP(C26,'Train Runs'!$A$13:$AE$9931,31,1),NA())</f>
        <v>aws s3 cp s3://rtdc.mdm.uploadarchive.raw/RTDC4031/ "%USERPROFILE%\AppData\Local\Temp\OnboardLogs"\RTDC4031\2017-05-09 --exclude "*" --recursive --include "*20170509*" &amp; "%USERPROFILE%\Documents\GitHub\mrs-test-scripts\Headless Mode &amp; Sideloading\WalkAndUnGZ.bat" "%USERPROFILE%\AppData\Local\Temp\OnboardLogs"\RTDC4031\2017-05-09 &amp; 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</v>
      </c>
      <c r="S26" s="87" t="str">
        <f>VLOOKUP(C26,'Train Runs'!$A$13:$AE$9931,22,0)</f>
        <v>https://d0f6bd738d7f1b3e5a7ca70fe4ff75f0.us-east-1.aws.found.io/app/kibana#/discover/Steve-Slow-Train-Analysis-(2080s-and-2083s)?_g=(refreshInterval:(display:Off,pause:!f,section:0,value:0),time:(from:'2017-05-09T04:10:45-0600',mode:absolute,to:'2017-05-09T06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89" t="str">
        <f t="shared" si="1"/>
        <v>"C:\Program Files (x86)\AstroGrep\AstroGrep.exe" /e /r /s /spath="%USERPROFILE%\AppData\Local\Temp\OnboardLogs" /stypes="*4031*201705091*" /stext=" 11:.+((SYSTEM_STATE.+slice.+state.+changed )|(ment ac)|(multiple cpu faults)|(system.+state.+changed )|(\[timeout)|(PRM\|1\|D)|(kpr)|(kdp)|(train st.+moving)|(\|lc)|(penalty))"</v>
      </c>
      <c r="U26" s="9" t="str">
        <f t="shared" si="2"/>
        <v>4031</v>
      </c>
      <c r="V26" s="31">
        <f t="shared" si="3"/>
        <v>42864.494895833333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{"issue":{"subject":"","project_id":79,"tracker_id":40,"status_id":1,"priority_id":2,"assigned_to_id":23,"start_date":"2017-05-09","description":"","custom_fields":[{"id":1,"name":"Subdivision","value":"EC"},{"id":4,"name":"Milepost","value":"0.0001"},{"id":17,"name":"Train ID","value":"106-09"},{"id":16,"name":"Locomotive ID","value":"4031"},{"id":130,"name":"Impact","value":""},{"id":150,"name":"Time of Event (Mountain Time)","value":"05:52:39"},{"id":151,"name":"Denver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/cygdrive/c/Users/stu/AppData/Local/Temp/OnboardLogs/RTDC4031 --include="*4031*201705091*"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"%USERPROFILE%\AppData\Local\Temp\OnboardLogs"\RTDC4031\*4031*201705091* &gt;&gt; 2017-05-09-SliceDisagreementCheck.txt</v>
      </c>
      <c r="AE26" s="148" t="str">
        <f t="shared" si="9"/>
        <v>start /low /b %USERPROFILE%\Documents\GitHub\eaglep3\Utilities\DownloadLogsFromS3.py --loco 4031 --day 2017-05-09</v>
      </c>
      <c r="AF26" s="1"/>
    </row>
    <row r="27" spans="1:32" x14ac:dyDescent="0.25">
      <c r="A27" s="31">
        <v>42864.245347222219</v>
      </c>
      <c r="B27" s="30" t="s">
        <v>557</v>
      </c>
      <c r="C27" s="30" t="s">
        <v>563</v>
      </c>
      <c r="D27" s="30" t="s">
        <v>49</v>
      </c>
      <c r="E27" s="30" t="s">
        <v>185</v>
      </c>
      <c r="F27" s="42">
        <v>0</v>
      </c>
      <c r="G27" s="42">
        <v>30</v>
      </c>
      <c r="H27" s="42">
        <v>143</v>
      </c>
      <c r="I27" s="42">
        <v>114</v>
      </c>
      <c r="J27" s="30" t="s">
        <v>186</v>
      </c>
      <c r="K27" s="42">
        <v>1</v>
      </c>
      <c r="L27" s="134" t="s">
        <v>51</v>
      </c>
      <c r="M27" s="135">
        <f t="shared" si="0"/>
        <v>59.664000000000001</v>
      </c>
      <c r="N27" s="136" t="str">
        <f>VLOOKUP(C27,'Trips&amp;Operators'!$C$1:$G$99999,5,FALSE)</f>
        <v>STARKS ANGELINA</v>
      </c>
      <c r="O27" s="207" t="s">
        <v>184</v>
      </c>
      <c r="P27" s="137"/>
      <c r="Q27" s="30"/>
      <c r="R27" s="84" t="str">
        <f>IF(VLOOKUP(C27,'Train Runs'!$A$13:$AE$9931,1,1)=C27,VLOOKUP(C27,'Train Runs'!$A$13:$AE$9931,31,1),NA())</f>
        <v>aws s3 cp s3://rtdc.mdm.uploadarchive.raw/RTDC4031/ "%USERPROFILE%\AppData\Local\Temp\OnboardLogs"\RTDC4031\2017-05-09 --exclude "*" --recursive --include "*20170509*" &amp; "%USERPROFILE%\Documents\GitHub\mrs-test-scripts\Headless Mode &amp; Sideloading\WalkAndUnGZ.bat" "%USERPROFILE%\AppData\Local\Temp\OnboardLogs"\RTDC4031\2017-05-09 &amp; aws s3 cp s3://rtdc.mdm.uploadarchive.raw/RTDC4031/ "%USERPROFILE%\AppData\Local\Temp\OnboardLogs"\RTDC4031\2017-05-10 --exclude "*" --recursive --include "*20170510*" &amp; "%USERPROFILE%\Documents\GitHub\mrs-test-scripts\Headless Mode &amp; Sideloading\WalkAndUnGZ.bat" "%USERPROFILE%\AppData\Local\Temp\OnboardLogs"\RTDC4031\2017-05-10</v>
      </c>
      <c r="S27" s="87" t="str">
        <f>VLOOKUP(C27,'Train Runs'!$A$13:$AE$9931,22,0)</f>
        <v>https://d0f6bd738d7f1b3e5a7ca70fe4ff75f0.us-east-1.aws.found.io/app/kibana#/discover/Steve-Slow-Train-Analysis-(2080s-and-2083s)?_g=(refreshInterval:(display:Off,pause:!f,section:0,value:0),time:(from:'2017-05-09T04:10:45-0600',mode:absolute,to:'2017-05-09T06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7" s="89" t="str">
        <f t="shared" si="1"/>
        <v>"C:\Program Files (x86)\AstroGrep\AstroGrep.exe" /e /r /s /spath="%USERPROFILE%\AppData\Local\Temp\OnboardLogs" /stypes="*4031*201705091*" /stext=" 11:.+((SYSTEM_STATE.+slice.+state.+changed )|(ment ac)|(multiple cpu faults)|(system.+state.+changed )|(\[timeout)|(PRM\|1\|D)|(kpr)|(kdp)|(train st.+moving)|(\|lc)|(penalty))"</v>
      </c>
      <c r="U27" s="9" t="str">
        <f t="shared" si="2"/>
        <v>4031</v>
      </c>
      <c r="V27" s="31">
        <f t="shared" si="3"/>
        <v>42864.495347222219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{"issue":{"subject":"","project_id":79,"tracker_id":40,"status_id":1,"priority_id":2,"assigned_to_id":23,"start_date":"2017-05-09","description":"","custom_fields":[{"id":1,"name":"Subdivision","value":"EC"},{"id":4,"name":"Milepost","value":"0.0001"},{"id":17,"name":"Train ID","value":"106-09"},{"id":16,"name":"Locomotive ID","value":"4031"},{"id":130,"name":"Impact","value":""},{"id":150,"name":"Time of Event (Mountain Time)","value":"05:53:18"},{"id":151,"name":"Denver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/cygdrive/c/Users/stu/AppData/Local/Temp/OnboardLogs/RTDC4031 --include="*4031*201705091*"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"%USERPROFILE%\AppData\Local\Temp\OnboardLogs"\RTDC4031\*4031*201705091* &gt;&gt; 2017-05-09-SliceDisagreementCheck.txt</v>
      </c>
      <c r="AE27" s="148" t="str">
        <f t="shared" si="9"/>
        <v>start /low /b %USERPROFILE%\Documents\GitHub\eaglep3\Utilities\DownloadLogsFromS3.py --loco 4031 --day 2017-05-09</v>
      </c>
      <c r="AF27" s="1"/>
    </row>
    <row r="28" spans="1:32" x14ac:dyDescent="0.25">
      <c r="A28" s="31">
        <v>42864.721944444442</v>
      </c>
      <c r="B28" s="30" t="s">
        <v>460</v>
      </c>
      <c r="C28" s="30" t="s">
        <v>586</v>
      </c>
      <c r="D28" s="30" t="s">
        <v>49</v>
      </c>
      <c r="E28" s="30" t="s">
        <v>185</v>
      </c>
      <c r="F28" s="42">
        <v>0</v>
      </c>
      <c r="G28" s="42">
        <v>77</v>
      </c>
      <c r="H28" s="42">
        <v>300</v>
      </c>
      <c r="I28" s="42">
        <v>214</v>
      </c>
      <c r="J28" s="30" t="s">
        <v>186</v>
      </c>
      <c r="K28" s="42">
        <v>1</v>
      </c>
      <c r="L28" s="134" t="s">
        <v>51</v>
      </c>
      <c r="M28" s="135">
        <f t="shared" si="0"/>
        <v>112.464</v>
      </c>
      <c r="N28" s="136" t="str">
        <f>VLOOKUP(C28,'Trips&amp;Operators'!$C$1:$G$99999,5,FALSE)</f>
        <v>ROMERO CHAD</v>
      </c>
      <c r="O28" s="207" t="s">
        <v>184</v>
      </c>
      <c r="P28" s="137"/>
      <c r="Q28" s="30"/>
      <c r="R28" s="84" t="str">
        <f>IF(VLOOKUP(C28,'Train Runs'!$A$13:$AE$9931,1,1)=C28,VLOOKUP(C28,'Train Runs'!$A$13:$AE$9931,31,1),NA())</f>
        <v>aws s3 cp s3://rtdc.mdm.uploadarchive.raw/RTDC4029/ "%USERPROFILE%\AppData\Local\Temp\OnboardLogs"\RTDC4029\2017-05-09 --exclude "*" --recursive --include "*20170509*" &amp; "%USERPROFILE%\Documents\GitHub\mrs-test-scripts\Headless Mode &amp; Sideloading\WalkAndUnGZ.bat" "%USERPROFILE%\AppData\Local\Temp\OnboardLogs"\RTDC4029\2017-05-09 &amp; aws s3 cp s3://rtdc.mdm.uploadarchive.raw/RTDC4029/ "%USERPROFILE%\AppData\Local\Temp\OnboardLogs"\RTDC4029\2017-05-10 --exclude "*" --recursive --include "*20170510*" &amp; "%USERPROFILE%\Documents\GitHub\mrs-test-scripts\Headless Mode &amp; Sideloading\WalkAndUnGZ.bat" "%USERPROFILE%\AppData\Local\Temp\OnboardLogs"\RTDC4029\2017-05-10</v>
      </c>
      <c r="S28" s="87" t="str">
        <f>VLOOKUP(C28,'Train Runs'!$A$13:$AE$9931,22,0)</f>
        <v>https://d0f6bd738d7f1b3e5a7ca70fe4ff75f0.us-east-1.aws.found.io/app/kibana#/discover/Steve-Slow-Train-Analysis-(2080s-and-2083s)?_g=(refreshInterval:(display:Off,pause:!f,section:0,value:0),time:(from:'2017-05-09T15:37:40-0600',mode:absolute,to:'2017-05-09T18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8" s="89" t="str">
        <f t="shared" si="1"/>
        <v>"C:\Program Files (x86)\AstroGrep\AstroGrep.exe" /e /r /s /spath="%USERPROFILE%\AppData\Local\Temp\OnboardLogs" /stypes="*4029*201705092*"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4029</v>
      </c>
      <c r="V28" s="31">
        <f t="shared" si="3"/>
        <v>42864.971944444442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{"issue":{"subject":"","project_id":79,"tracker_id":40,"status_id":1,"priority_id":2,"assigned_to_id":23,"start_date":"2017-05-09","description":"","custom_fields":[{"id":1,"name":"Subdivision","value":"EC"},{"id":4,"name":"Milepost","value":"0.0001"},{"id":17,"name":"Train ID","value":"198-09"},{"id":16,"name":"Locomotive ID","value":"4029"},{"id":130,"name":"Impact","value":""},{"id":150,"name":"Time of Event (Mountain Time)","value":"17:19:36"},{"id":151,"name":"Denver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/cygdrive/c/Users/stu/AppData/Local/Temp/OnboardLogs/RTDC4029 --include="*4029*201705092*"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"%USERPROFILE%\AppData\Local\Temp\OnboardLogs"\RTDC4029\*4029*201705092* &gt;&gt; 2017-05-09-SliceDisagreementCheck.txt</v>
      </c>
      <c r="AE28" s="148" t="str">
        <f t="shared" si="9"/>
        <v>start /low /b %USERPROFILE%\Documents\GitHub\eaglep3\Utilities\DownloadLogsFromS3.py --loco 4029 --day 2017-05-09</v>
      </c>
      <c r="AF28" s="1"/>
    </row>
    <row r="29" spans="1:32" x14ac:dyDescent="0.25">
      <c r="A29" s="31">
        <v>42864.919374999998</v>
      </c>
      <c r="B29" s="30" t="s">
        <v>400</v>
      </c>
      <c r="C29" s="30" t="s">
        <v>599</v>
      </c>
      <c r="D29" s="30" t="s">
        <v>49</v>
      </c>
      <c r="E29" s="30" t="s">
        <v>185</v>
      </c>
      <c r="F29" s="42">
        <v>0</v>
      </c>
      <c r="G29" s="42">
        <v>149</v>
      </c>
      <c r="H29" s="42">
        <v>577</v>
      </c>
      <c r="I29" s="42">
        <v>429</v>
      </c>
      <c r="J29" s="30" t="s">
        <v>186</v>
      </c>
      <c r="K29" s="42">
        <v>1</v>
      </c>
      <c r="L29" s="134" t="s">
        <v>51</v>
      </c>
      <c r="M29" s="135">
        <f t="shared" si="0"/>
        <v>225.98400000000001</v>
      </c>
      <c r="N29" s="136" t="str">
        <f>VLOOKUP(C29,'Trips&amp;Operators'!$C$1:$G$99999,5,FALSE)</f>
        <v>BIRENBAUM THOMAS</v>
      </c>
      <c r="O29" s="207" t="s">
        <v>184</v>
      </c>
      <c r="P29" s="137"/>
      <c r="Q29" s="30"/>
      <c r="R29" s="84" t="str">
        <f>IF(VLOOKUP(C29,'Train Runs'!$A$13:$AE$9931,1,1)=C29,VLOOKUP(C29,'Train Runs'!$A$13:$AE$9931,31,1),NA())</f>
        <v>aws s3 cp s3://rtdc.mdm.uploadarchive.raw/RTDC4019/ "%USERPROFILE%\AppData\Local\Temp\OnboardLogs"\RTDC4019\2017-05-09 --exclude "*" --recursive --include "*20170509*" &amp; "%USERPROFILE%\Documents\GitHub\mrs-test-scripts\Headless Mode &amp; Sideloading\WalkAndUnGZ.bat" "%USERPROFILE%\AppData\Local\Temp\OnboardLogs"\RTDC4019\2017-05-09 &amp; aws s3 cp s3://rtdc.mdm.uploadarchive.raw/RTDC4019/ "%USERPROFILE%\AppData\Local\Temp\OnboardLogs"\RTDC4019\2017-05-10 --exclude "*" --recursive --include "*20170510*" &amp; "%USERPROFILE%\Documents\GitHub\mrs-test-scripts\Headless Mode &amp; Sideloading\WalkAndUnGZ.bat" "%USERPROFILE%\AppData\Local\Temp\OnboardLogs"\RTDC4019\2017-05-10</v>
      </c>
      <c r="S29" s="87" t="str">
        <f>VLOOKUP(C29,'Train Runs'!$A$13:$AE$9931,22,0)</f>
        <v>https://d0f6bd738d7f1b3e5a7ca70fe4ff75f0.us-east-1.aws.found.io/app/kibana#/discover/Steve-Slow-Train-Analysis-(2080s-and-2083s)?_g=(refreshInterval:(display:Off,pause:!f,section:0,value:0),time:(from:'2017-05-09T20:22:05-0600',mode:absolute,to:'2017-05-09T23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9" s="89" t="str">
        <f t="shared" si="1"/>
        <v>"C:\Program Files (x86)\AstroGrep\AstroGrep.exe" /e /r /s /spath="%USERPROFILE%\AppData\Local\Temp\OnboardLogs" /stypes="*4019*201705100*" /stext=" 04:.+((SYSTEM_STATE.+slice.+state.+changed )|(ment ac)|(multiple cpu faults)|(system.+state.+changed )|(\[timeout)|(PRM\|1\|D)|(kpr)|(kdp)|(train st.+moving)|(\|lc)|(penalty))"</v>
      </c>
      <c r="U29" s="9" t="str">
        <f t="shared" si="2"/>
        <v>4019</v>
      </c>
      <c r="V29" s="31">
        <f t="shared" si="3"/>
        <v>42865.169374999998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{"issue":{"subject":"","project_id":79,"tracker_id":40,"status_id":1,"priority_id":2,"assigned_to_id":23,"start_date":"2017-05-09","description":"","custom_fields":[{"id":1,"name":"Subdivision","value":"EC"},{"id":4,"name":"Milepost","value":"0.0001"},{"id":17,"name":"Train ID","value":"228-09"},{"id":16,"name":"Locomotive ID","value":"4019"},{"id":130,"name":"Impact","value":""},{"id":150,"name":"Time of Event (Mountain Time)","value":"22:03:54"},{"id":151,"name":"Denver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/cygdrive/c/Users/stu/AppData/Local/Temp/OnboardLogs/RTDC4019 --include="*4019*201705100*"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"%USERPROFILE%\AppData\Local\Temp\OnboardLogs"\RTDC4019\*4019*201705100* &gt;&gt; 2017-05-09-SliceDisagreementCheck.txt</v>
      </c>
      <c r="AE29" s="148" t="str">
        <f t="shared" si="9"/>
        <v>start /low /b %USERPROFILE%\Documents\GitHub\eaglep3\Utilities\DownloadLogsFromS3.py --loco 4019 --day 2017-05-10</v>
      </c>
      <c r="AF29" s="1"/>
    </row>
    <row r="30" spans="1:32" x14ac:dyDescent="0.25">
      <c r="A30" s="31">
        <v>42864.265023148146</v>
      </c>
      <c r="B30" s="30" t="s">
        <v>439</v>
      </c>
      <c r="C30" s="30" t="s">
        <v>567</v>
      </c>
      <c r="D30" s="30" t="s">
        <v>49</v>
      </c>
      <c r="E30" s="30" t="s">
        <v>185</v>
      </c>
      <c r="F30" s="42">
        <v>0</v>
      </c>
      <c r="G30" s="42">
        <v>163</v>
      </c>
      <c r="H30" s="42">
        <v>232779</v>
      </c>
      <c r="I30" s="42">
        <v>232993</v>
      </c>
      <c r="J30" s="30" t="s">
        <v>186</v>
      </c>
      <c r="K30" s="42">
        <v>233491</v>
      </c>
      <c r="L30" s="134" t="s">
        <v>50</v>
      </c>
      <c r="M30" s="135">
        <f t="shared" si="0"/>
        <v>262.94400000000002</v>
      </c>
      <c r="N30" s="136" t="str">
        <f>VLOOKUP(C30,'Trips&amp;Operators'!$C$1:$G$99999,5,FALSE)</f>
        <v>MAELZER KURT</v>
      </c>
      <c r="O30" s="207" t="s">
        <v>184</v>
      </c>
      <c r="P30" s="137"/>
      <c r="Q30" s="30"/>
      <c r="R30" s="84" t="str">
        <f>IF(VLOOKUP(C30,'Train Runs'!$A$13:$AE$9931,1,1)=C30,VLOOKUP(C30,'Train Runs'!$A$13:$AE$9931,31,1),NA())</f>
        <v>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 &amp; 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</v>
      </c>
      <c r="S30" s="87" t="str">
        <f>VLOOKUP(C30,'Train Runs'!$A$13:$AE$9931,22,0)</f>
        <v>https://d0f6bd738d7f1b3e5a7ca70fe4ff75f0.us-east-1.aws.found.io/app/kibana#/discover/Steve-Slow-Train-Analysis-(2080s-and-2083s)?_g=(refreshInterval:(display:Off,pause:!f,section:0,value:0),time:(from:'2017-05-09T04:26:33-0600',mode:absolute,to:'2017-05-09T07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0" s="89" t="str">
        <f t="shared" si="1"/>
        <v>"C:\Program Files (x86)\AstroGrep\AstroGrep.exe" /e /r /s /spath="%USERPROFILE%\AppData\Local\Temp\OnboardLogs" /stypes="*4012*201705091*" /stext=" 12:.+((SYSTEM_STATE.+slice.+state.+changed )|(ment ac)|(multiple cpu faults)|(system.+state.+changed )|(\[timeout)|(PRM\|1\|D)|(kpr)|(kdp)|(train st.+moving)|(\|lc)|(penalty))"</v>
      </c>
      <c r="U30" s="9" t="str">
        <f t="shared" si="2"/>
        <v>4012</v>
      </c>
      <c r="V30" s="31">
        <f t="shared" si="3"/>
        <v>42864.515023148146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{"issue":{"subject":"","project_id":79,"tracker_id":40,"status_id":1,"priority_id":2,"assigned_to_id":23,"start_date":"2017-05-09","description":"","custom_fields":[{"id":1,"name":"Subdivision","value":"EC"},{"id":4,"name":"Milepost","value":"23.3491"},{"id":17,"name":"Train ID","value":"117-09"},{"id":16,"name":"Locomotive ID","value":"4012"},{"id":130,"name":"Impact","value":""},{"id":150,"name":"Time of Event (Mountain Time)","value":"06:21:38"},{"id":151,"name":"Denver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/cygdrive/c/Users/stu/AppData/Local/Temp/OnboardLogs/RTDC4012 --include="*4012*201705091*"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"%USERPROFILE%\AppData\Local\Temp\OnboardLogs"\RTDC4012\*4012*201705091* &gt;&gt; 2017-05-09-SliceDisagreementCheck.txt</v>
      </c>
      <c r="AE30" s="148" t="str">
        <f t="shared" si="9"/>
        <v>start /low /b %USERPROFILE%\Documents\GitHub\eaglep3\Utilities\DownloadLogsFromS3.py --loco 4012 --day 2017-05-09</v>
      </c>
      <c r="AF30" s="1"/>
    </row>
    <row r="31" spans="1:32" x14ac:dyDescent="0.25">
      <c r="A31" s="31">
        <v>42864.265601851854</v>
      </c>
      <c r="B31" s="30" t="s">
        <v>439</v>
      </c>
      <c r="C31" s="30" t="s">
        <v>567</v>
      </c>
      <c r="D31" s="30" t="s">
        <v>49</v>
      </c>
      <c r="E31" s="30" t="s">
        <v>185</v>
      </c>
      <c r="F31" s="42">
        <v>0</v>
      </c>
      <c r="G31" s="42">
        <v>63</v>
      </c>
      <c r="H31" s="42">
        <v>233242</v>
      </c>
      <c r="I31" s="42">
        <v>233295</v>
      </c>
      <c r="J31" s="30" t="s">
        <v>186</v>
      </c>
      <c r="K31" s="42">
        <v>233491</v>
      </c>
      <c r="L31" s="134" t="s">
        <v>50</v>
      </c>
      <c r="M31" s="135">
        <f t="shared" si="0"/>
        <v>103.488</v>
      </c>
      <c r="N31" s="136" t="str">
        <f>VLOOKUP(C31,'Trips&amp;Operators'!$C$1:$G$99999,5,FALSE)</f>
        <v>MAELZER KURT</v>
      </c>
      <c r="O31" s="207" t="s">
        <v>184</v>
      </c>
      <c r="P31" s="137"/>
      <c r="Q31" s="30"/>
      <c r="R31" s="84" t="str">
        <f>IF(VLOOKUP(C31,'Train Runs'!$A$13:$AE$9931,1,1)=C31,VLOOKUP(C31,'Train Runs'!$A$13:$AE$9931,31,1),NA())</f>
        <v>aws s3 cp s3://rtdc.mdm.uploadarchive.raw/RTDC4012/ "%USERPROFILE%\AppData\Local\Temp\OnboardLogs"\RTDC4012\2017-05-09 --exclude "*" --recursive --include "*20170509*" &amp; "%USERPROFILE%\Documents\GitHub\mrs-test-scripts\Headless Mode &amp; Sideloading\WalkAndUnGZ.bat" "%USERPROFILE%\AppData\Local\Temp\OnboardLogs"\RTDC4012\2017-05-09 &amp; aws s3 cp s3://rtdc.mdm.uploadarchive.raw/RTDC4012/ "%USERPROFILE%\AppData\Local\Temp\OnboardLogs"\RTDC4012\2017-05-10 --exclude "*" --recursive --include "*20170510*" &amp; "%USERPROFILE%\Documents\GitHub\mrs-test-scripts\Headless Mode &amp; Sideloading\WalkAndUnGZ.bat" "%USERPROFILE%\AppData\Local\Temp\OnboardLogs"\RTDC4012\2017-05-10</v>
      </c>
      <c r="S31" s="87" t="str">
        <f>VLOOKUP(C31,'Train Runs'!$A$13:$AE$9931,22,0)</f>
        <v>https://d0f6bd738d7f1b3e5a7ca70fe4ff75f0.us-east-1.aws.found.io/app/kibana#/discover/Steve-Slow-Train-Analysis-(2080s-and-2083s)?_g=(refreshInterval:(display:Off,pause:!f,section:0,value:0),time:(from:'2017-05-09T04:26:33-0600',mode:absolute,to:'2017-05-09T07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1" s="89" t="str">
        <f t="shared" si="1"/>
        <v>"C:\Program Files (x86)\AstroGrep\AstroGrep.exe" /e /r /s /spath="%USERPROFILE%\AppData\Local\Temp\OnboardLogs" /stypes="*4012*201705091*" /stext=" 12:.+((SYSTEM_STATE.+slice.+state.+changed )|(ment ac)|(multiple cpu faults)|(system.+state.+changed )|(\[timeout)|(PRM\|1\|D)|(kpr)|(kdp)|(train st.+moving)|(\|lc)|(penalty))"</v>
      </c>
      <c r="U31" s="9" t="str">
        <f t="shared" si="2"/>
        <v>4012</v>
      </c>
      <c r="V31" s="31">
        <f t="shared" si="3"/>
        <v>42864.515601851854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{"issue":{"subject":"","project_id":79,"tracker_id":40,"status_id":1,"priority_id":2,"assigned_to_id":23,"start_date":"2017-05-09","description":"","custom_fields":[{"id":1,"name":"Subdivision","value":"EC"},{"id":4,"name":"Milepost","value":"23.3491"},{"id":17,"name":"Train ID","value":"117-09"},{"id":16,"name":"Locomotive ID","value":"4012"},{"id":130,"name":"Impact","value":""},{"id":150,"name":"Time of Event (Mountain Time)","value":"06:22:28"},{"id":151,"name":"Denver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/cygdrive/c/Users/stu/AppData/Local/Temp/OnboardLogs/RTDC4012 --include="*4012*201705091*"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"%USERPROFILE%\AppData\Local\Temp\OnboardLogs"\RTDC4012\*4012*201705091* &gt;&gt; 2017-05-09-SliceDisagreementCheck.txt</v>
      </c>
      <c r="AE31" s="148" t="str">
        <f t="shared" si="9"/>
        <v>start /low /b %USERPROFILE%\Documents\GitHub\eaglep3\Utilities\DownloadLogsFromS3.py --loco 4012 --day 2017-05-09</v>
      </c>
      <c r="AF31" s="1"/>
    </row>
    <row r="32" spans="1:32" x14ac:dyDescent="0.25">
      <c r="A32" s="31">
        <v>42864.297083333331</v>
      </c>
      <c r="B32" s="30" t="s">
        <v>353</v>
      </c>
      <c r="C32" s="30" t="s">
        <v>568</v>
      </c>
      <c r="D32" s="30" t="s">
        <v>49</v>
      </c>
      <c r="E32" s="30" t="s">
        <v>185</v>
      </c>
      <c r="F32" s="42">
        <v>0</v>
      </c>
      <c r="G32" s="42">
        <v>87</v>
      </c>
      <c r="H32" s="42">
        <v>233138</v>
      </c>
      <c r="I32" s="42">
        <v>233255</v>
      </c>
      <c r="J32" s="30" t="s">
        <v>186</v>
      </c>
      <c r="K32" s="42">
        <v>233491</v>
      </c>
      <c r="L32" s="134" t="s">
        <v>50</v>
      </c>
      <c r="M32" s="135">
        <f t="shared" si="0"/>
        <v>124.608</v>
      </c>
      <c r="N32" s="136" t="str">
        <f>VLOOKUP(C32,'Trips&amp;Operators'!$C$1:$G$99999,5,FALSE)</f>
        <v>DAVIS WENDY</v>
      </c>
      <c r="O32" s="207" t="s">
        <v>184</v>
      </c>
      <c r="P32" s="137"/>
      <c r="Q32" s="30"/>
      <c r="R32" s="84" t="str">
        <f>IF(VLOOKUP(C32,'Train Runs'!$A$13:$AE$9931,1,1)=C32,VLOOKUP(C32,'Train Runs'!$A$13:$AE$9931,31,1),NA())</f>
        <v>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 &amp; aws s3 cp s3://rtdc.mdm.uploadarchive.raw/RTDC4010/ "%USERPROFILE%\AppData\Local\Temp\OnboardLogs"\RTDC4010\2017-05-10 --exclude "*" --recursive --include "*20170510*" &amp; "%USERPROFILE%\Documents\GitHub\mrs-test-scripts\Headless Mode &amp; Sideloading\WalkAndUnGZ.bat" "%USERPROFILE%\AppData\Local\Temp\OnboardLogs"\RTDC4010\2017-05-10</v>
      </c>
      <c r="S32" s="87" t="str">
        <f>VLOOKUP(C32,'Train Runs'!$A$13:$AE$9931,22,0)</f>
        <v>https://d0f6bd738d7f1b3e5a7ca70fe4ff75f0.us-east-1.aws.found.io/app/kibana#/discover/Steve-Slow-Train-Analysis-(2080s-and-2083s)?_g=(refreshInterval:(display:Off,pause:!f,section:0,value:0),time:(from:'2017-05-09T05:24:50-0600',mode:absolute,to:'2017-05-09T08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2" s="89" t="str">
        <f t="shared" si="1"/>
        <v>"C:\Program Files (x86)\AstroGrep\AstroGrep.exe" /e /r /s /spath="%USERPROFILE%\AppData\Local\Temp\OnboardLogs" /stypes="*4010*201705091*" /stext=" 13:.+((SYSTEM_STATE.+slice.+state.+changed )|(ment ac)|(multiple cpu faults)|(system.+state.+changed )|(\[timeout)|(PRM\|1\|D)|(kpr)|(kdp)|(train st.+moving)|(\|lc)|(penalty))"</v>
      </c>
      <c r="U32" s="9" t="str">
        <f t="shared" si="2"/>
        <v>4010</v>
      </c>
      <c r="V32" s="31">
        <f t="shared" si="3"/>
        <v>42864.547083333331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{"issue":{"subject":"","project_id":79,"tracker_id":40,"status_id":1,"priority_id":2,"assigned_to_id":23,"start_date":"2017-05-09","description":"","custom_fields":[{"id":1,"name":"Subdivision","value":"EC"},{"id":4,"name":"Milepost","value":"23.3491"},{"id":17,"name":"Train ID","value":"123-09"},{"id":16,"name":"Locomotive ID","value":"4010"},{"id":130,"name":"Impact","value":""},{"id":150,"name":"Time of Event (Mountain Time)","value":"07:07:48"},{"id":151,"name":"Denver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/cygdrive/c/Users/stu/AppData/Local/Temp/OnboardLogs/RTDC4010 --include="*4010*201705091*"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"%USERPROFILE%\AppData\Local\Temp\OnboardLogs"\RTDC4010\*4010*201705091* &gt;&gt; 2017-05-09-SliceDisagreementCheck.txt</v>
      </c>
      <c r="AE32" s="148" t="str">
        <f t="shared" si="9"/>
        <v>start /low /b %USERPROFILE%\Documents\GitHub\eaglep3\Utilities\DownloadLogsFromS3.py --loco 4010 --day 2017-05-09</v>
      </c>
      <c r="AF32" s="1"/>
    </row>
    <row r="33" spans="1:32" x14ac:dyDescent="0.25">
      <c r="A33" s="31">
        <v>42864.298159722224</v>
      </c>
      <c r="B33" s="30" t="s">
        <v>353</v>
      </c>
      <c r="C33" s="30" t="s">
        <v>568</v>
      </c>
      <c r="D33" s="30" t="s">
        <v>49</v>
      </c>
      <c r="E33" s="30" t="s">
        <v>185</v>
      </c>
      <c r="F33" s="42">
        <v>0</v>
      </c>
      <c r="G33" s="42">
        <v>30</v>
      </c>
      <c r="H33" s="42">
        <v>233312</v>
      </c>
      <c r="I33" s="42">
        <v>233324</v>
      </c>
      <c r="J33" s="30" t="s">
        <v>186</v>
      </c>
      <c r="K33" s="42">
        <v>233491</v>
      </c>
      <c r="L33" s="134" t="s">
        <v>50</v>
      </c>
      <c r="M33" s="135">
        <f t="shared" si="0"/>
        <v>88.176000000000002</v>
      </c>
      <c r="N33" s="136" t="str">
        <f>VLOOKUP(C33,'Trips&amp;Operators'!$C$1:$G$99999,5,FALSE)</f>
        <v>DAVIS WENDY</v>
      </c>
      <c r="O33" s="207" t="s">
        <v>184</v>
      </c>
      <c r="P33" s="137"/>
      <c r="Q33" s="30"/>
      <c r="R33" s="84" t="str">
        <f>IF(VLOOKUP(C33,'Train Runs'!$A$13:$AE$9931,1,1)=C33,VLOOKUP(C33,'Train Runs'!$A$13:$AE$9931,31,1),NA())</f>
        <v>aws s3 cp s3://rtdc.mdm.uploadarchive.raw/RTDC4010/ "%USERPROFILE%\AppData\Local\Temp\OnboardLogs"\RTDC4010\2017-05-09 --exclude "*" --recursive --include "*20170509*" &amp; "%USERPROFILE%\Documents\GitHub\mrs-test-scripts\Headless Mode &amp; Sideloading\WalkAndUnGZ.bat" "%USERPROFILE%\AppData\Local\Temp\OnboardLogs"\RTDC4010\2017-05-09 &amp; aws s3 cp s3://rtdc.mdm.uploadarchive.raw/RTDC4010/ "%USERPROFILE%\AppData\Local\Temp\OnboardLogs"\RTDC4010\2017-05-10 --exclude "*" --recursive --include "*20170510*" &amp; "%USERPROFILE%\Documents\GitHub\mrs-test-scripts\Headless Mode &amp; Sideloading\WalkAndUnGZ.bat" "%USERPROFILE%\AppData\Local\Temp\OnboardLogs"\RTDC4010\2017-05-10</v>
      </c>
      <c r="S33" s="87" t="str">
        <f>VLOOKUP(C33,'Train Runs'!$A$13:$AE$9931,22,0)</f>
        <v>https://d0f6bd738d7f1b3e5a7ca70fe4ff75f0.us-east-1.aws.found.io/app/kibana#/discover/Steve-Slow-Train-Analysis-(2080s-and-2083s)?_g=(refreshInterval:(display:Off,pause:!f,section:0,value:0),time:(from:'2017-05-09T05:24:50-0600',mode:absolute,to:'2017-05-09T08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3" s="89" t="str">
        <f t="shared" si="1"/>
        <v>"C:\Program Files (x86)\AstroGrep\AstroGrep.exe" /e /r /s /spath="%USERPROFILE%\AppData\Local\Temp\OnboardLogs" /stypes="*4010*201705091*" /stext=" 13:.+((SYSTEM_STATE.+slice.+state.+changed )|(ment ac)|(multiple cpu faults)|(system.+state.+changed )|(\[timeout)|(PRM\|1\|D)|(kpr)|(kdp)|(train st.+moving)|(\|lc)|(penalty))"</v>
      </c>
      <c r="U33" s="9" t="str">
        <f t="shared" si="2"/>
        <v>4010</v>
      </c>
      <c r="V33" s="31">
        <f t="shared" si="3"/>
        <v>42864.548159722224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{"issue":{"subject":"","project_id":79,"tracker_id":40,"status_id":1,"priority_id":2,"assigned_to_id":23,"start_date":"2017-05-09","description":"","custom_fields":[{"id":1,"name":"Subdivision","value":"EC"},{"id":4,"name":"Milepost","value":"23.3491"},{"id":17,"name":"Train ID","value":"123-09"},{"id":16,"name":"Locomotive ID","value":"4010"},{"id":130,"name":"Impact","value":""},{"id":150,"name":"Time of Event (Mountain Time)","value":"07:09:21"},{"id":151,"name":"Denver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/cygdrive/c/Users/stu/AppData/Local/Temp/OnboardLogs/RTDC4010 --include="*4010*201705091*"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"%USERPROFILE%\AppData\Local\Temp\OnboardLogs"\RTDC4010\*4010*201705091* &gt;&gt; 2017-05-09-SliceDisagreementCheck.txt</v>
      </c>
      <c r="AE33" s="148" t="str">
        <f t="shared" si="9"/>
        <v>start /low /b %USERPROFILE%\Documents\GitHub\eaglep3\Utilities\DownloadLogsFromS3.py --loco 4010 --day 2017-05-09</v>
      </c>
      <c r="AF33" s="1"/>
    </row>
    <row r="34" spans="1:32" x14ac:dyDescent="0.25">
      <c r="A34" s="31">
        <v>42864.619930555556</v>
      </c>
      <c r="B34" s="30" t="s">
        <v>478</v>
      </c>
      <c r="C34" s="30" t="s">
        <v>583</v>
      </c>
      <c r="D34" s="30" t="s">
        <v>49</v>
      </c>
      <c r="E34" s="30" t="s">
        <v>185</v>
      </c>
      <c r="F34" s="42">
        <v>0</v>
      </c>
      <c r="G34" s="42">
        <v>95</v>
      </c>
      <c r="H34" s="42">
        <v>233113</v>
      </c>
      <c r="I34" s="42">
        <v>233204</v>
      </c>
      <c r="J34" s="30" t="s">
        <v>186</v>
      </c>
      <c r="K34" s="42">
        <v>233491</v>
      </c>
      <c r="L34" s="134" t="s">
        <v>50</v>
      </c>
      <c r="M34" s="135">
        <f t="shared" si="0"/>
        <v>151.536</v>
      </c>
      <c r="N34" s="136" t="str">
        <f>VLOOKUP(C34,'Trips&amp;Operators'!$C$1:$G$99999,5,FALSE)</f>
        <v>THOMPSON LESTER</v>
      </c>
      <c r="O34" s="207" t="s">
        <v>184</v>
      </c>
      <c r="P34" s="137"/>
      <c r="Q34" s="30"/>
      <c r="R34" s="84" t="str">
        <f>IF(VLOOKUP(C34,'Train Runs'!$A$13:$AE$9931,1,1)=C34,VLOOKUP(C34,'Train Runs'!$A$13:$AE$9931,31,1),NA())</f>
        <v>aws s3 cp s3://rtdc.mdm.uploadarchive.raw/RTDC4046/ "%USERPROFILE%\AppData\Local\Temp\OnboardLogs"\RTDC4046\2017-05-09 --exclude "*" --recursive --include "*20170509*" &amp; "%USERPROFILE%\Documents\GitHub\mrs-test-scripts\Headless Mode &amp; Sideloading\WalkAndUnGZ.bat" "%USERPROFILE%\AppData\Local\Temp\OnboardLogs"\RTDC4046\2017-05-09 &amp; aws s3 cp s3://rtdc.mdm.uploadarchive.raw/RTDC4046/ "%USERPROFILE%\AppData\Local\Temp\OnboardLogs"\RTDC4046\2017-05-10 --exclude "*" --recursive --include "*20170510*" &amp; "%USERPROFILE%\Documents\GitHub\mrs-test-scripts\Headless Mode &amp; Sideloading\WalkAndUnGZ.bat" "%USERPROFILE%\AppData\Local\Temp\OnboardLogs"\RTDC4046\2017-05-10</v>
      </c>
      <c r="S34" s="87" t="str">
        <f>VLOOKUP(C34,'Train Runs'!$A$13:$AE$9931,22,0)</f>
        <v>https://d0f6bd738d7f1b3e5a7ca70fe4ff75f0.us-east-1.aws.found.io/app/kibana#/discover/Steve-Slow-Train-Analysis-(2080s-and-2083s)?_g=(refreshInterval:(display:Off,pause:!f,section:0,value:0),time:(from:'2017-05-09T13:08:37-0600',mode:absolute,to:'2017-05-09T15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4" s="89" t="str">
        <f t="shared" si="1"/>
        <v>"C:\Program Files (x86)\AstroGrep\AstroGrep.exe" /e /r /s /spath="%USERPROFILE%\AppData\Local\Temp\OnboardLogs" /stypes="*4046*201705092*" /stext=" 20:.+((SYSTEM_STATE.+slice.+state.+changed )|(ment ac)|(multiple cpu faults)|(system.+state.+changed )|(\[timeout)|(PRM\|1\|D)|(kpr)|(kdp)|(train st.+moving)|(\|lc)|(penalty))"</v>
      </c>
      <c r="U34" s="9" t="str">
        <f t="shared" si="2"/>
        <v>4046</v>
      </c>
      <c r="V34" s="31">
        <f t="shared" si="3"/>
        <v>42864.869930555556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{"issue":{"subject":"","project_id":79,"tracker_id":40,"status_id":1,"priority_id":2,"assigned_to_id":23,"start_date":"2017-05-09","description":"","custom_fields":[{"id":1,"name":"Subdivision","value":"EC"},{"id":4,"name":"Milepost","value":"23.3491"},{"id":17,"name":"Train ID","value":"185-09"},{"id":16,"name":"Locomotive ID","value":"4046"},{"id":130,"name":"Impact","value":""},{"id":150,"name":"Time of Event (Mountain Time)","value":"14:52:42"},{"id":151,"name":"Denver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/cygdrive/c/Users/stu/AppData/Local/Temp/OnboardLogs/RTDC4046 --include="*4046*201705092*"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"%USERPROFILE%\AppData\Local\Temp\OnboardLogs"\RTDC4046\*4046*201705092* &gt;&gt; 2017-05-09-SliceDisagreementCheck.txt</v>
      </c>
      <c r="AE34" s="148" t="str">
        <f t="shared" si="9"/>
        <v>start /low /b %USERPROFILE%\Documents\GitHub\eaglep3\Utilities\DownloadLogsFromS3.py --loco 4046 --day 2017-05-09</v>
      </c>
      <c r="AF34" s="1"/>
    </row>
    <row r="35" spans="1:32" x14ac:dyDescent="0.25">
      <c r="A35" s="31">
        <v>42864.735335648147</v>
      </c>
      <c r="B35" s="30" t="s">
        <v>590</v>
      </c>
      <c r="C35" s="30" t="s">
        <v>591</v>
      </c>
      <c r="D35" s="30" t="s">
        <v>49</v>
      </c>
      <c r="E35" s="30" t="s">
        <v>185</v>
      </c>
      <c r="F35" s="42">
        <v>0</v>
      </c>
      <c r="G35" s="42">
        <v>81</v>
      </c>
      <c r="H35" s="42">
        <v>233193</v>
      </c>
      <c r="I35" s="42">
        <v>233251</v>
      </c>
      <c r="J35" s="30" t="s">
        <v>186</v>
      </c>
      <c r="K35" s="42">
        <v>233491</v>
      </c>
      <c r="L35" s="134" t="s">
        <v>50</v>
      </c>
      <c r="M35" s="135">
        <f t="shared" si="0"/>
        <v>126.72</v>
      </c>
      <c r="N35" s="136" t="str">
        <f>VLOOKUP(C35,'Trips&amp;Operators'!$C$1:$G$99999,5,FALSE)</f>
        <v>CLARK KATHLEEN</v>
      </c>
      <c r="O35" s="207" t="s">
        <v>184</v>
      </c>
      <c r="P35" s="137"/>
      <c r="Q35" s="30"/>
      <c r="R35" s="84" t="str">
        <f>IF(VLOOKUP(C35,'Train Runs'!$A$13:$AE$9931,1,1)=C35,VLOOKUP(C35,'Train Runs'!$A$13:$AE$9931,31,1),NA())</f>
        <v>aws s3 cp s3://rtdc.mdm.uploadarchive.raw/RTDC4032/ "%USERPROFILE%\AppData\Local\Temp\OnboardLogs"\RTDC4032\2017-05-09 --exclude "*" --recursive --include "*20170509*" &amp; "%USERPROFILE%\Documents\GitHub\mrs-test-scripts\Headless Mode &amp; Sideloading\WalkAndUnGZ.bat" "%USERPROFILE%\AppData\Local\Temp\OnboardLogs"\RTDC4032\2017-05-09 &amp; aws s3 cp s3://rtdc.mdm.uploadarchive.raw/RTDC4032/ "%USERPROFILE%\AppData\Local\Temp\OnboardLogs"\RTDC4032\2017-05-10 --exclude "*" --recursive --include "*20170510*" &amp; "%USERPROFILE%\Documents\GitHub\mrs-test-scripts\Headless Mode &amp; Sideloading\WalkAndUnGZ.bat" "%USERPROFILE%\AppData\Local\Temp\OnboardLogs"\RTDC4032\2017-05-10</v>
      </c>
      <c r="S35" s="87" t="str">
        <f>VLOOKUP(C35,'Train Runs'!$A$13:$AE$9931,22,0)</f>
        <v>https://d0f6bd738d7f1b3e5a7ca70fe4ff75f0.us-east-1.aws.found.io/app/kibana#/discover/Steve-Slow-Train-Analysis-(2080s-and-2083s)?_g=(refreshInterval:(display:Off,pause:!f,section:0,value:0),time:(from:'2017-05-09T15:56:11-0600',mode:absolute,to:'2017-05-09T18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5" s="89" t="str">
        <f t="shared" si="1"/>
        <v>"C:\Program Files (x86)\AstroGrep\AstroGrep.exe" /e /r /s /spath="%USERPROFILE%\AppData\Local\Temp\OnboardLogs" /stypes="*4032*201705092*"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4032</v>
      </c>
      <c r="V35" s="31">
        <f t="shared" si="3"/>
        <v>42864.985335648147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{"issue":{"subject":"","project_id":79,"tracker_id":40,"status_id":1,"priority_id":2,"assigned_to_id":23,"start_date":"2017-05-09","description":"","custom_fields":[{"id":1,"name":"Subdivision","value":"EC"},{"id":4,"name":"Milepost","value":"23.3491"},{"id":17,"name":"Train ID","value":"207-09"},{"id":16,"name":"Locomotive ID","value":"4032"},{"id":130,"name":"Impact","value":""},{"id":150,"name":"Time of Event (Mountain Time)","value":"17:38:53"},{"id":151,"name":"Denver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/cygdrive/c/Users/stu/AppData/Local/Temp/OnboardLogs/RTDC4032 --include="*4032*201705092*"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"%USERPROFILE%\AppData\Local\Temp\OnboardLogs"\RTDC4032\*4032*201705092* &gt;&gt; 2017-05-09-SliceDisagreementCheck.txt</v>
      </c>
      <c r="AE35" s="148" t="str">
        <f t="shared" si="9"/>
        <v>start /low /b %USERPROFILE%\Documents\GitHub\eaglep3\Utilities\DownloadLogsFromS3.py --loco 4032 --day 2017-05-09</v>
      </c>
      <c r="AF35" s="1"/>
    </row>
    <row r="36" spans="1:32" x14ac:dyDescent="0.25">
      <c r="A36" s="31">
        <v>42864.796099537038</v>
      </c>
      <c r="B36" s="30" t="s">
        <v>399</v>
      </c>
      <c r="C36" s="30" t="s">
        <v>595</v>
      </c>
      <c r="D36" s="30" t="s">
        <v>49</v>
      </c>
      <c r="E36" s="30" t="s">
        <v>185</v>
      </c>
      <c r="F36" s="42">
        <v>0</v>
      </c>
      <c r="G36" s="42">
        <v>76</v>
      </c>
      <c r="H36" s="42">
        <v>233297</v>
      </c>
      <c r="I36" s="42">
        <v>233382</v>
      </c>
      <c r="J36" s="30" t="s">
        <v>186</v>
      </c>
      <c r="K36" s="42">
        <v>233491</v>
      </c>
      <c r="L36" s="134" t="s">
        <v>50</v>
      </c>
      <c r="M36" s="135">
        <f t="shared" si="0"/>
        <v>57.552</v>
      </c>
      <c r="N36" s="136" t="str">
        <f>VLOOKUP(C36,'Trips&amp;Operators'!$C$1:$G$99999,5,FALSE)</f>
        <v>BIRENBAUM THOMAS</v>
      </c>
      <c r="O36" s="207" t="s">
        <v>184</v>
      </c>
      <c r="P36" s="137"/>
      <c r="Q36" s="30"/>
      <c r="R36" s="84" t="str">
        <f>IF(VLOOKUP(C36,'Train Runs'!$A$13:$AE$9931,1,1)=C36,VLOOKUP(C36,'Train Runs'!$A$13:$AE$9931,31,1),NA())</f>
        <v>aws s3 cp s3://rtdc.mdm.uploadarchive.raw/RTDC4020/ "%USERPROFILE%\AppData\Local\Temp\OnboardLogs"\RTDC4020\2017-05-09 --exclude "*" --recursive --include "*20170509*" &amp; "%USERPROFILE%\Documents\GitHub\mrs-test-scripts\Headless Mode &amp; Sideloading\WalkAndUnGZ.bat" "%USERPROFILE%\AppData\Local\Temp\OnboardLogs"\RTDC4020\2017-05-09 &amp; aws s3 cp s3://rtdc.mdm.uploadarchive.raw/RTDC4020/ "%USERPROFILE%\AppData\Local\Temp\OnboardLogs"\RTDC4020\2017-05-10 --exclude "*" --recursive --include "*20170510*" &amp; "%USERPROFILE%\Documents\GitHub\mrs-test-scripts\Headless Mode &amp; Sideloading\WalkAndUnGZ.bat" "%USERPROFILE%\AppData\Local\Temp\OnboardLogs"\RTDC4020\2017-05-10</v>
      </c>
      <c r="S36" s="87" t="str">
        <f>VLOOKUP(C36,'Train Runs'!$A$13:$AE$9931,22,0)</f>
        <v>https://d0f6bd738d7f1b3e5a7ca70fe4ff75f0.us-east-1.aws.found.io/app/kibana#/discover/Steve-Slow-Train-Analysis-(2080s-and-2083s)?_g=(refreshInterval:(display:Off,pause:!f,section:0,value:0),time:(from:'2017-05-09T17:24:04-0600',mode:absolute,to:'2017-05-09T20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6" s="89" t="str">
        <f t="shared" si="1"/>
        <v>"C:\Program Files (x86)\AstroGrep\AstroGrep.exe" /e /r /s /spath="%USERPROFILE%\AppData\Local\Temp\OnboardLogs" /stypes="*4020*201705100*" /stext=" 01:.+((SYSTEM_STATE.+slice.+state.+changed )|(ment ac)|(multiple cpu faults)|(system.+state.+changed )|(\[timeout)|(PRM\|1\|D)|(kpr)|(kdp)|(train st.+moving)|(\|lc)|(penalty))"</v>
      </c>
      <c r="U36" s="9" t="str">
        <f t="shared" si="2"/>
        <v>4020</v>
      </c>
      <c r="V36" s="31">
        <f t="shared" si="3"/>
        <v>42865.046099537038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{"issue":{"subject":"","project_id":79,"tracker_id":40,"status_id":1,"priority_id":2,"assigned_to_id":23,"start_date":"2017-05-09","description":"","custom_fields":[{"id":1,"name":"Subdivision","value":"EC"},{"id":4,"name":"Milepost","value":"23.3491"},{"id":17,"name":"Train ID","value":"219-09"},{"id":16,"name":"Locomotive ID","value":"4020"},{"id":130,"name":"Impact","value":""},{"id":150,"name":"Time of Event (Mountain Time)","value":"19:06:23"},{"id":151,"name":"Denver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/cygdrive/c/Users/stu/AppData/Local/Temp/OnboardLogs/RTDC4020 --include="*4020*201705100*"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"%USERPROFILE%\AppData\Local\Temp\OnboardLogs"\RTDC4020\*4020*201705100* &gt;&gt; 2017-05-09-SliceDisagreementCheck.txt</v>
      </c>
      <c r="AE36" s="148" t="str">
        <f t="shared" si="9"/>
        <v>start /low /b %USERPROFILE%\Documents\GitHub\eaglep3\Utilities\DownloadLogsFromS3.py --loco 4020 --day 2017-05-10</v>
      </c>
      <c r="AF36" s="1"/>
    </row>
    <row r="37" spans="1:32" x14ac:dyDescent="0.25">
      <c r="A37" s="31">
        <v>42864.264745370368</v>
      </c>
      <c r="B37" s="30" t="s">
        <v>561</v>
      </c>
      <c r="C37" s="30" t="s">
        <v>566</v>
      </c>
      <c r="D37" s="30" t="s">
        <v>98</v>
      </c>
      <c r="E37" s="30" t="s">
        <v>390</v>
      </c>
      <c r="F37" s="42">
        <v>0</v>
      </c>
      <c r="G37" s="42">
        <v>114</v>
      </c>
      <c r="H37" s="42">
        <v>10984</v>
      </c>
      <c r="I37" s="42">
        <v>10825</v>
      </c>
      <c r="J37" s="30" t="s">
        <v>391</v>
      </c>
      <c r="K37" s="42">
        <v>11016</v>
      </c>
      <c r="L37" s="134" t="s">
        <v>51</v>
      </c>
      <c r="M37" s="135">
        <f t="shared" si="0"/>
        <v>-100.848</v>
      </c>
      <c r="N37" s="136" t="str">
        <f>VLOOKUP(C37,'Trips&amp;Operators'!$C$1:$G$99999,5,FALSE)</f>
        <v>COOLAHAN JOHN</v>
      </c>
      <c r="O37" s="207" t="s">
        <v>184</v>
      </c>
      <c r="P37" s="137" t="s">
        <v>1043</v>
      </c>
      <c r="Q37" s="30"/>
      <c r="R37" s="84" t="str">
        <f>IF(VLOOKUP(C37,'Train Runs'!$A$13:$AE$9931,1,1)=C37,VLOOKUP(C37,'Train Runs'!$A$13:$AE$9931,31,1),NA())</f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S37" s="87" t="str">
        <f>VLOOKUP(C37,'Train Runs'!$A$13:$AE$9931,22,0)</f>
        <v>https://d0f6bd738d7f1b3e5a7ca70fe4ff75f0.us-east-1.aws.found.io/app/kibana#/discover/Steve-Slow-Train-Analysis-(2080s-and-2083s)?_g=(refreshInterval:(display:Off,pause:!f,section:0,value:0),time:(from:'2017-05-09T05:07:22-0600',mode:absolute,to:'2017-05-09T07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7" s="89" t="str">
        <f t="shared" si="1"/>
        <v>"C:\Program Files (x86)\AstroGrep\AstroGrep.exe" /e /r /s /spath="%USERPROFILE%\AppData\Local\Temp\OnboardLogs" /stypes="*4005*201705091*"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4005</v>
      </c>
      <c r="V37" s="31">
        <f t="shared" si="3"/>
        <v>42864.514745370368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{"issue":{"subject":"STOP aspect","project_id":79,"tracker_id":40,"status_id":1,"priority_id":2,"assigned_to_id":23,"start_date":"2017-05-09","description":"","custom_fields":[{"id":1,"name":"Subdivision","value":"NW"},{"id":4,"name":"Milepost","value":"1.1016"},{"id":17,"name":"Train ID","value":"802-09"},{"id":16,"name":"Locomotive ID","value":"4005"},{"id":130,"name":"Impact","value":""},{"id":150,"name":"Time of Event (Mountain Time)","value":"06:21:14"},{"id":151,"name":"Denver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/cygdrive/c/Users/stu/AppData/Local/Temp/OnboardLogs/RTDC4005 --include="*4005*201705091*"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"%USERPROFILE%\AppData\Local\Temp\OnboardLogs"\RTDC4005\*4005*201705091* &gt;&gt; 2017-05-09-SliceDisagreementCheck.txt</v>
      </c>
      <c r="AE37" s="148" t="str">
        <f t="shared" si="9"/>
        <v>start /low /b %USERPROFILE%\Documents\GitHub\eaglep3\Utilities\DownloadLogsFromS3.py --loco 4005 --day 2017-05-09</v>
      </c>
      <c r="AF37" s="1"/>
    </row>
    <row r="38" spans="1:32" x14ac:dyDescent="0.25">
      <c r="A38" s="31">
        <v>42864.519872685189</v>
      </c>
      <c r="B38" s="30" t="s">
        <v>370</v>
      </c>
      <c r="C38" s="30" t="s">
        <v>579</v>
      </c>
      <c r="D38" s="30" t="s">
        <v>49</v>
      </c>
      <c r="E38" s="30" t="s">
        <v>390</v>
      </c>
      <c r="F38" s="42">
        <v>0</v>
      </c>
      <c r="G38" s="42">
        <v>556</v>
      </c>
      <c r="H38" s="42">
        <v>28262</v>
      </c>
      <c r="I38" s="42">
        <v>29944</v>
      </c>
      <c r="J38" s="30" t="s">
        <v>391</v>
      </c>
      <c r="K38" s="42">
        <v>29691</v>
      </c>
      <c r="L38" s="134" t="s">
        <v>50</v>
      </c>
      <c r="M38" s="135">
        <f t="shared" si="0"/>
        <v>-133.584</v>
      </c>
      <c r="N38" s="136" t="str">
        <f>VLOOKUP(C38,'Trips&amp;Operators'!$C$1:$G$99999,5,FALSE)</f>
        <v>BEAM ROSS</v>
      </c>
      <c r="O38" s="207" t="s">
        <v>393</v>
      </c>
      <c r="P38" s="137" t="s">
        <v>1042</v>
      </c>
      <c r="Q38" s="30"/>
      <c r="R38" s="84" t="e">
        <f>IF(VLOOKUP(C38,'Train Runs'!$A$13:$AE$9931,1,1)=C38,VLOOKUP(C38,'Train Runs'!$A$13:$AE$9931,31,1),NA())</f>
        <v>#N/A</v>
      </c>
      <c r="S38" s="87" t="str">
        <f>VLOOKUP(C38,'Train Runs'!$A$13:$AE$9931,22,0)</f>
        <v>https://d0f6bd738d7f1b3e5a7ca70fe4ff75f0.us-east-1.aws.found.io/app/kibana#/discover/Steve-Slow-Train-Analysis-(2080s-and-2083s)?_g=(refreshInterval:(display:Off,pause:!f,section:0,value:0),time:(from:'2017-05-09T11:14:51-0600',mode:absolute,to:'2017-05-09T13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8" s="89" t="str">
        <f t="shared" si="1"/>
        <v>"C:\Program Files (x86)\AstroGrep\AstroGrep.exe" /e /r /s /spath="%USERPROFILE%\AppData\Local\Temp\OnboardLogs" /stypes="*4018*201705091*" /stext=" 18:.+((SYSTEM_STATE.+slice.+state.+changed )|(ment ac)|(multiple cpu faults)|(system.+state.+changed )|(\[timeout)|(PRM\|1\|D)|(kpr)|(kdp)|(train st.+moving)|(\|lc)|(penalty))"</v>
      </c>
      <c r="U38" s="9" t="str">
        <f t="shared" si="2"/>
        <v>4018</v>
      </c>
      <c r="V38" s="31">
        <f t="shared" si="3"/>
        <v>42864.769872685189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{"issue":{"subject":"Signal dropped due to TMDS issue","project_id":79,"tracker_id":40,"status_id":1,"priority_id":2,"assigned_to_id":23,"start_date":"2017-05-09","description":"","custom_fields":[{"id":1,"name":"Subdivision","value":"NW"},{"id":4,"name":"Milepost","value":"2.9691"},{"id":17,"name":"Train ID","value":"819-09"},{"id":16,"name":"Locomotive ID","value":"4018"},{"id":130,"name":"Impact","value":""},{"id":150,"name":"Time of Event (Mountain Time)","value":"12:28:37"},{"id":151,"name":"Denver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/cygdrive/c/Users/stu/AppData/Local/Temp/OnboardLogs/RTDC4018 --include="*4018*201705091*"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"%USERPROFILE%\AppData\Local\Temp\OnboardLogs"\RTDC4018\*4018*201705091* &gt;&gt; 2017-05-09-SliceDisagreementCheck.txt</v>
      </c>
      <c r="AE38" s="148" t="str">
        <f t="shared" si="9"/>
        <v>start /low /b %USERPROFILE%\Documents\GitHub\eaglep3\Utilities\DownloadLogsFromS3.py --loco 4018 --day 2017-05-09</v>
      </c>
      <c r="AF38" s="1"/>
    </row>
    <row r="39" spans="1:32" x14ac:dyDescent="0.25">
      <c r="A39" s="31">
        <v>42864.895381944443</v>
      </c>
      <c r="B39" s="30" t="s">
        <v>370</v>
      </c>
      <c r="C39" s="30" t="s">
        <v>597</v>
      </c>
      <c r="D39" s="30" t="s">
        <v>49</v>
      </c>
      <c r="E39" s="30" t="s">
        <v>390</v>
      </c>
      <c r="F39" s="42">
        <v>0</v>
      </c>
      <c r="G39" s="42">
        <v>346</v>
      </c>
      <c r="H39" s="42">
        <v>32704</v>
      </c>
      <c r="I39" s="42">
        <v>33523</v>
      </c>
      <c r="J39" s="30" t="s">
        <v>391</v>
      </c>
      <c r="K39" s="42">
        <v>33236</v>
      </c>
      <c r="L39" s="134" t="s">
        <v>50</v>
      </c>
      <c r="M39" s="135">
        <f t="shared" ref="M39:M70" si="10">CONVERT((I39-K39)/10000,"mi","ft")*IF(L39="Increasing Mileposts (1)",-1,1)</f>
        <v>-151.536</v>
      </c>
      <c r="N39" s="136" t="str">
        <f>VLOOKUP(C39,'Trips&amp;Operators'!$C$1:$G$99999,5,FALSE)</f>
        <v>SWANSON BRYCE</v>
      </c>
      <c r="O39" s="207" t="s">
        <v>393</v>
      </c>
      <c r="P39" s="137" t="s">
        <v>554</v>
      </c>
      <c r="Q39" s="30"/>
      <c r="R39" s="84" t="e">
        <f>IF(VLOOKUP(C39,'Train Runs'!$A$13:$AE$9931,1,1)=C39,VLOOKUP(C39,'Train Runs'!$A$13:$AE$9931,31,1),NA())</f>
        <v>#N/A</v>
      </c>
      <c r="S39" s="87" t="str">
        <f>VLOOKUP(C39,'Train Runs'!$A$13:$AE$9931,22,0)</f>
        <v>https://d0f6bd738d7f1b3e5a7ca70fe4ff75f0.us-east-1.aws.found.io/app/kibana#/discover/Steve-Slow-Train-Analysis-(2080s-and-2083s)?_g=(refreshInterval:(display:Off,pause:!f,section:0,value:0),time:(from:'2017-05-09T20:03:19-0600',mode:absolute,to:'2017-05-09T22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9" s="89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/stypes="*4018*201705100*" /stext=" 03:.+((SYSTEM_STATE.+slice.+state.+changed )|(ment ac)|(multiple cpu faults)|(system.+state.+changed )|(\[timeout)|(PRM\|1\|D)|(kpr)|(kdp)|(train st.+moving)|(\|lc)|(penalty))"</v>
      </c>
      <c r="U39" s="9" t="str">
        <f t="shared" ref="U39:U61" si="12">MID(B39,13,4)</f>
        <v>4018</v>
      </c>
      <c r="V39" s="31">
        <f t="shared" ref="V39:V61" si="13">A39-utc_offset/24</f>
        <v>42865.145381944443</v>
      </c>
      <c r="W39" s="45" t="str">
        <f t="shared" ref="W39:W61" si="14">IFERROR(IF(VALUE(LEFT(IF(LEN(C39)=6,"0"&amp;C39,C39),2))&lt;=2,"EC",IF(OR(VALUE(LEFT(IF(LEN(C39)=6,"0"&amp;C39,C39),2))=8,VALUE(LEFT(IF(LEN(C39)=6,"0"&amp;C39,C39),2))=18),"NW","Other")),"Other")</f>
        <v>NW</v>
      </c>
      <c r="X39" s="45" t="str">
        <f t="shared" ref="X39:X61" si="15">IF(AND(E39="TRACK WARRANT AUTHORITY",G39&lt;10),"OMIT","KEEP")</f>
        <v>KEEP</v>
      </c>
      <c r="Y39" s="99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-09","description":"http://stevetu21.github.io/eaglep3/load_kml.html?kml=http://rtdc.gmaps-snips.s3.amazonaws.com/3b320134-1851-47f3-8a63-47aeb2adc129.kml","custom_fields":[{"id":1,"name":"Subdivision","value":"NW"},{"id":4,"name":"Milepost","value":"3.3236"},{"id":17,"name":"Train ID","value":"845-09"},{"id":16,"name":"Locomotive ID","value":"4018"},{"id":130,"name":"Impact","value":"Enforcement"},{"id":150,"name":"Time of Event (Mountain Time)","value":"21:29:21"},{"id":151,"name":"Denver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9" t="s">
        <v>1041</v>
      </c>
      <c r="AA39" s="47" t="s">
        <v>124</v>
      </c>
      <c r="AB39" s="47" t="s">
        <v>137</v>
      </c>
      <c r="AC39" s="118" t="str">
        <f t="shared" ref="AC39:AC61" si="17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/cygdrive/c/Users/stu/AppData/Local/Temp/OnboardLogs/RTDC4018 --include="*4018*201705100*"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"%USERPROFILE%\AppData\Local\Temp\OnboardLogs"\RTDC4018\*4018*201705100* &gt;&gt; 2017-05-09-SliceDisagreementCheck.txt</v>
      </c>
      <c r="AE39" s="148" t="str">
        <f t="shared" si="9"/>
        <v>start /low /b %USERPROFILE%\Documents\GitHub\eaglep3\Utilities\DownloadLogsFromS3.py --loco 4018 --day 2017-05-10</v>
      </c>
      <c r="AF39" s="1"/>
    </row>
    <row r="40" spans="1:32" x14ac:dyDescent="0.25">
      <c r="A40" s="31">
        <v>42864.896041666667</v>
      </c>
      <c r="B40" s="30" t="s">
        <v>370</v>
      </c>
      <c r="C40" s="30" t="s">
        <v>597</v>
      </c>
      <c r="D40" s="30" t="s">
        <v>98</v>
      </c>
      <c r="E40" s="30" t="s">
        <v>390</v>
      </c>
      <c r="F40" s="42">
        <v>200</v>
      </c>
      <c r="G40" s="42">
        <v>264</v>
      </c>
      <c r="H40" s="42">
        <v>34131</v>
      </c>
      <c r="I40" s="42">
        <v>34646</v>
      </c>
      <c r="J40" s="30" t="s">
        <v>391</v>
      </c>
      <c r="K40" s="42">
        <v>33236</v>
      </c>
      <c r="L40" s="134" t="s">
        <v>50</v>
      </c>
      <c r="M40" s="135">
        <f t="shared" si="10"/>
        <v>-744.48</v>
      </c>
      <c r="N40" s="136" t="str">
        <f>VLOOKUP(C40,'Trips&amp;Operators'!$C$1:$G$99999,5,FALSE)</f>
        <v>SWANSON BRYCE</v>
      </c>
      <c r="O40" s="207" t="s">
        <v>184</v>
      </c>
      <c r="P40" s="137" t="s">
        <v>1040</v>
      </c>
      <c r="Q40" s="30"/>
      <c r="R40" s="84" t="e">
        <f>IF(VLOOKUP(C40,'Train Runs'!$A$13:$AE$9931,1,1)=C40,VLOOKUP(C40,'Train Runs'!$A$13:$AE$9931,31,1),NA())</f>
        <v>#N/A</v>
      </c>
      <c r="S40" s="87" t="str">
        <f>VLOOKUP(C40,'Train Runs'!$A$13:$AE$9931,22,0)</f>
        <v>https://d0f6bd738d7f1b3e5a7ca70fe4ff75f0.us-east-1.aws.found.io/app/kibana#/discover/Steve-Slow-Train-Analysis-(2080s-and-2083s)?_g=(refreshInterval:(display:Off,pause:!f,section:0,value:0),time:(from:'2017-05-09T20:03:19-0600',mode:absolute,to:'2017-05-09T22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0" s="89" t="str">
        <f t="shared" si="11"/>
        <v>"C:\Program Files (x86)\AstroGrep\AstroGrep.exe" /e /r /s /spath="%USERPROFILE%\AppData\Local\Temp\OnboardLogs" /stypes="*4018*201705100*" /stext=" 03:.+((SYSTEM_STATE.+slice.+state.+changed )|(ment ac)|(multiple cpu faults)|(system.+state.+changed )|(\[timeout)|(PRM\|1\|D)|(kpr)|(kdp)|(train st.+moving)|(\|lc)|(penalty))"</v>
      </c>
      <c r="U40" s="9" t="str">
        <f t="shared" si="12"/>
        <v>4018</v>
      </c>
      <c r="V40" s="31">
        <f t="shared" si="13"/>
        <v>42865.146041666667</v>
      </c>
      <c r="W40" s="45" t="str">
        <f t="shared" si="14"/>
        <v>NW</v>
      </c>
      <c r="X40" s="45" t="str">
        <f t="shared" si="15"/>
        <v>KEEP</v>
      </c>
      <c r="Y40" s="99" t="str">
        <f t="shared" si="16"/>
        <v>echo {"issue":{"subject":"Overspeed","project_id":79,"tracker_id":40,"status_id":1,"priority_id":2,"assigned_to_id":23,"start_date":"2017-05-09","description":"","custom_fields":[{"id":1,"name":"Subdivision","value":"NW"},{"id":4,"name":"Milepost","value":"3.3236"},{"id":17,"name":"Train ID","value":"845-09"},{"id":16,"name":"Locomotive ID","value":"4018"},{"id":130,"name":"Impact","value":""},{"id":150,"name":"Time of Event (Mountain Time)","value":"21:30:18"},{"id":151,"name":"Denver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17"/>
        <v>grep -hrE -A400 "Enforcement Action" /cygdrive/c/Users/stu/AppData/Local/Temp/OnboardLogs/RTDC4018 --include="*4018*201705100*"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"%USERPROFILE%\AppData\Local\Temp\OnboardLogs"\RTDC4018\*4018*201705100* &gt;&gt; 2017-05-09-SliceDisagreementCheck.txt</v>
      </c>
      <c r="AE40" s="148" t="str">
        <f t="shared" si="9"/>
        <v>start /low /b %USERPROFILE%\Documents\GitHub\eaglep3\Utilities\DownloadLogsFromS3.py --loco 4018 --day 2017-05-10</v>
      </c>
      <c r="AF40" s="1"/>
    </row>
    <row r="41" spans="1:32" x14ac:dyDescent="0.25">
      <c r="A41" s="31">
        <v>42864.228043981479</v>
      </c>
      <c r="B41" s="30" t="s">
        <v>561</v>
      </c>
      <c r="C41" s="30" t="s">
        <v>562</v>
      </c>
      <c r="D41" s="30" t="s">
        <v>49</v>
      </c>
      <c r="E41" s="30" t="s">
        <v>185</v>
      </c>
      <c r="F41" s="42">
        <v>0</v>
      </c>
      <c r="G41" s="42">
        <v>53</v>
      </c>
      <c r="H41" s="42">
        <v>738</v>
      </c>
      <c r="I41" s="42">
        <v>699</v>
      </c>
      <c r="J41" s="30" t="s">
        <v>186</v>
      </c>
      <c r="K41" s="42">
        <v>575</v>
      </c>
      <c r="L41" s="134" t="s">
        <v>51</v>
      </c>
      <c r="M41" s="135">
        <f t="shared" si="10"/>
        <v>65.471999999999994</v>
      </c>
      <c r="N41" s="136" t="str">
        <f>VLOOKUP(C41,'Trips&amp;Operators'!$C$1:$G$99999,5,FALSE)</f>
        <v>COOLAHAN JOHN</v>
      </c>
      <c r="O41" s="207" t="s">
        <v>184</v>
      </c>
      <c r="P41" s="137"/>
      <c r="Q41" s="30"/>
      <c r="R41" s="84" t="str">
        <f>IF(VLOOKUP(C41,'Train Runs'!$A$13:$AE$9931,1,1)=C41,VLOOKUP(C41,'Train Runs'!$A$13:$AE$9931,31,1),NA())</f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S41" s="87" t="str">
        <f>VLOOKUP(C41,'Train Runs'!$A$13:$AE$9931,22,0)</f>
        <v>https://d0f6bd738d7f1b3e5a7ca70fe4ff75f0.us-east-1.aws.found.io/app/kibana#/discover/Steve-Slow-Train-Analysis-(2080s-and-2083s)?_g=(refreshInterval:(display:Off,pause:!f,section:0,value:0),time:(from:'2017-05-09T04:06:02-0600',mode:absolute,to:'2017-05-09T06:28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1" s="89" t="str">
        <f t="shared" si="11"/>
        <v>"C:\Program Files (x86)\AstroGrep\AstroGrep.exe" /e /r /s /spath="%USERPROFILE%\AppData\Local\Temp\OnboardLogs" /stypes="*4005*201705091*" /stext=" 11:.+((SYSTEM_STATE.+slice.+state.+changed )|(ment ac)|(multiple cpu faults)|(system.+state.+changed )|(\[timeout)|(PRM\|1\|D)|(kpr)|(kdp)|(train st.+moving)|(\|lc)|(penalty))"</v>
      </c>
      <c r="U41" s="9" t="str">
        <f t="shared" si="12"/>
        <v>4005</v>
      </c>
      <c r="V41" s="31">
        <f t="shared" si="13"/>
        <v>42864.478043981479</v>
      </c>
      <c r="W41" s="45" t="str">
        <f t="shared" si="14"/>
        <v>NW</v>
      </c>
      <c r="X41" s="45" t="str">
        <f t="shared" si="15"/>
        <v>KEEP</v>
      </c>
      <c r="Y41" s="99" t="str">
        <f t="shared" si="16"/>
        <v>echo {"issue":{"subject":"","project_id":79,"tracker_id":40,"status_id":1,"priority_id":2,"assigned_to_id":23,"start_date":"2017-05-09","description":"","custom_fields":[{"id":1,"name":"Subdivision","value":"NW"},{"id":4,"name":"Milepost","value":"0.0575"},{"id":17,"name":"Train ID","value":"800-09"},{"id":16,"name":"Locomotive ID","value":"4005"},{"id":130,"name":"Impact","value":""},{"id":150,"name":"Time of Event (Mountain Time)","value":"05:28:23"},{"id":151,"name":"Denver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17"/>
        <v>grep -hrE -A400 "Enforcement Action" /cygdrive/c/Users/stu/AppData/Local/Temp/OnboardLogs/RTDC4005 --include="*4005*201705091*"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"%USERPROFILE%\AppData\Local\Temp\OnboardLogs"\RTDC4005\*4005*201705091* &gt;&gt; 2017-05-09-SliceDisagreementCheck.txt</v>
      </c>
      <c r="AE41" s="148" t="str">
        <f t="shared" si="9"/>
        <v>start /low /b %USERPROFILE%\Documents\GitHub\eaglep3\Utilities\DownloadLogsFromS3.py --loco 4005 --day 2017-05-09</v>
      </c>
      <c r="AF41" s="1"/>
    </row>
    <row r="42" spans="1:32" x14ac:dyDescent="0.25">
      <c r="A42" s="31">
        <v>42864.309675925928</v>
      </c>
      <c r="B42" s="30" t="s">
        <v>561</v>
      </c>
      <c r="C42" s="30" t="s">
        <v>571</v>
      </c>
      <c r="D42" s="30" t="s">
        <v>49</v>
      </c>
      <c r="E42" s="30" t="s">
        <v>185</v>
      </c>
      <c r="F42" s="42">
        <v>0</v>
      </c>
      <c r="G42" s="42">
        <v>39</v>
      </c>
      <c r="H42" s="42">
        <v>712</v>
      </c>
      <c r="I42" s="42">
        <v>678</v>
      </c>
      <c r="J42" s="30" t="s">
        <v>186</v>
      </c>
      <c r="K42" s="42">
        <v>575</v>
      </c>
      <c r="L42" s="134" t="s">
        <v>51</v>
      </c>
      <c r="M42" s="135">
        <f t="shared" si="10"/>
        <v>54.384</v>
      </c>
      <c r="N42" s="136" t="str">
        <f>VLOOKUP(C42,'Trips&amp;Operators'!$C$1:$G$99999,5,FALSE)</f>
        <v>COOLAHAN JOHN</v>
      </c>
      <c r="O42" s="207" t="s">
        <v>184</v>
      </c>
      <c r="P42" s="137"/>
      <c r="Q42" s="30"/>
      <c r="R42" s="84" t="str">
        <f>IF(VLOOKUP(C42,'Train Runs'!$A$13:$AE$9931,1,1)=C42,VLOOKUP(C42,'Train Runs'!$A$13:$AE$9931,31,1),NA())</f>
        <v>aws s3 cp s3://rtdc.mdm.uploadarchive.raw/RTDC4005/ "%USERPROFILE%\AppData\Local\Temp\OnboardLogs"\RTDC4005\2017-05-09 --exclude "*" --recursive --include "*20170509*" &amp; "%USERPROFILE%\Documents\GitHub\mrs-test-scripts\Headless Mode &amp; Sideloading\WalkAndUnGZ.bat" "%USERPROFILE%\AppData\Local\Temp\OnboardLogs"\RTDC4005\2017-05-09 &amp; aws s3 cp s3://rtdc.mdm.uploadarchive.raw/RTDC4005/ "%USERPROFILE%\AppData\Local\Temp\OnboardLogs"\RTDC4005\2017-05-10 --exclude "*" --recursive --include "*20170510*" &amp; "%USERPROFILE%\Documents\GitHub\mrs-test-scripts\Headless Mode &amp; Sideloading\WalkAndUnGZ.bat" "%USERPROFILE%\AppData\Local\Temp\OnboardLogs"\RTDC4005\2017-05-10</v>
      </c>
      <c r="S42" s="87" t="str">
        <f>VLOOKUP(C42,'Train Runs'!$A$13:$AE$9931,22,0)</f>
        <v>https://d0f6bd738d7f1b3e5a7ca70fe4ff75f0.us-east-1.aws.found.io/app/kibana#/discover/Steve-Slow-Train-Analysis-(2080s-and-2083s)?_g=(refreshInterval:(display:Off,pause:!f,section:0,value:0),time:(from:'2017-05-09T06:07:47-0600',mode:absolute,to:'2017-05-09T08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2" s="89" t="str">
        <f t="shared" si="11"/>
        <v>"C:\Program Files (x86)\AstroGrep\AstroGrep.exe" /e /r /s /spath="%USERPROFILE%\AppData\Local\Temp\OnboardLogs" /stypes="*4005*201705091*" /stext=" 13:.+((SYSTEM_STATE.+slice.+state.+changed )|(ment ac)|(multiple cpu faults)|(system.+state.+changed )|(\[timeout)|(PRM\|1\|D)|(kpr)|(kdp)|(train st.+moving)|(\|lc)|(penalty))"</v>
      </c>
      <c r="U42" s="9" t="str">
        <f t="shared" si="12"/>
        <v>4005</v>
      </c>
      <c r="V42" s="31">
        <f t="shared" si="13"/>
        <v>42864.559675925928</v>
      </c>
      <c r="W42" s="45" t="str">
        <f t="shared" si="14"/>
        <v>NW</v>
      </c>
      <c r="X42" s="45" t="str">
        <f t="shared" si="15"/>
        <v>KEEP</v>
      </c>
      <c r="Y42" s="99" t="str">
        <f t="shared" si="16"/>
        <v>echo {"issue":{"subject":"","project_id":79,"tracker_id":40,"status_id":1,"priority_id":2,"assigned_to_id":23,"start_date":"2017-05-09","description":"","custom_fields":[{"id":1,"name":"Subdivision","value":"NW"},{"id":4,"name":"Milepost","value":"0.0575"},{"id":17,"name":"Train ID","value":"806-09"},{"id":16,"name":"Locomotive ID","value":"4005"},{"id":130,"name":"Impact","value":""},{"id":150,"name":"Time of Event (Mountain Time)","value":"07:25:56"},{"id":151,"name":"Denver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17"/>
        <v>grep -hrE -A400 "Enforcement Action" /cygdrive/c/Users/stu/AppData/Local/Temp/OnboardLogs/RTDC4005 --include="*4005*201705091*"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"%USERPROFILE%\AppData\Local\Temp\OnboardLogs"\RTDC4005\*4005*201705091* &gt;&gt; 2017-05-09-SliceDisagreementCheck.txt</v>
      </c>
      <c r="AE42" s="148" t="str">
        <f t="shared" si="9"/>
        <v>start /low /b %USERPROFILE%\Documents\GitHub\eaglep3\Utilities\DownloadLogsFromS3.py --loco 4005 --day 2017-05-09</v>
      </c>
      <c r="AF42" s="1"/>
    </row>
    <row r="43" spans="1:32" x14ac:dyDescent="0.25">
      <c r="A43" s="31">
        <v>42864.788472222222</v>
      </c>
      <c r="B43" s="30" t="s">
        <v>374</v>
      </c>
      <c r="C43" s="30" t="s">
        <v>594</v>
      </c>
      <c r="D43" s="30" t="s">
        <v>49</v>
      </c>
      <c r="E43" s="30" t="s">
        <v>185</v>
      </c>
      <c r="F43" s="42">
        <v>0</v>
      </c>
      <c r="G43" s="42">
        <v>40</v>
      </c>
      <c r="H43" s="42">
        <v>706</v>
      </c>
      <c r="I43" s="42">
        <v>673</v>
      </c>
      <c r="J43" s="30" t="s">
        <v>186</v>
      </c>
      <c r="K43" s="42">
        <v>575</v>
      </c>
      <c r="L43" s="134" t="s">
        <v>51</v>
      </c>
      <c r="M43" s="135">
        <f t="shared" si="10"/>
        <v>51.744</v>
      </c>
      <c r="N43" s="136" t="str">
        <f>VLOOKUP(C43,'Trips&amp;Operators'!$C$1:$G$99999,5,FALSE)</f>
        <v>LEVIN SCOTT</v>
      </c>
      <c r="O43" s="207" t="s">
        <v>184</v>
      </c>
      <c r="P43" s="137"/>
      <c r="Q43" s="30"/>
      <c r="R43" s="84" t="e">
        <f>IF(VLOOKUP(C43,'Train Runs'!$A$13:$AE$9931,1,1)=C43,VLOOKUP(C43,'Train Runs'!$A$13:$AE$9931,31,1),NA())</f>
        <v>#N/A</v>
      </c>
      <c r="S43" s="87" t="str">
        <f>VLOOKUP(C43,'Train Runs'!$A$13:$AE$9931,22,0)</f>
        <v>https://d0f6bd738d7f1b3e5a7ca70fe4ff75f0.us-east-1.aws.found.io/app/kibana#/discover/Steve-Slow-Train-Analysis-(2080s-and-2083s)?_g=(refreshInterval:(display:Off,pause:!f,section:0,value:0),time:(from:'2017-05-09T17:37:58-0600',mode:absolute,to:'2017-05-09T19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3" s="89" t="str">
        <f t="shared" si="11"/>
        <v>"C:\Program Files (x86)\AstroGrep\AstroGrep.exe" /e /r /s /spath="%USERPROFILE%\AppData\Local\Temp\OnboardLogs" /stypes="*4017*201705100*" /stext=" 00:.+((SYSTEM_STATE.+slice.+state.+changed )|(ment ac)|(multiple cpu faults)|(system.+state.+changed )|(\[timeout)|(PRM\|1\|D)|(kpr)|(kdp)|(train st.+moving)|(\|lc)|(penalty))"</v>
      </c>
      <c r="U43" s="9" t="str">
        <f t="shared" si="12"/>
        <v>4017</v>
      </c>
      <c r="V43" s="31">
        <f t="shared" si="13"/>
        <v>42865.038472222222</v>
      </c>
      <c r="W43" s="45" t="str">
        <f t="shared" si="14"/>
        <v>NW</v>
      </c>
      <c r="X43" s="45" t="str">
        <f t="shared" si="15"/>
        <v>KEEP</v>
      </c>
      <c r="Y43" s="99" t="str">
        <f t="shared" si="16"/>
        <v>echo {"issue":{"subject":"","project_id":79,"tracker_id":40,"status_id":1,"priority_id":2,"assigned_to_id":23,"start_date":"2017-05-09","description":"","custom_fields":[{"id":1,"name":"Subdivision","value":"NW"},{"id":4,"name":"Milepost","value":"0.0575"},{"id":17,"name":"Train ID","value":"838-09"},{"id":16,"name":"Locomotive ID","value":"4017"},{"id":130,"name":"Impact","value":""},{"id":150,"name":"Time of Event (Mountain Time)","value":"18:55:24"},{"id":151,"name":"Denver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17"/>
        <v>grep -hrE -A400 "Enforcement Action" /cygdrive/c/Users/stu/AppData/Local/Temp/OnboardLogs/RTDC4017 --include="*4017*201705100*"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"%USERPROFILE%\AppData\Local\Temp\OnboardLogs"\RTDC4017\*4017*201705100* &gt;&gt; 2017-05-09-SliceDisagreementCheck.txt</v>
      </c>
      <c r="AE43" s="148" t="str">
        <f t="shared" si="9"/>
        <v>start /low /b %USERPROFILE%\Documents\GitHub\eaglep3\Utilities\DownloadLogsFromS3.py --loco 4017 --day 2017-05-10</v>
      </c>
      <c r="AF43" s="1"/>
    </row>
    <row r="44" spans="1:32" x14ac:dyDescent="0.25">
      <c r="A44" s="31">
        <v>42864.254062499997</v>
      </c>
      <c r="B44" s="30" t="s">
        <v>564</v>
      </c>
      <c r="C44" s="30" t="s">
        <v>565</v>
      </c>
      <c r="D44" s="30" t="s">
        <v>49</v>
      </c>
      <c r="E44" s="30" t="s">
        <v>185</v>
      </c>
      <c r="F44" s="42">
        <v>0</v>
      </c>
      <c r="G44" s="42">
        <v>28</v>
      </c>
      <c r="H44" s="42">
        <v>58971</v>
      </c>
      <c r="I44" s="42">
        <v>58992</v>
      </c>
      <c r="J44" s="30" t="s">
        <v>186</v>
      </c>
      <c r="K44" s="42">
        <v>59048</v>
      </c>
      <c r="L44" s="134" t="s">
        <v>50</v>
      </c>
      <c r="M44" s="135">
        <f t="shared" si="10"/>
        <v>29.568000000000001</v>
      </c>
      <c r="N44" s="136" t="str">
        <f>VLOOKUP(C44,'Trips&amp;Operators'!$C$1:$G$99999,5,FALSE)</f>
        <v>COOLAHAN JOHN</v>
      </c>
      <c r="O44" s="207" t="s">
        <v>184</v>
      </c>
      <c r="P44" s="137"/>
      <c r="Q44" s="30"/>
      <c r="R44" s="84" t="str">
        <f>IF(VLOOKUP(C44,'Train Runs'!$A$13:$AE$9931,1,1)=C44,VLOOKUP(C44,'Train Runs'!$A$13:$AE$9931,31,1),NA())</f>
        <v>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 &amp; 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</v>
      </c>
      <c r="S44" s="87" t="str">
        <f>VLOOKUP(C44,'Train Runs'!$A$13:$AE$9931,22,0)</f>
        <v>https://d0f6bd738d7f1b3e5a7ca70fe4ff75f0.us-east-1.aws.found.io/app/kibana#/discover/Steve-Slow-Train-Analysis-(2080s-and-2083s)?_g=(refreshInterval:(display:Off,pause:!f,section:0,value:0),time:(from:'2017-05-09T04:37:57-0600',mode:absolute,to:'2017-05-09T07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4" s="89" t="str">
        <f t="shared" si="11"/>
        <v>"C:\Program Files (x86)\AstroGrep\AstroGrep.exe" /e /r /s /spath="%USERPROFILE%\AppData\Local\Temp\OnboardLogs" /stypes="*4006*201705091*" /stext=" 12:.+((SYSTEM_STATE.+slice.+state.+changed )|(ment ac)|(multiple cpu faults)|(system.+state.+changed )|(\[timeout)|(PRM\|1\|D)|(kpr)|(kdp)|(train st.+moving)|(\|lc)|(penalty))"</v>
      </c>
      <c r="U44" s="9" t="str">
        <f t="shared" si="12"/>
        <v>4006</v>
      </c>
      <c r="V44" s="31">
        <f t="shared" si="13"/>
        <v>42864.504062499997</v>
      </c>
      <c r="W44" s="45" t="str">
        <f t="shared" si="14"/>
        <v>NW</v>
      </c>
      <c r="X44" s="45" t="str">
        <f t="shared" si="15"/>
        <v>KEEP</v>
      </c>
      <c r="Y44" s="99" t="str">
        <f t="shared" si="16"/>
        <v>echo {"issue":{"subject":"","project_id":79,"tracker_id":40,"status_id":1,"priority_id":2,"assigned_to_id":23,"start_date":"2017-05-09","description":"","custom_fields":[{"id":1,"name":"Subdivision","value":"NW"},{"id":4,"name":"Milepost","value":"5.9048"},{"id":17,"name":"Train ID","value":"801-09"},{"id":16,"name":"Locomotive ID","value":"4006"},{"id":130,"name":"Impact","value":""},{"id":150,"name":"Time of Event (Mountain Time)","value":"06:05:51"},{"id":151,"name":"Denver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17"/>
        <v>grep -hrE -A400 "Enforcement Action" /cygdrive/c/Users/stu/AppData/Local/Temp/OnboardLogs/RTDC4006 --include="*4006*201705091*"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"%USERPROFILE%\AppData\Local\Temp\OnboardLogs"\RTDC4006\*4006*201705091* &gt;&gt; 2017-05-09-SliceDisagreementCheck.txt</v>
      </c>
      <c r="AE44" s="148" t="str">
        <f t="shared" si="9"/>
        <v>start /low /b %USERPROFILE%\Documents\GitHub\eaglep3\Utilities\DownloadLogsFromS3.py --loco 4006 --day 2017-05-09</v>
      </c>
      <c r="AF44" s="1"/>
    </row>
    <row r="45" spans="1:32" x14ac:dyDescent="0.25">
      <c r="A45" s="31">
        <v>42864.295590277776</v>
      </c>
      <c r="B45" s="30" t="s">
        <v>564</v>
      </c>
      <c r="C45" s="30" t="s">
        <v>569</v>
      </c>
      <c r="D45" s="30" t="s">
        <v>49</v>
      </c>
      <c r="E45" s="30" t="s">
        <v>185</v>
      </c>
      <c r="F45" s="42">
        <v>0</v>
      </c>
      <c r="G45" s="42">
        <v>11</v>
      </c>
      <c r="H45" s="42">
        <v>59031</v>
      </c>
      <c r="I45" s="42">
        <v>59033</v>
      </c>
      <c r="J45" s="30" t="s">
        <v>186</v>
      </c>
      <c r="K45" s="42">
        <v>59048</v>
      </c>
      <c r="L45" s="134" t="s">
        <v>50</v>
      </c>
      <c r="M45" s="135">
        <f t="shared" si="10"/>
        <v>7.92</v>
      </c>
      <c r="N45" s="136" t="str">
        <f>VLOOKUP(C45,'Trips&amp;Operators'!$C$1:$G$99999,5,FALSE)</f>
        <v>COOLAHAN JOHN</v>
      </c>
      <c r="O45" s="207" t="s">
        <v>184</v>
      </c>
      <c r="P45" s="137"/>
      <c r="Q45" s="30"/>
      <c r="R45" s="84" t="str">
        <f>IF(VLOOKUP(C45,'Train Runs'!$A$13:$AE$9931,1,1)=C45,VLOOKUP(C45,'Train Runs'!$A$13:$AE$9931,31,1),NA())</f>
        <v>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 &amp; aws s3 cp s3://rtdc.mdm.uploadarchive.raw/RTDC4006/ "%USERPROFILE%\AppData\Local\Temp\OnboardLogs"\RTDC4006\2017-05-10 --exclude "*" --recursive --include "*20170510*" &amp; "%USERPROFILE%\Documents\GitHub\mrs-test-scripts\Headless Mode &amp; Sideloading\WalkAndUnGZ.bat" "%USERPROFILE%\AppData\Local\Temp\OnboardLogs"\RTDC4006\2017-05-10</v>
      </c>
      <c r="S45" s="87" t="str">
        <f>VLOOKUP(C45,'Train Runs'!$A$13:$AE$9931,22,0)</f>
        <v>https://d0f6bd738d7f1b3e5a7ca70fe4ff75f0.us-east-1.aws.found.io/app/kibana#/discover/Steve-Slow-Train-Analysis-(2080s-and-2083s)?_g=(refreshInterval:(display:Off,pause:!f,section:0,value:0),time:(from:'2017-05-09T05:43:01-0600',mode:absolute,to:'2017-05-09T08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5" s="89" t="str">
        <f t="shared" si="11"/>
        <v>"C:\Program Files (x86)\AstroGrep\AstroGrep.exe" /e /r /s /spath="%USERPROFILE%\AppData\Local\Temp\OnboardLogs" /stypes="*4006*201705091*" /stext=" 13:.+((SYSTEM_STATE.+slice.+state.+changed )|(ment ac)|(multiple cpu faults)|(system.+state.+changed )|(\[timeout)|(PRM\|1\|D)|(kpr)|(kdp)|(train st.+moving)|(\|lc)|(penalty))"</v>
      </c>
      <c r="U45" s="9" t="str">
        <f t="shared" si="12"/>
        <v>4006</v>
      </c>
      <c r="V45" s="31">
        <f t="shared" si="13"/>
        <v>42864.545590277776</v>
      </c>
      <c r="W45" s="45" t="str">
        <f t="shared" si="14"/>
        <v>NW</v>
      </c>
      <c r="X45" s="45" t="str">
        <f t="shared" si="15"/>
        <v>KEEP</v>
      </c>
      <c r="Y45" s="99" t="str">
        <f t="shared" si="16"/>
        <v>echo {"issue":{"subject":"","project_id":79,"tracker_id":40,"status_id":1,"priority_id":2,"assigned_to_id":23,"start_date":"2017-05-09","description":"","custom_fields":[{"id":1,"name":"Subdivision","value":"NW"},{"id":4,"name":"Milepost","value":"5.9048"},{"id":17,"name":"Train ID","value":"805-09"},{"id":16,"name":"Locomotive ID","value":"4006"},{"id":130,"name":"Impact","value":""},{"id":150,"name":"Time of Event (Mountain Time)","value":"07:05:39"},{"id":151,"name":"Denver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17"/>
        <v>grep -hrE -A400 "Enforcement Action" /cygdrive/c/Users/stu/AppData/Local/Temp/OnboardLogs/RTDC4006 --include="*4006*201705091*"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"%USERPROFILE%\AppData\Local\Temp\OnboardLogs"\RTDC4006\*4006*201705091* &gt;&gt; 2017-05-09-SliceDisagreementCheck.txt</v>
      </c>
      <c r="AE45" s="148" t="str">
        <f t="shared" si="9"/>
        <v>start /low /b %USERPROFILE%\Documents\GitHub\eaglep3\Utilities\DownloadLogsFromS3.py --loco 4006 --day 2017-05-09</v>
      </c>
      <c r="AF45" s="1"/>
    </row>
    <row r="46" spans="1:32" x14ac:dyDescent="0.25">
      <c r="A46" s="31">
        <v>42864.566030092596</v>
      </c>
      <c r="B46" s="30" t="s">
        <v>370</v>
      </c>
      <c r="C46" s="30" t="s">
        <v>581</v>
      </c>
      <c r="D46" s="30" t="s">
        <v>98</v>
      </c>
      <c r="E46" s="30" t="s">
        <v>185</v>
      </c>
      <c r="F46" s="42">
        <v>0</v>
      </c>
      <c r="G46" s="42">
        <v>14</v>
      </c>
      <c r="H46" s="42">
        <v>59048</v>
      </c>
      <c r="I46" s="42">
        <v>0</v>
      </c>
      <c r="J46" s="30" t="s">
        <v>186</v>
      </c>
      <c r="K46" s="42">
        <v>59048</v>
      </c>
      <c r="L46" s="134" t="s">
        <v>50</v>
      </c>
      <c r="M46" s="135">
        <f t="shared" si="10"/>
        <v>31177.344000000001</v>
      </c>
      <c r="N46" s="136" t="str">
        <f>VLOOKUP(C46,'Trips&amp;Operators'!$C$1:$G$99999,5,FALSE)</f>
        <v>LEVIN SCOTT</v>
      </c>
      <c r="O46" s="207" t="s">
        <v>184</v>
      </c>
      <c r="P46" s="137"/>
      <c r="Q46" s="30"/>
      <c r="R46" s="84" t="e">
        <f>IF(VLOOKUP(C46,'Train Runs'!$A$13:$AE$9931,1,1)=C46,VLOOKUP(C46,'Train Runs'!$A$13:$AE$9931,31,1),NA())</f>
        <v>#N/A</v>
      </c>
      <c r="S46" s="87" t="str">
        <f>VLOOKUP(C46,'Train Runs'!$A$13:$AE$9931,22,0)</f>
        <v>https://d0f6bd738d7f1b3e5a7ca70fe4ff75f0.us-east-1.aws.found.io/app/kibana#/discover/Steve-Slow-Train-Analysis-(2080s-and-2083s)?_g=(refreshInterval:(display:Off,pause:!f,section:0,value:0),time:(from:'2017-05-09T12:16:55-0600',mode:absolute,to:'2017-05-09T14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6" s="89" t="str">
        <f t="shared" si="11"/>
        <v>"C:\Program Files (x86)\AstroGrep\AstroGrep.exe" /e /r /s /spath="%USERPROFILE%\AppData\Local\Temp\OnboardLogs" /stypes="*4018*201705091*" /stext=" 19:.+((SYSTEM_STATE.+slice.+state.+changed )|(ment ac)|(multiple cpu faults)|(system.+state.+changed )|(\[timeout)|(PRM\|1\|D)|(kpr)|(kdp)|(train st.+moving)|(\|lc)|(penalty))"</v>
      </c>
      <c r="U46" s="9" t="str">
        <f t="shared" si="12"/>
        <v>4018</v>
      </c>
      <c r="V46" s="31">
        <f t="shared" si="13"/>
        <v>42864.816030092596</v>
      </c>
      <c r="W46" s="45" t="str">
        <f t="shared" si="14"/>
        <v>NW</v>
      </c>
      <c r="X46" s="45" t="str">
        <f t="shared" si="15"/>
        <v>KEEP</v>
      </c>
      <c r="Y46" s="99" t="str">
        <f t="shared" si="16"/>
        <v>echo {"issue":{"subject":"","project_id":79,"tracker_id":40,"status_id":1,"priority_id":2,"assigned_to_id":23,"start_date":"2017-05-09","description":"","custom_fields":[{"id":1,"name":"Subdivision","value":"NW"},{"id":4,"name":"Milepost","value":"5.9048"},{"id":17,"name":"Train ID","value":"821-09"},{"id":16,"name":"Locomotive ID","value":"4018"},{"id":130,"name":"Impact","value":""},{"id":150,"name":"Time of Event (Mountain Time)","value":"13:35:05"},{"id":151,"name":"Denver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17"/>
        <v>grep -hrE -A400 "Enforcement Action" /cygdrive/c/Users/stu/AppData/Local/Temp/OnboardLogs/RTDC4018 --include="*4018*201705091*"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"%USERPROFILE%\AppData\Local\Temp\OnboardLogs"\RTDC4018\*4018*201705091* &gt;&gt; 2017-05-09-SliceDisagreementCheck.txt</v>
      </c>
      <c r="AE46" s="148" t="str">
        <f t="shared" si="9"/>
        <v>start /low /b %USERPROFILE%\Documents\GitHub\eaglep3\Utilities\DownloadLogsFromS3.py --loco 4018 --day 2017-05-09</v>
      </c>
      <c r="AF46" s="1"/>
    </row>
    <row r="47" spans="1:32" x14ac:dyDescent="0.25">
      <c r="A47" s="31">
        <v>42864.607708333337</v>
      </c>
      <c r="B47" s="30" t="s">
        <v>370</v>
      </c>
      <c r="C47" s="30" t="s">
        <v>582</v>
      </c>
      <c r="D47" s="30" t="s">
        <v>49</v>
      </c>
      <c r="E47" s="30" t="s">
        <v>185</v>
      </c>
      <c r="F47" s="42">
        <v>0</v>
      </c>
      <c r="G47" s="42">
        <v>33</v>
      </c>
      <c r="H47" s="42">
        <v>58958</v>
      </c>
      <c r="I47" s="42">
        <v>58986</v>
      </c>
      <c r="J47" s="30" t="s">
        <v>186</v>
      </c>
      <c r="K47" s="42">
        <v>59048</v>
      </c>
      <c r="L47" s="134" t="s">
        <v>50</v>
      </c>
      <c r="M47" s="135">
        <f t="shared" si="10"/>
        <v>32.735999999999997</v>
      </c>
      <c r="N47" s="136" t="str">
        <f>VLOOKUP(C47,'Trips&amp;Operators'!$C$1:$G$99999,5,FALSE)</f>
        <v>LEVIN SCOTT</v>
      </c>
      <c r="O47" s="207" t="s">
        <v>184</v>
      </c>
      <c r="P47" s="137"/>
      <c r="Q47" s="30"/>
      <c r="R47" s="84" t="e">
        <f>IF(VLOOKUP(C47,'Train Runs'!$A$13:$AE$9931,1,1)=C47,VLOOKUP(C47,'Train Runs'!$A$13:$AE$9931,31,1),NA())</f>
        <v>#N/A</v>
      </c>
      <c r="S47" s="87" t="str">
        <f>VLOOKUP(C47,'Train Runs'!$A$13:$AE$9931,22,0)</f>
        <v>https://d0f6bd738d7f1b3e5a7ca70fe4ff75f0.us-east-1.aws.found.io/app/kibana#/discover/Steve-Slow-Train-Analysis-(2080s-and-2083s)?_g=(refreshInterval:(display:Off,pause:!f,section:0,value:0),time:(from:'2017-05-09T13:18:45-0600',mode:absolute,to:'2017-05-09T15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7" s="89" t="str">
        <f t="shared" si="11"/>
        <v>"C:\Program Files (x86)\AstroGrep\AstroGrep.exe" /e /r /s /spath="%USERPROFILE%\AppData\Local\Temp\OnboardLogs" /stypes="*4018*201705092*" /stext=" 20:.+((SYSTEM_STATE.+slice.+state.+changed )|(ment ac)|(multiple cpu faults)|(system.+state.+changed )|(\[timeout)|(PRM\|1\|D)|(kpr)|(kdp)|(train st.+moving)|(\|lc)|(penalty))"</v>
      </c>
      <c r="U47" s="9" t="str">
        <f t="shared" si="12"/>
        <v>4018</v>
      </c>
      <c r="V47" s="31">
        <f t="shared" si="13"/>
        <v>42864.857708333337</v>
      </c>
      <c r="W47" s="45" t="str">
        <f t="shared" si="14"/>
        <v>NW</v>
      </c>
      <c r="X47" s="45" t="str">
        <f t="shared" si="15"/>
        <v>KEEP</v>
      </c>
      <c r="Y47" s="99" t="str">
        <f t="shared" si="16"/>
        <v>echo {"issue":{"subject":"","project_id":79,"tracker_id":40,"status_id":1,"priority_id":2,"assigned_to_id":23,"start_date":"2017-05-09","description":"","custom_fields":[{"id":1,"name":"Subdivision","value":"NW"},{"id":4,"name":"Milepost","value":"5.9048"},{"id":17,"name":"Train ID","value":"823-09"},{"id":16,"name":"Locomotive ID","value":"4018"},{"id":130,"name":"Impact","value":""},{"id":150,"name":"Time of Event (Mountain Time)","value":"14:35:06"},{"id":151,"name":"Denver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17"/>
        <v>grep -hrE -A400 "Enforcement Action" /cygdrive/c/Users/stu/AppData/Local/Temp/OnboardLogs/RTDC4018 --include="*4018*201705092*"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"%USERPROFILE%\AppData\Local\Temp\OnboardLogs"\RTDC4018\*4018*201705092* &gt;&gt; 2017-05-09-SliceDisagreementCheck.txt</v>
      </c>
      <c r="AE47" s="148" t="str">
        <f t="shared" si="9"/>
        <v>start /low /b %USERPROFILE%\Documents\GitHub\eaglep3\Utilities\DownloadLogsFromS3.py --loco 4018 --day 2017-05-09</v>
      </c>
      <c r="AF47" s="1"/>
    </row>
    <row r="48" spans="1:32" x14ac:dyDescent="0.25">
      <c r="A48" s="31">
        <v>42864.649537037039</v>
      </c>
      <c r="B48" s="30" t="s">
        <v>370</v>
      </c>
      <c r="C48" s="30" t="s">
        <v>584</v>
      </c>
      <c r="D48" s="30" t="s">
        <v>98</v>
      </c>
      <c r="E48" s="30" t="s">
        <v>185</v>
      </c>
      <c r="F48" s="42">
        <v>0</v>
      </c>
      <c r="G48" s="42">
        <v>5</v>
      </c>
      <c r="H48" s="42">
        <v>59048</v>
      </c>
      <c r="I48" s="42">
        <v>59048</v>
      </c>
      <c r="J48" s="30" t="s">
        <v>186</v>
      </c>
      <c r="K48" s="42">
        <v>59048</v>
      </c>
      <c r="L48" s="134" t="s">
        <v>50</v>
      </c>
      <c r="M48" s="135">
        <f t="shared" si="10"/>
        <v>0</v>
      </c>
      <c r="N48" s="136" t="str">
        <f>VLOOKUP(C48,'Trips&amp;Operators'!$C$1:$G$99999,5,FALSE)</f>
        <v>LEVIN SCOTT</v>
      </c>
      <c r="O48" s="207" t="s">
        <v>184</v>
      </c>
      <c r="P48" s="137"/>
      <c r="Q48" s="30"/>
      <c r="R48" s="84" t="e">
        <f>IF(VLOOKUP(C48,'Train Runs'!$A$13:$AE$9931,1,1)=C48,VLOOKUP(C48,'Train Runs'!$A$13:$AE$9931,31,1),NA())</f>
        <v>#N/A</v>
      </c>
      <c r="S48" s="87" t="str">
        <f>VLOOKUP(C48,'Train Runs'!$A$13:$AE$9931,22,0)</f>
        <v>https://d0f6bd738d7f1b3e5a7ca70fe4ff75f0.us-east-1.aws.found.io/app/kibana#/discover/Steve-Slow-Train-Analysis-(2080s-and-2083s)?_g=(refreshInterval:(display:Off,pause:!f,section:0,value:0),time:(from:'2017-05-09T14:18:13-0600',mode:absolute,to:'2017-05-09T16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8" s="89" t="str">
        <f t="shared" si="11"/>
        <v>"C:\Program Files (x86)\AstroGrep\AstroGrep.exe" /e /r /s /spath="%USERPROFILE%\AppData\Local\Temp\OnboardLogs" /stypes="*4018*201705092*" /stext=" 21:.+((SYSTEM_STATE.+slice.+state.+changed )|(ment ac)|(multiple cpu faults)|(system.+state.+changed )|(\[timeout)|(PRM\|1\|D)|(kpr)|(kdp)|(train st.+moving)|(\|lc)|(penalty))"</v>
      </c>
      <c r="U48" s="9" t="str">
        <f t="shared" si="12"/>
        <v>4018</v>
      </c>
      <c r="V48" s="31">
        <f t="shared" si="13"/>
        <v>42864.899537037039</v>
      </c>
      <c r="W48" s="45" t="str">
        <f t="shared" si="14"/>
        <v>NW</v>
      </c>
      <c r="X48" s="45" t="str">
        <f t="shared" si="15"/>
        <v>OMIT</v>
      </c>
      <c r="Y48" s="99" t="str">
        <f t="shared" si="16"/>
        <v>echo {"issue":{"subject":"","project_id":79,"tracker_id":40,"status_id":1,"priority_id":2,"assigned_to_id":23,"start_date":"2017-05-09","description":"","custom_fields":[{"id":1,"name":"Subdivision","value":"NW"},{"id":4,"name":"Milepost","value":"5.9048"},{"id":17,"name":"Train ID","value":"825-09"},{"id":16,"name":"Locomotive ID","value":"4018"},{"id":130,"name":"Impact","value":""},{"id":150,"name":"Time of Event (Mountain Time)","value":"15:35:20"},{"id":151,"name":"Denver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17"/>
        <v>grep -hrE -A400 "Enforcement Action" /cygdrive/c/Users/stu/AppData/Local/Temp/OnboardLogs/RTDC4018 --include="*4018*201705092*"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"%USERPROFILE%\AppData\Local\Temp\OnboardLogs"\RTDC4018\*4018*201705092* &gt;&gt; 2017-05-09-SliceDisagreementCheck.txt</v>
      </c>
      <c r="AE48" s="148" t="str">
        <f t="shared" si="9"/>
        <v>start /low /b %USERPROFILE%\Documents\GitHub\eaglep3\Utilities\DownloadLogsFromS3.py --loco 4018 --day 2017-05-09</v>
      </c>
      <c r="AF48" s="1"/>
    </row>
    <row r="49" spans="1:32" x14ac:dyDescent="0.25">
      <c r="A49" s="31">
        <v>42864.774375000001</v>
      </c>
      <c r="B49" s="30" t="s">
        <v>370</v>
      </c>
      <c r="C49" s="30" t="s">
        <v>593</v>
      </c>
      <c r="D49" s="30" t="s">
        <v>49</v>
      </c>
      <c r="E49" s="30" t="s">
        <v>185</v>
      </c>
      <c r="F49" s="42">
        <v>0</v>
      </c>
      <c r="G49" s="42">
        <v>72</v>
      </c>
      <c r="H49" s="42">
        <v>58816</v>
      </c>
      <c r="I49" s="42">
        <v>58871</v>
      </c>
      <c r="J49" s="30" t="s">
        <v>186</v>
      </c>
      <c r="K49" s="42">
        <v>59048</v>
      </c>
      <c r="L49" s="134" t="s">
        <v>50</v>
      </c>
      <c r="M49" s="135">
        <f t="shared" si="10"/>
        <v>93.456000000000003</v>
      </c>
      <c r="N49" s="136" t="str">
        <f>VLOOKUP(C49,'Trips&amp;Operators'!$C$1:$G$99999,5,FALSE)</f>
        <v>LEVIN SCOTT</v>
      </c>
      <c r="O49" s="207" t="s">
        <v>184</v>
      </c>
      <c r="P49" s="137"/>
      <c r="Q49" s="30"/>
      <c r="R49" s="84" t="e">
        <f>IF(VLOOKUP(C49,'Train Runs'!$A$13:$AE$9931,1,1)=C49,VLOOKUP(C49,'Train Runs'!$A$13:$AE$9931,31,1),NA())</f>
        <v>#N/A</v>
      </c>
      <c r="S49" s="87" t="str">
        <f>VLOOKUP(C49,'Train Runs'!$A$13:$AE$9931,22,0)</f>
        <v>https://d0f6bd738d7f1b3e5a7ca70fe4ff75f0.us-east-1.aws.found.io/app/kibana#/discover/Steve-Slow-Train-Analysis-(2080s-and-2083s)?_g=(refreshInterval:(display:Off,pause:!f,section:0,value:0),time:(from:'2017-05-09T17:17:21-0600',mode:absolute,to:'2017-05-09T19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9" s="89" t="str">
        <f t="shared" si="11"/>
        <v>"C:\Program Files (x86)\AstroGrep\AstroGrep.exe" /e /r /s /spath="%USERPROFILE%\AppData\Local\Temp\OnboardLogs" /stypes="*4018*201705100*" /stext=" 00:.+((SYSTEM_STATE.+slice.+state.+changed )|(ment ac)|(multiple cpu faults)|(system.+state.+changed )|(\[timeout)|(PRM\|1\|D)|(kpr)|(kdp)|(train st.+moving)|(\|lc)|(penalty))"</v>
      </c>
      <c r="U49" s="9" t="str">
        <f t="shared" si="12"/>
        <v>4018</v>
      </c>
      <c r="V49" s="31">
        <f t="shared" si="13"/>
        <v>42865.024375000001</v>
      </c>
      <c r="W49" s="45" t="str">
        <f t="shared" si="14"/>
        <v>NW</v>
      </c>
      <c r="X49" s="45" t="str">
        <f t="shared" si="15"/>
        <v>KEEP</v>
      </c>
      <c r="Y49" s="99" t="str">
        <f t="shared" si="16"/>
        <v>echo {"issue":{"subject":"","project_id":79,"tracker_id":40,"status_id":1,"priority_id":2,"assigned_to_id":23,"start_date":"2017-05-09","description":"","custom_fields":[{"id":1,"name":"Subdivision","value":"NW"},{"id":4,"name":"Milepost","value":"5.9048"},{"id":17,"name":"Train ID","value":"837-09"},{"id":16,"name":"Locomotive ID","value":"4018"},{"id":130,"name":"Impact","value":""},{"id":150,"name":"Time of Event (Mountain Time)","value":"18:35:06"},{"id":151,"name":"Denver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17"/>
        <v>grep -hrE -A400 "Enforcement Action" /cygdrive/c/Users/stu/AppData/Local/Temp/OnboardLogs/RTDC4018 --include="*4018*201705100*"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"%USERPROFILE%\AppData\Local\Temp\OnboardLogs"\RTDC4018\*4018*201705100* &gt;&gt; 2017-05-09-SliceDisagreementCheck.txt</v>
      </c>
      <c r="AE49" s="148" t="str">
        <f t="shared" si="9"/>
        <v>start /low /b %USERPROFILE%\Documents\GitHub\eaglep3\Utilities\DownloadLogsFromS3.py --loco 4018 --day 2017-05-10</v>
      </c>
      <c r="AF49" s="1"/>
    </row>
    <row r="50" spans="1:32" x14ac:dyDescent="0.25">
      <c r="A50" s="31">
        <v>42864.774745370371</v>
      </c>
      <c r="B50" s="30" t="s">
        <v>370</v>
      </c>
      <c r="C50" s="30" t="s">
        <v>593</v>
      </c>
      <c r="D50" s="30" t="s">
        <v>49</v>
      </c>
      <c r="E50" s="30" t="s">
        <v>185</v>
      </c>
      <c r="F50" s="42">
        <v>0</v>
      </c>
      <c r="G50" s="42">
        <v>37</v>
      </c>
      <c r="H50" s="42">
        <v>58890</v>
      </c>
      <c r="I50" s="42">
        <v>58941</v>
      </c>
      <c r="J50" s="30" t="s">
        <v>186</v>
      </c>
      <c r="K50" s="42">
        <v>59048</v>
      </c>
      <c r="L50" s="134" t="s">
        <v>50</v>
      </c>
      <c r="M50" s="135">
        <f t="shared" si="10"/>
        <v>56.496000000000002</v>
      </c>
      <c r="N50" s="136" t="str">
        <f>VLOOKUP(C50,'Trips&amp;Operators'!$C$1:$G$99999,5,FALSE)</f>
        <v>LEVIN SCOTT</v>
      </c>
      <c r="O50" s="207" t="s">
        <v>184</v>
      </c>
      <c r="P50" s="137"/>
      <c r="Q50" s="30"/>
      <c r="R50" s="84" t="e">
        <f>IF(VLOOKUP(C50,'Train Runs'!$A$13:$AE$9931,1,1)=C50,VLOOKUP(C50,'Train Runs'!$A$13:$AE$9931,31,1),NA())</f>
        <v>#N/A</v>
      </c>
      <c r="S50" s="87" t="str">
        <f>VLOOKUP(C50,'Train Runs'!$A$13:$AE$9931,22,0)</f>
        <v>https://d0f6bd738d7f1b3e5a7ca70fe4ff75f0.us-east-1.aws.found.io/app/kibana#/discover/Steve-Slow-Train-Analysis-(2080s-and-2083s)?_g=(refreshInterval:(display:Off,pause:!f,section:0,value:0),time:(from:'2017-05-09T17:17:21-0600',mode:absolute,to:'2017-05-09T19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0" s="89" t="str">
        <f t="shared" si="11"/>
        <v>"C:\Program Files (x86)\AstroGrep\AstroGrep.exe" /e /r /s /spath="%USERPROFILE%\AppData\Local\Temp\OnboardLogs" /stypes="*4018*201705100*" /stext=" 00:.+((SYSTEM_STATE.+slice.+state.+changed )|(ment ac)|(multiple cpu faults)|(system.+state.+changed )|(\[timeout)|(PRM\|1\|D)|(kpr)|(kdp)|(train st.+moving)|(\|lc)|(penalty))"</v>
      </c>
      <c r="U50" s="9" t="str">
        <f t="shared" si="12"/>
        <v>4018</v>
      </c>
      <c r="V50" s="31">
        <f t="shared" si="13"/>
        <v>42865.024745370371</v>
      </c>
      <c r="W50" s="45" t="str">
        <f t="shared" si="14"/>
        <v>NW</v>
      </c>
      <c r="X50" s="45" t="str">
        <f t="shared" si="15"/>
        <v>KEEP</v>
      </c>
      <c r="Y50" s="99" t="str">
        <f t="shared" si="16"/>
        <v>echo {"issue":{"subject":"","project_id":79,"tracker_id":40,"status_id":1,"priority_id":2,"assigned_to_id":23,"start_date":"2017-05-09","description":"","custom_fields":[{"id":1,"name":"Subdivision","value":"NW"},{"id":4,"name":"Milepost","value":"5.9048"},{"id":17,"name":"Train ID","value":"837-09"},{"id":16,"name":"Locomotive ID","value":"4018"},{"id":130,"name":"Impact","value":""},{"id":150,"name":"Time of Event (Mountain Time)","value":"18:35:38"},{"id":151,"name":"Denver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17"/>
        <v>grep -hrE -A400 "Enforcement Action" /cygdrive/c/Users/stu/AppData/Local/Temp/OnboardLogs/RTDC4018 --include="*4018*201705100*"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"%USERPROFILE%\AppData\Local\Temp\OnboardLogs"\RTDC4018\*4018*201705100* &gt;&gt; 2017-05-09-SliceDisagreementCheck.txt</v>
      </c>
      <c r="AE50" s="148" t="str">
        <f t="shared" si="9"/>
        <v>start /low /b %USERPROFILE%\Documents\GitHub\eaglep3\Utilities\DownloadLogsFromS3.py --loco 4018 --day 2017-05-10</v>
      </c>
      <c r="AF50" s="1"/>
    </row>
    <row r="51" spans="1:32" x14ac:dyDescent="0.25">
      <c r="A51" s="31">
        <v>42864.775081018517</v>
      </c>
      <c r="B51" s="30" t="s">
        <v>370</v>
      </c>
      <c r="C51" s="30" t="s">
        <v>593</v>
      </c>
      <c r="D51" s="30" t="s">
        <v>49</v>
      </c>
      <c r="E51" s="30" t="s">
        <v>185</v>
      </c>
      <c r="F51" s="42">
        <v>0</v>
      </c>
      <c r="G51" s="42">
        <v>19</v>
      </c>
      <c r="H51" s="42">
        <v>58958</v>
      </c>
      <c r="I51" s="42">
        <v>58965</v>
      </c>
      <c r="J51" s="30" t="s">
        <v>186</v>
      </c>
      <c r="K51" s="42">
        <v>59048</v>
      </c>
      <c r="L51" s="134" t="s">
        <v>50</v>
      </c>
      <c r="M51" s="135">
        <f t="shared" si="10"/>
        <v>43.823999999999998</v>
      </c>
      <c r="N51" s="136" t="str">
        <f>VLOOKUP(C51,'Trips&amp;Operators'!$C$1:$G$99999,5,FALSE)</f>
        <v>LEVIN SCOTT</v>
      </c>
      <c r="O51" s="207" t="s">
        <v>184</v>
      </c>
      <c r="P51" s="137"/>
      <c r="Q51" s="30"/>
      <c r="R51" s="84" t="e">
        <f>IF(VLOOKUP(C51,'Train Runs'!$A$13:$AE$9931,1,1)=C51,VLOOKUP(C51,'Train Runs'!$A$13:$AE$9931,31,1),NA())</f>
        <v>#N/A</v>
      </c>
      <c r="S51" s="87" t="str">
        <f>VLOOKUP(C51,'Train Runs'!$A$13:$AE$9931,22,0)</f>
        <v>https://d0f6bd738d7f1b3e5a7ca70fe4ff75f0.us-east-1.aws.found.io/app/kibana#/discover/Steve-Slow-Train-Analysis-(2080s-and-2083s)?_g=(refreshInterval:(display:Off,pause:!f,section:0,value:0),time:(from:'2017-05-09T17:17:21-0600',mode:absolute,to:'2017-05-09T19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1" s="89" t="str">
        <f t="shared" si="11"/>
        <v>"C:\Program Files (x86)\AstroGrep\AstroGrep.exe" /e /r /s /spath="%USERPROFILE%\AppData\Local\Temp\OnboardLogs" /stypes="*4018*201705100*" /stext=" 00:.+((SYSTEM_STATE.+slice.+state.+changed )|(ment ac)|(multiple cpu faults)|(system.+state.+changed )|(\[timeout)|(PRM\|1\|D)|(kpr)|(kdp)|(train st.+moving)|(\|lc)|(penalty))"</v>
      </c>
      <c r="U51" s="9" t="str">
        <f t="shared" si="12"/>
        <v>4018</v>
      </c>
      <c r="V51" s="31">
        <f t="shared" si="13"/>
        <v>42865.025081018517</v>
      </c>
      <c r="W51" s="45" t="str">
        <f t="shared" si="14"/>
        <v>NW</v>
      </c>
      <c r="X51" s="45" t="str">
        <f t="shared" si="15"/>
        <v>KEEP</v>
      </c>
      <c r="Y51" s="99" t="str">
        <f t="shared" si="16"/>
        <v>echo {"issue":{"subject":"","project_id":79,"tracker_id":40,"status_id":1,"priority_id":2,"assigned_to_id":23,"start_date":"2017-05-09","description":"","custom_fields":[{"id":1,"name":"Subdivision","value":"NW"},{"id":4,"name":"Milepost","value":"5.9048"},{"id":17,"name":"Train ID","value":"837-09"},{"id":16,"name":"Locomotive ID","value":"4018"},{"id":130,"name":"Impact","value":""},{"id":150,"name":"Time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17"/>
        <v>grep -hrE -A400 "Enforcement Action" /cygdrive/c/Users/stu/AppData/Local/Temp/OnboardLogs/RTDC4018 --include="*4018*201705100*"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"%USERPROFILE%\AppData\Local\Temp\OnboardLogs"\RTDC4018\*4018*201705100* &gt;&gt; 2017-05-09-SliceDisagreementCheck.txt</v>
      </c>
      <c r="AE51" s="148" t="str">
        <f t="shared" si="9"/>
        <v>start /low /b %USERPROFILE%\Documents\GitHub\eaglep3\Utilities\DownloadLogsFromS3.py --loco 4018 --day 2017-05-10</v>
      </c>
      <c r="AF51" s="1"/>
    </row>
    <row r="52" spans="1:32" x14ac:dyDescent="0.25">
      <c r="A52" s="31">
        <v>42864.733206018522</v>
      </c>
      <c r="B52" s="30" t="s">
        <v>346</v>
      </c>
      <c r="C52" s="30" t="s">
        <v>589</v>
      </c>
      <c r="D52" s="30" t="s">
        <v>98</v>
      </c>
      <c r="E52" s="30" t="s">
        <v>205</v>
      </c>
      <c r="F52" s="42">
        <v>150</v>
      </c>
      <c r="G52" s="42">
        <v>203</v>
      </c>
      <c r="H52" s="42">
        <v>5156</v>
      </c>
      <c r="I52" s="42">
        <v>5587</v>
      </c>
      <c r="J52" s="30" t="s">
        <v>206</v>
      </c>
      <c r="K52" s="42">
        <v>0</v>
      </c>
      <c r="L52" s="134" t="s">
        <v>50</v>
      </c>
      <c r="M52" s="135">
        <f t="shared" si="10"/>
        <v>-2949.9360000000001</v>
      </c>
      <c r="N52" s="136" t="str">
        <f>VLOOKUP(C52,'Trips&amp;Operators'!$C$1:$G$99999,5,FALSE)</f>
        <v>ROMERO CHAD</v>
      </c>
      <c r="O52" s="207" t="s">
        <v>184</v>
      </c>
      <c r="P52" s="137"/>
      <c r="Q52" s="30"/>
      <c r="R52" s="84" t="e">
        <f>IF(VLOOKUP(C52,'Train Runs'!$A$13:$AE$9931,1,1)=C52,VLOOKUP(C52,'Train Runs'!$A$13:$AE$9931,31,1),NA())</f>
        <v>#N/A</v>
      </c>
      <c r="S52" s="87" t="str">
        <f>VLOOKUP(C52,'Train Runs'!$A$13:$AE$9931,22,0)</f>
        <v>https://d0f6bd738d7f1b3e5a7ca70fe4ff75f0.us-east-1.aws.found.io/app/kibana#/discover/Steve-Slow-Train-Analysis-(2080s-and-2083s)?_g=(refreshInterval:(display:Off,pause:!f,section:0,value:0),time:(from:'2017-05-09T16:30:05-0600',mode:absolute,to:'2017-05-09T18:44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2" s="89" t="str">
        <f t="shared" si="11"/>
        <v>"C:\Program Files (x86)\AstroGrep\AstroGrep.exe" /e /r /s /spath="%USERPROFILE%\AppData\Local\Temp\OnboardLogs" /stypes="*4022*201705092*" /stext=" 23:.+((SYSTEM_STATE.+slice.+state.+changed )|(ment ac)|(multiple cpu faults)|(system.+state.+changed )|(\[timeout)|(PRM\|1\|D)|(kpr)|(kdp)|(train st.+moving)|(\|lc)|(penalty))"</v>
      </c>
      <c r="U52" s="9" t="str">
        <f t="shared" si="12"/>
        <v>4022</v>
      </c>
      <c r="V52" s="31">
        <f t="shared" si="13"/>
        <v>42864.983206018522</v>
      </c>
      <c r="W52" s="45" t="str">
        <f t="shared" si="14"/>
        <v>Other</v>
      </c>
      <c r="X52" s="45" t="str">
        <f t="shared" si="15"/>
        <v>KEEP</v>
      </c>
      <c r="Y52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{"issue":{"subject":"","project_id":79,"tracker_id":40,"status_id":1,"priority_id":2,"assigned_to_id":23,"start_date":"2017-05-09","description":"","custom_fields":[{"id":1,"name":"Subdivision","value":"Other"},{"id":4,"name":"Milepost","value":"0"},{"id":17,"name":"Train ID","value":"55-09"},{"id":16,"name":"Locomotive ID","value":"4022"},{"id":130,"name":"Impact","value":""},{"id":150,"name":"Time of Event (Mountain Time)","value":"17:35:49"},{"id":151,"name":"Denver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17"/>
        <v>grep -hrE -A400 "Enforcement Action" /cygdrive/c/Users/stu/AppData/Local/Temp/OnboardLogs/RTDC4022 --include="*4022*201705092*"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"%USERPROFILE%\AppData\Local\Temp\OnboardLogs"\RTDC4022\*4022*201705092* &gt;&gt; 2017-05-09-SliceDisagreementCheck.txt</v>
      </c>
      <c r="AE52" s="148" t="str">
        <f t="shared" si="9"/>
        <v>start /low /b %USERPROFILE%\Documents\GitHub\eaglep3\Utilities\DownloadLogsFromS3.py --loco 4022 --day 2017-05-09</v>
      </c>
      <c r="AF52" s="1"/>
    </row>
    <row r="53" spans="1:32" x14ac:dyDescent="0.25">
      <c r="A53" s="31">
        <v>42864.148923611108</v>
      </c>
      <c r="B53" s="30" t="s">
        <v>437</v>
      </c>
      <c r="C53" s="30" t="s">
        <v>556</v>
      </c>
      <c r="D53" s="30" t="s">
        <v>49</v>
      </c>
      <c r="E53" s="30" t="s">
        <v>390</v>
      </c>
      <c r="F53" s="42">
        <v>0</v>
      </c>
      <c r="G53" s="42">
        <v>22</v>
      </c>
      <c r="H53" s="42">
        <v>14348</v>
      </c>
      <c r="I53" s="42">
        <v>14335</v>
      </c>
      <c r="J53" s="30" t="s">
        <v>391</v>
      </c>
      <c r="K53" s="42">
        <v>14177</v>
      </c>
      <c r="L53" s="134" t="s">
        <v>51</v>
      </c>
      <c r="M53" s="135">
        <f t="shared" si="10"/>
        <v>83.424000000000007</v>
      </c>
      <c r="N53" s="136" t="str">
        <f>VLOOKUP(C53,'Trips&amp;Operators'!$C$1:$G$99999,5,FALSE)</f>
        <v>MAELZER KURT</v>
      </c>
      <c r="O53" s="207" t="s">
        <v>184</v>
      </c>
      <c r="P53" s="137"/>
      <c r="Q53" s="30"/>
      <c r="R53" s="84" t="e">
        <f>IF(VLOOKUP(C53,'Train Runs'!$A$13:$AE$9931,1,1)=C53,VLOOKUP(C53,'Train Runs'!$A$13:$AE$9931,31,1),NA())</f>
        <v>#N/A</v>
      </c>
      <c r="S53" s="87" t="str">
        <f>VLOOKUP(C53,'Train Runs'!$A$13:$AE$9931,22,0)</f>
        <v>https://d0f6bd738d7f1b3e5a7ca70fe4ff75f0.us-east-1.aws.found.io/app/kibana#/discover/Steve-Slow-Train-Analysis-(2080s-and-2083s)?_g=(refreshInterval:(display:Off,pause:!f,section:0,value:0),time:(from:'2017-05-09T02:20:59-0600',mode:absolute,to:'2017-05-09T04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53" s="89" t="str">
        <f t="shared" si="11"/>
        <v>"C:\Program Files (x86)\AstroGrep\AstroGrep.exe" /e /r /s /spath="%USERPROFILE%\AppData\Local\Temp\OnboardLogs" /stypes="*4011*201705090*" /stext=" 09:.+((SYSTEM_STATE.+slice.+state.+changed )|(ment ac)|(multiple cpu faults)|(system.+state.+changed )|(\[timeout)|(PRM\|1\|D)|(kpr)|(kdp)|(train st.+moving)|(\|lc)|(penalty))"</v>
      </c>
      <c r="U53" s="9" t="str">
        <f t="shared" si="12"/>
        <v>4011</v>
      </c>
      <c r="V53" s="31">
        <f t="shared" si="13"/>
        <v>42864.398923611108</v>
      </c>
      <c r="W53" s="45" t="str">
        <f t="shared" si="14"/>
        <v>Other</v>
      </c>
      <c r="X53" s="45" t="str">
        <f t="shared" si="15"/>
        <v>KEEP</v>
      </c>
      <c r="Y53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{"issue":{"subject":"","project_id":79,"tracker_id":40,"status_id":1,"priority_id":2,"assigned_to_id":23,"start_date":"2017-05-09","description":"","custom_fields":[{"id":1,"name":"Subdivision","value":"Other"},{"id":4,"name":"Milepost","value":"1.4177"},{"id":17,"name":"Train ID","value":"304-09"},{"id":16,"name":"Locomotive ID","value":"4011"},{"id":130,"name":"Impact","value":""},{"id":150,"name":"Time of Event (Mountain Time)","value":"03:34:27"},{"id":151,"name":"Denver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17"/>
        <v>grep -hrE -A400 "Enforcement Action" /cygdrive/c/Users/stu/AppData/Local/Temp/OnboardLogs/RTDC4011 --include="*4011*201705090*"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"%USERPROFILE%\AppData\Local\Temp\OnboardLogs"\RTDC4011\*4011*201705090* &gt;&gt; 2017-05-09-SliceDisagreementCheck.txt</v>
      </c>
      <c r="AE53" s="148" t="str">
        <f t="shared" si="9"/>
        <v>start /low /b %USERPROFILE%\Documents\GitHub\eaglep3\Utilities\DownloadLogsFromS3.py --loco 4011 --day 2017-05-09</v>
      </c>
      <c r="AF53" s="1"/>
    </row>
    <row r="54" spans="1:32" x14ac:dyDescent="0.25">
      <c r="A54" s="31">
        <v>42864.978043981479</v>
      </c>
      <c r="B54" s="30" t="s">
        <v>476</v>
      </c>
      <c r="C54" s="30" t="s">
        <v>600</v>
      </c>
      <c r="D54" s="30" t="s">
        <v>98</v>
      </c>
      <c r="E54" s="30" t="s">
        <v>390</v>
      </c>
      <c r="F54" s="42">
        <v>0</v>
      </c>
      <c r="G54" s="42">
        <v>84</v>
      </c>
      <c r="H54" s="42">
        <v>24201</v>
      </c>
      <c r="I54" s="42">
        <v>24298</v>
      </c>
      <c r="J54" s="30" t="s">
        <v>391</v>
      </c>
      <c r="K54" s="42">
        <v>27253</v>
      </c>
      <c r="L54" s="134" t="s">
        <v>51</v>
      </c>
      <c r="M54" s="135">
        <f t="shared" si="10"/>
        <v>-1560.24</v>
      </c>
      <c r="N54" s="136" t="str">
        <f>VLOOKUP(C54,'Trips&amp;Operators'!$C$1:$G$99999,5,FALSE)</f>
        <v>GUZMAN DANNY</v>
      </c>
      <c r="O54" s="207" t="s">
        <v>184</v>
      </c>
      <c r="P54" s="137"/>
      <c r="Q54" s="30"/>
      <c r="R54" s="84" t="str">
        <f>IF(VLOOKUP(C54,'Train Runs'!$A$13:$AE$9931,1,1)=C54,VLOOKUP(C54,'Train Runs'!$A$13:$AE$9931,31,1),NA())</f>
        <v>aws s3 cp s3://rtdc.mdm.uploadarchive.raw/RTDC4014/ "%USERPROFILE%\AppData\Local\Temp\OnboardLogs"\RTDC4014\2017-05-10 --exclude "*" --recursive --include "*20170510*" &amp; "%USERPROFILE%\Documents\GitHub\mrs-test-scripts\Headless Mode &amp; Sideloading\WalkAndUnGZ.bat" "%USERPROFILE%\AppData\Local\Temp\OnboardLogs"\RTDC4014\2017-05-10 &amp; aws s3 cp s3://rtdc.mdm.uploadarchive.raw/RTDC4014/ "%USERPROFILE%\AppData\Local\Temp\OnboardLogs"\RTDC4014\2017-05-11 --exclude "*" --recursive --include "*20170511*" &amp; "%USERPROFILE%\Documents\GitHub\mrs-test-scripts\Headless Mode &amp; Sideloading\WalkAndUnGZ.bat" "%USERPROFILE%\AppData\Local\Temp\OnboardLogs"\RTDC4014\2017-05-11</v>
      </c>
      <c r="S54" s="87" t="str">
        <f>VLOOKUP(C54,'Train Runs'!$A$13:$AE$9931,22,0)</f>
        <v>https://d0f6bd738d7f1b3e5a7ca70fe4ff75f0.us-east-1.aws.found.io/app/kibana#/discover/Steve-Slow-Train-Analysis-(2080s-and-2083s)?_g=(refreshInterval:(display:Off,pause:!f,section:0,value:0),time:(from:'2017-05-09T22:56:12-0600',mode:absolute,to:'2017-05-10T01:15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4" s="89" t="str">
        <f t="shared" si="11"/>
        <v>"C:\Program Files (x86)\AstroGrep\AstroGrep.exe" /e /r /s /spath="%USERPROFILE%\AppData\Local\Temp\OnboardLogs" /stypes="*4014*201705100*" /stext=" 05:.+((SYSTEM_STATE.+slice.+state.+changed )|(ment ac)|(multiple cpu faults)|(system.+state.+changed )|(\[timeout)|(PRM\|1\|D)|(kpr)|(kdp)|(train st.+moving)|(\|lc)|(penalty))"</v>
      </c>
      <c r="U54" s="9" t="str">
        <f t="shared" si="12"/>
        <v>4014</v>
      </c>
      <c r="V54" s="31">
        <f t="shared" si="13"/>
        <v>42865.228043981479</v>
      </c>
      <c r="W54" s="45" t="str">
        <f t="shared" si="14"/>
        <v>Other</v>
      </c>
      <c r="X54" s="45" t="str">
        <f t="shared" si="15"/>
        <v>KEEP</v>
      </c>
      <c r="Y54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{"issue":{"subject":"","project_id":79,"tracker_id":40,"status_id":1,"priority_id":2,"assigned_to_id":23,"start_date":"2017-05-09","description":"","custom_fields":[{"id":1,"name":"Subdivision","value":"Other"},{"id":4,"name":"Milepost","value":"2.7253"},{"id":17,"name":"Train ID","value":"87-09"},{"id":16,"name":"Locomotive ID","value":"4014"},{"id":130,"name":"Impact","value":""},{"id":150,"name":"Time of Event (Mountain Time)","value":"23:28:23"},{"id":151,"name":"Denver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17"/>
        <v>grep -hrE -A400 "Enforcement Action" /cygdrive/c/Users/stu/AppData/Local/Temp/OnboardLogs/RTDC4014 --include="*4014*201705100*"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"%USERPROFILE%\AppData\Local\Temp\OnboardLogs"\RTDC4014\*4014*201705100* &gt;&gt; 2017-05-09-SliceDisagreementCheck.txt</v>
      </c>
      <c r="AE54" s="148" t="str">
        <f t="shared" si="9"/>
        <v>start /low /b %USERPROFILE%\Documents\GitHub\eaglep3\Utilities\DownloadLogsFromS3.py --loco 4014 --day 2017-05-10</v>
      </c>
      <c r="AF54" s="1"/>
    </row>
    <row r="55" spans="1:32" x14ac:dyDescent="0.25">
      <c r="A55" s="31">
        <v>42864.916076388887</v>
      </c>
      <c r="B55" s="30" t="s">
        <v>458</v>
      </c>
      <c r="C55" s="30" t="s">
        <v>598</v>
      </c>
      <c r="D55" s="30" t="s">
        <v>98</v>
      </c>
      <c r="E55" s="30" t="s">
        <v>390</v>
      </c>
      <c r="F55" s="42">
        <v>0</v>
      </c>
      <c r="G55" s="42">
        <v>75</v>
      </c>
      <c r="H55" s="42">
        <v>40812</v>
      </c>
      <c r="I55" s="42">
        <v>40718</v>
      </c>
      <c r="J55" s="30" t="s">
        <v>391</v>
      </c>
      <c r="K55" s="42">
        <v>41769</v>
      </c>
      <c r="L55" s="134" t="s">
        <v>51</v>
      </c>
      <c r="M55" s="135">
        <f t="shared" si="10"/>
        <v>-554.928</v>
      </c>
      <c r="N55" s="136" t="str">
        <f>VLOOKUP(C55,'Trips&amp;Operators'!$C$1:$G$99999,5,FALSE)</f>
        <v>GUZMAN DANNY</v>
      </c>
      <c r="O55" s="207" t="s">
        <v>184</v>
      </c>
      <c r="P55" s="137"/>
      <c r="Q55" s="30"/>
      <c r="R55" s="84" t="e">
        <f>IF(VLOOKUP(C55,'Train Runs'!$A$13:$AE$9931,1,1)=C55,VLOOKUP(C55,'Train Runs'!$A$13:$AE$9931,31,1),NA())</f>
        <v>#N/A</v>
      </c>
      <c r="S55" s="87" t="str">
        <f>VLOOKUP(C55,'Train Runs'!$A$13:$AE$9931,22,0)</f>
        <v>https://d0f6bd738d7f1b3e5a7ca70fe4ff75f0.us-east-1.aws.found.io/app/kibana#/discover/Steve-Slow-Train-Analysis-(2080s-and-2083s)?_g=(refreshInterval:(display:Off,pause:!f,section:0,value:0),time:(from:'2017-05-09T19:04:53-0600',mode:absolute,to:'2017-05-09T21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5" s="89" t="str">
        <f t="shared" si="11"/>
        <v>"C:\Program Files (x86)\AstroGrep\AstroGrep.exe" /e /r /s /spath="%USERPROFILE%\AppData\Local\Temp\OnboardLogs" /stypes="*4013*201705100*" /stext=" 03:.+((SYSTEM_STATE.+slice.+state.+changed )|(ment ac)|(multiple cpu faults)|(system.+state.+changed )|(\[timeout)|(PRM\|1\|D)|(kpr)|(kdp)|(train st.+moving)|(\|lc)|(penalty))"</v>
      </c>
      <c r="U55" s="9" t="str">
        <f t="shared" si="12"/>
        <v>4013</v>
      </c>
      <c r="V55" s="31">
        <f t="shared" si="13"/>
        <v>42865.166076388887</v>
      </c>
      <c r="W55" s="45" t="str">
        <f t="shared" si="14"/>
        <v>Other</v>
      </c>
      <c r="X55" s="45" t="str">
        <f t="shared" si="15"/>
        <v>KEEP</v>
      </c>
      <c r="Y55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{"issue":{"subject":"","project_id":79,"tracker_id":40,"status_id":1,"priority_id":2,"assigned_to_id":23,"start_date":"2017-05-09","description":"","custom_fields":[{"id":1,"name":"Subdivision","value":"Other"},{"id":4,"name":"Milepost","value":"4.1769"},{"id":17,"name":"Train ID","value":"62-09"},{"id":16,"name":"Locomotive ID","value":"4013"},{"id":130,"name":"Impact","value":""},{"id":150,"name":"Time of Event (Mountain Time)","value":"21:59:09"},{"id":151,"name":"Denver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62"/>
      <c r="AA55" s="47"/>
      <c r="AB55" s="47"/>
      <c r="AC55" s="118" t="str">
        <f t="shared" si="17"/>
        <v>grep -hrE -A400 "Enforcement Action" /cygdrive/c/Users/stu/AppData/Local/Temp/OnboardLogs/RTDC4013 --include="*4013*201705100*"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"%USERPROFILE%\AppData\Local\Temp\OnboardLogs"\RTDC4013\*4013*201705100* &gt;&gt; 2017-05-09-SliceDisagreementCheck.txt</v>
      </c>
      <c r="AE55" s="148" t="str">
        <f t="shared" si="9"/>
        <v>start /low /b %USERPROFILE%\Documents\GitHub\eaglep3\Utilities\DownloadLogsFromS3.py --loco 4013 --day 2017-05-10</v>
      </c>
      <c r="AF55" s="1"/>
    </row>
    <row r="56" spans="1:32" x14ac:dyDescent="0.25">
      <c r="A56" s="31">
        <v>42864.916585648149</v>
      </c>
      <c r="B56" s="30" t="s">
        <v>458</v>
      </c>
      <c r="C56" s="30" t="s">
        <v>598</v>
      </c>
      <c r="D56" s="30" t="s">
        <v>98</v>
      </c>
      <c r="E56" s="30" t="s">
        <v>390</v>
      </c>
      <c r="F56" s="42">
        <v>0</v>
      </c>
      <c r="G56" s="42">
        <v>5</v>
      </c>
      <c r="H56" s="42">
        <v>40710</v>
      </c>
      <c r="I56" s="42">
        <v>40708</v>
      </c>
      <c r="J56" s="30" t="s">
        <v>391</v>
      </c>
      <c r="K56" s="42">
        <v>41769</v>
      </c>
      <c r="L56" s="134" t="s">
        <v>51</v>
      </c>
      <c r="M56" s="135">
        <f t="shared" si="10"/>
        <v>-560.20799999999997</v>
      </c>
      <c r="N56" s="136" t="str">
        <f>VLOOKUP(C56,'Trips&amp;Operators'!$C$1:$G$99999,5,FALSE)</f>
        <v>GUZMAN DANNY</v>
      </c>
      <c r="O56" s="207" t="s">
        <v>184</v>
      </c>
      <c r="P56" s="137"/>
      <c r="Q56" s="30"/>
      <c r="R56" s="84" t="e">
        <f>IF(VLOOKUP(C56,'Train Runs'!$A$13:$AE$9931,1,1)=C56,VLOOKUP(C56,'Train Runs'!$A$13:$AE$9931,31,1),NA())</f>
        <v>#N/A</v>
      </c>
      <c r="S56" s="87" t="str">
        <f>VLOOKUP(C56,'Train Runs'!$A$13:$AE$9931,22,0)</f>
        <v>https://d0f6bd738d7f1b3e5a7ca70fe4ff75f0.us-east-1.aws.found.io/app/kibana#/discover/Steve-Slow-Train-Analysis-(2080s-and-2083s)?_g=(refreshInterval:(display:Off,pause:!f,section:0,value:0),time:(from:'2017-05-09T19:04:53-0600',mode:absolute,to:'2017-05-09T21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6" s="89" t="str">
        <f t="shared" si="11"/>
        <v>"C:\Program Files (x86)\AstroGrep\AstroGrep.exe" /e /r /s /spath="%USERPROFILE%\AppData\Local\Temp\OnboardLogs" /stypes="*4013*201705100*" /stext=" 03:.+((SYSTEM_STATE.+slice.+state.+changed )|(ment ac)|(multiple cpu faults)|(system.+state.+changed )|(\[timeout)|(PRM\|1\|D)|(kpr)|(kdp)|(train st.+moving)|(\|lc)|(penalty))"</v>
      </c>
      <c r="U56" s="9" t="str">
        <f t="shared" si="12"/>
        <v>4013</v>
      </c>
      <c r="V56" s="31">
        <f t="shared" si="13"/>
        <v>42865.166585648149</v>
      </c>
      <c r="W56" s="45" t="str">
        <f t="shared" si="14"/>
        <v>Other</v>
      </c>
      <c r="X56" s="45" t="str">
        <f t="shared" si="15"/>
        <v>KEEP</v>
      </c>
      <c r="Y56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{"issue":{"subject":"","project_id":79,"tracker_id":40,"status_id":1,"priority_id":2,"assigned_to_id":23,"start_date":"2017-05-09","description":"","custom_fields":[{"id":1,"name":"Subdivision","value":"Other"},{"id":4,"name":"Milepost","value":"4.1769"},{"id":17,"name":"Train ID","value":"62-09"},{"id":16,"name":"Locomotive ID","value":"4013"},{"id":130,"name":"Impact","value":""},{"id":150,"name":"Time of Event (Mountain Time)","value":"21:59:53"},{"id":151,"name":"Denver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62"/>
      <c r="AA56" s="47"/>
      <c r="AB56" s="47"/>
      <c r="AC56" s="118" t="str">
        <f t="shared" si="17"/>
        <v>grep -hrE -A400 "Enforcement Action" /cygdrive/c/Users/stu/AppData/Local/Temp/OnboardLogs/RTDC4013 --include="*4013*201705100*"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"%USERPROFILE%\AppData\Local\Temp\OnboardLogs"\RTDC4013\*4013*201705100* &gt;&gt; 2017-05-09-SliceDisagreementCheck.txt</v>
      </c>
      <c r="AE56" s="148" t="str">
        <f t="shared" si="9"/>
        <v>start /low /b %USERPROFILE%\Documents\GitHub\eaglep3\Utilities\DownloadLogsFromS3.py --loco 4013 --day 2017-05-10</v>
      </c>
      <c r="AF56" s="1"/>
    </row>
    <row r="57" spans="1:32" x14ac:dyDescent="0.25">
      <c r="A57" s="31">
        <v>42864.917303240742</v>
      </c>
      <c r="B57" s="30" t="s">
        <v>458</v>
      </c>
      <c r="C57" s="30" t="s">
        <v>598</v>
      </c>
      <c r="D57" s="30" t="s">
        <v>98</v>
      </c>
      <c r="E57" s="30" t="s">
        <v>390</v>
      </c>
      <c r="F57" s="42">
        <v>0</v>
      </c>
      <c r="G57" s="42">
        <v>5</v>
      </c>
      <c r="H57" s="42">
        <v>40710</v>
      </c>
      <c r="I57" s="42">
        <v>40707</v>
      </c>
      <c r="J57" s="30" t="s">
        <v>391</v>
      </c>
      <c r="K57" s="42">
        <v>41769</v>
      </c>
      <c r="L57" s="134" t="s">
        <v>51</v>
      </c>
      <c r="M57" s="135">
        <f t="shared" si="10"/>
        <v>-560.73599999999999</v>
      </c>
      <c r="N57" s="136" t="str">
        <f>VLOOKUP(C57,'Trips&amp;Operators'!$C$1:$G$99999,5,FALSE)</f>
        <v>GUZMAN DANNY</v>
      </c>
      <c r="O57" s="207" t="s">
        <v>184</v>
      </c>
      <c r="P57" s="137"/>
      <c r="Q57" s="30"/>
      <c r="R57" s="84" t="e">
        <f>IF(VLOOKUP(C57,'Train Runs'!$A$13:$AE$9931,1,1)=C57,VLOOKUP(C57,'Train Runs'!$A$13:$AE$9931,31,1),NA())</f>
        <v>#N/A</v>
      </c>
      <c r="S57" s="87" t="str">
        <f>VLOOKUP(C57,'Train Runs'!$A$13:$AE$9931,22,0)</f>
        <v>https://d0f6bd738d7f1b3e5a7ca70fe4ff75f0.us-east-1.aws.found.io/app/kibana#/discover/Steve-Slow-Train-Analysis-(2080s-and-2083s)?_g=(refreshInterval:(display:Off,pause:!f,section:0,value:0),time:(from:'2017-05-09T19:04:53-0600',mode:absolute,to:'2017-05-09T21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7" s="89" t="str">
        <f t="shared" si="11"/>
        <v>"C:\Program Files (x86)\AstroGrep\AstroGrep.exe" /e /r /s /spath="%USERPROFILE%\AppData\Local\Temp\OnboardLogs" /stypes="*4013*201705100*" /stext=" 04:.+((SYSTEM_STATE.+slice.+state.+changed )|(ment ac)|(multiple cpu faults)|(system.+state.+changed )|(\[timeout)|(PRM\|1\|D)|(kpr)|(kdp)|(train st.+moving)|(\|lc)|(penalty))"</v>
      </c>
      <c r="U57" s="9" t="str">
        <f t="shared" si="12"/>
        <v>4013</v>
      </c>
      <c r="V57" s="31">
        <f t="shared" si="13"/>
        <v>42865.167303240742</v>
      </c>
      <c r="W57" s="45" t="str">
        <f t="shared" si="14"/>
        <v>Other</v>
      </c>
      <c r="X57" s="45" t="str">
        <f t="shared" si="15"/>
        <v>KEEP</v>
      </c>
      <c r="Y57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{"issue":{"subject":"","project_id":79,"tracker_id":40,"status_id":1,"priority_id":2,"assigned_to_id":23,"start_date":"2017-05-09","description":"","custom_fields":[{"id":1,"name":"Subdivision","value":"Other"},{"id":4,"name":"Milepost","value":"4.1769"},{"id":17,"name":"Train ID","value":"62-09"},{"id":16,"name":"Locomotive ID","value":"4013"},{"id":130,"name":"Impact","value":""},{"id":150,"name":"Time of Event (Mountain Time)","value":"22:00:55"},{"id":151,"name":"Denver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62"/>
      <c r="AA57" s="47"/>
      <c r="AB57" s="47"/>
      <c r="AC57" s="118" t="str">
        <f t="shared" si="17"/>
        <v>grep -hrE -A400 "Enforcement Action" /cygdrive/c/Users/stu/AppData/Local/Temp/OnboardLogs/RTDC4013 --include="*4013*201705100*"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"%USERPROFILE%\AppData\Local\Temp\OnboardLogs"\RTDC4013\*4013*201705100* &gt;&gt; 2017-05-09-SliceDisagreementCheck.txt</v>
      </c>
      <c r="AE57" s="148" t="str">
        <f t="shared" si="9"/>
        <v>start /low /b %USERPROFILE%\Documents\GitHub\eaglep3\Utilities\DownloadLogsFromS3.py --loco 4013 --day 2017-05-10</v>
      </c>
      <c r="AF57" s="1"/>
    </row>
    <row r="58" spans="1:32" x14ac:dyDescent="0.25">
      <c r="A58" s="31">
        <v>42864.116261574076</v>
      </c>
      <c r="B58" s="30" t="s">
        <v>458</v>
      </c>
      <c r="C58" s="30" t="s">
        <v>465</v>
      </c>
      <c r="D58" s="30" t="s">
        <v>98</v>
      </c>
      <c r="E58" s="30" t="s">
        <v>463</v>
      </c>
      <c r="F58" s="42">
        <v>0</v>
      </c>
      <c r="G58" s="42">
        <v>84</v>
      </c>
      <c r="H58" s="42">
        <v>40228</v>
      </c>
      <c r="I58" s="42">
        <v>40135</v>
      </c>
      <c r="J58" s="30" t="s">
        <v>464</v>
      </c>
      <c r="K58" s="42">
        <v>43942</v>
      </c>
      <c r="L58" s="134" t="s">
        <v>51</v>
      </c>
      <c r="M58" s="135">
        <f t="shared" si="10"/>
        <v>-2010.096</v>
      </c>
      <c r="N58" s="136" t="str">
        <f>VLOOKUP(C58,'Trips&amp;Operators'!$C$1:$G$99999,5,FALSE)</f>
        <v>GUZMAN DANNY</v>
      </c>
      <c r="O58" s="207" t="s">
        <v>184</v>
      </c>
      <c r="P58" s="137"/>
      <c r="Q58" s="30"/>
      <c r="R58" s="84" t="e">
        <f>IF(VLOOKUP(C58,'Train Runs'!$A$13:$AE$9931,1,1)=C58,VLOOKUP(C58,'Train Runs'!$A$13:$AE$9931,31,1),NA())</f>
        <v>#N/A</v>
      </c>
      <c r="S58" s="87" t="str">
        <f>VLOOKUP(C58,'Train Runs'!$A$13:$AE$9931,22,0)</f>
        <v>https://d0f6bd738d7f1b3e5a7ca70fe4ff75f0.us-east-1.aws.found.io/app/kibana#/discover/Steve-Slow-Train-Analysis-(2080s-and-2083s)?_g=(refreshInterval:(display:Off,pause:!f,section:0,value:0),time:(from:'2017-05-09T01:44:12-0600',mode:absolute,to:'2017-05-09T04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8" s="89" t="str">
        <f t="shared" si="11"/>
        <v>"C:\Program Files (x86)\AstroGrep\AstroGrep.exe" /e /r /s /spath="%USERPROFILE%\AppData\Local\Temp\OnboardLogs" /stypes="*4013*201705090*" /stext=" 08:.+((SYSTEM_STATE.+slice.+state.+changed )|(ment ac)|(multiple cpu faults)|(system.+state.+changed )|(\[timeout)|(PRM\|1\|D)|(kpr)|(kdp)|(train st.+moving)|(\|lc)|(penalty))"</v>
      </c>
      <c r="U58" s="9" t="str">
        <f t="shared" si="12"/>
        <v>4013</v>
      </c>
      <c r="V58" s="31">
        <f t="shared" si="13"/>
        <v>42864.366261574076</v>
      </c>
      <c r="W58" s="45" t="str">
        <f t="shared" si="14"/>
        <v>Other</v>
      </c>
      <c r="X58" s="45" t="str">
        <f t="shared" si="15"/>
        <v>KEEP</v>
      </c>
      <c r="Y58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{"issue":{"subject":"","project_id":79,"tracker_id":40,"status_id":1,"priority_id":2,"assigned_to_id":23,"start_date":"2017-05-09","description":"","custom_fields":[{"id":1,"name":"Subdivision","value":"Other"},{"id":4,"name":"Milepost","value":"4.3942"},{"id":17,"name":"Train ID","value":"66-08"},{"id":16,"name":"Locomotive ID","value":"4013"},{"id":130,"name":"Impact","value":""},{"id":150,"name":"Time of Event (Mountain Time)","value":"02:47:25"},{"id":151,"name":"Denver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62"/>
      <c r="AA58" s="47"/>
      <c r="AB58" s="47"/>
      <c r="AC58" s="118" t="str">
        <f t="shared" si="17"/>
        <v>grep -hrE -A400 "Enforcement Action" /cygdrive/c/Users/stu/AppData/Local/Temp/OnboardLogs/RTDC4013 --include="*4013*201705090*"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"%USERPROFILE%\AppData\Local\Temp\OnboardLogs"\RTDC4013\*4013*201705090* &gt;&gt; 2017-05-09-SliceDisagreementCheck.txt</v>
      </c>
      <c r="AE58" s="148" t="str">
        <f t="shared" si="9"/>
        <v>start /low /b %USERPROFILE%\Documents\GitHub\eaglep3\Utilities\DownloadLogsFromS3.py --loco 4013 --day 2017-05-09</v>
      </c>
      <c r="AF58" s="1"/>
    </row>
    <row r="59" spans="1:32" x14ac:dyDescent="0.25">
      <c r="A59" s="31">
        <v>42864.116678240738</v>
      </c>
      <c r="B59" s="30" t="s">
        <v>458</v>
      </c>
      <c r="C59" s="30" t="s">
        <v>465</v>
      </c>
      <c r="D59" s="30" t="s">
        <v>98</v>
      </c>
      <c r="E59" s="30" t="s">
        <v>463</v>
      </c>
      <c r="F59" s="42">
        <v>0</v>
      </c>
      <c r="G59" s="42">
        <v>13</v>
      </c>
      <c r="H59" s="42">
        <v>40112</v>
      </c>
      <c r="I59" s="42">
        <v>40087</v>
      </c>
      <c r="J59" s="30" t="s">
        <v>464</v>
      </c>
      <c r="K59" s="42">
        <v>43942</v>
      </c>
      <c r="L59" s="134" t="s">
        <v>51</v>
      </c>
      <c r="M59" s="135">
        <f t="shared" si="10"/>
        <v>-2035.44</v>
      </c>
      <c r="N59" s="136" t="str">
        <f>VLOOKUP(C59,'Trips&amp;Operators'!$C$1:$G$99999,5,FALSE)</f>
        <v>GUZMAN DANNY</v>
      </c>
      <c r="O59" s="207" t="s">
        <v>184</v>
      </c>
      <c r="P59" s="137"/>
      <c r="Q59" s="30"/>
      <c r="R59" s="84" t="e">
        <f>IF(VLOOKUP(C59,'Train Runs'!$A$13:$AE$9931,1,1)=C59,VLOOKUP(C59,'Train Runs'!$A$13:$AE$9931,31,1),NA())</f>
        <v>#N/A</v>
      </c>
      <c r="S59" s="87" t="str">
        <f>VLOOKUP(C59,'Train Runs'!$A$13:$AE$9931,22,0)</f>
        <v>https://d0f6bd738d7f1b3e5a7ca70fe4ff75f0.us-east-1.aws.found.io/app/kibana#/discover/Steve-Slow-Train-Analysis-(2080s-and-2083s)?_g=(refreshInterval:(display:Off,pause:!f,section:0,value:0),time:(from:'2017-05-09T01:44:12-0600',mode:absolute,to:'2017-05-09T04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9" s="89" t="str">
        <f t="shared" si="11"/>
        <v>"C:\Program Files (x86)\AstroGrep\AstroGrep.exe" /e /r /s /spath="%USERPROFILE%\AppData\Local\Temp\OnboardLogs" /stypes="*4013*201705090*" /stext=" 08:.+((SYSTEM_STATE.+slice.+state.+changed )|(ment ac)|(multiple cpu faults)|(system.+state.+changed )|(\[timeout)|(PRM\|1\|D)|(kpr)|(kdp)|(train st.+moving)|(\|lc)|(penalty))"</v>
      </c>
      <c r="U59" s="9" t="str">
        <f t="shared" si="12"/>
        <v>4013</v>
      </c>
      <c r="V59" s="31">
        <f t="shared" si="13"/>
        <v>42864.366678240738</v>
      </c>
      <c r="W59" s="45" t="str">
        <f t="shared" si="14"/>
        <v>Other</v>
      </c>
      <c r="X59" s="45" t="str">
        <f t="shared" si="15"/>
        <v>KEEP</v>
      </c>
      <c r="Y59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{"issue":{"subject":"","project_id":79,"tracker_id":40,"status_id":1,"priority_id":2,"assigned_to_id":23,"start_date":"2017-05-09","description":"","custom_fields":[{"id":1,"name":"Subdivision","value":"Other"},{"id":4,"name":"Milepost","value":"4.3942"},{"id":17,"name":"Train ID","value":"66-08"},{"id":16,"name":"Locomotive ID","value":"4013"},{"id":130,"name":"Impact","value":""},{"id":150,"name":"Time of Event (Mountain Time)","value":"02:48:01"},{"id":151,"name":"Denver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62"/>
      <c r="AA59" s="47"/>
      <c r="AB59" s="47"/>
      <c r="AC59" s="118" t="str">
        <f t="shared" si="17"/>
        <v>grep -hrE -A400 "Enforcement Action" /cygdrive/c/Users/stu/AppData/Local/Temp/OnboardLogs/RTDC4013 --include="*4013*201705090*"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"%USERPROFILE%\AppData\Local\Temp\OnboardLogs"\RTDC4013\*4013*201705090* &gt;&gt; 2017-05-09-SliceDisagreementCheck.txt</v>
      </c>
      <c r="AE59" s="148" t="str">
        <f t="shared" si="9"/>
        <v>start /low /b %USERPROFILE%\Documents\GitHub\eaglep3\Utilities\DownloadLogsFromS3.py --loco 4013 --day 2017-05-09</v>
      </c>
      <c r="AF59" s="1"/>
    </row>
    <row r="60" spans="1:32" x14ac:dyDescent="0.25">
      <c r="A60" s="31">
        <v>42864.172939814816</v>
      </c>
      <c r="B60" s="30" t="s">
        <v>557</v>
      </c>
      <c r="C60" s="30" t="s">
        <v>558</v>
      </c>
      <c r="D60" s="30" t="s">
        <v>49</v>
      </c>
      <c r="E60" s="30" t="s">
        <v>185</v>
      </c>
      <c r="F60" s="42">
        <v>0</v>
      </c>
      <c r="G60" s="42">
        <v>66</v>
      </c>
      <c r="H60" s="42">
        <v>225</v>
      </c>
      <c r="I60" s="42">
        <v>167</v>
      </c>
      <c r="J60" s="30" t="s">
        <v>186</v>
      </c>
      <c r="K60" s="42">
        <v>1</v>
      </c>
      <c r="L60" s="134" t="s">
        <v>51</v>
      </c>
      <c r="M60" s="135">
        <f t="shared" si="10"/>
        <v>87.647999999999996</v>
      </c>
      <c r="N60" s="136" t="str">
        <f>VLOOKUP(C60,'Trips&amp;Operators'!$C$1:$G$99999,5,FALSE)</f>
        <v>STARKS ANGELINA</v>
      </c>
      <c r="O60" s="207" t="s">
        <v>184</v>
      </c>
      <c r="P60" s="137"/>
      <c r="Q60" s="30"/>
      <c r="R60" s="84" t="e">
        <f>IF(VLOOKUP(C60,'Train Runs'!$A$13:$AE$9931,1,1)=C60,VLOOKUP(C60,'Train Runs'!$A$13:$AE$9931,31,1),NA())</f>
        <v>#N/A</v>
      </c>
      <c r="S60" s="87" t="str">
        <f>VLOOKUP(C60,'Train Runs'!$A$13:$AE$9931,22,0)</f>
        <v>https://d0f6bd738d7f1b3e5a7ca70fe4ff75f0.us-east-1.aws.found.io/app/kibana#/discover/Steve-Slow-Train-Analysis-(2080s-and-2083s)?_g=(refreshInterval:(display:Off,pause:!f,section:0,value:0),time:(from:'2017-05-09T02:52:30-0600',mode:absolute,to:'2017-05-09T05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60" s="89" t="str">
        <f t="shared" si="11"/>
        <v>"C:\Program Files (x86)\AstroGrep\AstroGrep.exe" /e /r /s /spath="%USERPROFILE%\AppData\Local\Temp\OnboardLogs" /stypes="*4031*201705091*" /stext=" 10:.+((SYSTEM_STATE.+slice.+state.+changed )|(ment ac)|(multiple cpu faults)|(system.+state.+changed )|(\[timeout)|(PRM\|1\|D)|(kpr)|(kdp)|(train st.+moving)|(\|lc)|(penalty))"</v>
      </c>
      <c r="U60" s="9" t="str">
        <f t="shared" si="12"/>
        <v>4031</v>
      </c>
      <c r="V60" s="31">
        <f t="shared" si="13"/>
        <v>42864.422939814816</v>
      </c>
      <c r="W60" s="45" t="str">
        <f t="shared" si="14"/>
        <v>Other</v>
      </c>
      <c r="X60" s="45" t="str">
        <f t="shared" si="15"/>
        <v>KEEP</v>
      </c>
      <c r="Y60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{"issue":{"subject":"","project_id":79,"tracker_id":40,"status_id":1,"priority_id":2,"assigned_to_id":23,"start_date":"2017-05-09","description":"","custom_fields":[{"id":1,"name":"Subdivision","value":"Other"},{"id":4,"name":"Milepost","value":"0.0001"},{"id":17,"name":"Train ID","value":"306-09"},{"id":16,"name":"Locomotive ID","value":"4031"},{"id":130,"name":"Impact","value":""},{"id":150,"name":"Time of Event (Mountain Time)","value":"04:09:02"},{"id":151,"name":"Denver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62"/>
      <c r="AA60" s="47"/>
      <c r="AB60" s="47"/>
      <c r="AC60" s="118" t="str">
        <f t="shared" si="17"/>
        <v>grep -hrE -A400 "Enforcement Action" /cygdrive/c/Users/stu/AppData/Local/Temp/OnboardLogs/RTDC4031 --include="*4031*201705091*"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"%USERPROFILE%\AppData\Local\Temp\OnboardLogs"\RTDC4031\*4031*201705091* &gt;&gt; 2017-05-09-SliceDisagreementCheck.txt</v>
      </c>
      <c r="AE60" s="148" t="str">
        <f t="shared" si="9"/>
        <v>start /low /b %USERPROFILE%\Documents\GitHub\eaglep3\Utilities\DownloadLogsFromS3.py --loco 4031 --day 2017-05-09</v>
      </c>
      <c r="AF60" s="1"/>
    </row>
    <row r="61" spans="1:32" x14ac:dyDescent="0.25">
      <c r="A61" s="31">
        <v>42864.71334490741</v>
      </c>
      <c r="B61" s="30" t="s">
        <v>438</v>
      </c>
      <c r="C61" s="30" t="s">
        <v>587</v>
      </c>
      <c r="D61" s="30" t="s">
        <v>49</v>
      </c>
      <c r="E61" s="30" t="s">
        <v>185</v>
      </c>
      <c r="F61" s="42">
        <v>0</v>
      </c>
      <c r="G61" s="42">
        <v>14</v>
      </c>
      <c r="H61" s="42">
        <v>28</v>
      </c>
      <c r="I61" s="42">
        <v>14</v>
      </c>
      <c r="J61" s="30" t="s">
        <v>186</v>
      </c>
      <c r="K61" s="42">
        <v>1</v>
      </c>
      <c r="L61" s="134" t="s">
        <v>51</v>
      </c>
      <c r="M61" s="135">
        <f t="shared" si="10"/>
        <v>6.8639999999999999</v>
      </c>
      <c r="N61" s="136" t="str">
        <f>VLOOKUP(C61,'Trips&amp;Operators'!$C$1:$G$99999,5,FALSE)</f>
        <v>CHANDLER KELVIN</v>
      </c>
      <c r="O61" s="207" t="s">
        <v>184</v>
      </c>
      <c r="P61" s="137"/>
      <c r="Q61" s="30"/>
      <c r="R61" s="84" t="e">
        <f>IF(VLOOKUP(C61,'Train Runs'!$A$13:$AE$9931,1,1)=C61,VLOOKUP(C61,'Train Runs'!$A$13:$AE$9931,31,1),NA())</f>
        <v>#N/A</v>
      </c>
      <c r="S61" s="87" t="str">
        <f>VLOOKUP(C61,'Train Runs'!$A$13:$AE$9931,22,0)</f>
        <v>https://d0f6bd738d7f1b3e5a7ca70fe4ff75f0.us-east-1.aws.found.io/app/kibana#/discover/Steve-Slow-Train-Analysis-(2080s-and-2083s)?_g=(refreshInterval:(display:Off,pause:!f,section:0,value:0),time:(from:'2017-05-09T15:46:51-0600',mode:absolute,to:'2017-05-09T18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61" s="89" t="str">
        <f t="shared" si="11"/>
        <v>"C:\Program Files (x86)\AstroGrep\AstroGrep.exe" /e /r /s /spath="%USERPROFILE%\AppData\Local\Temp\OnboardLogs" /stypes="*4021*201705092*" /stext=" 23:.+((SYSTEM_STATE.+slice.+state.+changed )|(ment ac)|(multiple cpu faults)|(system.+state.+changed )|(\[timeout)|(PRM\|1\|D)|(kpr)|(kdp)|(train st.+moving)|(\|lc)|(penalty))"</v>
      </c>
      <c r="U61" s="9" t="str">
        <f t="shared" si="12"/>
        <v>4021</v>
      </c>
      <c r="V61" s="31">
        <f t="shared" si="13"/>
        <v>42864.96334490741</v>
      </c>
      <c r="W61" s="45" t="str">
        <f t="shared" si="14"/>
        <v>Other</v>
      </c>
      <c r="X61" s="45" t="str">
        <f t="shared" si="15"/>
        <v>KEEP</v>
      </c>
      <c r="Y61" s="99" t="str">
        <f t="shared" si="16"/>
        <v>echo {"issue":{"subject":"","project_id":79,"tracker_id":40,"status_id":1,"priority_id":2,"assigned_to_id":23,"start_date":"2017-05-09","description":"","custom_fields":[{"id":1,"name":"Subdivision","value":"Other"},{"id":4,"name":"Milepost","value":"0.0001"},{"id":17,"name":"Train ID","value":"51-09"},{"id":16,"name":"Locomotive ID","value":"4021"},{"id":130,"name":"Impact","value":""},{"id":150,"name":"Time of Event (Mountain Time)","value":"17:07:13"},{"id":151,"name":"Denver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62"/>
      <c r="AA61" s="47"/>
      <c r="AB61" s="47"/>
      <c r="AC61" s="118" t="str">
        <f t="shared" si="17"/>
        <v>grep -hrE -A400 "Enforcement Action" /cygdrive/c/Users/stu/AppData/Local/Temp/OnboardLogs/RTDC4021 --include="*4021*201705092*"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"%USERPROFILE%\AppData\Local\Temp\OnboardLogs"\RTDC4021\*4021*201705092* &gt;&gt; 2017-05-09-SliceDisagreementCheck.txt</v>
      </c>
      <c r="AE61" s="148" t="str">
        <f t="shared" si="9"/>
        <v>start /low /b %USERPROFILE%\Documents\GitHub\eaglep3\Utilities\DownloadLogsFromS3.py --loco 4021 --day 2017-05-09</v>
      </c>
      <c r="AF61" s="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</sheetData>
  <autoFilter ref="A6:AC64">
    <sortState ref="A7:AC65">
      <sortCondition ref="W7:W62"/>
      <sortCondition ref="E7:E62"/>
      <sortCondition ref="K7:K62"/>
      <sortCondition ref="F7:F62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5:O1048576 O7:O6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1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AA7:AA61</xm:sqref>
        </x14:dataValidation>
        <x14:dataValidation type="list" allowBlank="1" showInputMessage="1" showErrorMessage="1">
          <x14:formula1>
            <xm:f>'Redmine List Values'!$C$2:$C$15</xm:f>
          </x14:formula1>
          <xm:sqref>AB7:AB61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0"/>
  <sheetViews>
    <sheetView workbookViewId="0">
      <selection activeCell="E14" sqref="E1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2017-05-09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139</v>
      </c>
      <c r="B3" s="42" t="str">
        <f>A3&amp;"-"&amp;IF(DAY(Variables!$A$2)&lt;10,0,"")&amp;DAY(Variables!$A$2)</f>
        <v>139-09</v>
      </c>
      <c r="C3" s="138"/>
      <c r="D3" s="156"/>
      <c r="E3" s="30"/>
      <c r="F3" s="21" t="str">
        <f>VLOOKUP(B3,'Trips&amp;Operators'!$C$2:$E$10000,3,FALSE)</f>
        <v>LOZA</v>
      </c>
      <c r="G3" s="21" t="str">
        <f>VLOOKUP(B3,'Trips&amp;Operators'!$C$1:$F$10000,4,FALSE)</f>
        <v>FIDEL</v>
      </c>
      <c r="H3" s="29" t="str">
        <f>VLOOKUP(B3,'Trips&amp;Operators'!$C$1:$H$10000,5,FALSE)</f>
        <v>LOZA FIDEL</v>
      </c>
      <c r="I3" s="45" t="str">
        <f t="shared" ref="I3:I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22139-09%22)),sort:!(Time.ISO8601,asc))</v>
      </c>
      <c r="J3" s="30" t="str">
        <f>VLOOKUP(B3,'Train Runs'!$A$13:$A$99928,1,FALSE)</f>
        <v>139-09</v>
      </c>
    </row>
    <row r="4" spans="1:10" x14ac:dyDescent="0.25">
      <c r="A4" s="190">
        <v>140</v>
      </c>
      <c r="B4" s="42" t="str">
        <f>A4&amp;"-"&amp;IF(DAY(Variables!$A$2)&lt;10,0,"")&amp;DAY(Variables!$A$2)</f>
        <v>140-09</v>
      </c>
      <c r="C4" s="138"/>
      <c r="D4" s="156"/>
      <c r="E4" s="30"/>
      <c r="F4" s="21" t="str">
        <f>VLOOKUP(B4,'Trips&amp;Operators'!$C$2:$E$10000,3,FALSE)</f>
        <v>LOZA</v>
      </c>
      <c r="G4" s="21" t="str">
        <f>VLOOKUP(B4,'Trips&amp;Operators'!$C$1:$F$10000,4,FALSE)</f>
        <v>FIDEL</v>
      </c>
      <c r="H4" s="29" t="str">
        <f>VLOOKUP(B4,'Trips&amp;Operators'!$C$1:$H$10000,5,FALSE)</f>
        <v>LOZA FIDEL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22140-09%22)),sort:!(Time.ISO8601,asc))</v>
      </c>
      <c r="J4" s="30" t="str">
        <f>VLOOKUP(B4,'Train Runs'!$A$13:$A$99928,1,FALSE)</f>
        <v>140-09</v>
      </c>
    </row>
    <row r="5" spans="1:10" x14ac:dyDescent="0.25">
      <c r="A5" s="190"/>
      <c r="B5" s="42" t="str">
        <f>A5&amp;"-"&amp;IF(DAY(Variables!$A$2)&lt;10,0,"")&amp;DAY(Variables!$A$2)</f>
        <v>-09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Runs'!$A$13:$A$99928,1,FALSE)</f>
        <v>#N/A</v>
      </c>
    </row>
    <row r="6" spans="1:10" x14ac:dyDescent="0.25">
      <c r="A6" s="190"/>
      <c r="B6" s="42" t="str">
        <f>A6&amp;"-"&amp;IF(DAY(Variables!$A$2)&lt;10,0,"")&amp;DAY(Variables!$A$2)</f>
        <v>-09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Runs'!$A$13:$A$99928,1,FALSE)</f>
        <v>#N/A</v>
      </c>
    </row>
    <row r="7" spans="1:10" x14ac:dyDescent="0.25">
      <c r="A7" s="190"/>
      <c r="B7" s="42" t="str">
        <f>A7&amp;"-"&amp;IF(DAY(Variables!$A$2)&lt;10,0,"")&amp;DAY(Variables!$A$2)</f>
        <v>-09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Runs'!$A$13:$A$99928,1,FALSE)</f>
        <v>#N/A</v>
      </c>
    </row>
    <row r="8" spans="1:10" x14ac:dyDescent="0.25">
      <c r="A8" s="190"/>
      <c r="B8" s="42" t="str">
        <f>A8&amp;"-"&amp;IF(DAY(Variables!$A$2)&lt;10,0,"")&amp;DAY(Variables!$A$2)</f>
        <v>-09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Runs'!$A$13:$A$99928,1,FALSE)</f>
        <v>#N/A</v>
      </c>
    </row>
    <row r="9" spans="1:10" x14ac:dyDescent="0.25">
      <c r="A9" s="190"/>
      <c r="B9" s="42" t="str">
        <f>A9&amp;"-"&amp;IF(DAY(Variables!$A$2)&lt;10,0,"")&amp;DAY(Variables!$A$2)</f>
        <v>-09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Runs'!$A$13:$A$99928,1,FALSE)</f>
        <v>#N/A</v>
      </c>
    </row>
    <row r="10" spans="1:10" x14ac:dyDescent="0.25">
      <c r="A10" s="190"/>
      <c r="B10" s="42"/>
      <c r="C10" s="138"/>
      <c r="D10" s="156"/>
      <c r="E10" s="30"/>
      <c r="F10" s="21"/>
      <c r="G10" s="21"/>
      <c r="H10" s="29"/>
      <c r="I10" s="45"/>
      <c r="J10" s="30"/>
    </row>
    <row r="11" spans="1:10" x14ac:dyDescent="0.25">
      <c r="A11" s="190"/>
      <c r="B11" s="42"/>
      <c r="C11" s="138"/>
      <c r="D11" s="156"/>
      <c r="E11" s="30"/>
      <c r="F11" s="21"/>
      <c r="G11" s="21"/>
      <c r="H11" s="29"/>
      <c r="I11" s="45"/>
      <c r="J11" s="30"/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 t="str">
        <f>A71&amp;"-"&amp;IF(DAY(Variables!$A$2)&lt;10,0,"")&amp;DAY(Variables!$A$2)</f>
        <v>-09</v>
      </c>
      <c r="C71" s="138"/>
      <c r="D71" s="156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5" t="str">
        <f t="shared" ref="I71:I8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1" s="30" t="e">
        <f>VLOOKUP(B71,'Train Runs'!$A$13:$A$99928,1,FALSE)</f>
        <v>#N/A</v>
      </c>
    </row>
    <row r="72" spans="1:10" x14ac:dyDescent="0.25">
      <c r="A72" s="190"/>
      <c r="B72" s="42" t="str">
        <f>A72&amp;"-"&amp;IF(DAY(Variables!$A$2)&lt;10,0,"")&amp;DAY(Variables!$A$2)</f>
        <v>-09</v>
      </c>
      <c r="C72" s="138"/>
      <c r="D72" s="156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2" s="30" t="e">
        <f>VLOOKUP(B72,'Train Runs'!$A$13:$A$99928,1,FALSE)</f>
        <v>#N/A</v>
      </c>
    </row>
    <row r="73" spans="1:10" x14ac:dyDescent="0.25">
      <c r="A73" s="190"/>
      <c r="B73" s="42" t="str">
        <f>A73&amp;"-"&amp;IF(DAY(Variables!$A$2)&lt;10,0,"")&amp;DAY(Variables!$A$2)</f>
        <v>-09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3" s="30" t="e">
        <f>VLOOKUP(B73,'Train Runs'!$A$13:$A$99928,1,FALSE)</f>
        <v>#N/A</v>
      </c>
    </row>
    <row r="74" spans="1:10" x14ac:dyDescent="0.25">
      <c r="A74" s="190"/>
      <c r="B74" s="42" t="str">
        <f>A74&amp;"-"&amp;IF(DAY(Variables!$A$2)&lt;10,0,"")&amp;DAY(Variables!$A$2)</f>
        <v>-09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4" s="30" t="e">
        <f>VLOOKUP(B74,'Train Runs'!$A$13:$A$99928,1,FALSE)</f>
        <v>#N/A</v>
      </c>
    </row>
    <row r="75" spans="1:10" x14ac:dyDescent="0.25">
      <c r="A75" s="190"/>
      <c r="B75" s="42" t="str">
        <f>A75&amp;"-"&amp;IF(DAY(Variables!$A$2)&lt;10,0,"")&amp;DAY(Variables!$A$2)</f>
        <v>-09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5" s="30" t="e">
        <f>VLOOKUP(B75,'Train Runs'!$A$13:$A$99928,1,FALSE)</f>
        <v>#N/A</v>
      </c>
    </row>
    <row r="76" spans="1:10" x14ac:dyDescent="0.25">
      <c r="A76" s="190"/>
      <c r="B76" s="42" t="str">
        <f>A76&amp;"-"&amp;IF(DAY(Variables!$A$2)&lt;10,0,"")&amp;DAY(Variables!$A$2)</f>
        <v>-09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6" s="30" t="e">
        <f>VLOOKUP(B76,'Train Runs'!$A$13:$A$99928,1,FALSE)</f>
        <v>#N/A</v>
      </c>
    </row>
    <row r="77" spans="1:10" x14ac:dyDescent="0.25">
      <c r="A77" s="190"/>
      <c r="B77" s="42" t="str">
        <f>A77&amp;"-"&amp;IF(DAY(Variables!$A$2)&lt;10,0,"")&amp;DAY(Variables!$A$2)</f>
        <v>-09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7" s="30" t="e">
        <f>VLOOKUP(B77,'Train Runs'!$A$13:$A$99928,1,FALSE)</f>
        <v>#N/A</v>
      </c>
    </row>
    <row r="78" spans="1:10" x14ac:dyDescent="0.25">
      <c r="A78" s="190"/>
      <c r="B78" s="42" t="str">
        <f>A78&amp;"-"&amp;IF(DAY(Variables!$A$2)&lt;10,0,"")&amp;DAY(Variables!$A$2)</f>
        <v>-09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8" s="30" t="e">
        <f>VLOOKUP(B78,'Train Runs'!$A$13:$A$99928,1,FALSE)</f>
        <v>#N/A</v>
      </c>
    </row>
    <row r="79" spans="1:10" x14ac:dyDescent="0.25">
      <c r="A79" s="190"/>
      <c r="B79" s="42" t="str">
        <f>A79&amp;"-"&amp;IF(DAY(Variables!$A$2)&lt;10,0,"")&amp;DAY(Variables!$A$2)</f>
        <v>-09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9" s="30" t="e">
        <f>VLOOKUP(B79,'Train Runs'!$A$13:$A$99928,1,FALSE)</f>
        <v>#N/A</v>
      </c>
    </row>
    <row r="80" spans="1:10" x14ac:dyDescent="0.25">
      <c r="A80" s="190"/>
      <c r="B80" s="42" t="str">
        <f>A80&amp;"-"&amp;IF(DAY(Variables!$A$2)&lt;10,0,"")&amp;DAY(Variables!$A$2)</f>
        <v>-09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0" s="30" t="e">
        <f>VLOOKUP(B80,'Train Runs'!$A$13:$A$99928,1,FALSE)</f>
        <v>#N/A</v>
      </c>
    </row>
  </sheetData>
  <autoFilter ref="A2:J80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7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42864.036122685182</v>
      </c>
      <c r="B2" s="20" t="s">
        <v>438</v>
      </c>
      <c r="C2" s="20" t="s">
        <v>497</v>
      </c>
      <c r="D2" s="141">
        <v>3030000</v>
      </c>
      <c r="E2" s="20" t="s">
        <v>487</v>
      </c>
      <c r="F2" s="20" t="s">
        <v>440</v>
      </c>
      <c r="G2" s="8" t="str">
        <f>E2&amp;" "&amp;F2</f>
        <v>BIRENBAUM THOMAS</v>
      </c>
    </row>
    <row r="3" spans="1:7" x14ac:dyDescent="0.25">
      <c r="A3" s="8">
        <v>42864.042592592596</v>
      </c>
      <c r="B3" s="20" t="s">
        <v>476</v>
      </c>
      <c r="C3" s="20" t="s">
        <v>465</v>
      </c>
      <c r="D3" s="141">
        <v>2970000</v>
      </c>
      <c r="E3" s="20" t="s">
        <v>485</v>
      </c>
      <c r="F3" s="20" t="s">
        <v>486</v>
      </c>
      <c r="G3" s="8" t="str">
        <f t="shared" ref="G3:G66" si="0">E3&amp;" "&amp;F3</f>
        <v>GUZMAN DANNY</v>
      </c>
    </row>
    <row r="4" spans="1:7" x14ac:dyDescent="0.25">
      <c r="A4" s="8">
        <v>42864.048067129632</v>
      </c>
      <c r="B4" s="20" t="s">
        <v>380</v>
      </c>
      <c r="C4" s="20" t="s">
        <v>498</v>
      </c>
      <c r="D4" s="141">
        <v>2230000</v>
      </c>
      <c r="E4" s="20" t="s">
        <v>347</v>
      </c>
      <c r="F4" s="20" t="s">
        <v>196</v>
      </c>
      <c r="G4" s="8" t="str">
        <f t="shared" si="0"/>
        <v>SMITH MICHAEL</v>
      </c>
    </row>
    <row r="5" spans="1:7" x14ac:dyDescent="0.25">
      <c r="A5" s="8">
        <v>42864.056481481479</v>
      </c>
      <c r="B5" s="20" t="s">
        <v>458</v>
      </c>
      <c r="C5" s="20" t="s">
        <v>465</v>
      </c>
      <c r="D5" s="141">
        <v>2970000</v>
      </c>
      <c r="E5" s="20" t="s">
        <v>485</v>
      </c>
      <c r="F5" s="20" t="s">
        <v>486</v>
      </c>
      <c r="G5" s="8" t="str">
        <f t="shared" si="0"/>
        <v>GUZMAN DANNY</v>
      </c>
    </row>
    <row r="6" spans="1:7" x14ac:dyDescent="0.25">
      <c r="A6" s="8">
        <v>42864.056504629632</v>
      </c>
      <c r="B6" s="20" t="s">
        <v>461</v>
      </c>
      <c r="C6" s="20" t="s">
        <v>470</v>
      </c>
      <c r="D6" s="141">
        <v>3130000</v>
      </c>
      <c r="E6" s="20" t="s">
        <v>490</v>
      </c>
      <c r="F6" s="20" t="s">
        <v>491</v>
      </c>
      <c r="G6" s="8" t="str">
        <f t="shared" si="0"/>
        <v>ZEWDU DEREJE</v>
      </c>
    </row>
    <row r="7" spans="1:7" x14ac:dyDescent="0.25">
      <c r="A7" s="8">
        <v>42864.061631944445</v>
      </c>
      <c r="B7" s="20" t="s">
        <v>458</v>
      </c>
      <c r="C7" s="20" t="s">
        <v>465</v>
      </c>
      <c r="D7" s="141">
        <v>2970000</v>
      </c>
      <c r="E7" s="20" t="s">
        <v>485</v>
      </c>
      <c r="F7" s="20" t="s">
        <v>486</v>
      </c>
      <c r="G7" s="8" t="str">
        <f t="shared" si="0"/>
        <v>GUZMAN DANNY</v>
      </c>
    </row>
    <row r="8" spans="1:7" x14ac:dyDescent="0.25">
      <c r="A8" s="8">
        <v>42864.064166666663</v>
      </c>
      <c r="B8" s="20" t="s">
        <v>408</v>
      </c>
      <c r="C8" s="20" t="s">
        <v>466</v>
      </c>
      <c r="D8" s="141">
        <v>3040000</v>
      </c>
      <c r="E8" s="20" t="s">
        <v>488</v>
      </c>
      <c r="F8" s="20" t="s">
        <v>489</v>
      </c>
      <c r="G8" s="8" t="str">
        <f t="shared" si="0"/>
        <v>WILLIAMS DONTE</v>
      </c>
    </row>
    <row r="9" spans="1:7" ht="15.75" thickBot="1" x14ac:dyDescent="0.3">
      <c r="A9" s="24">
        <v>42864.065555555557</v>
      </c>
      <c r="B9" s="20" t="s">
        <v>408</v>
      </c>
      <c r="C9" s="20" t="s">
        <v>466</v>
      </c>
      <c r="D9" s="141">
        <v>3040000</v>
      </c>
      <c r="E9" s="20" t="s">
        <v>488</v>
      </c>
      <c r="F9" s="20" t="s">
        <v>489</v>
      </c>
      <c r="G9" s="8" t="str">
        <f t="shared" si="0"/>
        <v>WILLIAMS DONTE</v>
      </c>
    </row>
    <row r="10" spans="1:7" x14ac:dyDescent="0.25">
      <c r="A10" s="8">
        <v>42864.068344907406</v>
      </c>
      <c r="B10" s="20" t="s">
        <v>346</v>
      </c>
      <c r="C10" s="20" t="s">
        <v>499</v>
      </c>
      <c r="D10" s="141">
        <v>3030000</v>
      </c>
      <c r="E10" s="20" t="s">
        <v>487</v>
      </c>
      <c r="F10" s="20" t="s">
        <v>440</v>
      </c>
      <c r="G10" s="8" t="str">
        <f t="shared" si="0"/>
        <v>BIRENBAUM THOMAS</v>
      </c>
    </row>
    <row r="11" spans="1:7" x14ac:dyDescent="0.25">
      <c r="A11" s="8">
        <v>42864.07234953704</v>
      </c>
      <c r="B11" s="20" t="s">
        <v>476</v>
      </c>
      <c r="C11" s="20" t="s">
        <v>465</v>
      </c>
      <c r="D11" s="141">
        <v>2970000</v>
      </c>
      <c r="E11" s="20" t="s">
        <v>485</v>
      </c>
      <c r="F11" s="20" t="s">
        <v>486</v>
      </c>
      <c r="G11" s="8" t="str">
        <f t="shared" si="0"/>
        <v>GUZMAN DANNY</v>
      </c>
    </row>
    <row r="12" spans="1:7" x14ac:dyDescent="0.25">
      <c r="A12" s="8">
        <v>42864.084166666667</v>
      </c>
      <c r="B12" s="20" t="s">
        <v>458</v>
      </c>
      <c r="C12" s="20" t="s">
        <v>465</v>
      </c>
      <c r="D12" s="141">
        <v>2970000</v>
      </c>
      <c r="E12" s="20" t="s">
        <v>485</v>
      </c>
      <c r="F12" s="20" t="s">
        <v>486</v>
      </c>
      <c r="G12" s="8" t="str">
        <f t="shared" si="0"/>
        <v>GUZMAN DANNY</v>
      </c>
    </row>
    <row r="13" spans="1:7" x14ac:dyDescent="0.25">
      <c r="A13" s="8">
        <v>42864.0859375</v>
      </c>
      <c r="B13" s="20" t="s">
        <v>409</v>
      </c>
      <c r="C13" s="20" t="s">
        <v>466</v>
      </c>
      <c r="D13" s="141">
        <v>3040000</v>
      </c>
      <c r="E13" s="20" t="s">
        <v>488</v>
      </c>
      <c r="F13" s="20" t="s">
        <v>489</v>
      </c>
      <c r="G13" s="8" t="str">
        <f t="shared" si="0"/>
        <v>WILLIAMS DONTE</v>
      </c>
    </row>
    <row r="14" spans="1:7" x14ac:dyDescent="0.25">
      <c r="A14" s="8">
        <v>42864.091087962966</v>
      </c>
      <c r="B14" s="20" t="s">
        <v>468</v>
      </c>
      <c r="C14" s="20" t="s">
        <v>500</v>
      </c>
      <c r="D14" s="141">
        <v>3130000</v>
      </c>
      <c r="E14" s="20" t="s">
        <v>490</v>
      </c>
      <c r="F14" s="20" t="s">
        <v>491</v>
      </c>
      <c r="G14" s="8" t="str">
        <f t="shared" si="0"/>
        <v>ZEWDU DEREJE</v>
      </c>
    </row>
    <row r="15" spans="1:7" x14ac:dyDescent="0.25">
      <c r="A15" s="8">
        <v>42864.097372685188</v>
      </c>
      <c r="B15" s="20" t="s">
        <v>408</v>
      </c>
      <c r="C15" s="20" t="s">
        <v>466</v>
      </c>
      <c r="D15" s="141">
        <v>3040000</v>
      </c>
      <c r="E15" s="20" t="s">
        <v>488</v>
      </c>
      <c r="F15" s="20" t="s">
        <v>489</v>
      </c>
      <c r="G15" s="8" t="str">
        <f t="shared" si="0"/>
        <v>WILLIAMS DONTE</v>
      </c>
    </row>
    <row r="16" spans="1:7" x14ac:dyDescent="0.25">
      <c r="A16" s="8">
        <v>42864.102129629631</v>
      </c>
      <c r="B16" s="20" t="s">
        <v>476</v>
      </c>
      <c r="C16" s="20" t="s">
        <v>465</v>
      </c>
      <c r="D16" s="141">
        <v>2970000</v>
      </c>
      <c r="E16" s="20" t="s">
        <v>485</v>
      </c>
      <c r="F16" s="20" t="s">
        <v>486</v>
      </c>
      <c r="G16" s="8" t="str">
        <f t="shared" si="0"/>
        <v>GUZMAN DANNY</v>
      </c>
    </row>
    <row r="17" spans="1:7" x14ac:dyDescent="0.25">
      <c r="A17" s="8">
        <v>42864.114537037036</v>
      </c>
      <c r="B17" s="20" t="s">
        <v>458</v>
      </c>
      <c r="C17" s="20" t="s">
        <v>465</v>
      </c>
      <c r="D17" s="141">
        <v>2970000</v>
      </c>
      <c r="E17" s="20" t="s">
        <v>485</v>
      </c>
      <c r="F17" s="20" t="s">
        <v>486</v>
      </c>
      <c r="G17" s="8" t="str">
        <f t="shared" si="0"/>
        <v>GUZMAN DANNY</v>
      </c>
    </row>
    <row r="18" spans="1:7" x14ac:dyDescent="0.25">
      <c r="A18" s="8">
        <v>42864.117152777777</v>
      </c>
      <c r="B18" s="20" t="s">
        <v>460</v>
      </c>
      <c r="C18" s="20" t="s">
        <v>601</v>
      </c>
      <c r="D18" s="141">
        <v>1360000</v>
      </c>
      <c r="E18" s="20" t="s">
        <v>414</v>
      </c>
      <c r="F18" s="20" t="s">
        <v>415</v>
      </c>
      <c r="G18" s="8" t="str">
        <f t="shared" si="0"/>
        <v>SANTIZO D. EDY</v>
      </c>
    </row>
    <row r="19" spans="1:7" x14ac:dyDescent="0.25">
      <c r="A19" s="8">
        <v>42864.127268518518</v>
      </c>
      <c r="B19" s="20" t="s">
        <v>476</v>
      </c>
      <c r="C19" s="20" t="s">
        <v>465</v>
      </c>
      <c r="D19" s="141">
        <v>2970000</v>
      </c>
      <c r="E19" s="20" t="s">
        <v>485</v>
      </c>
      <c r="F19" s="20" t="s">
        <v>486</v>
      </c>
      <c r="G19" s="8" t="str">
        <f t="shared" si="0"/>
        <v>GUZMAN DANNY</v>
      </c>
    </row>
    <row r="20" spans="1:7" x14ac:dyDescent="0.25">
      <c r="A20" s="8">
        <v>42864.127928240741</v>
      </c>
      <c r="B20" s="20" t="s">
        <v>476</v>
      </c>
      <c r="C20" s="20" t="s">
        <v>465</v>
      </c>
      <c r="D20" s="141">
        <v>2970000</v>
      </c>
      <c r="E20" s="20" t="s">
        <v>485</v>
      </c>
      <c r="F20" s="20" t="s">
        <v>486</v>
      </c>
      <c r="G20" s="8" t="str">
        <f t="shared" si="0"/>
        <v>GUZMAN DANNY</v>
      </c>
    </row>
    <row r="21" spans="1:7" x14ac:dyDescent="0.25">
      <c r="A21" s="8">
        <v>42864.130856481483</v>
      </c>
      <c r="B21" s="20" t="s">
        <v>602</v>
      </c>
      <c r="C21" s="20" t="s">
        <v>603</v>
      </c>
      <c r="D21" s="141">
        <v>1360000</v>
      </c>
      <c r="E21" s="20" t="s">
        <v>414</v>
      </c>
      <c r="F21" s="20" t="s">
        <v>415</v>
      </c>
      <c r="G21" s="8" t="str">
        <f t="shared" si="0"/>
        <v>SANTIZO D. EDY</v>
      </c>
    </row>
    <row r="22" spans="1:7" x14ac:dyDescent="0.25">
      <c r="A22" s="26">
        <v>42864.134062500001</v>
      </c>
      <c r="B22" s="20" t="s">
        <v>409</v>
      </c>
      <c r="C22" s="20" t="s">
        <v>466</v>
      </c>
      <c r="D22" s="141">
        <v>3040000</v>
      </c>
      <c r="E22" s="20" t="s">
        <v>488</v>
      </c>
      <c r="F22" s="20" t="s">
        <v>489</v>
      </c>
      <c r="G22" s="8" t="str">
        <f t="shared" si="0"/>
        <v>WILLIAMS DONTE</v>
      </c>
    </row>
    <row r="23" spans="1:7" x14ac:dyDescent="0.25">
      <c r="A23" s="8">
        <v>42864.140138888892</v>
      </c>
      <c r="B23" s="20" t="s">
        <v>437</v>
      </c>
      <c r="C23" s="20" t="s">
        <v>556</v>
      </c>
      <c r="D23" s="141">
        <v>2010000</v>
      </c>
      <c r="E23" s="20" t="s">
        <v>410</v>
      </c>
      <c r="F23" s="20" t="s">
        <v>411</v>
      </c>
      <c r="G23" s="8" t="str">
        <f t="shared" si="0"/>
        <v>MAELZER KURT</v>
      </c>
    </row>
    <row r="24" spans="1:7" x14ac:dyDescent="0.25">
      <c r="A24" s="8">
        <v>42864.155300925922</v>
      </c>
      <c r="B24" s="20" t="s">
        <v>361</v>
      </c>
      <c r="C24" s="20" t="s">
        <v>604</v>
      </c>
      <c r="D24" s="141">
        <v>1090000</v>
      </c>
      <c r="E24" s="20" t="s">
        <v>477</v>
      </c>
      <c r="F24" s="20" t="s">
        <v>196</v>
      </c>
      <c r="G24" s="8" t="str">
        <f t="shared" si="0"/>
        <v>SPECTOR MICHAEL</v>
      </c>
    </row>
    <row r="25" spans="1:7" x14ac:dyDescent="0.25">
      <c r="A25" s="8">
        <v>42864.161921296298</v>
      </c>
      <c r="B25" s="20" t="s">
        <v>557</v>
      </c>
      <c r="C25" s="20" t="s">
        <v>558</v>
      </c>
      <c r="D25" s="141">
        <v>1110000</v>
      </c>
      <c r="E25" s="20" t="s">
        <v>472</v>
      </c>
      <c r="F25" s="20" t="s">
        <v>473</v>
      </c>
      <c r="G25" s="8" t="str">
        <f t="shared" si="0"/>
        <v>STARKS ANGELINA</v>
      </c>
    </row>
    <row r="26" spans="1:7" x14ac:dyDescent="0.25">
      <c r="A26" s="8">
        <v>42864.162997685184</v>
      </c>
      <c r="B26" s="20" t="s">
        <v>460</v>
      </c>
      <c r="C26" s="20" t="s">
        <v>605</v>
      </c>
      <c r="D26" s="141">
        <v>1360000</v>
      </c>
      <c r="E26" s="20" t="s">
        <v>414</v>
      </c>
      <c r="F26" s="20" t="s">
        <v>415</v>
      </c>
      <c r="G26" s="8" t="str">
        <f t="shared" si="0"/>
        <v>SANTIZO D. EDY</v>
      </c>
    </row>
    <row r="27" spans="1:7" x14ac:dyDescent="0.25">
      <c r="A27" s="8">
        <v>42864.172268518516</v>
      </c>
      <c r="B27" s="20" t="s">
        <v>400</v>
      </c>
      <c r="C27" s="20" t="s">
        <v>606</v>
      </c>
      <c r="D27" s="141">
        <v>940000</v>
      </c>
      <c r="E27" s="20" t="s">
        <v>474</v>
      </c>
      <c r="F27" s="20" t="s">
        <v>475</v>
      </c>
      <c r="G27" s="8" t="str">
        <f t="shared" si="0"/>
        <v>BONDS REYNALDO</v>
      </c>
    </row>
    <row r="28" spans="1:7" x14ac:dyDescent="0.25">
      <c r="A28" s="8">
        <v>42864.175486111111</v>
      </c>
      <c r="B28" s="20" t="s">
        <v>394</v>
      </c>
      <c r="C28" s="20" t="s">
        <v>559</v>
      </c>
      <c r="D28" s="141">
        <v>1110000</v>
      </c>
      <c r="E28" s="20" t="s">
        <v>472</v>
      </c>
      <c r="F28" s="20" t="s">
        <v>473</v>
      </c>
      <c r="G28" s="8" t="str">
        <f t="shared" si="0"/>
        <v>STARKS ANGELINA</v>
      </c>
    </row>
    <row r="29" spans="1:7" x14ac:dyDescent="0.25">
      <c r="A29" s="8">
        <v>42864.181608796294</v>
      </c>
      <c r="B29" s="20" t="s">
        <v>355</v>
      </c>
      <c r="C29" s="20" t="s">
        <v>607</v>
      </c>
      <c r="D29" s="141">
        <v>1990000</v>
      </c>
      <c r="E29" s="20" t="s">
        <v>412</v>
      </c>
      <c r="F29" s="20" t="s">
        <v>413</v>
      </c>
      <c r="G29" s="8" t="str">
        <f t="shared" si="0"/>
        <v>DAVIS WENDY</v>
      </c>
    </row>
    <row r="30" spans="1:7" x14ac:dyDescent="0.25">
      <c r="A30" s="8">
        <v>42864.184513888889</v>
      </c>
      <c r="B30" s="20" t="s">
        <v>399</v>
      </c>
      <c r="C30" s="20" t="s">
        <v>608</v>
      </c>
      <c r="D30" s="141">
        <v>940000</v>
      </c>
      <c r="E30" s="20" t="s">
        <v>474</v>
      </c>
      <c r="F30" s="20" t="s">
        <v>475</v>
      </c>
      <c r="G30" s="8" t="str">
        <f t="shared" si="0"/>
        <v>BONDS REYNALDO</v>
      </c>
    </row>
    <row r="31" spans="1:7" x14ac:dyDescent="0.25">
      <c r="A31" s="8">
        <v>42864.188807870371</v>
      </c>
      <c r="B31" s="20" t="s">
        <v>362</v>
      </c>
      <c r="C31" s="20" t="s">
        <v>560</v>
      </c>
      <c r="D31" s="141">
        <v>1090000</v>
      </c>
      <c r="E31" s="20" t="s">
        <v>477</v>
      </c>
      <c r="F31" s="20" t="s">
        <v>196</v>
      </c>
      <c r="G31" s="8" t="str">
        <f t="shared" si="0"/>
        <v>SPECTOR MICHAEL</v>
      </c>
    </row>
    <row r="32" spans="1:7" x14ac:dyDescent="0.25">
      <c r="A32" s="8">
        <v>42864.194224537037</v>
      </c>
      <c r="B32" s="20" t="s">
        <v>353</v>
      </c>
      <c r="C32" s="20" t="s">
        <v>609</v>
      </c>
      <c r="D32" s="141">
        <v>1990000</v>
      </c>
      <c r="E32" s="20" t="s">
        <v>412</v>
      </c>
      <c r="F32" s="20" t="s">
        <v>413</v>
      </c>
      <c r="G32" s="8" t="str">
        <f t="shared" si="0"/>
        <v>DAVIS WENDY</v>
      </c>
    </row>
    <row r="33" spans="1:7" x14ac:dyDescent="0.25">
      <c r="A33" s="8">
        <v>42864.195416666669</v>
      </c>
      <c r="B33" s="20" t="s">
        <v>353</v>
      </c>
      <c r="C33" s="20" t="s">
        <v>609</v>
      </c>
      <c r="D33" s="141">
        <v>1990000</v>
      </c>
      <c r="E33" s="20" t="s">
        <v>412</v>
      </c>
      <c r="F33" s="20" t="s">
        <v>413</v>
      </c>
      <c r="G33" s="8" t="str">
        <f t="shared" si="0"/>
        <v>DAVIS WENDY</v>
      </c>
    </row>
    <row r="34" spans="1:7" x14ac:dyDescent="0.25">
      <c r="A34" s="8">
        <v>42864.199537037035</v>
      </c>
      <c r="B34" s="20" t="s">
        <v>564</v>
      </c>
      <c r="C34" s="20" t="s">
        <v>610</v>
      </c>
      <c r="D34" s="141">
        <v>1290000</v>
      </c>
      <c r="E34" s="20" t="s">
        <v>611</v>
      </c>
      <c r="F34" s="20" t="s">
        <v>612</v>
      </c>
      <c r="G34" s="8" t="str">
        <f t="shared" si="0"/>
        <v>COOLAHAN JOHN</v>
      </c>
    </row>
    <row r="35" spans="1:7" x14ac:dyDescent="0.25">
      <c r="A35" s="8">
        <v>42864.205081018517</v>
      </c>
      <c r="B35" s="20" t="s">
        <v>459</v>
      </c>
      <c r="C35" s="20" t="s">
        <v>605</v>
      </c>
      <c r="D35" s="141">
        <v>1360000</v>
      </c>
      <c r="E35" s="20" t="s">
        <v>414</v>
      </c>
      <c r="F35" s="20" t="s">
        <v>415</v>
      </c>
      <c r="G35" s="8" t="str">
        <f t="shared" si="0"/>
        <v>SANTIZO D. EDY</v>
      </c>
    </row>
    <row r="36" spans="1:7" x14ac:dyDescent="0.25">
      <c r="A36" s="8">
        <v>42864.205671296295</v>
      </c>
      <c r="B36" s="20" t="s">
        <v>459</v>
      </c>
      <c r="C36" s="20" t="s">
        <v>613</v>
      </c>
      <c r="D36" s="141">
        <v>1360000</v>
      </c>
      <c r="E36" s="20" t="s">
        <v>414</v>
      </c>
      <c r="F36" s="20" t="s">
        <v>415</v>
      </c>
      <c r="G36" s="8" t="str">
        <f t="shared" si="0"/>
        <v>SANTIZO D. EDY</v>
      </c>
    </row>
    <row r="37" spans="1:7" x14ac:dyDescent="0.25">
      <c r="A37" s="8">
        <v>42864.207187499997</v>
      </c>
      <c r="B37" s="20" t="s">
        <v>602</v>
      </c>
      <c r="C37" s="20" t="s">
        <v>614</v>
      </c>
      <c r="D37" s="141">
        <v>890000</v>
      </c>
      <c r="E37" s="20" t="s">
        <v>615</v>
      </c>
      <c r="F37" s="20" t="s">
        <v>616</v>
      </c>
      <c r="G37" s="8" t="str">
        <f t="shared" si="0"/>
        <v>LOZA FIDEL</v>
      </c>
    </row>
    <row r="38" spans="1:7" x14ac:dyDescent="0.25">
      <c r="A38" s="8">
        <v>42864.211481481485</v>
      </c>
      <c r="B38" s="20" t="s">
        <v>561</v>
      </c>
      <c r="C38" s="20" t="s">
        <v>562</v>
      </c>
      <c r="D38" s="141">
        <v>1290000</v>
      </c>
      <c r="E38" s="20" t="s">
        <v>611</v>
      </c>
      <c r="F38" s="20" t="s">
        <v>612</v>
      </c>
      <c r="G38" s="8" t="str">
        <f t="shared" si="0"/>
        <v>COOLAHAN JOHN</v>
      </c>
    </row>
    <row r="39" spans="1:7" x14ac:dyDescent="0.25">
      <c r="A39" s="8">
        <v>42864.213020833333</v>
      </c>
      <c r="B39" s="20" t="s">
        <v>561</v>
      </c>
      <c r="C39" s="20" t="s">
        <v>562</v>
      </c>
      <c r="D39" s="141">
        <v>1290000</v>
      </c>
      <c r="E39" s="20" t="s">
        <v>611</v>
      </c>
      <c r="F39" s="20" t="s">
        <v>612</v>
      </c>
      <c r="G39" s="8" t="str">
        <f t="shared" si="0"/>
        <v>COOLAHAN JOHN</v>
      </c>
    </row>
    <row r="40" spans="1:7" x14ac:dyDescent="0.25">
      <c r="A40" s="8">
        <v>42864.214907407404</v>
      </c>
      <c r="B40" s="25" t="s">
        <v>557</v>
      </c>
      <c r="C40" s="20" t="s">
        <v>563</v>
      </c>
      <c r="D40" s="141">
        <v>1110000</v>
      </c>
      <c r="E40" s="20" t="s">
        <v>472</v>
      </c>
      <c r="F40" s="20" t="s">
        <v>473</v>
      </c>
      <c r="G40" s="8" t="str">
        <f t="shared" si="0"/>
        <v>STARKS ANGELINA</v>
      </c>
    </row>
    <row r="41" spans="1:7" x14ac:dyDescent="0.25">
      <c r="A41" s="8">
        <v>42864.216145833336</v>
      </c>
      <c r="B41" s="20" t="s">
        <v>557</v>
      </c>
      <c r="C41" s="20" t="s">
        <v>563</v>
      </c>
      <c r="D41" s="141">
        <v>1110000</v>
      </c>
      <c r="E41" s="20" t="s">
        <v>472</v>
      </c>
      <c r="F41" s="20" t="s">
        <v>473</v>
      </c>
      <c r="G41" s="8" t="str">
        <f t="shared" si="0"/>
        <v>STARKS ANGELINA</v>
      </c>
    </row>
    <row r="42" spans="1:7" x14ac:dyDescent="0.25">
      <c r="A42" s="8">
        <v>42864.222280092596</v>
      </c>
      <c r="B42" s="20" t="s">
        <v>478</v>
      </c>
      <c r="C42" s="20" t="s">
        <v>617</v>
      </c>
      <c r="D42" s="141">
        <v>900000</v>
      </c>
      <c r="E42" s="20" t="s">
        <v>618</v>
      </c>
      <c r="F42" s="20" t="s">
        <v>619</v>
      </c>
      <c r="G42" s="8" t="str">
        <f t="shared" si="0"/>
        <v>ROCHA YAOTL</v>
      </c>
    </row>
    <row r="43" spans="1:7" x14ac:dyDescent="0.25">
      <c r="A43" s="8">
        <v>42864.223043981481</v>
      </c>
      <c r="B43" s="20" t="s">
        <v>400</v>
      </c>
      <c r="C43" s="20" t="s">
        <v>620</v>
      </c>
      <c r="D43" s="141">
        <v>940000</v>
      </c>
      <c r="E43" s="20" t="s">
        <v>474</v>
      </c>
      <c r="F43" s="20" t="s">
        <v>475</v>
      </c>
      <c r="G43" s="8" t="str">
        <f t="shared" si="0"/>
        <v>BONDS REYNALDO</v>
      </c>
    </row>
    <row r="44" spans="1:7" x14ac:dyDescent="0.25">
      <c r="A44" s="8">
        <v>42864.227233796293</v>
      </c>
      <c r="B44" s="20" t="s">
        <v>439</v>
      </c>
      <c r="C44" s="20" t="s">
        <v>567</v>
      </c>
      <c r="D44" s="141">
        <v>2010000</v>
      </c>
      <c r="E44" s="20" t="s">
        <v>410</v>
      </c>
      <c r="F44" s="20" t="s">
        <v>411</v>
      </c>
      <c r="G44" s="8" t="str">
        <f t="shared" si="0"/>
        <v>MAELZER KURT</v>
      </c>
    </row>
    <row r="45" spans="1:7" x14ac:dyDescent="0.25">
      <c r="A45" s="8">
        <v>42864.234097222223</v>
      </c>
      <c r="B45" s="20" t="s">
        <v>564</v>
      </c>
      <c r="C45" s="20" t="s">
        <v>565</v>
      </c>
      <c r="D45" s="141">
        <v>1290000</v>
      </c>
      <c r="E45" s="20" t="s">
        <v>611</v>
      </c>
      <c r="F45" s="20" t="s">
        <v>612</v>
      </c>
      <c r="G45" s="8" t="str">
        <f t="shared" si="0"/>
        <v>COOLAHAN JOHN</v>
      </c>
    </row>
    <row r="46" spans="1:7" x14ac:dyDescent="0.25">
      <c r="A46" s="8">
        <v>42864.234212962961</v>
      </c>
      <c r="B46" s="20" t="s">
        <v>355</v>
      </c>
      <c r="C46" s="20" t="s">
        <v>621</v>
      </c>
      <c r="D46" s="141">
        <v>1990000</v>
      </c>
      <c r="E46" s="20" t="s">
        <v>412</v>
      </c>
      <c r="F46" s="20" t="s">
        <v>413</v>
      </c>
      <c r="G46" s="8" t="str">
        <f t="shared" si="0"/>
        <v>DAVIS WENDY</v>
      </c>
    </row>
    <row r="47" spans="1:7" x14ac:dyDescent="0.25">
      <c r="A47" s="8">
        <v>42864.235011574077</v>
      </c>
      <c r="B47" s="20" t="s">
        <v>564</v>
      </c>
      <c r="C47" s="20" t="s">
        <v>565</v>
      </c>
      <c r="D47" s="141">
        <v>1290000</v>
      </c>
      <c r="E47" s="20" t="s">
        <v>611</v>
      </c>
      <c r="F47" s="20" t="s">
        <v>612</v>
      </c>
      <c r="G47" s="8" t="str">
        <f t="shared" si="0"/>
        <v>COOLAHAN JOHN</v>
      </c>
    </row>
    <row r="48" spans="1:7" x14ac:dyDescent="0.25">
      <c r="A48" s="8">
        <v>42864.244710648149</v>
      </c>
      <c r="B48" s="20" t="s">
        <v>575</v>
      </c>
      <c r="C48" s="20" t="s">
        <v>622</v>
      </c>
      <c r="D48" s="141">
        <v>890000</v>
      </c>
      <c r="E48" s="20" t="s">
        <v>615</v>
      </c>
      <c r="F48" s="20" t="s">
        <v>616</v>
      </c>
      <c r="G48" s="8" t="str">
        <f t="shared" si="0"/>
        <v>LOZA FIDEL</v>
      </c>
    </row>
    <row r="49" spans="1:7" x14ac:dyDescent="0.25">
      <c r="A49" s="8">
        <v>42864.245740740742</v>
      </c>
      <c r="B49" s="20" t="s">
        <v>460</v>
      </c>
      <c r="C49" s="20" t="s">
        <v>623</v>
      </c>
      <c r="D49" s="141">
        <v>1360000</v>
      </c>
      <c r="E49" s="20" t="s">
        <v>414</v>
      </c>
      <c r="F49" s="20" t="s">
        <v>415</v>
      </c>
      <c r="G49" s="8" t="str">
        <f t="shared" si="0"/>
        <v>SANTIZO D. EDY</v>
      </c>
    </row>
    <row r="50" spans="1:7" x14ac:dyDescent="0.25">
      <c r="A50" s="8">
        <v>42864.248761574076</v>
      </c>
      <c r="B50" s="20" t="s">
        <v>374</v>
      </c>
      <c r="C50" s="20" t="s">
        <v>624</v>
      </c>
      <c r="D50" s="141">
        <v>1340000</v>
      </c>
      <c r="E50" s="20" t="s">
        <v>625</v>
      </c>
      <c r="F50" s="20" t="s">
        <v>626</v>
      </c>
      <c r="G50" s="8" t="str">
        <f t="shared" si="0"/>
        <v>BEAM ROSS</v>
      </c>
    </row>
    <row r="51" spans="1:7" x14ac:dyDescent="0.25">
      <c r="A51" s="8">
        <v>42864.248923611114</v>
      </c>
      <c r="B51" s="20" t="s">
        <v>394</v>
      </c>
      <c r="C51" s="20" t="s">
        <v>627</v>
      </c>
      <c r="D51" s="141">
        <v>1110000</v>
      </c>
      <c r="E51" s="20" t="s">
        <v>472</v>
      </c>
      <c r="F51" s="20" t="s">
        <v>473</v>
      </c>
      <c r="G51" s="8" t="str">
        <f t="shared" si="0"/>
        <v>STARKS ANGELINA</v>
      </c>
    </row>
    <row r="52" spans="1:7" x14ac:dyDescent="0.25">
      <c r="A52" s="8">
        <v>42864.249374999999</v>
      </c>
      <c r="B52" s="20" t="s">
        <v>590</v>
      </c>
      <c r="C52" s="20" t="s">
        <v>628</v>
      </c>
      <c r="D52" s="141">
        <v>1090000</v>
      </c>
      <c r="E52" s="20" t="s">
        <v>477</v>
      </c>
      <c r="F52" s="20" t="s">
        <v>196</v>
      </c>
      <c r="G52" s="8" t="str">
        <f t="shared" si="0"/>
        <v>SPECTOR MICHAEL</v>
      </c>
    </row>
    <row r="53" spans="1:7" x14ac:dyDescent="0.25">
      <c r="A53" s="8">
        <v>42864.255636574075</v>
      </c>
      <c r="B53" s="20" t="s">
        <v>561</v>
      </c>
      <c r="C53" s="20" t="s">
        <v>566</v>
      </c>
      <c r="D53" s="141">
        <v>1290000</v>
      </c>
      <c r="E53" s="20" t="s">
        <v>611</v>
      </c>
      <c r="F53" s="20" t="s">
        <v>612</v>
      </c>
      <c r="G53" s="8" t="str">
        <f t="shared" si="0"/>
        <v>COOLAHAN JOHN</v>
      </c>
    </row>
    <row r="54" spans="1:7" x14ac:dyDescent="0.25">
      <c r="A54" s="8">
        <v>42864.25571759259</v>
      </c>
      <c r="B54" s="20" t="s">
        <v>557</v>
      </c>
      <c r="C54" s="20" t="s">
        <v>628</v>
      </c>
      <c r="D54" s="141">
        <v>1090000</v>
      </c>
      <c r="E54" s="20" t="s">
        <v>477</v>
      </c>
      <c r="F54" s="20" t="s">
        <v>196</v>
      </c>
      <c r="G54" s="8" t="str">
        <f t="shared" si="0"/>
        <v>SPECTOR MICHAEL</v>
      </c>
    </row>
    <row r="55" spans="1:7" x14ac:dyDescent="0.25">
      <c r="A55" s="8">
        <v>42864.257071759261</v>
      </c>
      <c r="B55" s="20" t="s">
        <v>557</v>
      </c>
      <c r="C55" s="20" t="s">
        <v>628</v>
      </c>
      <c r="D55" s="141">
        <v>1090000</v>
      </c>
      <c r="E55" s="20" t="s">
        <v>477</v>
      </c>
      <c r="F55" s="20" t="s">
        <v>196</v>
      </c>
      <c r="G55" s="8" t="str">
        <f t="shared" si="0"/>
        <v>SPECTOR MICHAEL</v>
      </c>
    </row>
    <row r="56" spans="1:7" x14ac:dyDescent="0.25">
      <c r="A56" s="8">
        <v>42864.257384259261</v>
      </c>
      <c r="B56" s="20" t="s">
        <v>399</v>
      </c>
      <c r="C56" s="20" t="s">
        <v>629</v>
      </c>
      <c r="D56" s="141">
        <v>940000</v>
      </c>
      <c r="E56" s="20" t="s">
        <v>474</v>
      </c>
      <c r="F56" s="20" t="s">
        <v>475</v>
      </c>
      <c r="G56" s="8" t="str">
        <f t="shared" si="0"/>
        <v>BONDS REYNALDO</v>
      </c>
    </row>
    <row r="57" spans="1:7" x14ac:dyDescent="0.25">
      <c r="A57" s="8">
        <v>42864.259641203702</v>
      </c>
      <c r="B57" s="20" t="s">
        <v>370</v>
      </c>
      <c r="C57" s="20" t="s">
        <v>630</v>
      </c>
      <c r="D57" s="141">
        <v>1340000</v>
      </c>
      <c r="E57" s="20" t="s">
        <v>625</v>
      </c>
      <c r="F57" s="20" t="s">
        <v>626</v>
      </c>
      <c r="G57" s="8" t="str">
        <f t="shared" si="0"/>
        <v>BEAM ROSS</v>
      </c>
    </row>
    <row r="58" spans="1:7" x14ac:dyDescent="0.25">
      <c r="A58" s="8">
        <v>42864.26730324074</v>
      </c>
      <c r="B58" s="20" t="s">
        <v>462</v>
      </c>
      <c r="C58" s="20" t="s">
        <v>631</v>
      </c>
      <c r="D58" s="141">
        <v>900000</v>
      </c>
      <c r="E58" s="20" t="s">
        <v>618</v>
      </c>
      <c r="F58" s="20" t="s">
        <v>619</v>
      </c>
      <c r="G58" s="8" t="str">
        <f t="shared" si="0"/>
        <v>ROCHA YAOTL</v>
      </c>
    </row>
    <row r="59" spans="1:7" x14ac:dyDescent="0.25">
      <c r="A59" s="8">
        <v>42864.267592592594</v>
      </c>
      <c r="B59" s="20" t="s">
        <v>353</v>
      </c>
      <c r="C59" s="20" t="s">
        <v>568</v>
      </c>
      <c r="D59" s="141">
        <v>1990000</v>
      </c>
      <c r="E59" s="20" t="s">
        <v>412</v>
      </c>
      <c r="F59" s="20" t="s">
        <v>413</v>
      </c>
      <c r="G59" s="8" t="str">
        <f t="shared" si="0"/>
        <v>DAVIS WENDY</v>
      </c>
    </row>
    <row r="60" spans="1:7" x14ac:dyDescent="0.25">
      <c r="A60" s="8">
        <v>42864.27553240741</v>
      </c>
      <c r="B60" s="20" t="s">
        <v>437</v>
      </c>
      <c r="C60" s="20" t="s">
        <v>632</v>
      </c>
      <c r="D60" s="141">
        <v>2010000</v>
      </c>
      <c r="E60" s="20" t="s">
        <v>410</v>
      </c>
      <c r="F60" s="20" t="s">
        <v>411</v>
      </c>
      <c r="G60" s="8" t="str">
        <f t="shared" si="0"/>
        <v>MAELZER KURT</v>
      </c>
    </row>
    <row r="61" spans="1:7" x14ac:dyDescent="0.25">
      <c r="A61" s="8">
        <v>42864.275810185187</v>
      </c>
      <c r="B61" s="20" t="s">
        <v>374</v>
      </c>
      <c r="C61" s="20" t="s">
        <v>633</v>
      </c>
      <c r="D61" s="141">
        <v>1340000</v>
      </c>
      <c r="E61" s="20" t="s">
        <v>625</v>
      </c>
      <c r="F61" s="20" t="s">
        <v>626</v>
      </c>
      <c r="G61" s="8" t="str">
        <f t="shared" si="0"/>
        <v>BEAM ROSS</v>
      </c>
    </row>
    <row r="62" spans="1:7" x14ac:dyDescent="0.25">
      <c r="A62" s="8">
        <v>42864.278819444444</v>
      </c>
      <c r="B62" s="20" t="s">
        <v>602</v>
      </c>
      <c r="C62" s="20" t="s">
        <v>634</v>
      </c>
      <c r="D62" s="141">
        <v>890000</v>
      </c>
      <c r="E62" s="20" t="s">
        <v>615</v>
      </c>
      <c r="F62" s="20" t="s">
        <v>616</v>
      </c>
      <c r="G62" s="8" t="str">
        <f t="shared" si="0"/>
        <v>LOZA FIDEL</v>
      </c>
    </row>
    <row r="63" spans="1:7" x14ac:dyDescent="0.25">
      <c r="A63" s="8">
        <v>42864.28025462963</v>
      </c>
      <c r="B63" s="20" t="s">
        <v>564</v>
      </c>
      <c r="C63" s="20" t="s">
        <v>569</v>
      </c>
      <c r="D63" s="141">
        <v>1290000</v>
      </c>
      <c r="E63" s="20" t="s">
        <v>611</v>
      </c>
      <c r="F63" s="20" t="s">
        <v>612</v>
      </c>
      <c r="G63" s="8" t="str">
        <f t="shared" si="0"/>
        <v>COOLAHAN JOHN</v>
      </c>
    </row>
    <row r="64" spans="1:7" x14ac:dyDescent="0.25">
      <c r="A64" s="26">
        <v>42864.285775462966</v>
      </c>
      <c r="B64" s="20" t="s">
        <v>459</v>
      </c>
      <c r="C64" s="20" t="s">
        <v>635</v>
      </c>
      <c r="D64" s="141">
        <v>1360000</v>
      </c>
      <c r="E64" s="20" t="s">
        <v>414</v>
      </c>
      <c r="F64" s="20" t="s">
        <v>415</v>
      </c>
      <c r="G64" s="8" t="str">
        <f t="shared" si="0"/>
        <v>SANTIZO D. EDY</v>
      </c>
    </row>
    <row r="65" spans="1:7" x14ac:dyDescent="0.25">
      <c r="A65" s="8">
        <v>42864.288101851853</v>
      </c>
      <c r="B65" s="20" t="s">
        <v>392</v>
      </c>
      <c r="C65" s="20" t="s">
        <v>636</v>
      </c>
      <c r="D65" s="141">
        <v>1110000</v>
      </c>
      <c r="E65" s="20" t="s">
        <v>472</v>
      </c>
      <c r="F65" s="20" t="s">
        <v>473</v>
      </c>
      <c r="G65" s="8" t="str">
        <f t="shared" si="0"/>
        <v>STARKS ANGELINA</v>
      </c>
    </row>
    <row r="66" spans="1:7" x14ac:dyDescent="0.25">
      <c r="A66" s="8">
        <v>42864.292407407411</v>
      </c>
      <c r="B66" s="20" t="s">
        <v>400</v>
      </c>
      <c r="C66" s="20" t="s">
        <v>637</v>
      </c>
      <c r="D66" s="141">
        <v>940000</v>
      </c>
      <c r="E66" s="20" t="s">
        <v>474</v>
      </c>
      <c r="F66" s="20" t="s">
        <v>475</v>
      </c>
      <c r="G66" s="8" t="str">
        <f t="shared" si="0"/>
        <v>BONDS REYNALDO</v>
      </c>
    </row>
    <row r="67" spans="1:7" x14ac:dyDescent="0.25">
      <c r="A67" s="8">
        <v>42864.297696759262</v>
      </c>
      <c r="B67" s="20" t="s">
        <v>561</v>
      </c>
      <c r="C67" s="20" t="s">
        <v>571</v>
      </c>
      <c r="D67" s="141">
        <v>1290000</v>
      </c>
      <c r="E67" s="20" t="s">
        <v>611</v>
      </c>
      <c r="F67" s="20" t="s">
        <v>612</v>
      </c>
      <c r="G67" s="8" t="str">
        <f t="shared" ref="G67:G130" si="1">E67&amp;" "&amp;F67</f>
        <v>COOLAHAN JOHN</v>
      </c>
    </row>
    <row r="68" spans="1:7" x14ac:dyDescent="0.25">
      <c r="A68" s="8">
        <v>42864.29886574074</v>
      </c>
      <c r="B68" s="20" t="s">
        <v>478</v>
      </c>
      <c r="C68" s="20" t="s">
        <v>570</v>
      </c>
      <c r="D68" s="141">
        <v>900000</v>
      </c>
      <c r="E68" s="20" t="s">
        <v>618</v>
      </c>
      <c r="F68" s="20" t="s">
        <v>619</v>
      </c>
      <c r="G68" s="8" t="str">
        <f t="shared" si="1"/>
        <v>ROCHA YAOTL</v>
      </c>
    </row>
    <row r="69" spans="1:7" x14ac:dyDescent="0.25">
      <c r="A69" s="8">
        <v>42864.30327546296</v>
      </c>
      <c r="B69" s="20" t="s">
        <v>370</v>
      </c>
      <c r="C69" s="20" t="s">
        <v>638</v>
      </c>
      <c r="D69" s="141">
        <v>1340000</v>
      </c>
      <c r="E69" s="20" t="s">
        <v>625</v>
      </c>
      <c r="F69" s="20" t="s">
        <v>626</v>
      </c>
      <c r="G69" s="8" t="str">
        <f t="shared" si="1"/>
        <v>BEAM ROSS</v>
      </c>
    </row>
    <row r="70" spans="1:7" x14ac:dyDescent="0.25">
      <c r="A70" s="8">
        <v>42864.307812500003</v>
      </c>
      <c r="B70" s="20" t="s">
        <v>355</v>
      </c>
      <c r="C70" s="20" t="s">
        <v>639</v>
      </c>
      <c r="D70" s="141">
        <v>1990000</v>
      </c>
      <c r="E70" s="20" t="s">
        <v>412</v>
      </c>
      <c r="F70" s="20" t="s">
        <v>413</v>
      </c>
      <c r="G70" s="8" t="str">
        <f t="shared" si="1"/>
        <v>DAVIS WENDY</v>
      </c>
    </row>
    <row r="71" spans="1:7" x14ac:dyDescent="0.25">
      <c r="A71" s="8">
        <v>42864.310381944444</v>
      </c>
      <c r="B71" s="20" t="s">
        <v>439</v>
      </c>
      <c r="C71" s="20" t="s">
        <v>640</v>
      </c>
      <c r="D71" s="141">
        <v>2010000</v>
      </c>
      <c r="E71" s="20" t="s">
        <v>410</v>
      </c>
      <c r="F71" s="20" t="s">
        <v>411</v>
      </c>
      <c r="G71" s="8" t="str">
        <f t="shared" si="1"/>
        <v>MAELZER KURT</v>
      </c>
    </row>
    <row r="72" spans="1:7" x14ac:dyDescent="0.25">
      <c r="A72" s="8">
        <v>42864.316770833335</v>
      </c>
      <c r="B72" s="20" t="s">
        <v>575</v>
      </c>
      <c r="C72" s="20" t="s">
        <v>641</v>
      </c>
      <c r="D72" s="141">
        <v>890000</v>
      </c>
      <c r="E72" s="20" t="s">
        <v>615</v>
      </c>
      <c r="F72" s="20" t="s">
        <v>616</v>
      </c>
      <c r="G72" s="8" t="str">
        <f t="shared" si="1"/>
        <v>LOZA FIDEL</v>
      </c>
    </row>
    <row r="73" spans="1:7" x14ac:dyDescent="0.25">
      <c r="A73" s="8">
        <v>42864.317777777775</v>
      </c>
      <c r="B73" s="20" t="s">
        <v>460</v>
      </c>
      <c r="C73" s="20" t="s">
        <v>573</v>
      </c>
      <c r="D73" s="141">
        <v>1360000</v>
      </c>
      <c r="E73" s="20" t="s">
        <v>414</v>
      </c>
      <c r="F73" s="20" t="s">
        <v>415</v>
      </c>
      <c r="G73" s="8" t="str">
        <f t="shared" si="1"/>
        <v>SANTIZO D. EDY</v>
      </c>
    </row>
    <row r="74" spans="1:7" x14ac:dyDescent="0.25">
      <c r="A74" s="8">
        <v>42864.318020833336</v>
      </c>
      <c r="B74" s="20" t="s">
        <v>374</v>
      </c>
      <c r="C74" s="20" t="s">
        <v>642</v>
      </c>
      <c r="D74" s="141">
        <v>1340000</v>
      </c>
      <c r="E74" s="20" t="s">
        <v>625</v>
      </c>
      <c r="F74" s="20" t="s">
        <v>626</v>
      </c>
      <c r="G74" s="8" t="str">
        <f t="shared" si="1"/>
        <v>BEAM ROSS</v>
      </c>
    </row>
    <row r="75" spans="1:7" x14ac:dyDescent="0.25">
      <c r="A75" s="8">
        <v>42864.319837962961</v>
      </c>
      <c r="B75" s="20" t="s">
        <v>394</v>
      </c>
      <c r="C75" s="20" t="s">
        <v>572</v>
      </c>
      <c r="D75" s="141">
        <v>1110000</v>
      </c>
      <c r="E75" s="20" t="s">
        <v>472</v>
      </c>
      <c r="F75" s="20" t="s">
        <v>473</v>
      </c>
      <c r="G75" s="8" t="str">
        <f t="shared" si="1"/>
        <v>STARKS ANGELINA</v>
      </c>
    </row>
    <row r="76" spans="1:7" x14ac:dyDescent="0.25">
      <c r="A76" s="8">
        <v>42864.323217592595</v>
      </c>
      <c r="B76" s="20" t="s">
        <v>564</v>
      </c>
      <c r="C76" s="20" t="s">
        <v>643</v>
      </c>
      <c r="D76" s="141">
        <v>1290000</v>
      </c>
      <c r="E76" s="20" t="s">
        <v>611</v>
      </c>
      <c r="F76" s="20" t="s">
        <v>612</v>
      </c>
      <c r="G76" s="8" t="str">
        <f t="shared" si="1"/>
        <v>COOLAHAN JOHN</v>
      </c>
    </row>
    <row r="77" spans="1:7" x14ac:dyDescent="0.25">
      <c r="A77" s="8">
        <v>42864.328773148147</v>
      </c>
      <c r="B77" s="20" t="s">
        <v>399</v>
      </c>
      <c r="C77" s="20" t="s">
        <v>644</v>
      </c>
      <c r="D77" s="141">
        <v>940000</v>
      </c>
      <c r="E77" s="20" t="s">
        <v>474</v>
      </c>
      <c r="F77" s="20" t="s">
        <v>475</v>
      </c>
      <c r="G77" s="8" t="str">
        <f t="shared" si="1"/>
        <v>BONDS REYNALDO</v>
      </c>
    </row>
    <row r="78" spans="1:7" x14ac:dyDescent="0.25">
      <c r="A78" s="8">
        <v>42864.339097222219</v>
      </c>
      <c r="B78" s="20" t="s">
        <v>561</v>
      </c>
      <c r="C78" s="20" t="s">
        <v>645</v>
      </c>
      <c r="D78" s="141">
        <v>1290000</v>
      </c>
      <c r="E78" s="20" t="s">
        <v>611</v>
      </c>
      <c r="F78" s="20" t="s">
        <v>612</v>
      </c>
      <c r="G78" s="8" t="str">
        <f t="shared" si="1"/>
        <v>COOLAHAN JOHN</v>
      </c>
    </row>
    <row r="79" spans="1:7" x14ac:dyDescent="0.25">
      <c r="A79" s="8">
        <v>42864.339780092596</v>
      </c>
      <c r="B79" s="20" t="s">
        <v>462</v>
      </c>
      <c r="C79" s="20" t="s">
        <v>646</v>
      </c>
      <c r="D79" s="141">
        <v>900000</v>
      </c>
      <c r="E79" s="20" t="s">
        <v>618</v>
      </c>
      <c r="F79" s="20" t="s">
        <v>619</v>
      </c>
      <c r="G79" s="8" t="str">
        <f t="shared" si="1"/>
        <v>ROCHA YAOTL</v>
      </c>
    </row>
    <row r="80" spans="1:7" x14ac:dyDescent="0.25">
      <c r="A80" s="8">
        <v>42864.340358796297</v>
      </c>
      <c r="B80" s="20" t="s">
        <v>353</v>
      </c>
      <c r="C80" s="20" t="s">
        <v>647</v>
      </c>
      <c r="D80" s="141">
        <v>1990000</v>
      </c>
      <c r="E80" s="20" t="s">
        <v>412</v>
      </c>
      <c r="F80" s="20" t="s">
        <v>413</v>
      </c>
      <c r="G80" s="8" t="str">
        <f t="shared" si="1"/>
        <v>DAVIS WENDY</v>
      </c>
    </row>
    <row r="81" spans="1:7" x14ac:dyDescent="0.25">
      <c r="A81" s="8">
        <v>42864.34652777778</v>
      </c>
      <c r="B81" s="20" t="s">
        <v>370</v>
      </c>
      <c r="C81" s="20" t="s">
        <v>648</v>
      </c>
      <c r="D81" s="141">
        <v>1340000</v>
      </c>
      <c r="E81" s="20" t="s">
        <v>625</v>
      </c>
      <c r="F81" s="20" t="s">
        <v>626</v>
      </c>
      <c r="G81" s="8" t="str">
        <f t="shared" si="1"/>
        <v>BEAM ROSS</v>
      </c>
    </row>
    <row r="82" spans="1:7" x14ac:dyDescent="0.25">
      <c r="A82" s="8">
        <v>42864.348263888889</v>
      </c>
      <c r="B82" s="20" t="s">
        <v>437</v>
      </c>
      <c r="C82" s="20" t="s">
        <v>649</v>
      </c>
      <c r="D82" s="141">
        <v>2010000</v>
      </c>
      <c r="E82" s="20" t="s">
        <v>410</v>
      </c>
      <c r="F82" s="20" t="s">
        <v>411</v>
      </c>
      <c r="G82" s="8" t="str">
        <f t="shared" si="1"/>
        <v>MAELZER KURT</v>
      </c>
    </row>
    <row r="83" spans="1:7" x14ac:dyDescent="0.25">
      <c r="A83" s="8">
        <v>42864.351435185185</v>
      </c>
      <c r="B83" s="20" t="s">
        <v>602</v>
      </c>
      <c r="C83" s="20" t="s">
        <v>650</v>
      </c>
      <c r="D83" s="141">
        <v>890000</v>
      </c>
      <c r="E83" s="20" t="s">
        <v>615</v>
      </c>
      <c r="F83" s="20" t="s">
        <v>616</v>
      </c>
      <c r="G83" s="8" t="str">
        <f t="shared" si="1"/>
        <v>LOZA FIDEL</v>
      </c>
    </row>
    <row r="84" spans="1:7" x14ac:dyDescent="0.25">
      <c r="A84" s="8">
        <v>42864.353217592594</v>
      </c>
      <c r="B84" s="20" t="s">
        <v>564</v>
      </c>
      <c r="C84" s="20" t="s">
        <v>651</v>
      </c>
      <c r="D84" s="141">
        <v>1290000</v>
      </c>
      <c r="E84" s="20" t="s">
        <v>611</v>
      </c>
      <c r="F84" s="20" t="s">
        <v>612</v>
      </c>
      <c r="G84" s="8" t="str">
        <f t="shared" si="1"/>
        <v>COOLAHAN JOHN</v>
      </c>
    </row>
    <row r="85" spans="1:7" x14ac:dyDescent="0.25">
      <c r="A85" s="8">
        <v>42864.359317129631</v>
      </c>
      <c r="B85" s="20" t="s">
        <v>374</v>
      </c>
      <c r="C85" s="20" t="s">
        <v>652</v>
      </c>
      <c r="D85" s="141">
        <v>1340000</v>
      </c>
      <c r="E85" s="20" t="s">
        <v>625</v>
      </c>
      <c r="F85" s="20" t="s">
        <v>626</v>
      </c>
      <c r="G85" s="8" t="str">
        <f t="shared" si="1"/>
        <v>BEAM ROSS</v>
      </c>
    </row>
    <row r="86" spans="1:7" x14ac:dyDescent="0.25">
      <c r="A86" s="8">
        <v>42864.360231481478</v>
      </c>
      <c r="B86" s="20" t="s">
        <v>392</v>
      </c>
      <c r="C86" s="20" t="s">
        <v>574</v>
      </c>
      <c r="D86" s="141">
        <v>1110000</v>
      </c>
      <c r="E86" s="20" t="s">
        <v>472</v>
      </c>
      <c r="F86" s="20" t="s">
        <v>473</v>
      </c>
      <c r="G86" s="8" t="str">
        <f t="shared" si="1"/>
        <v>STARKS ANGELINA</v>
      </c>
    </row>
    <row r="87" spans="1:7" x14ac:dyDescent="0.25">
      <c r="A87" s="8">
        <v>42864.361284722225</v>
      </c>
      <c r="B87" s="20" t="s">
        <v>374</v>
      </c>
      <c r="C87" s="20" t="s">
        <v>652</v>
      </c>
      <c r="D87" s="141">
        <v>1340000</v>
      </c>
      <c r="E87" s="20" t="s">
        <v>625</v>
      </c>
      <c r="F87" s="20" t="s">
        <v>626</v>
      </c>
      <c r="G87" s="8" t="str">
        <f t="shared" si="1"/>
        <v>BEAM ROSS</v>
      </c>
    </row>
    <row r="88" spans="1:7" x14ac:dyDescent="0.25">
      <c r="A88" s="8">
        <v>42864.362013888887</v>
      </c>
      <c r="B88" s="20" t="s">
        <v>459</v>
      </c>
      <c r="C88" s="20" t="s">
        <v>653</v>
      </c>
      <c r="D88" s="141">
        <v>1360000</v>
      </c>
      <c r="E88" s="20" t="s">
        <v>414</v>
      </c>
      <c r="F88" s="20" t="s">
        <v>415</v>
      </c>
      <c r="G88" s="8" t="str">
        <f t="shared" si="1"/>
        <v>SANTIZO D. EDY</v>
      </c>
    </row>
    <row r="89" spans="1:7" x14ac:dyDescent="0.25">
      <c r="A89" s="8">
        <v>42864.369120370371</v>
      </c>
      <c r="B89" s="20" t="s">
        <v>400</v>
      </c>
      <c r="C89" s="20" t="s">
        <v>654</v>
      </c>
      <c r="D89" s="141">
        <v>940000</v>
      </c>
      <c r="E89" s="20" t="s">
        <v>474</v>
      </c>
      <c r="F89" s="20" t="s">
        <v>475</v>
      </c>
      <c r="G89" s="8" t="str">
        <f t="shared" si="1"/>
        <v>BONDS REYNALDO</v>
      </c>
    </row>
    <row r="90" spans="1:7" x14ac:dyDescent="0.25">
      <c r="A90" s="8">
        <v>42864.373819444445</v>
      </c>
      <c r="B90" s="20" t="s">
        <v>478</v>
      </c>
      <c r="C90" s="20" t="s">
        <v>655</v>
      </c>
      <c r="D90" s="141">
        <v>900000</v>
      </c>
      <c r="E90" s="20" t="s">
        <v>618</v>
      </c>
      <c r="F90" s="20" t="s">
        <v>619</v>
      </c>
      <c r="G90" s="8" t="str">
        <f t="shared" si="1"/>
        <v>ROCHA YAOTL</v>
      </c>
    </row>
    <row r="91" spans="1:7" x14ac:dyDescent="0.25">
      <c r="A91" s="8">
        <v>42864.38009259259</v>
      </c>
      <c r="B91" s="20" t="s">
        <v>355</v>
      </c>
      <c r="C91" s="20" t="s">
        <v>656</v>
      </c>
      <c r="D91" s="141">
        <v>1990000</v>
      </c>
      <c r="E91" s="20" t="s">
        <v>412</v>
      </c>
      <c r="F91" s="20" t="s">
        <v>413</v>
      </c>
      <c r="G91" s="8" t="str">
        <f t="shared" si="1"/>
        <v>DAVIS WENDY</v>
      </c>
    </row>
    <row r="92" spans="1:7" x14ac:dyDescent="0.25">
      <c r="A92" s="8">
        <v>42864.381736111114</v>
      </c>
      <c r="B92" s="20" t="s">
        <v>392</v>
      </c>
      <c r="C92" s="20" t="s">
        <v>574</v>
      </c>
      <c r="D92" s="141">
        <v>1110000</v>
      </c>
      <c r="E92" s="20" t="s">
        <v>472</v>
      </c>
      <c r="F92" s="20" t="s">
        <v>473</v>
      </c>
      <c r="G92" s="8" t="str">
        <f t="shared" si="1"/>
        <v>STARKS ANGELINA</v>
      </c>
    </row>
    <row r="93" spans="1:7" x14ac:dyDescent="0.25">
      <c r="A93" s="8">
        <v>42864.382789351854</v>
      </c>
      <c r="B93" s="20" t="s">
        <v>439</v>
      </c>
      <c r="C93" s="20" t="s">
        <v>657</v>
      </c>
      <c r="D93" s="141">
        <v>2010000</v>
      </c>
      <c r="E93" s="20" t="s">
        <v>410</v>
      </c>
      <c r="F93" s="20" t="s">
        <v>411</v>
      </c>
      <c r="G93" s="8" t="str">
        <f t="shared" si="1"/>
        <v>MAELZER KURT</v>
      </c>
    </row>
    <row r="94" spans="1:7" x14ac:dyDescent="0.25">
      <c r="A94" s="8">
        <v>42864.387291666666</v>
      </c>
      <c r="B94" s="20" t="s">
        <v>370</v>
      </c>
      <c r="C94" s="20" t="s">
        <v>658</v>
      </c>
      <c r="D94" s="141">
        <v>1340000</v>
      </c>
      <c r="E94" s="20" t="s">
        <v>625</v>
      </c>
      <c r="F94" s="20" t="s">
        <v>626</v>
      </c>
      <c r="G94" s="8" t="str">
        <f t="shared" si="1"/>
        <v>BEAM ROSS</v>
      </c>
    </row>
    <row r="95" spans="1:7" x14ac:dyDescent="0.25">
      <c r="A95" s="8">
        <v>42864.390613425923</v>
      </c>
      <c r="B95" s="20" t="s">
        <v>575</v>
      </c>
      <c r="C95" s="20" t="s">
        <v>576</v>
      </c>
      <c r="D95" s="141">
        <v>890000</v>
      </c>
      <c r="E95" s="20" t="s">
        <v>615</v>
      </c>
      <c r="F95" s="20" t="s">
        <v>616</v>
      </c>
      <c r="G95" s="8" t="str">
        <f t="shared" si="1"/>
        <v>LOZA FIDEL</v>
      </c>
    </row>
    <row r="96" spans="1:7" x14ac:dyDescent="0.25">
      <c r="A96" s="8">
        <v>42864.390613425923</v>
      </c>
      <c r="B96" s="20" t="s">
        <v>460</v>
      </c>
      <c r="C96" s="20" t="s">
        <v>659</v>
      </c>
      <c r="D96" s="141">
        <v>1360000</v>
      </c>
      <c r="E96" s="20" t="s">
        <v>414</v>
      </c>
      <c r="F96" s="20" t="s">
        <v>415</v>
      </c>
      <c r="G96" s="8" t="str">
        <f t="shared" si="1"/>
        <v>SANTIZO D. EDY</v>
      </c>
    </row>
    <row r="97" spans="1:7" x14ac:dyDescent="0.25">
      <c r="A97" s="8">
        <v>42864.394965277781</v>
      </c>
      <c r="B97" s="20" t="s">
        <v>394</v>
      </c>
      <c r="C97" s="20" t="s">
        <v>660</v>
      </c>
      <c r="D97" s="141">
        <v>1110000</v>
      </c>
      <c r="E97" s="20" t="s">
        <v>472</v>
      </c>
      <c r="F97" s="20" t="s">
        <v>473</v>
      </c>
      <c r="G97" s="8" t="str">
        <f t="shared" si="1"/>
        <v>STARKS ANGELINA</v>
      </c>
    </row>
    <row r="98" spans="1:7" x14ac:dyDescent="0.25">
      <c r="A98" s="8">
        <v>42864.400925925926</v>
      </c>
      <c r="B98" s="20" t="s">
        <v>374</v>
      </c>
      <c r="C98" s="20" t="s">
        <v>661</v>
      </c>
      <c r="D98" s="141">
        <v>1340000</v>
      </c>
      <c r="E98" s="20" t="s">
        <v>625</v>
      </c>
      <c r="F98" s="20" t="s">
        <v>626</v>
      </c>
      <c r="G98" s="8" t="str">
        <f t="shared" si="1"/>
        <v>BEAM ROSS</v>
      </c>
    </row>
    <row r="99" spans="1:7" x14ac:dyDescent="0.25">
      <c r="A99" s="8">
        <v>42864.401423611111</v>
      </c>
      <c r="B99" s="20" t="s">
        <v>399</v>
      </c>
      <c r="C99" s="20" t="s">
        <v>662</v>
      </c>
      <c r="D99" s="141">
        <v>940000</v>
      </c>
      <c r="E99" s="20" t="s">
        <v>474</v>
      </c>
      <c r="F99" s="20" t="s">
        <v>475</v>
      </c>
      <c r="G99" s="8" t="str">
        <f t="shared" si="1"/>
        <v>BONDS REYNALDO</v>
      </c>
    </row>
    <row r="100" spans="1:7" x14ac:dyDescent="0.25">
      <c r="A100" s="8">
        <v>42864.412233796298</v>
      </c>
      <c r="B100" s="20" t="s">
        <v>462</v>
      </c>
      <c r="C100" s="20" t="s">
        <v>663</v>
      </c>
      <c r="D100" s="141">
        <v>900000</v>
      </c>
      <c r="E100" s="20" t="s">
        <v>618</v>
      </c>
      <c r="F100" s="20" t="s">
        <v>619</v>
      </c>
      <c r="G100" s="8" t="str">
        <f t="shared" si="1"/>
        <v>ROCHA YAOTL</v>
      </c>
    </row>
    <row r="101" spans="1:7" x14ac:dyDescent="0.25">
      <c r="A101" s="8">
        <v>42864.415891203702</v>
      </c>
      <c r="B101" s="20" t="s">
        <v>353</v>
      </c>
      <c r="C101" s="20" t="s">
        <v>664</v>
      </c>
      <c r="D101" s="141">
        <v>1990000</v>
      </c>
      <c r="E101" s="20" t="s">
        <v>412</v>
      </c>
      <c r="F101" s="20" t="s">
        <v>413</v>
      </c>
      <c r="G101" s="8" t="str">
        <f t="shared" si="1"/>
        <v>DAVIS WENDY</v>
      </c>
    </row>
    <row r="102" spans="1:7" x14ac:dyDescent="0.25">
      <c r="A102" s="8">
        <v>42864.41915509259</v>
      </c>
      <c r="B102" s="20" t="s">
        <v>437</v>
      </c>
      <c r="C102" s="20" t="s">
        <v>665</v>
      </c>
      <c r="D102" s="141">
        <v>2010000</v>
      </c>
      <c r="E102" s="20" t="s">
        <v>410</v>
      </c>
      <c r="F102" s="20" t="s">
        <v>411</v>
      </c>
      <c r="G102" s="8" t="str">
        <f t="shared" si="1"/>
        <v>MAELZER KURT</v>
      </c>
    </row>
    <row r="103" spans="1:7" x14ac:dyDescent="0.25">
      <c r="A103" s="8">
        <v>42864.425092592595</v>
      </c>
      <c r="B103" s="20" t="s">
        <v>602</v>
      </c>
      <c r="C103" s="20" t="s">
        <v>666</v>
      </c>
      <c r="D103" s="141">
        <v>890000</v>
      </c>
      <c r="E103" s="20" t="s">
        <v>615</v>
      </c>
      <c r="F103" s="20" t="s">
        <v>616</v>
      </c>
      <c r="G103" s="8" t="str">
        <f t="shared" si="1"/>
        <v>LOZA FIDEL</v>
      </c>
    </row>
    <row r="104" spans="1:7" x14ac:dyDescent="0.25">
      <c r="A104" s="8">
        <v>42864.429432870369</v>
      </c>
      <c r="B104" s="20" t="s">
        <v>370</v>
      </c>
      <c r="C104" s="20" t="s">
        <v>667</v>
      </c>
      <c r="D104" s="141">
        <v>1340000</v>
      </c>
      <c r="E104" s="20" t="s">
        <v>625</v>
      </c>
      <c r="F104" s="20" t="s">
        <v>626</v>
      </c>
      <c r="G104" s="8" t="str">
        <f t="shared" si="1"/>
        <v>BEAM ROSS</v>
      </c>
    </row>
    <row r="105" spans="1:7" x14ac:dyDescent="0.25">
      <c r="A105" s="8">
        <v>42864.433009259257</v>
      </c>
      <c r="B105" s="20" t="s">
        <v>392</v>
      </c>
      <c r="C105" s="20" t="s">
        <v>577</v>
      </c>
      <c r="D105" s="141">
        <v>1110000</v>
      </c>
      <c r="E105" s="20" t="s">
        <v>472</v>
      </c>
      <c r="F105" s="20" t="s">
        <v>473</v>
      </c>
      <c r="G105" s="8" t="str">
        <f t="shared" si="1"/>
        <v>STARKS ANGELINA</v>
      </c>
    </row>
    <row r="106" spans="1:7" x14ac:dyDescent="0.25">
      <c r="A106" s="8">
        <v>42864.435752314814</v>
      </c>
      <c r="B106" s="20" t="s">
        <v>438</v>
      </c>
      <c r="C106" s="20" t="s">
        <v>668</v>
      </c>
      <c r="D106" s="141">
        <v>2600000</v>
      </c>
      <c r="E106" s="20" t="s">
        <v>669</v>
      </c>
      <c r="F106" s="20" t="s">
        <v>670</v>
      </c>
      <c r="G106" s="8" t="str">
        <f t="shared" si="1"/>
        <v>DAVIDSON DAVID</v>
      </c>
    </row>
    <row r="107" spans="1:7" x14ac:dyDescent="0.25">
      <c r="A107" s="8">
        <v>42864.436400462961</v>
      </c>
      <c r="B107" s="20" t="s">
        <v>438</v>
      </c>
      <c r="C107" s="20" t="s">
        <v>668</v>
      </c>
      <c r="D107" s="141">
        <v>2600000</v>
      </c>
      <c r="E107" s="20" t="s">
        <v>669</v>
      </c>
      <c r="F107" s="20" t="s">
        <v>670</v>
      </c>
      <c r="G107" s="8" t="str">
        <f t="shared" si="1"/>
        <v>DAVIDSON DAVID</v>
      </c>
    </row>
    <row r="108" spans="1:7" x14ac:dyDescent="0.25">
      <c r="A108" s="8">
        <v>42864.43644675926</v>
      </c>
      <c r="B108" s="20" t="s">
        <v>459</v>
      </c>
      <c r="C108" s="20" t="s">
        <v>578</v>
      </c>
      <c r="D108" s="141">
        <v>1290000</v>
      </c>
      <c r="E108" s="20" t="s">
        <v>611</v>
      </c>
      <c r="F108" s="20" t="s">
        <v>612</v>
      </c>
      <c r="G108" s="8" t="str">
        <f t="shared" si="1"/>
        <v>COOLAHAN JOHN</v>
      </c>
    </row>
    <row r="109" spans="1:7" x14ac:dyDescent="0.25">
      <c r="A109" s="8">
        <v>42864.437465277777</v>
      </c>
      <c r="B109" s="20" t="s">
        <v>438</v>
      </c>
      <c r="C109" s="20" t="s">
        <v>668</v>
      </c>
      <c r="D109" s="141">
        <v>2600000</v>
      </c>
      <c r="E109" s="20" t="s">
        <v>669</v>
      </c>
      <c r="F109" s="20" t="s">
        <v>670</v>
      </c>
      <c r="G109" s="8" t="str">
        <f t="shared" si="1"/>
        <v>DAVIDSON DAVID</v>
      </c>
    </row>
    <row r="110" spans="1:7" x14ac:dyDescent="0.25">
      <c r="A110" s="8">
        <v>42864.441006944442</v>
      </c>
      <c r="B110" s="20" t="s">
        <v>400</v>
      </c>
      <c r="C110" s="20" t="s">
        <v>671</v>
      </c>
      <c r="D110" s="141">
        <v>940000</v>
      </c>
      <c r="E110" s="20" t="s">
        <v>474</v>
      </c>
      <c r="F110" s="20" t="s">
        <v>475</v>
      </c>
      <c r="G110" s="8" t="str">
        <f t="shared" si="1"/>
        <v>BONDS REYNALDO</v>
      </c>
    </row>
    <row r="111" spans="1:7" x14ac:dyDescent="0.25">
      <c r="A111" s="8">
        <v>42864.442314814813</v>
      </c>
      <c r="B111" s="20" t="s">
        <v>374</v>
      </c>
      <c r="C111" s="20" t="s">
        <v>672</v>
      </c>
      <c r="D111" s="141">
        <v>1340000</v>
      </c>
      <c r="E111" s="20" t="s">
        <v>625</v>
      </c>
      <c r="F111" s="20" t="s">
        <v>626</v>
      </c>
      <c r="G111" s="8" t="str">
        <f t="shared" si="1"/>
        <v>BEAM ROSS</v>
      </c>
    </row>
    <row r="112" spans="1:7" x14ac:dyDescent="0.25">
      <c r="A112" s="8">
        <v>42864.444594907407</v>
      </c>
      <c r="B112" s="20" t="s">
        <v>478</v>
      </c>
      <c r="C112" s="20" t="s">
        <v>673</v>
      </c>
      <c r="D112" s="141">
        <v>900000</v>
      </c>
      <c r="E112" s="20" t="s">
        <v>618</v>
      </c>
      <c r="F112" s="20" t="s">
        <v>619</v>
      </c>
      <c r="G112" s="8" t="str">
        <f t="shared" si="1"/>
        <v>ROCHA YAOTL</v>
      </c>
    </row>
    <row r="113" spans="1:7" x14ac:dyDescent="0.25">
      <c r="A113" s="8">
        <v>42864.453993055555</v>
      </c>
      <c r="B113" s="20" t="s">
        <v>355</v>
      </c>
      <c r="C113" s="20" t="s">
        <v>674</v>
      </c>
      <c r="D113" s="141">
        <v>1990000</v>
      </c>
      <c r="E113" s="20" t="s">
        <v>412</v>
      </c>
      <c r="F113" s="20" t="s">
        <v>413</v>
      </c>
      <c r="G113" s="8" t="str">
        <f t="shared" si="1"/>
        <v>DAVIS WENDY</v>
      </c>
    </row>
    <row r="114" spans="1:7" x14ac:dyDescent="0.25">
      <c r="A114" s="8">
        <v>42864.457314814812</v>
      </c>
      <c r="B114" s="20" t="s">
        <v>575</v>
      </c>
      <c r="C114" s="20" t="s">
        <v>675</v>
      </c>
      <c r="D114" s="141">
        <v>890000</v>
      </c>
      <c r="E114" s="20" t="s">
        <v>615</v>
      </c>
      <c r="F114" s="20" t="s">
        <v>616</v>
      </c>
      <c r="G114" s="8" t="str">
        <f t="shared" si="1"/>
        <v>LOZA FIDEL</v>
      </c>
    </row>
    <row r="115" spans="1:7" x14ac:dyDescent="0.25">
      <c r="A115" s="8">
        <v>42864.457384259258</v>
      </c>
      <c r="B115" s="20" t="s">
        <v>439</v>
      </c>
      <c r="C115" s="20" t="s">
        <v>676</v>
      </c>
      <c r="D115" s="141">
        <v>920000</v>
      </c>
      <c r="E115" s="20" t="s">
        <v>412</v>
      </c>
      <c r="F115" s="20" t="s">
        <v>196</v>
      </c>
      <c r="G115" s="8" t="str">
        <f t="shared" si="1"/>
        <v>DAVIS MICHAEL</v>
      </c>
    </row>
    <row r="116" spans="1:7" x14ac:dyDescent="0.25">
      <c r="A116" s="8">
        <v>42864.468553240738</v>
      </c>
      <c r="B116" s="20" t="s">
        <v>394</v>
      </c>
      <c r="C116" s="20" t="s">
        <v>677</v>
      </c>
      <c r="D116" s="141">
        <v>880000</v>
      </c>
      <c r="E116" s="20" t="s">
        <v>418</v>
      </c>
      <c r="F116" s="20" t="s">
        <v>196</v>
      </c>
      <c r="G116" s="8" t="str">
        <f t="shared" si="1"/>
        <v>STEWART MICHAEL</v>
      </c>
    </row>
    <row r="117" spans="1:7" x14ac:dyDescent="0.25">
      <c r="A117" s="8">
        <v>42864.469537037039</v>
      </c>
      <c r="B117" s="20" t="s">
        <v>346</v>
      </c>
      <c r="C117" s="20" t="s">
        <v>678</v>
      </c>
      <c r="D117" s="141">
        <v>2010000</v>
      </c>
      <c r="E117" s="20" t="s">
        <v>410</v>
      </c>
      <c r="F117" s="20" t="s">
        <v>411</v>
      </c>
      <c r="G117" s="8" t="str">
        <f t="shared" si="1"/>
        <v>MAELZER KURT</v>
      </c>
    </row>
    <row r="118" spans="1:7" x14ac:dyDescent="0.25">
      <c r="A118" s="8">
        <v>42864.470659722225</v>
      </c>
      <c r="B118" s="20" t="s">
        <v>370</v>
      </c>
      <c r="C118" s="20" t="s">
        <v>679</v>
      </c>
      <c r="D118" s="141">
        <v>1340000</v>
      </c>
      <c r="E118" s="20" t="s">
        <v>625</v>
      </c>
      <c r="F118" s="20" t="s">
        <v>626</v>
      </c>
      <c r="G118" s="8" t="str">
        <f t="shared" si="1"/>
        <v>BEAM ROSS</v>
      </c>
    </row>
    <row r="119" spans="1:7" x14ac:dyDescent="0.25">
      <c r="A119" s="8">
        <v>42864.473310185182</v>
      </c>
      <c r="B119" s="20" t="s">
        <v>460</v>
      </c>
      <c r="C119" s="20" t="s">
        <v>680</v>
      </c>
      <c r="D119" s="141">
        <v>1290000</v>
      </c>
      <c r="E119" s="20" t="s">
        <v>611</v>
      </c>
      <c r="F119" s="20" t="s">
        <v>612</v>
      </c>
      <c r="G119" s="8" t="str">
        <f t="shared" si="1"/>
        <v>COOLAHAN JOHN</v>
      </c>
    </row>
    <row r="120" spans="1:7" x14ac:dyDescent="0.25">
      <c r="A120" s="8">
        <v>42864.477083333331</v>
      </c>
      <c r="B120" s="20" t="s">
        <v>399</v>
      </c>
      <c r="C120" s="20" t="s">
        <v>681</v>
      </c>
      <c r="D120" s="141">
        <v>3090000</v>
      </c>
      <c r="E120" s="20" t="s">
        <v>481</v>
      </c>
      <c r="F120" s="20" t="s">
        <v>482</v>
      </c>
      <c r="G120" s="8" t="str">
        <f t="shared" si="1"/>
        <v>LAMAR NEKESHA</v>
      </c>
    </row>
    <row r="121" spans="1:7" x14ac:dyDescent="0.25">
      <c r="A121" s="8">
        <v>42864.481747685182</v>
      </c>
      <c r="B121" s="20" t="s">
        <v>438</v>
      </c>
      <c r="C121" s="20" t="s">
        <v>682</v>
      </c>
      <c r="D121" s="141">
        <v>2530000</v>
      </c>
      <c r="E121" s="20" t="s">
        <v>443</v>
      </c>
      <c r="F121" s="20" t="s">
        <v>444</v>
      </c>
      <c r="G121" s="8" t="str">
        <f t="shared" si="1"/>
        <v>LALONDE GREGORY</v>
      </c>
    </row>
    <row r="122" spans="1:7" x14ac:dyDescent="0.25">
      <c r="A122" s="8">
        <v>42864.484236111108</v>
      </c>
      <c r="B122" s="25" t="s">
        <v>374</v>
      </c>
      <c r="C122" s="20" t="s">
        <v>683</v>
      </c>
      <c r="D122" s="141">
        <v>1340000</v>
      </c>
      <c r="E122" s="20" t="s">
        <v>625</v>
      </c>
      <c r="F122" s="20" t="s">
        <v>626</v>
      </c>
      <c r="G122" s="8" t="str">
        <f t="shared" si="1"/>
        <v>BEAM ROSS</v>
      </c>
    </row>
    <row r="123" spans="1:7" x14ac:dyDescent="0.25">
      <c r="A123" s="8">
        <v>42864.485671296294</v>
      </c>
      <c r="B123" s="20" t="s">
        <v>462</v>
      </c>
      <c r="C123" s="20" t="s">
        <v>684</v>
      </c>
      <c r="D123" s="141">
        <v>900000</v>
      </c>
      <c r="E123" s="20" t="s">
        <v>618</v>
      </c>
      <c r="F123" s="20" t="s">
        <v>619</v>
      </c>
      <c r="G123" s="8" t="str">
        <f t="shared" si="1"/>
        <v>ROCHA YAOTL</v>
      </c>
    </row>
    <row r="124" spans="1:7" x14ac:dyDescent="0.25">
      <c r="A124" s="8">
        <v>42864.485775462963</v>
      </c>
      <c r="B124" s="20" t="s">
        <v>353</v>
      </c>
      <c r="C124" s="20" t="s">
        <v>685</v>
      </c>
      <c r="D124" s="141">
        <v>930000</v>
      </c>
      <c r="E124" s="20" t="s">
        <v>479</v>
      </c>
      <c r="F124" s="20" t="s">
        <v>480</v>
      </c>
      <c r="G124" s="8" t="str">
        <f t="shared" si="1"/>
        <v>CLARK KATHLEEN</v>
      </c>
    </row>
    <row r="125" spans="1:7" x14ac:dyDescent="0.25">
      <c r="A125" s="8">
        <v>42864.496041666665</v>
      </c>
      <c r="B125" s="20" t="s">
        <v>437</v>
      </c>
      <c r="C125" s="20" t="s">
        <v>686</v>
      </c>
      <c r="D125" s="141">
        <v>920000</v>
      </c>
      <c r="E125" s="20" t="s">
        <v>412</v>
      </c>
      <c r="F125" s="20" t="s">
        <v>196</v>
      </c>
      <c r="G125" s="8" t="str">
        <f t="shared" si="1"/>
        <v>DAVIS MICHAEL</v>
      </c>
    </row>
    <row r="126" spans="1:7" x14ac:dyDescent="0.25">
      <c r="A126" s="8">
        <v>42864.496678240743</v>
      </c>
      <c r="B126" s="20" t="s">
        <v>602</v>
      </c>
      <c r="C126" s="20" t="s">
        <v>687</v>
      </c>
      <c r="D126" s="141">
        <v>2530000</v>
      </c>
      <c r="E126" s="20" t="s">
        <v>443</v>
      </c>
      <c r="F126" s="20" t="s">
        <v>444</v>
      </c>
      <c r="G126" s="8" t="str">
        <f t="shared" si="1"/>
        <v>LALONDE GREGORY</v>
      </c>
    </row>
    <row r="127" spans="1:7" x14ac:dyDescent="0.25">
      <c r="A127" s="8">
        <v>42864.505613425928</v>
      </c>
      <c r="B127" s="20" t="s">
        <v>392</v>
      </c>
      <c r="C127" s="20" t="s">
        <v>688</v>
      </c>
      <c r="D127" s="141">
        <v>880000</v>
      </c>
      <c r="E127" s="20" t="s">
        <v>418</v>
      </c>
      <c r="F127" s="20" t="s">
        <v>196</v>
      </c>
      <c r="G127" s="8" t="str">
        <f t="shared" si="1"/>
        <v>STEWART MICHAEL</v>
      </c>
    </row>
    <row r="128" spans="1:7" x14ac:dyDescent="0.25">
      <c r="A128" s="8">
        <v>42864.505914351852</v>
      </c>
      <c r="B128" s="20" t="s">
        <v>346</v>
      </c>
      <c r="C128" s="20" t="s">
        <v>689</v>
      </c>
      <c r="D128" s="141">
        <v>890000</v>
      </c>
      <c r="E128" s="20" t="s">
        <v>615</v>
      </c>
      <c r="F128" s="20" t="s">
        <v>616</v>
      </c>
      <c r="G128" s="8" t="str">
        <f t="shared" si="1"/>
        <v>LOZA FIDEL</v>
      </c>
    </row>
    <row r="129" spans="1:7" x14ac:dyDescent="0.25">
      <c r="A129" s="8">
        <v>42864.508379629631</v>
      </c>
      <c r="B129" s="20" t="s">
        <v>459</v>
      </c>
      <c r="C129" s="20" t="s">
        <v>690</v>
      </c>
      <c r="D129" s="141">
        <v>2470000</v>
      </c>
      <c r="E129" s="20" t="s">
        <v>416</v>
      </c>
      <c r="F129" s="20" t="s">
        <v>417</v>
      </c>
      <c r="G129" s="8" t="str">
        <f t="shared" si="1"/>
        <v>ROMERO CHAD</v>
      </c>
    </row>
    <row r="130" spans="1:7" x14ac:dyDescent="0.25">
      <c r="A130" s="8">
        <v>42864.510752314818</v>
      </c>
      <c r="B130" s="20" t="s">
        <v>370</v>
      </c>
      <c r="C130" s="20" t="s">
        <v>579</v>
      </c>
      <c r="D130" s="141">
        <v>1340000</v>
      </c>
      <c r="E130" s="20" t="s">
        <v>625</v>
      </c>
      <c r="F130" s="20" t="s">
        <v>626</v>
      </c>
      <c r="G130" s="8" t="str">
        <f t="shared" si="1"/>
        <v>BEAM ROSS</v>
      </c>
    </row>
    <row r="131" spans="1:7" x14ac:dyDescent="0.25">
      <c r="A131" s="8">
        <v>42864.515879629631</v>
      </c>
      <c r="B131" s="20" t="s">
        <v>400</v>
      </c>
      <c r="C131" s="20" t="s">
        <v>691</v>
      </c>
      <c r="D131" s="141">
        <v>3090000</v>
      </c>
      <c r="E131" s="20" t="s">
        <v>481</v>
      </c>
      <c r="F131" s="20" t="s">
        <v>482</v>
      </c>
      <c r="G131" s="8" t="str">
        <f t="shared" ref="G131:G194" si="2">E131&amp;" "&amp;F131</f>
        <v>LAMAR NEKESHA</v>
      </c>
    </row>
    <row r="132" spans="1:7" x14ac:dyDescent="0.25">
      <c r="A132" s="8">
        <v>42864.517708333333</v>
      </c>
      <c r="B132" s="20" t="s">
        <v>478</v>
      </c>
      <c r="C132" s="20" t="s">
        <v>692</v>
      </c>
      <c r="D132" s="141">
        <v>3120000</v>
      </c>
      <c r="E132" s="20" t="s">
        <v>693</v>
      </c>
      <c r="F132" s="20" t="s">
        <v>694</v>
      </c>
      <c r="G132" s="8" t="str">
        <f t="shared" si="2"/>
        <v>THOMPSON LESTER</v>
      </c>
    </row>
    <row r="133" spans="1:7" x14ac:dyDescent="0.25">
      <c r="A133" s="8">
        <v>42864.523530092592</v>
      </c>
      <c r="B133" s="20" t="s">
        <v>355</v>
      </c>
      <c r="C133" s="20" t="s">
        <v>695</v>
      </c>
      <c r="D133" s="141">
        <v>930000</v>
      </c>
      <c r="E133" s="20" t="s">
        <v>479</v>
      </c>
      <c r="F133" s="20" t="s">
        <v>480</v>
      </c>
      <c r="G133" s="8" t="str">
        <f t="shared" si="2"/>
        <v>CLARK KATHLEEN</v>
      </c>
    </row>
    <row r="134" spans="1:7" x14ac:dyDescent="0.25">
      <c r="A134" s="8">
        <v>42864.525995370372</v>
      </c>
      <c r="B134" s="20" t="s">
        <v>575</v>
      </c>
      <c r="C134" s="20" t="s">
        <v>696</v>
      </c>
      <c r="D134" s="141">
        <v>2530000</v>
      </c>
      <c r="E134" s="20" t="s">
        <v>443</v>
      </c>
      <c r="F134" s="20" t="s">
        <v>444</v>
      </c>
      <c r="G134" s="8" t="str">
        <f t="shared" si="2"/>
        <v>LALONDE GREGORY</v>
      </c>
    </row>
    <row r="135" spans="1:7" x14ac:dyDescent="0.25">
      <c r="A135" s="8">
        <v>42864.52752314815</v>
      </c>
      <c r="B135" s="20" t="s">
        <v>374</v>
      </c>
      <c r="C135" s="20" t="s">
        <v>697</v>
      </c>
      <c r="D135" s="141">
        <v>1340000</v>
      </c>
      <c r="E135" s="20" t="s">
        <v>625</v>
      </c>
      <c r="F135" s="20" t="s">
        <v>626</v>
      </c>
      <c r="G135" s="8" t="str">
        <f t="shared" si="2"/>
        <v>BEAM ROSS</v>
      </c>
    </row>
    <row r="136" spans="1:7" x14ac:dyDescent="0.25">
      <c r="A136" s="8">
        <v>42864.529305555552</v>
      </c>
      <c r="B136" s="20" t="s">
        <v>439</v>
      </c>
      <c r="C136" s="20" t="s">
        <v>698</v>
      </c>
      <c r="D136" s="141">
        <v>920000</v>
      </c>
      <c r="E136" s="20" t="s">
        <v>412</v>
      </c>
      <c r="F136" s="20" t="s">
        <v>196</v>
      </c>
      <c r="G136" s="8" t="str">
        <f t="shared" si="2"/>
        <v>DAVIS MICHAEL</v>
      </c>
    </row>
    <row r="137" spans="1:7" x14ac:dyDescent="0.25">
      <c r="A137" s="8">
        <v>42864.539340277777</v>
      </c>
      <c r="B137" s="20" t="s">
        <v>394</v>
      </c>
      <c r="C137" s="20" t="s">
        <v>699</v>
      </c>
      <c r="D137" s="141">
        <v>880000</v>
      </c>
      <c r="E137" s="20" t="s">
        <v>418</v>
      </c>
      <c r="F137" s="20" t="s">
        <v>196</v>
      </c>
      <c r="G137" s="8" t="str">
        <f t="shared" si="2"/>
        <v>STEWART MICHAEL</v>
      </c>
    </row>
    <row r="138" spans="1:7" x14ac:dyDescent="0.25">
      <c r="A138" s="8">
        <v>42864.540081018517</v>
      </c>
      <c r="B138" s="20" t="s">
        <v>460</v>
      </c>
      <c r="C138" s="20" t="s">
        <v>580</v>
      </c>
      <c r="D138" s="141">
        <v>2470000</v>
      </c>
      <c r="E138" s="20" t="s">
        <v>416</v>
      </c>
      <c r="F138" s="20" t="s">
        <v>417</v>
      </c>
      <c r="G138" s="8" t="str">
        <f t="shared" si="2"/>
        <v>ROMERO CHAD</v>
      </c>
    </row>
    <row r="139" spans="1:7" x14ac:dyDescent="0.25">
      <c r="A139" s="8">
        <v>42864.547453703701</v>
      </c>
      <c r="B139" s="20" t="s">
        <v>399</v>
      </c>
      <c r="C139" s="20" t="s">
        <v>700</v>
      </c>
      <c r="D139" s="141">
        <v>3090000</v>
      </c>
      <c r="E139" s="20" t="s">
        <v>481</v>
      </c>
      <c r="F139" s="20" t="s">
        <v>482</v>
      </c>
      <c r="G139" s="8" t="str">
        <f t="shared" si="2"/>
        <v>LAMAR NEKESHA</v>
      </c>
    </row>
    <row r="140" spans="1:7" x14ac:dyDescent="0.25">
      <c r="A140" s="8">
        <v>42864.5544212963</v>
      </c>
      <c r="B140" s="20" t="s">
        <v>370</v>
      </c>
      <c r="C140" s="20" t="s">
        <v>581</v>
      </c>
      <c r="D140" s="141">
        <v>1300000</v>
      </c>
      <c r="E140" s="20" t="s">
        <v>419</v>
      </c>
      <c r="F140" s="20" t="s">
        <v>420</v>
      </c>
      <c r="G140" s="8" t="str">
        <f t="shared" si="2"/>
        <v>LEVIN SCOTT</v>
      </c>
    </row>
    <row r="141" spans="1:7" x14ac:dyDescent="0.25">
      <c r="A141" s="8">
        <v>42864.557974537034</v>
      </c>
      <c r="B141" s="20" t="s">
        <v>462</v>
      </c>
      <c r="C141" s="20" t="s">
        <v>701</v>
      </c>
      <c r="D141" s="141">
        <v>3120000</v>
      </c>
      <c r="E141" s="20" t="s">
        <v>693</v>
      </c>
      <c r="F141" s="20" t="s">
        <v>694</v>
      </c>
      <c r="G141" s="8" t="str">
        <f t="shared" si="2"/>
        <v>THOMPSON LESTER</v>
      </c>
    </row>
    <row r="142" spans="1:7" x14ac:dyDescent="0.25">
      <c r="A142" s="8">
        <v>42864.559803240743</v>
      </c>
      <c r="B142" s="20" t="s">
        <v>353</v>
      </c>
      <c r="C142" s="20" t="s">
        <v>702</v>
      </c>
      <c r="D142" s="141">
        <v>930000</v>
      </c>
      <c r="E142" s="20" t="s">
        <v>479</v>
      </c>
      <c r="F142" s="20" t="s">
        <v>480</v>
      </c>
      <c r="G142" s="8" t="str">
        <f t="shared" si="2"/>
        <v>CLARK KATHLEEN</v>
      </c>
    </row>
    <row r="143" spans="1:7" x14ac:dyDescent="0.25">
      <c r="A143" s="8">
        <v>42864.567719907405</v>
      </c>
      <c r="B143" s="20" t="s">
        <v>374</v>
      </c>
      <c r="C143" s="20" t="s">
        <v>703</v>
      </c>
      <c r="D143" s="141">
        <v>1300000</v>
      </c>
      <c r="E143" s="20" t="s">
        <v>419</v>
      </c>
      <c r="F143" s="20" t="s">
        <v>420</v>
      </c>
      <c r="G143" s="8" t="str">
        <f t="shared" si="2"/>
        <v>LEVIN SCOTT</v>
      </c>
    </row>
    <row r="144" spans="1:7" x14ac:dyDescent="0.25">
      <c r="A144" s="8">
        <v>42864.568773148145</v>
      </c>
      <c r="B144" s="20" t="s">
        <v>437</v>
      </c>
      <c r="C144" s="20" t="s">
        <v>704</v>
      </c>
      <c r="D144" s="141">
        <v>920000</v>
      </c>
      <c r="E144" s="20" t="s">
        <v>412</v>
      </c>
      <c r="F144" s="20" t="s">
        <v>196</v>
      </c>
      <c r="G144" s="8" t="str">
        <f t="shared" si="2"/>
        <v>DAVIS MICHAEL</v>
      </c>
    </row>
    <row r="145" spans="1:7" x14ac:dyDescent="0.25">
      <c r="A145" s="8">
        <v>42864.570254629631</v>
      </c>
      <c r="B145" s="20" t="s">
        <v>602</v>
      </c>
      <c r="C145" s="20" t="s">
        <v>705</v>
      </c>
      <c r="D145" s="141">
        <v>2530000</v>
      </c>
      <c r="E145" s="20" t="s">
        <v>443</v>
      </c>
      <c r="F145" s="20" t="s">
        <v>444</v>
      </c>
      <c r="G145" s="8" t="str">
        <f t="shared" si="2"/>
        <v>LALONDE GREGORY</v>
      </c>
    </row>
    <row r="146" spans="1:7" x14ac:dyDescent="0.25">
      <c r="A146" s="8">
        <v>42864.576226851852</v>
      </c>
      <c r="B146" s="20" t="s">
        <v>392</v>
      </c>
      <c r="C146" s="20" t="s">
        <v>706</v>
      </c>
      <c r="D146" s="141">
        <v>880000</v>
      </c>
      <c r="E146" s="20" t="s">
        <v>418</v>
      </c>
      <c r="F146" s="20" t="s">
        <v>196</v>
      </c>
      <c r="G146" s="8" t="str">
        <f t="shared" si="2"/>
        <v>STEWART MICHAEL</v>
      </c>
    </row>
    <row r="147" spans="1:7" x14ac:dyDescent="0.25">
      <c r="A147" s="8">
        <v>42864.581493055557</v>
      </c>
      <c r="B147" s="20" t="s">
        <v>459</v>
      </c>
      <c r="C147" s="20" t="s">
        <v>707</v>
      </c>
      <c r="D147" s="141">
        <v>2470000</v>
      </c>
      <c r="E147" s="20" t="s">
        <v>416</v>
      </c>
      <c r="F147" s="20" t="s">
        <v>417</v>
      </c>
      <c r="G147" s="8" t="str">
        <f t="shared" si="2"/>
        <v>ROMERO CHAD</v>
      </c>
    </row>
    <row r="148" spans="1:7" x14ac:dyDescent="0.25">
      <c r="A148" s="8">
        <v>42864.585069444445</v>
      </c>
      <c r="B148" s="20" t="s">
        <v>400</v>
      </c>
      <c r="C148" s="20" t="s">
        <v>708</v>
      </c>
      <c r="D148" s="141">
        <v>3090000</v>
      </c>
      <c r="E148" s="20" t="s">
        <v>481</v>
      </c>
      <c r="F148" s="20" t="s">
        <v>482</v>
      </c>
      <c r="G148" s="8" t="str">
        <f t="shared" si="2"/>
        <v>LAMAR NEKESHA</v>
      </c>
    </row>
    <row r="149" spans="1:7" x14ac:dyDescent="0.25">
      <c r="A149" s="8">
        <v>42864.589895833335</v>
      </c>
      <c r="B149" s="20" t="s">
        <v>478</v>
      </c>
      <c r="C149" s="20" t="s">
        <v>583</v>
      </c>
      <c r="D149" s="141">
        <v>3120000</v>
      </c>
      <c r="E149" s="20" t="s">
        <v>693</v>
      </c>
      <c r="F149" s="20" t="s">
        <v>694</v>
      </c>
      <c r="G149" s="8" t="str">
        <f t="shared" si="2"/>
        <v>THOMPSON LESTER</v>
      </c>
    </row>
    <row r="150" spans="1:7" x14ac:dyDescent="0.25">
      <c r="A150" s="8">
        <v>42864.596805555557</v>
      </c>
      <c r="B150" s="20" t="s">
        <v>370</v>
      </c>
      <c r="C150" s="20" t="s">
        <v>582</v>
      </c>
      <c r="D150" s="141">
        <v>1300000</v>
      </c>
      <c r="E150" s="20" t="s">
        <v>419</v>
      </c>
      <c r="F150" s="20" t="s">
        <v>420</v>
      </c>
      <c r="G150" s="8" t="str">
        <f t="shared" si="2"/>
        <v>LEVIN SCOTT</v>
      </c>
    </row>
    <row r="151" spans="1:7" x14ac:dyDescent="0.25">
      <c r="A151" s="8">
        <v>42864.598009259258</v>
      </c>
      <c r="B151" s="20" t="s">
        <v>355</v>
      </c>
      <c r="C151" s="20" t="s">
        <v>709</v>
      </c>
      <c r="D151" s="141">
        <v>930000</v>
      </c>
      <c r="E151" s="20" t="s">
        <v>479</v>
      </c>
      <c r="F151" s="20" t="s">
        <v>480</v>
      </c>
      <c r="G151" s="8" t="str">
        <f t="shared" si="2"/>
        <v>CLARK KATHLEEN</v>
      </c>
    </row>
    <row r="152" spans="1:7" x14ac:dyDescent="0.25">
      <c r="A152" s="8">
        <v>42864.59920138889</v>
      </c>
      <c r="B152" s="20" t="s">
        <v>575</v>
      </c>
      <c r="C152" s="20" t="s">
        <v>710</v>
      </c>
      <c r="D152" s="141">
        <v>2530000</v>
      </c>
      <c r="E152" s="20" t="s">
        <v>443</v>
      </c>
      <c r="F152" s="20" t="s">
        <v>444</v>
      </c>
      <c r="G152" s="8" t="str">
        <f t="shared" si="2"/>
        <v>LALONDE GREGORY</v>
      </c>
    </row>
    <row r="153" spans="1:7" x14ac:dyDescent="0.25">
      <c r="A153" s="8">
        <v>42864.602488425924</v>
      </c>
      <c r="B153" s="20" t="s">
        <v>439</v>
      </c>
      <c r="C153" s="20" t="s">
        <v>711</v>
      </c>
      <c r="D153" s="141">
        <v>920000</v>
      </c>
      <c r="E153" s="20" t="s">
        <v>412</v>
      </c>
      <c r="F153" s="20" t="s">
        <v>196</v>
      </c>
      <c r="G153" s="8" t="str">
        <f t="shared" si="2"/>
        <v>DAVIS MICHAEL</v>
      </c>
    </row>
    <row r="154" spans="1:7" x14ac:dyDescent="0.25">
      <c r="A154" s="8">
        <v>42864.609074074076</v>
      </c>
      <c r="B154" s="20" t="s">
        <v>374</v>
      </c>
      <c r="C154" s="20" t="s">
        <v>712</v>
      </c>
      <c r="D154" s="141">
        <v>1300000</v>
      </c>
      <c r="E154" s="20" t="s">
        <v>419</v>
      </c>
      <c r="F154" s="20" t="s">
        <v>420</v>
      </c>
      <c r="G154" s="8" t="str">
        <f t="shared" si="2"/>
        <v>LEVIN SCOTT</v>
      </c>
    </row>
    <row r="155" spans="1:7" x14ac:dyDescent="0.25">
      <c r="A155" s="8">
        <v>42864.609259259261</v>
      </c>
      <c r="B155" s="20" t="s">
        <v>590</v>
      </c>
      <c r="C155" s="20" t="s">
        <v>713</v>
      </c>
      <c r="D155" s="141">
        <v>2450000</v>
      </c>
      <c r="E155" s="20" t="s">
        <v>441</v>
      </c>
      <c r="F155" s="20" t="s">
        <v>442</v>
      </c>
      <c r="G155" s="8" t="str">
        <f t="shared" si="2"/>
        <v>NELSON ARIANE</v>
      </c>
    </row>
    <row r="156" spans="1:7" x14ac:dyDescent="0.25">
      <c r="A156" s="8">
        <v>42864.610914351855</v>
      </c>
      <c r="B156" s="20" t="s">
        <v>394</v>
      </c>
      <c r="C156" s="20" t="s">
        <v>714</v>
      </c>
      <c r="D156" s="141">
        <v>880000</v>
      </c>
      <c r="E156" s="20" t="s">
        <v>418</v>
      </c>
      <c r="F156" s="20" t="s">
        <v>196</v>
      </c>
      <c r="G156" s="8" t="str">
        <f t="shared" si="2"/>
        <v>STEWART MICHAEL</v>
      </c>
    </row>
    <row r="157" spans="1:7" x14ac:dyDescent="0.25">
      <c r="A157" s="8">
        <v>42864.612557870372</v>
      </c>
      <c r="B157" s="20" t="s">
        <v>460</v>
      </c>
      <c r="C157" s="20" t="s">
        <v>715</v>
      </c>
      <c r="D157" s="141">
        <v>2470000</v>
      </c>
      <c r="E157" s="20" t="s">
        <v>416</v>
      </c>
      <c r="F157" s="20" t="s">
        <v>417</v>
      </c>
      <c r="G157" s="8" t="str">
        <f t="shared" si="2"/>
        <v>ROMERO CHAD</v>
      </c>
    </row>
    <row r="158" spans="1:7" x14ac:dyDescent="0.25">
      <c r="A158" s="8">
        <v>42864.620636574073</v>
      </c>
      <c r="B158" s="20" t="s">
        <v>399</v>
      </c>
      <c r="C158" s="20" t="s">
        <v>716</v>
      </c>
      <c r="D158" s="141">
        <v>3090000</v>
      </c>
      <c r="E158" s="20" t="s">
        <v>481</v>
      </c>
      <c r="F158" s="20" t="s">
        <v>482</v>
      </c>
      <c r="G158" s="8" t="str">
        <f t="shared" si="2"/>
        <v>LAMAR NEKESHA</v>
      </c>
    </row>
    <row r="159" spans="1:7" x14ac:dyDescent="0.25">
      <c r="A159" s="8">
        <v>42864.62091435185</v>
      </c>
      <c r="B159" s="20" t="s">
        <v>557</v>
      </c>
      <c r="C159" s="20" t="s">
        <v>713</v>
      </c>
      <c r="D159" s="141">
        <v>2450000</v>
      </c>
      <c r="E159" s="20" t="s">
        <v>441</v>
      </c>
      <c r="F159" s="20" t="s">
        <v>442</v>
      </c>
      <c r="G159" s="8" t="str">
        <f t="shared" si="2"/>
        <v>NELSON ARIANE</v>
      </c>
    </row>
    <row r="160" spans="1:7" x14ac:dyDescent="0.25">
      <c r="A160" s="8">
        <v>42864.630509259259</v>
      </c>
      <c r="B160" s="20" t="s">
        <v>462</v>
      </c>
      <c r="C160" s="20" t="s">
        <v>585</v>
      </c>
      <c r="D160" s="141">
        <v>3120000</v>
      </c>
      <c r="E160" s="20" t="s">
        <v>693</v>
      </c>
      <c r="F160" s="20" t="s">
        <v>694</v>
      </c>
      <c r="G160" s="8" t="str">
        <f t="shared" si="2"/>
        <v>THOMPSON LESTER</v>
      </c>
    </row>
    <row r="161" spans="1:7" x14ac:dyDescent="0.25">
      <c r="A161" s="8">
        <v>42864.634733796294</v>
      </c>
      <c r="B161" s="20" t="s">
        <v>590</v>
      </c>
      <c r="C161" s="20" t="s">
        <v>717</v>
      </c>
      <c r="D161" s="141">
        <v>930000</v>
      </c>
      <c r="E161" s="20" t="s">
        <v>479</v>
      </c>
      <c r="F161" s="20" t="s">
        <v>480</v>
      </c>
      <c r="G161" s="8" t="str">
        <f t="shared" si="2"/>
        <v>CLARK KATHLEEN</v>
      </c>
    </row>
    <row r="162" spans="1:7" x14ac:dyDescent="0.25">
      <c r="A162" s="8">
        <v>42864.638043981482</v>
      </c>
      <c r="B162" s="20" t="s">
        <v>370</v>
      </c>
      <c r="C162" s="20" t="s">
        <v>584</v>
      </c>
      <c r="D162" s="141">
        <v>1300000</v>
      </c>
      <c r="E162" s="20" t="s">
        <v>419</v>
      </c>
      <c r="F162" s="20" t="s">
        <v>420</v>
      </c>
      <c r="G162" s="8" t="str">
        <f t="shared" si="2"/>
        <v>LEVIN SCOTT</v>
      </c>
    </row>
    <row r="163" spans="1:7" x14ac:dyDescent="0.25">
      <c r="A163" s="8">
        <v>42864.640347222223</v>
      </c>
      <c r="B163" s="20" t="s">
        <v>437</v>
      </c>
      <c r="C163" s="20" t="s">
        <v>718</v>
      </c>
      <c r="D163" s="141">
        <v>920000</v>
      </c>
      <c r="E163" s="20" t="s">
        <v>412</v>
      </c>
      <c r="F163" s="20" t="s">
        <v>196</v>
      </c>
      <c r="G163" s="8" t="str">
        <f t="shared" si="2"/>
        <v>DAVIS MICHAEL</v>
      </c>
    </row>
    <row r="164" spans="1:7" x14ac:dyDescent="0.25">
      <c r="A164" s="8">
        <v>42864.64266203704</v>
      </c>
      <c r="B164" s="20" t="s">
        <v>561</v>
      </c>
      <c r="C164" s="20" t="s">
        <v>719</v>
      </c>
      <c r="D164" s="141">
        <v>2150000</v>
      </c>
      <c r="E164" s="20" t="s">
        <v>720</v>
      </c>
      <c r="F164" s="20" t="s">
        <v>721</v>
      </c>
      <c r="G164" s="8" t="str">
        <f t="shared" si="2"/>
        <v>SWANSON BRYCE</v>
      </c>
    </row>
    <row r="165" spans="1:7" x14ac:dyDescent="0.25">
      <c r="A165" s="8">
        <v>42864.643634259257</v>
      </c>
      <c r="B165" s="20" t="s">
        <v>561</v>
      </c>
      <c r="C165" s="20" t="s">
        <v>719</v>
      </c>
      <c r="D165" s="141">
        <v>2150000</v>
      </c>
      <c r="E165" s="20" t="s">
        <v>720</v>
      </c>
      <c r="F165" s="20" t="s">
        <v>721</v>
      </c>
      <c r="G165" s="8" t="str">
        <f t="shared" si="2"/>
        <v>SWANSON BRYCE</v>
      </c>
    </row>
    <row r="166" spans="1:7" x14ac:dyDescent="0.25">
      <c r="A166" s="8">
        <v>42864.64366898148</v>
      </c>
      <c r="B166" s="20" t="s">
        <v>602</v>
      </c>
      <c r="C166" s="20" t="s">
        <v>722</v>
      </c>
      <c r="D166" s="141">
        <v>2530000</v>
      </c>
      <c r="E166" s="20" t="s">
        <v>443</v>
      </c>
      <c r="F166" s="20" t="s">
        <v>444</v>
      </c>
      <c r="G166" s="8" t="str">
        <f t="shared" si="2"/>
        <v>LALONDE GREGORY</v>
      </c>
    </row>
    <row r="167" spans="1:7" x14ac:dyDescent="0.25">
      <c r="A167" s="8">
        <v>42864.651342592595</v>
      </c>
      <c r="B167" s="20" t="s">
        <v>392</v>
      </c>
      <c r="C167" s="20" t="s">
        <v>723</v>
      </c>
      <c r="D167" s="141">
        <v>880000</v>
      </c>
      <c r="E167" s="20" t="s">
        <v>418</v>
      </c>
      <c r="F167" s="20" t="s">
        <v>196</v>
      </c>
      <c r="G167" s="8" t="str">
        <f t="shared" si="2"/>
        <v>STEWART MICHAEL</v>
      </c>
    </row>
    <row r="168" spans="1:7" x14ac:dyDescent="0.25">
      <c r="A168" s="8">
        <v>42864.652025462965</v>
      </c>
      <c r="B168" s="20" t="s">
        <v>374</v>
      </c>
      <c r="C168" s="20" t="s">
        <v>724</v>
      </c>
      <c r="D168" s="141">
        <v>1300000</v>
      </c>
      <c r="E168" s="20" t="s">
        <v>419</v>
      </c>
      <c r="F168" s="20" t="s">
        <v>420</v>
      </c>
      <c r="G168" s="8" t="str">
        <f t="shared" si="2"/>
        <v>LEVIN SCOTT</v>
      </c>
    </row>
    <row r="169" spans="1:7" x14ac:dyDescent="0.25">
      <c r="A169" s="8">
        <v>42864.652187500003</v>
      </c>
      <c r="B169" s="20" t="s">
        <v>459</v>
      </c>
      <c r="C169" s="20" t="s">
        <v>725</v>
      </c>
      <c r="D169" s="141">
        <v>2470000</v>
      </c>
      <c r="E169" s="20" t="s">
        <v>416</v>
      </c>
      <c r="F169" s="20" t="s">
        <v>417</v>
      </c>
      <c r="G169" s="8" t="str">
        <f t="shared" si="2"/>
        <v>ROMERO CHAD</v>
      </c>
    </row>
    <row r="170" spans="1:7" x14ac:dyDescent="0.25">
      <c r="A170" s="8">
        <v>42864.655057870368</v>
      </c>
      <c r="B170" s="20" t="s">
        <v>564</v>
      </c>
      <c r="C170" s="20" t="s">
        <v>726</v>
      </c>
      <c r="D170" s="141">
        <v>2150000</v>
      </c>
      <c r="E170" s="20" t="s">
        <v>720</v>
      </c>
      <c r="F170" s="20" t="s">
        <v>721</v>
      </c>
      <c r="G170" s="8" t="str">
        <f t="shared" si="2"/>
        <v>SWANSON BRYCE</v>
      </c>
    </row>
    <row r="171" spans="1:7" x14ac:dyDescent="0.25">
      <c r="A171" s="8">
        <v>42864.660219907404</v>
      </c>
      <c r="B171" s="20" t="s">
        <v>400</v>
      </c>
      <c r="C171" s="20" t="s">
        <v>727</v>
      </c>
      <c r="D171" s="141">
        <v>3090000</v>
      </c>
      <c r="E171" s="20" t="s">
        <v>481</v>
      </c>
      <c r="F171" s="20" t="s">
        <v>482</v>
      </c>
      <c r="G171" s="8" t="str">
        <f t="shared" si="2"/>
        <v>LAMAR NEKESHA</v>
      </c>
    </row>
    <row r="172" spans="1:7" x14ac:dyDescent="0.25">
      <c r="A172" s="8">
        <v>42864.664421296293</v>
      </c>
      <c r="B172" s="20" t="s">
        <v>478</v>
      </c>
      <c r="C172" s="20" t="s">
        <v>728</v>
      </c>
      <c r="D172" s="141">
        <v>3120000</v>
      </c>
      <c r="E172" s="20" t="s">
        <v>693</v>
      </c>
      <c r="F172" s="20" t="s">
        <v>694</v>
      </c>
      <c r="G172" s="8" t="str">
        <f t="shared" si="2"/>
        <v>THOMPSON LESTER</v>
      </c>
    </row>
    <row r="173" spans="1:7" x14ac:dyDescent="0.25">
      <c r="A173" s="8">
        <v>42864.670729166668</v>
      </c>
      <c r="B173" s="20" t="s">
        <v>557</v>
      </c>
      <c r="C173" s="20" t="s">
        <v>729</v>
      </c>
      <c r="D173" s="141">
        <v>930000</v>
      </c>
      <c r="E173" s="20" t="s">
        <v>479</v>
      </c>
      <c r="F173" s="20" t="s">
        <v>480</v>
      </c>
      <c r="G173" s="8" t="str">
        <f t="shared" si="2"/>
        <v>CLARK KATHLEEN</v>
      </c>
    </row>
    <row r="174" spans="1:7" x14ac:dyDescent="0.25">
      <c r="A174" s="8">
        <v>42864.672280092593</v>
      </c>
      <c r="B174" s="20" t="s">
        <v>575</v>
      </c>
      <c r="C174" s="20" t="s">
        <v>730</v>
      </c>
      <c r="D174" s="141">
        <v>2530000</v>
      </c>
      <c r="E174" s="20" t="s">
        <v>443</v>
      </c>
      <c r="F174" s="20" t="s">
        <v>444</v>
      </c>
      <c r="G174" s="8" t="str">
        <f t="shared" si="2"/>
        <v>LALONDE GREGORY</v>
      </c>
    </row>
    <row r="175" spans="1:7" x14ac:dyDescent="0.25">
      <c r="A175" s="8">
        <v>42864.67460648148</v>
      </c>
      <c r="B175" s="20" t="s">
        <v>439</v>
      </c>
      <c r="C175" s="20" t="s">
        <v>731</v>
      </c>
      <c r="D175" s="141">
        <v>920000</v>
      </c>
      <c r="E175" s="20" t="s">
        <v>412</v>
      </c>
      <c r="F175" s="20" t="s">
        <v>196</v>
      </c>
      <c r="G175" s="8" t="str">
        <f t="shared" si="2"/>
        <v>DAVIS MICHAEL</v>
      </c>
    </row>
    <row r="176" spans="1:7" x14ac:dyDescent="0.25">
      <c r="A176" s="8">
        <v>42864.675104166665</v>
      </c>
      <c r="B176" s="20" t="s">
        <v>561</v>
      </c>
      <c r="C176" s="20" t="s">
        <v>732</v>
      </c>
      <c r="D176" s="141">
        <v>2150000</v>
      </c>
      <c r="E176" s="20" t="s">
        <v>720</v>
      </c>
      <c r="F176" s="20" t="s">
        <v>721</v>
      </c>
      <c r="G176" s="8" t="str">
        <f t="shared" si="2"/>
        <v>SWANSON BRYCE</v>
      </c>
    </row>
    <row r="177" spans="1:7" x14ac:dyDescent="0.25">
      <c r="A177" s="8">
        <v>42864.676701388889</v>
      </c>
      <c r="B177" s="20" t="s">
        <v>370</v>
      </c>
      <c r="C177" s="20" t="s">
        <v>733</v>
      </c>
      <c r="D177" s="141">
        <v>1300000</v>
      </c>
      <c r="E177" s="20" t="s">
        <v>419</v>
      </c>
      <c r="F177" s="20" t="s">
        <v>420</v>
      </c>
      <c r="G177" s="8" t="str">
        <f t="shared" si="2"/>
        <v>LEVIN SCOTT</v>
      </c>
    </row>
    <row r="178" spans="1:7" x14ac:dyDescent="0.25">
      <c r="A178" s="8">
        <v>42864.68136574074</v>
      </c>
      <c r="B178" s="20" t="s">
        <v>353</v>
      </c>
      <c r="C178" s="20" t="s">
        <v>734</v>
      </c>
      <c r="D178" s="141">
        <v>1780000</v>
      </c>
      <c r="E178" s="20" t="s">
        <v>735</v>
      </c>
      <c r="F178" s="20" t="s">
        <v>736</v>
      </c>
      <c r="G178" s="8" t="str">
        <f t="shared" si="2"/>
        <v>DE LA ROSA ALEX</v>
      </c>
    </row>
    <row r="179" spans="1:7" x14ac:dyDescent="0.25">
      <c r="A179" s="8">
        <v>42864.684629629628</v>
      </c>
      <c r="B179" s="20" t="s">
        <v>394</v>
      </c>
      <c r="C179" s="20" t="s">
        <v>737</v>
      </c>
      <c r="D179" s="141">
        <v>880000</v>
      </c>
      <c r="E179" s="20" t="s">
        <v>418</v>
      </c>
      <c r="F179" s="20" t="s">
        <v>196</v>
      </c>
      <c r="G179" s="8" t="str">
        <f t="shared" si="2"/>
        <v>STEWART MICHAEL</v>
      </c>
    </row>
    <row r="180" spans="1:7" x14ac:dyDescent="0.25">
      <c r="A180" s="8">
        <v>42864.688356481478</v>
      </c>
      <c r="B180" s="20" t="s">
        <v>564</v>
      </c>
      <c r="C180" s="20" t="s">
        <v>738</v>
      </c>
      <c r="D180" s="141">
        <v>2150000</v>
      </c>
      <c r="E180" s="20" t="s">
        <v>720</v>
      </c>
      <c r="F180" s="20" t="s">
        <v>721</v>
      </c>
      <c r="G180" s="8" t="str">
        <f t="shared" si="2"/>
        <v>SWANSON BRYCE</v>
      </c>
    </row>
    <row r="181" spans="1:7" x14ac:dyDescent="0.25">
      <c r="A181" s="8">
        <v>42864.69327546296</v>
      </c>
      <c r="B181" s="20" t="s">
        <v>460</v>
      </c>
      <c r="C181" s="20" t="s">
        <v>586</v>
      </c>
      <c r="D181" s="141">
        <v>2470000</v>
      </c>
      <c r="E181" s="20" t="s">
        <v>416</v>
      </c>
      <c r="F181" s="20" t="s">
        <v>417</v>
      </c>
      <c r="G181" s="8" t="str">
        <f t="shared" si="2"/>
        <v>ROMERO CHAD</v>
      </c>
    </row>
    <row r="182" spans="1:7" x14ac:dyDescent="0.25">
      <c r="A182" s="8">
        <v>42864.693506944444</v>
      </c>
      <c r="B182" s="20" t="s">
        <v>374</v>
      </c>
      <c r="C182" s="20" t="s">
        <v>739</v>
      </c>
      <c r="D182" s="141">
        <v>1300000</v>
      </c>
      <c r="E182" s="20" t="s">
        <v>419</v>
      </c>
      <c r="F182" s="20" t="s">
        <v>420</v>
      </c>
      <c r="G182" s="8" t="str">
        <f t="shared" si="2"/>
        <v>LEVIN SCOTT</v>
      </c>
    </row>
    <row r="183" spans="1:7" x14ac:dyDescent="0.25">
      <c r="A183" s="8">
        <v>42864.694120370368</v>
      </c>
      <c r="B183" s="20" t="s">
        <v>399</v>
      </c>
      <c r="C183" s="20" t="s">
        <v>740</v>
      </c>
      <c r="D183" s="141">
        <v>3090000</v>
      </c>
      <c r="E183" s="20" t="s">
        <v>481</v>
      </c>
      <c r="F183" s="20" t="s">
        <v>482</v>
      </c>
      <c r="G183" s="8" t="str">
        <f t="shared" si="2"/>
        <v>LAMAR NEKESHA</v>
      </c>
    </row>
    <row r="184" spans="1:7" x14ac:dyDescent="0.25">
      <c r="A184" s="8">
        <v>42864.697905092595</v>
      </c>
      <c r="B184" s="20" t="s">
        <v>438</v>
      </c>
      <c r="C184" s="20" t="s">
        <v>741</v>
      </c>
      <c r="D184" s="141">
        <v>1800000</v>
      </c>
      <c r="E184" s="20" t="s">
        <v>483</v>
      </c>
      <c r="F184" s="20" t="s">
        <v>484</v>
      </c>
      <c r="G184" s="8" t="str">
        <f t="shared" si="2"/>
        <v>CHANDLER KELVIN</v>
      </c>
    </row>
    <row r="185" spans="1:7" x14ac:dyDescent="0.25">
      <c r="A185" s="8">
        <v>42864.699733796297</v>
      </c>
      <c r="B185" s="20" t="s">
        <v>438</v>
      </c>
      <c r="C185" s="20" t="s">
        <v>587</v>
      </c>
      <c r="D185" s="141">
        <v>1800000</v>
      </c>
      <c r="E185" s="20" t="s">
        <v>483</v>
      </c>
      <c r="F185" s="20" t="s">
        <v>484</v>
      </c>
      <c r="G185" s="8" t="str">
        <f t="shared" si="2"/>
        <v>CHANDLER KELVIN</v>
      </c>
    </row>
    <row r="186" spans="1:7" x14ac:dyDescent="0.25">
      <c r="A186" s="8">
        <v>42864.704155092593</v>
      </c>
      <c r="B186" s="20" t="s">
        <v>462</v>
      </c>
      <c r="C186" s="20" t="s">
        <v>588</v>
      </c>
      <c r="D186" s="141">
        <v>3120000</v>
      </c>
      <c r="E186" s="20" t="s">
        <v>693</v>
      </c>
      <c r="F186" s="20" t="s">
        <v>694</v>
      </c>
      <c r="G186" s="8" t="str">
        <f t="shared" si="2"/>
        <v>THOMPSON LESTER</v>
      </c>
    </row>
    <row r="187" spans="1:7" x14ac:dyDescent="0.25">
      <c r="A187" s="8">
        <v>42864.705972222226</v>
      </c>
      <c r="B187" s="20" t="s">
        <v>590</v>
      </c>
      <c r="C187" s="20" t="s">
        <v>591</v>
      </c>
      <c r="D187" s="141">
        <v>930000</v>
      </c>
      <c r="E187" s="20" t="s">
        <v>479</v>
      </c>
      <c r="F187" s="20" t="s">
        <v>480</v>
      </c>
      <c r="G187" s="8" t="str">
        <f t="shared" si="2"/>
        <v>CLARK KATHLEEN</v>
      </c>
    </row>
    <row r="188" spans="1:7" x14ac:dyDescent="0.25">
      <c r="A188" s="8">
        <v>42864.71162037037</v>
      </c>
      <c r="B188" s="20" t="s">
        <v>742</v>
      </c>
      <c r="C188" s="20" t="s">
        <v>743</v>
      </c>
      <c r="D188" s="141">
        <v>1810000</v>
      </c>
      <c r="E188" s="20" t="s">
        <v>445</v>
      </c>
      <c r="F188" s="20" t="s">
        <v>193</v>
      </c>
      <c r="G188" s="8" t="str">
        <f t="shared" si="2"/>
        <v>NEWELL JAMES</v>
      </c>
    </row>
    <row r="189" spans="1:7" x14ac:dyDescent="0.25">
      <c r="A189" s="8">
        <v>42864.713680555556</v>
      </c>
      <c r="B189" s="20" t="s">
        <v>437</v>
      </c>
      <c r="C189" s="20" t="s">
        <v>744</v>
      </c>
      <c r="D189" s="141">
        <v>920000</v>
      </c>
      <c r="E189" s="20" t="s">
        <v>412</v>
      </c>
      <c r="F189" s="20" t="s">
        <v>196</v>
      </c>
      <c r="G189" s="8" t="str">
        <f t="shared" si="2"/>
        <v>DAVIS MICHAEL</v>
      </c>
    </row>
    <row r="190" spans="1:7" x14ac:dyDescent="0.25">
      <c r="A190" s="8">
        <v>42864.714999999997</v>
      </c>
      <c r="B190" s="20" t="s">
        <v>561</v>
      </c>
      <c r="C190" s="20" t="s">
        <v>745</v>
      </c>
      <c r="D190" s="141">
        <v>2150000</v>
      </c>
      <c r="E190" s="20" t="s">
        <v>720</v>
      </c>
      <c r="F190" s="20" t="s">
        <v>721</v>
      </c>
      <c r="G190" s="8" t="str">
        <f t="shared" si="2"/>
        <v>SWANSON BRYCE</v>
      </c>
    </row>
    <row r="191" spans="1:7" x14ac:dyDescent="0.25">
      <c r="A191" s="8">
        <v>42864.717789351853</v>
      </c>
      <c r="B191" s="20" t="s">
        <v>602</v>
      </c>
      <c r="C191" s="20" t="s">
        <v>741</v>
      </c>
      <c r="D191" s="141">
        <v>1800000</v>
      </c>
      <c r="E191" s="20" t="s">
        <v>483</v>
      </c>
      <c r="F191" s="20" t="s">
        <v>484</v>
      </c>
      <c r="G191" s="8" t="str">
        <f t="shared" si="2"/>
        <v>CHANDLER KELVIN</v>
      </c>
    </row>
    <row r="192" spans="1:7" x14ac:dyDescent="0.25">
      <c r="A192" s="8">
        <v>42864.72084490741</v>
      </c>
      <c r="B192" s="20" t="s">
        <v>370</v>
      </c>
      <c r="C192" s="20" t="s">
        <v>746</v>
      </c>
      <c r="D192" s="141">
        <v>1300000</v>
      </c>
      <c r="E192" s="20" t="s">
        <v>419</v>
      </c>
      <c r="F192" s="20" t="s">
        <v>420</v>
      </c>
      <c r="G192" s="8" t="str">
        <f t="shared" si="2"/>
        <v>LEVIN SCOTT</v>
      </c>
    </row>
    <row r="193" spans="1:7" x14ac:dyDescent="0.25">
      <c r="A193" s="8">
        <v>42864.724143518521</v>
      </c>
      <c r="B193" s="20" t="s">
        <v>392</v>
      </c>
      <c r="C193" s="20" t="s">
        <v>747</v>
      </c>
      <c r="D193" s="141">
        <v>880000</v>
      </c>
      <c r="E193" s="20" t="s">
        <v>418</v>
      </c>
      <c r="F193" s="20" t="s">
        <v>196</v>
      </c>
      <c r="G193" s="8" t="str">
        <f t="shared" si="2"/>
        <v>STEWART MICHAEL</v>
      </c>
    </row>
    <row r="194" spans="1:7" x14ac:dyDescent="0.25">
      <c r="A194" s="8">
        <v>42864.724629629629</v>
      </c>
      <c r="B194" s="20" t="s">
        <v>459</v>
      </c>
      <c r="C194" s="20" t="s">
        <v>748</v>
      </c>
      <c r="D194" s="141">
        <v>2530000</v>
      </c>
      <c r="E194" s="20" t="s">
        <v>443</v>
      </c>
      <c r="F194" s="20" t="s">
        <v>444</v>
      </c>
      <c r="G194" s="8" t="str">
        <f t="shared" si="2"/>
        <v>LALONDE GREGORY</v>
      </c>
    </row>
    <row r="195" spans="1:7" x14ac:dyDescent="0.25">
      <c r="A195" s="8">
        <v>42864.728738425925</v>
      </c>
      <c r="B195" s="20" t="s">
        <v>564</v>
      </c>
      <c r="C195" s="20" t="s">
        <v>749</v>
      </c>
      <c r="D195" s="141">
        <v>2150000</v>
      </c>
      <c r="E195" s="20" t="s">
        <v>720</v>
      </c>
      <c r="F195" s="20" t="s">
        <v>721</v>
      </c>
      <c r="G195" s="8" t="str">
        <f t="shared" ref="G195:G258" si="3">E195&amp;" "&amp;F195</f>
        <v>SWANSON BRYCE</v>
      </c>
    </row>
    <row r="196" spans="1:7" x14ac:dyDescent="0.25">
      <c r="A196" s="8">
        <v>42864.729942129627</v>
      </c>
      <c r="B196" s="20" t="s">
        <v>400</v>
      </c>
      <c r="C196" s="20" t="s">
        <v>750</v>
      </c>
      <c r="D196" s="141">
        <v>3090000</v>
      </c>
      <c r="E196" s="20" t="s">
        <v>481</v>
      </c>
      <c r="F196" s="20" t="s">
        <v>482</v>
      </c>
      <c r="G196" s="8" t="str">
        <f t="shared" si="3"/>
        <v>LAMAR NEKESHA</v>
      </c>
    </row>
    <row r="197" spans="1:7" x14ac:dyDescent="0.25">
      <c r="A197" s="8">
        <v>42864.730567129627</v>
      </c>
      <c r="B197" s="20" t="s">
        <v>346</v>
      </c>
      <c r="C197" s="20" t="s">
        <v>589</v>
      </c>
      <c r="D197" s="141">
        <v>2470000</v>
      </c>
      <c r="E197" s="20" t="s">
        <v>416</v>
      </c>
      <c r="F197" s="20" t="s">
        <v>417</v>
      </c>
      <c r="G197" s="8" t="str">
        <f t="shared" si="3"/>
        <v>ROMERO CHAD</v>
      </c>
    </row>
    <row r="198" spans="1:7" x14ac:dyDescent="0.25">
      <c r="A198" s="8">
        <v>42864.731319444443</v>
      </c>
      <c r="B198" s="20" t="s">
        <v>361</v>
      </c>
      <c r="C198" s="20" t="s">
        <v>751</v>
      </c>
      <c r="D198" s="141">
        <v>2450000</v>
      </c>
      <c r="E198" s="20" t="s">
        <v>441</v>
      </c>
      <c r="F198" s="20" t="s">
        <v>442</v>
      </c>
      <c r="G198" s="8" t="str">
        <f t="shared" si="3"/>
        <v>NELSON ARIANE</v>
      </c>
    </row>
    <row r="199" spans="1:7" x14ac:dyDescent="0.25">
      <c r="A199" s="8">
        <v>42864.734479166669</v>
      </c>
      <c r="B199" s="20" t="s">
        <v>374</v>
      </c>
      <c r="C199" s="20" t="s">
        <v>752</v>
      </c>
      <c r="D199" s="141">
        <v>1300000</v>
      </c>
      <c r="E199" s="20" t="s">
        <v>419</v>
      </c>
      <c r="F199" s="20" t="s">
        <v>420</v>
      </c>
      <c r="G199" s="8" t="str">
        <f t="shared" si="3"/>
        <v>LEVIN SCOTT</v>
      </c>
    </row>
    <row r="200" spans="1:7" x14ac:dyDescent="0.25">
      <c r="A200" s="8">
        <v>42864.735694444447</v>
      </c>
      <c r="B200" s="20" t="s">
        <v>478</v>
      </c>
      <c r="C200" s="20" t="s">
        <v>753</v>
      </c>
      <c r="D200" s="141">
        <v>1810000</v>
      </c>
      <c r="E200" s="20" t="s">
        <v>445</v>
      </c>
      <c r="F200" s="20" t="s">
        <v>193</v>
      </c>
      <c r="G200" s="8" t="str">
        <f t="shared" si="3"/>
        <v>NEWELL JAMES</v>
      </c>
    </row>
    <row r="201" spans="1:7" x14ac:dyDescent="0.25">
      <c r="A201" s="8">
        <v>42864.743333333332</v>
      </c>
      <c r="B201" s="20" t="s">
        <v>557</v>
      </c>
      <c r="C201" s="20" t="s">
        <v>754</v>
      </c>
      <c r="D201" s="141">
        <v>930000</v>
      </c>
      <c r="E201" s="20" t="s">
        <v>479</v>
      </c>
      <c r="F201" s="20" t="s">
        <v>480</v>
      </c>
      <c r="G201" s="8" t="str">
        <f t="shared" si="3"/>
        <v>CLARK KATHLEEN</v>
      </c>
    </row>
    <row r="202" spans="1:7" x14ac:dyDescent="0.25">
      <c r="A202" s="26">
        <v>42864.743391203701</v>
      </c>
      <c r="B202" s="20" t="s">
        <v>438</v>
      </c>
      <c r="C202" s="20" t="s">
        <v>755</v>
      </c>
      <c r="D202" s="141">
        <v>3000000</v>
      </c>
      <c r="E202" s="20" t="s">
        <v>756</v>
      </c>
      <c r="F202" s="20" t="s">
        <v>757</v>
      </c>
      <c r="G202" s="8" t="str">
        <f t="shared" si="3"/>
        <v>FORTUNATO FRANK</v>
      </c>
    </row>
    <row r="203" spans="1:7" x14ac:dyDescent="0.25">
      <c r="A203" s="8">
        <v>42864.747604166667</v>
      </c>
      <c r="B203" s="20" t="s">
        <v>439</v>
      </c>
      <c r="C203" s="20" t="s">
        <v>758</v>
      </c>
      <c r="D203" s="141">
        <v>3120000</v>
      </c>
      <c r="E203" s="20" t="s">
        <v>693</v>
      </c>
      <c r="F203" s="20" t="s">
        <v>694</v>
      </c>
      <c r="G203" s="8" t="str">
        <f t="shared" si="3"/>
        <v>THOMPSON LESTER</v>
      </c>
    </row>
    <row r="204" spans="1:7" x14ac:dyDescent="0.25">
      <c r="A204" s="8">
        <v>42864.751562500001</v>
      </c>
      <c r="B204" s="20" t="s">
        <v>759</v>
      </c>
      <c r="C204" s="20" t="s">
        <v>760</v>
      </c>
      <c r="D204" s="141">
        <v>920000</v>
      </c>
      <c r="E204" s="20" t="s">
        <v>412</v>
      </c>
      <c r="F204" s="20" t="s">
        <v>196</v>
      </c>
      <c r="G204" s="8" t="str">
        <f t="shared" si="3"/>
        <v>DAVIS MICHAEL</v>
      </c>
    </row>
    <row r="205" spans="1:7" x14ac:dyDescent="0.25">
      <c r="A205" s="8">
        <v>42864.756261574075</v>
      </c>
      <c r="B205" s="20" t="s">
        <v>561</v>
      </c>
      <c r="C205" s="20" t="s">
        <v>761</v>
      </c>
      <c r="D205" s="141">
        <v>2150000</v>
      </c>
      <c r="E205" s="20" t="s">
        <v>720</v>
      </c>
      <c r="F205" s="20" t="s">
        <v>721</v>
      </c>
      <c r="G205" s="8" t="str">
        <f t="shared" si="3"/>
        <v>SWANSON BRYCE</v>
      </c>
    </row>
    <row r="206" spans="1:7" x14ac:dyDescent="0.25">
      <c r="A206" s="8">
        <v>42864.757361111115</v>
      </c>
      <c r="B206" s="20" t="s">
        <v>575</v>
      </c>
      <c r="C206" s="20" t="s">
        <v>762</v>
      </c>
      <c r="D206" s="141">
        <v>1800000</v>
      </c>
      <c r="E206" s="20" t="s">
        <v>483</v>
      </c>
      <c r="F206" s="20" t="s">
        <v>484</v>
      </c>
      <c r="G206" s="8" t="str">
        <f t="shared" si="3"/>
        <v>CHANDLER KELVIN</v>
      </c>
    </row>
    <row r="207" spans="1:7" x14ac:dyDescent="0.25">
      <c r="A207" s="8">
        <v>42864.757638888892</v>
      </c>
      <c r="B207" s="20" t="s">
        <v>394</v>
      </c>
      <c r="C207" s="20" t="s">
        <v>592</v>
      </c>
      <c r="D207" s="141">
        <v>3130000</v>
      </c>
      <c r="E207" s="20" t="s">
        <v>490</v>
      </c>
      <c r="F207" s="20" t="s">
        <v>491</v>
      </c>
      <c r="G207" s="8" t="str">
        <f t="shared" si="3"/>
        <v>ZEWDU DEREJE</v>
      </c>
    </row>
    <row r="208" spans="1:7" x14ac:dyDescent="0.25">
      <c r="A208" s="8">
        <v>42864.75880787037</v>
      </c>
      <c r="B208" s="20" t="s">
        <v>460</v>
      </c>
      <c r="C208" s="20" t="s">
        <v>763</v>
      </c>
      <c r="D208" s="141">
        <v>2530000</v>
      </c>
      <c r="E208" s="20" t="s">
        <v>443</v>
      </c>
      <c r="F208" s="20" t="s">
        <v>444</v>
      </c>
      <c r="G208" s="8" t="str">
        <f t="shared" si="3"/>
        <v>LALONDE GREGORY</v>
      </c>
    </row>
    <row r="209" spans="1:7" x14ac:dyDescent="0.25">
      <c r="A209" s="8">
        <v>42864.762569444443</v>
      </c>
      <c r="B209" s="20" t="s">
        <v>370</v>
      </c>
      <c r="C209" s="20" t="s">
        <v>593</v>
      </c>
      <c r="D209" s="141">
        <v>1300000</v>
      </c>
      <c r="E209" s="20" t="s">
        <v>419</v>
      </c>
      <c r="F209" s="20" t="s">
        <v>420</v>
      </c>
      <c r="G209" s="8" t="str">
        <f t="shared" si="3"/>
        <v>LEVIN SCOTT</v>
      </c>
    </row>
    <row r="210" spans="1:7" x14ac:dyDescent="0.25">
      <c r="A210" s="8">
        <v>42864.76767361111</v>
      </c>
      <c r="B210" s="20" t="s">
        <v>399</v>
      </c>
      <c r="C210" s="20" t="s">
        <v>595</v>
      </c>
      <c r="D210" s="141">
        <v>3030000</v>
      </c>
      <c r="E210" s="20" t="s">
        <v>487</v>
      </c>
      <c r="F210" s="20" t="s">
        <v>440</v>
      </c>
      <c r="G210" s="8" t="str">
        <f t="shared" si="3"/>
        <v>BIRENBAUM THOMAS</v>
      </c>
    </row>
    <row r="211" spans="1:7" x14ac:dyDescent="0.25">
      <c r="A211" s="8">
        <v>42864.771620370368</v>
      </c>
      <c r="B211" s="20" t="s">
        <v>564</v>
      </c>
      <c r="C211" s="20" t="s">
        <v>764</v>
      </c>
      <c r="D211" s="141">
        <v>2150000</v>
      </c>
      <c r="E211" s="20" t="s">
        <v>720</v>
      </c>
      <c r="F211" s="20" t="s">
        <v>721</v>
      </c>
      <c r="G211" s="8" t="str">
        <f t="shared" si="3"/>
        <v>SWANSON BRYCE</v>
      </c>
    </row>
    <row r="212" spans="1:7" x14ac:dyDescent="0.25">
      <c r="A212" s="8">
        <v>42864.771805555552</v>
      </c>
      <c r="B212" s="20" t="s">
        <v>462</v>
      </c>
      <c r="C212" s="20" t="s">
        <v>765</v>
      </c>
      <c r="D212" s="141">
        <v>1810000</v>
      </c>
      <c r="E212" s="20" t="s">
        <v>445</v>
      </c>
      <c r="F212" s="20" t="s">
        <v>193</v>
      </c>
      <c r="G212" s="8" t="str">
        <f t="shared" si="3"/>
        <v>NEWELL JAMES</v>
      </c>
    </row>
    <row r="213" spans="1:7" x14ac:dyDescent="0.25">
      <c r="A213" s="8">
        <v>42864.777037037034</v>
      </c>
      <c r="B213" s="20" t="s">
        <v>374</v>
      </c>
      <c r="C213" s="20" t="s">
        <v>594</v>
      </c>
      <c r="D213" s="141">
        <v>1300000</v>
      </c>
      <c r="E213" s="20" t="s">
        <v>419</v>
      </c>
      <c r="F213" s="20" t="s">
        <v>420</v>
      </c>
      <c r="G213" s="8" t="str">
        <f t="shared" si="3"/>
        <v>LEVIN SCOTT</v>
      </c>
    </row>
    <row r="214" spans="1:7" x14ac:dyDescent="0.25">
      <c r="A214" s="8">
        <v>42864.780231481483</v>
      </c>
      <c r="B214" s="20" t="s">
        <v>590</v>
      </c>
      <c r="C214" s="20" t="s">
        <v>766</v>
      </c>
      <c r="D214" s="141">
        <v>930000</v>
      </c>
      <c r="E214" s="20" t="s">
        <v>479</v>
      </c>
      <c r="F214" s="20" t="s">
        <v>480</v>
      </c>
      <c r="G214" s="8" t="str">
        <f t="shared" si="3"/>
        <v>CLARK KATHLEEN</v>
      </c>
    </row>
    <row r="215" spans="1:7" x14ac:dyDescent="0.25">
      <c r="A215" s="8">
        <v>42864.786851851852</v>
      </c>
      <c r="B215" s="20" t="s">
        <v>437</v>
      </c>
      <c r="C215" s="20" t="s">
        <v>767</v>
      </c>
      <c r="D215" s="141">
        <v>3120000</v>
      </c>
      <c r="E215" s="20" t="s">
        <v>693</v>
      </c>
      <c r="F215" s="20" t="s">
        <v>694</v>
      </c>
      <c r="G215" s="8" t="str">
        <f t="shared" si="3"/>
        <v>THOMPSON LESTER</v>
      </c>
    </row>
    <row r="216" spans="1:7" x14ac:dyDescent="0.25">
      <c r="A216" s="8">
        <v>42864.788449074076</v>
      </c>
      <c r="B216" s="20" t="s">
        <v>398</v>
      </c>
      <c r="C216" s="20" t="s">
        <v>768</v>
      </c>
      <c r="D216" s="141">
        <v>2610000</v>
      </c>
      <c r="E216" s="20" t="s">
        <v>769</v>
      </c>
      <c r="F216" s="20" t="s">
        <v>770</v>
      </c>
      <c r="G216" s="8" t="str">
        <f t="shared" si="3"/>
        <v>MAGEE KENYA</v>
      </c>
    </row>
    <row r="217" spans="1:7" x14ac:dyDescent="0.25">
      <c r="A217" s="8">
        <v>42864.790625000001</v>
      </c>
      <c r="B217" s="20" t="s">
        <v>602</v>
      </c>
      <c r="C217" s="20" t="s">
        <v>771</v>
      </c>
      <c r="D217" s="141">
        <v>1800000</v>
      </c>
      <c r="E217" s="20" t="s">
        <v>483</v>
      </c>
      <c r="F217" s="20" t="s">
        <v>484</v>
      </c>
      <c r="G217" s="8" t="str">
        <f t="shared" si="3"/>
        <v>CHANDLER KELVIN</v>
      </c>
    </row>
    <row r="218" spans="1:7" x14ac:dyDescent="0.25">
      <c r="A218" s="8">
        <v>42864.791851851849</v>
      </c>
      <c r="B218" s="20" t="s">
        <v>380</v>
      </c>
      <c r="C218" s="20" t="s">
        <v>768</v>
      </c>
      <c r="D218" s="141">
        <v>2610000</v>
      </c>
      <c r="E218" s="20" t="s">
        <v>769</v>
      </c>
      <c r="F218" s="20" t="s">
        <v>770</v>
      </c>
      <c r="G218" s="8" t="str">
        <f t="shared" si="3"/>
        <v>MAGEE KENYA</v>
      </c>
    </row>
    <row r="219" spans="1:7" x14ac:dyDescent="0.25">
      <c r="A219" s="8">
        <v>42864.796689814815</v>
      </c>
      <c r="B219" s="20" t="s">
        <v>392</v>
      </c>
      <c r="C219" s="20" t="s">
        <v>596</v>
      </c>
      <c r="D219" s="141">
        <v>3130000</v>
      </c>
      <c r="E219" s="20" t="s">
        <v>490</v>
      </c>
      <c r="F219" s="20" t="s">
        <v>491</v>
      </c>
      <c r="G219" s="8" t="str">
        <f t="shared" si="3"/>
        <v>ZEWDU DEREJE</v>
      </c>
    </row>
    <row r="220" spans="1:7" x14ac:dyDescent="0.25">
      <c r="A220" s="8">
        <v>42864.798067129632</v>
      </c>
      <c r="B220" s="20" t="s">
        <v>459</v>
      </c>
      <c r="C220" s="20" t="s">
        <v>772</v>
      </c>
      <c r="D220" s="141">
        <v>2530000</v>
      </c>
      <c r="E220" s="20" t="s">
        <v>443</v>
      </c>
      <c r="F220" s="20" t="s">
        <v>444</v>
      </c>
      <c r="G220" s="8" t="str">
        <f t="shared" si="3"/>
        <v>LALONDE GREGORY</v>
      </c>
    </row>
    <row r="221" spans="1:7" x14ac:dyDescent="0.25">
      <c r="A221" s="8">
        <v>42864.798333333332</v>
      </c>
      <c r="B221" s="20" t="s">
        <v>561</v>
      </c>
      <c r="C221" s="20" t="s">
        <v>773</v>
      </c>
      <c r="D221" s="141">
        <v>2150000</v>
      </c>
      <c r="E221" s="20" t="s">
        <v>720</v>
      </c>
      <c r="F221" s="20" t="s">
        <v>721</v>
      </c>
      <c r="G221" s="8" t="str">
        <f t="shared" si="3"/>
        <v>SWANSON BRYCE</v>
      </c>
    </row>
    <row r="222" spans="1:7" x14ac:dyDescent="0.25">
      <c r="A222" s="8">
        <v>42864.804594907408</v>
      </c>
      <c r="B222" s="20" t="s">
        <v>370</v>
      </c>
      <c r="C222" s="20" t="s">
        <v>774</v>
      </c>
      <c r="D222" s="141">
        <v>1300000</v>
      </c>
      <c r="E222" s="20" t="s">
        <v>419</v>
      </c>
      <c r="F222" s="20" t="s">
        <v>420</v>
      </c>
      <c r="G222" s="8" t="str">
        <f t="shared" si="3"/>
        <v>LEVIN SCOTT</v>
      </c>
    </row>
    <row r="223" spans="1:7" x14ac:dyDescent="0.25">
      <c r="A223" s="8">
        <v>42864.806886574072</v>
      </c>
      <c r="B223" s="20" t="s">
        <v>400</v>
      </c>
      <c r="C223" s="20" t="s">
        <v>775</v>
      </c>
      <c r="D223" s="141">
        <v>3030000</v>
      </c>
      <c r="E223" s="20" t="s">
        <v>487</v>
      </c>
      <c r="F223" s="20" t="s">
        <v>440</v>
      </c>
      <c r="G223" s="8" t="str">
        <f t="shared" si="3"/>
        <v>BIRENBAUM THOMAS</v>
      </c>
    </row>
    <row r="224" spans="1:7" x14ac:dyDescent="0.25">
      <c r="A224" s="8">
        <v>42864.809976851851</v>
      </c>
      <c r="B224" t="s">
        <v>478</v>
      </c>
      <c r="C224" t="s">
        <v>776</v>
      </c>
      <c r="D224" s="141">
        <v>1810000</v>
      </c>
      <c r="E224" t="s">
        <v>445</v>
      </c>
      <c r="F224" s="20" t="s">
        <v>193</v>
      </c>
      <c r="G224" s="8" t="str">
        <f t="shared" si="3"/>
        <v>NEWELL JAMES</v>
      </c>
    </row>
    <row r="225" spans="1:7" x14ac:dyDescent="0.25">
      <c r="A225" s="8">
        <v>42864.818078703705</v>
      </c>
      <c r="B225" t="s">
        <v>374</v>
      </c>
      <c r="C225" t="s">
        <v>777</v>
      </c>
      <c r="D225" s="141">
        <v>1300000</v>
      </c>
      <c r="E225" t="s">
        <v>419</v>
      </c>
      <c r="F225" s="20" t="s">
        <v>420</v>
      </c>
      <c r="G225" s="8" t="str">
        <f t="shared" si="3"/>
        <v>LEVIN SCOTT</v>
      </c>
    </row>
    <row r="226" spans="1:7" x14ac:dyDescent="0.25">
      <c r="A226" s="8">
        <v>42864.820162037038</v>
      </c>
      <c r="B226" t="s">
        <v>439</v>
      </c>
      <c r="C226" t="s">
        <v>778</v>
      </c>
      <c r="D226" s="141">
        <v>3120000</v>
      </c>
      <c r="E226" t="s">
        <v>693</v>
      </c>
      <c r="F226" s="20" t="s">
        <v>694</v>
      </c>
      <c r="G226" s="8" t="str">
        <f t="shared" si="3"/>
        <v>THOMPSON LESTER</v>
      </c>
    </row>
    <row r="227" spans="1:7" x14ac:dyDescent="0.25">
      <c r="A227" s="8">
        <v>42864.828356481485</v>
      </c>
      <c r="B227" t="s">
        <v>575</v>
      </c>
      <c r="C227" t="s">
        <v>779</v>
      </c>
      <c r="D227" s="141">
        <v>1800000</v>
      </c>
      <c r="E227" t="s">
        <v>483</v>
      </c>
      <c r="F227" s="20" t="s">
        <v>484</v>
      </c>
      <c r="G227" s="8" t="str">
        <f t="shared" si="3"/>
        <v>CHANDLER KELVIN</v>
      </c>
    </row>
    <row r="228" spans="1:7" x14ac:dyDescent="0.25">
      <c r="A228" s="8">
        <v>42864.830069444448</v>
      </c>
      <c r="B228" t="s">
        <v>394</v>
      </c>
      <c r="C228" t="s">
        <v>780</v>
      </c>
      <c r="D228" s="141">
        <v>3130000</v>
      </c>
      <c r="E228" t="s">
        <v>490</v>
      </c>
      <c r="F228" s="20" t="s">
        <v>491</v>
      </c>
      <c r="G228" s="8" t="str">
        <f t="shared" si="3"/>
        <v>ZEWDU DEREJE</v>
      </c>
    </row>
    <row r="229" spans="1:7" x14ac:dyDescent="0.25">
      <c r="A229" s="8">
        <v>42864.837708333333</v>
      </c>
      <c r="B229" t="s">
        <v>458</v>
      </c>
      <c r="C229" t="s">
        <v>598</v>
      </c>
      <c r="D229" s="141">
        <v>2970000</v>
      </c>
      <c r="E229" t="s">
        <v>485</v>
      </c>
      <c r="F229" s="20" t="s">
        <v>486</v>
      </c>
      <c r="G229" s="8" t="str">
        <f t="shared" si="3"/>
        <v>GUZMAN DANNY</v>
      </c>
    </row>
    <row r="230" spans="1:7" x14ac:dyDescent="0.25">
      <c r="A230" s="8">
        <v>42864.839108796295</v>
      </c>
      <c r="B230" t="s">
        <v>462</v>
      </c>
      <c r="C230" t="s">
        <v>781</v>
      </c>
      <c r="D230" s="141">
        <v>1810000</v>
      </c>
      <c r="E230" t="s">
        <v>445</v>
      </c>
      <c r="F230" s="20" t="s">
        <v>193</v>
      </c>
      <c r="G230" s="8" t="str">
        <f t="shared" si="3"/>
        <v>NEWELL JAMES</v>
      </c>
    </row>
    <row r="231" spans="1:7" x14ac:dyDescent="0.25">
      <c r="A231" s="8">
        <v>42864.842731481483</v>
      </c>
      <c r="B231" t="s">
        <v>370</v>
      </c>
      <c r="C231" t="s">
        <v>782</v>
      </c>
      <c r="D231" s="141">
        <v>1300000</v>
      </c>
      <c r="E231" t="s">
        <v>419</v>
      </c>
      <c r="F231" s="20" t="s">
        <v>420</v>
      </c>
      <c r="G231" s="8" t="str">
        <f t="shared" si="3"/>
        <v>LEVIN SCOTT</v>
      </c>
    </row>
    <row r="232" spans="1:7" x14ac:dyDescent="0.25">
      <c r="A232" s="8">
        <v>42864.851168981484</v>
      </c>
      <c r="B232" t="s">
        <v>476</v>
      </c>
      <c r="C232" t="s">
        <v>783</v>
      </c>
      <c r="D232" s="141">
        <v>2970000</v>
      </c>
      <c r="E232" t="s">
        <v>485</v>
      </c>
      <c r="F232" s="20" t="s">
        <v>486</v>
      </c>
      <c r="G232" s="8" t="str">
        <f t="shared" si="3"/>
        <v>GUZMAN DANNY</v>
      </c>
    </row>
    <row r="233" spans="1:7" x14ac:dyDescent="0.25">
      <c r="A233" s="8">
        <v>42864.851921296293</v>
      </c>
      <c r="B233" t="s">
        <v>399</v>
      </c>
      <c r="C233" t="s">
        <v>784</v>
      </c>
      <c r="D233" s="141">
        <v>3030000</v>
      </c>
      <c r="E233" t="s">
        <v>487</v>
      </c>
      <c r="F233" s="20" t="s">
        <v>440</v>
      </c>
      <c r="G233" s="8" t="str">
        <f t="shared" si="3"/>
        <v>BIRENBAUM THOMAS</v>
      </c>
    </row>
    <row r="234" spans="1:7" x14ac:dyDescent="0.25">
      <c r="A234" s="8">
        <v>42864.859398148146</v>
      </c>
      <c r="B234" t="s">
        <v>374</v>
      </c>
      <c r="C234" t="s">
        <v>785</v>
      </c>
      <c r="D234" s="141">
        <v>1300000</v>
      </c>
      <c r="E234" t="s">
        <v>419</v>
      </c>
      <c r="F234" s="20" t="s">
        <v>420</v>
      </c>
      <c r="G234" s="8" t="str">
        <f t="shared" si="3"/>
        <v>LEVIN SCOTT</v>
      </c>
    </row>
    <row r="235" spans="1:7" x14ac:dyDescent="0.25">
      <c r="A235" s="8">
        <v>42864.868842592594</v>
      </c>
      <c r="B235" t="s">
        <v>458</v>
      </c>
      <c r="C235" t="s">
        <v>598</v>
      </c>
      <c r="D235" s="141">
        <v>2970000</v>
      </c>
      <c r="E235" t="s">
        <v>485</v>
      </c>
      <c r="F235" s="20" t="s">
        <v>486</v>
      </c>
      <c r="G235" s="8" t="str">
        <f t="shared" si="3"/>
        <v>GUZMAN DANNY</v>
      </c>
    </row>
    <row r="236" spans="1:7" x14ac:dyDescent="0.25">
      <c r="A236" s="8">
        <v>42864.87023148148</v>
      </c>
      <c r="B236" t="s">
        <v>392</v>
      </c>
      <c r="C236" t="s">
        <v>786</v>
      </c>
      <c r="D236" s="141">
        <v>3130000</v>
      </c>
      <c r="E236" t="s">
        <v>490</v>
      </c>
      <c r="F236" s="20" t="s">
        <v>491</v>
      </c>
      <c r="G236" s="8" t="str">
        <f t="shared" si="3"/>
        <v>ZEWDU DEREJE</v>
      </c>
    </row>
    <row r="237" spans="1:7" x14ac:dyDescent="0.25">
      <c r="A237" s="8">
        <v>42864.873449074075</v>
      </c>
      <c r="B237" t="s">
        <v>602</v>
      </c>
      <c r="C237" t="s">
        <v>787</v>
      </c>
      <c r="D237" s="141">
        <v>1800000</v>
      </c>
      <c r="E237" t="s">
        <v>483</v>
      </c>
      <c r="F237" s="20" t="s">
        <v>484</v>
      </c>
      <c r="G237" s="8" t="str">
        <f t="shared" si="3"/>
        <v>CHANDLER KELVIN</v>
      </c>
    </row>
    <row r="238" spans="1:7" x14ac:dyDescent="0.25">
      <c r="A238" s="8">
        <v>42864.877858796295</v>
      </c>
      <c r="B238" t="s">
        <v>370</v>
      </c>
      <c r="C238" t="s">
        <v>597</v>
      </c>
      <c r="D238" s="141">
        <v>2150000</v>
      </c>
      <c r="E238" t="s">
        <v>720</v>
      </c>
      <c r="F238" s="20" t="s">
        <v>721</v>
      </c>
      <c r="G238" s="8" t="str">
        <f t="shared" si="3"/>
        <v>SWANSON BRYCE</v>
      </c>
    </row>
    <row r="239" spans="1:7" x14ac:dyDescent="0.25">
      <c r="A239" s="8">
        <v>42864.885567129626</v>
      </c>
      <c r="B239" t="s">
        <v>476</v>
      </c>
      <c r="C239" t="s">
        <v>783</v>
      </c>
      <c r="D239" s="141">
        <v>2970000</v>
      </c>
      <c r="E239" t="s">
        <v>485</v>
      </c>
      <c r="F239" s="20" t="s">
        <v>486</v>
      </c>
      <c r="G239" s="8" t="str">
        <f t="shared" si="3"/>
        <v>GUZMAN DANNY</v>
      </c>
    </row>
    <row r="240" spans="1:7" x14ac:dyDescent="0.25">
      <c r="A240" s="8">
        <v>42864.890636574077</v>
      </c>
      <c r="B240" t="s">
        <v>400</v>
      </c>
      <c r="C240" t="s">
        <v>599</v>
      </c>
      <c r="D240" s="141">
        <v>3030000</v>
      </c>
      <c r="E240" t="s">
        <v>487</v>
      </c>
      <c r="F240" s="20" t="s">
        <v>440</v>
      </c>
      <c r="G240" s="8" t="str">
        <f t="shared" si="3"/>
        <v>BIRENBAUM THOMAS</v>
      </c>
    </row>
    <row r="241" spans="1:7" x14ac:dyDescent="0.25">
      <c r="A241" s="8">
        <v>42864.892650462964</v>
      </c>
      <c r="B241" t="s">
        <v>478</v>
      </c>
      <c r="C241" t="s">
        <v>788</v>
      </c>
      <c r="D241" s="141">
        <v>1810000</v>
      </c>
      <c r="E241" t="s">
        <v>445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42864.903321759259</v>
      </c>
      <c r="B242" t="s">
        <v>374</v>
      </c>
      <c r="C242" t="s">
        <v>789</v>
      </c>
      <c r="D242" s="141">
        <v>2150000</v>
      </c>
      <c r="E242" t="s">
        <v>720</v>
      </c>
      <c r="F242" s="20" t="s">
        <v>721</v>
      </c>
      <c r="G242" s="8" t="str">
        <f t="shared" si="3"/>
        <v>SWANSON BRYCE</v>
      </c>
    </row>
    <row r="243" spans="1:7" x14ac:dyDescent="0.25">
      <c r="A243" s="8">
        <v>42864.905312499999</v>
      </c>
      <c r="B243" t="s">
        <v>394</v>
      </c>
      <c r="C243" t="s">
        <v>790</v>
      </c>
      <c r="D243" s="141">
        <v>3130000</v>
      </c>
      <c r="E243" t="s">
        <v>490</v>
      </c>
      <c r="F243" s="20" t="s">
        <v>491</v>
      </c>
      <c r="G243" s="8" t="str">
        <f t="shared" si="3"/>
        <v>ZEWDU DEREJE</v>
      </c>
    </row>
    <row r="244" spans="1:7" x14ac:dyDescent="0.25">
      <c r="A244" s="8">
        <v>42864.911608796298</v>
      </c>
      <c r="B244" t="s">
        <v>575</v>
      </c>
      <c r="C244" t="s">
        <v>791</v>
      </c>
      <c r="D244" s="141">
        <v>1800000</v>
      </c>
      <c r="E244" t="s">
        <v>483</v>
      </c>
      <c r="F244" s="20" t="s">
        <v>484</v>
      </c>
      <c r="G244" s="8" t="str">
        <f t="shared" si="3"/>
        <v>CHANDLER KELVIN</v>
      </c>
    </row>
    <row r="245" spans="1:7" x14ac:dyDescent="0.25">
      <c r="A245" s="8">
        <v>42864.913391203707</v>
      </c>
      <c r="B245" t="s">
        <v>458</v>
      </c>
      <c r="C245" t="s">
        <v>598</v>
      </c>
      <c r="D245" s="141">
        <v>2970000</v>
      </c>
      <c r="E245" t="s">
        <v>485</v>
      </c>
      <c r="F245" s="20" t="s">
        <v>486</v>
      </c>
      <c r="G245" s="8" t="str">
        <f t="shared" si="3"/>
        <v>GUZMAN DANNY</v>
      </c>
    </row>
    <row r="246" spans="1:7" x14ac:dyDescent="0.25">
      <c r="A246" s="8">
        <v>42864.917083333334</v>
      </c>
      <c r="B246" t="s">
        <v>370</v>
      </c>
      <c r="C246" t="s">
        <v>792</v>
      </c>
      <c r="D246" s="141">
        <v>2150000</v>
      </c>
      <c r="E246" t="s">
        <v>720</v>
      </c>
      <c r="F246" s="20" t="s">
        <v>721</v>
      </c>
      <c r="G246" s="8" t="str">
        <f t="shared" si="3"/>
        <v>SWANSON BRYCE</v>
      </c>
    </row>
    <row r="247" spans="1:7" x14ac:dyDescent="0.25">
      <c r="A247" s="8">
        <v>42864.920092592591</v>
      </c>
      <c r="B247" t="s">
        <v>458</v>
      </c>
      <c r="C247" t="s">
        <v>598</v>
      </c>
      <c r="D247" s="141">
        <v>2970000</v>
      </c>
      <c r="E247" t="s">
        <v>485</v>
      </c>
      <c r="F247" s="20" t="s">
        <v>486</v>
      </c>
      <c r="G247" s="8" t="str">
        <f t="shared" si="3"/>
        <v>GUZMAN DANNY</v>
      </c>
    </row>
    <row r="248" spans="1:7" x14ac:dyDescent="0.25">
      <c r="A248" s="8">
        <v>42864.923425925925</v>
      </c>
      <c r="B248" t="s">
        <v>399</v>
      </c>
      <c r="C248" t="s">
        <v>793</v>
      </c>
      <c r="D248" s="141">
        <v>3030000</v>
      </c>
      <c r="E248" t="s">
        <v>487</v>
      </c>
      <c r="F248" s="20" t="s">
        <v>440</v>
      </c>
      <c r="G248" s="8" t="str">
        <f t="shared" si="3"/>
        <v>BIRENBAUM THOMAS</v>
      </c>
    </row>
    <row r="249" spans="1:7" x14ac:dyDescent="0.25">
      <c r="A249" s="8">
        <v>42864.929930555554</v>
      </c>
      <c r="B249" t="s">
        <v>462</v>
      </c>
      <c r="C249" t="s">
        <v>794</v>
      </c>
      <c r="D249" s="141">
        <v>1810000</v>
      </c>
      <c r="E249" t="s">
        <v>445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42864.929965277777</v>
      </c>
      <c r="B250" t="s">
        <v>476</v>
      </c>
      <c r="C250" t="s">
        <v>783</v>
      </c>
      <c r="D250" s="141">
        <v>2970000</v>
      </c>
      <c r="E250" t="s">
        <v>485</v>
      </c>
      <c r="F250" s="20" t="s">
        <v>486</v>
      </c>
      <c r="G250" s="8" t="str">
        <f t="shared" si="3"/>
        <v>GUZMAN DANNY</v>
      </c>
    </row>
    <row r="251" spans="1:7" x14ac:dyDescent="0.25">
      <c r="A251" s="8">
        <v>42864.944062499999</v>
      </c>
      <c r="B251" t="s">
        <v>374</v>
      </c>
      <c r="C251" t="s">
        <v>795</v>
      </c>
      <c r="D251" s="141">
        <v>2150000</v>
      </c>
      <c r="E251" t="s">
        <v>720</v>
      </c>
      <c r="F251" s="20" t="s">
        <v>721</v>
      </c>
      <c r="G251" s="8" t="str">
        <f t="shared" si="3"/>
        <v>SWANSON BRYCE</v>
      </c>
    </row>
    <row r="252" spans="1:7" x14ac:dyDescent="0.25">
      <c r="A252" s="8">
        <v>42864.944780092592</v>
      </c>
      <c r="B252" t="s">
        <v>458</v>
      </c>
      <c r="C252" t="s">
        <v>598</v>
      </c>
      <c r="D252" s="141">
        <v>2970000</v>
      </c>
      <c r="E252" t="s">
        <v>485</v>
      </c>
      <c r="F252" s="20" t="s">
        <v>486</v>
      </c>
      <c r="G252" s="8" t="str">
        <f t="shared" si="3"/>
        <v>GUZMAN DANNY</v>
      </c>
    </row>
    <row r="253" spans="1:7" x14ac:dyDescent="0.25">
      <c r="A253" s="8">
        <v>42864.946851851855</v>
      </c>
      <c r="B253" t="s">
        <v>602</v>
      </c>
      <c r="C253" t="s">
        <v>796</v>
      </c>
      <c r="D253" s="141">
        <v>1800000</v>
      </c>
      <c r="E253" t="s">
        <v>483</v>
      </c>
      <c r="F253" s="20" t="s">
        <v>484</v>
      </c>
      <c r="G253" s="8" t="str">
        <f t="shared" si="3"/>
        <v>CHANDLER KELVIN</v>
      </c>
    </row>
    <row r="254" spans="1:7" x14ac:dyDescent="0.25">
      <c r="A254" s="8">
        <v>42864.954687500001</v>
      </c>
      <c r="B254" t="s">
        <v>392</v>
      </c>
      <c r="C254" t="s">
        <v>797</v>
      </c>
      <c r="D254" s="141">
        <v>3130000</v>
      </c>
      <c r="E254" t="s">
        <v>490</v>
      </c>
      <c r="F254" s="20" t="s">
        <v>491</v>
      </c>
      <c r="G254" s="8" t="str">
        <f t="shared" si="3"/>
        <v>ZEWDU DEREJE</v>
      </c>
    </row>
    <row r="255" spans="1:7" x14ac:dyDescent="0.25">
      <c r="A255" s="8">
        <v>42864.95516203704</v>
      </c>
      <c r="B255" t="s">
        <v>370</v>
      </c>
      <c r="C255" t="s">
        <v>795</v>
      </c>
      <c r="D255" s="141">
        <v>2150000</v>
      </c>
      <c r="E255" t="s">
        <v>720</v>
      </c>
      <c r="F255" s="20" t="s">
        <v>721</v>
      </c>
      <c r="G255" s="8" t="str">
        <f t="shared" si="3"/>
        <v>SWANSON BRYCE</v>
      </c>
    </row>
    <row r="256" spans="1:7" x14ac:dyDescent="0.25">
      <c r="A256" s="8">
        <v>42864.959641203706</v>
      </c>
      <c r="B256" t="s">
        <v>476</v>
      </c>
      <c r="C256" t="s">
        <v>598</v>
      </c>
      <c r="D256" s="141">
        <v>2970000</v>
      </c>
      <c r="E256" t="s">
        <v>485</v>
      </c>
      <c r="F256" s="20" t="s">
        <v>486</v>
      </c>
      <c r="G256" s="8" t="str">
        <f t="shared" si="3"/>
        <v>GUZMAN DANNY</v>
      </c>
    </row>
    <row r="257" spans="1:7" x14ac:dyDescent="0.25">
      <c r="A257" s="8">
        <v>42864.960324074076</v>
      </c>
      <c r="B257" t="s">
        <v>476</v>
      </c>
      <c r="C257" t="s">
        <v>598</v>
      </c>
      <c r="D257" s="141">
        <v>2970000</v>
      </c>
      <c r="E257" t="s">
        <v>485</v>
      </c>
      <c r="F257" s="20" t="s">
        <v>486</v>
      </c>
      <c r="G257" s="8" t="str">
        <f t="shared" si="3"/>
        <v>GUZMAN DANNY</v>
      </c>
    </row>
    <row r="258" spans="1:7" x14ac:dyDescent="0.25">
      <c r="A258" s="8">
        <v>42864.963518518518</v>
      </c>
      <c r="B258" t="s">
        <v>476</v>
      </c>
      <c r="C258" t="s">
        <v>600</v>
      </c>
      <c r="D258" s="141">
        <v>2970000</v>
      </c>
      <c r="E258" t="s">
        <v>485</v>
      </c>
      <c r="F258" s="20" t="s">
        <v>486</v>
      </c>
      <c r="G258" s="8" t="str">
        <f t="shared" si="3"/>
        <v>GUZMAN DANNY</v>
      </c>
    </row>
    <row r="259" spans="1:7" x14ac:dyDescent="0.25">
      <c r="A259" s="8">
        <v>42864.964745370373</v>
      </c>
      <c r="B259" t="s">
        <v>478</v>
      </c>
      <c r="C259" t="s">
        <v>798</v>
      </c>
      <c r="D259" s="141">
        <v>1810000</v>
      </c>
      <c r="E259" t="s">
        <v>445</v>
      </c>
      <c r="F259" s="20" t="s">
        <v>193</v>
      </c>
      <c r="G259" s="8" t="str">
        <f t="shared" ref="G259:G322" si="4">E259&amp;" "&amp;F259</f>
        <v>NEWELL JAMES</v>
      </c>
    </row>
    <row r="260" spans="1:7" x14ac:dyDescent="0.25">
      <c r="A260" s="8">
        <v>42864.972210648149</v>
      </c>
      <c r="B260" t="s">
        <v>400</v>
      </c>
      <c r="C260" t="s">
        <v>799</v>
      </c>
      <c r="D260" s="141">
        <v>3030000</v>
      </c>
      <c r="E260" t="s">
        <v>487</v>
      </c>
      <c r="F260" s="20" t="s">
        <v>440</v>
      </c>
      <c r="G260" s="8" t="str">
        <f t="shared" si="4"/>
        <v>BIRENBAUM THOMAS</v>
      </c>
    </row>
    <row r="261" spans="1:7" x14ac:dyDescent="0.25">
      <c r="A261" s="8">
        <v>42864.976307870369</v>
      </c>
      <c r="B261" t="s">
        <v>476</v>
      </c>
      <c r="C261" t="s">
        <v>600</v>
      </c>
      <c r="D261" s="141">
        <v>2970000</v>
      </c>
      <c r="E261" t="s">
        <v>485</v>
      </c>
      <c r="F261" s="20" t="s">
        <v>486</v>
      </c>
      <c r="G261" s="8" t="str">
        <f t="shared" si="4"/>
        <v>GUZMAN DANNY</v>
      </c>
    </row>
    <row r="262" spans="1:7" x14ac:dyDescent="0.25">
      <c r="A262" s="8">
        <v>42864.981504629628</v>
      </c>
      <c r="B262" t="s">
        <v>458</v>
      </c>
      <c r="C262" t="s">
        <v>800</v>
      </c>
      <c r="D262" s="141">
        <v>2970000</v>
      </c>
      <c r="E262" t="s">
        <v>485</v>
      </c>
      <c r="F262" s="20" t="s">
        <v>486</v>
      </c>
      <c r="G262" s="8" t="str">
        <f t="shared" si="4"/>
        <v>GUZMAN DANNY</v>
      </c>
    </row>
    <row r="263" spans="1:7" x14ac:dyDescent="0.25">
      <c r="A263" s="8">
        <v>42864.987199074072</v>
      </c>
      <c r="B263" t="s">
        <v>575</v>
      </c>
      <c r="C263" t="s">
        <v>801</v>
      </c>
      <c r="D263" s="141">
        <v>2680000</v>
      </c>
      <c r="E263" t="s">
        <v>358</v>
      </c>
      <c r="F263" s="20" t="s">
        <v>359</v>
      </c>
      <c r="G263" s="8" t="str">
        <f t="shared" si="4"/>
        <v>DUNCAN SHEILA</v>
      </c>
    </row>
    <row r="264" spans="1:7" x14ac:dyDescent="0.25">
      <c r="A264" s="8">
        <v>42864.987268518518</v>
      </c>
      <c r="B264" t="s">
        <v>394</v>
      </c>
      <c r="C264" t="s">
        <v>802</v>
      </c>
      <c r="D264" s="141">
        <v>3130000</v>
      </c>
      <c r="E264" t="s">
        <v>490</v>
      </c>
      <c r="F264" s="20" t="s">
        <v>491</v>
      </c>
      <c r="G264" s="8" t="str">
        <f t="shared" si="4"/>
        <v>ZEWDU DEREJE</v>
      </c>
    </row>
    <row r="265" spans="1:7" x14ac:dyDescent="0.25">
      <c r="A265" s="8">
        <v>42864.998842592591</v>
      </c>
      <c r="B265" t="s">
        <v>476</v>
      </c>
      <c r="C265" t="s">
        <v>600</v>
      </c>
      <c r="D265" s="141">
        <v>2970000</v>
      </c>
      <c r="E265" t="s">
        <v>485</v>
      </c>
      <c r="F265" s="20" t="s">
        <v>486</v>
      </c>
      <c r="G265" s="8" t="str">
        <f t="shared" si="4"/>
        <v>GUZMAN DANNY</v>
      </c>
    </row>
    <row r="266" spans="1:7" x14ac:dyDescent="0.25">
      <c r="A266" s="8">
        <v>42865.013726851852</v>
      </c>
      <c r="B266" t="s">
        <v>458</v>
      </c>
      <c r="C266" t="s">
        <v>800</v>
      </c>
      <c r="D266" s="141">
        <v>2970000</v>
      </c>
      <c r="E266" t="s">
        <v>485</v>
      </c>
      <c r="F266" s="20" t="s">
        <v>486</v>
      </c>
      <c r="G266" s="8" t="str">
        <f t="shared" si="4"/>
        <v>GUZMAN DANNY</v>
      </c>
    </row>
    <row r="267" spans="1:7" x14ac:dyDescent="0.25">
      <c r="A267" s="8">
        <v>42865.015601851854</v>
      </c>
      <c r="B267" t="s">
        <v>399</v>
      </c>
      <c r="C267" t="s">
        <v>803</v>
      </c>
      <c r="D267" s="141">
        <v>3030000</v>
      </c>
      <c r="E267" t="s">
        <v>487</v>
      </c>
      <c r="F267" s="20" t="s">
        <v>440</v>
      </c>
      <c r="G267" s="8" t="str">
        <f t="shared" si="4"/>
        <v>BIRENBAUM THOMAS</v>
      </c>
    </row>
    <row r="268" spans="1:7" x14ac:dyDescent="0.25">
      <c r="A268" s="8">
        <v>42865.0156712963</v>
      </c>
      <c r="B268" t="s">
        <v>462</v>
      </c>
      <c r="C268" t="s">
        <v>804</v>
      </c>
      <c r="D268" s="141">
        <v>1810000</v>
      </c>
      <c r="E268" t="s">
        <v>445</v>
      </c>
      <c r="F268" s="20" t="s">
        <v>193</v>
      </c>
      <c r="G268" s="8" t="str">
        <f t="shared" si="4"/>
        <v>NEWELL JAMES</v>
      </c>
    </row>
    <row r="269" spans="1:7" x14ac:dyDescent="0.25">
      <c r="A269" s="8">
        <v>42865.028356481482</v>
      </c>
      <c r="B269" t="s">
        <v>476</v>
      </c>
      <c r="C269" t="s">
        <v>800</v>
      </c>
      <c r="D269" s="141">
        <v>2970000</v>
      </c>
      <c r="E269" t="s">
        <v>485</v>
      </c>
      <c r="F269" s="20" t="s">
        <v>486</v>
      </c>
      <c r="G269" s="8" t="str">
        <f t="shared" si="4"/>
        <v>GUZMAN DANNY</v>
      </c>
    </row>
    <row r="270" spans="1:7" x14ac:dyDescent="0.25">
      <c r="A270" s="8">
        <v>42865.031400462962</v>
      </c>
      <c r="B270" t="s">
        <v>602</v>
      </c>
      <c r="C270" t="s">
        <v>805</v>
      </c>
      <c r="D270" s="141">
        <v>1800000</v>
      </c>
      <c r="E270" t="s">
        <v>483</v>
      </c>
      <c r="F270" s="20" t="s">
        <v>484</v>
      </c>
      <c r="G270" s="8" t="str">
        <f t="shared" si="4"/>
        <v>CHANDLER KELVIN</v>
      </c>
    </row>
    <row r="271" spans="1:7" x14ac:dyDescent="0.25">
      <c r="A271" s="8">
        <v>42865.034675925926</v>
      </c>
      <c r="B271" t="s">
        <v>392</v>
      </c>
      <c r="C271" t="s">
        <v>806</v>
      </c>
      <c r="D271" s="141">
        <v>3130000</v>
      </c>
      <c r="E271" t="s">
        <v>490</v>
      </c>
      <c r="F271" s="20" t="s">
        <v>491</v>
      </c>
      <c r="G271" s="8" t="str">
        <f t="shared" si="4"/>
        <v>ZEWDU DEREJE</v>
      </c>
    </row>
    <row r="272" spans="1:7" x14ac:dyDescent="0.25">
      <c r="A272" s="8">
        <v>42865.0466087963</v>
      </c>
      <c r="B272" t="s">
        <v>478</v>
      </c>
      <c r="C272" t="s">
        <v>807</v>
      </c>
      <c r="D272" s="141">
        <v>1810000</v>
      </c>
      <c r="E272" t="s">
        <v>445</v>
      </c>
      <c r="F272" s="20" t="s">
        <v>193</v>
      </c>
      <c r="G272" s="8" t="str">
        <f t="shared" si="4"/>
        <v>NEWELL JAMES</v>
      </c>
    </row>
    <row r="273" spans="1:7" x14ac:dyDescent="0.25">
      <c r="A273" s="8">
        <v>42865.057812500003</v>
      </c>
      <c r="B273" t="s">
        <v>400</v>
      </c>
      <c r="C273" t="s">
        <v>808</v>
      </c>
      <c r="D273" s="141">
        <v>3030000</v>
      </c>
      <c r="E273" t="s">
        <v>487</v>
      </c>
      <c r="F273" s="20" t="s">
        <v>440</v>
      </c>
      <c r="G273" s="8" t="str">
        <f t="shared" si="4"/>
        <v>BIRENBAUM THOMAS</v>
      </c>
    </row>
    <row r="274" spans="1:7" x14ac:dyDescent="0.25">
      <c r="A274" s="8">
        <v>42865.071076388886</v>
      </c>
      <c r="B274" t="s">
        <v>394</v>
      </c>
      <c r="C274" t="s">
        <v>809</v>
      </c>
      <c r="D274" s="141">
        <v>3130000</v>
      </c>
      <c r="E274" t="s">
        <v>490</v>
      </c>
      <c r="F274" s="20" t="s">
        <v>491</v>
      </c>
      <c r="G274" s="8" t="str">
        <f t="shared" si="4"/>
        <v>ZEWDU DEREJE</v>
      </c>
    </row>
    <row r="275" spans="1:7" x14ac:dyDescent="0.25">
      <c r="A275" s="8">
        <v>42865.087962962964</v>
      </c>
      <c r="B275" t="s">
        <v>399</v>
      </c>
      <c r="C275" t="s">
        <v>810</v>
      </c>
      <c r="D275" s="141">
        <v>3030000</v>
      </c>
      <c r="E275" t="s">
        <v>487</v>
      </c>
      <c r="F275" s="20" t="s">
        <v>440</v>
      </c>
      <c r="G275" s="8" t="str">
        <f t="shared" si="4"/>
        <v>BIRENBAUM THOMAS</v>
      </c>
    </row>
    <row r="276" spans="1:7" x14ac:dyDescent="0.25">
      <c r="A276" s="8">
        <v>42863.968969907408</v>
      </c>
      <c r="B276" t="s">
        <v>380</v>
      </c>
      <c r="C276" t="s">
        <v>467</v>
      </c>
      <c r="D276" s="141">
        <v>2230000</v>
      </c>
      <c r="E276" t="s">
        <v>347</v>
      </c>
      <c r="F276" s="20" t="s">
        <v>196</v>
      </c>
      <c r="G276" s="8" t="str">
        <f t="shared" si="4"/>
        <v>SMITH MICHAEL</v>
      </c>
    </row>
    <row r="277" spans="1:7" x14ac:dyDescent="0.25">
      <c r="A277" s="8">
        <v>42863.973136574074</v>
      </c>
      <c r="B277" t="s">
        <v>461</v>
      </c>
      <c r="C277" t="s">
        <v>492</v>
      </c>
      <c r="D277" s="141">
        <v>3130000</v>
      </c>
      <c r="E277" t="s">
        <v>490</v>
      </c>
      <c r="F277" s="20" t="s">
        <v>491</v>
      </c>
      <c r="G277" s="8" t="str">
        <f t="shared" si="4"/>
        <v>ZEWDU DEREJE</v>
      </c>
    </row>
    <row r="278" spans="1:7" x14ac:dyDescent="0.25">
      <c r="A278" s="8">
        <v>42863.977465277778</v>
      </c>
      <c r="B278" t="s">
        <v>409</v>
      </c>
      <c r="C278" t="s">
        <v>466</v>
      </c>
      <c r="D278" s="141">
        <v>3040000</v>
      </c>
      <c r="E278" t="s">
        <v>488</v>
      </c>
      <c r="F278" s="20" t="s">
        <v>489</v>
      </c>
      <c r="G278" s="8" t="str">
        <f t="shared" si="4"/>
        <v>WILLIAMS DONTE</v>
      </c>
    </row>
    <row r="279" spans="1:7" x14ac:dyDescent="0.25">
      <c r="A279" s="8">
        <v>42863.981481481482</v>
      </c>
      <c r="B279" t="s">
        <v>408</v>
      </c>
      <c r="C279" t="s">
        <v>466</v>
      </c>
      <c r="D279" s="141">
        <v>3040000</v>
      </c>
      <c r="E279" t="s">
        <v>488</v>
      </c>
      <c r="F279" s="20" t="s">
        <v>489</v>
      </c>
      <c r="G279" s="8" t="str">
        <f t="shared" si="4"/>
        <v>WILLIAMS DONTE</v>
      </c>
    </row>
    <row r="280" spans="1:7" x14ac:dyDescent="0.25">
      <c r="A280" s="8">
        <v>42863.982152777775</v>
      </c>
      <c r="B280" t="s">
        <v>476</v>
      </c>
      <c r="C280" t="s">
        <v>465</v>
      </c>
      <c r="D280" s="141">
        <v>2970000</v>
      </c>
      <c r="E280" t="s">
        <v>485</v>
      </c>
      <c r="F280" s="20" t="s">
        <v>486</v>
      </c>
      <c r="G280" s="8" t="str">
        <f t="shared" si="4"/>
        <v>GUZMAN DANNY</v>
      </c>
    </row>
    <row r="281" spans="1:7" x14ac:dyDescent="0.25">
      <c r="A281" s="8">
        <v>42863.982546296298</v>
      </c>
      <c r="B281" t="s">
        <v>408</v>
      </c>
      <c r="C281" t="s">
        <v>466</v>
      </c>
      <c r="D281" s="141">
        <v>3040000</v>
      </c>
      <c r="E281" t="s">
        <v>488</v>
      </c>
      <c r="F281" s="20" t="s">
        <v>489</v>
      </c>
      <c r="G281" s="8" t="str">
        <f t="shared" si="4"/>
        <v>WILLIAMS DONTE</v>
      </c>
    </row>
    <row r="282" spans="1:7" x14ac:dyDescent="0.25">
      <c r="A282" s="8">
        <v>42863.991898148146</v>
      </c>
      <c r="B282" t="s">
        <v>346</v>
      </c>
      <c r="C282" t="s">
        <v>493</v>
      </c>
      <c r="D282" s="141">
        <v>3030000</v>
      </c>
      <c r="E282" t="s">
        <v>487</v>
      </c>
      <c r="F282" s="20" t="s">
        <v>440</v>
      </c>
      <c r="G282" s="8" t="str">
        <f t="shared" si="4"/>
        <v>BIRENBAUM THOMAS</v>
      </c>
    </row>
    <row r="283" spans="1:7" x14ac:dyDescent="0.25">
      <c r="A283" s="8">
        <v>42863.993750000001</v>
      </c>
      <c r="B283" t="s">
        <v>458</v>
      </c>
      <c r="C283" t="s">
        <v>465</v>
      </c>
      <c r="D283" s="141">
        <v>2970000</v>
      </c>
      <c r="E283" t="s">
        <v>485</v>
      </c>
      <c r="F283" s="20" t="s">
        <v>486</v>
      </c>
      <c r="G283" s="8" t="str">
        <f t="shared" si="4"/>
        <v>GUZMAN DANNY</v>
      </c>
    </row>
    <row r="284" spans="1:7" x14ac:dyDescent="0.25">
      <c r="A284" s="8">
        <v>42863.994363425925</v>
      </c>
      <c r="B284" t="s">
        <v>458</v>
      </c>
      <c r="C284" t="s">
        <v>465</v>
      </c>
      <c r="D284" s="141">
        <v>2970000</v>
      </c>
      <c r="E284" t="s">
        <v>485</v>
      </c>
      <c r="F284" s="20" t="s">
        <v>486</v>
      </c>
      <c r="G284" s="8" t="str">
        <f t="shared" si="4"/>
        <v>GUZMAN DANNY</v>
      </c>
    </row>
    <row r="285" spans="1:7" x14ac:dyDescent="0.25">
      <c r="A285" s="8">
        <v>42863.995520833334</v>
      </c>
      <c r="B285" t="s">
        <v>345</v>
      </c>
      <c r="C285" t="s">
        <v>494</v>
      </c>
      <c r="D285" s="141">
        <v>1800000</v>
      </c>
      <c r="E285" t="s">
        <v>483</v>
      </c>
      <c r="F285" s="20" t="s">
        <v>484</v>
      </c>
      <c r="G285" s="8" t="str">
        <f t="shared" si="4"/>
        <v>CHANDLER KELVIN</v>
      </c>
    </row>
    <row r="286" spans="1:7" x14ac:dyDescent="0.25">
      <c r="A286" s="8">
        <v>42864.007430555554</v>
      </c>
      <c r="B286" t="s">
        <v>476</v>
      </c>
      <c r="C286" t="s">
        <v>465</v>
      </c>
      <c r="D286" s="141">
        <v>2970000</v>
      </c>
      <c r="E286" t="s">
        <v>485</v>
      </c>
      <c r="F286" s="20" t="s">
        <v>486</v>
      </c>
      <c r="G286" s="8" t="str">
        <f t="shared" si="4"/>
        <v>GUZMAN DANNY</v>
      </c>
    </row>
    <row r="287" spans="1:7" x14ac:dyDescent="0.25">
      <c r="A287" s="8">
        <v>42864.009456018517</v>
      </c>
      <c r="B287" t="s">
        <v>398</v>
      </c>
      <c r="C287" t="s">
        <v>495</v>
      </c>
      <c r="D287" s="141">
        <v>2230000</v>
      </c>
      <c r="E287" t="s">
        <v>347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42864.018831018519</v>
      </c>
      <c r="B288" t="s">
        <v>468</v>
      </c>
      <c r="C288" t="s">
        <v>492</v>
      </c>
      <c r="D288" s="141">
        <v>3130000</v>
      </c>
      <c r="E288" t="s">
        <v>490</v>
      </c>
      <c r="F288" s="20" t="s">
        <v>491</v>
      </c>
      <c r="G288" s="8" t="str">
        <f t="shared" si="4"/>
        <v>ZEWDU DEREJE</v>
      </c>
    </row>
    <row r="289" spans="1:7" x14ac:dyDescent="0.25">
      <c r="A289" s="8">
        <v>42864.019791666666</v>
      </c>
      <c r="B289" t="s">
        <v>409</v>
      </c>
      <c r="C289" t="s">
        <v>466</v>
      </c>
      <c r="D289" s="141">
        <v>3040000</v>
      </c>
      <c r="E289" t="s">
        <v>488</v>
      </c>
      <c r="F289" s="20" t="s">
        <v>489</v>
      </c>
      <c r="G289" s="8" t="str">
        <f t="shared" si="4"/>
        <v>WILLIAMS DONTE</v>
      </c>
    </row>
    <row r="290" spans="1:7" x14ac:dyDescent="0.25">
      <c r="A290" s="8">
        <v>42864.019803240742</v>
      </c>
      <c r="B290" t="s">
        <v>468</v>
      </c>
      <c r="C290" t="s">
        <v>492</v>
      </c>
      <c r="D290" s="141">
        <v>3130000</v>
      </c>
      <c r="E290" t="s">
        <v>490</v>
      </c>
      <c r="F290" s="20" t="s">
        <v>491</v>
      </c>
      <c r="G290" s="8" t="str">
        <f t="shared" si="4"/>
        <v>ZEWDU DEREJE</v>
      </c>
    </row>
    <row r="291" spans="1:7" x14ac:dyDescent="0.25">
      <c r="A291" s="8">
        <v>42864.020671296297</v>
      </c>
      <c r="B291" t="s">
        <v>409</v>
      </c>
      <c r="C291" t="s">
        <v>466</v>
      </c>
      <c r="D291" s="141">
        <v>3040000</v>
      </c>
      <c r="E291" t="s">
        <v>488</v>
      </c>
      <c r="F291" s="20" t="s">
        <v>489</v>
      </c>
      <c r="G291" s="8" t="str">
        <f t="shared" si="4"/>
        <v>WILLIAMS DONTE</v>
      </c>
    </row>
    <row r="292" spans="1:7" x14ac:dyDescent="0.25">
      <c r="A292" s="8">
        <v>42864.02140046296</v>
      </c>
      <c r="B292" t="s">
        <v>458</v>
      </c>
      <c r="C292" t="s">
        <v>465</v>
      </c>
      <c r="D292" s="141">
        <v>2970000</v>
      </c>
      <c r="E292" t="s">
        <v>485</v>
      </c>
      <c r="F292" s="20" t="s">
        <v>486</v>
      </c>
      <c r="G292" s="8" t="str">
        <f t="shared" si="4"/>
        <v>GUZMAN DANNY</v>
      </c>
    </row>
    <row r="293" spans="1:7" x14ac:dyDescent="0.25">
      <c r="A293" s="8">
        <v>42864.021481481483</v>
      </c>
      <c r="B293" t="s">
        <v>468</v>
      </c>
      <c r="C293" t="s">
        <v>469</v>
      </c>
      <c r="D293" s="141">
        <v>3130000</v>
      </c>
      <c r="E293" t="s">
        <v>490</v>
      </c>
      <c r="F293" s="20" t="s">
        <v>491</v>
      </c>
      <c r="G293" s="8" t="str">
        <f t="shared" si="4"/>
        <v>ZEWDU DEREJE</v>
      </c>
    </row>
    <row r="294" spans="1:7" x14ac:dyDescent="0.25">
      <c r="A294" s="8">
        <v>42864.022488425922</v>
      </c>
      <c r="B294" t="s">
        <v>409</v>
      </c>
      <c r="C294" t="s">
        <v>466</v>
      </c>
      <c r="D294" s="141">
        <v>3040000</v>
      </c>
      <c r="E294" t="s">
        <v>488</v>
      </c>
      <c r="F294" s="20" t="s">
        <v>489</v>
      </c>
      <c r="G294" s="8" t="str">
        <f t="shared" si="4"/>
        <v>WILLIAMS DONTE</v>
      </c>
    </row>
    <row r="295" spans="1:7" x14ac:dyDescent="0.25">
      <c r="A295" s="8">
        <v>42864.030914351853</v>
      </c>
      <c r="B295" t="s">
        <v>344</v>
      </c>
      <c r="C295" t="s">
        <v>496</v>
      </c>
      <c r="D295" s="141">
        <v>1800000</v>
      </c>
      <c r="E295" t="s">
        <v>483</v>
      </c>
      <c r="F295" s="20" t="s">
        <v>484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438</v>
      </c>
      <c r="C296" t="s">
        <v>497</v>
      </c>
      <c r="D296" s="141">
        <v>3030000</v>
      </c>
      <c r="E296" t="s">
        <v>487</v>
      </c>
      <c r="F296" s="20" t="s">
        <v>440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476</v>
      </c>
      <c r="C297" t="s">
        <v>465</v>
      </c>
      <c r="D297" s="141">
        <v>2970000</v>
      </c>
      <c r="E297" t="s">
        <v>485</v>
      </c>
      <c r="F297" s="20" t="s">
        <v>486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380</v>
      </c>
      <c r="C298" t="s">
        <v>498</v>
      </c>
      <c r="D298" s="141">
        <v>2230000</v>
      </c>
      <c r="E298" t="s">
        <v>347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458</v>
      </c>
      <c r="C299" t="s">
        <v>465</v>
      </c>
      <c r="D299" s="141">
        <v>2970000</v>
      </c>
      <c r="E299" t="s">
        <v>485</v>
      </c>
      <c r="F299" s="20" t="s">
        <v>486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461</v>
      </c>
      <c r="C300" t="s">
        <v>470</v>
      </c>
      <c r="D300" s="141">
        <v>3130000</v>
      </c>
      <c r="E300" t="s">
        <v>490</v>
      </c>
      <c r="F300" s="20" t="s">
        <v>491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458</v>
      </c>
      <c r="C301" t="s">
        <v>465</v>
      </c>
      <c r="D301" s="141">
        <v>2970000</v>
      </c>
      <c r="E301" t="s">
        <v>485</v>
      </c>
      <c r="F301" s="20" t="s">
        <v>486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408</v>
      </c>
      <c r="C302" t="s">
        <v>466</v>
      </c>
      <c r="D302" s="141">
        <v>3040000</v>
      </c>
      <c r="E302" t="s">
        <v>488</v>
      </c>
      <c r="F302" s="20" t="s">
        <v>489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408</v>
      </c>
      <c r="C303" t="s">
        <v>466</v>
      </c>
      <c r="D303" s="141">
        <v>3040000</v>
      </c>
      <c r="E303" t="s">
        <v>488</v>
      </c>
      <c r="F303" s="20" t="s">
        <v>489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346</v>
      </c>
      <c r="C304" t="s">
        <v>499</v>
      </c>
      <c r="D304" s="141">
        <v>3030000</v>
      </c>
      <c r="E304" t="s">
        <v>487</v>
      </c>
      <c r="F304" s="20" t="s">
        <v>440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476</v>
      </c>
      <c r="C305" t="s">
        <v>465</v>
      </c>
      <c r="D305" s="141">
        <v>2970000</v>
      </c>
      <c r="E305" t="s">
        <v>485</v>
      </c>
      <c r="F305" s="20" t="s">
        <v>486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458</v>
      </c>
      <c r="C306" t="s">
        <v>465</v>
      </c>
      <c r="D306" s="141">
        <v>2970000</v>
      </c>
      <c r="E306" t="s">
        <v>485</v>
      </c>
      <c r="F306" s="20" t="s">
        <v>486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409</v>
      </c>
      <c r="C307" t="s">
        <v>466</v>
      </c>
      <c r="D307" s="141">
        <v>3040000</v>
      </c>
      <c r="E307" t="s">
        <v>488</v>
      </c>
      <c r="F307" s="20" t="s">
        <v>489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468</v>
      </c>
      <c r="C308" t="s">
        <v>500</v>
      </c>
      <c r="D308" s="141">
        <v>3130000</v>
      </c>
      <c r="E308" t="s">
        <v>490</v>
      </c>
      <c r="F308" s="20" t="s">
        <v>491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408</v>
      </c>
      <c r="C309" t="s">
        <v>466</v>
      </c>
      <c r="D309" s="141">
        <v>3040000</v>
      </c>
      <c r="E309" t="s">
        <v>488</v>
      </c>
      <c r="F309" s="20" t="s">
        <v>489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476</v>
      </c>
      <c r="C310" t="s">
        <v>465</v>
      </c>
      <c r="D310" s="141">
        <v>2970000</v>
      </c>
      <c r="E310" t="s">
        <v>485</v>
      </c>
      <c r="F310" s="20" t="s">
        <v>486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458</v>
      </c>
      <c r="C311" t="s">
        <v>465</v>
      </c>
      <c r="D311" s="141">
        <v>2970000</v>
      </c>
      <c r="E311" t="s">
        <v>485</v>
      </c>
      <c r="F311" s="20" t="s">
        <v>486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446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52.31</v>
      </c>
      <c r="B2" s="168">
        <v>1</v>
      </c>
      <c r="C2" s="168">
        <v>50.24</v>
      </c>
      <c r="D2" s="8">
        <v>42864</v>
      </c>
      <c r="E2" s="168">
        <v>0.93</v>
      </c>
      <c r="F2" s="168" t="s">
        <v>447</v>
      </c>
      <c r="G2" s="168">
        <v>315.14</v>
      </c>
      <c r="H2" s="168">
        <v>4.5100000000000001E-2</v>
      </c>
      <c r="I2" s="168">
        <v>0.71</v>
      </c>
      <c r="J2" s="168" t="s">
        <v>447</v>
      </c>
      <c r="K2" s="168">
        <v>1015.58</v>
      </c>
      <c r="L2" s="168" t="s">
        <v>501</v>
      </c>
      <c r="M2" s="168">
        <v>52.31</v>
      </c>
      <c r="N2" s="168">
        <v>1494309600</v>
      </c>
      <c r="O2" s="168">
        <v>4</v>
      </c>
      <c r="P2" s="168">
        <v>337</v>
      </c>
      <c r="Q2" s="168">
        <v>2.5</v>
      </c>
      <c r="R2"/>
    </row>
    <row r="3" spans="1:18" x14ac:dyDescent="0.25">
      <c r="A3" s="168">
        <v>52.73</v>
      </c>
      <c r="B3" s="168">
        <v>0.96</v>
      </c>
      <c r="C3" s="168">
        <v>50.38</v>
      </c>
      <c r="D3" s="8">
        <v>42864.041666666664</v>
      </c>
      <c r="E3" s="168">
        <v>0.92</v>
      </c>
      <c r="F3" s="168" t="s">
        <v>447</v>
      </c>
      <c r="G3" s="168">
        <v>316.01</v>
      </c>
      <c r="H3" s="168">
        <v>3.3099999999999997E-2</v>
      </c>
      <c r="I3" s="168">
        <v>0.67</v>
      </c>
      <c r="J3" s="168" t="s">
        <v>447</v>
      </c>
      <c r="K3" s="168">
        <v>1015.19</v>
      </c>
      <c r="L3" s="168" t="s">
        <v>501</v>
      </c>
      <c r="M3" s="168">
        <v>52.73</v>
      </c>
      <c r="N3" s="168">
        <v>1494313200</v>
      </c>
      <c r="O3" s="168">
        <v>3.64</v>
      </c>
      <c r="P3" s="168">
        <v>313</v>
      </c>
      <c r="Q3" s="168">
        <v>1.39</v>
      </c>
      <c r="R3"/>
    </row>
    <row r="4" spans="1:18" x14ac:dyDescent="0.25">
      <c r="A4" s="168">
        <v>51.84</v>
      </c>
      <c r="B4" s="168">
        <v>0.97</v>
      </c>
      <c r="C4" s="168">
        <v>49.47</v>
      </c>
      <c r="D4" s="8">
        <v>42864.083333333336</v>
      </c>
      <c r="E4" s="168">
        <v>0.92</v>
      </c>
      <c r="F4" s="168" t="s">
        <v>447</v>
      </c>
      <c r="G4" s="168">
        <v>316.89</v>
      </c>
      <c r="H4" s="168">
        <v>2.07E-2</v>
      </c>
      <c r="I4" s="168">
        <v>0.61</v>
      </c>
      <c r="J4" s="168" t="s">
        <v>447</v>
      </c>
      <c r="K4" s="168">
        <v>1014.71</v>
      </c>
      <c r="L4" s="168" t="s">
        <v>501</v>
      </c>
      <c r="M4" s="168">
        <v>51.84</v>
      </c>
      <c r="N4" s="168">
        <v>1494316800</v>
      </c>
      <c r="O4" s="168">
        <v>3.53</v>
      </c>
      <c r="P4" s="168">
        <v>328</v>
      </c>
      <c r="Q4" s="168">
        <v>1.39</v>
      </c>
      <c r="R4"/>
    </row>
    <row r="5" spans="1:18" x14ac:dyDescent="0.25">
      <c r="A5" s="168">
        <v>51.46</v>
      </c>
      <c r="B5" s="168">
        <v>0.93</v>
      </c>
      <c r="C5" s="168">
        <v>49.3</v>
      </c>
      <c r="D5" s="8">
        <v>42864.125</v>
      </c>
      <c r="E5" s="168">
        <v>0.92</v>
      </c>
      <c r="F5" s="168" t="s">
        <v>447</v>
      </c>
      <c r="G5" s="168">
        <v>317.76</v>
      </c>
      <c r="H5" s="168">
        <v>6.7999999999999996E-3</v>
      </c>
      <c r="I5" s="168">
        <v>0.33</v>
      </c>
      <c r="J5" s="168" t="s">
        <v>447</v>
      </c>
      <c r="K5" s="168">
        <v>1014.14</v>
      </c>
      <c r="L5" s="168" t="s">
        <v>502</v>
      </c>
      <c r="M5" s="168">
        <v>51.46</v>
      </c>
      <c r="N5" s="168">
        <v>1494320400</v>
      </c>
      <c r="O5" s="168">
        <v>4.16</v>
      </c>
      <c r="P5" s="168">
        <v>303</v>
      </c>
      <c r="Q5" s="168">
        <v>1.19</v>
      </c>
      <c r="R5"/>
    </row>
    <row r="6" spans="1:18" x14ac:dyDescent="0.25">
      <c r="A6" s="168">
        <v>50.34</v>
      </c>
      <c r="B6" s="168">
        <v>0.93</v>
      </c>
      <c r="C6" s="168">
        <v>47.99</v>
      </c>
      <c r="D6" s="8">
        <v>42864.166666666664</v>
      </c>
      <c r="E6" s="168">
        <v>0.92</v>
      </c>
      <c r="F6" s="168" t="s">
        <v>423</v>
      </c>
      <c r="G6" s="168">
        <v>317.89</v>
      </c>
      <c r="H6" s="168">
        <v>2.8E-3</v>
      </c>
      <c r="I6" s="168">
        <v>0.09</v>
      </c>
      <c r="J6" s="168" t="s">
        <v>447</v>
      </c>
      <c r="K6" s="168">
        <v>1013.77</v>
      </c>
      <c r="L6" s="168" t="s">
        <v>422</v>
      </c>
      <c r="M6" s="168">
        <v>50.34</v>
      </c>
      <c r="N6" s="168">
        <v>1494324000</v>
      </c>
      <c r="O6" s="168">
        <v>4.21</v>
      </c>
      <c r="P6" s="168">
        <v>281</v>
      </c>
      <c r="Q6" s="168">
        <v>0.74</v>
      </c>
      <c r="R6"/>
    </row>
    <row r="7" spans="1:18" x14ac:dyDescent="0.25">
      <c r="A7" s="168">
        <v>49.62</v>
      </c>
      <c r="B7" s="168">
        <v>0.94</v>
      </c>
      <c r="C7" s="168">
        <v>47.06</v>
      </c>
      <c r="D7" s="8">
        <v>42864.208333333336</v>
      </c>
      <c r="E7" s="168">
        <v>0.91</v>
      </c>
      <c r="F7" s="168" t="s">
        <v>811</v>
      </c>
      <c r="G7" s="168">
        <v>317.70999999999998</v>
      </c>
      <c r="H7" s="168">
        <v>2.8E-3</v>
      </c>
      <c r="I7" s="168">
        <v>0.09</v>
      </c>
      <c r="J7" s="168" t="s">
        <v>447</v>
      </c>
      <c r="K7" s="168">
        <v>1013.64</v>
      </c>
      <c r="L7" s="168" t="s">
        <v>812</v>
      </c>
      <c r="M7" s="168">
        <v>49.62</v>
      </c>
      <c r="N7" s="168">
        <v>1494327600</v>
      </c>
      <c r="O7" s="168">
        <v>4.79</v>
      </c>
      <c r="P7" s="168">
        <v>213</v>
      </c>
      <c r="Q7" s="168">
        <v>1.74</v>
      </c>
      <c r="R7"/>
    </row>
    <row r="8" spans="1:18" x14ac:dyDescent="0.25">
      <c r="A8" s="168">
        <v>50.66</v>
      </c>
      <c r="B8" s="168">
        <v>0.93</v>
      </c>
      <c r="C8" s="168">
        <v>47.2</v>
      </c>
      <c r="D8" s="8">
        <v>42864.25</v>
      </c>
      <c r="E8" s="168">
        <v>0.88</v>
      </c>
      <c r="F8" s="168" t="s">
        <v>421</v>
      </c>
      <c r="G8" s="168">
        <v>317.66000000000003</v>
      </c>
      <c r="H8" s="168">
        <v>2.8999999999999998E-3</v>
      </c>
      <c r="I8" s="168">
        <v>0.09</v>
      </c>
      <c r="J8" s="168" t="s">
        <v>447</v>
      </c>
      <c r="K8" s="168">
        <v>1013.55</v>
      </c>
      <c r="L8" s="168" t="s">
        <v>422</v>
      </c>
      <c r="M8" s="168">
        <v>50.66</v>
      </c>
      <c r="N8" s="168">
        <v>1494331200</v>
      </c>
      <c r="O8" s="168">
        <v>5.46</v>
      </c>
      <c r="P8" s="168">
        <v>194</v>
      </c>
      <c r="Q8" s="168">
        <v>2.15</v>
      </c>
      <c r="R8"/>
    </row>
    <row r="9" spans="1:18" x14ac:dyDescent="0.25">
      <c r="A9" s="168">
        <v>51.14</v>
      </c>
      <c r="B9" s="168">
        <v>0.93</v>
      </c>
      <c r="C9" s="168">
        <v>47.59</v>
      </c>
      <c r="D9" s="8">
        <v>42864.291666666664</v>
      </c>
      <c r="E9" s="168">
        <v>0.88</v>
      </c>
      <c r="F9" s="168" t="s">
        <v>421</v>
      </c>
      <c r="G9" s="168">
        <v>318.06</v>
      </c>
      <c r="H9" s="168">
        <v>2.3999999999999998E-3</v>
      </c>
      <c r="I9" s="168">
        <v>7.0000000000000007E-2</v>
      </c>
      <c r="J9" s="168" t="s">
        <v>447</v>
      </c>
      <c r="K9" s="168">
        <v>1013.28</v>
      </c>
      <c r="L9" s="168" t="s">
        <v>422</v>
      </c>
      <c r="M9" s="168">
        <v>51.14</v>
      </c>
      <c r="N9" s="168">
        <v>1494334800</v>
      </c>
      <c r="O9" s="168">
        <v>5.57</v>
      </c>
      <c r="P9" s="168">
        <v>166</v>
      </c>
      <c r="Q9" s="168">
        <v>2.71</v>
      </c>
      <c r="R9"/>
    </row>
    <row r="10" spans="1:18" x14ac:dyDescent="0.25">
      <c r="A10" s="168">
        <v>53.36</v>
      </c>
      <c r="B10" s="168">
        <v>0.95</v>
      </c>
      <c r="C10" s="168">
        <v>48.24</v>
      </c>
      <c r="D10" s="8">
        <v>42864.333333333336</v>
      </c>
      <c r="E10" s="168">
        <v>0.83</v>
      </c>
      <c r="F10" s="168" t="s">
        <v>811</v>
      </c>
      <c r="G10" s="168">
        <v>318.57</v>
      </c>
      <c r="H10" s="168">
        <v>1.6000000000000001E-3</v>
      </c>
      <c r="I10" s="168">
        <v>0.03</v>
      </c>
      <c r="J10" s="168" t="s">
        <v>447</v>
      </c>
      <c r="K10" s="168">
        <v>1012.92</v>
      </c>
      <c r="L10" s="168" t="s">
        <v>812</v>
      </c>
      <c r="M10" s="168">
        <v>53.36</v>
      </c>
      <c r="N10" s="168">
        <v>1494338400</v>
      </c>
      <c r="O10" s="168">
        <v>5.04</v>
      </c>
      <c r="P10" s="168">
        <v>134</v>
      </c>
      <c r="Q10" s="168">
        <v>2.2599999999999998</v>
      </c>
      <c r="R10"/>
    </row>
    <row r="11" spans="1:18" x14ac:dyDescent="0.25">
      <c r="A11" s="168">
        <v>55.87</v>
      </c>
      <c r="B11" s="168">
        <v>0.97</v>
      </c>
      <c r="C11" s="168">
        <v>49.92</v>
      </c>
      <c r="D11" s="8">
        <v>42864.375</v>
      </c>
      <c r="E11" s="168">
        <v>0.8</v>
      </c>
      <c r="F11" s="168" t="s">
        <v>811</v>
      </c>
      <c r="G11" s="168">
        <v>318.67</v>
      </c>
      <c r="H11" s="168">
        <v>1.4E-3</v>
      </c>
      <c r="I11" s="168">
        <v>0.03</v>
      </c>
      <c r="J11" s="168" t="s">
        <v>447</v>
      </c>
      <c r="K11" s="168">
        <v>1012.52</v>
      </c>
      <c r="L11" s="168" t="s">
        <v>812</v>
      </c>
      <c r="M11" s="168">
        <v>55.87</v>
      </c>
      <c r="N11" s="168">
        <v>1494342000</v>
      </c>
      <c r="O11" s="168">
        <v>5.77</v>
      </c>
      <c r="P11" s="168">
        <v>109</v>
      </c>
      <c r="Q11" s="168">
        <v>2.12</v>
      </c>
      <c r="R11"/>
    </row>
    <row r="12" spans="1:18" x14ac:dyDescent="0.25">
      <c r="A12" s="168">
        <v>58.5</v>
      </c>
      <c r="B12" s="168">
        <v>0.92</v>
      </c>
      <c r="C12" s="168">
        <v>51.9</v>
      </c>
      <c r="D12" s="8">
        <v>42864.416666666664</v>
      </c>
      <c r="E12" s="168">
        <v>0.79</v>
      </c>
      <c r="F12" s="168" t="s">
        <v>421</v>
      </c>
      <c r="G12" s="168">
        <v>317.95</v>
      </c>
      <c r="H12" s="168">
        <v>8.0000000000000004E-4</v>
      </c>
      <c r="I12" s="168">
        <v>0.01</v>
      </c>
      <c r="J12" s="168" t="s">
        <v>447</v>
      </c>
      <c r="K12" s="168">
        <v>1012.12</v>
      </c>
      <c r="L12" s="168" t="s">
        <v>422</v>
      </c>
      <c r="M12" s="168">
        <v>58.5</v>
      </c>
      <c r="N12" s="168">
        <v>1494345600</v>
      </c>
      <c r="O12" s="168">
        <v>6.31</v>
      </c>
      <c r="P12" s="168">
        <v>60</v>
      </c>
      <c r="Q12" s="168">
        <v>2.64</v>
      </c>
      <c r="R12"/>
    </row>
    <row r="13" spans="1:18" x14ac:dyDescent="0.25">
      <c r="A13" s="168">
        <v>59.72</v>
      </c>
      <c r="B13" s="168">
        <v>0.88</v>
      </c>
      <c r="C13" s="168">
        <v>52.76</v>
      </c>
      <c r="D13" s="8">
        <v>42864.458333333336</v>
      </c>
      <c r="E13" s="168">
        <v>0.78</v>
      </c>
      <c r="F13" s="168" t="s">
        <v>421</v>
      </c>
      <c r="G13" s="168">
        <v>316.82</v>
      </c>
      <c r="H13" s="168">
        <v>0</v>
      </c>
      <c r="I13" s="168">
        <v>0</v>
      </c>
      <c r="J13" s="168"/>
      <c r="K13" s="168">
        <v>1011.7</v>
      </c>
      <c r="L13" s="168" t="s">
        <v>422</v>
      </c>
      <c r="M13" s="168">
        <v>59.72</v>
      </c>
      <c r="N13" s="168">
        <v>1494349200</v>
      </c>
      <c r="O13" s="168">
        <v>7.29</v>
      </c>
      <c r="P13" s="168">
        <v>42</v>
      </c>
      <c r="Q13" s="168">
        <v>4.3099999999999996</v>
      </c>
      <c r="R13"/>
    </row>
    <row r="14" spans="1:18" x14ac:dyDescent="0.25">
      <c r="A14" s="168">
        <v>61.55</v>
      </c>
      <c r="B14" s="168">
        <v>0.86</v>
      </c>
      <c r="C14" s="168">
        <v>54.49</v>
      </c>
      <c r="D14" s="8">
        <v>42864.5</v>
      </c>
      <c r="E14" s="168">
        <v>0.78</v>
      </c>
      <c r="F14" s="168" t="s">
        <v>421</v>
      </c>
      <c r="G14" s="168">
        <v>315.87</v>
      </c>
      <c r="H14" s="168">
        <v>0</v>
      </c>
      <c r="I14" s="168">
        <v>0</v>
      </c>
      <c r="J14" s="168"/>
      <c r="K14" s="168">
        <v>1011.15</v>
      </c>
      <c r="L14" s="168" t="s">
        <v>422</v>
      </c>
      <c r="M14" s="168">
        <v>61.55</v>
      </c>
      <c r="N14" s="168">
        <v>1494352800</v>
      </c>
      <c r="O14" s="168">
        <v>8.4</v>
      </c>
      <c r="P14" s="168">
        <v>47</v>
      </c>
      <c r="Q14" s="168">
        <v>4.53</v>
      </c>
      <c r="R14"/>
    </row>
    <row r="15" spans="1:18" x14ac:dyDescent="0.25">
      <c r="A15" s="168">
        <v>63.42</v>
      </c>
      <c r="B15" s="168">
        <v>0.9</v>
      </c>
      <c r="C15" s="168">
        <v>55.78</v>
      </c>
      <c r="D15" s="8">
        <v>42864.541666666664</v>
      </c>
      <c r="E15" s="168">
        <v>0.76</v>
      </c>
      <c r="F15" s="168" t="s">
        <v>421</v>
      </c>
      <c r="G15" s="168">
        <v>315.14999999999998</v>
      </c>
      <c r="H15" s="168">
        <v>8.9999999999999998E-4</v>
      </c>
      <c r="I15" s="168">
        <v>0.01</v>
      </c>
      <c r="J15" s="168" t="s">
        <v>447</v>
      </c>
      <c r="K15" s="168">
        <v>1010.33</v>
      </c>
      <c r="L15" s="168" t="s">
        <v>422</v>
      </c>
      <c r="M15" s="168">
        <v>63.42</v>
      </c>
      <c r="N15" s="168">
        <v>1494356400</v>
      </c>
      <c r="O15" s="168">
        <v>9.69</v>
      </c>
      <c r="P15" s="168">
        <v>42</v>
      </c>
      <c r="Q15" s="168">
        <v>4.57</v>
      </c>
      <c r="R15"/>
    </row>
    <row r="16" spans="1:18" x14ac:dyDescent="0.25">
      <c r="A16" s="168">
        <v>63.81</v>
      </c>
      <c r="B16" s="168">
        <v>0.96</v>
      </c>
      <c r="C16" s="168">
        <v>56</v>
      </c>
      <c r="D16" s="8">
        <v>42864.583333333336</v>
      </c>
      <c r="E16" s="168">
        <v>0.76</v>
      </c>
      <c r="F16" s="168" t="s">
        <v>811</v>
      </c>
      <c r="G16" s="168">
        <v>314.62</v>
      </c>
      <c r="H16" s="168">
        <v>2.3999999999999998E-3</v>
      </c>
      <c r="I16" s="168">
        <v>7.0000000000000007E-2</v>
      </c>
      <c r="J16" s="168" t="s">
        <v>447</v>
      </c>
      <c r="K16" s="168">
        <v>1009.42</v>
      </c>
      <c r="L16" s="168" t="s">
        <v>812</v>
      </c>
      <c r="M16" s="168">
        <v>63.81</v>
      </c>
      <c r="N16" s="168">
        <v>1494360000</v>
      </c>
      <c r="O16" s="168">
        <v>10</v>
      </c>
      <c r="P16" s="168">
        <v>52</v>
      </c>
      <c r="Q16" s="168">
        <v>3.72</v>
      </c>
      <c r="R16"/>
    </row>
    <row r="17" spans="1:18" x14ac:dyDescent="0.25">
      <c r="A17" s="168">
        <v>63.8</v>
      </c>
      <c r="B17" s="168">
        <v>0.82</v>
      </c>
      <c r="C17" s="168">
        <v>54.67</v>
      </c>
      <c r="D17" s="8">
        <v>42864.625</v>
      </c>
      <c r="E17" s="168">
        <v>0.72</v>
      </c>
      <c r="F17" s="168" t="s">
        <v>421</v>
      </c>
      <c r="G17" s="168">
        <v>314.77</v>
      </c>
      <c r="H17" s="168">
        <v>1.5E-3</v>
      </c>
      <c r="I17" s="168">
        <v>0.03</v>
      </c>
      <c r="J17" s="168" t="s">
        <v>447</v>
      </c>
      <c r="K17" s="168">
        <v>1008.76</v>
      </c>
      <c r="L17" s="168" t="s">
        <v>422</v>
      </c>
      <c r="M17" s="168">
        <v>63.8</v>
      </c>
      <c r="N17" s="168">
        <v>1494363600</v>
      </c>
      <c r="O17" s="168">
        <v>10</v>
      </c>
      <c r="P17" s="168">
        <v>146</v>
      </c>
      <c r="Q17" s="168">
        <v>0.93</v>
      </c>
      <c r="R17"/>
    </row>
    <row r="18" spans="1:18" x14ac:dyDescent="0.25">
      <c r="A18" s="168">
        <v>63.74</v>
      </c>
      <c r="B18" s="168">
        <v>0.83</v>
      </c>
      <c r="C18" s="168">
        <v>54.78</v>
      </c>
      <c r="D18" s="8">
        <v>42864.666666666664</v>
      </c>
      <c r="E18" s="168">
        <v>0.73</v>
      </c>
      <c r="F18" s="168" t="s">
        <v>421</v>
      </c>
      <c r="G18" s="168">
        <v>316.11</v>
      </c>
      <c r="H18" s="168">
        <v>1.4E-3</v>
      </c>
      <c r="I18" s="168">
        <v>0.03</v>
      </c>
      <c r="J18" s="168" t="s">
        <v>447</v>
      </c>
      <c r="K18" s="168">
        <v>1008.45</v>
      </c>
      <c r="L18" s="168" t="s">
        <v>422</v>
      </c>
      <c r="M18" s="168">
        <v>63.74</v>
      </c>
      <c r="N18" s="168">
        <v>1494367200</v>
      </c>
      <c r="O18" s="168">
        <v>10</v>
      </c>
      <c r="P18" s="168">
        <v>183</v>
      </c>
      <c r="Q18" s="168">
        <v>0.88</v>
      </c>
      <c r="R18"/>
    </row>
    <row r="19" spans="1:18" x14ac:dyDescent="0.25">
      <c r="A19" s="168">
        <v>63.45</v>
      </c>
      <c r="B19" s="168">
        <v>0.83</v>
      </c>
      <c r="C19" s="168">
        <v>54.81</v>
      </c>
      <c r="D19" s="8">
        <v>42864.708333333336</v>
      </c>
      <c r="E19" s="168">
        <v>0.73</v>
      </c>
      <c r="F19" s="168" t="s">
        <v>421</v>
      </c>
      <c r="G19" s="168">
        <v>318.13</v>
      </c>
      <c r="H19" s="168">
        <v>1.1999999999999999E-3</v>
      </c>
      <c r="I19" s="168">
        <v>0.02</v>
      </c>
      <c r="J19" s="168" t="s">
        <v>447</v>
      </c>
      <c r="K19" s="168">
        <v>1008.36</v>
      </c>
      <c r="L19" s="168" t="s">
        <v>422</v>
      </c>
      <c r="M19" s="168">
        <v>63.45</v>
      </c>
      <c r="N19" s="168">
        <v>1494370800</v>
      </c>
      <c r="O19" s="168">
        <v>10</v>
      </c>
      <c r="P19" s="168">
        <v>85</v>
      </c>
      <c r="Q19" s="168">
        <v>1.84</v>
      </c>
      <c r="R19"/>
    </row>
    <row r="20" spans="1:18" x14ac:dyDescent="0.25">
      <c r="A20" s="168">
        <v>63.69</v>
      </c>
      <c r="B20" s="168">
        <v>0.75</v>
      </c>
      <c r="C20" s="168">
        <v>53.28</v>
      </c>
      <c r="D20" s="8">
        <v>42864.75</v>
      </c>
      <c r="E20" s="168">
        <v>0.69</v>
      </c>
      <c r="F20" s="168" t="s">
        <v>421</v>
      </c>
      <c r="G20" s="168">
        <v>319.87</v>
      </c>
      <c r="H20" s="168">
        <v>0</v>
      </c>
      <c r="I20" s="168">
        <v>0</v>
      </c>
      <c r="J20" s="168"/>
      <c r="K20" s="168">
        <v>1008.36</v>
      </c>
      <c r="L20" s="168" t="s">
        <v>422</v>
      </c>
      <c r="M20" s="168">
        <v>63.69</v>
      </c>
      <c r="N20" s="168">
        <v>1494374400</v>
      </c>
      <c r="O20" s="168">
        <v>10</v>
      </c>
      <c r="P20" s="168">
        <v>142</v>
      </c>
      <c r="Q20" s="168">
        <v>3.06</v>
      </c>
      <c r="R20"/>
    </row>
    <row r="21" spans="1:18" x14ac:dyDescent="0.25">
      <c r="A21" s="168">
        <v>62.4</v>
      </c>
      <c r="B21" s="168">
        <v>0.74</v>
      </c>
      <c r="C21" s="168">
        <v>49.75</v>
      </c>
      <c r="D21" s="8">
        <v>42864.791666666664</v>
      </c>
      <c r="E21" s="168">
        <v>0.63</v>
      </c>
      <c r="F21" s="168" t="s">
        <v>421</v>
      </c>
      <c r="G21" s="168">
        <v>320.86</v>
      </c>
      <c r="H21" s="168">
        <v>1.6000000000000001E-3</v>
      </c>
      <c r="I21" s="168">
        <v>0.03</v>
      </c>
      <c r="J21" s="168" t="s">
        <v>447</v>
      </c>
      <c r="K21" s="168">
        <v>1008.19</v>
      </c>
      <c r="L21" s="168" t="s">
        <v>422</v>
      </c>
      <c r="M21" s="168">
        <v>62.4</v>
      </c>
      <c r="N21" s="168">
        <v>1494378000</v>
      </c>
      <c r="O21" s="168">
        <v>10</v>
      </c>
      <c r="P21" s="168">
        <v>161</v>
      </c>
      <c r="Q21" s="168">
        <v>3.97</v>
      </c>
      <c r="R21"/>
    </row>
    <row r="22" spans="1:18" x14ac:dyDescent="0.25">
      <c r="A22" s="168">
        <v>59.39</v>
      </c>
      <c r="B22" s="168">
        <v>0.68</v>
      </c>
      <c r="C22" s="168">
        <v>48.56</v>
      </c>
      <c r="D22" s="8">
        <v>42864.833333333336</v>
      </c>
      <c r="E22" s="168">
        <v>0.67</v>
      </c>
      <c r="F22" s="168" t="s">
        <v>423</v>
      </c>
      <c r="G22" s="168">
        <v>321.58</v>
      </c>
      <c r="H22" s="168">
        <v>1.1999999999999999E-3</v>
      </c>
      <c r="I22" s="168">
        <v>0.02</v>
      </c>
      <c r="J22" s="168" t="s">
        <v>447</v>
      </c>
      <c r="K22" s="168">
        <v>1008.11</v>
      </c>
      <c r="L22" s="168" t="s">
        <v>422</v>
      </c>
      <c r="M22" s="168">
        <v>59.39</v>
      </c>
      <c r="N22" s="168">
        <v>1494381600</v>
      </c>
      <c r="O22" s="168">
        <v>10</v>
      </c>
      <c r="P22" s="168">
        <v>157</v>
      </c>
      <c r="Q22" s="168">
        <v>2.66</v>
      </c>
      <c r="R22"/>
    </row>
    <row r="23" spans="1:18" x14ac:dyDescent="0.25">
      <c r="A23" s="168">
        <v>56.43</v>
      </c>
      <c r="B23" s="168">
        <v>0.64</v>
      </c>
      <c r="C23" s="168">
        <v>47.72</v>
      </c>
      <c r="D23" s="8">
        <v>42864.875</v>
      </c>
      <c r="E23" s="168">
        <v>0.73</v>
      </c>
      <c r="F23" s="168" t="s">
        <v>423</v>
      </c>
      <c r="G23" s="168">
        <v>322.45999999999998</v>
      </c>
      <c r="H23" s="168">
        <v>1E-3</v>
      </c>
      <c r="I23" s="168">
        <v>0.01</v>
      </c>
      <c r="J23" s="168" t="s">
        <v>447</v>
      </c>
      <c r="K23" s="168">
        <v>1008.13</v>
      </c>
      <c r="L23" s="168" t="s">
        <v>422</v>
      </c>
      <c r="M23" s="168">
        <v>56.43</v>
      </c>
      <c r="N23" s="168">
        <v>1494385200</v>
      </c>
      <c r="O23" s="168">
        <v>9.99</v>
      </c>
      <c r="P23" s="168">
        <v>159</v>
      </c>
      <c r="Q23" s="168">
        <v>2.41</v>
      </c>
      <c r="R23"/>
    </row>
    <row r="24" spans="1:18" x14ac:dyDescent="0.25">
      <c r="A24" s="168">
        <v>55.16</v>
      </c>
      <c r="B24" s="168">
        <v>0.77</v>
      </c>
      <c r="C24" s="168">
        <v>47.79</v>
      </c>
      <c r="D24" s="8">
        <v>42864.916666666664</v>
      </c>
      <c r="E24" s="168">
        <v>0.76</v>
      </c>
      <c r="F24" s="168" t="s">
        <v>423</v>
      </c>
      <c r="G24" s="168">
        <v>323.63</v>
      </c>
      <c r="H24" s="168">
        <v>0</v>
      </c>
      <c r="I24" s="168">
        <v>0</v>
      </c>
      <c r="J24" s="168"/>
      <c r="K24" s="168">
        <v>1008.3</v>
      </c>
      <c r="L24" s="168" t="s">
        <v>422</v>
      </c>
      <c r="M24" s="168">
        <v>55.16</v>
      </c>
      <c r="N24" s="168">
        <v>1494388800</v>
      </c>
      <c r="O24" s="168">
        <v>9.6999999999999993</v>
      </c>
      <c r="P24" s="168">
        <v>206</v>
      </c>
      <c r="Q24" s="168">
        <v>1.23</v>
      </c>
      <c r="R24"/>
    </row>
    <row r="25" spans="1:18" x14ac:dyDescent="0.25">
      <c r="A25" s="168">
        <v>54.94</v>
      </c>
      <c r="B25" s="168">
        <v>0.84</v>
      </c>
      <c r="C25" s="168">
        <v>47.76</v>
      </c>
      <c r="D25" s="8">
        <v>42864.958333333336</v>
      </c>
      <c r="E25" s="168">
        <v>0.77</v>
      </c>
      <c r="F25" s="168" t="s">
        <v>423</v>
      </c>
      <c r="G25" s="168">
        <v>324.97000000000003</v>
      </c>
      <c r="H25" s="168">
        <v>0</v>
      </c>
      <c r="I25" s="168">
        <v>0</v>
      </c>
      <c r="J25" s="168"/>
      <c r="K25" s="168">
        <v>1008.54</v>
      </c>
      <c r="L25" s="168" t="s">
        <v>422</v>
      </c>
      <c r="M25" s="168">
        <v>54.94</v>
      </c>
      <c r="N25" s="168">
        <v>1494392400</v>
      </c>
      <c r="O25" s="168">
        <v>9.6</v>
      </c>
      <c r="P25" s="168">
        <v>249</v>
      </c>
      <c r="Q25" s="168">
        <v>1.39</v>
      </c>
      <c r="R25"/>
    </row>
    <row r="26" spans="1:18" x14ac:dyDescent="0.25">
      <c r="A26" s="168">
        <v>54.03</v>
      </c>
      <c r="B26" s="168">
        <v>0.94</v>
      </c>
      <c r="C26" s="168">
        <v>47.1</v>
      </c>
      <c r="D26" s="8">
        <v>42865</v>
      </c>
      <c r="E26" s="168">
        <v>0.77</v>
      </c>
      <c r="F26" s="168" t="s">
        <v>811</v>
      </c>
      <c r="G26" s="168">
        <v>326.57</v>
      </c>
      <c r="H26" s="168">
        <v>1.1999999999999999E-3</v>
      </c>
      <c r="I26" s="168">
        <v>0.02</v>
      </c>
      <c r="J26" s="168" t="s">
        <v>447</v>
      </c>
      <c r="K26" s="168">
        <v>1008.71</v>
      </c>
      <c r="L26" s="168" t="s">
        <v>812</v>
      </c>
      <c r="M26" s="168">
        <v>54.03</v>
      </c>
      <c r="N26" s="168">
        <v>1494396000</v>
      </c>
      <c r="O26" s="168">
        <v>9.4700000000000006</v>
      </c>
      <c r="P26" s="168">
        <v>310</v>
      </c>
      <c r="Q26" s="168">
        <v>2.0099999999999998</v>
      </c>
      <c r="R26"/>
    </row>
    <row r="27" spans="1:18" x14ac:dyDescent="0.25">
      <c r="A27" s="168">
        <v>53.35</v>
      </c>
      <c r="B27" s="168">
        <v>0.92</v>
      </c>
      <c r="C27" s="168">
        <v>48.47</v>
      </c>
      <c r="D27" s="8">
        <v>42865.041666666664</v>
      </c>
      <c r="E27" s="168">
        <v>0.83</v>
      </c>
      <c r="F27" s="168" t="s">
        <v>447</v>
      </c>
      <c r="G27" s="168">
        <v>328.72</v>
      </c>
      <c r="H27" s="168">
        <v>6.1000000000000004E-3</v>
      </c>
      <c r="I27" s="168">
        <v>0.28000000000000003</v>
      </c>
      <c r="J27" s="168" t="s">
        <v>447</v>
      </c>
      <c r="K27" s="168">
        <v>1008.85</v>
      </c>
      <c r="L27" s="168" t="s">
        <v>502</v>
      </c>
      <c r="M27" s="168">
        <v>53.35</v>
      </c>
      <c r="N27" s="168">
        <v>1494399600</v>
      </c>
      <c r="O27" s="168">
        <v>9.34</v>
      </c>
      <c r="P27" s="168">
        <v>260</v>
      </c>
      <c r="Q27" s="168">
        <v>2.09</v>
      </c>
      <c r="R27"/>
    </row>
    <row r="28" spans="1:18" x14ac:dyDescent="0.25">
      <c r="A28" s="168">
        <v>53.18</v>
      </c>
      <c r="B28" s="168">
        <v>0.9</v>
      </c>
      <c r="C28" s="168">
        <v>49.17</v>
      </c>
      <c r="D28" s="8">
        <v>42865.083333333336</v>
      </c>
      <c r="E28" s="168">
        <v>0.86</v>
      </c>
      <c r="F28" s="168" t="s">
        <v>447</v>
      </c>
      <c r="G28" s="168">
        <v>330.86</v>
      </c>
      <c r="H28" s="168">
        <v>1.4E-2</v>
      </c>
      <c r="I28" s="168">
        <v>0.55000000000000004</v>
      </c>
      <c r="J28" s="168" t="s">
        <v>447</v>
      </c>
      <c r="K28" s="168">
        <v>1008.9</v>
      </c>
      <c r="L28" s="168" t="s">
        <v>501</v>
      </c>
      <c r="M28" s="168">
        <v>53.18</v>
      </c>
      <c r="N28" s="168">
        <v>1494403200</v>
      </c>
      <c r="O28" s="168">
        <v>9.24</v>
      </c>
      <c r="P28" s="168">
        <v>272</v>
      </c>
      <c r="Q28" s="168">
        <v>1.64</v>
      </c>
      <c r="R28"/>
    </row>
    <row r="29" spans="1:18" x14ac:dyDescent="0.25">
      <c r="A29" s="168">
        <v>52.4</v>
      </c>
      <c r="B29" s="168">
        <v>0.89</v>
      </c>
      <c r="C29" s="168">
        <v>49.33</v>
      </c>
      <c r="D29" s="8">
        <v>42865.125</v>
      </c>
      <c r="E29" s="168">
        <v>0.89</v>
      </c>
      <c r="F29" s="168" t="s">
        <v>447</v>
      </c>
      <c r="G29" s="168">
        <v>333</v>
      </c>
      <c r="H29" s="168">
        <v>1.2800000000000001E-2</v>
      </c>
      <c r="I29" s="168">
        <v>0.54</v>
      </c>
      <c r="J29" s="168" t="s">
        <v>447</v>
      </c>
      <c r="K29" s="168">
        <v>1008.92</v>
      </c>
      <c r="L29" s="168" t="s">
        <v>501</v>
      </c>
      <c r="M29" s="168">
        <v>52.4</v>
      </c>
      <c r="N29" s="168">
        <v>1494406800</v>
      </c>
      <c r="O29" s="168">
        <v>9.5399999999999991</v>
      </c>
      <c r="P29" s="168">
        <v>283</v>
      </c>
      <c r="Q29" s="168">
        <v>2.4900000000000002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339</v>
      </c>
      <c r="U1" s="159"/>
      <c r="V1" s="159"/>
      <c r="W1" s="159"/>
      <c r="X1" s="159"/>
    </row>
    <row r="2" spans="1:24" ht="15.75" thickBot="1" x14ac:dyDescent="0.3">
      <c r="A2" s="12">
        <v>42864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340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341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342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343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1020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1021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1022</v>
      </c>
      <c r="J20" s="143" t="s">
        <v>87</v>
      </c>
      <c r="M20" s="157" t="s">
        <v>384</v>
      </c>
      <c r="N20" s="157" t="s">
        <v>338</v>
      </c>
      <c r="T20" s="158"/>
      <c r="U20" s="158"/>
      <c r="V20" s="158"/>
      <c r="W20" s="158"/>
      <c r="X20" s="158"/>
    </row>
    <row r="21" spans="3:24" x14ac:dyDescent="0.25">
      <c r="C21" t="s">
        <v>1023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1024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1025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1026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1027</v>
      </c>
      <c r="J25" s="143" t="s">
        <v>150</v>
      </c>
      <c r="M25" s="157" t="b">
        <v>1</v>
      </c>
    </row>
    <row r="26" spans="3:24" x14ac:dyDescent="0.25">
      <c r="C26" t="s">
        <v>1028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C:\Users\stu\Documents\GitHub\eaglep3-reporting\EC\2017-05-09-refined-times.txt</v>
      </c>
    </row>
    <row r="27" spans="3:24" x14ac:dyDescent="0.25">
      <c r="C27" t="s">
        <v>1029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C:\Users\stu\Documents\GitHub\eaglep3-reporting\EC\2017-05-09-Enforcements.txt</v>
      </c>
    </row>
    <row r="28" spans="3:24" x14ac:dyDescent="0.25">
      <c r="C28" t="s">
        <v>1030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C:\Users\stu\Documents\GitHub\eaglep3-reporting\EC\2017-05-09-Runs-refined.txt</v>
      </c>
    </row>
    <row r="29" spans="3:24" x14ac:dyDescent="0.25">
      <c r="C29" t="s">
        <v>550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C:\Users\stu\Documents\GitHub\eaglep3-reporting\EC\2017-05-09-Trips.txt</v>
      </c>
    </row>
    <row r="30" spans="3:24" x14ac:dyDescent="0.25">
      <c r="C30" t="s">
        <v>1031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C:\Users\stu\Documents\GitHub\eaglep3-reporting\EC\2017-05-09-Weather.txt</v>
      </c>
    </row>
    <row r="31" spans="3:24" x14ac:dyDescent="0.25">
      <c r="C31" t="s">
        <v>1032</v>
      </c>
      <c r="J31" s="143" t="s">
        <v>200</v>
      </c>
      <c r="M31" s="157" t="s">
        <v>201</v>
      </c>
    </row>
    <row r="32" spans="3:24" x14ac:dyDescent="0.25">
      <c r="C32" t="s">
        <v>1033</v>
      </c>
    </row>
    <row r="33" spans="3:3" x14ac:dyDescent="0.25">
      <c r="C33" t="s">
        <v>1034</v>
      </c>
    </row>
    <row r="34" spans="3:3" x14ac:dyDescent="0.25">
      <c r="C34" t="s">
        <v>1035</v>
      </c>
    </row>
    <row r="35" spans="3:3" x14ac:dyDescent="0.25">
      <c r="C35" t="s">
        <v>1036</v>
      </c>
    </row>
    <row r="36" spans="3:3" x14ac:dyDescent="0.25">
      <c r="C36" t="s">
        <v>1037</v>
      </c>
    </row>
    <row r="37" spans="3:3" x14ac:dyDescent="0.25">
      <c r="C37" t="s">
        <v>1038</v>
      </c>
    </row>
    <row r="38" spans="3:3" x14ac:dyDescent="0.25">
      <c r="C38" t="s">
        <v>1039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351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352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2017-05-10T15:59:23Z</dcterms:modified>
</cp:coreProperties>
</file>