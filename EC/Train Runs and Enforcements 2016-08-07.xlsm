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Enforcements!$A$6:$V$68</definedName>
    <definedName name="_xlnm._FilterDatabase" localSheetId="2" hidden="1">'Missing Trips'!$A$2:$H$2</definedName>
    <definedName name="_xlnm._FilterDatabase" localSheetId="0" hidden="1">'Train Runs'!$A$12:$AG$201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Runs'!$A$12:$J$44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4" i="1" l="1"/>
  <c r="M164" i="1"/>
  <c r="P164" i="1" s="1"/>
  <c r="V164" i="1"/>
  <c r="Y164" i="1"/>
  <c r="AA164" i="1" s="1"/>
  <c r="AB164" i="1"/>
  <c r="AC164" i="1"/>
  <c r="AD164" i="1"/>
  <c r="T164" i="1" s="1"/>
  <c r="AE164" i="1"/>
  <c r="AF164" i="1"/>
  <c r="AH164" i="1"/>
  <c r="M158" i="1"/>
  <c r="V158" i="1"/>
  <c r="AB158" i="1"/>
  <c r="AC158" i="1"/>
  <c r="AD158" i="1"/>
  <c r="T158" i="1" s="1"/>
  <c r="AE158" i="1"/>
  <c r="AF158" i="1"/>
  <c r="AH158" i="1"/>
  <c r="K36" i="1"/>
  <c r="M36" i="1"/>
  <c r="V36" i="1"/>
  <c r="Y36" i="1"/>
  <c r="Z36" i="1"/>
  <c r="AB36" i="1"/>
  <c r="AC36" i="1"/>
  <c r="AD36" i="1"/>
  <c r="AE36" i="1"/>
  <c r="AF36" i="1"/>
  <c r="AH36" i="1"/>
  <c r="Y163" i="1"/>
  <c r="Z163" i="1"/>
  <c r="Y165" i="1"/>
  <c r="Z165" i="1"/>
  <c r="Y166" i="1"/>
  <c r="Z166" i="1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P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P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P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9" i="1"/>
  <c r="L159" i="1"/>
  <c r="M159" i="1"/>
  <c r="V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P162" i="1" s="1"/>
  <c r="V162" i="1"/>
  <c r="Y162" i="1"/>
  <c r="Z162" i="1"/>
  <c r="AB162" i="1"/>
  <c r="AC162" i="1"/>
  <c r="AD162" i="1"/>
  <c r="AG162" i="1" s="1"/>
  <c r="AE162" i="1"/>
  <c r="AF162" i="1"/>
  <c r="AH162" i="1"/>
  <c r="K163" i="1"/>
  <c r="L163" i="1"/>
  <c r="M163" i="1"/>
  <c r="N163" i="1" s="1"/>
  <c r="V163" i="1"/>
  <c r="AB163" i="1"/>
  <c r="AC163" i="1"/>
  <c r="AD163" i="1"/>
  <c r="AE163" i="1"/>
  <c r="AF163" i="1"/>
  <c r="AH163" i="1"/>
  <c r="K165" i="1"/>
  <c r="L165" i="1"/>
  <c r="M165" i="1"/>
  <c r="N165" i="1" s="1"/>
  <c r="V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AB166" i="1"/>
  <c r="AC166" i="1"/>
  <c r="AD166" i="1"/>
  <c r="AG166" i="1" s="1"/>
  <c r="AE166" i="1"/>
  <c r="AF166" i="1"/>
  <c r="AH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N172" i="1"/>
  <c r="V172" i="1"/>
  <c r="Y172" i="1"/>
  <c r="Z172" i="1"/>
  <c r="AB172" i="1"/>
  <c r="AC172" i="1"/>
  <c r="AD172" i="1"/>
  <c r="AG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1" i="1"/>
  <c r="AH13" i="1"/>
  <c r="L8" i="3"/>
  <c r="S8" i="3"/>
  <c r="R8" i="3" s="1"/>
  <c r="T8" i="3"/>
  <c r="U8" i="3"/>
  <c r="V8" i="3"/>
  <c r="L9" i="3"/>
  <c r="S9" i="3"/>
  <c r="R9" i="3" s="1"/>
  <c r="T9" i="3"/>
  <c r="U9" i="3"/>
  <c r="V9" i="3"/>
  <c r="L10" i="3"/>
  <c r="S10" i="3"/>
  <c r="R10" i="3" s="1"/>
  <c r="T10" i="3"/>
  <c r="U10" i="3"/>
  <c r="V10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13" i="3"/>
  <c r="S13" i="3"/>
  <c r="R13" i="3" s="1"/>
  <c r="T13" i="3"/>
  <c r="U13" i="3"/>
  <c r="V13" i="3"/>
  <c r="L14" i="3"/>
  <c r="S14" i="3"/>
  <c r="R14" i="3" s="1"/>
  <c r="T14" i="3"/>
  <c r="U14" i="3"/>
  <c r="V14" i="3"/>
  <c r="L15" i="3"/>
  <c r="S15" i="3"/>
  <c r="R15" i="3" s="1"/>
  <c r="T15" i="3"/>
  <c r="U15" i="3"/>
  <c r="V15" i="3"/>
  <c r="L16" i="3"/>
  <c r="S16" i="3"/>
  <c r="R16" i="3" s="1"/>
  <c r="T16" i="3"/>
  <c r="U16" i="3"/>
  <c r="V16" i="3"/>
  <c r="L17" i="3"/>
  <c r="S17" i="3"/>
  <c r="R17" i="3" s="1"/>
  <c r="T17" i="3"/>
  <c r="U17" i="3"/>
  <c r="V17" i="3"/>
  <c r="L18" i="3"/>
  <c r="S18" i="3"/>
  <c r="R18" i="3" s="1"/>
  <c r="T18" i="3"/>
  <c r="U18" i="3"/>
  <c r="V18" i="3"/>
  <c r="L19" i="3"/>
  <c r="S19" i="3"/>
  <c r="R19" i="3" s="1"/>
  <c r="T19" i="3"/>
  <c r="U19" i="3"/>
  <c r="V19" i="3"/>
  <c r="L20" i="3"/>
  <c r="S20" i="3"/>
  <c r="R20" i="3" s="1"/>
  <c r="T20" i="3"/>
  <c r="U20" i="3"/>
  <c r="V20" i="3"/>
  <c r="L21" i="3"/>
  <c r="S21" i="3"/>
  <c r="R21" i="3" s="1"/>
  <c r="T21" i="3"/>
  <c r="U21" i="3"/>
  <c r="V21" i="3"/>
  <c r="L22" i="3"/>
  <c r="S22" i="3"/>
  <c r="R22" i="3" s="1"/>
  <c r="T22" i="3"/>
  <c r="U22" i="3"/>
  <c r="V22" i="3"/>
  <c r="L23" i="3"/>
  <c r="S23" i="3"/>
  <c r="R23" i="3" s="1"/>
  <c r="T23" i="3"/>
  <c r="U23" i="3"/>
  <c r="V23" i="3"/>
  <c r="L24" i="3"/>
  <c r="S24" i="3"/>
  <c r="R24" i="3" s="1"/>
  <c r="T24" i="3"/>
  <c r="U24" i="3"/>
  <c r="V24" i="3"/>
  <c r="L25" i="3"/>
  <c r="S25" i="3"/>
  <c r="R25" i="3" s="1"/>
  <c r="T25" i="3"/>
  <c r="U25" i="3"/>
  <c r="V25" i="3"/>
  <c r="L26" i="3"/>
  <c r="S26" i="3"/>
  <c r="R26" i="3" s="1"/>
  <c r="T26" i="3"/>
  <c r="U26" i="3"/>
  <c r="V26" i="3"/>
  <c r="L27" i="3"/>
  <c r="S27" i="3"/>
  <c r="R27" i="3" s="1"/>
  <c r="T27" i="3"/>
  <c r="U27" i="3"/>
  <c r="V27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30" i="3"/>
  <c r="S30" i="3"/>
  <c r="R30" i="3" s="1"/>
  <c r="T30" i="3"/>
  <c r="U30" i="3"/>
  <c r="V30" i="3"/>
  <c r="L31" i="3"/>
  <c r="S31" i="3"/>
  <c r="R31" i="3" s="1"/>
  <c r="T31" i="3"/>
  <c r="U31" i="3"/>
  <c r="V31" i="3"/>
  <c r="L32" i="3"/>
  <c r="S32" i="3"/>
  <c r="R32" i="3" s="1"/>
  <c r="T32" i="3"/>
  <c r="U32" i="3"/>
  <c r="V32" i="3"/>
  <c r="L33" i="3"/>
  <c r="S33" i="3"/>
  <c r="R33" i="3" s="1"/>
  <c r="T33" i="3"/>
  <c r="U33" i="3"/>
  <c r="V33" i="3"/>
  <c r="L34" i="3"/>
  <c r="S34" i="3"/>
  <c r="R34" i="3" s="1"/>
  <c r="T34" i="3"/>
  <c r="U34" i="3"/>
  <c r="V34" i="3"/>
  <c r="L35" i="3"/>
  <c r="S35" i="3"/>
  <c r="R35" i="3" s="1"/>
  <c r="T35" i="3"/>
  <c r="U35" i="3"/>
  <c r="V35" i="3"/>
  <c r="L37" i="3"/>
  <c r="S37" i="3"/>
  <c r="R37" i="3" s="1"/>
  <c r="T37" i="3"/>
  <c r="U37" i="3"/>
  <c r="V37" i="3"/>
  <c r="L38" i="3"/>
  <c r="S38" i="3"/>
  <c r="R38" i="3" s="1"/>
  <c r="T38" i="3"/>
  <c r="U38" i="3"/>
  <c r="V38" i="3"/>
  <c r="L39" i="3"/>
  <c r="S39" i="3"/>
  <c r="R39" i="3" s="1"/>
  <c r="T39" i="3"/>
  <c r="U39" i="3"/>
  <c r="V39" i="3"/>
  <c r="L40" i="3"/>
  <c r="S40" i="3"/>
  <c r="R40" i="3" s="1"/>
  <c r="T40" i="3"/>
  <c r="U40" i="3"/>
  <c r="V40" i="3"/>
  <c r="L41" i="3"/>
  <c r="S41" i="3"/>
  <c r="R41" i="3" s="1"/>
  <c r="T41" i="3"/>
  <c r="U41" i="3"/>
  <c r="V41" i="3"/>
  <c r="L42" i="3"/>
  <c r="S42" i="3"/>
  <c r="R42" i="3" s="1"/>
  <c r="T42" i="3"/>
  <c r="U42" i="3"/>
  <c r="V42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47" i="3"/>
  <c r="S47" i="3"/>
  <c r="R47" i="3" s="1"/>
  <c r="T47" i="3"/>
  <c r="U47" i="3"/>
  <c r="V47" i="3"/>
  <c r="L48" i="3"/>
  <c r="S48" i="3"/>
  <c r="R48" i="3" s="1"/>
  <c r="T48" i="3"/>
  <c r="U48" i="3"/>
  <c r="V48" i="3"/>
  <c r="L50" i="3"/>
  <c r="S50" i="3"/>
  <c r="R50" i="3" s="1"/>
  <c r="T50" i="3"/>
  <c r="U50" i="3"/>
  <c r="V50" i="3"/>
  <c r="L51" i="3"/>
  <c r="S51" i="3"/>
  <c r="R51" i="3" s="1"/>
  <c r="T51" i="3"/>
  <c r="U51" i="3"/>
  <c r="V51" i="3"/>
  <c r="L52" i="3"/>
  <c r="S52" i="3"/>
  <c r="R52" i="3" s="1"/>
  <c r="T52" i="3"/>
  <c r="U52" i="3"/>
  <c r="V52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55" i="3"/>
  <c r="S55" i="3"/>
  <c r="R55" i="3" s="1"/>
  <c r="T55" i="3"/>
  <c r="U55" i="3"/>
  <c r="V55" i="3"/>
  <c r="L56" i="3"/>
  <c r="S56" i="3"/>
  <c r="R56" i="3" s="1"/>
  <c r="T56" i="3"/>
  <c r="U56" i="3"/>
  <c r="V56" i="3"/>
  <c r="L57" i="3"/>
  <c r="S57" i="3"/>
  <c r="R57" i="3" s="1"/>
  <c r="T57" i="3"/>
  <c r="U57" i="3"/>
  <c r="V57" i="3"/>
  <c r="L58" i="3"/>
  <c r="S58" i="3"/>
  <c r="R58" i="3" s="1"/>
  <c r="T58" i="3"/>
  <c r="U58" i="3"/>
  <c r="V58" i="3"/>
  <c r="L59" i="3"/>
  <c r="S59" i="3"/>
  <c r="R59" i="3" s="1"/>
  <c r="T59" i="3"/>
  <c r="U59" i="3"/>
  <c r="V59" i="3"/>
  <c r="L60" i="3"/>
  <c r="S60" i="3"/>
  <c r="R60" i="3" s="1"/>
  <c r="T60" i="3"/>
  <c r="U60" i="3"/>
  <c r="V60" i="3"/>
  <c r="L62" i="3"/>
  <c r="S62" i="3"/>
  <c r="R62" i="3" s="1"/>
  <c r="T62" i="3"/>
  <c r="U62" i="3"/>
  <c r="V62" i="3"/>
  <c r="L63" i="3"/>
  <c r="S63" i="3"/>
  <c r="R63" i="3" s="1"/>
  <c r="T63" i="3"/>
  <c r="U63" i="3"/>
  <c r="V63" i="3"/>
  <c r="L65" i="3"/>
  <c r="S65" i="3"/>
  <c r="R65" i="3" s="1"/>
  <c r="T65" i="3"/>
  <c r="U65" i="3"/>
  <c r="V65" i="3"/>
  <c r="L66" i="3"/>
  <c r="S66" i="3"/>
  <c r="R66" i="3" s="1"/>
  <c r="T66" i="3"/>
  <c r="U66" i="3"/>
  <c r="V66" i="3"/>
  <c r="L49" i="3"/>
  <c r="S49" i="3"/>
  <c r="R49" i="3" s="1"/>
  <c r="T49" i="3"/>
  <c r="U49" i="3"/>
  <c r="V49" i="3"/>
  <c r="L36" i="3"/>
  <c r="S36" i="3"/>
  <c r="R36" i="3" s="1"/>
  <c r="T36" i="3"/>
  <c r="U36" i="3"/>
  <c r="V36" i="3"/>
  <c r="L43" i="3"/>
  <c r="S43" i="3"/>
  <c r="R43" i="3" s="1"/>
  <c r="T43" i="3"/>
  <c r="U43" i="3"/>
  <c r="V43" i="3"/>
  <c r="L61" i="3"/>
  <c r="S61" i="3"/>
  <c r="R61" i="3" s="1"/>
  <c r="T61" i="3"/>
  <c r="U61" i="3"/>
  <c r="V61" i="3"/>
  <c r="L64" i="3"/>
  <c r="S64" i="3"/>
  <c r="R64" i="3" s="1"/>
  <c r="T64" i="3"/>
  <c r="U64" i="3"/>
  <c r="V64" i="3"/>
  <c r="L67" i="3"/>
  <c r="S67" i="3"/>
  <c r="R67" i="3" s="1"/>
  <c r="T67" i="3"/>
  <c r="U67" i="3"/>
  <c r="V67" i="3"/>
  <c r="L68" i="3"/>
  <c r="S68" i="3"/>
  <c r="R68" i="3" s="1"/>
  <c r="T68" i="3"/>
  <c r="U68" i="3"/>
  <c r="V68" i="3"/>
  <c r="L44" i="3"/>
  <c r="S44" i="3"/>
  <c r="R44" i="3" s="1"/>
  <c r="T44" i="3"/>
  <c r="U44" i="3"/>
  <c r="V44" i="3"/>
  <c r="AA94" i="1" l="1"/>
  <c r="W94" i="1" s="1"/>
  <c r="AA93" i="1"/>
  <c r="AA88" i="1"/>
  <c r="W88" i="1" s="1"/>
  <c r="T36" i="1"/>
  <c r="X36" i="1"/>
  <c r="AG40" i="1"/>
  <c r="X40" i="1"/>
  <c r="AG39" i="1"/>
  <c r="X39" i="1"/>
  <c r="AG38" i="1"/>
  <c r="X38" i="1"/>
  <c r="AG37" i="1"/>
  <c r="X37" i="1"/>
  <c r="AA196" i="1"/>
  <c r="AA109" i="1"/>
  <c r="W109" i="1" s="1"/>
  <c r="AA52" i="1"/>
  <c r="AA190" i="1"/>
  <c r="W190" i="1" s="1"/>
  <c r="AA156" i="1"/>
  <c r="AA35" i="1"/>
  <c r="W35" i="1" s="1"/>
  <c r="AA34" i="1"/>
  <c r="W34" i="1" s="1"/>
  <c r="AA30" i="1"/>
  <c r="W30" i="1" s="1"/>
  <c r="AA119" i="1"/>
  <c r="AA112" i="1"/>
  <c r="AA146" i="1"/>
  <c r="W146" i="1" s="1"/>
  <c r="T130" i="1"/>
  <c r="U130" i="1" s="1"/>
  <c r="S130" i="1" s="1"/>
  <c r="T29" i="1"/>
  <c r="U29" i="1" s="1"/>
  <c r="S29" i="1" s="1"/>
  <c r="AA166" i="1"/>
  <c r="W166" i="1" s="1"/>
  <c r="AA163" i="1"/>
  <c r="AG175" i="1"/>
  <c r="U175" i="1" s="1"/>
  <c r="S175" i="1" s="1"/>
  <c r="X163" i="1"/>
  <c r="AA102" i="1"/>
  <c r="W102" i="1" s="1"/>
  <c r="AA98" i="1"/>
  <c r="W98" i="1" s="1"/>
  <c r="P22" i="1"/>
  <c r="T108" i="1"/>
  <c r="U108" i="1" s="1"/>
  <c r="S108" i="1" s="1"/>
  <c r="AA185" i="1"/>
  <c r="AA177" i="1"/>
  <c r="X137" i="1"/>
  <c r="AA106" i="1"/>
  <c r="W106" i="1" s="1"/>
  <c r="T88" i="1"/>
  <c r="U88" i="1" s="1"/>
  <c r="S88" i="1" s="1"/>
  <c r="AA54" i="1"/>
  <c r="AA53" i="1"/>
  <c r="W53" i="1" s="1"/>
  <c r="AA199" i="1"/>
  <c r="W199" i="1" s="1"/>
  <c r="AA169" i="1"/>
  <c r="W169" i="1" s="1"/>
  <c r="AA168" i="1"/>
  <c r="W168" i="1" s="1"/>
  <c r="AA167" i="1"/>
  <c r="W167" i="1" s="1"/>
  <c r="AA149" i="1"/>
  <c r="W149" i="1" s="1"/>
  <c r="AA125" i="1"/>
  <c r="W125" i="1" s="1"/>
  <c r="AA122" i="1"/>
  <c r="W122" i="1" s="1"/>
  <c r="AA121" i="1"/>
  <c r="AA116" i="1"/>
  <c r="T102" i="1"/>
  <c r="U102" i="1" s="1"/>
  <c r="S102" i="1" s="1"/>
  <c r="W52" i="1"/>
  <c r="AA49" i="1"/>
  <c r="W49" i="1" s="1"/>
  <c r="AA47" i="1"/>
  <c r="W47" i="1" s="1"/>
  <c r="AA36" i="1"/>
  <c r="X149" i="1"/>
  <c r="X70" i="1"/>
  <c r="X167" i="1"/>
  <c r="AA198" i="1"/>
  <c r="W198" i="1" s="1"/>
  <c r="AA148" i="1"/>
  <c r="W148" i="1" s="1"/>
  <c r="AA147" i="1"/>
  <c r="W147" i="1" s="1"/>
  <c r="AA130" i="1"/>
  <c r="W130" i="1" s="1"/>
  <c r="AA127" i="1"/>
  <c r="W127" i="1" s="1"/>
  <c r="X117" i="1"/>
  <c r="T98" i="1"/>
  <c r="U98" i="1" s="1"/>
  <c r="S98" i="1" s="1"/>
  <c r="AA95" i="1"/>
  <c r="AA79" i="1"/>
  <c r="W79" i="1" s="1"/>
  <c r="AG62" i="1"/>
  <c r="U62" i="1" s="1"/>
  <c r="S62" i="1" s="1"/>
  <c r="AA55" i="1"/>
  <c r="W55" i="1" s="1"/>
  <c r="X45" i="1"/>
  <c r="AA41" i="1"/>
  <c r="AA38" i="1"/>
  <c r="W38" i="1" s="1"/>
  <c r="T31" i="1"/>
  <c r="U31" i="1" s="1"/>
  <c r="S31" i="1" s="1"/>
  <c r="AA24" i="1"/>
  <c r="AA23" i="1"/>
  <c r="W23" i="1" s="1"/>
  <c r="X75" i="1"/>
  <c r="X71" i="1"/>
  <c r="X168" i="1"/>
  <c r="AA176" i="1"/>
  <c r="AA150" i="1"/>
  <c r="W150" i="1" s="1"/>
  <c r="X147" i="1"/>
  <c r="AA139" i="1"/>
  <c r="W139" i="1" s="1"/>
  <c r="AA135" i="1"/>
  <c r="AA134" i="1"/>
  <c r="W134" i="1" s="1"/>
  <c r="AA133" i="1"/>
  <c r="W133" i="1" s="1"/>
  <c r="AA132" i="1"/>
  <c r="W132" i="1" s="1"/>
  <c r="AA123" i="1"/>
  <c r="AA117" i="1"/>
  <c r="W117" i="1" s="1"/>
  <c r="AA97" i="1"/>
  <c r="AA75" i="1"/>
  <c r="W75" i="1" s="1"/>
  <c r="AA31" i="1"/>
  <c r="W31" i="1" s="1"/>
  <c r="X77" i="1"/>
  <c r="X73" i="1"/>
  <c r="X166" i="1"/>
  <c r="T92" i="1"/>
  <c r="AA29" i="1"/>
  <c r="W29" i="1" s="1"/>
  <c r="X159" i="1"/>
  <c r="X165" i="1"/>
  <c r="X164" i="1"/>
  <c r="AG164" i="1"/>
  <c r="AA158" i="1"/>
  <c r="AG158" i="1"/>
  <c r="U158" i="1" s="1"/>
  <c r="S158" i="1" s="1"/>
  <c r="X158" i="1"/>
  <c r="AG36" i="1"/>
  <c r="AA103" i="1"/>
  <c r="X55" i="1"/>
  <c r="AA48" i="1"/>
  <c r="W48" i="1" s="1"/>
  <c r="AA46" i="1"/>
  <c r="W46" i="1" s="1"/>
  <c r="AA40" i="1"/>
  <c r="W40" i="1" s="1"/>
  <c r="AA39" i="1"/>
  <c r="T38" i="1"/>
  <c r="U38" i="1" s="1"/>
  <c r="S38" i="1" s="1"/>
  <c r="AA32" i="1"/>
  <c r="AA27" i="1"/>
  <c r="W27" i="1" s="1"/>
  <c r="AA26" i="1"/>
  <c r="W26" i="1" s="1"/>
  <c r="AG181" i="1"/>
  <c r="U181" i="1" s="1"/>
  <c r="S181" i="1" s="1"/>
  <c r="AA194" i="1"/>
  <c r="W194" i="1" s="1"/>
  <c r="AA191" i="1"/>
  <c r="W191" i="1" s="1"/>
  <c r="AA188" i="1"/>
  <c r="T171" i="1"/>
  <c r="U171" i="1" s="1"/>
  <c r="S171" i="1" s="1"/>
  <c r="AA162" i="1"/>
  <c r="W162" i="1" s="1"/>
  <c r="AA161" i="1"/>
  <c r="W161" i="1" s="1"/>
  <c r="AA160" i="1"/>
  <c r="W160" i="1" s="1"/>
  <c r="AA159" i="1"/>
  <c r="W159" i="1" s="1"/>
  <c r="T154" i="1"/>
  <c r="U154" i="1" s="1"/>
  <c r="S154" i="1" s="1"/>
  <c r="X153" i="1"/>
  <c r="T146" i="1"/>
  <c r="U146" i="1" s="1"/>
  <c r="S146" i="1" s="1"/>
  <c r="AA140" i="1"/>
  <c r="W140" i="1" s="1"/>
  <c r="AA137" i="1"/>
  <c r="W137" i="1" s="1"/>
  <c r="AA126" i="1"/>
  <c r="AA124" i="1"/>
  <c r="W124" i="1" s="1"/>
  <c r="AA114" i="1"/>
  <c r="AA110" i="1"/>
  <c r="AA105" i="1"/>
  <c r="AA99" i="1"/>
  <c r="T94" i="1"/>
  <c r="U94" i="1" s="1"/>
  <c r="S94" i="1" s="1"/>
  <c r="T90" i="1"/>
  <c r="U90" i="1" s="1"/>
  <c r="S90" i="1" s="1"/>
  <c r="AA87" i="1"/>
  <c r="T82" i="1"/>
  <c r="U82" i="1" s="1"/>
  <c r="S82" i="1" s="1"/>
  <c r="AA68" i="1"/>
  <c r="AA61" i="1"/>
  <c r="AA180" i="1"/>
  <c r="AA128" i="1"/>
  <c r="AA107" i="1"/>
  <c r="W107" i="1" s="1"/>
  <c r="T106" i="1"/>
  <c r="U106" i="1" s="1"/>
  <c r="S106" i="1" s="1"/>
  <c r="AA101" i="1"/>
  <c r="AA91" i="1"/>
  <c r="AA82" i="1"/>
  <c r="W82" i="1" s="1"/>
  <c r="AA74" i="1"/>
  <c r="AA72" i="1"/>
  <c r="AA59" i="1"/>
  <c r="AA56" i="1"/>
  <c r="W56" i="1" s="1"/>
  <c r="AA51" i="1"/>
  <c r="W51" i="1" s="1"/>
  <c r="AA50" i="1"/>
  <c r="W50" i="1" s="1"/>
  <c r="T48" i="1"/>
  <c r="U48" i="1" s="1"/>
  <c r="S48" i="1" s="1"/>
  <c r="AA44" i="1"/>
  <c r="W44" i="1" s="1"/>
  <c r="AA43" i="1"/>
  <c r="W43" i="1" s="1"/>
  <c r="T40" i="1"/>
  <c r="U40" i="1" s="1"/>
  <c r="S40" i="1" s="1"/>
  <c r="AA20" i="1"/>
  <c r="W20" i="1" s="1"/>
  <c r="AA14" i="1"/>
  <c r="AG135" i="1"/>
  <c r="X135" i="1"/>
  <c r="AG116" i="1"/>
  <c r="T116" i="1"/>
  <c r="AG97" i="1"/>
  <c r="T97" i="1"/>
  <c r="AG54" i="1"/>
  <c r="T54" i="1"/>
  <c r="AG42" i="1"/>
  <c r="X43" i="1"/>
  <c r="AG41" i="1"/>
  <c r="X173" i="1"/>
  <c r="AG173" i="1"/>
  <c r="AG163" i="1"/>
  <c r="AG151" i="1"/>
  <c r="X151" i="1"/>
  <c r="AG126" i="1"/>
  <c r="T126" i="1"/>
  <c r="AG110" i="1"/>
  <c r="X111" i="1"/>
  <c r="T110" i="1"/>
  <c r="AG99" i="1"/>
  <c r="T99" i="1"/>
  <c r="AG93" i="1"/>
  <c r="W93" i="1" s="1"/>
  <c r="T93" i="1"/>
  <c r="AG33" i="1"/>
  <c r="X34" i="1"/>
  <c r="AG32" i="1"/>
  <c r="X32" i="1"/>
  <c r="AG170" i="1"/>
  <c r="X170" i="1"/>
  <c r="AG103" i="1"/>
  <c r="T103" i="1"/>
  <c r="AG119" i="1"/>
  <c r="X119" i="1"/>
  <c r="AG114" i="1"/>
  <c r="T114" i="1"/>
  <c r="AG105" i="1"/>
  <c r="T105" i="1"/>
  <c r="AG95" i="1"/>
  <c r="T95" i="1"/>
  <c r="AG25" i="1"/>
  <c r="X26" i="1"/>
  <c r="AG24" i="1"/>
  <c r="X24" i="1"/>
  <c r="T184" i="1"/>
  <c r="AG184" i="1"/>
  <c r="AA184" i="1"/>
  <c r="AA192" i="1"/>
  <c r="W192" i="1" s="1"/>
  <c r="AG186" i="1"/>
  <c r="U186" i="1" s="1"/>
  <c r="S186" i="1" s="1"/>
  <c r="T178" i="1"/>
  <c r="AG178" i="1"/>
  <c r="AG156" i="1"/>
  <c r="X157" i="1"/>
  <c r="AG129" i="1"/>
  <c r="X129" i="1"/>
  <c r="AG101" i="1"/>
  <c r="T101" i="1"/>
  <c r="AA89" i="1"/>
  <c r="W89" i="1" s="1"/>
  <c r="T83" i="1"/>
  <c r="X83" i="1"/>
  <c r="AG83" i="1"/>
  <c r="AA141" i="1"/>
  <c r="W141" i="1" s="1"/>
  <c r="AA138" i="1"/>
  <c r="W138" i="1" s="1"/>
  <c r="AA118" i="1"/>
  <c r="W118" i="1" s="1"/>
  <c r="AA65" i="1"/>
  <c r="AA57" i="1"/>
  <c r="AA182" i="1"/>
  <c r="AG176" i="1"/>
  <c r="X172" i="1"/>
  <c r="AA165" i="1"/>
  <c r="W165" i="1" s="1"/>
  <c r="AA157" i="1"/>
  <c r="W157" i="1" s="1"/>
  <c r="AA154" i="1"/>
  <c r="W154" i="1" s="1"/>
  <c r="AA153" i="1"/>
  <c r="W153" i="1" s="1"/>
  <c r="X141" i="1"/>
  <c r="AA136" i="1"/>
  <c r="W136" i="1" s="1"/>
  <c r="T134" i="1"/>
  <c r="AA131" i="1"/>
  <c r="W131" i="1" s="1"/>
  <c r="AA115" i="1"/>
  <c r="AA113" i="1"/>
  <c r="AA111" i="1"/>
  <c r="W111" i="1" s="1"/>
  <c r="AA108" i="1"/>
  <c r="W108" i="1" s="1"/>
  <c r="AA104" i="1"/>
  <c r="AA100" i="1"/>
  <c r="AA96" i="1"/>
  <c r="AA92" i="1"/>
  <c r="W92" i="1" s="1"/>
  <c r="AA90" i="1"/>
  <c r="W90" i="1" s="1"/>
  <c r="T89" i="1"/>
  <c r="U89" i="1" s="1"/>
  <c r="S89" i="1" s="1"/>
  <c r="AA86" i="1"/>
  <c r="W86" i="1" s="1"/>
  <c r="AA85" i="1"/>
  <c r="AA84" i="1"/>
  <c r="AA77" i="1"/>
  <c r="W77" i="1" s="1"/>
  <c r="AA76" i="1"/>
  <c r="AA71" i="1"/>
  <c r="W71" i="1" s="1"/>
  <c r="AG65" i="1"/>
  <c r="U65" i="1" s="1"/>
  <c r="S65" i="1" s="1"/>
  <c r="X60" i="1"/>
  <c r="AA45" i="1"/>
  <c r="W45" i="1" s="1"/>
  <c r="AA172" i="1"/>
  <c r="W172" i="1" s="1"/>
  <c r="AA155" i="1"/>
  <c r="W155" i="1" s="1"/>
  <c r="AA200" i="1"/>
  <c r="W200" i="1" s="1"/>
  <c r="AA195" i="1"/>
  <c r="W195" i="1" s="1"/>
  <c r="AA187" i="1"/>
  <c r="AG183" i="1"/>
  <c r="U183" i="1" s="1"/>
  <c r="S183" i="1" s="1"/>
  <c r="AA179" i="1"/>
  <c r="AA174" i="1"/>
  <c r="AA171" i="1"/>
  <c r="W171" i="1" s="1"/>
  <c r="AA170" i="1"/>
  <c r="AA152" i="1"/>
  <c r="W152" i="1" s="1"/>
  <c r="AA151" i="1"/>
  <c r="AA145" i="1"/>
  <c r="W145" i="1" s="1"/>
  <c r="AA144" i="1"/>
  <c r="W144" i="1" s="1"/>
  <c r="AA143" i="1"/>
  <c r="W143" i="1" s="1"/>
  <c r="AA142" i="1"/>
  <c r="W142" i="1" s="1"/>
  <c r="T138" i="1"/>
  <c r="U138" i="1" s="1"/>
  <c r="S138" i="1" s="1"/>
  <c r="AA129" i="1"/>
  <c r="X127" i="1"/>
  <c r="AA120" i="1"/>
  <c r="T118" i="1"/>
  <c r="U118" i="1" s="1"/>
  <c r="S118" i="1" s="1"/>
  <c r="X109" i="1"/>
  <c r="AA83" i="1"/>
  <c r="AA80" i="1"/>
  <c r="AA69" i="1"/>
  <c r="X59" i="1"/>
  <c r="AA42" i="1"/>
  <c r="AA37" i="1"/>
  <c r="W37" i="1" s="1"/>
  <c r="AA33" i="1"/>
  <c r="AA28" i="1"/>
  <c r="W28" i="1" s="1"/>
  <c r="AA25" i="1"/>
  <c r="AA22" i="1"/>
  <c r="W22" i="1" s="1"/>
  <c r="T20" i="1"/>
  <c r="U20" i="1" s="1"/>
  <c r="S20" i="1" s="1"/>
  <c r="AA18" i="1"/>
  <c r="W18" i="1" s="1"/>
  <c r="W196" i="1"/>
  <c r="T145" i="1"/>
  <c r="U145" i="1" s="1"/>
  <c r="S145" i="1" s="1"/>
  <c r="T144" i="1"/>
  <c r="U144" i="1" s="1"/>
  <c r="S144" i="1" s="1"/>
  <c r="T143" i="1"/>
  <c r="U143" i="1" s="1"/>
  <c r="S143" i="1" s="1"/>
  <c r="AA197" i="1"/>
  <c r="W197" i="1" s="1"/>
  <c r="AA189" i="1"/>
  <c r="W189" i="1" s="1"/>
  <c r="AG188" i="1"/>
  <c r="AG185" i="1"/>
  <c r="U185" i="1" s="1"/>
  <c r="AG182" i="1"/>
  <c r="U182" i="1" s="1"/>
  <c r="S182" i="1" s="1"/>
  <c r="AA181" i="1"/>
  <c r="AG179" i="1"/>
  <c r="U179" i="1" s="1"/>
  <c r="S179" i="1" s="1"/>
  <c r="AA178" i="1"/>
  <c r="AA175" i="1"/>
  <c r="T173" i="1"/>
  <c r="T172" i="1"/>
  <c r="U172" i="1" s="1"/>
  <c r="S172" i="1" s="1"/>
  <c r="T159" i="1"/>
  <c r="U159" i="1" s="1"/>
  <c r="S159" i="1" s="1"/>
  <c r="T157" i="1"/>
  <c r="U157" i="1" s="1"/>
  <c r="S157" i="1" s="1"/>
  <c r="T156" i="1"/>
  <c r="T155" i="1"/>
  <c r="U155" i="1" s="1"/>
  <c r="S155" i="1" s="1"/>
  <c r="T142" i="1"/>
  <c r="U142" i="1" s="1"/>
  <c r="S142" i="1" s="1"/>
  <c r="T141" i="1"/>
  <c r="U141" i="1" s="1"/>
  <c r="S141" i="1" s="1"/>
  <c r="T140" i="1"/>
  <c r="U140" i="1" s="1"/>
  <c r="S140" i="1" s="1"/>
  <c r="T139" i="1"/>
  <c r="U139" i="1" s="1"/>
  <c r="S139" i="1" s="1"/>
  <c r="T132" i="1"/>
  <c r="U132" i="1" s="1"/>
  <c r="S132" i="1" s="1"/>
  <c r="T131" i="1"/>
  <c r="U131" i="1" s="1"/>
  <c r="S131" i="1" s="1"/>
  <c r="X125" i="1"/>
  <c r="T124" i="1"/>
  <c r="U124" i="1" s="1"/>
  <c r="S124" i="1" s="1"/>
  <c r="AG123" i="1"/>
  <c r="W123" i="1" s="1"/>
  <c r="X123" i="1"/>
  <c r="AG120" i="1"/>
  <c r="T120" i="1"/>
  <c r="T68" i="1"/>
  <c r="AG68" i="1"/>
  <c r="X58" i="1"/>
  <c r="T133" i="1"/>
  <c r="U133" i="1" s="1"/>
  <c r="S133" i="1" s="1"/>
  <c r="AG91" i="1"/>
  <c r="T91" i="1"/>
  <c r="AG87" i="1"/>
  <c r="T87" i="1"/>
  <c r="T57" i="1"/>
  <c r="X57" i="1"/>
  <c r="AG57" i="1"/>
  <c r="T162" i="1"/>
  <c r="U162" i="1" s="1"/>
  <c r="S162" i="1" s="1"/>
  <c r="T161" i="1"/>
  <c r="U161" i="1" s="1"/>
  <c r="S161" i="1" s="1"/>
  <c r="T160" i="1"/>
  <c r="AG115" i="1"/>
  <c r="U115" i="1" s="1"/>
  <c r="S115" i="1" s="1"/>
  <c r="X115" i="1"/>
  <c r="AG112" i="1"/>
  <c r="W112" i="1" s="1"/>
  <c r="T112" i="1"/>
  <c r="AA201" i="1"/>
  <c r="W201" i="1" s="1"/>
  <c r="AA193" i="1"/>
  <c r="W193" i="1" s="1"/>
  <c r="AG187" i="1"/>
  <c r="U187" i="1" s="1"/>
  <c r="S187" i="1" s="1"/>
  <c r="AA186" i="1"/>
  <c r="AA183" i="1"/>
  <c r="AG180" i="1"/>
  <c r="AG177" i="1"/>
  <c r="AG174" i="1"/>
  <c r="U174" i="1" s="1"/>
  <c r="S174" i="1" s="1"/>
  <c r="AA173" i="1"/>
  <c r="T165" i="1"/>
  <c r="U165" i="1" s="1"/>
  <c r="S165" i="1" s="1"/>
  <c r="T163" i="1"/>
  <c r="X155" i="1"/>
  <c r="T150" i="1"/>
  <c r="U150" i="1" s="1"/>
  <c r="S150" i="1" s="1"/>
  <c r="T149" i="1"/>
  <c r="U149" i="1" s="1"/>
  <c r="S149" i="1" s="1"/>
  <c r="T148" i="1"/>
  <c r="U148" i="1" s="1"/>
  <c r="S148" i="1" s="1"/>
  <c r="T147" i="1"/>
  <c r="U147" i="1" s="1"/>
  <c r="S147" i="1" s="1"/>
  <c r="X139" i="1"/>
  <c r="T136" i="1"/>
  <c r="U136" i="1" s="1"/>
  <c r="S136" i="1" s="1"/>
  <c r="T135" i="1"/>
  <c r="X131" i="1"/>
  <c r="T125" i="1"/>
  <c r="U125" i="1" s="1"/>
  <c r="S125" i="1" s="1"/>
  <c r="T122" i="1"/>
  <c r="U122" i="1" s="1"/>
  <c r="S122" i="1" s="1"/>
  <c r="AG121" i="1"/>
  <c r="U121" i="1" s="1"/>
  <c r="S121" i="1" s="1"/>
  <c r="X121" i="1"/>
  <c r="T61" i="1"/>
  <c r="AG61" i="1"/>
  <c r="T170" i="1"/>
  <c r="T169" i="1"/>
  <c r="U169" i="1" s="1"/>
  <c r="S169" i="1" s="1"/>
  <c r="T168" i="1"/>
  <c r="U168" i="1" s="1"/>
  <c r="S168" i="1" s="1"/>
  <c r="T167" i="1"/>
  <c r="U167" i="1" s="1"/>
  <c r="S167" i="1" s="1"/>
  <c r="T166" i="1"/>
  <c r="U166" i="1" s="1"/>
  <c r="S166" i="1" s="1"/>
  <c r="X162" i="1"/>
  <c r="X160" i="1"/>
  <c r="T153" i="1"/>
  <c r="U153" i="1" s="1"/>
  <c r="S153" i="1" s="1"/>
  <c r="T152" i="1"/>
  <c r="U152" i="1" s="1"/>
  <c r="S152" i="1" s="1"/>
  <c r="T151" i="1"/>
  <c r="X145" i="1"/>
  <c r="X143" i="1"/>
  <c r="T137" i="1"/>
  <c r="U137" i="1" s="1"/>
  <c r="S137" i="1" s="1"/>
  <c r="X133" i="1"/>
  <c r="T129" i="1"/>
  <c r="AG128" i="1"/>
  <c r="T128" i="1"/>
  <c r="AG113" i="1"/>
  <c r="U113" i="1" s="1"/>
  <c r="S113" i="1" s="1"/>
  <c r="X113" i="1"/>
  <c r="AG104" i="1"/>
  <c r="T104" i="1"/>
  <c r="AG100" i="1"/>
  <c r="T100" i="1"/>
  <c r="AG96" i="1"/>
  <c r="T96" i="1"/>
  <c r="T47" i="1"/>
  <c r="U47" i="1" s="1"/>
  <c r="S47" i="1" s="1"/>
  <c r="T37" i="1"/>
  <c r="U37" i="1" s="1"/>
  <c r="S37" i="1" s="1"/>
  <c r="T28" i="1"/>
  <c r="U28" i="1" s="1"/>
  <c r="S28" i="1" s="1"/>
  <c r="T22" i="1"/>
  <c r="U22" i="1" s="1"/>
  <c r="AA15" i="1"/>
  <c r="AA67" i="1"/>
  <c r="AA64" i="1"/>
  <c r="T59" i="1"/>
  <c r="AA58" i="1"/>
  <c r="T53" i="1"/>
  <c r="U53" i="1" s="1"/>
  <c r="S53" i="1" s="1"/>
  <c r="T52" i="1"/>
  <c r="U52" i="1" s="1"/>
  <c r="S52" i="1" s="1"/>
  <c r="T51" i="1"/>
  <c r="U51" i="1" s="1"/>
  <c r="S51" i="1" s="1"/>
  <c r="T50" i="1"/>
  <c r="U50" i="1" s="1"/>
  <c r="S50" i="1" s="1"/>
  <c r="T49" i="1"/>
  <c r="U49" i="1" s="1"/>
  <c r="S49" i="1" s="1"/>
  <c r="T39" i="1"/>
  <c r="T30" i="1"/>
  <c r="U30" i="1" s="1"/>
  <c r="S30" i="1" s="1"/>
  <c r="T117" i="1"/>
  <c r="U117" i="1" s="1"/>
  <c r="S117" i="1" s="1"/>
  <c r="T109" i="1"/>
  <c r="U109" i="1" s="1"/>
  <c r="S109" i="1" s="1"/>
  <c r="X82" i="1"/>
  <c r="AA73" i="1"/>
  <c r="W73" i="1" s="1"/>
  <c r="AA70" i="1"/>
  <c r="W70" i="1" s="1"/>
  <c r="AG67" i="1"/>
  <c r="U67" i="1" s="1"/>
  <c r="S67" i="1" s="1"/>
  <c r="AA66" i="1"/>
  <c r="AG64" i="1"/>
  <c r="U64" i="1" s="1"/>
  <c r="S64" i="1" s="1"/>
  <c r="AA63" i="1"/>
  <c r="AA60" i="1"/>
  <c r="AG59" i="1"/>
  <c r="AG58" i="1"/>
  <c r="U58" i="1" s="1"/>
  <c r="S58" i="1" s="1"/>
  <c r="T56" i="1"/>
  <c r="U56" i="1" s="1"/>
  <c r="S56" i="1" s="1"/>
  <c r="T55" i="1"/>
  <c r="U55" i="1" s="1"/>
  <c r="S55" i="1" s="1"/>
  <c r="X47" i="1"/>
  <c r="T42" i="1"/>
  <c r="T41" i="1"/>
  <c r="T33" i="1"/>
  <c r="T32" i="1"/>
  <c r="X28" i="1"/>
  <c r="T25" i="1"/>
  <c r="T24" i="1"/>
  <c r="X22" i="1"/>
  <c r="X20" i="1"/>
  <c r="X18" i="1"/>
  <c r="AA17" i="1"/>
  <c r="W17" i="1" s="1"/>
  <c r="T127" i="1"/>
  <c r="U127" i="1" s="1"/>
  <c r="S127" i="1" s="1"/>
  <c r="T119" i="1"/>
  <c r="T111" i="1"/>
  <c r="U111" i="1" s="1"/>
  <c r="S111" i="1" s="1"/>
  <c r="X108" i="1"/>
  <c r="AA81" i="1"/>
  <c r="W81" i="1" s="1"/>
  <c r="AA78" i="1"/>
  <c r="AG66" i="1"/>
  <c r="U66" i="1" s="1"/>
  <c r="S66" i="1" s="1"/>
  <c r="AG63" i="1"/>
  <c r="U63" i="1" s="1"/>
  <c r="S63" i="1" s="1"/>
  <c r="AA62" i="1"/>
  <c r="AG60" i="1"/>
  <c r="U60" i="1" s="1"/>
  <c r="S60" i="1" s="1"/>
  <c r="X53" i="1"/>
  <c r="X51" i="1"/>
  <c r="X49" i="1"/>
  <c r="T46" i="1"/>
  <c r="U46" i="1" s="1"/>
  <c r="S46" i="1" s="1"/>
  <c r="T45" i="1"/>
  <c r="U45" i="1" s="1"/>
  <c r="S45" i="1" s="1"/>
  <c r="T44" i="1"/>
  <c r="U44" i="1" s="1"/>
  <c r="S44" i="1" s="1"/>
  <c r="T43" i="1"/>
  <c r="U43" i="1" s="1"/>
  <c r="S43" i="1" s="1"/>
  <c r="T35" i="1"/>
  <c r="U35" i="1" s="1"/>
  <c r="S35" i="1" s="1"/>
  <c r="T34" i="1"/>
  <c r="U34" i="1" s="1"/>
  <c r="S34" i="1" s="1"/>
  <c r="X30" i="1"/>
  <c r="T27" i="1"/>
  <c r="U27" i="1" s="1"/>
  <c r="S27" i="1" s="1"/>
  <c r="T26" i="1"/>
  <c r="U26" i="1" s="1"/>
  <c r="S26" i="1" s="1"/>
  <c r="AA21" i="1"/>
  <c r="W21" i="1" s="1"/>
  <c r="AA19" i="1"/>
  <c r="W19" i="1" s="1"/>
  <c r="AA16" i="1"/>
  <c r="T201" i="1"/>
  <c r="U201" i="1" s="1"/>
  <c r="S201" i="1" s="1"/>
  <c r="X201" i="1"/>
  <c r="T199" i="1"/>
  <c r="U199" i="1" s="1"/>
  <c r="S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U134" i="1"/>
  <c r="S134" i="1" s="1"/>
  <c r="X107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1" i="1"/>
  <c r="X169" i="1"/>
  <c r="X161" i="1"/>
  <c r="U160" i="1"/>
  <c r="S160" i="1" s="1"/>
  <c r="X156" i="1"/>
  <c r="X154" i="1"/>
  <c r="X152" i="1"/>
  <c r="X150" i="1"/>
  <c r="X148" i="1"/>
  <c r="X146" i="1"/>
  <c r="X144" i="1"/>
  <c r="X142" i="1"/>
  <c r="X140" i="1"/>
  <c r="X138" i="1"/>
  <c r="X136" i="1"/>
  <c r="X134" i="1"/>
  <c r="X132" i="1"/>
  <c r="X130" i="1"/>
  <c r="X128" i="1"/>
  <c r="X126" i="1"/>
  <c r="X124" i="1"/>
  <c r="X122" i="1"/>
  <c r="X120" i="1"/>
  <c r="X118" i="1"/>
  <c r="X116" i="1"/>
  <c r="X114" i="1"/>
  <c r="X112" i="1"/>
  <c r="X110" i="1"/>
  <c r="T107" i="1"/>
  <c r="U107" i="1" s="1"/>
  <c r="S107" i="1" s="1"/>
  <c r="T86" i="1"/>
  <c r="U86" i="1" s="1"/>
  <c r="S86" i="1" s="1"/>
  <c r="X106" i="1"/>
  <c r="X104" i="1"/>
  <c r="X102" i="1"/>
  <c r="X100" i="1"/>
  <c r="X98" i="1"/>
  <c r="X96" i="1"/>
  <c r="X94" i="1"/>
  <c r="X92" i="1"/>
  <c r="X90" i="1"/>
  <c r="X88" i="1"/>
  <c r="X86" i="1"/>
  <c r="T85" i="1"/>
  <c r="X85" i="1"/>
  <c r="AG85" i="1"/>
  <c r="X105" i="1"/>
  <c r="X103" i="1"/>
  <c r="X101" i="1"/>
  <c r="X99" i="1"/>
  <c r="X97" i="1"/>
  <c r="X95" i="1"/>
  <c r="X93" i="1"/>
  <c r="U92" i="1"/>
  <c r="S92" i="1" s="1"/>
  <c r="X91" i="1"/>
  <c r="X89" i="1"/>
  <c r="X87" i="1"/>
  <c r="AG84" i="1"/>
  <c r="X84" i="1"/>
  <c r="T80" i="1"/>
  <c r="X80" i="1"/>
  <c r="T78" i="1"/>
  <c r="X78" i="1"/>
  <c r="T76" i="1"/>
  <c r="T74" i="1"/>
  <c r="T72" i="1"/>
  <c r="T69" i="1"/>
  <c r="AG80" i="1"/>
  <c r="AG78" i="1"/>
  <c r="AG76" i="1"/>
  <c r="AG74" i="1"/>
  <c r="AG72" i="1"/>
  <c r="AG69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T75" i="1"/>
  <c r="U75" i="1" s="1"/>
  <c r="S75" i="1" s="1"/>
  <c r="T73" i="1"/>
  <c r="U73" i="1" s="1"/>
  <c r="S73" i="1" s="1"/>
  <c r="T71" i="1"/>
  <c r="U71" i="1" s="1"/>
  <c r="S71" i="1" s="1"/>
  <c r="T70" i="1"/>
  <c r="U70" i="1" s="1"/>
  <c r="S70" i="1" s="1"/>
  <c r="T23" i="1"/>
  <c r="U23" i="1" s="1"/>
  <c r="T21" i="1"/>
  <c r="U21" i="1" s="1"/>
  <c r="S21" i="1" s="1"/>
  <c r="T19" i="1"/>
  <c r="U19" i="1" s="1"/>
  <c r="S19" i="1" s="1"/>
  <c r="T17" i="1"/>
  <c r="U17" i="1" s="1"/>
  <c r="S17" i="1" s="1"/>
  <c r="X56" i="1"/>
  <c r="X54" i="1"/>
  <c r="X52" i="1"/>
  <c r="X50" i="1"/>
  <c r="X48" i="1"/>
  <c r="X46" i="1"/>
  <c r="X44" i="1"/>
  <c r="X42" i="1"/>
  <c r="X35" i="1"/>
  <c r="X33" i="1"/>
  <c r="X31" i="1"/>
  <c r="X29" i="1"/>
  <c r="X27" i="1"/>
  <c r="X25" i="1"/>
  <c r="X23" i="1"/>
  <c r="X21" i="1"/>
  <c r="X19" i="1"/>
  <c r="X17" i="1"/>
  <c r="T16" i="1"/>
  <c r="X16" i="1"/>
  <c r="AG16" i="1"/>
  <c r="T15" i="1"/>
  <c r="X15" i="1"/>
  <c r="AG15" i="1"/>
  <c r="T18" i="1"/>
  <c r="U18" i="1" s="1"/>
  <c r="S18" i="1" s="1"/>
  <c r="T14" i="1"/>
  <c r="AG14" i="1"/>
  <c r="X67" i="1"/>
  <c r="X66" i="1"/>
  <c r="X65" i="1"/>
  <c r="X64" i="1"/>
  <c r="X63" i="1"/>
  <c r="X62" i="1"/>
  <c r="X61" i="1"/>
  <c r="L7" i="3"/>
  <c r="Q50" i="3"/>
  <c r="P50" i="3"/>
  <c r="Q36" i="3"/>
  <c r="P36" i="3"/>
  <c r="Q55" i="3"/>
  <c r="P55" i="3"/>
  <c r="Q57" i="3"/>
  <c r="P57" i="3"/>
  <c r="Q46" i="3"/>
  <c r="P46" i="3"/>
  <c r="Q58" i="3"/>
  <c r="P58" i="3"/>
  <c r="Q48" i="3"/>
  <c r="P48" i="3"/>
  <c r="Q59" i="3"/>
  <c r="P59" i="3"/>
  <c r="Q53" i="3"/>
  <c r="P53" i="3"/>
  <c r="Q52" i="3"/>
  <c r="P52" i="3"/>
  <c r="Q65" i="3"/>
  <c r="P65" i="3"/>
  <c r="Q60" i="3"/>
  <c r="P60" i="3"/>
  <c r="Q66" i="3"/>
  <c r="P66" i="3"/>
  <c r="Q61" i="3"/>
  <c r="P61" i="3"/>
  <c r="Q27" i="3"/>
  <c r="P27" i="3"/>
  <c r="Q32" i="3"/>
  <c r="P32" i="3"/>
  <c r="Q42" i="3"/>
  <c r="P42" i="3"/>
  <c r="Q12" i="3"/>
  <c r="P12" i="3"/>
  <c r="Q29" i="3"/>
  <c r="P29" i="3"/>
  <c r="Q37" i="3"/>
  <c r="P37" i="3"/>
  <c r="Q38" i="3"/>
  <c r="P38" i="3"/>
  <c r="Q20" i="3"/>
  <c r="P20" i="3"/>
  <c r="Q26" i="3"/>
  <c r="P26" i="3"/>
  <c r="Q24" i="3"/>
  <c r="P24" i="3"/>
  <c r="Q39" i="3"/>
  <c r="P39" i="3"/>
  <c r="Q23" i="3"/>
  <c r="P23" i="3"/>
  <c r="Q19" i="3"/>
  <c r="P19" i="3"/>
  <c r="Q14" i="3"/>
  <c r="P14" i="3"/>
  <c r="Q31" i="3"/>
  <c r="P31" i="3"/>
  <c r="Q28" i="3"/>
  <c r="P28" i="3"/>
  <c r="Q35" i="3"/>
  <c r="P35" i="3"/>
  <c r="Q13" i="3"/>
  <c r="P13" i="3"/>
  <c r="Q18" i="3"/>
  <c r="P18" i="3"/>
  <c r="Q22" i="3"/>
  <c r="P22" i="3"/>
  <c r="Q40" i="3"/>
  <c r="P40" i="3"/>
  <c r="Q11" i="3"/>
  <c r="P11" i="3"/>
  <c r="Q17" i="3"/>
  <c r="P17" i="3"/>
  <c r="Q41" i="3"/>
  <c r="P41" i="3"/>
  <c r="Q15" i="3"/>
  <c r="P15" i="3"/>
  <c r="Q30" i="3"/>
  <c r="P30" i="3"/>
  <c r="Q33" i="3"/>
  <c r="P33" i="3"/>
  <c r="Q9" i="3"/>
  <c r="P9" i="3"/>
  <c r="Q54" i="3"/>
  <c r="P54" i="3"/>
  <c r="Q10" i="3"/>
  <c r="P10" i="3"/>
  <c r="Q43" i="3"/>
  <c r="P43" i="3"/>
  <c r="S7" i="3"/>
  <c r="R7" i="3" s="1"/>
  <c r="T7" i="3"/>
  <c r="U7" i="3"/>
  <c r="V7" i="3"/>
  <c r="W39" i="1" l="1"/>
  <c r="U39" i="1"/>
  <c r="S39" i="1" s="1"/>
  <c r="U119" i="1"/>
  <c r="S119" i="1" s="1"/>
  <c r="U59" i="1"/>
  <c r="S59" i="1" s="1"/>
  <c r="W176" i="1"/>
  <c r="W97" i="1"/>
  <c r="U123" i="1"/>
  <c r="S123" i="1" s="1"/>
  <c r="U170" i="1"/>
  <c r="S170" i="1" s="1"/>
  <c r="W163" i="1"/>
  <c r="U41" i="1"/>
  <c r="S41" i="1" s="1"/>
  <c r="W54" i="1"/>
  <c r="U33" i="1"/>
  <c r="S33" i="1" s="1"/>
  <c r="U163" i="1"/>
  <c r="S163" i="1" s="1"/>
  <c r="W62" i="1"/>
  <c r="U87" i="1"/>
  <c r="S87" i="1" s="1"/>
  <c r="U120" i="1"/>
  <c r="S120" i="1" s="1"/>
  <c r="W156" i="1"/>
  <c r="W177" i="1"/>
  <c r="W41" i="1"/>
  <c r="W128" i="1"/>
  <c r="W185" i="1"/>
  <c r="W175" i="1"/>
  <c r="W119" i="1"/>
  <c r="U54" i="1"/>
  <c r="S54" i="1" s="1"/>
  <c r="U57" i="1"/>
  <c r="S57" i="1" s="1"/>
  <c r="W91" i="1"/>
  <c r="W110" i="1"/>
  <c r="W85" i="1"/>
  <c r="W61" i="1"/>
  <c r="W32" i="1"/>
  <c r="U110" i="1"/>
  <c r="S110" i="1" s="1"/>
  <c r="U173" i="1"/>
  <c r="S173" i="1" s="1"/>
  <c r="U177" i="1"/>
  <c r="S177" i="1" s="1"/>
  <c r="U176" i="1"/>
  <c r="S176" i="1" s="1"/>
  <c r="W33" i="1"/>
  <c r="W24" i="1"/>
  <c r="W95" i="1"/>
  <c r="U103" i="1"/>
  <c r="S103" i="1" s="1"/>
  <c r="U135" i="1"/>
  <c r="S135" i="1" s="1"/>
  <c r="W78" i="1"/>
  <c r="W173" i="1"/>
  <c r="U156" i="1"/>
  <c r="S156" i="1" s="1"/>
  <c r="W115" i="1"/>
  <c r="U32" i="1"/>
  <c r="S32" i="1" s="1"/>
  <c r="W84" i="1"/>
  <c r="W114" i="1"/>
  <c r="U97" i="1"/>
  <c r="S97" i="1" s="1"/>
  <c r="W104" i="1"/>
  <c r="W121" i="1"/>
  <c r="W182" i="1"/>
  <c r="U93" i="1"/>
  <c r="S93" i="1" s="1"/>
  <c r="U126" i="1"/>
  <c r="S126" i="1" s="1"/>
  <c r="W116" i="1"/>
  <c r="U42" i="1"/>
  <c r="S42" i="1" s="1"/>
  <c r="U100" i="1"/>
  <c r="S100" i="1" s="1"/>
  <c r="W181" i="1"/>
  <c r="W129" i="1"/>
  <c r="W126" i="1"/>
  <c r="W158" i="1"/>
  <c r="U24" i="1"/>
  <c r="S24" i="1" s="1"/>
  <c r="U96" i="1"/>
  <c r="S96" i="1" s="1"/>
  <c r="W170" i="1"/>
  <c r="W135" i="1"/>
  <c r="U129" i="1"/>
  <c r="S129" i="1" s="1"/>
  <c r="W42" i="1"/>
  <c r="W83" i="1"/>
  <c r="W101" i="1"/>
  <c r="U25" i="1"/>
  <c r="S25" i="1" s="1"/>
  <c r="U164" i="1"/>
  <c r="S164" i="1" s="1"/>
  <c r="W164" i="1"/>
  <c r="U36" i="1"/>
  <c r="S36" i="1" s="1"/>
  <c r="W36" i="1"/>
  <c r="S22" i="1"/>
  <c r="U104" i="1"/>
  <c r="S104" i="1" s="1"/>
  <c r="W174" i="1"/>
  <c r="W25" i="1"/>
  <c r="W186" i="1"/>
  <c r="W188" i="1"/>
  <c r="W99" i="1"/>
  <c r="W180" i="1"/>
  <c r="U184" i="1"/>
  <c r="S184" i="1" s="1"/>
  <c r="W120" i="1"/>
  <c r="W179" i="1"/>
  <c r="U151" i="1"/>
  <c r="S151" i="1" s="1"/>
  <c r="W103" i="1"/>
  <c r="W100" i="1"/>
  <c r="W15" i="1"/>
  <c r="U180" i="1"/>
  <c r="S180" i="1" s="1"/>
  <c r="W113" i="1"/>
  <c r="U83" i="1"/>
  <c r="S83" i="1" s="1"/>
  <c r="W96" i="1"/>
  <c r="W57" i="1"/>
  <c r="W87" i="1"/>
  <c r="W151" i="1"/>
  <c r="W105" i="1"/>
  <c r="W80" i="1"/>
  <c r="U114" i="1"/>
  <c r="S114" i="1" s="1"/>
  <c r="U188" i="1"/>
  <c r="S188" i="1" s="1"/>
  <c r="U91" i="1"/>
  <c r="S91" i="1" s="1"/>
  <c r="U68" i="1"/>
  <c r="S68" i="1" s="1"/>
  <c r="U178" i="1"/>
  <c r="S178" i="1" s="1"/>
  <c r="W184" i="1"/>
  <c r="U95" i="1"/>
  <c r="S95" i="1" s="1"/>
  <c r="W65" i="1"/>
  <c r="U99" i="1"/>
  <c r="S99" i="1" s="1"/>
  <c r="U112" i="1"/>
  <c r="S112" i="1" s="1"/>
  <c r="U128" i="1"/>
  <c r="S128" i="1" s="1"/>
  <c r="U101" i="1"/>
  <c r="S101" i="1" s="1"/>
  <c r="U105" i="1"/>
  <c r="S105" i="1" s="1"/>
  <c r="U116" i="1"/>
  <c r="S116" i="1" s="1"/>
  <c r="W178" i="1"/>
  <c r="U61" i="1"/>
  <c r="S61" i="1" s="1"/>
  <c r="W183" i="1"/>
  <c r="W66" i="1"/>
  <c r="W67" i="1"/>
  <c r="W68" i="1"/>
  <c r="S185" i="1"/>
  <c r="W60" i="1"/>
  <c r="W58" i="1"/>
  <c r="W59" i="1"/>
  <c r="W63" i="1"/>
  <c r="W187" i="1"/>
  <c r="W64" i="1"/>
  <c r="U14" i="1"/>
  <c r="S14" i="1" s="1"/>
  <c r="W14" i="1"/>
  <c r="U16" i="1"/>
  <c r="S16" i="1" s="1"/>
  <c r="U74" i="1"/>
  <c r="S74" i="1" s="1"/>
  <c r="W74" i="1"/>
  <c r="U15" i="1"/>
  <c r="S15" i="1" s="1"/>
  <c r="U69" i="1"/>
  <c r="S69" i="1" s="1"/>
  <c r="U76" i="1"/>
  <c r="S76" i="1" s="1"/>
  <c r="U78" i="1"/>
  <c r="S78" i="1" s="1"/>
  <c r="W69" i="1"/>
  <c r="U85" i="1"/>
  <c r="S85" i="1" s="1"/>
  <c r="W16" i="1"/>
  <c r="U72" i="1"/>
  <c r="S72" i="1" s="1"/>
  <c r="U80" i="1"/>
  <c r="S80" i="1" s="1"/>
  <c r="U84" i="1"/>
  <c r="S84" i="1" s="1"/>
  <c r="W72" i="1"/>
  <c r="W76" i="1"/>
  <c r="P25" i="3"/>
  <c r="P44" i="3"/>
  <c r="Q25" i="3"/>
  <c r="Q44" i="3"/>
  <c r="Q34" i="3"/>
  <c r="Q8" i="3"/>
  <c r="P62" i="3"/>
  <c r="P45" i="3"/>
  <c r="P21" i="3"/>
  <c r="P16" i="3"/>
  <c r="P49" i="3"/>
  <c r="P64" i="3"/>
  <c r="P68" i="3"/>
  <c r="P67" i="3"/>
  <c r="P47" i="3"/>
  <c r="P63" i="3"/>
  <c r="Q56" i="3"/>
  <c r="Q51" i="3"/>
  <c r="P34" i="3"/>
  <c r="P8" i="3"/>
  <c r="Q45" i="3"/>
  <c r="Q62" i="3"/>
  <c r="Q16" i="3"/>
  <c r="Q21" i="3"/>
  <c r="Q64" i="3"/>
  <c r="Q49" i="3"/>
  <c r="Q67" i="3"/>
  <c r="Q68" i="3"/>
  <c r="Q63" i="3"/>
  <c r="Q47" i="3"/>
  <c r="P56" i="3"/>
  <c r="P51" i="3"/>
  <c r="Q7" i="3"/>
  <c r="P7" i="3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<sst xmlns="http://schemas.openxmlformats.org/spreadsheetml/2006/main" count="1992" uniqueCount="616">
  <si>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</si>
  <si>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</si>
  <si>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</si>
  <si>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</si>
  <si>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</si>
  <si>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</si>
  <si>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</si>
  <si>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</si>
  <si>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</si>
  <si>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</si>
  <si>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</si>
  <si>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</si>
  <si>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</si>
  <si>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</si>
  <si>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</si>
  <si>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</si>
  <si>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</si>
  <si>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</si>
  <si>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</si>
  <si>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</si>
  <si>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</si>
  <si>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</si>
  <si>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</si>
  <si>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</si>
  <si>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</si>
  <si>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</si>
  <si>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</si>
  <si>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</si>
  <si>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</si>
  <si>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</si>
  <si>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</si>
  <si>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</si>
  <si>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</si>
  <si>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</si>
  <si>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</si>
  <si>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</si>
  <si>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</si>
  <si>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</si>
  <si>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</si>
  <si>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</si>
  <si>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</si>
  <si>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</si>
  <si>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</si>
  <si>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</si>
  <si>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</si>
  <si>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</si>
  <si>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</si>
  <si>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</si>
  <si>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</si>
  <si>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</si>
  <si>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</si>
  <si>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</si>
  <si>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</si>
  <si>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</si>
  <si>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</si>
  <si>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</si>
  <si>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</si>
  <si>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</si>
  <si>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</si>
  <si>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</si>
  <si>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</si>
  <si>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</si>
  <si>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</si>
  <si>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</si>
  <si>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</si>
  <si>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</si>
  <si>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</si>
  <si>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</si>
  <si>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</si>
  <si>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</si>
  <si>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</si>
  <si>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</si>
  <si>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</si>
  <si>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</si>
  <si>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</si>
  <si>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rtdc.l.rtdc.4042:itc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</si>
  <si>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</si>
  <si>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</si>
  <si>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</si>
  <si>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</si>
  <si>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</si>
  <si>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</si>
  <si>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</si>
  <si>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</si>
  <si>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</si>
  <si>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</si>
  <si>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</si>
  <si>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</si>
  <si>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</si>
  <si>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</si>
  <si>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</si>
  <si>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</si>
  <si>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</si>
  <si>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</si>
  <si>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</si>
  <si>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</si>
  <si>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</si>
  <si>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</si>
  <si>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</si>
  <si>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</si>
  <si>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</si>
  <si>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</si>
  <si>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</si>
  <si>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</si>
  <si>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</si>
  <si>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</si>
  <si>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</si>
  <si>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</si>
  <si>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</si>
  <si>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rtdc.l.rtdc.4008:itc</t>
  </si>
  <si>
    <t>rtdc.l.rtdc.4007:itc</t>
  </si>
  <si>
    <t>Trip Number Sortable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</si>
  <si>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</si>
  <si>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</si>
  <si>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</si>
  <si>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</si>
  <si>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</si>
  <si>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</si>
  <si>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</si>
  <si>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</si>
  <si>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</si>
  <si>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</si>
  <si>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</si>
  <si>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</si>
  <si>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</si>
  <si>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</si>
  <si>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</si>
  <si>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</si>
  <si>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</si>
  <si>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</si>
  <si>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</si>
  <si>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</si>
  <si>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</si>
  <si>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204:139</t>
  </si>
  <si>
    <t>204:462</t>
  </si>
  <si>
    <t>Omit due to TWC &lt; 1</t>
  </si>
  <si>
    <t>Reactive Enforcement (3)</t>
  </si>
  <si>
    <t>rtdc.l.rtdc.4009:itc</t>
  </si>
  <si>
    <t>rtdc.l.rtdc.4041:itc</t>
  </si>
  <si>
    <t>204:233293</t>
  </si>
  <si>
    <t>204:467</t>
  </si>
  <si>
    <t>COOLAHAN</t>
  </si>
  <si>
    <t>rtdc.l.rtdc.4011:itc</t>
  </si>
  <si>
    <t>rtdc.l.rtdc.4012:itc</t>
  </si>
  <si>
    <t>204:233295</t>
  </si>
  <si>
    <t>204:233308</t>
  </si>
  <si>
    <t>rtdc.l.rtdc.4014:itc</t>
  </si>
  <si>
    <t>DE.1.0.7.0</t>
  </si>
  <si>
    <t>rtdc.l.rtdc.4031:itc</t>
  </si>
  <si>
    <t>rtdc.l.rtdc.4032:itc</t>
  </si>
  <si>
    <t>MAYBERRY</t>
  </si>
  <si>
    <t>YOUNG</t>
  </si>
  <si>
    <t>NEWELL</t>
  </si>
  <si>
    <t>STEWART</t>
  </si>
  <si>
    <t>CHANDLER</t>
  </si>
  <si>
    <t>BARTLETT</t>
  </si>
  <si>
    <t>ACKERMAN</t>
  </si>
  <si>
    <t>rtdc.l.rtdc.4037:itc</t>
  </si>
  <si>
    <t>ROCHA</t>
  </si>
  <si>
    <t>LEVERE</t>
  </si>
  <si>
    <t>DAVIS</t>
  </si>
  <si>
    <t>204:232993</t>
  </si>
  <si>
    <t>MAELZER</t>
  </si>
  <si>
    <t>DE LA ROSA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</si>
  <si>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</si>
  <si>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</si>
  <si>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</si>
  <si>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</si>
  <si>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</si>
  <si>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</si>
  <si>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</si>
  <si>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</si>
  <si>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</si>
  <si>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204:451</t>
  </si>
  <si>
    <t>YORK</t>
  </si>
  <si>
    <t>rtdc.l.rtdc.4043:itc</t>
  </si>
  <si>
    <t>204:447</t>
  </si>
  <si>
    <t>204:232975</t>
  </si>
  <si>
    <t>204:457</t>
  </si>
  <si>
    <t>TEMPORARY SPEED RESTRICTION</t>
  </si>
  <si>
    <t>204:232998</t>
  </si>
  <si>
    <t>204:233004</t>
  </si>
  <si>
    <t>STAMBAUGH</t>
  </si>
  <si>
    <t>204:233297</t>
  </si>
  <si>
    <t>204:446</t>
  </si>
  <si>
    <t>204:455</t>
  </si>
  <si>
    <t>204:232980</t>
  </si>
  <si>
    <t>204:444</t>
  </si>
  <si>
    <t>rtdc.l.rtdc.4044:itc</t>
  </si>
  <si>
    <t>:.+((SYSTEM_STATE.+slice.+state.+changed )|(ment ac)|(system.+state.+changed )|(\|lc)|(penalty)|(\[timeout)|(PRM\|1\|D)|(kpr)|(kdp))</t>
  </si>
  <si>
    <t>RefineRTDCRunTimes</t>
  </si>
  <si>
    <t>RefineTime</t>
  </si>
  <si>
    <t>204:232978</t>
  </si>
  <si>
    <t>STRICKLAND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</si>
  <si>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</si>
  <si>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</si>
  <si>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</si>
  <si>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</si>
  <si>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</si>
  <si>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204:233278</t>
  </si>
  <si>
    <t>MOSES</t>
  </si>
  <si>
    <t>MALAVE</t>
  </si>
  <si>
    <t>204:233307</t>
  </si>
  <si>
    <t>204:232992</t>
  </si>
  <si>
    <t>204:233013</t>
  </si>
  <si>
    <t>204:233315</t>
  </si>
  <si>
    <t>204:233317</t>
  </si>
  <si>
    <t>204:471</t>
  </si>
  <si>
    <t>SHOOK</t>
  </si>
  <si>
    <t>GOLIGHTLY</t>
  </si>
  <si>
    <t>204:232989</t>
  </si>
  <si>
    <t>204:147</t>
  </si>
  <si>
    <t>204:232957</t>
  </si>
  <si>
    <t>204:232979</t>
  </si>
  <si>
    <t>204:233329</t>
  </si>
  <si>
    <t>204:233320</t>
  </si>
  <si>
    <t>204:233337</t>
  </si>
  <si>
    <t>204:233302</t>
  </si>
  <si>
    <t>204:438</t>
  </si>
  <si>
    <t>204:233301</t>
  </si>
  <si>
    <t>204:161</t>
  </si>
  <si>
    <t>204:453</t>
  </si>
  <si>
    <t>204:233314</t>
  </si>
  <si>
    <t>204:233051</t>
  </si>
  <si>
    <t>204:160</t>
  </si>
  <si>
    <t>204:233289</t>
  </si>
  <si>
    <t>204:232969</t>
  </si>
  <si>
    <t>204:232994</t>
  </si>
  <si>
    <t>204:172</t>
  </si>
  <si>
    <t>204:233310</t>
  </si>
  <si>
    <t>204:449</t>
  </si>
  <si>
    <t>204:232984</t>
  </si>
  <si>
    <t>204:132</t>
  </si>
  <si>
    <t>204:466</t>
  </si>
  <si>
    <t>204:149</t>
  </si>
  <si>
    <t>204:477</t>
  </si>
  <si>
    <t>204:232973</t>
  </si>
  <si>
    <t>204:154</t>
  </si>
  <si>
    <t>204:433</t>
  </si>
  <si>
    <t>204:145</t>
  </si>
  <si>
    <t>204:233366</t>
  </si>
  <si>
    <t>204:165</t>
  </si>
  <si>
    <t>204:232974</t>
  </si>
  <si>
    <t>204:440</t>
  </si>
  <si>
    <t>204:233006</t>
  </si>
  <si>
    <t>204:233305</t>
  </si>
  <si>
    <t>204:233306</t>
  </si>
  <si>
    <t>204:232976</t>
  </si>
  <si>
    <t>204:141</t>
  </si>
  <si>
    <t>204:233042</t>
  </si>
  <si>
    <t>204:233286</t>
  </si>
  <si>
    <t>300:58598</t>
  </si>
  <si>
    <t>300:58916</t>
  </si>
  <si>
    <t>204:650</t>
  </si>
  <si>
    <t>204:934</t>
  </si>
  <si>
    <t>204:174</t>
  </si>
  <si>
    <t>204:233304</t>
  </si>
  <si>
    <t>204:233008</t>
  </si>
  <si>
    <t>204:198</t>
  </si>
  <si>
    <t>204:233370</t>
  </si>
  <si>
    <t>204:127857</t>
  </si>
  <si>
    <t>204:233321</t>
  </si>
  <si>
    <t>204:232985</t>
  </si>
  <si>
    <t>204:473</t>
  </si>
  <si>
    <t>204:232991</t>
  </si>
  <si>
    <t>204:232996</t>
  </si>
  <si>
    <t>204:233300</t>
  </si>
  <si>
    <t>204:233299</t>
  </si>
  <si>
    <t>242-06</t>
  </si>
  <si>
    <t>244-06</t>
  </si>
  <si>
    <t>245-06</t>
  </si>
  <si>
    <t>246-06</t>
  </si>
  <si>
    <t>300:23306</t>
  </si>
  <si>
    <t>309-06</t>
  </si>
  <si>
    <t>300:23301</t>
  </si>
  <si>
    <t>311-06</t>
  </si>
  <si>
    <t>315-06</t>
  </si>
  <si>
    <t>300:23121</t>
  </si>
  <si>
    <t>STORY</t>
  </si>
  <si>
    <t>101-07</t>
  </si>
  <si>
    <t>102-07</t>
  </si>
  <si>
    <t>313-06</t>
  </si>
  <si>
    <t>105-07</t>
  </si>
  <si>
    <t>107-07</t>
  </si>
  <si>
    <t>103-07</t>
  </si>
  <si>
    <t>Early arrival</t>
  </si>
  <si>
    <t>Form C</t>
  </si>
  <si>
    <t>Wi-MAX outage</t>
  </si>
  <si>
    <t>108-07</t>
  </si>
  <si>
    <t>106-07</t>
  </si>
  <si>
    <t>1800-07</t>
  </si>
  <si>
    <t>112-07</t>
  </si>
  <si>
    <t>115-07</t>
  </si>
  <si>
    <t>1802-07</t>
  </si>
  <si>
    <t>118-07</t>
  </si>
  <si>
    <t>127-07</t>
  </si>
  <si>
    <t>125-07</t>
  </si>
  <si>
    <t>126-07</t>
  </si>
  <si>
    <t>135-07</t>
  </si>
  <si>
    <t>128-07</t>
  </si>
  <si>
    <t>139-07</t>
  </si>
  <si>
    <t>132-07</t>
  </si>
  <si>
    <t>141-07</t>
  </si>
  <si>
    <t>1806-07</t>
  </si>
  <si>
    <t>136-07</t>
  </si>
  <si>
    <t>1808-07</t>
  </si>
  <si>
    <t>140-07</t>
  </si>
  <si>
    <t>142-07</t>
  </si>
  <si>
    <t>153-07</t>
  </si>
  <si>
    <t>1809-07</t>
  </si>
  <si>
    <t>1810-07</t>
  </si>
  <si>
    <t>150-07</t>
  </si>
  <si>
    <t>1811-07</t>
  </si>
  <si>
    <t>1813-07</t>
  </si>
  <si>
    <t>1814-07</t>
  </si>
  <si>
    <t>173-07</t>
  </si>
  <si>
    <t>166-07</t>
  </si>
  <si>
    <t>168-07</t>
  </si>
  <si>
    <t>170-07</t>
  </si>
  <si>
    <t>176-07</t>
  </si>
  <si>
    <t>1817-07</t>
  </si>
  <si>
    <t>1818-07</t>
  </si>
  <si>
    <t>184-07</t>
  </si>
  <si>
    <t>188-07</t>
  </si>
  <si>
    <t>1820-07</t>
  </si>
  <si>
    <t>197-07</t>
  </si>
  <si>
    <t>1822-07</t>
  </si>
  <si>
    <t>1823-07</t>
  </si>
  <si>
    <t>211-07</t>
  </si>
  <si>
    <t>1824-07</t>
  </si>
  <si>
    <t>206-07</t>
  </si>
  <si>
    <t>204-07</t>
  </si>
  <si>
    <t>215-07</t>
  </si>
  <si>
    <t>1825-07</t>
  </si>
  <si>
    <t>219-07</t>
  </si>
  <si>
    <t>1828-07</t>
  </si>
  <si>
    <t>220-07</t>
  </si>
  <si>
    <t>1831-07</t>
  </si>
  <si>
    <t>1833-07</t>
  </si>
  <si>
    <t>236-07</t>
  </si>
  <si>
    <t>SWITCH UNKNOWN</t>
  </si>
  <si>
    <t>Track device (7)</t>
  </si>
  <si>
    <t>204:783</t>
  </si>
  <si>
    <t>204:233408</t>
  </si>
  <si>
    <t>204:232738</t>
  </si>
  <si>
    <t>204:185</t>
  </si>
  <si>
    <t>204:652</t>
  </si>
  <si>
    <t>204:233374</t>
  </si>
  <si>
    <t>104-07</t>
  </si>
  <si>
    <t>204:232721</t>
  </si>
  <si>
    <t>204:690</t>
  </si>
  <si>
    <t>204:232654</t>
  </si>
  <si>
    <t>204:233319</t>
  </si>
  <si>
    <t>109-07</t>
  </si>
  <si>
    <t>110-07</t>
  </si>
  <si>
    <t>204:231937</t>
  </si>
  <si>
    <t>111-07</t>
  </si>
  <si>
    <t>204:728</t>
  </si>
  <si>
    <t>113-07</t>
  </si>
  <si>
    <t>204:233347</t>
  </si>
  <si>
    <t>114-07</t>
  </si>
  <si>
    <t>204:233023</t>
  </si>
  <si>
    <t>204:739</t>
  </si>
  <si>
    <t>204:233283</t>
  </si>
  <si>
    <t>116-07</t>
  </si>
  <si>
    <t>117-07</t>
  </si>
  <si>
    <t>204:398</t>
  </si>
  <si>
    <t>204:134</t>
  </si>
  <si>
    <t>119-07</t>
  </si>
  <si>
    <t>204:903</t>
  </si>
  <si>
    <t>120-07</t>
  </si>
  <si>
    <t>121-07</t>
  </si>
  <si>
    <t>204:233272</t>
  </si>
  <si>
    <t>122-07</t>
  </si>
  <si>
    <t>124-07</t>
  </si>
  <si>
    <t>204:233009</t>
  </si>
  <si>
    <t>204:233397</t>
  </si>
  <si>
    <t>204:233060</t>
  </si>
  <si>
    <t>129-07</t>
  </si>
  <si>
    <t>130-07</t>
  </si>
  <si>
    <t>204:233001</t>
  </si>
  <si>
    <t>131-07</t>
  </si>
  <si>
    <t>204:422</t>
  </si>
  <si>
    <t>204:233011</t>
  </si>
  <si>
    <t>133-07</t>
  </si>
  <si>
    <t>204:233312</t>
  </si>
  <si>
    <t>134-07</t>
  </si>
  <si>
    <t>204:233003</t>
  </si>
  <si>
    <t>137-07</t>
  </si>
  <si>
    <t>138-07</t>
  </si>
  <si>
    <t>204:442</t>
  </si>
  <si>
    <t>204:233359</t>
  </si>
  <si>
    <t>204:233007</t>
  </si>
  <si>
    <t>204:223</t>
  </si>
  <si>
    <t>143-07</t>
  </si>
  <si>
    <t>144-07</t>
  </si>
  <si>
    <t>204:136</t>
  </si>
  <si>
    <t>145-07</t>
  </si>
  <si>
    <t>146-07</t>
  </si>
  <si>
    <t>147-07</t>
  </si>
  <si>
    <t>148-07</t>
  </si>
  <si>
    <t>149-07</t>
  </si>
  <si>
    <t>151-07</t>
  </si>
  <si>
    <t>152-07</t>
  </si>
  <si>
    <t>204:233309</t>
  </si>
  <si>
    <t>154-07</t>
  </si>
  <si>
    <t>155-07</t>
  </si>
  <si>
    <t>204:564</t>
  </si>
  <si>
    <t>156-07</t>
  </si>
  <si>
    <t>157-07</t>
  </si>
  <si>
    <t>204:233303</t>
  </si>
  <si>
    <t>158-07</t>
  </si>
  <si>
    <t>204:232986</t>
  </si>
  <si>
    <t>159-07</t>
  </si>
  <si>
    <t>160-07</t>
  </si>
  <si>
    <t>161-07</t>
  </si>
  <si>
    <t>162-07</t>
  </si>
  <si>
    <t>204:232959</t>
  </si>
  <si>
    <t>163-07</t>
  </si>
  <si>
    <t>164-07</t>
  </si>
  <si>
    <t>204:232981</t>
  </si>
  <si>
    <t>165-07</t>
  </si>
  <si>
    <t>167-07</t>
  </si>
  <si>
    <t>169-07</t>
  </si>
  <si>
    <t>171-07</t>
  </si>
  <si>
    <t>172-07</t>
  </si>
  <si>
    <t>204:233015</t>
  </si>
  <si>
    <t>174-07</t>
  </si>
  <si>
    <t>175-07</t>
  </si>
  <si>
    <t>177-07</t>
  </si>
  <si>
    <t>178-07</t>
  </si>
  <si>
    <t>179-07</t>
  </si>
  <si>
    <t>204:19123</t>
  </si>
  <si>
    <t>180-07</t>
  </si>
  <si>
    <t>300:58604</t>
  </si>
  <si>
    <t>204:661</t>
  </si>
  <si>
    <t>1801-07</t>
  </si>
  <si>
    <t>204:964</t>
  </si>
  <si>
    <t>300:58931</t>
  </si>
  <si>
    <t>300:57352</t>
  </si>
  <si>
    <t>300:11055</t>
  </si>
  <si>
    <t>1803-07</t>
  </si>
  <si>
    <t>204:950</t>
  </si>
  <si>
    <t>300:58929</t>
  </si>
  <si>
    <t>1805-07</t>
  </si>
  <si>
    <t>204:944</t>
  </si>
  <si>
    <t>300:58926</t>
  </si>
  <si>
    <t>300:58615</t>
  </si>
  <si>
    <t>204:722</t>
  </si>
  <si>
    <t>1807-07</t>
  </si>
  <si>
    <t>204:1014</t>
  </si>
  <si>
    <t>300:58922</t>
  </si>
  <si>
    <t>300:58611</t>
  </si>
  <si>
    <t>204:664</t>
  </si>
  <si>
    <t>204:971</t>
  </si>
  <si>
    <t>181-07</t>
  </si>
  <si>
    <t>204:755</t>
  </si>
  <si>
    <t>204:1034</t>
  </si>
  <si>
    <t>1812-07</t>
  </si>
  <si>
    <t>204:869</t>
  </si>
  <si>
    <t>204:1168</t>
  </si>
  <si>
    <t>300:58935</t>
  </si>
  <si>
    <t>300:58606</t>
  </si>
  <si>
    <t>204:675</t>
  </si>
  <si>
    <t>1815-07</t>
  </si>
  <si>
    <t>204:960</t>
  </si>
  <si>
    <t>1816-07</t>
  </si>
  <si>
    <t>300:58609</t>
  </si>
  <si>
    <t>300:58861</t>
  </si>
  <si>
    <t>300:58545</t>
  </si>
  <si>
    <t>204:715</t>
  </si>
  <si>
    <t>1819-07</t>
  </si>
  <si>
    <t>204:1016</t>
  </si>
  <si>
    <t>300:58890</t>
  </si>
  <si>
    <t>182-07</t>
  </si>
  <si>
    <t>300:58566</t>
  </si>
  <si>
    <t>204:129</t>
  </si>
  <si>
    <t>1821-07</t>
  </si>
  <si>
    <t>300:58886</t>
  </si>
  <si>
    <t>300:58575</t>
  </si>
  <si>
    <t>300:59011</t>
  </si>
  <si>
    <t>300:58687</t>
  </si>
  <si>
    <t>204:981</t>
  </si>
  <si>
    <t>300:59016</t>
  </si>
  <si>
    <t>1826-07</t>
  </si>
  <si>
    <t>300:58698</t>
  </si>
  <si>
    <t>204:776</t>
  </si>
  <si>
    <t>1827-07</t>
  </si>
  <si>
    <t>204:1072</t>
  </si>
  <si>
    <t>300:58965</t>
  </si>
  <si>
    <t>300:58651</t>
  </si>
  <si>
    <t>204:680</t>
  </si>
  <si>
    <t>1829-07</t>
  </si>
  <si>
    <t>204:969</t>
  </si>
  <si>
    <t>300:59005</t>
  </si>
  <si>
    <t>183-07</t>
  </si>
  <si>
    <t>204:233298</t>
  </si>
  <si>
    <t>1830-07</t>
  </si>
  <si>
    <t>300:58678</t>
  </si>
  <si>
    <t>204:685</t>
  </si>
  <si>
    <t>204:965</t>
  </si>
  <si>
    <t>300:58844</t>
  </si>
  <si>
    <t>1832-07</t>
  </si>
  <si>
    <t>300:58035</t>
  </si>
  <si>
    <t>204:694</t>
  </si>
  <si>
    <t>300:58982</t>
  </si>
  <si>
    <t>204:232987</t>
  </si>
  <si>
    <t>185-07</t>
  </si>
  <si>
    <t>186-07</t>
  </si>
  <si>
    <t>187-07</t>
  </si>
  <si>
    <t>204:37558</t>
  </si>
  <si>
    <t>189-07</t>
  </si>
  <si>
    <t>190-07</t>
  </si>
  <si>
    <t>1901-07</t>
  </si>
  <si>
    <t>300:27083</t>
  </si>
  <si>
    <t>300:28374</t>
  </si>
  <si>
    <t>1902-07</t>
  </si>
  <si>
    <t>300:58666</t>
  </si>
  <si>
    <t>300:21280</t>
  </si>
  <si>
    <t>191-07</t>
  </si>
  <si>
    <t>192-07</t>
  </si>
  <si>
    <t>204:230844</t>
  </si>
  <si>
    <t>193-07</t>
  </si>
  <si>
    <t>194-07</t>
  </si>
  <si>
    <t>204:232988</t>
  </si>
  <si>
    <t>204:119</t>
  </si>
  <si>
    <t>195-07</t>
  </si>
  <si>
    <t>204:515</t>
  </si>
  <si>
    <t>196-07</t>
  </si>
  <si>
    <t>198-07</t>
  </si>
  <si>
    <t>199-07</t>
  </si>
  <si>
    <t>200-07</t>
  </si>
  <si>
    <t>204:233062</t>
  </si>
  <si>
    <t>204:118</t>
  </si>
  <si>
    <t>201-07</t>
  </si>
  <si>
    <t>202-07</t>
  </si>
  <si>
    <t>204:233028</t>
  </si>
  <si>
    <t>203-07</t>
  </si>
  <si>
    <t>204:238</t>
  </si>
  <si>
    <t>205-07</t>
  </si>
  <si>
    <t>204:178</t>
  </si>
  <si>
    <t>207-07</t>
  </si>
  <si>
    <t>208-07</t>
  </si>
  <si>
    <t>204:345</t>
  </si>
  <si>
    <t>209-07</t>
  </si>
  <si>
    <t>210-07</t>
  </si>
  <si>
    <t>204:51811</t>
  </si>
  <si>
    <t>212-07</t>
  </si>
  <si>
    <t>213-07</t>
  </si>
  <si>
    <t>214-07</t>
  </si>
  <si>
    <t>216-07</t>
  </si>
  <si>
    <t>217-07</t>
  </si>
  <si>
    <t>204:535</t>
  </si>
  <si>
    <t>218-07</t>
  </si>
  <si>
    <t>204:1505</t>
  </si>
  <si>
    <t>204:233247</t>
  </si>
  <si>
    <t>204:232930</t>
  </si>
  <si>
    <t>221-07</t>
  </si>
  <si>
    <t>222-07</t>
  </si>
  <si>
    <t>223-07</t>
  </si>
  <si>
    <t>224-07</t>
  </si>
  <si>
    <t>225-07</t>
  </si>
  <si>
    <t>226-07</t>
  </si>
  <si>
    <t>227-07</t>
  </si>
  <si>
    <t>228-07</t>
  </si>
  <si>
    <t>229-07</t>
  </si>
  <si>
    <t>230-07</t>
  </si>
  <si>
    <t>231-07</t>
  </si>
  <si>
    <t>232-07</t>
  </si>
  <si>
    <t>233-07</t>
  </si>
  <si>
    <t>234-07</t>
  </si>
  <si>
    <t>235-07</t>
  </si>
  <si>
    <t>204:488</t>
  </si>
  <si>
    <t>237-07</t>
  </si>
  <si>
    <t>204:233322</t>
  </si>
  <si>
    <t>238-07</t>
  </si>
  <si>
    <t>204:232963</t>
  </si>
  <si>
    <t>239-07</t>
  </si>
  <si>
    <t>204:233316</t>
  </si>
  <si>
    <t>240-07</t>
  </si>
  <si>
    <t>241-07</t>
  </si>
  <si>
    <t>242-07</t>
  </si>
  <si>
    <t>243-07</t>
  </si>
  <si>
    <t>204:493</t>
  </si>
  <si>
    <t>204:233282</t>
  </si>
  <si>
    <t>244-07</t>
  </si>
  <si>
    <t>303-07</t>
  </si>
  <si>
    <t>204:611</t>
  </si>
  <si>
    <t>309-07</t>
  </si>
  <si>
    <t>300:21981</t>
  </si>
  <si>
    <t>311-07</t>
  </si>
  <si>
    <t>204:491</t>
  </si>
  <si>
    <t>300:22187</t>
  </si>
  <si>
    <t>313-07</t>
  </si>
  <si>
    <t>300:23293</t>
  </si>
  <si>
    <t>315-07</t>
  </si>
  <si>
    <t>204:480</t>
  </si>
  <si>
    <t>HOMIK</t>
  </si>
  <si>
    <t>123-07</t>
  </si>
  <si>
    <t>Onboard in-route failure</t>
  </si>
  <si>
    <t>Onboard in-route failure, re-inited at 38th</t>
  </si>
  <si>
    <t>245-07</t>
  </si>
  <si>
    <t>1804-07</t>
  </si>
  <si>
    <t>Did not initialize</t>
  </si>
  <si>
    <t>-</t>
  </si>
  <si>
    <t>40th 4S was STOP, cleared after a few minutes</t>
  </si>
  <si>
    <t>61st 2N was STOP, cleared after a few minutes</t>
  </si>
  <si>
    <t>Pena 4S was STOP, cleared after a few minutes</t>
  </si>
  <si>
    <t>http://stevetu21.github.io/eaglep3/load_kml.html?kml=http://rtdc.gmaps-snips.s3.amazonaws.com/ea1c6bba-c748-4649-bb3a-8d14071d6d61.kml</t>
  </si>
  <si>
    <t>http://stevetu21.github.io/eaglep3/load_kml.html?kml=http://rtdc.gmaps-snips.s3.amazonaws.com/ce617342-b811-4692-81d8-821171cf9281.kml</t>
  </si>
  <si>
    <t>http://stevetu21.github.io/eaglep3/load_kml.html?kml=http://rtdc.gmaps-snips.s3.amazonaws.com/2eb4879b-bb1c-4880-9b67-ede54fdc4700.kml</t>
  </si>
  <si>
    <t>http://stevetu21.github.io/eaglep3/load_kml.html?kml=http://rtdc.gmaps-snips.s3.amazonaws.com/b4dffce8-efe6-493c-a69d-8b310027cf9b.kml</t>
  </si>
  <si>
    <t>Driving toward Monaco</t>
  </si>
  <si>
    <t>CHANDLE</t>
  </si>
  <si>
    <t>246-07</t>
  </si>
  <si>
    <t>DIA 4S inefficient dispatching - no clear request sent until after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</si>
</sst>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0" fillId="2" borderId="13" xfId="0" applyNumberFormat="1" applyFill="1" applyBorder="1"/>
    <xf numFmtId="169" fontId="0" fillId="0" borderId="16" xfId="0" applyNumberFormat="1" applyBorder="1"/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quotePrefix="1" applyFill="1" applyBorder="1" applyAlignment="1">
      <alignment horizontal="left"/>
    </xf>
    <xf numFmtId="1" fontId="0" fillId="0" borderId="5" xfId="0" quotePrefix="1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</cellXfs>
  <cellStyles count="3">
    <cellStyle name="Normal" xfId="0" builtinId="0"/>
    <cellStyle name="Normal_XINGS" xfId="1"/>
    <cellStyle name="Percent" xfId="2" builtinId="5"/>
  </cellStyles>
  <dxfs count="36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1"/>
  <sheetViews>
    <sheetView tabSelected="1" workbookViewId="0">
      <selection activeCell="X1" sqref="X1:X1048576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46" customWidth="1"/>
    <col min="22" max="22" width="5.7109375" style="115" customWidth="1"/>
    <col min="23" max="23" width="3.85546875" style="23" customWidth="1"/>
    <col min="24" max="24" width="5.28515625" style="152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8" customWidth="1"/>
    <col min="32" max="32" width="6.28515625" style="105" customWidth="1"/>
    <col min="33" max="33" width="5.42578125" customWidth="1"/>
    <col min="34" max="34" width="5" style="111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170</v>
      </c>
      <c r="J1" s="46"/>
      <c r="K1" s="31"/>
      <c r="L1" s="31"/>
      <c r="M1" s="45"/>
      <c r="N1" s="46"/>
      <c r="O1" s="2"/>
      <c r="P1" s="2"/>
      <c r="R1" s="43" t="s">
        <v>171</v>
      </c>
      <c r="S1" s="46"/>
      <c r="T1" s="31"/>
      <c r="U1" s="142"/>
      <c r="V1" s="45"/>
      <c r="W1" s="46"/>
      <c r="X1" s="146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9">
        <f>Variables!$A$2</f>
        <v>42589</v>
      </c>
      <c r="J2" s="90"/>
      <c r="K2" s="91"/>
      <c r="L2" s="91"/>
      <c r="M2" s="92" t="s">
        <v>8</v>
      </c>
      <c r="N2" s="93"/>
      <c r="O2" s="94"/>
      <c r="P2" s="2"/>
      <c r="R2" s="89">
        <f>Variables!$A$2</f>
        <v>42589</v>
      </c>
      <c r="S2" s="90"/>
      <c r="T2" s="91"/>
      <c r="U2" s="143"/>
      <c r="V2" s="113" t="s">
        <v>8</v>
      </c>
      <c r="W2" s="93"/>
      <c r="X2" s="149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5" t="s">
        <v>10</v>
      </c>
      <c r="J3" s="96"/>
      <c r="K3" s="97"/>
      <c r="L3" s="97"/>
      <c r="M3" s="47" t="s">
        <v>11</v>
      </c>
      <c r="N3" s="48" t="s">
        <v>12</v>
      </c>
      <c r="O3" s="3" t="s">
        <v>13</v>
      </c>
      <c r="P3" s="2"/>
      <c r="R3" s="95" t="s">
        <v>10</v>
      </c>
      <c r="S3" s="96"/>
      <c r="T3" s="97"/>
      <c r="U3" s="144"/>
      <c r="V3" s="47" t="s">
        <v>11</v>
      </c>
      <c r="W3" s="48" t="s">
        <v>12</v>
      </c>
      <c r="X3" s="150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8" t="s">
        <v>14</v>
      </c>
      <c r="J4" s="60">
        <f>SUM(J5:J7)</f>
        <v>146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8" t="s">
        <v>14</v>
      </c>
      <c r="S4" s="60">
        <f>SUM(S5:S7)</f>
        <v>34</v>
      </c>
      <c r="T4" s="49"/>
      <c r="U4" s="145"/>
      <c r="V4" s="50" t="s">
        <v>15</v>
      </c>
      <c r="W4" s="48" t="s">
        <v>15</v>
      </c>
      <c r="X4" s="150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8" t="s">
        <v>17</v>
      </c>
      <c r="J5" s="60">
        <f>COUNTIFS($N$13:$N$9713,"&gt;0",$AG$13:$AG$9713,I1)</f>
        <v>139</v>
      </c>
      <c r="K5" s="49"/>
      <c r="L5" s="49"/>
      <c r="M5" s="50">
        <f>AVERAGEIFS($N$13:$N$9713,$AG$13:$AG$9713,I1)</f>
        <v>45.463788968849286</v>
      </c>
      <c r="N5" s="48">
        <f t="array" ref="N5">MIN(IF($AG$13:$AG$9713=I1,IF(ISNUMBER($N$13:$N$9713),IF($N$13:$N$9713&gt;0,$N$13:$N$9713))))</f>
        <v>36.450000002514571</v>
      </c>
      <c r="O5" s="3">
        <f t="array" ref="O5">MAX(IF($AG$13:$AG$9713=I1,IF(ISNUMBER($N$13:$N$9713),IF($N$13:$N$9713&gt;0,$N$13:$N$9713))))</f>
        <v>246.01666666567326</v>
      </c>
      <c r="P5" s="2"/>
      <c r="R5" s="98" t="s">
        <v>17</v>
      </c>
      <c r="S5" s="60">
        <f>COUNTIFS($N$13:$N$9713,"&gt;0",$AG$13:$AG$9713,R1)</f>
        <v>32</v>
      </c>
      <c r="T5" s="49"/>
      <c r="U5" s="145"/>
      <c r="V5" s="50">
        <f>AVERAGEIFS($N$13:$N$9713,$AG$13:$AG$9713,R1)</f>
        <v>18.180208332960319</v>
      </c>
      <c r="W5" s="48">
        <f t="array" ref="W5">MIN(IF($AG$13:$AG$9713=R1,IF(ISNUMBER($N$13:$N$9713),IF($N$13:$N$9713&gt;0,$N$13:$N$9713))))</f>
        <v>14.08333333558403</v>
      </c>
      <c r="X5" s="150">
        <f t="array" ref="X5">MAX(IF($AG$13:$AG$9713=R1,IF(ISNUMBER($N$13:$N$9713),IF($N$13:$N$9713&gt;0,$N$13:$N$9713))))</f>
        <v>28.766666664741933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9" t="s">
        <v>43</v>
      </c>
      <c r="J6" s="60">
        <f>COUNT($O$13:$O$413)</f>
        <v>0</v>
      </c>
      <c r="K6" s="49"/>
      <c r="L6" s="49"/>
      <c r="M6" s="50">
        <f>IFERROR(AVERAGE($O$13:$O$413),0)</f>
        <v>0</v>
      </c>
      <c r="N6" s="48">
        <f>MIN($O$13:$O$413)</f>
        <v>0</v>
      </c>
      <c r="O6" s="3">
        <f>MAX($O$13:$O$413)</f>
        <v>0</v>
      </c>
      <c r="P6" s="2"/>
      <c r="R6" s="99" t="s">
        <v>43</v>
      </c>
      <c r="S6" s="60">
        <f>COUNT($O$13:$O$413)</f>
        <v>0</v>
      </c>
      <c r="T6" s="49"/>
      <c r="U6" s="145"/>
      <c r="V6" s="50">
        <f>IFERROR(AVERAGE($O$13:$O$413),0)</f>
        <v>0</v>
      </c>
      <c r="W6" s="48">
        <f>MIN($O$13:$O$413)</f>
        <v>0</v>
      </c>
      <c r="X6" s="150">
        <f>MAX($O$13:$O$413)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100" t="s">
        <v>9</v>
      </c>
      <c r="J7" s="60">
        <f>COUNTIFS($P$13:$P$9713,"&gt;0",$AG$13:$AG$9713,I1)</f>
        <v>7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100" t="s">
        <v>9</v>
      </c>
      <c r="S7" s="60">
        <f>COUNTIFS($P$13:$P$9713,"&gt;0",$AG$13:$AG$9713,R1)</f>
        <v>2</v>
      </c>
      <c r="T7" s="49"/>
      <c r="U7" s="145"/>
      <c r="V7" s="50" t="s">
        <v>15</v>
      </c>
      <c r="W7" s="48" t="s">
        <v>15</v>
      </c>
      <c r="X7" s="150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8" t="s">
        <v>16</v>
      </c>
      <c r="J8" s="60">
        <f>J5</f>
        <v>139</v>
      </c>
      <c r="K8" s="49"/>
      <c r="L8" s="49"/>
      <c r="M8" s="50">
        <f>M5</f>
        <v>45.463788968849286</v>
      </c>
      <c r="N8" s="48">
        <f>N5</f>
        <v>36.450000002514571</v>
      </c>
      <c r="O8" s="3">
        <f>O5</f>
        <v>246.01666666567326</v>
      </c>
      <c r="P8" s="2"/>
      <c r="R8" s="98" t="s">
        <v>16</v>
      </c>
      <c r="S8" s="60">
        <f>S5</f>
        <v>32</v>
      </c>
      <c r="T8" s="49"/>
      <c r="U8" s="145"/>
      <c r="V8" s="50">
        <f>V5</f>
        <v>18.180208332960319</v>
      </c>
      <c r="W8" s="48">
        <f>W5</f>
        <v>14.08333333558403</v>
      </c>
      <c r="X8" s="150">
        <f>X5</f>
        <v>28.766666664741933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8" t="s">
        <v>19</v>
      </c>
      <c r="J9" s="74">
        <f>J8/J4</f>
        <v>0.95205479452054798</v>
      </c>
      <c r="K9" s="51"/>
      <c r="L9" s="51"/>
      <c r="M9" s="101"/>
      <c r="N9" s="46"/>
      <c r="O9" s="102"/>
      <c r="P9" s="2"/>
      <c r="R9" s="98" t="s">
        <v>19</v>
      </c>
      <c r="S9" s="74">
        <f>S8/S4</f>
        <v>0.94117647058823528</v>
      </c>
      <c r="T9" s="51"/>
      <c r="U9" s="142"/>
      <c r="V9" s="101"/>
      <c r="W9" s="46"/>
      <c r="X9" s="151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46"/>
      <c r="V10" s="114"/>
      <c r="W10" s="23"/>
      <c r="X10" s="152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40" t="str">
        <f>"Eagle P3 System Performance - "&amp;TEXT(Variables!A2,"yyyy-mm-dd")</f>
        <v>Eagle P3 System Performance - 2016-08-07</v>
      </c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S11" s="82">
        <f>AVERAGE(S13:S111)</f>
        <v>0.98724489795918369</v>
      </c>
      <c r="V11" s="114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4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78</v>
      </c>
      <c r="T12" s="59" t="s">
        <v>79</v>
      </c>
      <c r="U12" s="147" t="s">
        <v>80</v>
      </c>
      <c r="V12" s="116" t="s">
        <v>45</v>
      </c>
      <c r="W12" s="56" t="s">
        <v>23</v>
      </c>
      <c r="X12" s="153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111</v>
      </c>
      <c r="AE12" s="109" t="s">
        <v>119</v>
      </c>
      <c r="AF12" s="106" t="s">
        <v>124</v>
      </c>
      <c r="AG12" s="4" t="s">
        <v>172</v>
      </c>
      <c r="AH12" s="112" t="s">
        <v>191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279</v>
      </c>
      <c r="B13" s="7">
        <v>4038</v>
      </c>
      <c r="C13" s="25" t="s">
        <v>147</v>
      </c>
      <c r="D13" s="25" t="s">
        <v>342</v>
      </c>
      <c r="E13" s="16">
        <v>42589.129918981482</v>
      </c>
      <c r="F13" s="16">
        <v>42589.131597222222</v>
      </c>
      <c r="G13" s="7">
        <v>2</v>
      </c>
      <c r="H13" s="16" t="s">
        <v>343</v>
      </c>
      <c r="I13" s="16">
        <v>42589.161412037036</v>
      </c>
      <c r="J13" s="7">
        <v>0</v>
      </c>
      <c r="K13" s="25" t="str">
        <f t="shared" ref="K13:K44" si="0">IF(ISEVEN(B13),(B13-1)&amp;"/"&amp;B13,B13&amp;"/"&amp;(B13+1))</f>
        <v>4037/4038</v>
      </c>
      <c r="L13" s="25" t="str">
        <f>VLOOKUP(A13,'Trips&amp;Operators'!$C$1:$E$10000,3,FALSE)</f>
        <v>STORY</v>
      </c>
      <c r="M13" s="6">
        <f t="shared" ref="M13:M44" si="1">I13-F13</f>
        <v>2.9814814814017154E-2</v>
      </c>
      <c r="N13" s="7">
        <f t="shared" ref="N13:N21" si="2">24*60*SUM($M13:$M13)</f>
        <v>42.933333332184702</v>
      </c>
      <c r="O13" s="7"/>
      <c r="P13" s="7"/>
      <c r="Q13" s="26"/>
      <c r="R13" s="26"/>
      <c r="S13" s="38">
        <f t="shared" ref="S13:S21" si="3">SUM(U13:U13)/IF(AG13="EC",12,1)</f>
        <v>1</v>
      </c>
      <c r="T13" s="55" t="str">
        <f t="shared" ref="T13:T44" si="4">IF(ISEVEN(LEFT(AD13,4)),"Southbound","NorthBound")</f>
        <v>NorthBound</v>
      </c>
      <c r="U13" s="14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7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https://search-rtdc-monitor-bjffxe2xuh6vdkpspy63sjmuny.us-east-1.es.amazonaws.com/_plugin/kibana/#/discover/Steve-Slow-Train-Analysis-(2080s-and-2083s)?_g=(refreshInterval:(display:Off,section:0,value:0),time:(from:'2016-08-07 02:07:05-0600',mode:absolute,to:'2016-08-07 04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" s="57" t="str">
        <f t="shared" ref="W13:W44" si="6">IF(AA13&lt;IF(AG13="EC",23,5.65),"Y","N")</f>
        <v>N</v>
      </c>
      <c r="X13" s="154" t="e">
        <f t="shared" ref="X13:X41" si="7">VALUE(LEFT(AD13,4))-VALUE(LEFT(AD12,4))</f>
        <v>#VALUE!</v>
      </c>
      <c r="Y13" s="72">
        <f t="shared" ref="Y13:Y44" si="8">RIGHT(D13,LEN(D13)-4)/10000</f>
        <v>7.8299999999999995E-2</v>
      </c>
      <c r="Z13" s="72">
        <f t="shared" ref="Z13:Z44" si="9">RIGHT(H13,LEN(H13)-4)/10000</f>
        <v>23.340800000000002</v>
      </c>
      <c r="AA13" s="72">
        <f t="shared" ref="AA13:AA44" si="10">ABS(Z13-Y13)</f>
        <v>23.262500000000003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44" si="11">IF(LEN(A13)=6,"0"&amp;A13,A13)</f>
        <v>0101-07</v>
      </c>
      <c r="AE13" s="110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3" s="107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/stypes="*4038*20160807*" /stext=" 09:.+((SYSTEM_STATE.+slice.+state.+changed )|(ment ac)|(system.+state.+changed )|(\|lc)|(penalty)|(\[timeout)|(PRM\|1\|D)|(kpr)|(kdp))" /e /r /s</v>
      </c>
      <c r="AG13" s="1" t="str">
        <f t="shared" ref="AG13:AG44" si="14">IF(VALUE(LEFT(AD13,2))&lt;=2,"EC",IF(OR(VALUE(LEFT(AD13,2))=8,VALUE(LEFT(AD13,2))=18),"NW","Other"))</f>
        <v>EC</v>
      </c>
      <c r="AH13" s="111" t="str">
        <f t="shared" ref="AH13:AH44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101-07 --locoid 4038 --swversion DE.1.0.7.0 --startMP 204:783 --initTime 2016-08-07T03:07:05 --startdatetime 2016-08-07T03:09:30 --delay 2 --endMP 204:233408 --enddatetime 2016-08-07T03:52:26 --enforcementcount 0</v>
      </c>
    </row>
    <row r="14" spans="1:91" s="1" customFormat="1" x14ac:dyDescent="0.25">
      <c r="A14" s="42" t="s">
        <v>280</v>
      </c>
      <c r="B14" s="7">
        <v>4008</v>
      </c>
      <c r="C14" s="25" t="s">
        <v>147</v>
      </c>
      <c r="D14" s="25" t="s">
        <v>344</v>
      </c>
      <c r="E14" s="16">
        <v>42589.165046296293</v>
      </c>
      <c r="F14" s="16">
        <v>42589.166030092594</v>
      </c>
      <c r="G14" s="7">
        <v>1</v>
      </c>
      <c r="H14" s="16" t="s">
        <v>345</v>
      </c>
      <c r="I14" s="16">
        <v>42589.202662037038</v>
      </c>
      <c r="J14" s="7">
        <v>1</v>
      </c>
      <c r="K14" s="25" t="str">
        <f t="shared" si="0"/>
        <v>4007/4008</v>
      </c>
      <c r="L14" s="25" t="str">
        <f>VLOOKUP(A14,'Trips&amp;Operators'!$C$1:$E$10000,3,FALSE)</f>
        <v>STORY</v>
      </c>
      <c r="M14" s="6">
        <f t="shared" si="1"/>
        <v>3.6631944443797693E-2</v>
      </c>
      <c r="N14" s="7">
        <f t="shared" si="2"/>
        <v>52.749999999068677</v>
      </c>
      <c r="O14" s="7"/>
      <c r="P14" s="7"/>
      <c r="Q14" s="26"/>
      <c r="R14" s="26"/>
      <c r="S14" s="38">
        <f t="shared" si="3"/>
        <v>1</v>
      </c>
      <c r="T14" s="55" t="str">
        <f t="shared" si="4"/>
        <v>Southbound</v>
      </c>
      <c r="U14" s="14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" s="57" t="str">
        <f t="shared" si="6"/>
        <v>N</v>
      </c>
      <c r="X14" s="154">
        <f t="shared" si="7"/>
        <v>1</v>
      </c>
      <c r="Y14" s="72">
        <f t="shared" si="8"/>
        <v>23.273800000000001</v>
      </c>
      <c r="Z14" s="72">
        <f t="shared" si="9"/>
        <v>1.8499999999999999E-2</v>
      </c>
      <c r="AA14" s="72">
        <f t="shared" si="10"/>
        <v>23.255300000000002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11"/>
        <v>0102-07</v>
      </c>
      <c r="AE14" s="110" t="str">
        <f t="shared" si="12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14" s="107" t="str">
        <f t="shared" si="13"/>
        <v>"C:\Program Files (x86)\AstroGrep\AstroGrep.exe" /spath="%USERPROFILE%\AppData\Local\Temp\OnboardLogs" /stypes="*4008*20160807*"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11" t="str">
        <f t="shared" si="15"/>
        <v>"%USERPROFILE%\Documents\GitHub\eaglep3\Utilities\RefineRTDCRunTimes.py" --tripid 102-07 --locoid 4008 --swversion DE.1.0.7.0 --startMP 204:232738 --initTime 2016-08-07T03:57:40 --startdatetime 2016-08-07T03:59:05 --delay 1 --endMP 204:185 --enddatetime 2016-08-07T04:51:50 --enforcementcount 1</v>
      </c>
    </row>
    <row r="15" spans="1:91" s="1" customFormat="1" x14ac:dyDescent="0.25">
      <c r="A15" s="42" t="s">
        <v>284</v>
      </c>
      <c r="B15" s="7">
        <v>4025</v>
      </c>
      <c r="C15" s="25" t="s">
        <v>147</v>
      </c>
      <c r="D15" s="25" t="s">
        <v>346</v>
      </c>
      <c r="E15" s="16">
        <v>42589.150763888887</v>
      </c>
      <c r="F15" s="16">
        <v>42589.151932870373</v>
      </c>
      <c r="G15" s="7">
        <v>1</v>
      </c>
      <c r="H15" s="16" t="s">
        <v>347</v>
      </c>
      <c r="I15" s="16">
        <v>42589.182210648149</v>
      </c>
      <c r="J15" s="7">
        <v>0</v>
      </c>
      <c r="K15" s="25" t="str">
        <f t="shared" si="0"/>
        <v>4025/4026</v>
      </c>
      <c r="L15" s="25" t="str">
        <f>VLOOKUP(A15,'Trips&amp;Operators'!$C$1:$E$10000,3,FALSE)</f>
        <v>ACKERMAN</v>
      </c>
      <c r="M15" s="6">
        <f t="shared" si="1"/>
        <v>3.0277777776063886E-2</v>
      </c>
      <c r="N15" s="7">
        <f t="shared" si="2"/>
        <v>43.599999997531995</v>
      </c>
      <c r="O15" s="7"/>
      <c r="P15" s="7"/>
      <c r="Q15" s="26"/>
      <c r="R15" s="26"/>
      <c r="S15" s="38">
        <f t="shared" si="3"/>
        <v>1</v>
      </c>
      <c r="T15" s="55" t="str">
        <f t="shared" si="4"/>
        <v>NorthBound</v>
      </c>
      <c r="U15" s="14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02:37:06-0600',mode:absolute,to:'2016-08-07 05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" s="57" t="str">
        <f t="shared" si="6"/>
        <v>N</v>
      </c>
      <c r="X15" s="154">
        <f t="shared" si="7"/>
        <v>1</v>
      </c>
      <c r="Y15" s="72">
        <f t="shared" si="8"/>
        <v>6.5199999999999994E-2</v>
      </c>
      <c r="Z15" s="72">
        <f t="shared" si="9"/>
        <v>23.337399999999999</v>
      </c>
      <c r="AA15" s="72">
        <f t="shared" si="10"/>
        <v>23.272199999999998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1"/>
        <v>0103-07</v>
      </c>
      <c r="AE15" s="110" t="str">
        <f t="shared" si="12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5" s="107" t="str">
        <f t="shared" si="13"/>
        <v>"C:\Program Files (x86)\AstroGrep\AstroGrep.exe" /spath="%USERPROFILE%\AppData\Local\Temp\OnboardLogs" /stypes="*4025*20160807*"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11" t="str">
        <f t="shared" si="15"/>
        <v>"%USERPROFILE%\Documents\GitHub\eaglep3\Utilities\RefineRTDCRunTimes.py" --tripid 103-07 --locoid 4025 --swversion DE.1.0.7.0 --startMP 204:652 --initTime 2016-08-07T03:37:06 --startdatetime 2016-08-07T03:38:47 --delay 1 --endMP 204:233374 --enddatetime 2016-08-07T04:22:23 --enforcementcount 0</v>
      </c>
    </row>
    <row r="16" spans="1:91" s="1" customFormat="1" x14ac:dyDescent="0.25">
      <c r="A16" s="42" t="s">
        <v>348</v>
      </c>
      <c r="B16" s="7">
        <v>4015</v>
      </c>
      <c r="C16" s="25" t="s">
        <v>147</v>
      </c>
      <c r="D16" s="25" t="s">
        <v>349</v>
      </c>
      <c r="E16" s="16">
        <v>42589.190497685187</v>
      </c>
      <c r="F16" s="16">
        <v>42589.191631944443</v>
      </c>
      <c r="G16" s="7">
        <v>1</v>
      </c>
      <c r="H16" s="16" t="s">
        <v>232</v>
      </c>
      <c r="I16" s="16">
        <v>42589.222638888888</v>
      </c>
      <c r="J16" s="7">
        <v>0</v>
      </c>
      <c r="K16" s="25" t="str">
        <f t="shared" si="0"/>
        <v>4015/4016</v>
      </c>
      <c r="L16" s="25" t="str">
        <f>VLOOKUP(A16,'Trips&amp;Operators'!$C$1:$E$10000,3,FALSE)</f>
        <v>ACKERMAN</v>
      </c>
      <c r="M16" s="6">
        <f t="shared" si="1"/>
        <v>3.1006944445834961E-2</v>
      </c>
      <c r="N16" s="7">
        <f t="shared" si="2"/>
        <v>44.650000002002344</v>
      </c>
      <c r="O16" s="7"/>
      <c r="P16" s="7"/>
      <c r="Q16" s="26"/>
      <c r="R16" s="26"/>
      <c r="S16" s="38">
        <f t="shared" si="3"/>
        <v>1</v>
      </c>
      <c r="T16" s="55" t="str">
        <f t="shared" si="4"/>
        <v>Southbound</v>
      </c>
      <c r="U16" s="14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03:34:19-0600',mode:absolute,to:'2016-08-07 06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" s="57" t="str">
        <f t="shared" si="6"/>
        <v>N</v>
      </c>
      <c r="X16" s="154">
        <f t="shared" si="7"/>
        <v>1</v>
      </c>
      <c r="Y16" s="72">
        <f t="shared" si="8"/>
        <v>23.272099999999998</v>
      </c>
      <c r="Z16" s="72">
        <f t="shared" si="9"/>
        <v>1.32E-2</v>
      </c>
      <c r="AA16" s="72">
        <f t="shared" si="10"/>
        <v>23.258899999999997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11"/>
        <v>0104-07</v>
      </c>
      <c r="AE16" s="110" t="str">
        <f t="shared" si="12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6" s="107" t="str">
        <f t="shared" si="13"/>
        <v>"C:\Program Files (x86)\AstroGrep\AstroGrep.exe" /spath="%USERPROFILE%\AppData\Local\Temp\OnboardLogs" /stypes="*4015*20160807*"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11" t="str">
        <f t="shared" si="15"/>
        <v>"%USERPROFILE%\Documents\GitHub\eaglep3\Utilities\RefineRTDCRunTimes.py" --tripid 104-07 --locoid 4015 --swversion DE.1.0.7.0 --startMP 204:232721 --initTime 2016-08-07T04:34:19 --startdatetime 2016-08-07T04:35:57 --delay 1 --endMP 204:132 --enddatetime 2016-08-07T05:20:36 --enforcementcount 0</v>
      </c>
    </row>
    <row r="17" spans="1:34" s="1" customFormat="1" x14ac:dyDescent="0.25">
      <c r="A17" s="42" t="s">
        <v>282</v>
      </c>
      <c r="B17" s="7">
        <v>4044</v>
      </c>
      <c r="C17" s="25" t="s">
        <v>147</v>
      </c>
      <c r="D17" s="25" t="s">
        <v>350</v>
      </c>
      <c r="E17" s="16">
        <v>42589.169039351851</v>
      </c>
      <c r="F17" s="16">
        <v>42589.170034722221</v>
      </c>
      <c r="G17" s="7">
        <v>1</v>
      </c>
      <c r="H17" s="16" t="s">
        <v>215</v>
      </c>
      <c r="I17" s="16">
        <v>42589.202685185184</v>
      </c>
      <c r="J17" s="7">
        <v>0</v>
      </c>
      <c r="K17" s="25" t="str">
        <f t="shared" si="0"/>
        <v>4043/4044</v>
      </c>
      <c r="L17" s="25" t="str">
        <f>VLOOKUP(A17,'Trips&amp;Operators'!$C$1:$E$10000,3,FALSE)</f>
        <v>MAELZER</v>
      </c>
      <c r="M17" s="6">
        <f t="shared" si="1"/>
        <v>3.2650462962919846E-2</v>
      </c>
      <c r="N17" s="7">
        <f t="shared" si="2"/>
        <v>47.016666666604578</v>
      </c>
      <c r="O17" s="7"/>
      <c r="P17" s="7"/>
      <c r="Q17" s="26"/>
      <c r="R17" s="26"/>
      <c r="S17" s="38">
        <f t="shared" si="3"/>
        <v>1</v>
      </c>
      <c r="T17" s="55" t="str">
        <f t="shared" si="4"/>
        <v>NorthBound</v>
      </c>
      <c r="U17" s="14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03:03:25-0600',mode:absolute,to:'2016-08-07 05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" s="57" t="str">
        <f t="shared" si="6"/>
        <v>N</v>
      </c>
      <c r="X17" s="154">
        <f t="shared" si="7"/>
        <v>1</v>
      </c>
      <c r="Y17" s="72">
        <f t="shared" si="8"/>
        <v>6.9000000000000006E-2</v>
      </c>
      <c r="Z17" s="72">
        <f t="shared" si="9"/>
        <v>23.332000000000001</v>
      </c>
      <c r="AA17" s="72">
        <f t="shared" si="10"/>
        <v>23.263000000000002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1"/>
        <v>0105-07</v>
      </c>
      <c r="AE17" s="110" t="str">
        <f t="shared" si="12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7" s="107" t="str">
        <f t="shared" si="13"/>
        <v>"C:\Program Files (x86)\AstroGrep\AstroGrep.exe" /spath="%USERPROFILE%\AppData\Local\Temp\OnboardLogs" /stypes="*4044*20160807*"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11" t="str">
        <f t="shared" si="15"/>
        <v>"%USERPROFILE%\Documents\GitHub\eaglep3\Utilities\RefineRTDCRunTimes.py" --tripid 105-07 --locoid 4044 --swversion DE.1.0.7.0 --startMP 204:690 --initTime 2016-08-07T04:03:25 --startdatetime 2016-08-07T04:04:51 --delay 1 --endMP 204:233320 --enddatetime 2016-08-07T04:51:52 --enforcementcount 0</v>
      </c>
    </row>
    <row r="18" spans="1:34" s="1" customFormat="1" x14ac:dyDescent="0.25">
      <c r="A18" s="42" t="s">
        <v>289</v>
      </c>
      <c r="B18" s="7">
        <v>4028</v>
      </c>
      <c r="C18" s="25" t="s">
        <v>147</v>
      </c>
      <c r="D18" s="25" t="s">
        <v>351</v>
      </c>
      <c r="E18" s="16">
        <v>42589.212488425925</v>
      </c>
      <c r="F18" s="16">
        <v>42589.213495370372</v>
      </c>
      <c r="G18" s="7">
        <v>1</v>
      </c>
      <c r="H18" s="16" t="s">
        <v>258</v>
      </c>
      <c r="I18" s="16">
        <v>42589.243368055555</v>
      </c>
      <c r="J18" s="7">
        <v>1</v>
      </c>
      <c r="K18" s="25" t="str">
        <f t="shared" si="0"/>
        <v>4027/4028</v>
      </c>
      <c r="L18" s="25" t="str">
        <f>VLOOKUP(A18,'Trips&amp;Operators'!$C$1:$E$10000,3,FALSE)</f>
        <v>MAELZER</v>
      </c>
      <c r="M18" s="6">
        <f t="shared" si="1"/>
        <v>2.9872685183363501E-2</v>
      </c>
      <c r="N18" s="7">
        <f t="shared" si="2"/>
        <v>43.016666664043441</v>
      </c>
      <c r="O18" s="7"/>
      <c r="P18" s="7"/>
      <c r="Q18" s="26"/>
      <c r="R18" s="26"/>
      <c r="S18" s="38">
        <f t="shared" si="3"/>
        <v>1</v>
      </c>
      <c r="T18" s="55" t="str">
        <f t="shared" si="4"/>
        <v>Southbound</v>
      </c>
      <c r="U18" s="14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" s="57" t="str">
        <f t="shared" si="6"/>
        <v>N</v>
      </c>
      <c r="X18" s="154">
        <f t="shared" si="7"/>
        <v>1</v>
      </c>
      <c r="Y18" s="72">
        <f t="shared" si="8"/>
        <v>23.2654</v>
      </c>
      <c r="Z18" s="72">
        <f t="shared" si="9"/>
        <v>1.9800000000000002E-2</v>
      </c>
      <c r="AA18" s="72">
        <f t="shared" si="10"/>
        <v>23.2456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1"/>
        <v>0106-07</v>
      </c>
      <c r="AE18" s="110" t="str">
        <f t="shared" si="12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" s="107" t="str">
        <f t="shared" si="13"/>
        <v>"C:\Program Files (x86)\AstroGrep\AstroGrep.exe" /spath="%USERPROFILE%\AppData\Local\Temp\OnboardLogs" /stypes="*4028*20160807*"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11" t="str">
        <f t="shared" si="15"/>
        <v>"%USERPROFILE%\Documents\GitHub\eaglep3\Utilities\RefineRTDCRunTimes.py" --tripid 106-07 --locoid 4028 --swversion DE.1.0.7.0 --startMP 204:232654 --initTime 2016-08-07T05:05:59 --startdatetime 2016-08-07T05:07:26 --delay 1 --endMP 204:198 --enddatetime 2016-08-07T05:50:27 --enforcementcount 1</v>
      </c>
    </row>
    <row r="19" spans="1:34" s="1" customFormat="1" x14ac:dyDescent="0.25">
      <c r="A19" s="42" t="s">
        <v>283</v>
      </c>
      <c r="B19" s="7">
        <v>4018</v>
      </c>
      <c r="C19" s="25" t="s">
        <v>147</v>
      </c>
      <c r="D19" s="25" t="s">
        <v>263</v>
      </c>
      <c r="E19" s="16">
        <v>42589.180601851855</v>
      </c>
      <c r="F19" s="16">
        <v>42589.181840277779</v>
      </c>
      <c r="G19" s="7">
        <v>1</v>
      </c>
      <c r="H19" s="16" t="s">
        <v>352</v>
      </c>
      <c r="I19" s="16">
        <v>42589.213541666664</v>
      </c>
      <c r="J19" s="7">
        <v>0</v>
      </c>
      <c r="K19" s="25" t="str">
        <f t="shared" si="0"/>
        <v>4017/4018</v>
      </c>
      <c r="L19" s="25" t="str">
        <f>VLOOKUP(A19,'Trips&amp;Operators'!$C$1:$E$10000,3,FALSE)</f>
        <v>DAVIS</v>
      </c>
      <c r="M19" s="6">
        <f t="shared" si="1"/>
        <v>3.1701388885267079E-2</v>
      </c>
      <c r="N19" s="7">
        <f t="shared" si="2"/>
        <v>45.649999994784594</v>
      </c>
      <c r="O19" s="7"/>
      <c r="P19" s="7"/>
      <c r="Q19" s="26"/>
      <c r="R19" s="26"/>
      <c r="S19" s="38">
        <f t="shared" si="3"/>
        <v>1</v>
      </c>
      <c r="T19" s="55" t="str">
        <f t="shared" si="4"/>
        <v>NorthBound</v>
      </c>
      <c r="U19" s="14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03:20:04-0600',mode:absolute,to:'2016-08-07 06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" s="57" t="str">
        <f t="shared" si="6"/>
        <v>N</v>
      </c>
      <c r="X19" s="154">
        <f t="shared" si="7"/>
        <v>1</v>
      </c>
      <c r="Y19" s="72">
        <f t="shared" si="8"/>
        <v>4.7300000000000002E-2</v>
      </c>
      <c r="Z19" s="72">
        <f t="shared" si="9"/>
        <v>23.331900000000001</v>
      </c>
      <c r="AA19" s="72">
        <f t="shared" si="10"/>
        <v>23.284600000000001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1"/>
        <v>0107-07</v>
      </c>
      <c r="AE19" s="110" t="str">
        <f t="shared" si="12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9" s="107" t="str">
        <f t="shared" si="13"/>
        <v>"C:\Program Files (x86)\AstroGrep\AstroGrep.exe" /spath="%USERPROFILE%\AppData\Local\Temp\OnboardLogs" /stypes="*4018*20160807*"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11" t="str">
        <f t="shared" si="15"/>
        <v>"%USERPROFILE%\Documents\GitHub\eaglep3\Utilities\RefineRTDCRunTimes.py" --tripid 107-07 --locoid 4018 --swversion DE.1.0.7.0 --startMP 204:473 --initTime 2016-08-07T04:20:04 --startdatetime 2016-08-07T04:21:51 --delay 1 --endMP 204:233319 --enddatetime 2016-08-07T05:07:30 --enforcementcount 0</v>
      </c>
    </row>
    <row r="20" spans="1:34" s="1" customFormat="1" ht="16.5" customHeight="1" x14ac:dyDescent="0.25">
      <c r="A20" s="42" t="s">
        <v>288</v>
      </c>
      <c r="B20" s="7">
        <v>4017</v>
      </c>
      <c r="C20" s="25" t="s">
        <v>147</v>
      </c>
      <c r="D20" s="25" t="s">
        <v>227</v>
      </c>
      <c r="E20" s="16">
        <v>42589.220729166664</v>
      </c>
      <c r="F20" s="16">
        <v>42589.222071759257</v>
      </c>
      <c r="G20" s="7">
        <v>1</v>
      </c>
      <c r="H20" s="16" t="s">
        <v>220</v>
      </c>
      <c r="I20" s="16">
        <v>42589.254618055558</v>
      </c>
      <c r="J20" s="7">
        <v>1</v>
      </c>
      <c r="K20" s="25" t="str">
        <f t="shared" si="0"/>
        <v>4017/4018</v>
      </c>
      <c r="L20" s="25" t="str">
        <f>VLOOKUP(A20,'Trips&amp;Operators'!$C$1:$E$10000,3,FALSE)</f>
        <v>DAVIS</v>
      </c>
      <c r="M20" s="6">
        <f t="shared" si="1"/>
        <v>3.2546296301006805E-2</v>
      </c>
      <c r="N20" s="7">
        <f t="shared" si="2"/>
        <v>46.866666673449799</v>
      </c>
      <c r="O20" s="7"/>
      <c r="P20" s="7"/>
      <c r="Q20" s="26"/>
      <c r="R20" s="26"/>
      <c r="S20" s="38">
        <f t="shared" si="3"/>
        <v>1</v>
      </c>
      <c r="T20" s="55" t="str">
        <f t="shared" si="4"/>
        <v>Southbound</v>
      </c>
      <c r="U20" s="14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0" s="57" t="str">
        <f t="shared" si="6"/>
        <v>N</v>
      </c>
      <c r="X20" s="154">
        <f t="shared" si="7"/>
        <v>1</v>
      </c>
      <c r="Y20" s="72">
        <f t="shared" si="8"/>
        <v>23.299399999999999</v>
      </c>
      <c r="Z20" s="72">
        <f t="shared" si="9"/>
        <v>1.61E-2</v>
      </c>
      <c r="AA20" s="72">
        <f t="shared" si="10"/>
        <v>23.283299999999997</v>
      </c>
      <c r="AB20" s="69">
        <f>VLOOKUP(A20,Enforcements!$C$7:$J$24,8,0)</f>
        <v>183829</v>
      </c>
      <c r="AC20" s="65" t="str">
        <f>VLOOKUP(A20,Enforcements!$C$7:$E$24,3,0)</f>
        <v>PERMANENT SPEED RESTRICTION</v>
      </c>
      <c r="AD20" s="66" t="str">
        <f t="shared" si="11"/>
        <v>0108-07</v>
      </c>
      <c r="AE20" s="110" t="str">
        <f t="shared" si="12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20" s="107" t="str">
        <f t="shared" si="13"/>
        <v>"C:\Program Files (x86)\AstroGrep\AstroGrep.exe" /spath="%USERPROFILE%\AppData\Local\Temp\OnboardLogs" /stypes="*4017*20160807*"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11" t="str">
        <f t="shared" si="15"/>
        <v>"%USERPROFILE%\Documents\GitHub\eaglep3\Utilities\RefineRTDCRunTimes.py" --tripid 108-07 --locoid 4017 --swversion DE.1.0.7.0 --startMP 204:232994 --initTime 2016-08-07T05:17:51 --startdatetime 2016-08-07T05:19:47 --delay 1 --endMP 204:161 --enddatetime 2016-08-07T06:06:39 --enforcementcount 1</v>
      </c>
    </row>
    <row r="21" spans="1:34" s="1" customFormat="1" x14ac:dyDescent="0.25">
      <c r="A21" s="42" t="s">
        <v>353</v>
      </c>
      <c r="B21" s="7">
        <v>4029</v>
      </c>
      <c r="C21" s="25" t="s">
        <v>147</v>
      </c>
      <c r="D21" s="25" t="s">
        <v>134</v>
      </c>
      <c r="E21" s="16">
        <v>42589.196608796294</v>
      </c>
      <c r="F21" s="16">
        <v>42589.197581018518</v>
      </c>
      <c r="G21" s="7">
        <v>1</v>
      </c>
      <c r="H21" s="16" t="s">
        <v>199</v>
      </c>
      <c r="I21" s="16">
        <v>42589.223310185182</v>
      </c>
      <c r="J21" s="7">
        <v>0</v>
      </c>
      <c r="K21" s="25" t="str">
        <f t="shared" si="0"/>
        <v>4029/4030</v>
      </c>
      <c r="L21" s="25" t="str">
        <f>VLOOKUP(A21,'Trips&amp;Operators'!$C$1:$E$10000,3,FALSE)</f>
        <v>MALAVE</v>
      </c>
      <c r="M21" s="6">
        <f t="shared" si="1"/>
        <v>2.5729166663950309E-2</v>
      </c>
      <c r="N21" s="7">
        <f t="shared" si="2"/>
        <v>37.049999996088445</v>
      </c>
      <c r="O21" s="7"/>
      <c r="P21" s="7"/>
      <c r="Q21" s="26"/>
      <c r="R21" s="26"/>
      <c r="S21" s="38">
        <f t="shared" si="3"/>
        <v>1</v>
      </c>
      <c r="T21" s="55" t="str">
        <f t="shared" si="4"/>
        <v>NorthBound</v>
      </c>
      <c r="U21" s="14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03:43:07-0600',mode:absolute,to:'2016-08-07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1" s="57" t="str">
        <f t="shared" si="6"/>
        <v>N</v>
      </c>
      <c r="X21" s="154">
        <f t="shared" si="7"/>
        <v>1</v>
      </c>
      <c r="Y21" s="72">
        <f t="shared" si="8"/>
        <v>4.6199999999999998E-2</v>
      </c>
      <c r="Z21" s="72">
        <f t="shared" si="9"/>
        <v>23.3278</v>
      </c>
      <c r="AA21" s="72">
        <f t="shared" si="10"/>
        <v>23.281600000000001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1"/>
        <v>0109-07</v>
      </c>
      <c r="AE21" s="110" t="str">
        <f t="shared" si="12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21" s="107" t="str">
        <f t="shared" si="13"/>
        <v>"C:\Program Files (x86)\AstroGrep\AstroGrep.exe" /spath="%USERPROFILE%\AppData\Local\Temp\OnboardLogs" /stypes="*4029*20160807*"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11" t="str">
        <f t="shared" si="15"/>
        <v>"%USERPROFILE%\Documents\GitHub\eaglep3\Utilities\RefineRTDCRunTimes.py" --tripid 109-07 --locoid 4029 --swversion DE.1.0.7.0 --startMP 204:462 --initTime 2016-08-07T04:43:07 --startdatetime 2016-08-07T04:44:31 --delay 1 --endMP 204:233278 --enddatetime 2016-08-07T05:21:34 --enforcementcount 0</v>
      </c>
    </row>
    <row r="22" spans="1:34" s="32" customFormat="1" x14ac:dyDescent="0.25">
      <c r="A22" s="42" t="s">
        <v>354</v>
      </c>
      <c r="B22" s="7">
        <v>4030</v>
      </c>
      <c r="C22" s="25" t="s">
        <v>147</v>
      </c>
      <c r="D22" s="25" t="s">
        <v>260</v>
      </c>
      <c r="E22" s="16">
        <v>42589.248182870368</v>
      </c>
      <c r="F22" s="16">
        <v>42589.248923611114</v>
      </c>
      <c r="G22" s="7">
        <v>1</v>
      </c>
      <c r="H22" s="16" t="s">
        <v>255</v>
      </c>
      <c r="I22" s="16">
        <v>42589.265972222223</v>
      </c>
      <c r="J22" s="7">
        <v>0</v>
      </c>
      <c r="K22" s="25" t="str">
        <f t="shared" si="0"/>
        <v>4029/4030</v>
      </c>
      <c r="L22" s="25" t="str">
        <f>VLOOKUP(A22,'Trips&amp;Operators'!$C$1:$E$10000,3,FALSE)</f>
        <v>MALAVE</v>
      </c>
      <c r="M22" s="6">
        <f t="shared" si="1"/>
        <v>1.7048611109203193E-2</v>
      </c>
      <c r="N22" s="7"/>
      <c r="O22" s="7"/>
      <c r="P22" s="7">
        <f>24*60*SUM($M22:$M23)</f>
        <v>27.433333334047347</v>
      </c>
      <c r="Q22" s="26"/>
      <c r="R22" s="26" t="s">
        <v>615</v>
      </c>
      <c r="S22" s="38">
        <f>SUM(U22:U23)/IF(AG22="EC",12,1)</f>
        <v>1</v>
      </c>
      <c r="T22" s="55" t="str">
        <f t="shared" si="4"/>
        <v>Southbound</v>
      </c>
      <c r="U22" s="14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04:57:23-0600',mode:absolute,to:'2016-08-07 07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2" s="57" t="str">
        <f t="shared" si="6"/>
        <v>Y</v>
      </c>
      <c r="X22" s="154">
        <f t="shared" si="7"/>
        <v>1</v>
      </c>
      <c r="Y22" s="72">
        <f t="shared" si="8"/>
        <v>12.7857</v>
      </c>
      <c r="Z22" s="72">
        <f t="shared" si="9"/>
        <v>1.7399999999999999E-2</v>
      </c>
      <c r="AA22" s="72">
        <f t="shared" si="10"/>
        <v>12.7683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1"/>
        <v>0110-07</v>
      </c>
      <c r="AE22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22" s="107" t="str">
        <f t="shared" si="13"/>
        <v>"C:\Program Files (x86)\AstroGrep\AstroGrep.exe" /spath="%USERPROFILE%\AppData\Local\Temp\OnboardLogs" /stypes="*4030*20160807*"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11" t="str">
        <f t="shared" si="15"/>
        <v>"%USERPROFILE%\Documents\GitHub\eaglep3\Utilities\RefineRTDCRunTimes.py" --tripid 110-07 --locoid 4030 --swversion DE.1.0.7.0 --startMP 204:127857 --initTime 2016-08-07T05:57:23 --startdatetime 2016-08-07T05:58:27 --delay 1 --endMP 204:174 --enddatetime 2016-08-07T06:23:00 --enforcementcount 0</v>
      </c>
    </row>
    <row r="23" spans="1:34" s="1" customFormat="1" x14ac:dyDescent="0.25">
      <c r="A23" s="42" t="s">
        <v>354</v>
      </c>
      <c r="B23" s="7">
        <v>4030</v>
      </c>
      <c r="C23" s="25" t="s">
        <v>147</v>
      </c>
      <c r="D23" s="25" t="s">
        <v>247</v>
      </c>
      <c r="E23" s="16">
        <v>42589.234560185185</v>
      </c>
      <c r="F23" s="16">
        <v>42589.235983796294</v>
      </c>
      <c r="G23" s="7">
        <v>2</v>
      </c>
      <c r="H23" s="16" t="s">
        <v>355</v>
      </c>
      <c r="I23" s="16">
        <v>42589.237986111111</v>
      </c>
      <c r="J23" s="7">
        <v>0</v>
      </c>
      <c r="K23" s="25" t="str">
        <f t="shared" si="0"/>
        <v>4029/4030</v>
      </c>
      <c r="L23" s="25" t="str">
        <f>VLOOKUP(A23,'Trips&amp;Operators'!$C$1:$E$10000,3,FALSE)</f>
        <v>MALAVE</v>
      </c>
      <c r="M23" s="6">
        <f t="shared" si="1"/>
        <v>2.0023148172185756E-3</v>
      </c>
      <c r="N23" s="7"/>
      <c r="O23" s="7"/>
      <c r="P23" s="7"/>
      <c r="Q23" s="26"/>
      <c r="R23" s="26"/>
      <c r="S23" s="38"/>
      <c r="T23" s="55" t="str">
        <f t="shared" si="4"/>
        <v>Southbound</v>
      </c>
      <c r="U23" s="14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04:37:46-0600',mode:absolute,to:'2016-08-07 06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3" s="57" t="str">
        <f t="shared" si="6"/>
        <v>Y</v>
      </c>
      <c r="X23" s="154">
        <f t="shared" si="7"/>
        <v>0</v>
      </c>
      <c r="Y23" s="72">
        <f t="shared" si="8"/>
        <v>23.297599999999999</v>
      </c>
      <c r="Z23" s="72">
        <f t="shared" si="9"/>
        <v>23.1937</v>
      </c>
      <c r="AA23" s="72">
        <f t="shared" si="10"/>
        <v>0.10389999999999944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1"/>
        <v>0110-07</v>
      </c>
      <c r="AE23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23" s="107" t="str">
        <f t="shared" si="13"/>
        <v>"C:\Program Files (x86)\AstroGrep\AstroGrep.exe" /spath="%USERPROFILE%\AppData\Local\Temp\OnboardLogs" /stypes="*4030*20160807*"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11" t="str">
        <f t="shared" si="15"/>
        <v>"%USERPROFILE%\Documents\GitHub\eaglep3\Utilities\RefineRTDCRunTimes.py" --tripid 110-07 --locoid 4030 --swversion DE.1.0.7.0 --startMP 204:232976 --initTime 2016-08-07T05:37:46 --startdatetime 2016-08-07T05:39:49 --delay 2 --endMP 204:231937 --enddatetime 2016-08-07T05:42:42 --enforcementcount 0</v>
      </c>
    </row>
    <row r="24" spans="1:34" s="1" customFormat="1" ht="14.25" customHeight="1" x14ac:dyDescent="0.25">
      <c r="A24" s="42" t="s">
        <v>356</v>
      </c>
      <c r="B24" s="7">
        <v>4038</v>
      </c>
      <c r="C24" s="25" t="s">
        <v>147</v>
      </c>
      <c r="D24" s="25" t="s">
        <v>357</v>
      </c>
      <c r="E24" s="16">
        <v>42589.207233796296</v>
      </c>
      <c r="F24" s="16">
        <v>42589.208495370367</v>
      </c>
      <c r="G24" s="7">
        <v>1</v>
      </c>
      <c r="H24" s="16" t="s">
        <v>256</v>
      </c>
      <c r="I24" s="16">
        <v>42589.234675925924</v>
      </c>
      <c r="J24" s="7">
        <v>0</v>
      </c>
      <c r="K24" s="25" t="str">
        <f t="shared" si="0"/>
        <v>4037/4038</v>
      </c>
      <c r="L24" s="25" t="str">
        <f>VLOOKUP(A24,'Trips&amp;Operators'!$C$1:$E$10000,3,FALSE)</f>
        <v>STRICKLAND</v>
      </c>
      <c r="M24" s="6">
        <f t="shared" si="1"/>
        <v>2.6180555556493346E-2</v>
      </c>
      <c r="N24" s="7">
        <f t="shared" ref="N24:N35" si="16">24*60*SUM($M24:$M24)</f>
        <v>37.700000001350418</v>
      </c>
      <c r="O24" s="7"/>
      <c r="P24" s="7"/>
      <c r="Q24" s="26"/>
      <c r="R24" s="26"/>
      <c r="S24" s="38">
        <f t="shared" ref="S24:S68" si="17">SUM(U24:U24)/IF(AG24="EC",12,1)</f>
        <v>1</v>
      </c>
      <c r="T24" s="55" t="str">
        <f t="shared" si="4"/>
        <v>NorthBound</v>
      </c>
      <c r="U24" s="14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03:58:25-0600',mode:absolute,to:'2016-08-07 06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4" s="57" t="str">
        <f t="shared" si="6"/>
        <v>N</v>
      </c>
      <c r="X24" s="154">
        <f t="shared" si="7"/>
        <v>1</v>
      </c>
      <c r="Y24" s="72">
        <f t="shared" si="8"/>
        <v>7.2800000000000004E-2</v>
      </c>
      <c r="Z24" s="72">
        <f t="shared" si="9"/>
        <v>23.330400000000001</v>
      </c>
      <c r="AA24" s="72">
        <f t="shared" si="10"/>
        <v>23.2576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1"/>
        <v>0111-07</v>
      </c>
      <c r="AE24" s="110" t="str">
        <f t="shared" si="12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24" s="107" t="str">
        <f t="shared" si="13"/>
        <v>"C:\Program Files (x86)\AstroGrep\AstroGrep.exe" /spath="%USERPROFILE%\AppData\Local\Temp\OnboardLogs" /stypes="*4038*20160807*" /stext=" 11:.+((SYSTEM_STATE.+slice.+state.+changed )|(ment ac)|(system.+state.+changed )|(\|lc)|(penalty)|(\[timeout)|(PRM\|1\|D)|(kpr)|(kdp))" /e /r /s</v>
      </c>
      <c r="AG24" s="1" t="str">
        <f t="shared" si="14"/>
        <v>EC</v>
      </c>
      <c r="AH24" s="111" t="str">
        <f t="shared" si="15"/>
        <v>"%USERPROFILE%\Documents\GitHub\eaglep3\Utilities\RefineRTDCRunTimes.py" --tripid 111-07 --locoid 4038 --swversion DE.1.0.7.0 --startMP 204:728 --initTime 2016-08-07T04:58:25 --startdatetime 2016-08-07T05:00:14 --delay 1 --endMP 204:233304 --enddatetime 2016-08-07T05:37:56 --enforcementcount 0</v>
      </c>
    </row>
    <row r="25" spans="1:34" s="1" customFormat="1" x14ac:dyDescent="0.25">
      <c r="A25" s="42" t="s">
        <v>291</v>
      </c>
      <c r="B25" s="7">
        <v>4037</v>
      </c>
      <c r="C25" s="25" t="s">
        <v>147</v>
      </c>
      <c r="D25" s="25" t="s">
        <v>262</v>
      </c>
      <c r="E25" s="16">
        <v>42589.243796296294</v>
      </c>
      <c r="F25" s="16">
        <v>42589.245243055557</v>
      </c>
      <c r="G25" s="7">
        <v>2</v>
      </c>
      <c r="H25" s="16" t="s">
        <v>224</v>
      </c>
      <c r="I25" s="16">
        <v>42589.278229166666</v>
      </c>
      <c r="J25" s="7">
        <v>1</v>
      </c>
      <c r="K25" s="25" t="str">
        <f t="shared" si="0"/>
        <v>4037/4038</v>
      </c>
      <c r="L25" s="25" t="str">
        <f>VLOOKUP(A25,'Trips&amp;Operators'!$C$1:$E$10000,3,FALSE)</f>
        <v>STRICKLAND</v>
      </c>
      <c r="M25" s="6">
        <f t="shared" si="1"/>
        <v>3.2986111109494232E-2</v>
      </c>
      <c r="N25" s="7">
        <f t="shared" si="16"/>
        <v>47.499999997671694</v>
      </c>
      <c r="O25" s="7"/>
      <c r="P25" s="7"/>
      <c r="Q25" s="26"/>
      <c r="R25" s="26"/>
      <c r="S25" s="38">
        <f t="shared" si="17"/>
        <v>1</v>
      </c>
      <c r="T25" s="55" t="str">
        <f t="shared" si="4"/>
        <v>Southbound</v>
      </c>
      <c r="U25" s="14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5" s="57" t="str">
        <f t="shared" si="6"/>
        <v>N</v>
      </c>
      <c r="X25" s="154">
        <f t="shared" si="7"/>
        <v>1</v>
      </c>
      <c r="Y25" s="72">
        <f t="shared" si="8"/>
        <v>23.298500000000001</v>
      </c>
      <c r="Z25" s="72">
        <f t="shared" si="9"/>
        <v>1.6E-2</v>
      </c>
      <c r="AA25" s="72">
        <f t="shared" si="10"/>
        <v>23.282500000000002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1"/>
        <v>0112-07</v>
      </c>
      <c r="AE25" s="110" t="str">
        <f t="shared" si="12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25" s="107" t="str">
        <f t="shared" si="13"/>
        <v>"C:\Program Files (x86)\AstroGrep\AstroGrep.exe" /spath="%USERPROFILE%\AppData\Local\Temp\OnboardLogs" /stypes="*4037*20160807*"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11" t="str">
        <f t="shared" si="15"/>
        <v>"%USERPROFILE%\Documents\GitHub\eaglep3\Utilities\RefineRTDCRunTimes.py" --tripid 112-07 --locoid 4037 --swversion DE.1.0.7.0 --startMP 204:232985 --initTime 2016-08-07T05:51:04 --startdatetime 2016-08-07T05:53:09 --delay 2 --endMP 204:160 --enddatetime 2016-08-07T06:40:39 --enforcementcount 1</v>
      </c>
    </row>
    <row r="26" spans="1:34" s="1" customFormat="1" x14ac:dyDescent="0.25">
      <c r="A26" s="42" t="s">
        <v>358</v>
      </c>
      <c r="B26" s="7">
        <v>4007</v>
      </c>
      <c r="C26" s="25" t="s">
        <v>147</v>
      </c>
      <c r="D26" s="25" t="s">
        <v>207</v>
      </c>
      <c r="E26" s="16">
        <v>42589.212314814817</v>
      </c>
      <c r="F26" s="16">
        <v>42589.213622685187</v>
      </c>
      <c r="G26" s="7">
        <v>1</v>
      </c>
      <c r="H26" s="16" t="s">
        <v>359</v>
      </c>
      <c r="I26" s="16">
        <v>42589.24454861111</v>
      </c>
      <c r="J26" s="7">
        <v>0</v>
      </c>
      <c r="K26" s="25" t="str">
        <f t="shared" si="0"/>
        <v>4007/4008</v>
      </c>
      <c r="L26" s="25" t="str">
        <f>VLOOKUP(A26,'Trips&amp;Operators'!$C$1:$E$10000,3,FALSE)</f>
        <v>STORY</v>
      </c>
      <c r="M26" s="6">
        <f t="shared" si="1"/>
        <v>3.0925925922929309E-2</v>
      </c>
      <c r="N26" s="7">
        <f t="shared" si="16"/>
        <v>44.533333329018205</v>
      </c>
      <c r="O26" s="7"/>
      <c r="P26" s="7"/>
      <c r="Q26" s="26"/>
      <c r="R26" s="26"/>
      <c r="S26" s="38">
        <f t="shared" si="17"/>
        <v>1</v>
      </c>
      <c r="T26" s="55" t="str">
        <f t="shared" si="4"/>
        <v>NorthBound</v>
      </c>
      <c r="U26" s="14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04:05:44-0600',mode:absolute,to:'2016-08-07 06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6" s="57" t="str">
        <f t="shared" si="6"/>
        <v>N</v>
      </c>
      <c r="X26" s="154">
        <f t="shared" si="7"/>
        <v>1</v>
      </c>
      <c r="Y26" s="72">
        <f t="shared" si="8"/>
        <v>4.7100000000000003E-2</v>
      </c>
      <c r="Z26" s="72">
        <f t="shared" si="9"/>
        <v>23.334700000000002</v>
      </c>
      <c r="AA26" s="72">
        <f t="shared" si="10"/>
        <v>23.287600000000001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1"/>
        <v>0113-07</v>
      </c>
      <c r="AE26" s="110" t="str">
        <f t="shared" si="12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26" s="107" t="str">
        <f t="shared" si="13"/>
        <v>"C:\Program Files (x86)\AstroGrep\AstroGrep.exe" /spath="%USERPROFILE%\AppData\Local\Temp\OnboardLogs" /stypes="*4007*20160807*" /stext=" 11:.+((SYSTEM_STATE.+slice.+state.+changed )|(ment ac)|(system.+state.+changed )|(\|lc)|(penalty)|(\[timeout)|(PRM\|1\|D)|(kpr)|(kdp))" /e /r /s</v>
      </c>
      <c r="AG26" s="1" t="str">
        <f t="shared" si="14"/>
        <v>EC</v>
      </c>
      <c r="AH26" s="111" t="str">
        <f t="shared" si="15"/>
        <v>"%USERPROFILE%\Documents\GitHub\eaglep3\Utilities\RefineRTDCRunTimes.py" --tripid 113-07 --locoid 4007 --swversion DE.1.0.7.0 --startMP 204:471 --initTime 2016-08-07T05:05:44 --startdatetime 2016-08-07T05:07:37 --delay 1 --endMP 204:233347 --enddatetime 2016-08-07T05:52:09 --enforcementcount 0</v>
      </c>
    </row>
    <row r="27" spans="1:34" s="1" customFormat="1" x14ac:dyDescent="0.25">
      <c r="A27" s="42" t="s">
        <v>360</v>
      </c>
      <c r="B27" s="7">
        <v>4008</v>
      </c>
      <c r="C27" s="25" t="s">
        <v>147</v>
      </c>
      <c r="D27" s="25" t="s">
        <v>361</v>
      </c>
      <c r="E27" s="16">
        <v>42589.252754629626</v>
      </c>
      <c r="F27" s="16">
        <v>42589.25372685185</v>
      </c>
      <c r="G27" s="7">
        <v>1</v>
      </c>
      <c r="H27" s="16" t="s">
        <v>211</v>
      </c>
      <c r="I27" s="16">
        <v>42589.284814814811</v>
      </c>
      <c r="J27" s="7">
        <v>0</v>
      </c>
      <c r="K27" s="25" t="str">
        <f t="shared" si="0"/>
        <v>4007/4008</v>
      </c>
      <c r="L27" s="25" t="str">
        <f>VLOOKUP(A27,'Trips&amp;Operators'!$C$1:$E$10000,3,FALSE)</f>
        <v>STORY</v>
      </c>
      <c r="M27" s="6">
        <f t="shared" si="1"/>
        <v>3.1087962961464655E-2</v>
      </c>
      <c r="N27" s="7">
        <f t="shared" si="16"/>
        <v>44.766666664509103</v>
      </c>
      <c r="O27" s="7"/>
      <c r="P27" s="7"/>
      <c r="Q27" s="26"/>
      <c r="R27" s="26"/>
      <c r="S27" s="38">
        <f t="shared" si="17"/>
        <v>1</v>
      </c>
      <c r="T27" s="55" t="str">
        <f t="shared" si="4"/>
        <v>Southbound</v>
      </c>
      <c r="U27" s="14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05:03:58-0600',mode:absolute,to:'2016-08-07 07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7" s="57" t="str">
        <f t="shared" si="6"/>
        <v>N</v>
      </c>
      <c r="X27" s="154">
        <f t="shared" si="7"/>
        <v>1</v>
      </c>
      <c r="Y27" s="72">
        <f t="shared" si="8"/>
        <v>23.302299999999999</v>
      </c>
      <c r="Z27" s="72">
        <f t="shared" si="9"/>
        <v>1.47E-2</v>
      </c>
      <c r="AA27" s="72">
        <f t="shared" si="10"/>
        <v>23.287599999999998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1"/>
        <v>0114-07</v>
      </c>
      <c r="AE27" s="110" t="str">
        <f t="shared" si="12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27" s="107" t="str">
        <f t="shared" si="13"/>
        <v>"C:\Program Files (x86)\AstroGrep\AstroGrep.exe" /spath="%USERPROFILE%\AppData\Local\Temp\OnboardLogs" /stypes="*4008*20160807*"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11" t="str">
        <f t="shared" si="15"/>
        <v>"%USERPROFILE%\Documents\GitHub\eaglep3\Utilities\RefineRTDCRunTimes.py" --tripid 114-07 --locoid 4008 --swversion DE.1.0.7.0 --startMP 204:233023 --initTime 2016-08-07T06:03:58 --startdatetime 2016-08-07T06:05:22 --delay 1 --endMP 204:147 --enddatetime 2016-08-07T06:50:08 --enforcementcount 0</v>
      </c>
    </row>
    <row r="28" spans="1:34" s="1" customFormat="1" x14ac:dyDescent="0.25">
      <c r="A28" s="42" t="s">
        <v>292</v>
      </c>
      <c r="B28" s="7">
        <v>4025</v>
      </c>
      <c r="C28" s="25" t="s">
        <v>147</v>
      </c>
      <c r="D28" s="25" t="s">
        <v>362</v>
      </c>
      <c r="E28" s="16">
        <v>42589.22420138889</v>
      </c>
      <c r="F28" s="16">
        <v>42589.225428240738</v>
      </c>
      <c r="G28" s="7">
        <v>1</v>
      </c>
      <c r="H28" s="16" t="s">
        <v>363</v>
      </c>
      <c r="I28" s="16">
        <v>42589.254571759258</v>
      </c>
      <c r="J28" s="7">
        <v>1</v>
      </c>
      <c r="K28" s="25" t="str">
        <f t="shared" si="0"/>
        <v>4025/4026</v>
      </c>
      <c r="L28" s="25" t="str">
        <f>VLOOKUP(A28,'Trips&amp;Operators'!$C$1:$E$10000,3,FALSE)</f>
        <v>YORK</v>
      </c>
      <c r="M28" s="6">
        <f t="shared" si="1"/>
        <v>2.9143518520868383E-2</v>
      </c>
      <c r="N28" s="7">
        <f t="shared" si="16"/>
        <v>41.966666670050472</v>
      </c>
      <c r="O28" s="7"/>
      <c r="P28" s="7"/>
      <c r="Q28" s="26"/>
      <c r="R28" s="26"/>
      <c r="S28" s="38">
        <f t="shared" si="17"/>
        <v>1</v>
      </c>
      <c r="T28" s="55" t="str">
        <f t="shared" si="4"/>
        <v>NorthBound</v>
      </c>
      <c r="U28" s="14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8" s="57" t="str">
        <f t="shared" si="6"/>
        <v>N</v>
      </c>
      <c r="X28" s="154">
        <f t="shared" si="7"/>
        <v>1</v>
      </c>
      <c r="Y28" s="72">
        <f t="shared" si="8"/>
        <v>7.3899999999999993E-2</v>
      </c>
      <c r="Z28" s="72">
        <f t="shared" si="9"/>
        <v>23.328299999999999</v>
      </c>
      <c r="AA28" s="72">
        <f t="shared" si="10"/>
        <v>23.2544</v>
      </c>
      <c r="AB28" s="69">
        <f>VLOOKUP(A28,Enforcements!$C$7:$J$24,8,0)</f>
        <v>230436</v>
      </c>
      <c r="AC28" s="65" t="str">
        <f>VLOOKUP(A28,Enforcements!$C$7:$E$24,3,0)</f>
        <v>PERMANENT SPEED RESTRICTION</v>
      </c>
      <c r="AD28" s="66" t="str">
        <f t="shared" si="11"/>
        <v>0115-07</v>
      </c>
      <c r="AE28" s="110" t="str">
        <f t="shared" si="12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28" s="107" t="str">
        <f t="shared" si="13"/>
        <v>"C:\Program Files (x86)\AstroGrep\AstroGrep.exe" /spath="%USERPROFILE%\AppData\Local\Temp\OnboardLogs" /stypes="*4025*20160807*" /stext=" 12:.+((SYSTEM_STATE.+slice.+state.+changed )|(ment ac)|(system.+state.+changed )|(\|lc)|(penalty)|(\[timeout)|(PRM\|1\|D)|(kpr)|(kdp))" /e /r /s</v>
      </c>
      <c r="AG28" s="1" t="str">
        <f t="shared" si="14"/>
        <v>EC</v>
      </c>
      <c r="AH28" s="111" t="str">
        <f t="shared" si="15"/>
        <v>"%USERPROFILE%\Documents\GitHub\eaglep3\Utilities\RefineRTDCRunTimes.py" --tripid 115-07 --locoid 4025 --swversion DE.1.0.7.0 --startMP 204:739 --initTime 2016-08-07T05:22:51 --startdatetime 2016-08-07T05:24:37 --delay 1 --endMP 204:233283 --enddatetime 2016-08-07T06:06:35 --enforcementcount 1</v>
      </c>
    </row>
    <row r="29" spans="1:34" s="1" customFormat="1" x14ac:dyDescent="0.25">
      <c r="A29" s="42" t="s">
        <v>364</v>
      </c>
      <c r="B29" s="7">
        <v>4026</v>
      </c>
      <c r="C29" s="25" t="s">
        <v>147</v>
      </c>
      <c r="D29" s="25" t="s">
        <v>242</v>
      </c>
      <c r="E29" s="16">
        <v>42589.256516203706</v>
      </c>
      <c r="F29" s="16">
        <v>42589.257384259261</v>
      </c>
      <c r="G29" s="7">
        <v>1</v>
      </c>
      <c r="H29" s="16" t="s">
        <v>198</v>
      </c>
      <c r="I29" s="16">
        <v>42589.294108796297</v>
      </c>
      <c r="J29" s="7">
        <v>0</v>
      </c>
      <c r="K29" s="25" t="str">
        <f t="shared" si="0"/>
        <v>4025/4026</v>
      </c>
      <c r="L29" s="25" t="str">
        <f>VLOOKUP(A29,'Trips&amp;Operators'!$C$1:$E$10000,3,FALSE)</f>
        <v>YORK</v>
      </c>
      <c r="M29" s="6">
        <f t="shared" si="1"/>
        <v>3.6724537036207039E-2</v>
      </c>
      <c r="N29" s="7">
        <f t="shared" si="16"/>
        <v>52.883333332138136</v>
      </c>
      <c r="O29" s="7"/>
      <c r="P29" s="7"/>
      <c r="Q29" s="26"/>
      <c r="R29" s="26"/>
      <c r="S29" s="38">
        <f t="shared" si="17"/>
        <v>1</v>
      </c>
      <c r="T29" s="55" t="str">
        <f t="shared" si="4"/>
        <v>Southbound</v>
      </c>
      <c r="U29" s="14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05:09:23-0600',mode:absolute,to:'2016-08-07 08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29" s="57" t="str">
        <f t="shared" si="6"/>
        <v>N</v>
      </c>
      <c r="X29" s="154">
        <f t="shared" si="7"/>
        <v>1</v>
      </c>
      <c r="Y29" s="72">
        <f t="shared" si="8"/>
        <v>23.2974</v>
      </c>
      <c r="Z29" s="72">
        <f t="shared" si="9"/>
        <v>1.5800000000000002E-2</v>
      </c>
      <c r="AA29" s="72">
        <f t="shared" si="10"/>
        <v>23.281600000000001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11"/>
        <v>0116-07</v>
      </c>
      <c r="AE29" s="110" t="str">
        <f t="shared" si="12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29" s="107" t="str">
        <f t="shared" si="13"/>
        <v>"C:\Program Files (x86)\AstroGrep\AstroGrep.exe" /spath="%USERPROFILE%\AppData\Local\Temp\OnboardLogs" /stypes="*4026*20160807*" /stext=" 13:.+((SYSTEM_STATE.+slice.+state.+changed )|(ment ac)|(system.+state.+changed )|(\|lc)|(penalty)|(\[timeout)|(PRM\|1\|D)|(kpr)|(kdp))" /e /r /s</v>
      </c>
      <c r="AG29" s="1" t="str">
        <f t="shared" si="14"/>
        <v>EC</v>
      </c>
      <c r="AH29" s="111" t="str">
        <f t="shared" si="15"/>
        <v>"%USERPROFILE%\Documents\GitHub\eaglep3\Utilities\RefineRTDCRunTimes.py" --tripid 116-07 --locoid 4026 --swversion DE.1.0.7.0 --startMP 204:232974 --initTime 2016-08-07T06:09:23 --startdatetime 2016-08-07T06:10:38 --delay 1 --endMP 204:158 --enddatetime 2016-08-07T07:03:31 --enforcementcount 0</v>
      </c>
    </row>
    <row r="30" spans="1:34" s="1" customFormat="1" x14ac:dyDescent="0.25">
      <c r="A30" s="42" t="s">
        <v>365</v>
      </c>
      <c r="B30" s="7">
        <v>4016</v>
      </c>
      <c r="C30" s="25" t="s">
        <v>147</v>
      </c>
      <c r="D30" s="25" t="s">
        <v>366</v>
      </c>
      <c r="E30" s="16">
        <v>42589.233182870368</v>
      </c>
      <c r="F30" s="16">
        <v>42589.234432870369</v>
      </c>
      <c r="G30" s="7">
        <v>1</v>
      </c>
      <c r="H30" s="16" t="s">
        <v>267</v>
      </c>
      <c r="I30" s="16">
        <v>42589.264317129629</v>
      </c>
      <c r="J30" s="7">
        <v>0</v>
      </c>
      <c r="K30" s="25" t="str">
        <f t="shared" si="0"/>
        <v>4015/4016</v>
      </c>
      <c r="L30" s="25" t="str">
        <f>VLOOKUP(A30,'Trips&amp;Operators'!$C$1:$E$10000,3,FALSE)</f>
        <v>ACKERMAN</v>
      </c>
      <c r="M30" s="6">
        <f t="shared" si="1"/>
        <v>2.9884259260143153E-2</v>
      </c>
      <c r="N30" s="7">
        <f t="shared" si="16"/>
        <v>43.033333334606141</v>
      </c>
      <c r="O30" s="7"/>
      <c r="P30" s="7"/>
      <c r="Q30" s="26"/>
      <c r="R30" s="26"/>
      <c r="S30" s="38">
        <f t="shared" si="17"/>
        <v>1</v>
      </c>
      <c r="T30" s="55" t="str">
        <f t="shared" si="4"/>
        <v>NorthBound</v>
      </c>
      <c r="U30" s="14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04:35:47-0600',mode:absolute,to:'2016-08-07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30" s="57" t="str">
        <f t="shared" si="6"/>
        <v>N</v>
      </c>
      <c r="X30" s="154">
        <f t="shared" si="7"/>
        <v>1</v>
      </c>
      <c r="Y30" s="72">
        <f t="shared" si="8"/>
        <v>3.9800000000000002E-2</v>
      </c>
      <c r="Z30" s="72">
        <f t="shared" si="9"/>
        <v>23.329899999999999</v>
      </c>
      <c r="AA30" s="72">
        <f t="shared" si="10"/>
        <v>23.290099999999999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11"/>
        <v>0117-07</v>
      </c>
      <c r="AE30" s="110" t="str">
        <f t="shared" si="12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30" s="107" t="str">
        <f t="shared" si="13"/>
        <v>"C:\Program Files (x86)\AstroGrep\AstroGrep.exe" /spath="%USERPROFILE%\AppData\Local\Temp\OnboardLogs" /stypes="*4016*20160807*" /stext=" 12:.+((SYSTEM_STATE.+slice.+state.+changed )|(ment ac)|(system.+state.+changed )|(\|lc)|(penalty)|(\[timeout)|(PRM\|1\|D)|(kpr)|(kdp))" /e /r /s</v>
      </c>
      <c r="AG30" s="1" t="str">
        <f t="shared" si="14"/>
        <v>EC</v>
      </c>
      <c r="AH30" s="111" t="str">
        <f t="shared" si="15"/>
        <v>"%USERPROFILE%\Documents\GitHub\eaglep3\Utilities\RefineRTDCRunTimes.py" --tripid 117-07 --locoid 4016 --swversion DE.1.0.7.0 --startMP 204:398 --initTime 2016-08-07T05:35:47 --startdatetime 2016-08-07T05:37:35 --delay 1 --endMP 204:233299 --enddatetime 2016-08-07T06:20:37 --enforcementcount 0</v>
      </c>
    </row>
    <row r="31" spans="1:34" s="1" customFormat="1" x14ac:dyDescent="0.25">
      <c r="A31" s="42" t="s">
        <v>294</v>
      </c>
      <c r="B31" s="7">
        <v>4015</v>
      </c>
      <c r="C31" s="25" t="s">
        <v>147</v>
      </c>
      <c r="D31" s="25" t="s">
        <v>231</v>
      </c>
      <c r="E31" s="16">
        <v>42589.271053240744</v>
      </c>
      <c r="F31" s="16">
        <v>42589.27244212963</v>
      </c>
      <c r="G31" s="7">
        <v>1</v>
      </c>
      <c r="H31" s="16" t="s">
        <v>367</v>
      </c>
      <c r="I31" s="16">
        <v>42589.305312500001</v>
      </c>
      <c r="J31" s="7">
        <v>1</v>
      </c>
      <c r="K31" s="25" t="str">
        <f t="shared" si="0"/>
        <v>4015/4016</v>
      </c>
      <c r="L31" s="25" t="str">
        <f>VLOOKUP(A31,'Trips&amp;Operators'!$C$1:$E$10000,3,FALSE)</f>
        <v>ACKERMAN</v>
      </c>
      <c r="M31" s="6">
        <f t="shared" si="1"/>
        <v>3.2870370370801538E-2</v>
      </c>
      <c r="N31" s="7">
        <f t="shared" si="16"/>
        <v>47.333333333954215</v>
      </c>
      <c r="O31" s="7"/>
      <c r="P31" s="7"/>
      <c r="Q31" s="26"/>
      <c r="R31" s="26"/>
      <c r="S31" s="38">
        <f t="shared" si="17"/>
        <v>1</v>
      </c>
      <c r="T31" s="55" t="str">
        <f t="shared" si="4"/>
        <v>Southbound</v>
      </c>
      <c r="U31" s="14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31" s="57" t="str">
        <f t="shared" si="6"/>
        <v>N</v>
      </c>
      <c r="X31" s="154">
        <f t="shared" si="7"/>
        <v>1</v>
      </c>
      <c r="Y31" s="72">
        <f t="shared" si="8"/>
        <v>23.298400000000001</v>
      </c>
      <c r="Z31" s="72">
        <f t="shared" si="9"/>
        <v>1.34E-2</v>
      </c>
      <c r="AA31" s="72">
        <f t="shared" si="10"/>
        <v>23.285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1"/>
        <v>0118-07</v>
      </c>
      <c r="AE31" s="110" t="str">
        <f t="shared" si="12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31" s="107" t="str">
        <f t="shared" si="13"/>
        <v>"C:\Program Files (x86)\AstroGrep\AstroGrep.exe" /spath="%USERPROFILE%\AppData\Local\Temp\OnboardLogs" /stypes="*4015*20160807*"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11" t="str">
        <f t="shared" si="15"/>
        <v>"%USERPROFILE%\Documents\GitHub\eaglep3\Utilities\RefineRTDCRunTimes.py" --tripid 118-07 --locoid 4015 --swversion DE.1.0.7.0 --startMP 204:232984 --initTime 2016-08-07T06:30:19 --startdatetime 2016-08-07T06:32:19 --delay 1 --endMP 204:134 --enddatetime 2016-08-07T07:19:39 --enforcementcount 1</v>
      </c>
    </row>
    <row r="32" spans="1:34" s="1" customFormat="1" x14ac:dyDescent="0.25">
      <c r="A32" s="42" t="s">
        <v>368</v>
      </c>
      <c r="B32" s="7">
        <v>4044</v>
      </c>
      <c r="C32" s="25" t="s">
        <v>147</v>
      </c>
      <c r="D32" s="25" t="s">
        <v>369</v>
      </c>
      <c r="E32" s="16">
        <v>42589.247546296298</v>
      </c>
      <c r="F32" s="16">
        <v>42589.248495370368</v>
      </c>
      <c r="G32" s="7">
        <v>1</v>
      </c>
      <c r="H32" s="16" t="s">
        <v>261</v>
      </c>
      <c r="I32" s="16">
        <v>42589.275543981479</v>
      </c>
      <c r="J32" s="7">
        <v>0</v>
      </c>
      <c r="K32" s="25" t="str">
        <f t="shared" si="0"/>
        <v>4043/4044</v>
      </c>
      <c r="L32" s="25" t="str">
        <f>VLOOKUP(A32,'Trips&amp;Operators'!$C$1:$E$10000,3,FALSE)</f>
        <v>MAELZER</v>
      </c>
      <c r="M32" s="6">
        <f t="shared" si="1"/>
        <v>2.7048611111240461E-2</v>
      </c>
      <c r="N32" s="7">
        <f t="shared" si="16"/>
        <v>38.950000000186265</v>
      </c>
      <c r="O32" s="7"/>
      <c r="P32" s="7"/>
      <c r="Q32" s="26"/>
      <c r="R32" s="26"/>
      <c r="S32" s="38">
        <f t="shared" si="17"/>
        <v>1</v>
      </c>
      <c r="T32" s="55" t="str">
        <f t="shared" si="4"/>
        <v>NorthBound</v>
      </c>
      <c r="U32" s="14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04:56:28-0600',mode:absolute,to:'2016-08-07 07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32" s="57" t="str">
        <f t="shared" si="6"/>
        <v>N</v>
      </c>
      <c r="X32" s="154">
        <f t="shared" si="7"/>
        <v>1</v>
      </c>
      <c r="Y32" s="72">
        <f t="shared" si="8"/>
        <v>9.0300000000000005E-2</v>
      </c>
      <c r="Z32" s="72">
        <f t="shared" si="9"/>
        <v>23.332100000000001</v>
      </c>
      <c r="AA32" s="72">
        <f t="shared" si="10"/>
        <v>23.241800000000001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1"/>
        <v>0119-07</v>
      </c>
      <c r="AE32" s="110" t="str">
        <f t="shared" si="12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32" s="107" t="str">
        <f t="shared" si="13"/>
        <v>"C:\Program Files (x86)\AstroGrep\AstroGrep.exe" /spath="%USERPROFILE%\AppData\Local\Temp\OnboardLogs" /stypes="*4044*20160807*" /stext=" 12:.+((SYSTEM_STATE.+slice.+state.+changed )|(ment ac)|(system.+state.+changed )|(\|lc)|(penalty)|(\[timeout)|(PRM\|1\|D)|(kpr)|(kdp))" /e /r /s</v>
      </c>
      <c r="AG32" s="1" t="str">
        <f t="shared" si="14"/>
        <v>EC</v>
      </c>
      <c r="AH32" s="111" t="str">
        <f t="shared" si="15"/>
        <v>"%USERPROFILE%\Documents\GitHub\eaglep3\Utilities\RefineRTDCRunTimes.py" --tripid 119-07 --locoid 4044 --swversion DE.1.0.7.0 --startMP 204:903 --initTime 2016-08-07T05:56:28 --startdatetime 2016-08-07T05:57:50 --delay 1 --endMP 204:233321 --enddatetime 2016-08-07T06:36:47 --enforcementcount 0</v>
      </c>
    </row>
    <row r="33" spans="1:34" s="1" customFormat="1" x14ac:dyDescent="0.25">
      <c r="A33" s="42" t="s">
        <v>370</v>
      </c>
      <c r="B33" s="7">
        <v>4043</v>
      </c>
      <c r="C33" s="25" t="s">
        <v>147</v>
      </c>
      <c r="D33" s="25" t="s">
        <v>227</v>
      </c>
      <c r="E33" s="16">
        <v>42589.283854166664</v>
      </c>
      <c r="F33" s="16">
        <v>42589.284803240742</v>
      </c>
      <c r="G33" s="7">
        <v>1</v>
      </c>
      <c r="H33" s="16" t="s">
        <v>211</v>
      </c>
      <c r="I33" s="16">
        <v>42589.315405092595</v>
      </c>
      <c r="J33" s="7">
        <v>0</v>
      </c>
      <c r="K33" s="25" t="str">
        <f t="shared" si="0"/>
        <v>4043/4044</v>
      </c>
      <c r="L33" s="25" t="str">
        <f>VLOOKUP(A33,'Trips&amp;Operators'!$C$1:$E$10000,3,FALSE)</f>
        <v>MAELZER</v>
      </c>
      <c r="M33" s="6">
        <f t="shared" si="1"/>
        <v>3.0601851853134576E-2</v>
      </c>
      <c r="N33" s="7">
        <f t="shared" si="16"/>
        <v>44.06666666851379</v>
      </c>
      <c r="O33" s="7"/>
      <c r="P33" s="7"/>
      <c r="Q33" s="26"/>
      <c r="R33" s="26"/>
      <c r="S33" s="38">
        <f t="shared" si="17"/>
        <v>1</v>
      </c>
      <c r="T33" s="55" t="str">
        <f t="shared" si="4"/>
        <v>Southbound</v>
      </c>
      <c r="U33" s="14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05:48:45-0600',mode:absolute,to:'2016-08-07 08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33" s="57" t="str">
        <f t="shared" si="6"/>
        <v>N</v>
      </c>
      <c r="X33" s="154">
        <f t="shared" si="7"/>
        <v>1</v>
      </c>
      <c r="Y33" s="72">
        <f t="shared" si="8"/>
        <v>23.299399999999999</v>
      </c>
      <c r="Z33" s="72">
        <f t="shared" si="9"/>
        <v>1.47E-2</v>
      </c>
      <c r="AA33" s="72">
        <f t="shared" si="10"/>
        <v>23.284699999999997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1"/>
        <v>0120-07</v>
      </c>
      <c r="AE33" s="110" t="str">
        <f t="shared" si="12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33" s="107" t="str">
        <f t="shared" si="13"/>
        <v>"C:\Program Files (x86)\AstroGrep\AstroGrep.exe" /spath="%USERPROFILE%\AppData\Local\Temp\OnboardLogs" /stypes="*4043*20160807*"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11" t="str">
        <f t="shared" si="15"/>
        <v>"%USERPROFILE%\Documents\GitHub\eaglep3\Utilities\RefineRTDCRunTimes.py" --tripid 120-07 --locoid 4043 --swversion DE.1.0.7.0 --startMP 204:232994 --initTime 2016-08-07T06:48:45 --startdatetime 2016-08-07T06:50:07 --delay 1 --endMP 204:147 --enddatetime 2016-08-07T07:34:11 --enforcementcount 0</v>
      </c>
    </row>
    <row r="34" spans="1:34" s="1" customFormat="1" x14ac:dyDescent="0.25">
      <c r="A34" s="42" t="s">
        <v>371</v>
      </c>
      <c r="B34" s="7">
        <v>4018</v>
      </c>
      <c r="C34" s="25" t="s">
        <v>147</v>
      </c>
      <c r="D34" s="25" t="s">
        <v>63</v>
      </c>
      <c r="E34" s="16">
        <v>42589.256053240744</v>
      </c>
      <c r="F34" s="16">
        <v>42589.257048611114</v>
      </c>
      <c r="G34" s="7">
        <v>1</v>
      </c>
      <c r="H34" s="16" t="s">
        <v>372</v>
      </c>
      <c r="I34" s="16">
        <v>42589.286539351851</v>
      </c>
      <c r="J34" s="7">
        <v>0</v>
      </c>
      <c r="K34" s="25" t="str">
        <f t="shared" si="0"/>
        <v>4017/4018</v>
      </c>
      <c r="L34" s="25" t="str">
        <f>VLOOKUP(A34,'Trips&amp;Operators'!$C$1:$E$10000,3,FALSE)</f>
        <v>DAVIS</v>
      </c>
      <c r="M34" s="6">
        <f t="shared" si="1"/>
        <v>2.9490740736946464E-2</v>
      </c>
      <c r="N34" s="7">
        <f t="shared" si="16"/>
        <v>42.466666661202908</v>
      </c>
      <c r="O34" s="7"/>
      <c r="P34" s="7"/>
      <c r="Q34" s="26"/>
      <c r="R34" s="26"/>
      <c r="S34" s="38">
        <f t="shared" si="17"/>
        <v>1</v>
      </c>
      <c r="T34" s="55" t="str">
        <f t="shared" si="4"/>
        <v>NorthBound</v>
      </c>
      <c r="U34" s="14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05:08:43-0600',mode:absolute,to:'2016-08-07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34" s="57" t="str">
        <f t="shared" si="6"/>
        <v>N</v>
      </c>
      <c r="X34" s="154">
        <f t="shared" si="7"/>
        <v>1</v>
      </c>
      <c r="Y34" s="72">
        <f t="shared" si="8"/>
        <v>4.5999999999999999E-2</v>
      </c>
      <c r="Z34" s="72">
        <f t="shared" si="9"/>
        <v>23.327200000000001</v>
      </c>
      <c r="AA34" s="72">
        <f t="shared" si="10"/>
        <v>23.281200000000002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11"/>
        <v>0121-07</v>
      </c>
      <c r="AE34" s="110" t="str">
        <f t="shared" si="12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34" s="107" t="str">
        <f t="shared" si="13"/>
        <v>"C:\Program Files (x86)\AstroGrep\AstroGrep.exe" /spath="%USERPROFILE%\AppData\Local\Temp\OnboardLogs" /stypes="*4018*20160807*" /stext=" 12:.+((SYSTEM_STATE.+slice.+state.+changed )|(ment ac)|(system.+state.+changed )|(\|lc)|(penalty)|(\[timeout)|(PRM\|1\|D)|(kpr)|(kdp))" /e /r /s</v>
      </c>
      <c r="AG34" s="1" t="str">
        <f t="shared" si="14"/>
        <v>EC</v>
      </c>
      <c r="AH34" s="111" t="str">
        <f t="shared" si="15"/>
        <v>"%USERPROFILE%\Documents\GitHub\eaglep3\Utilities\RefineRTDCRunTimes.py" --tripid 121-07 --locoid 4018 --swversion DE.1.0.7.0 --startMP 204:460 --initTime 2016-08-07T06:08:43 --startdatetime 2016-08-07T06:10:09 --delay 1 --endMP 204:233272 --enddatetime 2016-08-07T06:52:37 --enforcementcount 0</v>
      </c>
    </row>
    <row r="35" spans="1:34" s="1" customFormat="1" x14ac:dyDescent="0.25">
      <c r="A35" s="42" t="s">
        <v>373</v>
      </c>
      <c r="B35" s="7">
        <v>4017</v>
      </c>
      <c r="C35" s="25" t="s">
        <v>147</v>
      </c>
      <c r="D35" s="25" t="s">
        <v>177</v>
      </c>
      <c r="E35" s="16">
        <v>42589.293020833335</v>
      </c>
      <c r="F35" s="16">
        <v>42589.294166666667</v>
      </c>
      <c r="G35" s="7">
        <v>1</v>
      </c>
      <c r="H35" s="16" t="s">
        <v>211</v>
      </c>
      <c r="I35" s="16">
        <v>42589.327766203707</v>
      </c>
      <c r="J35" s="7">
        <v>0</v>
      </c>
      <c r="K35" s="25" t="str">
        <f t="shared" si="0"/>
        <v>4017/4018</v>
      </c>
      <c r="L35" s="25" t="str">
        <f>VLOOKUP(A35,'Trips&amp;Operators'!$C$1:$E$10000,3,FALSE)</f>
        <v>DAVIS</v>
      </c>
      <c r="M35" s="6">
        <f t="shared" si="1"/>
        <v>3.3599537040572613E-2</v>
      </c>
      <c r="N35" s="7">
        <f t="shared" si="16"/>
        <v>48.383333338424563</v>
      </c>
      <c r="O35" s="7"/>
      <c r="P35" s="7"/>
      <c r="Q35" s="26"/>
      <c r="R35" s="26"/>
      <c r="S35" s="38">
        <f t="shared" si="17"/>
        <v>1</v>
      </c>
      <c r="T35" s="55" t="str">
        <f t="shared" si="4"/>
        <v>Southbound</v>
      </c>
      <c r="U35" s="14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35" s="57" t="str">
        <f t="shared" si="6"/>
        <v>N</v>
      </c>
      <c r="X35" s="154">
        <f t="shared" si="7"/>
        <v>1</v>
      </c>
      <c r="Y35" s="72">
        <f t="shared" si="8"/>
        <v>23.297499999999999</v>
      </c>
      <c r="Z35" s="72">
        <f t="shared" si="9"/>
        <v>1.47E-2</v>
      </c>
      <c r="AA35" s="72">
        <f t="shared" si="10"/>
        <v>23.282799999999998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11"/>
        <v>0122-07</v>
      </c>
      <c r="AE35" s="110" t="str">
        <f t="shared" si="12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35" s="107" t="str">
        <f t="shared" si="13"/>
        <v>"C:\Program Files (x86)\AstroGrep\AstroGrep.exe" /spath="%USERPROFILE%\AppData\Local\Temp\OnboardLogs" /stypes="*4017*20160807*"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11" t="str">
        <f t="shared" si="15"/>
        <v>"%USERPROFILE%\Documents\GitHub\eaglep3\Utilities\RefineRTDCRunTimes.py" --tripid 122-07 --locoid 4017 --swversion DE.1.0.7.0 --startMP 204:232975 --initTime 2016-08-07T07:01:57 --startdatetime 2016-08-07T07:03:36 --delay 1 --endMP 204:147 --enddatetime 2016-08-07T07:51:59 --enforcementcount 0</v>
      </c>
    </row>
    <row r="36" spans="1:34" s="1" customFormat="1" x14ac:dyDescent="0.25">
      <c r="A36" s="42" t="s">
        <v>598</v>
      </c>
      <c r="B36" s="7">
        <v>4030</v>
      </c>
      <c r="C36" s="25" t="s">
        <v>147</v>
      </c>
      <c r="D36" s="25" t="s">
        <v>177</v>
      </c>
      <c r="E36" s="16">
        <v>42589.293020833335</v>
      </c>
      <c r="F36" s="16">
        <v>42589.234224537038</v>
      </c>
      <c r="G36" s="7">
        <v>1</v>
      </c>
      <c r="H36" s="16" t="s">
        <v>211</v>
      </c>
      <c r="I36" s="16">
        <v>42589.248472222222</v>
      </c>
      <c r="J36" s="7">
        <v>0</v>
      </c>
      <c r="K36" s="25" t="str">
        <f t="shared" si="0"/>
        <v>4029/4030</v>
      </c>
      <c r="L36" s="138" t="s">
        <v>604</v>
      </c>
      <c r="M36" s="6">
        <f t="shared" si="1"/>
        <v>1.4247685183363501E-2</v>
      </c>
      <c r="N36" s="7"/>
      <c r="O36" s="7"/>
      <c r="P36" s="7">
        <v>1</v>
      </c>
      <c r="Q36" s="26"/>
      <c r="R36" s="26" t="s">
        <v>603</v>
      </c>
      <c r="S36" s="38">
        <f t="shared" si="17"/>
        <v>0</v>
      </c>
      <c r="T36" s="55" t="str">
        <f t="shared" si="4"/>
        <v>NorthBound</v>
      </c>
      <c r="U36" s="14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6" s="57" t="str">
        <f t="shared" si="6"/>
        <v>N</v>
      </c>
      <c r="X36" s="154">
        <f t="shared" si="7"/>
        <v>1</v>
      </c>
      <c r="Y36" s="72">
        <f t="shared" si="8"/>
        <v>23.297499999999999</v>
      </c>
      <c r="Z36" s="72">
        <f t="shared" si="9"/>
        <v>1.47E-2</v>
      </c>
      <c r="AA36" s="72">
        <f t="shared" si="10"/>
        <v>23.282799999999998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1"/>
        <v>0123-07</v>
      </c>
      <c r="AE36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36" s="107" t="str">
        <f t="shared" si="13"/>
        <v>"C:\Program Files (x86)\AstroGrep\AstroGrep.exe" /spath="%USERPROFILE%\AppData\Local\Temp\OnboardLogs" /stypes="*4030*20160807*" /stext=" 11:.+((SYSTEM_STATE.+slice.+state.+changed )|(ment ac)|(system.+state.+changed )|(\|lc)|(penalty)|(\[timeout)|(PRM\|1\|D)|(kpr)|(kdp))" /e /r /s</v>
      </c>
      <c r="AG36" s="1" t="str">
        <f t="shared" si="14"/>
        <v>EC</v>
      </c>
      <c r="AH36" s="111" t="str">
        <f t="shared" si="15"/>
        <v>"%USERPROFILE%\Documents\GitHub\eaglep3\Utilities\RefineRTDCRunTimes.py" --tripid 123-07 --locoid 4030 --swversion DE.1.0.7.0 --startMP 204:232975 --initTime 2016-08-07T07:01:57 --startdatetime 2016-08-07T05:37:17 --delay 1 --endMP 204:147 --enddatetime 2016-08-07T05:57:48 --enforcementcount 0</v>
      </c>
    </row>
    <row r="37" spans="1:34" s="1" customFormat="1" x14ac:dyDescent="0.25">
      <c r="A37" s="42" t="s">
        <v>374</v>
      </c>
      <c r="B37" s="7">
        <v>4030</v>
      </c>
      <c r="C37" s="25" t="s">
        <v>147</v>
      </c>
      <c r="D37" s="25" t="s">
        <v>244</v>
      </c>
      <c r="E37" s="16">
        <v>42589.308715277781</v>
      </c>
      <c r="F37" s="16">
        <v>42589.309641203705</v>
      </c>
      <c r="G37" s="7">
        <v>1</v>
      </c>
      <c r="H37" s="16" t="s">
        <v>211</v>
      </c>
      <c r="I37" s="16">
        <v>42589.337002314816</v>
      </c>
      <c r="J37" s="7">
        <v>0</v>
      </c>
      <c r="K37" s="25" t="str">
        <f t="shared" si="0"/>
        <v>4029/4030</v>
      </c>
      <c r="L37" s="25" t="str">
        <f>VLOOKUP(A37,'Trips&amp;Operators'!$C$1:$E$10000,3,FALSE)</f>
        <v>ROCHA</v>
      </c>
      <c r="M37" s="6">
        <f t="shared" si="1"/>
        <v>2.73611111115315E-2</v>
      </c>
      <c r="N37" s="7">
        <f t="shared" ref="N37:N68" si="18">24*60*SUM($M37:$M37)</f>
        <v>39.40000000060536</v>
      </c>
      <c r="O37" s="7"/>
      <c r="P37" s="7"/>
      <c r="Q37" s="26"/>
      <c r="R37" s="26"/>
      <c r="S37" s="38">
        <f t="shared" si="17"/>
        <v>1</v>
      </c>
      <c r="T37" s="55" t="str">
        <f t="shared" si="4"/>
        <v>Southbound</v>
      </c>
      <c r="U37" s="14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06:24:33-0600',mode:absolute,to:'2016-08-07 09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7" s="57" t="str">
        <f t="shared" si="6"/>
        <v>N</v>
      </c>
      <c r="X37" s="154">
        <f t="shared" si="7"/>
        <v>1</v>
      </c>
      <c r="Y37" s="72">
        <f t="shared" si="8"/>
        <v>23.300599999999999</v>
      </c>
      <c r="Z37" s="72">
        <f t="shared" si="9"/>
        <v>1.47E-2</v>
      </c>
      <c r="AA37" s="72">
        <f t="shared" si="10"/>
        <v>23.285899999999998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11"/>
        <v>0124-07</v>
      </c>
      <c r="AE37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37" s="107" t="str">
        <f t="shared" si="13"/>
        <v>"C:\Program Files (x86)\AstroGrep\AstroGrep.exe" /spath="%USERPROFILE%\AppData\Local\Temp\OnboardLogs" /stypes="*4030*20160807*" /stext=" 14:.+((SYSTEM_STATE.+slice.+state.+changed )|(ment ac)|(system.+state.+changed )|(\|lc)|(penalty)|(\[timeout)|(PRM\|1\|D)|(kpr)|(kdp))" /e /r /s</v>
      </c>
      <c r="AG37" s="1" t="str">
        <f t="shared" si="14"/>
        <v>EC</v>
      </c>
      <c r="AH37" s="111" t="str">
        <f t="shared" si="15"/>
        <v>"%USERPROFILE%\Documents\GitHub\eaglep3\Utilities\RefineRTDCRunTimes.py" --tripid 124-07 --locoid 4030 --swversion DE.1.0.7.0 --startMP 204:233006 --initTime 2016-08-07T07:24:33 --startdatetime 2016-08-07T07:25:53 --delay 1 --endMP 204:147 --enddatetime 2016-08-07T08:05:17 --enforcementcount 0</v>
      </c>
    </row>
    <row r="38" spans="1:34" s="1" customFormat="1" x14ac:dyDescent="0.25">
      <c r="A38" s="42" t="s">
        <v>296</v>
      </c>
      <c r="B38" s="7">
        <v>4038</v>
      </c>
      <c r="C38" s="25" t="s">
        <v>147</v>
      </c>
      <c r="D38" s="25" t="s">
        <v>184</v>
      </c>
      <c r="E38" s="16">
        <v>42589.278194444443</v>
      </c>
      <c r="F38" s="16">
        <v>42589.279664351852</v>
      </c>
      <c r="G38" s="7">
        <v>2</v>
      </c>
      <c r="H38" s="16" t="s">
        <v>245</v>
      </c>
      <c r="I38" s="16">
        <v>42589.30841435185</v>
      </c>
      <c r="J38" s="7">
        <v>1</v>
      </c>
      <c r="K38" s="25" t="str">
        <f t="shared" si="0"/>
        <v>4037/4038</v>
      </c>
      <c r="L38" s="25" t="str">
        <f>VLOOKUP(A38,'Trips&amp;Operators'!$C$1:$E$10000,3,FALSE)</f>
        <v>STRICKLAND</v>
      </c>
      <c r="M38" s="6">
        <f t="shared" si="1"/>
        <v>2.8749999997671694E-2</v>
      </c>
      <c r="N38" s="7">
        <f t="shared" si="18"/>
        <v>41.399999996647239</v>
      </c>
      <c r="O38" s="7"/>
      <c r="P38" s="7"/>
      <c r="Q38" s="26"/>
      <c r="R38" s="26"/>
      <c r="S38" s="38">
        <f t="shared" si="17"/>
        <v>1</v>
      </c>
      <c r="T38" s="55" t="str">
        <f t="shared" si="4"/>
        <v>NorthBound</v>
      </c>
      <c r="U38" s="14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8" s="57" t="str">
        <f t="shared" si="6"/>
        <v>N</v>
      </c>
      <c r="X38" s="154">
        <f t="shared" si="7"/>
        <v>1</v>
      </c>
      <c r="Y38" s="72">
        <f t="shared" si="8"/>
        <v>4.4600000000000001E-2</v>
      </c>
      <c r="Z38" s="72">
        <f t="shared" si="9"/>
        <v>23.330500000000001</v>
      </c>
      <c r="AA38" s="72">
        <f t="shared" si="10"/>
        <v>23.285900000000002</v>
      </c>
      <c r="AB38" s="69">
        <f>VLOOKUP(A38,Enforcements!$C$7:$J$24,8,0)</f>
        <v>224578</v>
      </c>
      <c r="AC38" s="65" t="str">
        <f>VLOOKUP(A38,Enforcements!$C$7:$E$24,3,0)</f>
        <v>PERMANENT SPEED RESTRICTION</v>
      </c>
      <c r="AD38" s="66" t="str">
        <f t="shared" si="11"/>
        <v>0125-07</v>
      </c>
      <c r="AE38" s="110" t="str">
        <f t="shared" si="12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38" s="107" t="str">
        <f t="shared" si="13"/>
        <v>"C:\Program Files (x86)\AstroGrep\AstroGrep.exe" /spath="%USERPROFILE%\AppData\Local\Temp\OnboardLogs" /stypes="*4038*20160807*" /stext=" 13:.+((SYSTEM_STATE.+slice.+state.+changed )|(ment ac)|(system.+state.+changed )|(\|lc)|(penalty)|(\[timeout)|(PRM\|1\|D)|(kpr)|(kdp))" /e /r /s</v>
      </c>
      <c r="AG38" s="1" t="str">
        <f t="shared" si="14"/>
        <v>EC</v>
      </c>
      <c r="AH38" s="111" t="str">
        <f t="shared" si="15"/>
        <v>"%USERPROFILE%\Documents\GitHub\eaglep3\Utilities\RefineRTDCRunTimes.py" --tripid 125-07 --locoid 4038 --swversion DE.1.0.7.0 --startMP 204:446 --initTime 2016-08-07T06:40:36 --startdatetime 2016-08-07T06:42:43 --delay 2 --endMP 204:233305 --enddatetime 2016-08-07T07:24:07 --enforcementcount 1</v>
      </c>
    </row>
    <row r="39" spans="1:34" s="1" customFormat="1" x14ac:dyDescent="0.25">
      <c r="A39" s="42" t="s">
        <v>297</v>
      </c>
      <c r="B39" s="7">
        <v>4037</v>
      </c>
      <c r="C39" s="25" t="s">
        <v>147</v>
      </c>
      <c r="D39" s="25" t="s">
        <v>375</v>
      </c>
      <c r="E39" s="16">
        <v>42589.315567129626</v>
      </c>
      <c r="F39" s="16">
        <v>42589.317175925928</v>
      </c>
      <c r="G39" s="7">
        <v>2</v>
      </c>
      <c r="H39" s="16" t="s">
        <v>198</v>
      </c>
      <c r="I39" s="16">
        <v>42589.349004629628</v>
      </c>
      <c r="J39" s="7">
        <v>2</v>
      </c>
      <c r="K39" s="25" t="str">
        <f t="shared" si="0"/>
        <v>4037/4038</v>
      </c>
      <c r="L39" s="25" t="str">
        <f>VLOOKUP(A39,'Trips&amp;Operators'!$C$1:$E$10000,3,FALSE)</f>
        <v>STRICKLAND</v>
      </c>
      <c r="M39" s="6">
        <f t="shared" si="1"/>
        <v>3.1828703700739425E-2</v>
      </c>
      <c r="N39" s="7">
        <f t="shared" si="18"/>
        <v>45.833333329064772</v>
      </c>
      <c r="O39" s="7"/>
      <c r="P39" s="7"/>
      <c r="Q39" s="26"/>
      <c r="R39" s="26"/>
      <c r="S39" s="38">
        <f t="shared" si="17"/>
        <v>1</v>
      </c>
      <c r="T39" s="55" t="str">
        <f t="shared" si="4"/>
        <v>Southbound</v>
      </c>
      <c r="U39" s="14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9" s="57" t="str">
        <f t="shared" si="6"/>
        <v>N</v>
      </c>
      <c r="X39" s="154">
        <f t="shared" si="7"/>
        <v>1</v>
      </c>
      <c r="Y39" s="72">
        <f t="shared" si="8"/>
        <v>23.300899999999999</v>
      </c>
      <c r="Z39" s="72">
        <f t="shared" si="9"/>
        <v>1.5800000000000002E-2</v>
      </c>
      <c r="AA39" s="72">
        <f t="shared" si="10"/>
        <v>23.2851</v>
      </c>
      <c r="AB39" s="69">
        <f>VLOOKUP(A39,Enforcements!$C$7:$J$24,8,0)</f>
        <v>33257</v>
      </c>
      <c r="AC39" s="65" t="str">
        <f>VLOOKUP(A39,Enforcements!$C$7:$E$24,3,0)</f>
        <v>GRADE CROSSING</v>
      </c>
      <c r="AD39" s="66" t="str">
        <f t="shared" si="11"/>
        <v>0126-07</v>
      </c>
      <c r="AE39" s="110" t="str">
        <f t="shared" si="12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39" s="107" t="str">
        <f t="shared" si="13"/>
        <v>"C:\Program Files (x86)\AstroGrep\AstroGrep.exe" /spath="%USERPROFILE%\AppData\Local\Temp\OnboardLogs" /stypes="*4037*20160807*" /stext=" 14:.+((SYSTEM_STATE.+slice.+state.+changed )|(ment ac)|(system.+state.+changed )|(\|lc)|(penalty)|(\[timeout)|(PRM\|1\|D)|(kpr)|(kdp))" /e /r /s</v>
      </c>
      <c r="AG39" s="1" t="str">
        <f t="shared" si="14"/>
        <v>EC</v>
      </c>
      <c r="AH39" s="111" t="str">
        <f t="shared" si="15"/>
        <v>"%USERPROFILE%\Documents\GitHub\eaglep3\Utilities\RefineRTDCRunTimes.py" --tripid 126-07 --locoid 4037 --swversion DE.1.0.7.0 --startMP 204:233009 --initTime 2016-08-07T07:34:25 --startdatetime 2016-08-07T07:36:44 --delay 2 --endMP 204:158 --enddatetime 2016-08-07T08:22:34 --enforcementcount 2</v>
      </c>
    </row>
    <row r="40" spans="1:34" s="1" customFormat="1" x14ac:dyDescent="0.25">
      <c r="A40" s="42" t="s">
        <v>295</v>
      </c>
      <c r="B40" s="7">
        <v>4007</v>
      </c>
      <c r="C40" s="25" t="s">
        <v>147</v>
      </c>
      <c r="D40" s="25" t="s">
        <v>173</v>
      </c>
      <c r="E40" s="16">
        <v>42589.288923611108</v>
      </c>
      <c r="F40" s="16">
        <v>42589.289895833332</v>
      </c>
      <c r="G40" s="7">
        <v>1</v>
      </c>
      <c r="H40" s="16" t="s">
        <v>376</v>
      </c>
      <c r="I40" s="16">
        <v>42589.317824074074</v>
      </c>
      <c r="J40" s="7">
        <v>1</v>
      </c>
      <c r="K40" s="25" t="str">
        <f t="shared" si="0"/>
        <v>4007/4008</v>
      </c>
      <c r="L40" s="25" t="str">
        <f>VLOOKUP(A40,'Trips&amp;Operators'!$C$1:$E$10000,3,FALSE)</f>
        <v>STORY</v>
      </c>
      <c r="M40" s="6">
        <f t="shared" si="1"/>
        <v>2.792824074276723E-2</v>
      </c>
      <c r="N40" s="7">
        <f t="shared" si="18"/>
        <v>40.216666669584811</v>
      </c>
      <c r="O40" s="7"/>
      <c r="P40" s="7"/>
      <c r="Q40" s="26"/>
      <c r="R40" s="26"/>
      <c r="S40" s="38">
        <f t="shared" si="17"/>
        <v>1</v>
      </c>
      <c r="T40" s="55" t="str">
        <f t="shared" si="4"/>
        <v>NorthBound</v>
      </c>
      <c r="U40" s="14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40" s="57" t="str">
        <f t="shared" si="6"/>
        <v>N</v>
      </c>
      <c r="X40" s="154">
        <f t="shared" si="7"/>
        <v>1</v>
      </c>
      <c r="Y40" s="72">
        <f t="shared" si="8"/>
        <v>4.5100000000000001E-2</v>
      </c>
      <c r="Z40" s="72">
        <f t="shared" si="9"/>
        <v>23.339700000000001</v>
      </c>
      <c r="AA40" s="72">
        <f t="shared" si="10"/>
        <v>23.294599999999999</v>
      </c>
      <c r="AB40" s="69">
        <f>VLOOKUP(A40,Enforcements!$C$7:$J$24,8,0)</f>
        <v>116838</v>
      </c>
      <c r="AC40" s="65" t="str">
        <f>VLOOKUP(A40,Enforcements!$C$7:$E$24,3,0)</f>
        <v>PERMANENT SPEED RESTRICTION</v>
      </c>
      <c r="AD40" s="66" t="str">
        <f t="shared" si="11"/>
        <v>0127-07</v>
      </c>
      <c r="AE40" s="110" t="str">
        <f t="shared" si="12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40" s="107" t="str">
        <f t="shared" si="13"/>
        <v>"C:\Program Files (x86)\AstroGrep\AstroGrep.exe" /spath="%USERPROFILE%\AppData\Local\Temp\OnboardLogs" /stypes="*4007*20160807*" /stext=" 13:.+((SYSTEM_STATE.+slice.+state.+changed )|(ment ac)|(system.+state.+changed )|(\|lc)|(penalty)|(\[timeout)|(PRM\|1\|D)|(kpr)|(kdp))" /e /r /s</v>
      </c>
      <c r="AG40" s="1" t="str">
        <f t="shared" si="14"/>
        <v>EC</v>
      </c>
      <c r="AH40" s="111" t="str">
        <f t="shared" si="15"/>
        <v>"%USERPROFILE%\Documents\GitHub\eaglep3\Utilities\RefineRTDCRunTimes.py" --tripid 127-07 --locoid 4007 --swversion DE.1.0.7.0 --startMP 204:451 --initTime 2016-08-07T06:56:03 --startdatetime 2016-08-07T06:57:27 --delay 1 --endMP 204:233397 --enddatetime 2016-08-07T07:37:40 --enforcementcount 1</v>
      </c>
    </row>
    <row r="41" spans="1:34" s="1" customFormat="1" x14ac:dyDescent="0.25">
      <c r="A41" s="42" t="s">
        <v>299</v>
      </c>
      <c r="B41" s="7">
        <v>4008</v>
      </c>
      <c r="C41" s="25" t="s">
        <v>147</v>
      </c>
      <c r="D41" s="25" t="s">
        <v>377</v>
      </c>
      <c r="E41" s="16">
        <v>42589.322106481479</v>
      </c>
      <c r="F41" s="16">
        <v>42589.326226851852</v>
      </c>
      <c r="G41" s="7">
        <v>5</v>
      </c>
      <c r="H41" s="16" t="s">
        <v>99</v>
      </c>
      <c r="I41" s="16">
        <v>42589.357974537037</v>
      </c>
      <c r="J41" s="7">
        <v>1</v>
      </c>
      <c r="K41" s="25" t="str">
        <f t="shared" si="0"/>
        <v>4007/4008</v>
      </c>
      <c r="L41" s="25" t="str">
        <f>VLOOKUP(A41,'Trips&amp;Operators'!$C$1:$E$10000,3,FALSE)</f>
        <v>STORY</v>
      </c>
      <c r="M41" s="6">
        <f t="shared" si="1"/>
        <v>3.1747685185109731E-2</v>
      </c>
      <c r="N41" s="7">
        <f t="shared" si="18"/>
        <v>45.716666666558012</v>
      </c>
      <c r="O41" s="7"/>
      <c r="P41" s="7"/>
      <c r="Q41" s="26"/>
      <c r="R41" s="26"/>
      <c r="S41" s="38">
        <f t="shared" si="17"/>
        <v>1</v>
      </c>
      <c r="T41" s="55" t="str">
        <f t="shared" si="4"/>
        <v>Southbound</v>
      </c>
      <c r="U41" s="14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41" s="57" t="str">
        <f t="shared" si="6"/>
        <v>N</v>
      </c>
      <c r="X41" s="154">
        <f t="shared" si="7"/>
        <v>1</v>
      </c>
      <c r="Y41" s="72">
        <f t="shared" si="8"/>
        <v>23.306000000000001</v>
      </c>
      <c r="Z41" s="72">
        <f t="shared" si="9"/>
        <v>1.43E-2</v>
      </c>
      <c r="AA41" s="72">
        <f t="shared" si="10"/>
        <v>23.291700000000002</v>
      </c>
      <c r="AB41" s="69">
        <f>VLOOKUP(A41,Enforcements!$C$7:$J$24,8,0)</f>
        <v>21848</v>
      </c>
      <c r="AC41" s="65" t="str">
        <f>VLOOKUP(A41,Enforcements!$C$7:$E$24,3,0)</f>
        <v>PERMANENT SPEED RESTRICTION</v>
      </c>
      <c r="AD41" s="66" t="str">
        <f t="shared" si="11"/>
        <v>0128-07</v>
      </c>
      <c r="AE41" s="110" t="str">
        <f t="shared" si="12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41" s="107" t="str">
        <f t="shared" si="13"/>
        <v>"C:\Program Files (x86)\AstroGrep\AstroGrep.exe" /spath="%USERPROFILE%\AppData\Local\Temp\OnboardLogs" /stypes="*4008*20160807*" /stext=" 14:.+((SYSTEM_STATE.+slice.+state.+changed )|(ment ac)|(system.+state.+changed )|(\|lc)|(penalty)|(\[timeout)|(PRM\|1\|D)|(kpr)|(kdp))" /e /r /s</v>
      </c>
      <c r="AG41" s="1" t="str">
        <f t="shared" si="14"/>
        <v>EC</v>
      </c>
      <c r="AH41" s="111" t="str">
        <f t="shared" si="15"/>
        <v>"%USERPROFILE%\Documents\GitHub\eaglep3\Utilities\RefineRTDCRunTimes.py" --tripid 128-07 --locoid 4008 --swversion DE.1.0.7.0 --startMP 204:233060 --initTime 2016-08-07T07:43:50 --startdatetime 2016-08-07T07:49:46 --delay 5 --endMP 204:143 --enddatetime 2016-08-07T08:35:29 --enforcementcount 1</v>
      </c>
    </row>
    <row r="42" spans="1:34" s="1" customFormat="1" x14ac:dyDescent="0.25">
      <c r="A42" s="42" t="s">
        <v>378</v>
      </c>
      <c r="B42" s="7">
        <v>4025</v>
      </c>
      <c r="C42" s="25" t="s">
        <v>147</v>
      </c>
      <c r="D42" s="25" t="s">
        <v>132</v>
      </c>
      <c r="E42" s="16">
        <v>42589.298206018517</v>
      </c>
      <c r="F42" s="16">
        <v>42589.300312500003</v>
      </c>
      <c r="G42" s="7">
        <v>3</v>
      </c>
      <c r="H42" s="16" t="s">
        <v>267</v>
      </c>
      <c r="I42" s="16">
        <v>42589.327673611115</v>
      </c>
      <c r="J42" s="7">
        <v>0</v>
      </c>
      <c r="K42" s="25" t="str">
        <f t="shared" si="0"/>
        <v>4025/4026</v>
      </c>
      <c r="L42" s="25" t="str">
        <f>VLOOKUP(A42,'Trips&amp;Operators'!$C$1:$E$10000,3,FALSE)</f>
        <v>HOMIK</v>
      </c>
      <c r="M42" s="6">
        <f t="shared" si="1"/>
        <v>2.73611111115315E-2</v>
      </c>
      <c r="N42" s="7">
        <f t="shared" si="18"/>
        <v>39.40000000060536</v>
      </c>
      <c r="O42" s="7"/>
      <c r="P42" s="7"/>
      <c r="Q42" s="26"/>
      <c r="R42" s="26"/>
      <c r="S42" s="38">
        <f t="shared" si="17"/>
        <v>1</v>
      </c>
      <c r="T42" s="55" t="str">
        <f t="shared" si="4"/>
        <v>NorthBound</v>
      </c>
      <c r="U42" s="14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06:09:25-0600',mode:absolute,to:'2016-08-07 08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2" s="57" t="str">
        <f t="shared" si="6"/>
        <v>N</v>
      </c>
      <c r="X42" s="154">
        <f t="shared" ref="X42:X67" si="19">VALUE(LEFT(AD42,4))-VALUE(LEFT(AD41,4))</f>
        <v>1</v>
      </c>
      <c r="Y42" s="72">
        <f t="shared" si="8"/>
        <v>4.6399999999999997E-2</v>
      </c>
      <c r="Z42" s="72">
        <f t="shared" si="9"/>
        <v>23.329899999999999</v>
      </c>
      <c r="AA42" s="72">
        <f t="shared" si="10"/>
        <v>23.2835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1"/>
        <v>0129-07</v>
      </c>
      <c r="AE42" s="110" t="str">
        <f t="shared" si="12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42" s="107" t="str">
        <f t="shared" si="13"/>
        <v>"C:\Program Files (x86)\AstroGrep\AstroGrep.exe" /spath="%USERPROFILE%\AppData\Local\Temp\OnboardLogs" /stypes="*4025*20160807*" /stext=" 13:.+((SYSTEM_STATE.+slice.+state.+changed )|(ment ac)|(system.+state.+changed )|(\|lc)|(penalty)|(\[timeout)|(PRM\|1\|D)|(kpr)|(kdp))" /e /r /s</v>
      </c>
      <c r="AG42" s="1" t="str">
        <f t="shared" si="14"/>
        <v>EC</v>
      </c>
      <c r="AH42" s="111" t="str">
        <f t="shared" si="15"/>
        <v>"%USERPROFILE%\Documents\GitHub\eaglep3\Utilities\RefineRTDCRunTimes.py" --tripid 129-07 --locoid 4025 --swversion DE.1.0.7.0 --startMP 204:464 --initTime 2016-08-07T07:09:25 --startdatetime 2016-08-07T07:12:27 --delay 3 --endMP 204:233299 --enddatetime 2016-08-07T07:51:51 --enforcementcount 0</v>
      </c>
    </row>
    <row r="43" spans="1:34" s="1" customFormat="1" x14ac:dyDescent="0.25">
      <c r="A43" s="42" t="s">
        <v>379</v>
      </c>
      <c r="B43" s="7">
        <v>4026</v>
      </c>
      <c r="C43" s="25" t="s">
        <v>147</v>
      </c>
      <c r="D43" s="25" t="s">
        <v>380</v>
      </c>
      <c r="E43" s="16">
        <v>42589.334224537037</v>
      </c>
      <c r="F43" s="16">
        <v>42589.335775462961</v>
      </c>
      <c r="G43" s="7">
        <v>2</v>
      </c>
      <c r="H43" s="16" t="s">
        <v>232</v>
      </c>
      <c r="I43" s="16">
        <v>42589.367534722223</v>
      </c>
      <c r="J43" s="7">
        <v>0</v>
      </c>
      <c r="K43" s="25" t="str">
        <f t="shared" si="0"/>
        <v>4025/4026</v>
      </c>
      <c r="L43" s="25" t="str">
        <f>VLOOKUP(A43,'Trips&amp;Operators'!$C$1:$E$10000,3,FALSE)</f>
        <v>HOMIK</v>
      </c>
      <c r="M43" s="6">
        <f t="shared" si="1"/>
        <v>3.1759259261889383E-2</v>
      </c>
      <c r="N43" s="7">
        <f t="shared" si="18"/>
        <v>45.733333337120712</v>
      </c>
      <c r="O43" s="7"/>
      <c r="P43" s="7"/>
      <c r="Q43" s="26"/>
      <c r="R43" s="26"/>
      <c r="S43" s="38">
        <f t="shared" si="17"/>
        <v>1</v>
      </c>
      <c r="T43" s="55" t="str">
        <f t="shared" si="4"/>
        <v>Southbound</v>
      </c>
      <c r="U43" s="14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07:01:17-0600',mode:absolute,to:'2016-08-07 09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3" s="57" t="str">
        <f t="shared" si="6"/>
        <v>N</v>
      </c>
      <c r="X43" s="154">
        <f t="shared" si="19"/>
        <v>1</v>
      </c>
      <c r="Y43" s="72">
        <f t="shared" si="8"/>
        <v>23.3001</v>
      </c>
      <c r="Z43" s="72">
        <f t="shared" si="9"/>
        <v>1.32E-2</v>
      </c>
      <c r="AA43" s="72">
        <f t="shared" si="10"/>
        <v>23.286899999999999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1"/>
        <v>0130-07</v>
      </c>
      <c r="AE43" s="110" t="str">
        <f t="shared" si="12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43" s="107" t="str">
        <f t="shared" si="13"/>
        <v>"C:\Program Files (x86)\AstroGrep\AstroGrep.exe" /spath="%USERPROFILE%\AppData\Local\Temp\OnboardLogs" /stypes="*4026*20160807*"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11" t="str">
        <f t="shared" si="15"/>
        <v>"%USERPROFILE%\Documents\GitHub\eaglep3\Utilities\RefineRTDCRunTimes.py" --tripid 130-07 --locoid 4026 --swversion DE.1.0.7.0 --startMP 204:233001 --initTime 2016-08-07T08:01:17 --startdatetime 2016-08-07T08:03:31 --delay 2 --endMP 204:132 --enddatetime 2016-08-07T08:49:15 --enforcementcount 0</v>
      </c>
    </row>
    <row r="44" spans="1:34" s="1" customFormat="1" x14ac:dyDescent="0.25">
      <c r="A44" s="42" t="s">
        <v>381</v>
      </c>
      <c r="B44" s="7">
        <v>4016</v>
      </c>
      <c r="C44" s="25" t="s">
        <v>147</v>
      </c>
      <c r="D44" s="25" t="s">
        <v>382</v>
      </c>
      <c r="E44" s="16">
        <v>42589.307488425926</v>
      </c>
      <c r="F44" s="16">
        <v>42589.308969907404</v>
      </c>
      <c r="G44" s="7">
        <v>2</v>
      </c>
      <c r="H44" s="16" t="s">
        <v>205</v>
      </c>
      <c r="I44" s="16">
        <v>42589.33734953704</v>
      </c>
      <c r="J44" s="7">
        <v>0</v>
      </c>
      <c r="K44" s="25" t="str">
        <f t="shared" si="0"/>
        <v>4015/4016</v>
      </c>
      <c r="L44" s="25" t="str">
        <f>VLOOKUP(A44,'Trips&amp;Operators'!$C$1:$E$10000,3,FALSE)</f>
        <v>ACKERMAN</v>
      </c>
      <c r="M44" s="6">
        <f t="shared" si="1"/>
        <v>2.8379629635310266E-2</v>
      </c>
      <c r="N44" s="7">
        <f t="shared" si="18"/>
        <v>40.866666674846783</v>
      </c>
      <c r="O44" s="7"/>
      <c r="P44" s="7"/>
      <c r="Q44" s="26"/>
      <c r="R44" s="26"/>
      <c r="S44" s="38">
        <f t="shared" si="17"/>
        <v>1</v>
      </c>
      <c r="T44" s="55" t="str">
        <f t="shared" si="4"/>
        <v>NorthBound</v>
      </c>
      <c r="U44" s="14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06:22:47-0600',mode:absolute,to:'2016-08-07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44" s="57" t="str">
        <f t="shared" si="6"/>
        <v>N</v>
      </c>
      <c r="X44" s="154">
        <f t="shared" si="19"/>
        <v>1</v>
      </c>
      <c r="Y44" s="72">
        <f t="shared" si="8"/>
        <v>4.2200000000000001E-2</v>
      </c>
      <c r="Z44" s="72">
        <f t="shared" si="9"/>
        <v>23.331499999999998</v>
      </c>
      <c r="AA44" s="72">
        <f t="shared" si="10"/>
        <v>23.289299999999997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1"/>
        <v>0131-07</v>
      </c>
      <c r="AE44" s="110" t="str">
        <f t="shared" si="12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44" s="107" t="str">
        <f t="shared" si="13"/>
        <v>"C:\Program Files (x86)\AstroGrep\AstroGrep.exe" /spath="%USERPROFILE%\AppData\Local\Temp\OnboardLogs" /stypes="*4016*20160807*"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11" t="str">
        <f t="shared" si="15"/>
        <v>"%USERPROFILE%\Documents\GitHub\eaglep3\Utilities\RefineRTDCRunTimes.py" --tripid 131-07 --locoid 4016 --swversion DE.1.0.7.0 --startMP 204:422 --initTime 2016-08-07T07:22:47 --startdatetime 2016-08-07T07:24:55 --delay 2 --endMP 204:233315 --enddatetime 2016-08-07T08:05:47 --enforcementcount 0</v>
      </c>
    </row>
    <row r="45" spans="1:34" s="1" customFormat="1" x14ac:dyDescent="0.25">
      <c r="A45" s="42" t="s">
        <v>301</v>
      </c>
      <c r="B45" s="7">
        <v>4015</v>
      </c>
      <c r="C45" s="25" t="s">
        <v>147</v>
      </c>
      <c r="D45" s="25" t="s">
        <v>383</v>
      </c>
      <c r="E45" s="16">
        <v>42589.34542824074</v>
      </c>
      <c r="F45" s="16">
        <v>42589.346921296295</v>
      </c>
      <c r="G45" s="7">
        <v>2</v>
      </c>
      <c r="H45" s="16" t="s">
        <v>367</v>
      </c>
      <c r="I45" s="16">
        <v>42589.378287037034</v>
      </c>
      <c r="J45" s="7">
        <v>1</v>
      </c>
      <c r="K45" s="25" t="str">
        <f t="shared" ref="K45:K76" si="20">IF(ISEVEN(B45),(B45-1)&amp;"/"&amp;B45,B45&amp;"/"&amp;(B45+1))</f>
        <v>4015/4016</v>
      </c>
      <c r="L45" s="25" t="str">
        <f>VLOOKUP(A45,'Trips&amp;Operators'!$C$1:$E$10000,3,FALSE)</f>
        <v>ACKERMAN</v>
      </c>
      <c r="M45" s="6">
        <f t="shared" ref="M45:M76" si="21">I45-F45</f>
        <v>3.1365740738692693E-2</v>
      </c>
      <c r="N45" s="7">
        <f t="shared" si="18"/>
        <v>45.166666663717479</v>
      </c>
      <c r="O45" s="7"/>
      <c r="P45" s="7"/>
      <c r="Q45" s="26"/>
      <c r="R45" s="26"/>
      <c r="S45" s="38">
        <f t="shared" si="17"/>
        <v>1</v>
      </c>
      <c r="T45" s="55" t="str">
        <f t="shared" ref="T45:T76" si="22">IF(ISEVEN(LEFT(AD45,4)),"Southbound","NorthBound")</f>
        <v>Southbound</v>
      </c>
      <c r="U45" s="14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7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45" s="57" t="str">
        <f t="shared" ref="W45:W76" si="24">IF(AA45&lt;IF(AG45="EC",23,5.65),"Y","N")</f>
        <v>N</v>
      </c>
      <c r="X45" s="154">
        <f t="shared" si="19"/>
        <v>1</v>
      </c>
      <c r="Y45" s="72">
        <f t="shared" ref="Y45:Y76" si="25">RIGHT(D45,LEN(D45)-4)/10000</f>
        <v>23.301100000000002</v>
      </c>
      <c r="Z45" s="72">
        <f t="shared" ref="Z45:Z76" si="26">RIGHT(H45,LEN(H45)-4)/10000</f>
        <v>1.34E-2</v>
      </c>
      <c r="AA45" s="72">
        <f t="shared" ref="AA45:AA76" si="27">ABS(Z45-Y45)</f>
        <v>23.287700000000001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ref="AD45:AD76" si="28">IF(LEN(A45)=6,"0"&amp;A45,A45)</f>
        <v>0132-07</v>
      </c>
      <c r="AE45" s="110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45" s="107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/stypes="*4015*20160807*" /stext=" 15:.+((SYSTEM_STATE.+slice.+state.+changed )|(ment ac)|(system.+state.+changed )|(\|lc)|(penalty)|(\[timeout)|(PRM\|1\|D)|(kpr)|(kdp))" /e /r /s</v>
      </c>
      <c r="AG45" s="1" t="str">
        <f t="shared" ref="AG45:AG76" si="31">IF(VALUE(LEFT(AD45,2))&lt;=2,"EC",IF(OR(VALUE(LEFT(AD45,2))=8,VALUE(LEFT(AD45,2))=18),"NW","Other"))</f>
        <v>EC</v>
      </c>
      <c r="AH45" s="111" t="str">
        <f t="shared" ref="AH45:AH76" si="32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</f>
        <v>"%USERPROFILE%\Documents\GitHub\eaglep3\Utilities\RefineRTDCRunTimes.py" --tripid 132-07 --locoid 4015 --swversion DE.1.0.7.0 --startMP 204:233011 --initTime 2016-08-07T08:17:25 --startdatetime 2016-08-07T08:19:34 --delay 2 --endMP 204:134 --enddatetime 2016-08-07T09:04:44 --enforcementcount 1</v>
      </c>
    </row>
    <row r="46" spans="1:34" s="1" customFormat="1" x14ac:dyDescent="0.25">
      <c r="A46" s="42" t="s">
        <v>384</v>
      </c>
      <c r="B46" s="7">
        <v>4044</v>
      </c>
      <c r="C46" s="25" t="s">
        <v>147</v>
      </c>
      <c r="D46" s="25" t="s">
        <v>238</v>
      </c>
      <c r="E46" s="16">
        <v>42589.318622685183</v>
      </c>
      <c r="F46" s="16">
        <v>42589.319421296299</v>
      </c>
      <c r="G46" s="7">
        <v>1</v>
      </c>
      <c r="H46" s="16" t="s">
        <v>385</v>
      </c>
      <c r="I46" s="16">
        <v>42589.347615740742</v>
      </c>
      <c r="J46" s="7">
        <v>0</v>
      </c>
      <c r="K46" s="25" t="str">
        <f t="shared" si="20"/>
        <v>4043/4044</v>
      </c>
      <c r="L46" s="25" t="str">
        <f>VLOOKUP(A46,'Trips&amp;Operators'!$C$1:$E$10000,3,FALSE)</f>
        <v>MAELZER</v>
      </c>
      <c r="M46" s="6">
        <f t="shared" si="21"/>
        <v>2.8194444443215616E-2</v>
      </c>
      <c r="N46" s="7">
        <f t="shared" si="18"/>
        <v>40.599999998230487</v>
      </c>
      <c r="O46" s="7"/>
      <c r="P46" s="7"/>
      <c r="Q46" s="26"/>
      <c r="R46" s="26"/>
      <c r="S46" s="38">
        <f t="shared" si="17"/>
        <v>1</v>
      </c>
      <c r="T46" s="55" t="str">
        <f t="shared" si="22"/>
        <v>NorthBound</v>
      </c>
      <c r="U46" s="14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06:38:49-0600',mode:absolute,to:'2016-08-07 09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46" s="57" t="str">
        <f t="shared" si="24"/>
        <v>N</v>
      </c>
      <c r="X46" s="154">
        <f t="shared" si="19"/>
        <v>1</v>
      </c>
      <c r="Y46" s="72">
        <f t="shared" si="25"/>
        <v>4.3299999999999998E-2</v>
      </c>
      <c r="Z46" s="72">
        <f t="shared" si="26"/>
        <v>23.331199999999999</v>
      </c>
      <c r="AA46" s="72">
        <f t="shared" si="27"/>
        <v>23.2879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28"/>
        <v>0133-07</v>
      </c>
      <c r="AE46" s="110" t="str">
        <f t="shared" si="29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46" s="107" t="str">
        <f t="shared" si="30"/>
        <v>"C:\Program Files (x86)\AstroGrep\AstroGrep.exe" /spath="%USERPROFILE%\AppData\Local\Temp\OnboardLogs" /stypes="*4044*20160807*" /stext=" 14:.+((SYSTEM_STATE.+slice.+state.+changed )|(ment ac)|(system.+state.+changed )|(\|lc)|(penalty)|(\[timeout)|(PRM\|1\|D)|(kpr)|(kdp))" /e /r /s</v>
      </c>
      <c r="AG46" s="1" t="str">
        <f t="shared" si="31"/>
        <v>EC</v>
      </c>
      <c r="AH46" s="111" t="str">
        <f t="shared" si="32"/>
        <v>"%USERPROFILE%\Documents\GitHub\eaglep3\Utilities\RefineRTDCRunTimes.py" --tripid 133-07 --locoid 4044 --swversion DE.1.0.7.0 --startMP 204:433 --initTime 2016-08-07T07:38:49 --startdatetime 2016-08-07T07:39:58 --delay 1 --endMP 204:233312 --enddatetime 2016-08-07T08:20:34 --enforcementcount 0</v>
      </c>
    </row>
    <row r="47" spans="1:34" s="1" customFormat="1" x14ac:dyDescent="0.25">
      <c r="A47" s="42" t="s">
        <v>386</v>
      </c>
      <c r="B47" s="7">
        <v>4043</v>
      </c>
      <c r="C47" s="25" t="s">
        <v>147</v>
      </c>
      <c r="D47" s="25" t="s">
        <v>387</v>
      </c>
      <c r="E47" s="16">
        <v>42589.353692129633</v>
      </c>
      <c r="F47" s="16">
        <v>42589.354386574072</v>
      </c>
      <c r="G47" s="7">
        <v>0</v>
      </c>
      <c r="H47" s="16" t="s">
        <v>224</v>
      </c>
      <c r="I47" s="16">
        <v>42589.388541666667</v>
      </c>
      <c r="J47" s="7">
        <v>0</v>
      </c>
      <c r="K47" s="25" t="str">
        <f t="shared" si="20"/>
        <v>4043/4044</v>
      </c>
      <c r="L47" s="25" t="str">
        <f>VLOOKUP(A47,'Trips&amp;Operators'!$C$1:$E$10000,3,FALSE)</f>
        <v>MAELZER</v>
      </c>
      <c r="M47" s="6">
        <f t="shared" si="21"/>
        <v>3.4155092595028691E-2</v>
      </c>
      <c r="N47" s="7">
        <f t="shared" si="18"/>
        <v>49.183333336841315</v>
      </c>
      <c r="O47" s="7"/>
      <c r="P47" s="7"/>
      <c r="Q47" s="26"/>
      <c r="R47" s="26"/>
      <c r="S47" s="38">
        <f t="shared" si="17"/>
        <v>1</v>
      </c>
      <c r="T47" s="55" t="str">
        <f t="shared" si="22"/>
        <v>Southbound</v>
      </c>
      <c r="U47" s="14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07:29:19-0600',mode:absolute,to:'2016-08-07 10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47" s="57" t="str">
        <f t="shared" si="24"/>
        <v>N</v>
      </c>
      <c r="X47" s="154">
        <f t="shared" si="19"/>
        <v>1</v>
      </c>
      <c r="Y47" s="72">
        <f t="shared" si="25"/>
        <v>23.3003</v>
      </c>
      <c r="Z47" s="72">
        <f t="shared" si="26"/>
        <v>1.6E-2</v>
      </c>
      <c r="AA47" s="72">
        <f t="shared" si="27"/>
        <v>23.284300000000002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8"/>
        <v>0134-07</v>
      </c>
      <c r="AE47" s="110" t="str">
        <f t="shared" si="29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47" s="107" t="str">
        <f t="shared" si="30"/>
        <v>"C:\Program Files (x86)\AstroGrep\AstroGrep.exe" /spath="%USERPROFILE%\AppData\Local\Temp\OnboardLogs" /stypes="*4043*20160807*" /stext=" 15:.+((SYSTEM_STATE.+slice.+state.+changed )|(ment ac)|(system.+state.+changed )|(\|lc)|(penalty)|(\[timeout)|(PRM\|1\|D)|(kpr)|(kdp))" /e /r /s</v>
      </c>
      <c r="AG47" s="1" t="str">
        <f t="shared" si="31"/>
        <v>EC</v>
      </c>
      <c r="AH47" s="111" t="str">
        <f t="shared" si="32"/>
        <v>"%USERPROFILE%\Documents\GitHub\eaglep3\Utilities\RefineRTDCRunTimes.py" --tripid 134-07 --locoid 4043 --swversion DE.1.0.7.0 --startMP 204:233003 --initTime 2016-08-07T08:29:19 --startdatetime 2016-08-07T08:30:19 --delay 0 --endMP 204:160 --enddatetime 2016-08-07T09:19:30 --enforcementcount 0</v>
      </c>
    </row>
    <row r="48" spans="1:34" s="1" customFormat="1" x14ac:dyDescent="0.25">
      <c r="A48" s="42" t="s">
        <v>298</v>
      </c>
      <c r="B48" s="7">
        <v>4018</v>
      </c>
      <c r="C48" s="25" t="s">
        <v>147</v>
      </c>
      <c r="D48" s="25" t="s">
        <v>178</v>
      </c>
      <c r="E48" s="16">
        <v>42589.329247685186</v>
      </c>
      <c r="F48" s="16">
        <v>42589.330266203702</v>
      </c>
      <c r="G48" s="7">
        <v>1</v>
      </c>
      <c r="H48" s="16" t="s">
        <v>145</v>
      </c>
      <c r="I48" s="16">
        <v>42589.365891203706</v>
      </c>
      <c r="J48" s="7">
        <v>1</v>
      </c>
      <c r="K48" s="25" t="str">
        <f t="shared" si="20"/>
        <v>4017/4018</v>
      </c>
      <c r="L48" s="25" t="str">
        <f>VLOOKUP(A48,'Trips&amp;Operators'!$C$1:$E$10000,3,FALSE)</f>
        <v>DAVIS</v>
      </c>
      <c r="M48" s="6">
        <f t="shared" si="21"/>
        <v>3.5625000004074536E-2</v>
      </c>
      <c r="N48" s="7">
        <f t="shared" si="18"/>
        <v>51.300000005867332</v>
      </c>
      <c r="O48" s="7"/>
      <c r="P48" s="7"/>
      <c r="Q48" s="26"/>
      <c r="R48" s="26"/>
      <c r="S48" s="38">
        <f t="shared" si="17"/>
        <v>1</v>
      </c>
      <c r="T48" s="55" t="str">
        <f t="shared" si="22"/>
        <v>NorthBound</v>
      </c>
      <c r="U48" s="14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48" s="57" t="str">
        <f t="shared" si="24"/>
        <v>N</v>
      </c>
      <c r="X48" s="154">
        <f t="shared" si="19"/>
        <v>1</v>
      </c>
      <c r="Y48" s="72">
        <f t="shared" si="25"/>
        <v>4.5699999999999998E-2</v>
      </c>
      <c r="Z48" s="72">
        <f t="shared" si="26"/>
        <v>23.3308</v>
      </c>
      <c r="AA48" s="72">
        <f t="shared" si="27"/>
        <v>23.2851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8"/>
        <v>0135-07</v>
      </c>
      <c r="AE48" s="110" t="str">
        <f t="shared" si="29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48" s="107" t="str">
        <f t="shared" si="30"/>
        <v>"C:\Program Files (x86)\AstroGrep\AstroGrep.exe" /spath="%USERPROFILE%\AppData\Local\Temp\OnboardLogs" /stypes="*4018*20160807*" /stext=" 14:.+((SYSTEM_STATE.+slice.+state.+changed )|(ment ac)|(system.+state.+changed )|(\|lc)|(penalty)|(\[timeout)|(PRM\|1\|D)|(kpr)|(kdp))" /e /r /s</v>
      </c>
      <c r="AG48" s="1" t="str">
        <f t="shared" si="31"/>
        <v>EC</v>
      </c>
      <c r="AH48" s="111" t="str">
        <f t="shared" si="32"/>
        <v>"%USERPROFILE%\Documents\GitHub\eaglep3\Utilities\RefineRTDCRunTimes.py" --tripid 135-07 --locoid 4018 --swversion DE.1.0.7.0 --startMP 204:457 --initTime 2016-08-07T07:54:07 --startdatetime 2016-08-07T07:55:35 --delay 1 --endMP 204:233308 --enddatetime 2016-08-07T08:46:53 --enforcementcount 1</v>
      </c>
    </row>
    <row r="49" spans="1:34" s="1" customFormat="1" x14ac:dyDescent="0.25">
      <c r="A49" s="42" t="s">
        <v>304</v>
      </c>
      <c r="B49" s="7">
        <v>4017</v>
      </c>
      <c r="C49" s="25" t="s">
        <v>147</v>
      </c>
      <c r="D49" s="25" t="s">
        <v>264</v>
      </c>
      <c r="E49" s="16">
        <v>42589.367106481484</v>
      </c>
      <c r="F49" s="16">
        <v>42589.368113425924</v>
      </c>
      <c r="G49" s="7">
        <v>1</v>
      </c>
      <c r="H49" s="16" t="s">
        <v>241</v>
      </c>
      <c r="I49" s="16">
        <v>42589.400740740741</v>
      </c>
      <c r="J49" s="7">
        <v>1</v>
      </c>
      <c r="K49" s="25" t="str">
        <f t="shared" si="20"/>
        <v>4017/4018</v>
      </c>
      <c r="L49" s="25" t="str">
        <f>VLOOKUP(A49,'Trips&amp;Operators'!$C$1:$E$10000,3,FALSE)</f>
        <v>DAVIS</v>
      </c>
      <c r="M49" s="6">
        <f t="shared" si="21"/>
        <v>3.2627314816636499E-2</v>
      </c>
      <c r="N49" s="7">
        <f t="shared" si="18"/>
        <v>46.983333335956559</v>
      </c>
      <c r="O49" s="7"/>
      <c r="P49" s="7"/>
      <c r="Q49" s="26"/>
      <c r="R49" s="26"/>
      <c r="S49" s="38">
        <f t="shared" si="17"/>
        <v>1</v>
      </c>
      <c r="T49" s="55" t="str">
        <f t="shared" si="22"/>
        <v>Southbound</v>
      </c>
      <c r="U49" s="14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49" s="57" t="str">
        <f t="shared" si="24"/>
        <v>N</v>
      </c>
      <c r="X49" s="154">
        <f t="shared" si="19"/>
        <v>1</v>
      </c>
      <c r="Y49" s="72">
        <f t="shared" si="25"/>
        <v>23.299099999999999</v>
      </c>
      <c r="Z49" s="72">
        <f t="shared" si="26"/>
        <v>1.6500000000000001E-2</v>
      </c>
      <c r="AA49" s="72">
        <f t="shared" si="27"/>
        <v>23.282599999999999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8"/>
        <v>0136-07</v>
      </c>
      <c r="AE49" s="110" t="str">
        <f t="shared" si="29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49" s="107" t="str">
        <f t="shared" si="30"/>
        <v>"C:\Program Files (x86)\AstroGrep\AstroGrep.exe" /spath="%USERPROFILE%\AppData\Local\Temp\OnboardLogs" /stypes="*4017*20160807*" /stext=" 15:.+((SYSTEM_STATE.+slice.+state.+changed )|(ment ac)|(system.+state.+changed )|(\|lc)|(penalty)|(\[timeout)|(PRM\|1\|D)|(kpr)|(kdp))" /e /r /s</v>
      </c>
      <c r="AG49" s="1" t="str">
        <f t="shared" si="31"/>
        <v>EC</v>
      </c>
      <c r="AH49" s="111" t="str">
        <f t="shared" si="32"/>
        <v>"%USERPROFILE%\Documents\GitHub\eaglep3\Utilities\RefineRTDCRunTimes.py" --tripid 136-07 --locoid 4017 --swversion DE.1.0.7.0 --startMP 204:232991 --initTime 2016-08-07T08:48:38 --startdatetime 2016-08-07T08:50:05 --delay 1 --endMP 204:165 --enddatetime 2016-08-07T09:37:04 --enforcementcount 1</v>
      </c>
    </row>
    <row r="50" spans="1:34" s="1" customFormat="1" x14ac:dyDescent="0.25">
      <c r="A50" s="42" t="s">
        <v>388</v>
      </c>
      <c r="B50" s="7">
        <v>4029</v>
      </c>
      <c r="C50" s="25" t="s">
        <v>147</v>
      </c>
      <c r="D50" s="25" t="s">
        <v>173</v>
      </c>
      <c r="E50" s="16">
        <v>42589.341921296298</v>
      </c>
      <c r="F50" s="16">
        <v>42589.342789351853</v>
      </c>
      <c r="G50" s="7">
        <v>1</v>
      </c>
      <c r="H50" s="16" t="s">
        <v>144</v>
      </c>
      <c r="I50" s="16">
        <v>42589.369270833333</v>
      </c>
      <c r="J50" s="7">
        <v>0</v>
      </c>
      <c r="K50" s="25" t="str">
        <f t="shared" si="20"/>
        <v>4029/4030</v>
      </c>
      <c r="L50" s="25" t="str">
        <f>VLOOKUP(A50,'Trips&amp;Operators'!$C$1:$E$10000,3,FALSE)</f>
        <v>MALAVE</v>
      </c>
      <c r="M50" s="6">
        <f t="shared" si="21"/>
        <v>2.6481481480004732E-2</v>
      </c>
      <c r="N50" s="7">
        <f t="shared" si="18"/>
        <v>38.133333331206813</v>
      </c>
      <c r="O50" s="7"/>
      <c r="P50" s="7"/>
      <c r="Q50" s="26"/>
      <c r="R50" s="26"/>
      <c r="S50" s="38">
        <f t="shared" si="17"/>
        <v>1</v>
      </c>
      <c r="T50" s="55" t="str">
        <f t="shared" si="22"/>
        <v>NorthBound</v>
      </c>
      <c r="U50" s="14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07:12:22-0600',mode:absolute,to:'2016-08-07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0" s="57" t="str">
        <f t="shared" si="24"/>
        <v>N</v>
      </c>
      <c r="X50" s="154">
        <f t="shared" si="19"/>
        <v>1</v>
      </c>
      <c r="Y50" s="72">
        <f t="shared" si="25"/>
        <v>4.5100000000000001E-2</v>
      </c>
      <c r="Z50" s="72">
        <f t="shared" si="26"/>
        <v>23.329499999999999</v>
      </c>
      <c r="AA50" s="72">
        <f t="shared" si="27"/>
        <v>23.284399999999998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8"/>
        <v>0137-07</v>
      </c>
      <c r="AE50" s="110" t="str">
        <f t="shared" si="29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50" s="107" t="str">
        <f t="shared" si="30"/>
        <v>"C:\Program Files (x86)\AstroGrep\AstroGrep.exe" /spath="%USERPROFILE%\AppData\Local\Temp\OnboardLogs" /stypes="*4029*20160807*" /stext=" 14:.+((SYSTEM_STATE.+slice.+state.+changed )|(ment ac)|(system.+state.+changed )|(\|lc)|(penalty)|(\[timeout)|(PRM\|1\|D)|(kpr)|(kdp))" /e /r /s</v>
      </c>
      <c r="AG50" s="1" t="str">
        <f t="shared" si="31"/>
        <v>EC</v>
      </c>
      <c r="AH50" s="111" t="str">
        <f t="shared" si="32"/>
        <v>"%USERPROFILE%\Documents\GitHub\eaglep3\Utilities\RefineRTDCRunTimes.py" --tripid 137-07 --locoid 4029 --swversion DE.1.0.7.0 --startMP 204:451 --initTime 2016-08-07T08:12:22 --startdatetime 2016-08-07T08:13:37 --delay 1 --endMP 204:233295 --enddatetime 2016-08-07T08:51:45 --enforcementcount 0</v>
      </c>
    </row>
    <row r="51" spans="1:34" s="1" customFormat="1" x14ac:dyDescent="0.25">
      <c r="A51" s="42" t="s">
        <v>389</v>
      </c>
      <c r="B51" s="7">
        <v>4030</v>
      </c>
      <c r="C51" s="25" t="s">
        <v>147</v>
      </c>
      <c r="D51" s="25" t="s">
        <v>226</v>
      </c>
      <c r="E51" s="16">
        <v>42589.382384259261</v>
      </c>
      <c r="F51" s="16">
        <v>42589.383275462962</v>
      </c>
      <c r="G51" s="7">
        <v>1</v>
      </c>
      <c r="H51" s="16" t="s">
        <v>224</v>
      </c>
      <c r="I51" s="16">
        <v>42589.409699074073</v>
      </c>
      <c r="J51" s="7">
        <v>0</v>
      </c>
      <c r="K51" s="25" t="str">
        <f t="shared" si="20"/>
        <v>4029/4030</v>
      </c>
      <c r="L51" s="25" t="str">
        <f>VLOOKUP(A51,'Trips&amp;Operators'!$C$1:$E$10000,3,FALSE)</f>
        <v>MALAVE</v>
      </c>
      <c r="M51" s="6">
        <f t="shared" si="21"/>
        <v>2.6423611110658385E-2</v>
      </c>
      <c r="N51" s="7">
        <f t="shared" si="18"/>
        <v>38.049999999348074</v>
      </c>
      <c r="O51" s="7"/>
      <c r="P51" s="7"/>
      <c r="Q51" s="26"/>
      <c r="R51" s="26"/>
      <c r="S51" s="38">
        <f t="shared" si="17"/>
        <v>1</v>
      </c>
      <c r="T51" s="55" t="str">
        <f t="shared" si="22"/>
        <v>Southbound</v>
      </c>
      <c r="U51" s="14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08:10:38-0600',mode:absolute,to:'2016-08-07 10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1" s="57" t="str">
        <f t="shared" si="24"/>
        <v>N</v>
      </c>
      <c r="X51" s="154">
        <f t="shared" si="19"/>
        <v>1</v>
      </c>
      <c r="Y51" s="72">
        <f t="shared" si="25"/>
        <v>23.296900000000001</v>
      </c>
      <c r="Z51" s="72">
        <f t="shared" si="26"/>
        <v>1.6E-2</v>
      </c>
      <c r="AA51" s="72">
        <f t="shared" si="27"/>
        <v>23.280900000000003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8"/>
        <v>0138-07</v>
      </c>
      <c r="AE51" s="110" t="str">
        <f t="shared" si="29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51" s="107" t="str">
        <f t="shared" si="30"/>
        <v>"C:\Program Files (x86)\AstroGrep\AstroGrep.exe" /spath="%USERPROFILE%\AppData\Local\Temp\OnboardLogs" /stypes="*4030*20160807*" /stext=" 15:.+((SYSTEM_STATE.+slice.+state.+changed )|(ment ac)|(system.+state.+changed )|(\|lc)|(penalty)|(\[timeout)|(PRM\|1\|D)|(kpr)|(kdp))" /e /r /s</v>
      </c>
      <c r="AG51" s="1" t="str">
        <f t="shared" si="31"/>
        <v>EC</v>
      </c>
      <c r="AH51" s="111" t="str">
        <f t="shared" si="32"/>
        <v>"%USERPROFILE%\Documents\GitHub\eaglep3\Utilities\RefineRTDCRunTimes.py" --tripid 138-07 --locoid 4030 --swversion DE.1.0.7.0 --startMP 204:232969 --initTime 2016-08-07T09:10:38 --startdatetime 2016-08-07T09:11:55 --delay 1 --endMP 204:160 --enddatetime 2016-08-07T09:49:58 --enforcementcount 0</v>
      </c>
    </row>
    <row r="52" spans="1:34" s="1" customFormat="1" x14ac:dyDescent="0.25">
      <c r="A52" s="42" t="s">
        <v>300</v>
      </c>
      <c r="B52" s="7">
        <v>4038</v>
      </c>
      <c r="C52" s="25" t="s">
        <v>147</v>
      </c>
      <c r="D52" s="25" t="s">
        <v>390</v>
      </c>
      <c r="E52" s="16">
        <v>42589.350740740738</v>
      </c>
      <c r="F52" s="16">
        <v>42589.3518287037</v>
      </c>
      <c r="G52" s="7">
        <v>1</v>
      </c>
      <c r="H52" s="16" t="s">
        <v>246</v>
      </c>
      <c r="I52" s="16">
        <v>42589.380555555559</v>
      </c>
      <c r="J52" s="7">
        <v>1</v>
      </c>
      <c r="K52" s="25" t="str">
        <f t="shared" si="20"/>
        <v>4037/4038</v>
      </c>
      <c r="L52" s="25" t="str">
        <f>VLOOKUP(A52,'Trips&amp;Operators'!$C$1:$E$10000,3,FALSE)</f>
        <v>STRICKLAND</v>
      </c>
      <c r="M52" s="6">
        <f t="shared" si="21"/>
        <v>2.8726851858664304E-2</v>
      </c>
      <c r="N52" s="7">
        <f t="shared" si="18"/>
        <v>41.366666676476598</v>
      </c>
      <c r="O52" s="7"/>
      <c r="P52" s="7"/>
      <c r="Q52" s="26"/>
      <c r="R52" s="26"/>
      <c r="S52" s="38">
        <f t="shared" si="17"/>
        <v>1</v>
      </c>
      <c r="T52" s="55" t="str">
        <f t="shared" si="22"/>
        <v>NorthBound</v>
      </c>
      <c r="U52" s="14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2" s="57" t="str">
        <f t="shared" si="24"/>
        <v>N</v>
      </c>
      <c r="X52" s="154">
        <f t="shared" si="19"/>
        <v>1</v>
      </c>
      <c r="Y52" s="72">
        <f t="shared" si="25"/>
        <v>4.4200000000000003E-2</v>
      </c>
      <c r="Z52" s="72">
        <f t="shared" si="26"/>
        <v>23.3306</v>
      </c>
      <c r="AA52" s="72">
        <f t="shared" si="27"/>
        <v>23.2864</v>
      </c>
      <c r="AB52" s="69">
        <f>VLOOKUP(A52,Enforcements!$C$7:$J$24,8,0)</f>
        <v>0</v>
      </c>
      <c r="AC52" s="65" t="str">
        <f>VLOOKUP(A52,Enforcements!$C$7:$E$24,3,0)</f>
        <v>PERMANENT SPEED RESTRICTION</v>
      </c>
      <c r="AD52" s="66" t="str">
        <f t="shared" si="28"/>
        <v>0139-07</v>
      </c>
      <c r="AE52" s="110" t="str">
        <f t="shared" si="29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52" s="107" t="str">
        <f t="shared" si="30"/>
        <v>"C:\Program Files (x86)\AstroGrep\AstroGrep.exe" /spath="%USERPROFILE%\AppData\Local\Temp\OnboardLogs" /stypes="*4038*20160807*" /stext=" 15:.+((SYSTEM_STATE.+slice.+state.+changed )|(ment ac)|(system.+state.+changed )|(\|lc)|(penalty)|(\[timeout)|(PRM\|1\|D)|(kpr)|(kdp))" /e /r /s</v>
      </c>
      <c r="AG52" s="1" t="str">
        <f t="shared" si="31"/>
        <v>EC</v>
      </c>
      <c r="AH52" s="111" t="str">
        <f t="shared" si="32"/>
        <v>"%USERPROFILE%\Documents\GitHub\eaglep3\Utilities\RefineRTDCRunTimes.py" --tripid 139-07 --locoid 4038 --swversion DE.1.0.7.0 --startMP 204:442 --initTime 2016-08-07T08:25:04 --startdatetime 2016-08-07T08:26:38 --delay 1 --endMP 204:233306 --enddatetime 2016-08-07T09:08:00 --enforcementcount 1</v>
      </c>
    </row>
    <row r="53" spans="1:34" s="1" customFormat="1" x14ac:dyDescent="0.25">
      <c r="A53" s="42" t="s">
        <v>306</v>
      </c>
      <c r="B53" s="7">
        <v>4037</v>
      </c>
      <c r="C53" s="25" t="s">
        <v>147</v>
      </c>
      <c r="D53" s="25" t="s">
        <v>180</v>
      </c>
      <c r="E53" s="16">
        <v>42589.387743055559</v>
      </c>
      <c r="F53" s="16">
        <v>42589.389039351852</v>
      </c>
      <c r="G53" s="7">
        <v>1</v>
      </c>
      <c r="H53" s="16" t="s">
        <v>99</v>
      </c>
      <c r="I53" s="16">
        <v>42589.420624999999</v>
      </c>
      <c r="J53" s="7">
        <v>1</v>
      </c>
      <c r="K53" s="25" t="str">
        <f t="shared" si="20"/>
        <v>4037/4038</v>
      </c>
      <c r="L53" s="25" t="str">
        <f>VLOOKUP(A53,'Trips&amp;Operators'!$C$1:$E$10000,3,FALSE)</f>
        <v>STRICKLAND</v>
      </c>
      <c r="M53" s="6">
        <f t="shared" si="21"/>
        <v>3.1585648146574385E-2</v>
      </c>
      <c r="N53" s="7">
        <f t="shared" si="18"/>
        <v>45.483333331067115</v>
      </c>
      <c r="O53" s="7"/>
      <c r="P53" s="7"/>
      <c r="Q53" s="26"/>
      <c r="R53" s="26"/>
      <c r="S53" s="38">
        <f t="shared" si="17"/>
        <v>1</v>
      </c>
      <c r="T53" s="55" t="str">
        <f t="shared" si="22"/>
        <v>Southbound</v>
      </c>
      <c r="U53" s="14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3" s="57" t="str">
        <f t="shared" si="24"/>
        <v>N</v>
      </c>
      <c r="X53" s="154">
        <f t="shared" si="19"/>
        <v>1</v>
      </c>
      <c r="Y53" s="72">
        <f t="shared" si="25"/>
        <v>23.299800000000001</v>
      </c>
      <c r="Z53" s="72">
        <f t="shared" si="26"/>
        <v>1.43E-2</v>
      </c>
      <c r="AA53" s="72">
        <f t="shared" si="27"/>
        <v>23.285500000000003</v>
      </c>
      <c r="AB53" s="69">
        <f>VLOOKUP(A53,Enforcements!$C$7:$J$24,8,0)</f>
        <v>30562</v>
      </c>
      <c r="AC53" s="65" t="str">
        <f>VLOOKUP(A53,Enforcements!$C$7:$E$24,3,0)</f>
        <v>PERMANENT SPEED RESTRICTION</v>
      </c>
      <c r="AD53" s="66" t="str">
        <f t="shared" si="28"/>
        <v>0140-07</v>
      </c>
      <c r="AE53" s="110" t="str">
        <f t="shared" si="29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53" s="107" t="str">
        <f t="shared" si="30"/>
        <v>"C:\Program Files (x86)\AstroGrep\AstroGrep.exe" /spath="%USERPROFILE%\AppData\Local\Temp\OnboardLogs" /stypes="*4037*20160807*" /stext=" 16:.+((SYSTEM_STATE.+slice.+state.+changed )|(ment ac)|(system.+state.+changed )|(\|lc)|(penalty)|(\[timeout)|(PRM\|1\|D)|(kpr)|(kdp))" /e /r /s</v>
      </c>
      <c r="AG53" s="1" t="str">
        <f t="shared" si="31"/>
        <v>EC</v>
      </c>
      <c r="AH53" s="111" t="str">
        <f t="shared" si="32"/>
        <v>"%USERPROFILE%\Documents\GitHub\eaglep3\Utilities\RefineRTDCRunTimes.py" --tripid 140-07 --locoid 4037 --swversion DE.1.0.7.0 --startMP 204:232998 --initTime 2016-08-07T09:18:21 --startdatetime 2016-08-07T09:20:13 --delay 1 --endMP 204:143 --enddatetime 2016-08-07T10:05:42 --enforcementcount 1</v>
      </c>
    </row>
    <row r="54" spans="1:34" x14ac:dyDescent="0.25">
      <c r="A54" s="42" t="s">
        <v>302</v>
      </c>
      <c r="B54" s="7">
        <v>4007</v>
      </c>
      <c r="C54" s="25" t="s">
        <v>147</v>
      </c>
      <c r="D54" s="25" t="s">
        <v>235</v>
      </c>
      <c r="E54" s="16">
        <v>42589.359282407408</v>
      </c>
      <c r="F54" s="16">
        <v>42589.363541666666</v>
      </c>
      <c r="G54" s="7">
        <v>6</v>
      </c>
      <c r="H54" s="16" t="s">
        <v>391</v>
      </c>
      <c r="I54" s="16">
        <v>42589.39099537037</v>
      </c>
      <c r="J54" s="7">
        <v>2</v>
      </c>
      <c r="K54" s="25" t="str">
        <f t="shared" si="20"/>
        <v>4007/4008</v>
      </c>
      <c r="L54" s="25" t="str">
        <f>VLOOKUP(A54,'Trips&amp;Operators'!$C$1:$E$10000,3,FALSE)</f>
        <v>STORY</v>
      </c>
      <c r="M54" s="6">
        <f t="shared" si="21"/>
        <v>2.7453703703940846E-2</v>
      </c>
      <c r="N54" s="7">
        <f t="shared" si="18"/>
        <v>39.533333333674818</v>
      </c>
      <c r="O54" s="7"/>
      <c r="P54" s="7"/>
      <c r="Q54" s="26"/>
      <c r="R54" s="26"/>
      <c r="S54" s="38">
        <f t="shared" si="17"/>
        <v>1</v>
      </c>
      <c r="T54" s="55" t="str">
        <f t="shared" si="22"/>
        <v>NorthBound</v>
      </c>
      <c r="U54" s="14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54" s="57" t="str">
        <f t="shared" si="24"/>
        <v>N</v>
      </c>
      <c r="X54" s="154">
        <f t="shared" si="19"/>
        <v>1</v>
      </c>
      <c r="Y54" s="72">
        <f t="shared" si="25"/>
        <v>4.7699999999999999E-2</v>
      </c>
      <c r="Z54" s="72">
        <f t="shared" si="26"/>
        <v>23.335899999999999</v>
      </c>
      <c r="AA54" s="72">
        <f t="shared" si="27"/>
        <v>23.2882</v>
      </c>
      <c r="AB54" s="69">
        <f>VLOOKUP(A54,Enforcements!$C$7:$J$24,8,0)</f>
        <v>33137</v>
      </c>
      <c r="AC54" s="65" t="str">
        <f>VLOOKUP(A54,Enforcements!$C$7:$E$24,3,0)</f>
        <v>GRADE CROSSING</v>
      </c>
      <c r="AD54" s="66" t="str">
        <f t="shared" si="28"/>
        <v>0141-07</v>
      </c>
      <c r="AE54" s="110" t="str">
        <f t="shared" si="29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54" s="107" t="str">
        <f t="shared" si="30"/>
        <v>"C:\Program Files (x86)\AstroGrep\AstroGrep.exe" /spath="%USERPROFILE%\AppData\Local\Temp\OnboardLogs" /stypes="*4007*20160807*" /stext=" 15:.+((SYSTEM_STATE.+slice.+state.+changed )|(ment ac)|(system.+state.+changed )|(\|lc)|(penalty)|(\[timeout)|(PRM\|1\|D)|(kpr)|(kdp))" /e /r /s</v>
      </c>
      <c r="AG54" s="1" t="str">
        <f t="shared" si="31"/>
        <v>EC</v>
      </c>
      <c r="AH54" s="111" t="str">
        <f t="shared" si="32"/>
        <v>"%USERPROFILE%\Documents\GitHub\eaglep3\Utilities\RefineRTDCRunTimes.py" --tripid 141-07 --locoid 4007 --swversion DE.1.0.7.0 --startMP 204:477 --initTime 2016-08-07T08:37:22 --startdatetime 2016-08-07T08:43:30 --delay 6 --endMP 204:233359 --enddatetime 2016-08-07T09:23:02 --enforcementcount 2</v>
      </c>
    </row>
    <row r="55" spans="1:34" x14ac:dyDescent="0.25">
      <c r="A55" s="42" t="s">
        <v>307</v>
      </c>
      <c r="B55" s="7">
        <v>4008</v>
      </c>
      <c r="C55" s="25" t="s">
        <v>147</v>
      </c>
      <c r="D55" s="25" t="s">
        <v>392</v>
      </c>
      <c r="E55" s="16">
        <v>42589.400081018517</v>
      </c>
      <c r="F55" s="16">
        <v>42589.401087962964</v>
      </c>
      <c r="G55" s="7">
        <v>1</v>
      </c>
      <c r="H55" s="16" t="s">
        <v>393</v>
      </c>
      <c r="I55" s="16">
        <v>42589.430243055554</v>
      </c>
      <c r="J55" s="7">
        <v>1</v>
      </c>
      <c r="K55" s="25" t="str">
        <f t="shared" si="20"/>
        <v>4007/4008</v>
      </c>
      <c r="L55" s="25" t="str">
        <f>VLOOKUP(A55,'Trips&amp;Operators'!$C$1:$E$10000,3,FALSE)</f>
        <v>STORY</v>
      </c>
      <c r="M55" s="6">
        <f t="shared" si="21"/>
        <v>2.9155092590372078E-2</v>
      </c>
      <c r="N55" s="7">
        <f t="shared" si="18"/>
        <v>41.983333330135792</v>
      </c>
      <c r="O55" s="7"/>
      <c r="P55" s="7"/>
      <c r="Q55" s="26"/>
      <c r="R55" s="26"/>
      <c r="S55" s="38">
        <f t="shared" si="17"/>
        <v>1</v>
      </c>
      <c r="T55" s="55" t="str">
        <f t="shared" si="22"/>
        <v>Southbound</v>
      </c>
      <c r="U55" s="14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55" s="57" t="str">
        <f t="shared" si="24"/>
        <v>N</v>
      </c>
      <c r="X55" s="154">
        <f t="shared" si="19"/>
        <v>1</v>
      </c>
      <c r="Y55" s="72">
        <f t="shared" si="25"/>
        <v>23.300699999999999</v>
      </c>
      <c r="Z55" s="72">
        <f t="shared" si="26"/>
        <v>2.23E-2</v>
      </c>
      <c r="AA55" s="72">
        <f t="shared" si="27"/>
        <v>23.278399999999998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28"/>
        <v>0142-07</v>
      </c>
      <c r="AE55" s="110" t="str">
        <f t="shared" si="29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55" s="107" t="str">
        <f t="shared" si="30"/>
        <v>"C:\Program Files (x86)\AstroGrep\AstroGrep.exe" /spath="%USERPROFILE%\AppData\Local\Temp\OnboardLogs" /stypes="*4008*20160807*" /stext=" 16:.+((SYSTEM_STATE.+slice.+state.+changed )|(ment ac)|(system.+state.+changed )|(\|lc)|(penalty)|(\[timeout)|(PRM\|1\|D)|(kpr)|(kdp))" /e /r /s</v>
      </c>
      <c r="AG55" s="1" t="str">
        <f t="shared" si="31"/>
        <v>EC</v>
      </c>
      <c r="AH55" s="111" t="str">
        <f t="shared" si="32"/>
        <v>"%USERPROFILE%\Documents\GitHub\eaglep3\Utilities\RefineRTDCRunTimes.py" --tripid 142-07 --locoid 4008 --swversion DE.1.0.7.0 --startMP 204:233007 --initTime 2016-08-07T09:36:07 --startdatetime 2016-08-07T09:37:34 --delay 1 --endMP 204:223 --enddatetime 2016-08-07T10:19:33 --enforcementcount 1</v>
      </c>
    </row>
    <row r="56" spans="1:34" s="1" customFormat="1" x14ac:dyDescent="0.25">
      <c r="A56" s="42" t="s">
        <v>394</v>
      </c>
      <c r="B56" s="7">
        <v>4025</v>
      </c>
      <c r="C56" s="25" t="s">
        <v>147</v>
      </c>
      <c r="D56" s="25" t="s">
        <v>230</v>
      </c>
      <c r="E56" s="16">
        <v>42589.37122685185</v>
      </c>
      <c r="F56" s="16">
        <v>42589.37228009259</v>
      </c>
      <c r="G56" s="7">
        <v>1</v>
      </c>
      <c r="H56" s="16" t="s">
        <v>145</v>
      </c>
      <c r="I56" s="16">
        <v>42589.399756944447</v>
      </c>
      <c r="J56" s="7">
        <v>0</v>
      </c>
      <c r="K56" s="25" t="str">
        <f t="shared" si="20"/>
        <v>4025/4026</v>
      </c>
      <c r="L56" s="25" t="str">
        <f>VLOOKUP(A56,'Trips&amp;Operators'!$C$1:$E$10000,3,FALSE)</f>
        <v>YORK</v>
      </c>
      <c r="M56" s="6">
        <f t="shared" si="21"/>
        <v>2.7476851857500151E-2</v>
      </c>
      <c r="N56" s="7">
        <f t="shared" si="18"/>
        <v>39.566666674800217</v>
      </c>
      <c r="O56" s="7"/>
      <c r="P56" s="7"/>
      <c r="Q56" s="26"/>
      <c r="R56" s="26"/>
      <c r="S56" s="38">
        <f t="shared" si="17"/>
        <v>1</v>
      </c>
      <c r="T56" s="55" t="str">
        <f t="shared" si="22"/>
        <v>NorthBound</v>
      </c>
      <c r="U56" s="14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07:54:34-0600',mode:absolute,to:'2016-08-07 10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56" s="57" t="str">
        <f t="shared" si="24"/>
        <v>N</v>
      </c>
      <c r="X56" s="154">
        <f t="shared" si="19"/>
        <v>1</v>
      </c>
      <c r="Y56" s="72">
        <f t="shared" si="25"/>
        <v>4.4900000000000002E-2</v>
      </c>
      <c r="Z56" s="72">
        <f t="shared" si="26"/>
        <v>23.3308</v>
      </c>
      <c r="AA56" s="72">
        <f t="shared" si="27"/>
        <v>23.285900000000002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28"/>
        <v>0143-07</v>
      </c>
      <c r="AE56" s="110" t="str">
        <f t="shared" si="29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56" s="107" t="str">
        <f t="shared" si="30"/>
        <v>"C:\Program Files (x86)\AstroGrep\AstroGrep.exe" /spath="%USERPROFILE%\AppData\Local\Temp\OnboardLogs" /stypes="*4025*20160807*" /stext=" 15:.+((SYSTEM_STATE.+slice.+state.+changed )|(ment ac)|(system.+state.+changed )|(\|lc)|(penalty)|(\[timeout)|(PRM\|1\|D)|(kpr)|(kdp))" /e /r /s</v>
      </c>
      <c r="AG56" s="1" t="str">
        <f t="shared" si="31"/>
        <v>EC</v>
      </c>
      <c r="AH56" s="111" t="str">
        <f t="shared" si="32"/>
        <v>"%USERPROFILE%\Documents\GitHub\eaglep3\Utilities\RefineRTDCRunTimes.py" --tripid 143-07 --locoid 4025 --swversion DE.1.0.7.0 --startMP 204:449 --initTime 2016-08-07T08:54:34 --startdatetime 2016-08-07T08:56:05 --delay 1 --endMP 204:233308 --enddatetime 2016-08-07T09:35:39 --enforcementcount 0</v>
      </c>
    </row>
    <row r="57" spans="1:34" s="1" customFormat="1" x14ac:dyDescent="0.25">
      <c r="A57" s="42" t="s">
        <v>395</v>
      </c>
      <c r="B57" s="7">
        <v>4026</v>
      </c>
      <c r="C57" s="25" t="s">
        <v>147</v>
      </c>
      <c r="D57" s="25" t="s">
        <v>210</v>
      </c>
      <c r="E57" s="16">
        <v>42589.400706018518</v>
      </c>
      <c r="F57" s="16">
        <v>42589.401574074072</v>
      </c>
      <c r="G57" s="7">
        <v>1</v>
      </c>
      <c r="H57" s="16" t="s">
        <v>396</v>
      </c>
      <c r="I57" s="16">
        <v>42589.439918981479</v>
      </c>
      <c r="J57" s="7">
        <v>0</v>
      </c>
      <c r="K57" s="25" t="str">
        <f t="shared" si="20"/>
        <v>4025/4026</v>
      </c>
      <c r="L57" s="25" t="str">
        <f>VLOOKUP(A57,'Trips&amp;Operators'!$C$1:$E$10000,3,FALSE)</f>
        <v>YORK</v>
      </c>
      <c r="M57" s="6">
        <f t="shared" si="21"/>
        <v>3.8344907407008577E-2</v>
      </c>
      <c r="N57" s="7">
        <f t="shared" si="18"/>
        <v>55.216666666092351</v>
      </c>
      <c r="O57" s="7"/>
      <c r="P57" s="7"/>
      <c r="Q57" s="26"/>
      <c r="R57" s="26"/>
      <c r="S57" s="38">
        <f t="shared" si="17"/>
        <v>1</v>
      </c>
      <c r="T57" s="55" t="str">
        <f t="shared" si="22"/>
        <v>Southbound</v>
      </c>
      <c r="U57" s="14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08:37:01-0600',mode:absolute,to:'2016-08-07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57" s="57" t="str">
        <f t="shared" si="24"/>
        <v>N</v>
      </c>
      <c r="X57" s="154">
        <f t="shared" si="19"/>
        <v>1</v>
      </c>
      <c r="Y57" s="72">
        <f t="shared" si="25"/>
        <v>23.2989</v>
      </c>
      <c r="Z57" s="72">
        <f t="shared" si="26"/>
        <v>1.3599999999999999E-2</v>
      </c>
      <c r="AA57" s="72">
        <f t="shared" si="27"/>
        <v>23.285299999999999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28"/>
        <v>0144-07</v>
      </c>
      <c r="AE57" s="110" t="str">
        <f t="shared" si="29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57" s="107" t="str">
        <f t="shared" si="30"/>
        <v>"C:\Program Files (x86)\AstroGrep\AstroGrep.exe" /spath="%USERPROFILE%\AppData\Local\Temp\OnboardLogs" /stypes="*4026*20160807*" /stext=" 16:.+((SYSTEM_STATE.+slice.+state.+changed )|(ment ac)|(system.+state.+changed )|(\|lc)|(penalty)|(\[timeout)|(PRM\|1\|D)|(kpr)|(kdp))" /e /r /s</v>
      </c>
      <c r="AG57" s="1" t="str">
        <f t="shared" si="31"/>
        <v>EC</v>
      </c>
      <c r="AH57" s="111" t="str">
        <f t="shared" si="32"/>
        <v>"%USERPROFILE%\Documents\GitHub\eaglep3\Utilities\RefineRTDCRunTimes.py" --tripid 144-07 --locoid 4026 --swversion DE.1.0.7.0 --startMP 204:232989 --initTime 2016-08-07T09:37:01 --startdatetime 2016-08-07T09:38:16 --delay 1 --endMP 204:136 --enddatetime 2016-08-07T10:33:29 --enforcementcount 0</v>
      </c>
    </row>
    <row r="58" spans="1:34" x14ac:dyDescent="0.25">
      <c r="A58" s="42" t="s">
        <v>397</v>
      </c>
      <c r="B58" s="7">
        <v>4016</v>
      </c>
      <c r="C58" s="25" t="s">
        <v>147</v>
      </c>
      <c r="D58" s="25" t="s">
        <v>218</v>
      </c>
      <c r="E58" s="16">
        <v>42589.380150462966</v>
      </c>
      <c r="F58" s="16">
        <v>42589.381331018521</v>
      </c>
      <c r="G58" s="7">
        <v>1</v>
      </c>
      <c r="H58" s="16" t="s">
        <v>144</v>
      </c>
      <c r="I58" s="16">
        <v>42589.410231481481</v>
      </c>
      <c r="J58" s="7">
        <v>0</v>
      </c>
      <c r="K58" s="25" t="str">
        <f t="shared" si="20"/>
        <v>4015/4016</v>
      </c>
      <c r="L58" s="25" t="str">
        <f>VLOOKUP(A58,'Trips&amp;Operators'!$C$1:$E$10000,3,FALSE)</f>
        <v>ACKERMAN</v>
      </c>
      <c r="M58" s="6">
        <f t="shared" si="21"/>
        <v>2.8900462959427387E-2</v>
      </c>
      <c r="N58" s="7">
        <f t="shared" si="18"/>
        <v>41.616666661575437</v>
      </c>
      <c r="O58" s="7"/>
      <c r="P58" s="7"/>
      <c r="Q58" s="26"/>
      <c r="R58" s="26"/>
      <c r="S58" s="38">
        <f t="shared" si="17"/>
        <v>1</v>
      </c>
      <c r="T58" s="55" t="str">
        <f t="shared" si="22"/>
        <v>NorthBound</v>
      </c>
      <c r="U58" s="14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08:07:25-0600',mode:absolute,to:'2016-08-07 10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58" s="57" t="str">
        <f t="shared" si="24"/>
        <v>N</v>
      </c>
      <c r="X58" s="154">
        <f t="shared" si="19"/>
        <v>1</v>
      </c>
      <c r="Y58" s="72">
        <f t="shared" si="25"/>
        <v>4.3799999999999999E-2</v>
      </c>
      <c r="Z58" s="72">
        <f t="shared" si="26"/>
        <v>23.329499999999999</v>
      </c>
      <c r="AA58" s="72">
        <f t="shared" si="27"/>
        <v>23.285699999999999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28"/>
        <v>0145-07</v>
      </c>
      <c r="AE58" s="110" t="str">
        <f t="shared" si="29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58" s="107" t="str">
        <f t="shared" si="30"/>
        <v>"C:\Program Files (x86)\AstroGrep\AstroGrep.exe" /spath="%USERPROFILE%\AppData\Local\Temp\OnboardLogs" /stypes="*4016*20160807*" /stext=" 15:.+((SYSTEM_STATE.+slice.+state.+changed )|(ment ac)|(system.+state.+changed )|(\|lc)|(penalty)|(\[timeout)|(PRM\|1\|D)|(kpr)|(kdp))" /e /r /s</v>
      </c>
      <c r="AG58" s="1" t="str">
        <f t="shared" si="31"/>
        <v>EC</v>
      </c>
      <c r="AH58" s="111" t="str">
        <f t="shared" si="32"/>
        <v>"%USERPROFILE%\Documents\GitHub\eaglep3\Utilities\RefineRTDCRunTimes.py" --tripid 145-07 --locoid 4016 --swversion DE.1.0.7.0 --startMP 204:438 --initTime 2016-08-07T09:07:25 --startdatetime 2016-08-07T09:09:07 --delay 1 --endMP 204:233295 --enddatetime 2016-08-07T09:50:44 --enforcementcount 0</v>
      </c>
    </row>
    <row r="59" spans="1:34" x14ac:dyDescent="0.25">
      <c r="A59" s="42" t="s">
        <v>398</v>
      </c>
      <c r="B59" s="7">
        <v>4015</v>
      </c>
      <c r="C59" s="25" t="s">
        <v>147</v>
      </c>
      <c r="D59" s="25" t="s">
        <v>231</v>
      </c>
      <c r="E59" s="16">
        <v>42589.418321759258</v>
      </c>
      <c r="F59" s="16">
        <v>42589.419722222221</v>
      </c>
      <c r="G59" s="7">
        <v>2</v>
      </c>
      <c r="H59" s="16" t="s">
        <v>367</v>
      </c>
      <c r="I59" s="16">
        <v>42589.451064814813</v>
      </c>
      <c r="J59" s="7">
        <v>0</v>
      </c>
      <c r="K59" s="25" t="str">
        <f t="shared" si="20"/>
        <v>4015/4016</v>
      </c>
      <c r="L59" s="25" t="str">
        <f>VLOOKUP(A59,'Trips&amp;Operators'!$C$1:$E$10000,3,FALSE)</f>
        <v>ACKERMAN</v>
      </c>
      <c r="M59" s="6">
        <f t="shared" si="21"/>
        <v>3.1342592592409346E-2</v>
      </c>
      <c r="N59" s="7">
        <f t="shared" si="18"/>
        <v>45.133333333069459</v>
      </c>
      <c r="O59" s="7"/>
      <c r="P59" s="7"/>
      <c r="Q59" s="26"/>
      <c r="R59" s="26"/>
      <c r="S59" s="38">
        <f t="shared" si="17"/>
        <v>1</v>
      </c>
      <c r="T59" s="55" t="str">
        <f t="shared" si="22"/>
        <v>Southbound</v>
      </c>
      <c r="U59" s="14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09:02:23-0600',mode:absolute,to:'2016-08-07 11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59" s="57" t="str">
        <f t="shared" si="24"/>
        <v>N</v>
      </c>
      <c r="X59" s="154">
        <f t="shared" si="19"/>
        <v>1</v>
      </c>
      <c r="Y59" s="72">
        <f t="shared" si="25"/>
        <v>23.298400000000001</v>
      </c>
      <c r="Z59" s="72">
        <f t="shared" si="26"/>
        <v>1.34E-2</v>
      </c>
      <c r="AA59" s="72">
        <f t="shared" si="27"/>
        <v>23.285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28"/>
        <v>0146-07</v>
      </c>
      <c r="AE59" s="110" t="str">
        <f t="shared" si="29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59" s="107" t="str">
        <f t="shared" si="30"/>
        <v>"C:\Program Files (x86)\AstroGrep\AstroGrep.exe" /spath="%USERPROFILE%\AppData\Local\Temp\OnboardLogs" /stypes="*4015*20160807*" /stext=" 16:.+((SYSTEM_STATE.+slice.+state.+changed )|(ment ac)|(system.+state.+changed )|(\|lc)|(penalty)|(\[timeout)|(PRM\|1\|D)|(kpr)|(kdp))" /e /r /s</v>
      </c>
      <c r="AG59" s="1" t="str">
        <f t="shared" si="31"/>
        <v>EC</v>
      </c>
      <c r="AH59" s="111" t="str">
        <f t="shared" si="32"/>
        <v>"%USERPROFILE%\Documents\GitHub\eaglep3\Utilities\RefineRTDCRunTimes.py" --tripid 146-07 --locoid 4015 --swversion DE.1.0.7.0 --startMP 204:232984 --initTime 2016-08-07T10:02:23 --startdatetime 2016-08-07T10:04:24 --delay 2 --endMP 204:134 --enddatetime 2016-08-07T10:49:32 --enforcementcount 0</v>
      </c>
    </row>
    <row r="60" spans="1:34" x14ac:dyDescent="0.25">
      <c r="A60" s="42" t="s">
        <v>399</v>
      </c>
      <c r="B60" s="7">
        <v>4044</v>
      </c>
      <c r="C60" s="25" t="s">
        <v>147</v>
      </c>
      <c r="D60" s="25" t="s">
        <v>390</v>
      </c>
      <c r="E60" s="16">
        <v>42589.390868055554</v>
      </c>
      <c r="F60" s="16">
        <v>42589.391631944447</v>
      </c>
      <c r="G60" s="7">
        <v>1</v>
      </c>
      <c r="H60" s="16" t="s">
        <v>139</v>
      </c>
      <c r="I60" s="16">
        <v>42589.42119212963</v>
      </c>
      <c r="J60" s="7">
        <v>0</v>
      </c>
      <c r="K60" s="25" t="str">
        <f t="shared" si="20"/>
        <v>4043/4044</v>
      </c>
      <c r="L60" s="25" t="str">
        <f>VLOOKUP(A60,'Trips&amp;Operators'!$C$1:$E$10000,3,FALSE)</f>
        <v>MAELZER</v>
      </c>
      <c r="M60" s="6">
        <f t="shared" si="21"/>
        <v>2.9560185183072463E-2</v>
      </c>
      <c r="N60" s="7">
        <f t="shared" si="18"/>
        <v>42.566666663624346</v>
      </c>
      <c r="O60" s="7"/>
      <c r="P60" s="7"/>
      <c r="Q60" s="26"/>
      <c r="R60" s="26"/>
      <c r="S60" s="38">
        <f t="shared" si="17"/>
        <v>1</v>
      </c>
      <c r="T60" s="55" t="str">
        <f t="shared" si="22"/>
        <v>NorthBound</v>
      </c>
      <c r="U60" s="14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08:22:51-0600',mode:absolute,to:'2016-08-07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60" s="57" t="str">
        <f t="shared" si="24"/>
        <v>N</v>
      </c>
      <c r="X60" s="154">
        <f t="shared" si="19"/>
        <v>1</v>
      </c>
      <c r="Y60" s="72">
        <f t="shared" si="25"/>
        <v>4.4200000000000003E-2</v>
      </c>
      <c r="Z60" s="72">
        <f t="shared" si="26"/>
        <v>23.3293</v>
      </c>
      <c r="AA60" s="72">
        <f t="shared" si="27"/>
        <v>23.2851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8"/>
        <v>0147-07</v>
      </c>
      <c r="AE60" s="110" t="str">
        <f t="shared" si="29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60" s="107" t="str">
        <f t="shared" si="30"/>
        <v>"C:\Program Files (x86)\AstroGrep\AstroGrep.exe" /spath="%USERPROFILE%\AppData\Local\Temp\OnboardLogs" /stypes="*4044*20160807*" /stext=" 16:.+((SYSTEM_STATE.+slice.+state.+changed )|(ment ac)|(system.+state.+changed )|(\|lc)|(penalty)|(\[timeout)|(PRM\|1\|D)|(kpr)|(kdp))" /e /r /s</v>
      </c>
      <c r="AG60" s="1" t="str">
        <f t="shared" si="31"/>
        <v>EC</v>
      </c>
      <c r="AH60" s="111" t="str">
        <f t="shared" si="32"/>
        <v>"%USERPROFILE%\Documents\GitHub\eaglep3\Utilities\RefineRTDCRunTimes.py" --tripid 147-07 --locoid 4044 --swversion DE.1.0.7.0 --startMP 204:442 --initTime 2016-08-07T09:22:51 --startdatetime 2016-08-07T09:23:57 --delay 1 --endMP 204:233293 --enddatetime 2016-08-07T10:06:31 --enforcementcount 0</v>
      </c>
    </row>
    <row r="61" spans="1:34" x14ac:dyDescent="0.25">
      <c r="A61" s="42" t="s">
        <v>400</v>
      </c>
      <c r="B61" s="7">
        <v>4043</v>
      </c>
      <c r="C61" s="25" t="s">
        <v>147</v>
      </c>
      <c r="D61" s="25" t="s">
        <v>247</v>
      </c>
      <c r="E61" s="16">
        <v>42589.428206018521</v>
      </c>
      <c r="F61" s="16">
        <v>42589.428923611114</v>
      </c>
      <c r="G61" s="7">
        <v>1</v>
      </c>
      <c r="H61" s="16" t="s">
        <v>396</v>
      </c>
      <c r="I61" s="16">
        <v>42589.460914351854</v>
      </c>
      <c r="J61" s="7">
        <v>0</v>
      </c>
      <c r="K61" s="25" t="str">
        <f t="shared" si="20"/>
        <v>4043/4044</v>
      </c>
      <c r="L61" s="25" t="str">
        <f>VLOOKUP(A61,'Trips&amp;Operators'!$C$1:$E$10000,3,FALSE)</f>
        <v>MAELZER</v>
      </c>
      <c r="M61" s="6">
        <f t="shared" si="21"/>
        <v>3.199074073927477E-2</v>
      </c>
      <c r="N61" s="7">
        <f t="shared" si="18"/>
        <v>46.066666664555669</v>
      </c>
      <c r="O61" s="7"/>
      <c r="P61" s="7"/>
      <c r="Q61" s="26"/>
      <c r="R61" s="26"/>
      <c r="S61" s="38">
        <f t="shared" si="17"/>
        <v>1</v>
      </c>
      <c r="T61" s="55" t="str">
        <f t="shared" si="22"/>
        <v>Southbound</v>
      </c>
      <c r="U61" s="14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09:16:37-0600',mode:absolute,to:'2016-08-07 12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61" s="57" t="str">
        <f t="shared" si="24"/>
        <v>N</v>
      </c>
      <c r="X61" s="154">
        <f t="shared" si="19"/>
        <v>1</v>
      </c>
      <c r="Y61" s="72">
        <f t="shared" si="25"/>
        <v>23.297599999999999</v>
      </c>
      <c r="Z61" s="72">
        <f t="shared" si="26"/>
        <v>1.3599999999999999E-2</v>
      </c>
      <c r="AA61" s="72">
        <f t="shared" si="27"/>
        <v>23.283999999999999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28"/>
        <v>0148-07</v>
      </c>
      <c r="AE61" s="110" t="str">
        <f t="shared" si="29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61" s="107" t="str">
        <f t="shared" si="30"/>
        <v>"C:\Program Files (x86)\AstroGrep\AstroGrep.exe" /spath="%USERPROFILE%\AppData\Local\Temp\OnboardLogs" /stypes="*4043*20160807*" /stext=" 17:.+((SYSTEM_STATE.+slice.+state.+changed )|(ment ac)|(system.+state.+changed )|(\|lc)|(penalty)|(\[timeout)|(PRM\|1\|D)|(kpr)|(kdp))" /e /r /s</v>
      </c>
      <c r="AG61" s="1" t="str">
        <f t="shared" si="31"/>
        <v>EC</v>
      </c>
      <c r="AH61" s="111" t="str">
        <f t="shared" si="32"/>
        <v>"%USERPROFILE%\Documents\GitHub\eaglep3\Utilities\RefineRTDCRunTimes.py" --tripid 148-07 --locoid 4043 --swversion DE.1.0.7.0 --startMP 204:232976 --initTime 2016-08-07T10:16:37 --startdatetime 2016-08-07T10:17:39 --delay 1 --endMP 204:136 --enddatetime 2016-08-07T11:03:43 --enforcementcount 0</v>
      </c>
    </row>
    <row r="62" spans="1:34" x14ac:dyDescent="0.25">
      <c r="A62" s="42" t="s">
        <v>401</v>
      </c>
      <c r="B62" s="7">
        <v>4018</v>
      </c>
      <c r="C62" s="25" t="s">
        <v>147</v>
      </c>
      <c r="D62" s="25" t="s">
        <v>173</v>
      </c>
      <c r="E62" s="16">
        <v>42589.401967592596</v>
      </c>
      <c r="F62" s="16">
        <v>42589.403043981481</v>
      </c>
      <c r="G62" s="7">
        <v>1</v>
      </c>
      <c r="H62" s="16" t="s">
        <v>267</v>
      </c>
      <c r="I62" s="16">
        <v>42589.432268518518</v>
      </c>
      <c r="J62" s="7">
        <v>0</v>
      </c>
      <c r="K62" s="25" t="str">
        <f t="shared" si="20"/>
        <v>4017/4018</v>
      </c>
      <c r="L62" s="25" t="str">
        <f>VLOOKUP(A62,'Trips&amp;Operators'!$C$1:$E$10000,3,FALSE)</f>
        <v>DAVIS</v>
      </c>
      <c r="M62" s="6">
        <f t="shared" si="21"/>
        <v>2.9224537036498077E-2</v>
      </c>
      <c r="N62" s="7">
        <f t="shared" si="18"/>
        <v>42.083333332557231</v>
      </c>
      <c r="O62" s="7"/>
      <c r="P62" s="7"/>
      <c r="Q62" s="26"/>
      <c r="R62" s="26"/>
      <c r="S62" s="38">
        <f t="shared" si="17"/>
        <v>1</v>
      </c>
      <c r="T62" s="55" t="str">
        <f t="shared" si="22"/>
        <v>NorthBound</v>
      </c>
      <c r="U62" s="14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08:38:50-0600',mode:absolute,to:'2016-08-07 11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62" s="57" t="str">
        <f t="shared" si="24"/>
        <v>N</v>
      </c>
      <c r="X62" s="154">
        <f t="shared" si="19"/>
        <v>1</v>
      </c>
      <c r="Y62" s="72">
        <f t="shared" si="25"/>
        <v>4.5100000000000001E-2</v>
      </c>
      <c r="Z62" s="72">
        <f t="shared" si="26"/>
        <v>23.329899999999999</v>
      </c>
      <c r="AA62" s="72">
        <f t="shared" si="27"/>
        <v>23.284799999999997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28"/>
        <v>0149-07</v>
      </c>
      <c r="AE62" s="110" t="str">
        <f t="shared" si="29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62" s="107" t="str">
        <f t="shared" si="30"/>
        <v>"C:\Program Files (x86)\AstroGrep\AstroGrep.exe" /spath="%USERPROFILE%\AppData\Local\Temp\OnboardLogs" /stypes="*4018*20160807*" /stext=" 16:.+((SYSTEM_STATE.+slice.+state.+changed )|(ment ac)|(system.+state.+changed )|(\|lc)|(penalty)|(\[timeout)|(PRM\|1\|D)|(kpr)|(kdp))" /e /r /s</v>
      </c>
      <c r="AG62" s="1" t="str">
        <f t="shared" si="31"/>
        <v>EC</v>
      </c>
      <c r="AH62" s="111" t="str">
        <f t="shared" si="32"/>
        <v>"%USERPROFILE%\Documents\GitHub\eaglep3\Utilities\RefineRTDCRunTimes.py" --tripid 149-07 --locoid 4018 --swversion DE.1.0.7.0 --startMP 204:451 --initTime 2016-08-07T09:38:50 --startdatetime 2016-08-07T09:40:23 --delay 1 --endMP 204:233299 --enddatetime 2016-08-07T10:22:28 --enforcementcount 0</v>
      </c>
    </row>
    <row r="63" spans="1:34" x14ac:dyDescent="0.25">
      <c r="A63" s="42" t="s">
        <v>311</v>
      </c>
      <c r="B63" s="7">
        <v>4017</v>
      </c>
      <c r="C63" s="25" t="s">
        <v>147</v>
      </c>
      <c r="D63" s="25" t="s">
        <v>186</v>
      </c>
      <c r="E63" s="16">
        <v>42589.440937500003</v>
      </c>
      <c r="F63" s="16">
        <v>42589.442187499997</v>
      </c>
      <c r="G63" s="7">
        <v>1</v>
      </c>
      <c r="H63" s="16" t="s">
        <v>234</v>
      </c>
      <c r="I63" s="16">
        <v>42589.478715277779</v>
      </c>
      <c r="J63" s="7">
        <v>1</v>
      </c>
      <c r="K63" s="25" t="str">
        <f t="shared" si="20"/>
        <v>4017/4018</v>
      </c>
      <c r="L63" s="25" t="str">
        <f>VLOOKUP(A63,'Trips&amp;Operators'!$C$1:$E$10000,3,FALSE)</f>
        <v>DAVIS</v>
      </c>
      <c r="M63" s="6">
        <f t="shared" si="21"/>
        <v>3.6527777781884652E-2</v>
      </c>
      <c r="N63" s="7">
        <f t="shared" si="18"/>
        <v>52.600000005913898</v>
      </c>
      <c r="O63" s="7"/>
      <c r="P63" s="7"/>
      <c r="Q63" s="26"/>
      <c r="R63" s="26"/>
      <c r="S63" s="38">
        <f t="shared" si="17"/>
        <v>1</v>
      </c>
      <c r="T63" s="55" t="str">
        <f t="shared" si="22"/>
        <v>Southbound</v>
      </c>
      <c r="U63" s="14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63" s="57" t="str">
        <f t="shared" si="24"/>
        <v>N</v>
      </c>
      <c r="X63" s="154">
        <f t="shared" si="19"/>
        <v>1</v>
      </c>
      <c r="Y63" s="72">
        <f t="shared" si="25"/>
        <v>23.297999999999998</v>
      </c>
      <c r="Z63" s="72">
        <f t="shared" si="26"/>
        <v>1.49E-2</v>
      </c>
      <c r="AA63" s="72">
        <f t="shared" si="27"/>
        <v>23.283099999999997</v>
      </c>
      <c r="AB63" s="69">
        <f>VLOOKUP(A63,Enforcements!$C$7:$J$24,8,0)</f>
        <v>58904</v>
      </c>
      <c r="AC63" s="65" t="str">
        <f>VLOOKUP(A63,Enforcements!$C$7:$E$24,3,0)</f>
        <v>GRADE CROSSING</v>
      </c>
      <c r="AD63" s="66" t="str">
        <f t="shared" si="28"/>
        <v>0150-07</v>
      </c>
      <c r="AE63" s="110" t="str">
        <f t="shared" si="29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63" s="107" t="str">
        <f t="shared" si="30"/>
        <v>"C:\Program Files (x86)\AstroGrep\AstroGrep.exe" /spath="%USERPROFILE%\AppData\Local\Temp\OnboardLogs" /stypes="*4017*20160807*" /stext=" 17:.+((SYSTEM_STATE.+slice.+state.+changed )|(ment ac)|(system.+state.+changed )|(\|lc)|(penalty)|(\[timeout)|(PRM\|1\|D)|(kpr)|(kdp))" /e /r /s</v>
      </c>
      <c r="AG63" s="1" t="str">
        <f t="shared" si="31"/>
        <v>EC</v>
      </c>
      <c r="AH63" s="111" t="str">
        <f t="shared" si="32"/>
        <v>"%USERPROFILE%\Documents\GitHub\eaglep3\Utilities\RefineRTDCRunTimes.py" --tripid 150-07 --locoid 4017 --swversion DE.1.0.7.0 --startMP 204:232980 --initTime 2016-08-07T10:34:57 --startdatetime 2016-08-07T10:36:45 --delay 1 --endMP 204:149 --enddatetime 2016-08-07T11:29:21 --enforcementcount 1</v>
      </c>
    </row>
    <row r="64" spans="1:34" x14ac:dyDescent="0.25">
      <c r="A64" s="42" t="s">
        <v>402</v>
      </c>
      <c r="B64" s="7">
        <v>4029</v>
      </c>
      <c r="C64" s="25" t="s">
        <v>147</v>
      </c>
      <c r="D64" s="25" t="s">
        <v>176</v>
      </c>
      <c r="E64" s="16">
        <v>42589.415046296293</v>
      </c>
      <c r="F64" s="16">
        <v>42589.415844907409</v>
      </c>
      <c r="G64" s="7">
        <v>1</v>
      </c>
      <c r="H64" s="16" t="s">
        <v>222</v>
      </c>
      <c r="I64" s="16">
        <v>42589.441655092596</v>
      </c>
      <c r="J64" s="7">
        <v>0</v>
      </c>
      <c r="K64" s="25" t="str">
        <f t="shared" si="20"/>
        <v>4029/4030</v>
      </c>
      <c r="L64" s="25" t="str">
        <f>VLOOKUP(A64,'Trips&amp;Operators'!$C$1:$E$10000,3,FALSE)</f>
        <v>MALAVE</v>
      </c>
      <c r="M64" s="6">
        <f t="shared" si="21"/>
        <v>2.5810185186855961E-2</v>
      </c>
      <c r="N64" s="7">
        <f t="shared" si="18"/>
        <v>37.166666669072583</v>
      </c>
      <c r="O64" s="7"/>
      <c r="P64" s="7"/>
      <c r="Q64" s="26"/>
      <c r="R64" s="26"/>
      <c r="S64" s="38">
        <f t="shared" si="17"/>
        <v>1</v>
      </c>
      <c r="T64" s="55" t="str">
        <f t="shared" si="22"/>
        <v>NorthBound</v>
      </c>
      <c r="U64" s="14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08:57:40-0600',mode:absolute,to:'2016-08-07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4" s="57" t="str">
        <f t="shared" si="24"/>
        <v>N</v>
      </c>
      <c r="X64" s="154">
        <f t="shared" si="19"/>
        <v>1</v>
      </c>
      <c r="Y64" s="72">
        <f t="shared" si="25"/>
        <v>4.4699999999999997E-2</v>
      </c>
      <c r="Z64" s="72">
        <f t="shared" si="26"/>
        <v>23.331399999999999</v>
      </c>
      <c r="AA64" s="72">
        <f t="shared" si="27"/>
        <v>23.2867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8"/>
        <v>0151-07</v>
      </c>
      <c r="AE64" s="110" t="str">
        <f t="shared" si="29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64" s="107" t="str">
        <f t="shared" si="30"/>
        <v>"C:\Program Files (x86)\AstroGrep\AstroGrep.exe" /spath="%USERPROFILE%\AppData\Local\Temp\OnboardLogs" /stypes="*4029*20160807*" /stext=" 16:.+((SYSTEM_STATE.+slice.+state.+changed )|(ment ac)|(system.+state.+changed )|(\|lc)|(penalty)|(\[timeout)|(PRM\|1\|D)|(kpr)|(kdp))" /e /r /s</v>
      </c>
      <c r="AG64" s="1" t="str">
        <f t="shared" si="31"/>
        <v>EC</v>
      </c>
      <c r="AH64" s="111" t="str">
        <f t="shared" si="32"/>
        <v>"%USERPROFILE%\Documents\GitHub\eaglep3\Utilities\RefineRTDCRunTimes.py" --tripid 151-07 --locoid 4029 --swversion DE.1.0.7.0 --startMP 204:447 --initTime 2016-08-07T09:57:40 --startdatetime 2016-08-07T09:58:49 --delay 1 --endMP 204:233314 --enddatetime 2016-08-07T10:35:59 --enforcementcount 0</v>
      </c>
    </row>
    <row r="65" spans="1:34" x14ac:dyDescent="0.25">
      <c r="A65" s="42" t="s">
        <v>403</v>
      </c>
      <c r="B65" s="7">
        <v>4030</v>
      </c>
      <c r="C65" s="25" t="s">
        <v>147</v>
      </c>
      <c r="D65" s="25" t="s">
        <v>161</v>
      </c>
      <c r="E65" s="16">
        <v>42589.454131944447</v>
      </c>
      <c r="F65" s="16">
        <v>42589.455034722225</v>
      </c>
      <c r="G65" s="7">
        <v>1</v>
      </c>
      <c r="H65" s="16" t="s">
        <v>220</v>
      </c>
      <c r="I65" s="16">
        <v>42589.4846875</v>
      </c>
      <c r="J65" s="7">
        <v>0</v>
      </c>
      <c r="K65" s="25" t="str">
        <f t="shared" si="20"/>
        <v>4029/4030</v>
      </c>
      <c r="L65" s="25" t="str">
        <f>VLOOKUP(A65,'Trips&amp;Operators'!$C$1:$E$10000,3,FALSE)</f>
        <v>MALAVE</v>
      </c>
      <c r="M65" s="6">
        <f t="shared" si="21"/>
        <v>2.9652777775481809E-2</v>
      </c>
      <c r="N65" s="7">
        <f t="shared" si="18"/>
        <v>42.699999996693805</v>
      </c>
      <c r="O65" s="7"/>
      <c r="P65" s="7"/>
      <c r="Q65" s="26"/>
      <c r="R65" s="26"/>
      <c r="S65" s="38">
        <f t="shared" si="17"/>
        <v>1</v>
      </c>
      <c r="T65" s="55" t="str">
        <f t="shared" si="22"/>
        <v>Southbound</v>
      </c>
      <c r="U65" s="14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09:53:57-0600',mode:absolute,to:'2016-08-07 12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5" s="57" t="str">
        <f t="shared" si="24"/>
        <v>N</v>
      </c>
      <c r="X65" s="154">
        <f t="shared" si="19"/>
        <v>1</v>
      </c>
      <c r="Y65" s="72">
        <f t="shared" si="25"/>
        <v>23.299299999999999</v>
      </c>
      <c r="Z65" s="72">
        <f t="shared" si="26"/>
        <v>1.61E-2</v>
      </c>
      <c r="AA65" s="72">
        <f t="shared" si="27"/>
        <v>23.283199999999997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28"/>
        <v>0152-07</v>
      </c>
      <c r="AE65" s="110" t="str">
        <f t="shared" si="29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65" s="107" t="str">
        <f t="shared" si="30"/>
        <v>"C:\Program Files (x86)\AstroGrep\AstroGrep.exe" /spath="%USERPROFILE%\AppData\Local\Temp\OnboardLogs" /stypes="*4030*20160807*" /stext=" 17:.+((SYSTEM_STATE.+slice.+state.+changed )|(ment ac)|(system.+state.+changed )|(\|lc)|(penalty)|(\[timeout)|(PRM\|1\|D)|(kpr)|(kdp))" /e /r /s</v>
      </c>
      <c r="AG65" s="1" t="str">
        <f t="shared" si="31"/>
        <v>EC</v>
      </c>
      <c r="AH65" s="111" t="str">
        <f t="shared" si="32"/>
        <v>"%USERPROFILE%\Documents\GitHub\eaglep3\Utilities\RefineRTDCRunTimes.py" --tripid 152-07 --locoid 4030 --swversion DE.1.0.7.0 --startMP 204:232993 --initTime 2016-08-07T10:53:57 --startdatetime 2016-08-07T10:55:15 --delay 1 --endMP 204:161 --enddatetime 2016-08-07T11:37:57 --enforcementcount 0</v>
      </c>
    </row>
    <row r="66" spans="1:34" x14ac:dyDescent="0.25">
      <c r="A66" s="42" t="s">
        <v>308</v>
      </c>
      <c r="B66" s="7">
        <v>4038</v>
      </c>
      <c r="C66" s="25" t="s">
        <v>147</v>
      </c>
      <c r="D66" s="25" t="s">
        <v>132</v>
      </c>
      <c r="E66" s="16">
        <v>42589.422071759262</v>
      </c>
      <c r="F66" s="16">
        <v>42589.423715277779</v>
      </c>
      <c r="G66" s="7">
        <v>2</v>
      </c>
      <c r="H66" s="16" t="s">
        <v>404</v>
      </c>
      <c r="I66" s="16">
        <v>42589.452916666669</v>
      </c>
      <c r="J66" s="7">
        <v>1</v>
      </c>
      <c r="K66" s="25" t="str">
        <f t="shared" si="20"/>
        <v>4037/4038</v>
      </c>
      <c r="L66" s="25" t="str">
        <f>VLOOKUP(A66,'Trips&amp;Operators'!$C$1:$E$10000,3,FALSE)</f>
        <v>STRICKLAND</v>
      </c>
      <c r="M66" s="6">
        <f t="shared" si="21"/>
        <v>2.920138889021473E-2</v>
      </c>
      <c r="N66" s="7">
        <f t="shared" si="18"/>
        <v>42.050000001909211</v>
      </c>
      <c r="O66" s="7"/>
      <c r="P66" s="7"/>
      <c r="Q66" s="26"/>
      <c r="R66" s="26"/>
      <c r="S66" s="38">
        <f t="shared" si="17"/>
        <v>1</v>
      </c>
      <c r="T66" s="55" t="str">
        <f t="shared" si="22"/>
        <v>NorthBound</v>
      </c>
      <c r="U66" s="14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6" s="57" t="str">
        <f t="shared" si="24"/>
        <v>N</v>
      </c>
      <c r="X66" s="154">
        <f t="shared" si="19"/>
        <v>1</v>
      </c>
      <c r="Y66" s="72">
        <f t="shared" si="25"/>
        <v>4.6399999999999997E-2</v>
      </c>
      <c r="Z66" s="72">
        <f t="shared" si="26"/>
        <v>23.3309</v>
      </c>
      <c r="AA66" s="72">
        <f t="shared" si="27"/>
        <v>23.284500000000001</v>
      </c>
      <c r="AB66" s="69">
        <f>VLOOKUP(A66,Enforcements!$C$7:$J$24,8,0)</f>
        <v>27333</v>
      </c>
      <c r="AC66" s="65" t="str">
        <f>VLOOKUP(A66,Enforcements!$C$7:$E$24,3,0)</f>
        <v>PERMANENT SPEED RESTRICTION</v>
      </c>
      <c r="AD66" s="66" t="str">
        <f t="shared" si="28"/>
        <v>0153-07</v>
      </c>
      <c r="AE66" s="110" t="str">
        <f t="shared" si="29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66" s="107" t="str">
        <f t="shared" si="30"/>
        <v>"C:\Program Files (x86)\AstroGrep\AstroGrep.exe" /spath="%USERPROFILE%\AppData\Local\Temp\OnboardLogs" /stypes="*4038*20160807*" /stext=" 16:.+((SYSTEM_STATE.+slice.+state.+changed )|(ment ac)|(system.+state.+changed )|(\|lc)|(penalty)|(\[timeout)|(PRM\|1\|D)|(kpr)|(kdp))" /e /r /s</v>
      </c>
      <c r="AG66" s="1" t="str">
        <f t="shared" si="31"/>
        <v>EC</v>
      </c>
      <c r="AH66" s="111" t="str">
        <f t="shared" si="32"/>
        <v>"%USERPROFILE%\Documents\GitHub\eaglep3\Utilities\RefineRTDCRunTimes.py" --tripid 153-07 --locoid 4038 --swversion DE.1.0.7.0 --startMP 204:464 --initTime 2016-08-07T10:07:47 --startdatetime 2016-08-07T10:10:09 --delay 2 --endMP 204:233309 --enddatetime 2016-08-07T10:52:12 --enforcementcount 1</v>
      </c>
    </row>
    <row r="67" spans="1:34" x14ac:dyDescent="0.25">
      <c r="A67" s="42" t="s">
        <v>405</v>
      </c>
      <c r="B67" s="7">
        <v>4037</v>
      </c>
      <c r="C67" s="25" t="s">
        <v>147</v>
      </c>
      <c r="D67" s="25" t="s">
        <v>177</v>
      </c>
      <c r="E67" s="16">
        <v>42589.45957175926</v>
      </c>
      <c r="F67" s="16">
        <v>42589.461539351854</v>
      </c>
      <c r="G67" s="7">
        <v>2</v>
      </c>
      <c r="H67" s="16" t="s">
        <v>234</v>
      </c>
      <c r="I67" s="16">
        <v>42589.496215277781</v>
      </c>
      <c r="J67" s="7">
        <v>0</v>
      </c>
      <c r="K67" s="25" t="str">
        <f t="shared" si="20"/>
        <v>4037/4038</v>
      </c>
      <c r="L67" s="25" t="str">
        <f>VLOOKUP(A67,'Trips&amp;Operators'!$C$1:$E$10000,3,FALSE)</f>
        <v>STRICKLAND</v>
      </c>
      <c r="M67" s="6">
        <f t="shared" si="21"/>
        <v>3.4675925926421769E-2</v>
      </c>
      <c r="N67" s="7">
        <f t="shared" si="18"/>
        <v>49.933333334047347</v>
      </c>
      <c r="O67" s="7"/>
      <c r="P67" s="7"/>
      <c r="Q67" s="26"/>
      <c r="R67" s="26"/>
      <c r="S67" s="38">
        <f t="shared" si="17"/>
        <v>1</v>
      </c>
      <c r="T67" s="55" t="str">
        <f t="shared" si="22"/>
        <v>Southbound</v>
      </c>
      <c r="U67" s="14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10:01:47-0600',mode:absolute,to:'2016-08-07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7" s="57" t="str">
        <f t="shared" si="24"/>
        <v>N</v>
      </c>
      <c r="X67" s="154">
        <f t="shared" si="19"/>
        <v>1</v>
      </c>
      <c r="Y67" s="72">
        <f t="shared" si="25"/>
        <v>23.297499999999999</v>
      </c>
      <c r="Z67" s="72">
        <f t="shared" si="26"/>
        <v>1.49E-2</v>
      </c>
      <c r="AA67" s="72">
        <f t="shared" si="27"/>
        <v>23.282599999999999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8"/>
        <v>0154-07</v>
      </c>
      <c r="AE67" s="110" t="str">
        <f t="shared" si="29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67" s="107" t="str">
        <f t="shared" si="30"/>
        <v>"C:\Program Files (x86)\AstroGrep\AstroGrep.exe" /spath="%USERPROFILE%\AppData\Local\Temp\OnboardLogs" /stypes="*4037*20160807*"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111" t="str">
        <f t="shared" si="32"/>
        <v>"%USERPROFILE%\Documents\GitHub\eaglep3\Utilities\RefineRTDCRunTimes.py" --tripid 154-07 --locoid 4037 --swversion DE.1.0.7.0 --startMP 204:232975 --initTime 2016-08-07T11:01:47 --startdatetime 2016-08-07T11:04:37 --delay 2 --endMP 204:149 --enddatetime 2016-08-07T11:54:33 --enforcementcount 0</v>
      </c>
    </row>
    <row r="68" spans="1:34" x14ac:dyDescent="0.25">
      <c r="A68" s="42" t="s">
        <v>406</v>
      </c>
      <c r="B68" s="7">
        <v>4007</v>
      </c>
      <c r="C68" s="25" t="s">
        <v>147</v>
      </c>
      <c r="D68" s="25" t="s">
        <v>407</v>
      </c>
      <c r="E68" s="16">
        <v>42589.432604166665</v>
      </c>
      <c r="F68" s="16">
        <v>42589.433749999997</v>
      </c>
      <c r="G68" s="7">
        <v>1</v>
      </c>
      <c r="H68" s="16" t="s">
        <v>139</v>
      </c>
      <c r="I68" s="16">
        <v>42589.463206018518</v>
      </c>
      <c r="J68" s="7">
        <v>0</v>
      </c>
      <c r="K68" s="25" t="str">
        <f t="shared" si="20"/>
        <v>4007/4008</v>
      </c>
      <c r="L68" s="25" t="str">
        <f>VLOOKUP(A68,'Trips&amp;Operators'!$C$1:$E$10000,3,FALSE)</f>
        <v>MAYBERRY</v>
      </c>
      <c r="M68" s="6">
        <f t="shared" si="21"/>
        <v>2.9456018521159422E-2</v>
      </c>
      <c r="N68" s="7">
        <f t="shared" si="18"/>
        <v>42.416666670469567</v>
      </c>
      <c r="O68" s="7"/>
      <c r="P68" s="7"/>
      <c r="Q68" s="26"/>
      <c r="R68" s="26"/>
      <c r="S68" s="38">
        <f t="shared" si="17"/>
        <v>1</v>
      </c>
      <c r="T68" s="55" t="str">
        <f t="shared" si="22"/>
        <v>NorthBound</v>
      </c>
      <c r="U68" s="14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09:22:57-0600',mode:absolute,to:'2016-08-07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68" s="57" t="str">
        <f t="shared" si="24"/>
        <v>N</v>
      </c>
      <c r="X68" s="154">
        <f t="shared" ref="X68:X77" si="33">VALUE(LEFT(AD68,4))-VALUE(LEFT(AD67,4))</f>
        <v>1</v>
      </c>
      <c r="Y68" s="72">
        <f t="shared" si="25"/>
        <v>5.6399999999999999E-2</v>
      </c>
      <c r="Z68" s="72">
        <f t="shared" si="26"/>
        <v>23.3293</v>
      </c>
      <c r="AA68" s="72">
        <f t="shared" si="27"/>
        <v>23.2729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8"/>
        <v>0155-07</v>
      </c>
      <c r="AE68" s="110" t="str">
        <f t="shared" si="29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68" s="107" t="str">
        <f t="shared" si="30"/>
        <v>"C:\Program Files (x86)\AstroGrep\AstroGrep.exe" /spath="%USERPROFILE%\AppData\Local\Temp\OnboardLogs" /stypes="*4007*20160807*" /stext=" 17:.+((SYSTEM_STATE.+slice.+state.+changed )|(ment ac)|(system.+state.+changed )|(\|lc)|(penalty)|(\[timeout)|(PRM\|1\|D)|(kpr)|(kdp))" /e /r /s</v>
      </c>
      <c r="AG68" s="1" t="str">
        <f t="shared" si="31"/>
        <v>EC</v>
      </c>
      <c r="AH68" s="111" t="str">
        <f t="shared" si="32"/>
        <v>"%USERPROFILE%\Documents\GitHub\eaglep3\Utilities\RefineRTDCRunTimes.py" --tripid 155-07 --locoid 4007 --swversion DE.1.0.7.0 --startMP 204:564 --initTime 2016-08-07T10:22:57 --startdatetime 2016-08-07T10:24:36 --delay 1 --endMP 204:233293 --enddatetime 2016-08-07T11:07:01 --enforcementcount 0</v>
      </c>
    </row>
    <row r="69" spans="1:34" s="24" customFormat="1" x14ac:dyDescent="0.25">
      <c r="A69" s="42" t="s">
        <v>408</v>
      </c>
      <c r="B69" s="7">
        <v>4008</v>
      </c>
      <c r="C69" s="25" t="s">
        <v>147</v>
      </c>
      <c r="D69" s="25" t="s">
        <v>64</v>
      </c>
      <c r="E69" s="16">
        <v>42589.467743055553</v>
      </c>
      <c r="F69" s="16">
        <v>42589.468854166669</v>
      </c>
      <c r="G69" s="7">
        <v>1</v>
      </c>
      <c r="H69" s="16" t="s">
        <v>131</v>
      </c>
      <c r="I69" s="16">
        <v>42589.507673611108</v>
      </c>
      <c r="J69" s="7">
        <v>0</v>
      </c>
      <c r="K69" s="25" t="str">
        <f t="shared" si="20"/>
        <v>4007/4008</v>
      </c>
      <c r="L69" s="25" t="str">
        <f>VLOOKUP(A69,'Trips&amp;Operators'!$C$1:$E$10000,3,FALSE)</f>
        <v>MAYBERRY</v>
      </c>
      <c r="M69" s="6">
        <f t="shared" si="21"/>
        <v>3.8819444438559003E-2</v>
      </c>
      <c r="N69" s="7">
        <f t="shared" ref="N69:N76" si="34">24*60*SUM($M69:$M69)</f>
        <v>55.899999991524965</v>
      </c>
      <c r="O69" s="7"/>
      <c r="P69" s="7"/>
      <c r="Q69" s="26"/>
      <c r="R69" s="26"/>
      <c r="S69" s="38">
        <f t="shared" ref="S69:S76" si="35">SUM(U69:U69)/IF(AG69="EC",12,1)</f>
        <v>1</v>
      </c>
      <c r="T69" s="55" t="str">
        <f t="shared" si="22"/>
        <v>Southbound</v>
      </c>
      <c r="U69" s="14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10:13:33-0600',mode:absolute,to:'2016-08-07 13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69" s="57" t="str">
        <f t="shared" si="24"/>
        <v>N</v>
      </c>
      <c r="X69" s="154">
        <f t="shared" si="33"/>
        <v>1</v>
      </c>
      <c r="Y69" s="72">
        <f t="shared" si="25"/>
        <v>23.297699999999999</v>
      </c>
      <c r="Z69" s="72">
        <f t="shared" si="26"/>
        <v>1.4999999999999999E-2</v>
      </c>
      <c r="AA69" s="72">
        <f t="shared" si="27"/>
        <v>23.282699999999998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28"/>
        <v>0156-07</v>
      </c>
      <c r="AE69" s="110" t="str">
        <f t="shared" si="29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69" s="107" t="str">
        <f t="shared" si="30"/>
        <v>"C:\Program Files (x86)\AstroGrep\AstroGrep.exe" /spath="%USERPROFILE%\AppData\Local\Temp\OnboardLogs" /stypes="*4008*20160807*" /stext=" 18:.+((SYSTEM_STATE.+slice.+state.+changed )|(ment ac)|(system.+state.+changed )|(\|lc)|(penalty)|(\[timeout)|(PRM\|1\|D)|(kpr)|(kdp))" /e /r /s</v>
      </c>
      <c r="AG69" s="1" t="str">
        <f t="shared" si="31"/>
        <v>EC</v>
      </c>
      <c r="AH69" s="111" t="str">
        <f t="shared" si="32"/>
        <v>"%USERPROFILE%\Documents\GitHub\eaglep3\Utilities\RefineRTDCRunTimes.py" --tripid 156-07 --locoid 4008 --swversion DE.1.0.7.0 --startMP 204:232977 --initTime 2016-08-07T11:13:33 --startdatetime 2016-08-07T11:15:09 --delay 1 --endMP 204:150 --enddatetime 2016-08-07T12:11:03 --enforcementcount 0</v>
      </c>
    </row>
    <row r="70" spans="1:34" x14ac:dyDescent="0.25">
      <c r="A70" s="42" t="s">
        <v>409</v>
      </c>
      <c r="B70" s="7">
        <v>4025</v>
      </c>
      <c r="C70" s="25" t="s">
        <v>147</v>
      </c>
      <c r="D70" s="25" t="s">
        <v>230</v>
      </c>
      <c r="E70" s="16">
        <v>42589.442812499998</v>
      </c>
      <c r="F70" s="16">
        <v>42589.444027777776</v>
      </c>
      <c r="G70" s="7">
        <v>1</v>
      </c>
      <c r="H70" s="16" t="s">
        <v>410</v>
      </c>
      <c r="I70" s="16">
        <v>42589.473101851851</v>
      </c>
      <c r="J70" s="7">
        <v>0</v>
      </c>
      <c r="K70" s="25" t="str">
        <f t="shared" si="20"/>
        <v>4025/4026</v>
      </c>
      <c r="L70" s="25" t="str">
        <f>VLOOKUP(A70,'Trips&amp;Operators'!$C$1:$E$10000,3,FALSE)</f>
        <v>HOMIK</v>
      </c>
      <c r="M70" s="6">
        <f t="shared" si="21"/>
        <v>2.9074074074742384E-2</v>
      </c>
      <c r="N70" s="7">
        <f t="shared" si="34"/>
        <v>41.866666667629033</v>
      </c>
      <c r="O70" s="7"/>
      <c r="P70" s="7"/>
      <c r="Q70" s="26"/>
      <c r="R70" s="26"/>
      <c r="S70" s="38">
        <f t="shared" si="35"/>
        <v>1</v>
      </c>
      <c r="T70" s="55" t="str">
        <f t="shared" si="22"/>
        <v>NorthBound</v>
      </c>
      <c r="U70" s="14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09:37:39-0600',mode:absolute,to:'2016-08-07 12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0" s="57" t="str">
        <f t="shared" si="24"/>
        <v>N</v>
      </c>
      <c r="X70" s="154">
        <f t="shared" si="33"/>
        <v>1</v>
      </c>
      <c r="Y70" s="72">
        <f t="shared" si="25"/>
        <v>4.4900000000000002E-2</v>
      </c>
      <c r="Z70" s="72">
        <f t="shared" si="26"/>
        <v>23.330300000000001</v>
      </c>
      <c r="AA70" s="72">
        <f t="shared" si="27"/>
        <v>23.285400000000003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28"/>
        <v>0157-07</v>
      </c>
      <c r="AE70" s="110" t="str">
        <f t="shared" si="29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70" s="107" t="str">
        <f t="shared" si="30"/>
        <v>"C:\Program Files (x86)\AstroGrep\AstroGrep.exe" /spath="%USERPROFILE%\AppData\Local\Temp\OnboardLogs" /stypes="*4025*20160807*" /stext=" 17:.+((SYSTEM_STATE.+slice.+state.+changed )|(ment ac)|(system.+state.+changed )|(\|lc)|(penalty)|(\[timeout)|(PRM\|1\|D)|(kpr)|(kdp))" /e /r /s</v>
      </c>
      <c r="AG70" s="1" t="str">
        <f t="shared" si="31"/>
        <v>EC</v>
      </c>
      <c r="AH70" s="111" t="str">
        <f t="shared" si="32"/>
        <v>"%USERPROFILE%\Documents\GitHub\eaglep3\Utilities\RefineRTDCRunTimes.py" --tripid 157-07 --locoid 4025 --swversion DE.1.0.7.0 --startMP 204:449 --initTime 2016-08-07T10:37:39 --startdatetime 2016-08-07T10:39:24 --delay 1 --endMP 204:233303 --enddatetime 2016-08-07T11:21:16 --enforcementcount 0</v>
      </c>
    </row>
    <row r="71" spans="1:34" x14ac:dyDescent="0.25">
      <c r="A71" s="42" t="s">
        <v>411</v>
      </c>
      <c r="B71" s="7">
        <v>4026</v>
      </c>
      <c r="C71" s="25" t="s">
        <v>147</v>
      </c>
      <c r="D71" s="25" t="s">
        <v>412</v>
      </c>
      <c r="E71" s="16">
        <v>42589.477812500001</v>
      </c>
      <c r="F71" s="16">
        <v>42589.482152777775</v>
      </c>
      <c r="G71" s="7">
        <v>6</v>
      </c>
      <c r="H71" s="16" t="s">
        <v>211</v>
      </c>
      <c r="I71" s="16">
        <v>42589.515810185185</v>
      </c>
      <c r="J71" s="7">
        <v>0</v>
      </c>
      <c r="K71" s="25" t="str">
        <f t="shared" si="20"/>
        <v>4025/4026</v>
      </c>
      <c r="L71" s="25" t="str">
        <f>VLOOKUP(A71,'Trips&amp;Operators'!$C$1:$E$10000,3,FALSE)</f>
        <v>HOMIK</v>
      </c>
      <c r="M71" s="6">
        <f t="shared" si="21"/>
        <v>3.365740740991896E-2</v>
      </c>
      <c r="N71" s="7">
        <f t="shared" si="34"/>
        <v>48.466666670283303</v>
      </c>
      <c r="O71" s="7"/>
      <c r="P71" s="7"/>
      <c r="Q71" s="26"/>
      <c r="R71" s="26"/>
      <c r="S71" s="38">
        <f t="shared" si="35"/>
        <v>1</v>
      </c>
      <c r="T71" s="55" t="str">
        <f t="shared" si="22"/>
        <v>Southbound</v>
      </c>
      <c r="U71" s="14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10:28:03-0600',mode:absolute,to:'2016-08-07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1" s="57" t="str">
        <f t="shared" si="24"/>
        <v>N</v>
      </c>
      <c r="X71" s="154">
        <f t="shared" si="33"/>
        <v>1</v>
      </c>
      <c r="Y71" s="72">
        <f t="shared" si="25"/>
        <v>23.2986</v>
      </c>
      <c r="Z71" s="72">
        <f t="shared" si="26"/>
        <v>1.47E-2</v>
      </c>
      <c r="AA71" s="72">
        <f t="shared" si="27"/>
        <v>23.283899999999999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28"/>
        <v>0158-07</v>
      </c>
      <c r="AE71" s="110" t="str">
        <f t="shared" si="29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71" s="107" t="str">
        <f t="shared" si="30"/>
        <v>"C:\Program Files (x86)\AstroGrep\AstroGrep.exe" /spath="%USERPROFILE%\AppData\Local\Temp\OnboardLogs" /stypes="*4026*20160807*" /stext=" 18:.+((SYSTEM_STATE.+slice.+state.+changed )|(ment ac)|(system.+state.+changed )|(\|lc)|(penalty)|(\[timeout)|(PRM\|1\|D)|(kpr)|(kdp))" /e /r /s</v>
      </c>
      <c r="AG71" s="1" t="str">
        <f t="shared" si="31"/>
        <v>EC</v>
      </c>
      <c r="AH71" s="111" t="str">
        <f t="shared" si="32"/>
        <v>"%USERPROFILE%\Documents\GitHub\eaglep3\Utilities\RefineRTDCRunTimes.py" --tripid 158-07 --locoid 4026 --swversion DE.1.0.7.0 --startMP 204:232986 --initTime 2016-08-07T11:28:03 --startdatetime 2016-08-07T11:34:18 --delay 6 --endMP 204:147 --enddatetime 2016-08-07T12:22:46 --enforcementcount 0</v>
      </c>
    </row>
    <row r="72" spans="1:34" x14ac:dyDescent="0.25">
      <c r="A72" s="42" t="s">
        <v>413</v>
      </c>
      <c r="B72" s="7">
        <v>4016</v>
      </c>
      <c r="C72" s="25" t="s">
        <v>147</v>
      </c>
      <c r="D72" s="25" t="s">
        <v>184</v>
      </c>
      <c r="E72" s="16">
        <v>42589.453449074077</v>
      </c>
      <c r="F72" s="16">
        <v>42589.454641203702</v>
      </c>
      <c r="G72" s="7">
        <v>1</v>
      </c>
      <c r="H72" s="16" t="s">
        <v>385</v>
      </c>
      <c r="I72" s="16">
        <v>42589.487210648149</v>
      </c>
      <c r="J72" s="7">
        <v>0</v>
      </c>
      <c r="K72" s="25" t="str">
        <f t="shared" si="20"/>
        <v>4015/4016</v>
      </c>
      <c r="L72" s="25" t="str">
        <f>VLOOKUP(A72,'Trips&amp;Operators'!$C$1:$E$10000,3,FALSE)</f>
        <v>STEWART</v>
      </c>
      <c r="M72" s="6">
        <f t="shared" si="21"/>
        <v>3.2569444447290152E-2</v>
      </c>
      <c r="N72" s="7">
        <f t="shared" si="34"/>
        <v>46.900000004097819</v>
      </c>
      <c r="O72" s="7"/>
      <c r="P72" s="7"/>
      <c r="Q72" s="26"/>
      <c r="R72" s="26"/>
      <c r="S72" s="38">
        <f t="shared" si="35"/>
        <v>1</v>
      </c>
      <c r="T72" s="55" t="str">
        <f t="shared" si="22"/>
        <v>NorthBound</v>
      </c>
      <c r="U72" s="14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09:52:58-0600',mode:absolute,to:'2016-08-07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72" s="57" t="str">
        <f t="shared" si="24"/>
        <v>N</v>
      </c>
      <c r="X72" s="154">
        <f t="shared" si="33"/>
        <v>1</v>
      </c>
      <c r="Y72" s="72">
        <f t="shared" si="25"/>
        <v>4.4600000000000001E-2</v>
      </c>
      <c r="Z72" s="72">
        <f t="shared" si="26"/>
        <v>23.331199999999999</v>
      </c>
      <c r="AA72" s="72">
        <f t="shared" si="27"/>
        <v>23.2866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8"/>
        <v>0159-07</v>
      </c>
      <c r="AE72" s="110" t="str">
        <f t="shared" si="29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72" s="107" t="str">
        <f t="shared" si="30"/>
        <v>"C:\Program Files (x86)\AstroGrep\AstroGrep.exe" /spath="%USERPROFILE%\AppData\Local\Temp\OnboardLogs" /stypes="*4016*20160807*" /stext=" 17:.+((SYSTEM_STATE.+slice.+state.+changed )|(ment ac)|(system.+state.+changed )|(\|lc)|(penalty)|(\[timeout)|(PRM\|1\|D)|(kpr)|(kdp))" /e /r /s</v>
      </c>
      <c r="AG72" s="1" t="str">
        <f t="shared" si="31"/>
        <v>EC</v>
      </c>
      <c r="AH72" s="111" t="str">
        <f t="shared" si="32"/>
        <v>"%USERPROFILE%\Documents\GitHub\eaglep3\Utilities\RefineRTDCRunTimes.py" --tripid 159-07 --locoid 4016 --swversion DE.1.0.7.0 --startMP 204:446 --initTime 2016-08-07T10:52:58 --startdatetime 2016-08-07T10:54:41 --delay 1 --endMP 204:233312 --enddatetime 2016-08-07T11:41:35 --enforcementcount 0</v>
      </c>
    </row>
    <row r="73" spans="1:34" x14ac:dyDescent="0.25">
      <c r="A73" s="42" t="s">
        <v>414</v>
      </c>
      <c r="B73" s="7">
        <v>4015</v>
      </c>
      <c r="C73" s="25" t="s">
        <v>147</v>
      </c>
      <c r="D73" s="25" t="s">
        <v>247</v>
      </c>
      <c r="E73" s="16">
        <v>42589.49454861111</v>
      </c>
      <c r="F73" s="16">
        <v>42589.495648148149</v>
      </c>
      <c r="G73" s="7">
        <v>1</v>
      </c>
      <c r="H73" s="16" t="s">
        <v>131</v>
      </c>
      <c r="I73" s="16">
        <v>42589.524143518516</v>
      </c>
      <c r="J73" s="7">
        <v>0</v>
      </c>
      <c r="K73" s="25" t="str">
        <f t="shared" si="20"/>
        <v>4015/4016</v>
      </c>
      <c r="L73" s="25" t="str">
        <f>VLOOKUP(A73,'Trips&amp;Operators'!$C$1:$E$10000,3,FALSE)</f>
        <v>STEWART</v>
      </c>
      <c r="M73" s="6">
        <f t="shared" si="21"/>
        <v>2.8495370366727002E-2</v>
      </c>
      <c r="N73" s="7">
        <f t="shared" si="34"/>
        <v>41.033333328086883</v>
      </c>
      <c r="O73" s="7"/>
      <c r="P73" s="7"/>
      <c r="Q73" s="26"/>
      <c r="R73" s="26"/>
      <c r="S73" s="38">
        <f t="shared" si="35"/>
        <v>1</v>
      </c>
      <c r="T73" s="55" t="str">
        <f t="shared" si="22"/>
        <v>Southbound</v>
      </c>
      <c r="U73" s="14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10:52:09-0600',mode:absolute,to:'2016-08-07 13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73" s="57" t="str">
        <f t="shared" si="24"/>
        <v>N</v>
      </c>
      <c r="X73" s="154">
        <f t="shared" si="33"/>
        <v>1</v>
      </c>
      <c r="Y73" s="72">
        <f t="shared" si="25"/>
        <v>23.297599999999999</v>
      </c>
      <c r="Z73" s="72">
        <f t="shared" si="26"/>
        <v>1.4999999999999999E-2</v>
      </c>
      <c r="AA73" s="72">
        <f t="shared" si="27"/>
        <v>23.282599999999999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28"/>
        <v>0160-07</v>
      </c>
      <c r="AE73" s="110" t="str">
        <f t="shared" si="29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73" s="107" t="str">
        <f t="shared" si="30"/>
        <v>"C:\Program Files (x86)\AstroGrep\AstroGrep.exe" /spath="%USERPROFILE%\AppData\Local\Temp\OnboardLogs" /stypes="*4015*20160807*" /stext=" 18:.+((SYSTEM_STATE.+slice.+state.+changed )|(ment ac)|(system.+state.+changed )|(\|lc)|(penalty)|(\[timeout)|(PRM\|1\|D)|(kpr)|(kdp))" /e /r /s</v>
      </c>
      <c r="AG73" s="1" t="str">
        <f t="shared" si="31"/>
        <v>EC</v>
      </c>
      <c r="AH73" s="111" t="str">
        <f t="shared" si="32"/>
        <v>"%USERPROFILE%\Documents\GitHub\eaglep3\Utilities\RefineRTDCRunTimes.py" --tripid 160-07 --locoid 4015 --swversion DE.1.0.7.0 --startMP 204:232976 --initTime 2016-08-07T11:52:09 --startdatetime 2016-08-07T11:53:44 --delay 1 --endMP 204:150 --enddatetime 2016-08-07T12:34:46 --enforcementcount 0</v>
      </c>
    </row>
    <row r="74" spans="1:34" x14ac:dyDescent="0.25">
      <c r="A74" s="42" t="s">
        <v>415</v>
      </c>
      <c r="B74" s="7">
        <v>4044</v>
      </c>
      <c r="C74" s="25" t="s">
        <v>147</v>
      </c>
      <c r="D74" s="25" t="s">
        <v>221</v>
      </c>
      <c r="E74" s="16">
        <v>42589.463043981479</v>
      </c>
      <c r="F74" s="16">
        <v>42589.464525462965</v>
      </c>
      <c r="G74" s="7">
        <v>2</v>
      </c>
      <c r="H74" s="16" t="s">
        <v>267</v>
      </c>
      <c r="I74" s="16">
        <v>42589.49554398148</v>
      </c>
      <c r="J74" s="7">
        <v>0</v>
      </c>
      <c r="K74" s="25" t="str">
        <f t="shared" si="20"/>
        <v>4043/4044</v>
      </c>
      <c r="L74" s="25" t="str">
        <f>VLOOKUP(A74,'Trips&amp;Operators'!$C$1:$E$10000,3,FALSE)</f>
        <v>BARTLETT</v>
      </c>
      <c r="M74" s="6">
        <f t="shared" si="21"/>
        <v>3.1018518515338656E-2</v>
      </c>
      <c r="N74" s="7">
        <f t="shared" si="34"/>
        <v>44.666666662087664</v>
      </c>
      <c r="O74" s="7"/>
      <c r="P74" s="7"/>
      <c r="Q74" s="26"/>
      <c r="R74" s="26"/>
      <c r="S74" s="38">
        <f t="shared" si="35"/>
        <v>1</v>
      </c>
      <c r="T74" s="55" t="str">
        <f t="shared" si="22"/>
        <v>NorthBound</v>
      </c>
      <c r="U74" s="14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10:06:47-0600',mode:absolute,to:'2016-08-07 12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74" s="57" t="str">
        <f t="shared" si="24"/>
        <v>N</v>
      </c>
      <c r="X74" s="154">
        <f t="shared" si="33"/>
        <v>1</v>
      </c>
      <c r="Y74" s="72">
        <f t="shared" si="25"/>
        <v>4.53E-2</v>
      </c>
      <c r="Z74" s="72">
        <f t="shared" si="26"/>
        <v>23.329899999999999</v>
      </c>
      <c r="AA74" s="72">
        <f t="shared" si="27"/>
        <v>23.284599999999998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28"/>
        <v>0161-07</v>
      </c>
      <c r="AE74" s="110" t="str">
        <f t="shared" si="29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74" s="107" t="str">
        <f t="shared" si="30"/>
        <v>"C:\Program Files (x86)\AstroGrep\AstroGrep.exe" /spath="%USERPROFILE%\AppData\Local\Temp\OnboardLogs" /stypes="*4044*20160807*" /stext=" 17:.+((SYSTEM_STATE.+slice.+state.+changed )|(ment ac)|(system.+state.+changed )|(\|lc)|(penalty)|(\[timeout)|(PRM\|1\|D)|(kpr)|(kdp))" /e /r /s</v>
      </c>
      <c r="AG74" s="1" t="str">
        <f t="shared" si="31"/>
        <v>EC</v>
      </c>
      <c r="AH74" s="111" t="str">
        <f t="shared" si="32"/>
        <v>"%USERPROFILE%\Documents\GitHub\eaglep3\Utilities\RefineRTDCRunTimes.py" --tripid 161-07 --locoid 4044 --swversion DE.1.0.7.0 --startMP 204:453 --initTime 2016-08-07T11:06:47 --startdatetime 2016-08-07T11:08:55 --delay 2 --endMP 204:233299 --enddatetime 2016-08-07T11:53:35 --enforcementcount 0</v>
      </c>
    </row>
    <row r="75" spans="1:34" x14ac:dyDescent="0.25">
      <c r="A75" s="42" t="s">
        <v>416</v>
      </c>
      <c r="B75" s="7">
        <v>4043</v>
      </c>
      <c r="C75" s="25" t="s">
        <v>147</v>
      </c>
      <c r="D75" s="25" t="s">
        <v>417</v>
      </c>
      <c r="E75" s="16">
        <v>42589.498414351852</v>
      </c>
      <c r="F75" s="16">
        <v>42589.499212962961</v>
      </c>
      <c r="G75" s="7">
        <v>1</v>
      </c>
      <c r="H75" s="16" t="s">
        <v>211</v>
      </c>
      <c r="I75" s="16">
        <v>42589.536504629628</v>
      </c>
      <c r="J75" s="7">
        <v>0</v>
      </c>
      <c r="K75" s="25" t="str">
        <f t="shared" si="20"/>
        <v>4043/4044</v>
      </c>
      <c r="L75" s="25" t="str">
        <f>VLOOKUP(A75,'Trips&amp;Operators'!$C$1:$E$10000,3,FALSE)</f>
        <v>BARTLETT</v>
      </c>
      <c r="M75" s="6">
        <f t="shared" si="21"/>
        <v>3.7291666667442769E-2</v>
      </c>
      <c r="N75" s="7">
        <f t="shared" si="34"/>
        <v>53.700000001117587</v>
      </c>
      <c r="O75" s="7"/>
      <c r="P75" s="7"/>
      <c r="Q75" s="26"/>
      <c r="R75" s="26"/>
      <c r="S75" s="38">
        <f t="shared" si="35"/>
        <v>1</v>
      </c>
      <c r="T75" s="55" t="str">
        <f t="shared" si="22"/>
        <v>Southbound</v>
      </c>
      <c r="U75" s="14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10:57:43-0600',mode:absolute,to:'2016-08-07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75" s="57" t="str">
        <f t="shared" si="24"/>
        <v>N</v>
      </c>
      <c r="X75" s="154">
        <f t="shared" si="33"/>
        <v>1</v>
      </c>
      <c r="Y75" s="72">
        <f t="shared" si="25"/>
        <v>23.2959</v>
      </c>
      <c r="Z75" s="72">
        <f t="shared" si="26"/>
        <v>1.47E-2</v>
      </c>
      <c r="AA75" s="72">
        <f t="shared" si="27"/>
        <v>23.281199999999998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28"/>
        <v>0162-07</v>
      </c>
      <c r="AE75" s="110" t="str">
        <f t="shared" si="29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75" s="107" t="str">
        <f t="shared" si="30"/>
        <v>"C:\Program Files (x86)\AstroGrep\AstroGrep.exe" /spath="%USERPROFILE%\AppData\Local\Temp\OnboardLogs" /stypes="*4043*20160807*" /stext=" 18:.+((SYSTEM_STATE.+slice.+state.+changed )|(ment ac)|(system.+state.+changed )|(\|lc)|(penalty)|(\[timeout)|(PRM\|1\|D)|(kpr)|(kdp))" /e /r /s</v>
      </c>
      <c r="AG75" s="1" t="str">
        <f t="shared" si="31"/>
        <v>EC</v>
      </c>
      <c r="AH75" s="111" t="str">
        <f t="shared" si="32"/>
        <v>"%USERPROFILE%\Documents\GitHub\eaglep3\Utilities\RefineRTDCRunTimes.py" --tripid 162-07 --locoid 4043 --swversion DE.1.0.7.0 --startMP 204:232959 --initTime 2016-08-07T11:57:43 --startdatetime 2016-08-07T11:58:52 --delay 1 --endMP 204:147 --enddatetime 2016-08-07T12:52:34 --enforcementcount 0</v>
      </c>
    </row>
    <row r="76" spans="1:34" x14ac:dyDescent="0.25">
      <c r="A76" s="42" t="s">
        <v>418</v>
      </c>
      <c r="B76" s="7">
        <v>4018</v>
      </c>
      <c r="C76" s="25" t="s">
        <v>147</v>
      </c>
      <c r="D76" s="25" t="s">
        <v>63</v>
      </c>
      <c r="E76" s="16">
        <v>42589.480011574073</v>
      </c>
      <c r="F76" s="16">
        <v>42589.481238425928</v>
      </c>
      <c r="G76" s="7">
        <v>1</v>
      </c>
      <c r="H76" s="16" t="s">
        <v>206</v>
      </c>
      <c r="I76" s="16">
        <v>42589.511759259258</v>
      </c>
      <c r="J76" s="7">
        <v>0</v>
      </c>
      <c r="K76" s="25" t="str">
        <f t="shared" si="20"/>
        <v>4017/4018</v>
      </c>
      <c r="L76" s="25" t="str">
        <f>VLOOKUP(A76,'Trips&amp;Operators'!$C$1:$E$10000,3,FALSE)</f>
        <v>DE LA ROSA</v>
      </c>
      <c r="M76" s="6">
        <f t="shared" si="21"/>
        <v>3.0520833330228925E-2</v>
      </c>
      <c r="N76" s="7">
        <f t="shared" si="34"/>
        <v>43.949999995529652</v>
      </c>
      <c r="O76" s="7"/>
      <c r="P76" s="7"/>
      <c r="Q76" s="26"/>
      <c r="R76" s="26"/>
      <c r="S76" s="38">
        <f t="shared" si="35"/>
        <v>1</v>
      </c>
      <c r="T76" s="55" t="str">
        <f t="shared" si="22"/>
        <v>NorthBound</v>
      </c>
      <c r="U76" s="14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10:31:13-0600',mode:absolute,to:'2016-08-07 13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76" s="57" t="str">
        <f t="shared" si="24"/>
        <v>N</v>
      </c>
      <c r="X76" s="154">
        <f t="shared" si="33"/>
        <v>1</v>
      </c>
      <c r="Y76" s="72">
        <f t="shared" si="25"/>
        <v>4.5999999999999999E-2</v>
      </c>
      <c r="Z76" s="72">
        <f t="shared" si="26"/>
        <v>23.331700000000001</v>
      </c>
      <c r="AA76" s="72">
        <f t="shared" si="27"/>
        <v>23.285700000000002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28"/>
        <v>0163-07</v>
      </c>
      <c r="AE76" s="110" t="str">
        <f t="shared" si="29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76" s="107" t="str">
        <f t="shared" si="30"/>
        <v>"C:\Program Files (x86)\AstroGrep\AstroGrep.exe" /spath="%USERPROFILE%\AppData\Local\Temp\OnboardLogs" /stypes="*4018*20160807*" /stext=" 18:.+((SYSTEM_STATE.+slice.+state.+changed )|(ment ac)|(system.+state.+changed )|(\|lc)|(penalty)|(\[timeout)|(PRM\|1\|D)|(kpr)|(kdp))" /e /r /s</v>
      </c>
      <c r="AG76" s="1" t="str">
        <f t="shared" si="31"/>
        <v>EC</v>
      </c>
      <c r="AH76" s="111" t="str">
        <f t="shared" si="32"/>
        <v>"%USERPROFILE%\Documents\GitHub\eaglep3\Utilities\RefineRTDCRunTimes.py" --tripid 163-07 --locoid 4018 --swversion DE.1.0.7.0 --startMP 204:460 --initTime 2016-08-07T11:31:13 --startdatetime 2016-08-07T11:32:59 --delay 1 --endMP 204:233317 --enddatetime 2016-08-07T12:16:56 --enforcementcount 0</v>
      </c>
    </row>
    <row r="77" spans="1:34" x14ac:dyDescent="0.25">
      <c r="A77" s="42" t="s">
        <v>419</v>
      </c>
      <c r="B77" s="7">
        <v>4017</v>
      </c>
      <c r="C77" s="25" t="s">
        <v>147</v>
      </c>
      <c r="D77" s="25" t="s">
        <v>420</v>
      </c>
      <c r="E77" s="16">
        <v>42589.514884259261</v>
      </c>
      <c r="F77" s="16">
        <v>42589.515868055554</v>
      </c>
      <c r="G77" s="7">
        <v>1</v>
      </c>
      <c r="H77" s="16" t="s">
        <v>239</v>
      </c>
      <c r="I77" s="16">
        <v>42589.547395833331</v>
      </c>
      <c r="J77" s="7">
        <v>0</v>
      </c>
      <c r="K77" s="25" t="str">
        <f t="shared" ref="K77:K108" si="36">IF(ISEVEN(B77),(B77-1)&amp;"/"&amp;B77,B77&amp;"/"&amp;(B77+1))</f>
        <v>4017/4018</v>
      </c>
      <c r="L77" s="25" t="str">
        <f>VLOOKUP(A77,'Trips&amp;Operators'!$C$1:$E$10000,3,FALSE)</f>
        <v>DE LA ROSA</v>
      </c>
      <c r="M77" s="6">
        <f t="shared" ref="M77:M108" si="37">I77-F77</f>
        <v>3.1527777777228039E-2</v>
      </c>
      <c r="N77" s="7">
        <f t="shared" ref="N77:N91" si="38">24*60*SUM($M77:$M77)</f>
        <v>45.399999999208376</v>
      </c>
      <c r="O77" s="7"/>
      <c r="P77" s="7"/>
      <c r="Q77" s="26"/>
      <c r="R77" s="26"/>
      <c r="S77" s="38">
        <f t="shared" ref="S77:S108" si="39">SUM(U77:U77)/IF(AG77="EC",12,1)</f>
        <v>1</v>
      </c>
      <c r="T77" s="55" t="str">
        <f t="shared" ref="T77:T108" si="40">IF(ISEVEN(LEFT(AD77,4)),"Southbound","NorthBound")</f>
        <v>Southbound</v>
      </c>
      <c r="U77" s="14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7" t="str">
        <f t="shared" ref="V77:V108" si="4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https://search-rtdc-monitor-bjffxe2xuh6vdkpspy63sjmuny.us-east-1.es.amazonaws.com/_plugin/kibana/#/discover/Steve-Slow-Train-Analysis-(2080s-and-2083s)?_g=(refreshInterval:(display:Off,section:0,value:0),time:(from:'2016-08-07 11:21:26-0600',mode:absolute,to:'2016-08-07 14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77" s="57" t="str">
        <f t="shared" ref="W77:W108" si="42">IF(AA77&lt;IF(AG77="EC",23,5.65),"Y","N")</f>
        <v>N</v>
      </c>
      <c r="X77" s="154">
        <f t="shared" si="33"/>
        <v>1</v>
      </c>
      <c r="Y77" s="72">
        <f t="shared" ref="Y77:Y108" si="43">RIGHT(D77,LEN(D77)-4)/10000</f>
        <v>23.298100000000002</v>
      </c>
      <c r="Z77" s="72">
        <f t="shared" ref="Z77:Z108" si="44">RIGHT(H77,LEN(H77)-4)/10000</f>
        <v>1.4500000000000001E-2</v>
      </c>
      <c r="AA77" s="72">
        <f t="shared" ref="AA77:AA108" si="45">ABS(Z77-Y77)</f>
        <v>23.2836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ref="AD77:AD108" si="46">IF(LEN(A77)=6,"0"&amp;A77,A77)</f>
        <v>0164-07</v>
      </c>
      <c r="AE77" s="110" t="str">
        <f t="shared" ref="AE77:AE108" si="4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77" s="107" t="str">
        <f t="shared" ref="AF77:AF108" si="48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/stypes="*4017*20160807*" /stext=" 19:.+((SYSTEM_STATE.+slice.+state.+changed )|(ment ac)|(system.+state.+changed )|(\|lc)|(penalty)|(\[timeout)|(PRM\|1\|D)|(kpr)|(kdp))" /e /r /s</v>
      </c>
      <c r="AG77" s="1" t="str">
        <f t="shared" ref="AG77:AG108" si="49">IF(VALUE(LEFT(AD77,2))&lt;=2,"EC",IF(OR(VALUE(LEFT(AD77,2))=8,VALUE(LEFT(AD77,2))=18),"NW","Other"))</f>
        <v>EC</v>
      </c>
      <c r="AH77" s="111" t="str">
        <f t="shared" ref="AH77:AH108" si="5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</f>
        <v>"%USERPROFILE%\Documents\GitHub\eaglep3\Utilities\RefineRTDCRunTimes.py" --tripid 164-07 --locoid 4017 --swversion DE.1.0.7.0 --startMP 204:232981 --initTime 2016-08-07T12:21:26 --startdatetime 2016-08-07T12:22:51 --delay 1 --endMP 204:145 --enddatetime 2016-08-07T13:08:15 --enforcementcount 0</v>
      </c>
    </row>
    <row r="78" spans="1:34" x14ac:dyDescent="0.25">
      <c r="A78" s="42" t="s">
        <v>421</v>
      </c>
      <c r="B78" s="7">
        <v>4029</v>
      </c>
      <c r="C78" s="25" t="s">
        <v>147</v>
      </c>
      <c r="D78" s="25" t="s">
        <v>134</v>
      </c>
      <c r="E78" s="16">
        <v>42589.48883101852</v>
      </c>
      <c r="F78" s="16">
        <v>42589.490069444444</v>
      </c>
      <c r="G78" s="7">
        <v>1</v>
      </c>
      <c r="H78" s="16" t="s">
        <v>216</v>
      </c>
      <c r="I78" s="16">
        <v>42589.521666666667</v>
      </c>
      <c r="J78" s="7">
        <v>0</v>
      </c>
      <c r="K78" s="25" t="str">
        <f t="shared" si="36"/>
        <v>4029/4030</v>
      </c>
      <c r="L78" s="25" t="str">
        <f>VLOOKUP(A78,'Trips&amp;Operators'!$C$1:$E$10000,3,FALSE)</f>
        <v>MOSES</v>
      </c>
      <c r="M78" s="6">
        <f t="shared" si="37"/>
        <v>3.1597222223354038E-2</v>
      </c>
      <c r="N78" s="7">
        <f t="shared" si="38"/>
        <v>45.500000001629815</v>
      </c>
      <c r="O78" s="7"/>
      <c r="P78" s="7"/>
      <c r="Q78" s="26"/>
      <c r="R78" s="26"/>
      <c r="S78" s="38">
        <f t="shared" si="39"/>
        <v>1</v>
      </c>
      <c r="T78" s="55" t="str">
        <f t="shared" si="40"/>
        <v>NorthBound</v>
      </c>
      <c r="U78" s="14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10:43:55-0600',mode:absolute,to:'2016-08-07 13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78" s="57" t="str">
        <f t="shared" si="42"/>
        <v>N</v>
      </c>
      <c r="X78" s="154">
        <f t="shared" ref="X78:X109" si="51">VALUE(LEFT(AD78,4))-VALUE(LEFT(AD77,4))</f>
        <v>1</v>
      </c>
      <c r="Y78" s="72">
        <f t="shared" si="43"/>
        <v>4.6199999999999998E-2</v>
      </c>
      <c r="Z78" s="72">
        <f t="shared" si="44"/>
        <v>23.3337</v>
      </c>
      <c r="AA78" s="72">
        <f t="shared" si="45"/>
        <v>23.287500000000001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46"/>
        <v>0165-07</v>
      </c>
      <c r="AE78" s="110" t="str">
        <f t="shared" si="47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78" s="107" t="str">
        <f t="shared" si="48"/>
        <v>"C:\Program Files (x86)\AstroGrep\AstroGrep.exe" /spath="%USERPROFILE%\AppData\Local\Temp\OnboardLogs" /stypes="*4029*20160807*" /stext=" 18:.+((SYSTEM_STATE.+slice.+state.+changed )|(ment ac)|(system.+state.+changed )|(\|lc)|(penalty)|(\[timeout)|(PRM\|1\|D)|(kpr)|(kdp))" /e /r /s</v>
      </c>
      <c r="AG78" s="1" t="str">
        <f t="shared" si="49"/>
        <v>EC</v>
      </c>
      <c r="AH78" s="111" t="str">
        <f t="shared" si="50"/>
        <v>"%USERPROFILE%\Documents\GitHub\eaglep3\Utilities\RefineRTDCRunTimes.py" --tripid 165-07 --locoid 4029 --swversion DE.1.0.7.0 --startMP 204:462 --initTime 2016-08-07T11:43:55 --startdatetime 2016-08-07T11:45:42 --delay 1 --endMP 204:233337 --enddatetime 2016-08-07T12:31:12 --enforcementcount 0</v>
      </c>
    </row>
    <row r="79" spans="1:34" x14ac:dyDescent="0.25">
      <c r="A79" s="42" t="s">
        <v>316</v>
      </c>
      <c r="B79" s="7">
        <v>4030</v>
      </c>
      <c r="C79" s="25" t="s">
        <v>147</v>
      </c>
      <c r="D79" s="25" t="s">
        <v>204</v>
      </c>
      <c r="E79" s="16">
        <v>42589.525706018518</v>
      </c>
      <c r="F79" s="16">
        <v>42589.526898148149</v>
      </c>
      <c r="G79" s="7">
        <v>1</v>
      </c>
      <c r="H79" s="16" t="s">
        <v>241</v>
      </c>
      <c r="I79" s="16">
        <v>42589.557372685187</v>
      </c>
      <c r="J79" s="7">
        <v>1</v>
      </c>
      <c r="K79" s="25" t="str">
        <f t="shared" si="36"/>
        <v>4029/4030</v>
      </c>
      <c r="L79" s="25" t="str">
        <f>VLOOKUP(A79,'Trips&amp;Operators'!$C$1:$E$10000,3,FALSE)</f>
        <v>MOSES</v>
      </c>
      <c r="M79" s="6">
        <f t="shared" si="37"/>
        <v>3.047453703766223E-2</v>
      </c>
      <c r="N79" s="7">
        <f t="shared" si="38"/>
        <v>43.883333334233612</v>
      </c>
      <c r="O79" s="7"/>
      <c r="P79" s="7"/>
      <c r="Q79" s="26"/>
      <c r="R79" s="26"/>
      <c r="S79" s="38">
        <f t="shared" si="39"/>
        <v>1</v>
      </c>
      <c r="T79" s="55" t="str">
        <f t="shared" si="40"/>
        <v>Southbound</v>
      </c>
      <c r="U79" s="14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9" s="57" t="str">
        <f t="shared" si="42"/>
        <v>N</v>
      </c>
      <c r="X79" s="154">
        <f t="shared" si="51"/>
        <v>1</v>
      </c>
      <c r="Y79" s="72">
        <f t="shared" si="43"/>
        <v>23.301300000000001</v>
      </c>
      <c r="Z79" s="72">
        <f t="shared" si="44"/>
        <v>1.6500000000000001E-2</v>
      </c>
      <c r="AA79" s="72">
        <f t="shared" si="45"/>
        <v>23.284800000000001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46"/>
        <v>0166-07</v>
      </c>
      <c r="AE79" s="110" t="str">
        <f t="shared" si="47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79" s="107" t="str">
        <f t="shared" si="48"/>
        <v>"C:\Program Files (x86)\AstroGrep\AstroGrep.exe" /spath="%USERPROFILE%\AppData\Local\Temp\OnboardLogs" /stypes="*4030*20160807*" /stext=" 19:.+((SYSTEM_STATE.+slice.+state.+changed )|(ment ac)|(system.+state.+changed )|(\|lc)|(penalty)|(\[timeout)|(PRM\|1\|D)|(kpr)|(kdp))" /e /r /s</v>
      </c>
      <c r="AG79" s="1" t="str">
        <f t="shared" si="49"/>
        <v>EC</v>
      </c>
      <c r="AH79" s="111" t="str">
        <f t="shared" si="50"/>
        <v>"%USERPROFILE%\Documents\GitHub\eaglep3\Utilities\RefineRTDCRunTimes.py" --tripid 166-07 --locoid 4030 --swversion DE.1.0.7.0 --startMP 204:233013 --initTime 2016-08-07T12:37:01 --startdatetime 2016-08-07T12:38:44 --delay 1 --endMP 204:165 --enddatetime 2016-08-07T13:22:37 --enforcementcount 1</v>
      </c>
    </row>
    <row r="80" spans="1:34" x14ac:dyDescent="0.25">
      <c r="A80" s="42" t="s">
        <v>422</v>
      </c>
      <c r="B80" s="7">
        <v>4038</v>
      </c>
      <c r="C80" s="25" t="s">
        <v>147</v>
      </c>
      <c r="D80" s="25" t="s">
        <v>134</v>
      </c>
      <c r="E80" s="16">
        <v>42589.500219907408</v>
      </c>
      <c r="F80" s="16">
        <v>42589.501666666663</v>
      </c>
      <c r="G80" s="7">
        <v>2</v>
      </c>
      <c r="H80" s="16" t="s">
        <v>214</v>
      </c>
      <c r="I80" s="16">
        <v>42589.529166666667</v>
      </c>
      <c r="J80" s="7">
        <v>0</v>
      </c>
      <c r="K80" s="25" t="str">
        <f t="shared" si="36"/>
        <v>4037/4038</v>
      </c>
      <c r="L80" s="25" t="str">
        <f>VLOOKUP(A80,'Trips&amp;Operators'!$C$1:$E$10000,3,FALSE)</f>
        <v>YOUNG</v>
      </c>
      <c r="M80" s="6">
        <f t="shared" si="37"/>
        <v>2.7500000003783498E-2</v>
      </c>
      <c r="N80" s="7">
        <f t="shared" si="38"/>
        <v>39.600000005448237</v>
      </c>
      <c r="O80" s="7"/>
      <c r="P80" s="7"/>
      <c r="Q80" s="26"/>
      <c r="R80" s="26"/>
      <c r="S80" s="38">
        <f t="shared" si="39"/>
        <v>1</v>
      </c>
      <c r="T80" s="55" t="str">
        <f t="shared" si="40"/>
        <v>NorthBound</v>
      </c>
      <c r="U80" s="14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11:00:19-0600',mode:absolute,to:'2016-08-07 13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80" s="57" t="str">
        <f t="shared" si="42"/>
        <v>N</v>
      </c>
      <c r="X80" s="154">
        <f t="shared" si="51"/>
        <v>1</v>
      </c>
      <c r="Y80" s="72">
        <f t="shared" si="43"/>
        <v>4.6199999999999998E-2</v>
      </c>
      <c r="Z80" s="72">
        <f t="shared" si="44"/>
        <v>23.332899999999999</v>
      </c>
      <c r="AA80" s="72">
        <f t="shared" si="45"/>
        <v>23.2867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46"/>
        <v>0167-07</v>
      </c>
      <c r="AE80" s="110" t="str">
        <f t="shared" si="47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80" s="107" t="str">
        <f t="shared" si="48"/>
        <v>"C:\Program Files (x86)\AstroGrep\AstroGrep.exe" /spath="%USERPROFILE%\AppData\Local\Temp\OnboardLogs" /stypes="*4038*20160807*" /stext=" 18:.+((SYSTEM_STATE.+slice.+state.+changed )|(ment ac)|(system.+state.+changed )|(\|lc)|(penalty)|(\[timeout)|(PRM\|1\|D)|(kpr)|(kdp))" /e /r /s</v>
      </c>
      <c r="AG80" s="1" t="str">
        <f t="shared" si="49"/>
        <v>EC</v>
      </c>
      <c r="AH80" s="111" t="str">
        <f t="shared" si="50"/>
        <v>"%USERPROFILE%\Documents\GitHub\eaglep3\Utilities\RefineRTDCRunTimes.py" --tripid 167-07 --locoid 4038 --swversion DE.1.0.7.0 --startMP 204:462 --initTime 2016-08-07T12:00:19 --startdatetime 2016-08-07T12:02:24 --delay 2 --endMP 204:233329 --enddatetime 2016-08-07T12:42:00 --enforcementcount 0</v>
      </c>
    </row>
    <row r="81" spans="1:34" x14ac:dyDescent="0.25">
      <c r="A81" s="42" t="s">
        <v>317</v>
      </c>
      <c r="B81" s="7">
        <v>4037</v>
      </c>
      <c r="C81" s="25" t="s">
        <v>147</v>
      </c>
      <c r="D81" s="25" t="s">
        <v>197</v>
      </c>
      <c r="E81" s="16">
        <v>42589.532581018517</v>
      </c>
      <c r="F81" s="16">
        <v>42589.533819444441</v>
      </c>
      <c r="G81" s="7">
        <v>1</v>
      </c>
      <c r="H81" s="16" t="s">
        <v>224</v>
      </c>
      <c r="I81" s="16">
        <v>42589.569328703707</v>
      </c>
      <c r="J81" s="7">
        <v>1</v>
      </c>
      <c r="K81" s="25" t="str">
        <f t="shared" si="36"/>
        <v>4037/4038</v>
      </c>
      <c r="L81" s="25" t="str">
        <f>VLOOKUP(A81,'Trips&amp;Operators'!$C$1:$E$10000,3,FALSE)</f>
        <v>YOUNG</v>
      </c>
      <c r="M81" s="6">
        <f t="shared" si="37"/>
        <v>3.5509259265381843E-2</v>
      </c>
      <c r="N81" s="7">
        <f t="shared" si="38"/>
        <v>51.133333342149854</v>
      </c>
      <c r="O81" s="7"/>
      <c r="P81" s="7"/>
      <c r="Q81" s="26"/>
      <c r="R81" s="26"/>
      <c r="S81" s="38">
        <f t="shared" si="39"/>
        <v>1</v>
      </c>
      <c r="T81" s="55" t="str">
        <f t="shared" si="40"/>
        <v>Southbound</v>
      </c>
      <c r="U81" s="14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1" s="57" t="str">
        <f t="shared" si="42"/>
        <v>N</v>
      </c>
      <c r="X81" s="154">
        <f t="shared" si="51"/>
        <v>1</v>
      </c>
      <c r="Y81" s="72">
        <f t="shared" si="43"/>
        <v>23.3</v>
      </c>
      <c r="Z81" s="72">
        <f t="shared" si="44"/>
        <v>1.6E-2</v>
      </c>
      <c r="AA81" s="72">
        <f t="shared" si="45"/>
        <v>23.284000000000002</v>
      </c>
      <c r="AB81" s="69">
        <f>VLOOKUP(A81,Enforcements!$C$7:$J$24,8,0)</f>
        <v>21848</v>
      </c>
      <c r="AC81" s="65" t="str">
        <f>VLOOKUP(A81,Enforcements!$C$7:$E$24,3,0)</f>
        <v>PERMANENT SPEED RESTRICTION</v>
      </c>
      <c r="AD81" s="66" t="str">
        <f t="shared" si="46"/>
        <v>0168-07</v>
      </c>
      <c r="AE81" s="110" t="str">
        <f t="shared" si="47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81" s="107" t="str">
        <f t="shared" si="48"/>
        <v>"C:\Program Files (x86)\AstroGrep\AstroGrep.exe" /spath="%USERPROFILE%\AppData\Local\Temp\OnboardLogs" /stypes="*4037*20160807*" /stext=" 19:.+((SYSTEM_STATE.+slice.+state.+changed )|(ment ac)|(system.+state.+changed )|(\|lc)|(penalty)|(\[timeout)|(PRM\|1\|D)|(kpr)|(kdp))" /e /r /s</v>
      </c>
      <c r="AG81" s="1" t="str">
        <f t="shared" si="49"/>
        <v>EC</v>
      </c>
      <c r="AH81" s="111" t="str">
        <f t="shared" si="50"/>
        <v>"%USERPROFILE%\Documents\GitHub\eaglep3\Utilities\RefineRTDCRunTimes.py" --tripid 168-07 --locoid 4037 --swversion DE.1.0.7.0 --startMP 204:233000 --initTime 2016-08-07T12:46:55 --startdatetime 2016-08-07T12:48:42 --delay 1 --endMP 204:160 --enddatetime 2016-08-07T13:39:50 --enforcementcount 1</v>
      </c>
    </row>
    <row r="82" spans="1:34" x14ac:dyDescent="0.25">
      <c r="A82" s="42" t="s">
        <v>423</v>
      </c>
      <c r="B82" s="7">
        <v>4007</v>
      </c>
      <c r="C82" s="25" t="s">
        <v>147</v>
      </c>
      <c r="D82" s="25" t="s">
        <v>178</v>
      </c>
      <c r="E82" s="16">
        <v>42589.509664351855</v>
      </c>
      <c r="F82" s="16">
        <v>42589.511157407411</v>
      </c>
      <c r="G82" s="7">
        <v>2</v>
      </c>
      <c r="H82" s="16" t="s">
        <v>144</v>
      </c>
      <c r="I82" s="16">
        <v>42589.537800925929</v>
      </c>
      <c r="J82" s="7">
        <v>0</v>
      </c>
      <c r="K82" s="25" t="str">
        <f t="shared" si="36"/>
        <v>4007/4008</v>
      </c>
      <c r="L82" s="25" t="str">
        <f>VLOOKUP(A82,'Trips&amp;Operators'!$C$1:$E$10000,3,FALSE)</f>
        <v>MAYBERRY</v>
      </c>
      <c r="M82" s="6">
        <f t="shared" si="37"/>
        <v>2.6643518518540077E-2</v>
      </c>
      <c r="N82" s="7">
        <f t="shared" si="38"/>
        <v>38.366666666697711</v>
      </c>
      <c r="O82" s="7"/>
      <c r="P82" s="7"/>
      <c r="Q82" s="26"/>
      <c r="R82" s="26"/>
      <c r="S82" s="38">
        <f t="shared" si="39"/>
        <v>1</v>
      </c>
      <c r="T82" s="55" t="str">
        <f t="shared" si="40"/>
        <v>NorthBound</v>
      </c>
      <c r="U82" s="14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11:13:55-0600',mode:absolute,to:'2016-08-07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82" s="57" t="str">
        <f t="shared" si="42"/>
        <v>N</v>
      </c>
      <c r="X82" s="154">
        <f t="shared" si="51"/>
        <v>1</v>
      </c>
      <c r="Y82" s="72">
        <f t="shared" si="43"/>
        <v>4.5699999999999998E-2</v>
      </c>
      <c r="Z82" s="72">
        <f t="shared" si="44"/>
        <v>23.329499999999999</v>
      </c>
      <c r="AA82" s="72">
        <f t="shared" si="45"/>
        <v>23.283799999999999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6"/>
        <v>0169-07</v>
      </c>
      <c r="AE82" s="110" t="str">
        <f t="shared" si="47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82" s="107" t="str">
        <f t="shared" si="48"/>
        <v>"C:\Program Files (x86)\AstroGrep\AstroGrep.exe" /spath="%USERPROFILE%\AppData\Local\Temp\OnboardLogs" /stypes="*4007*20160807*" /stext=" 18:.+((SYSTEM_STATE.+slice.+state.+changed )|(ment ac)|(system.+state.+changed )|(\|lc)|(penalty)|(\[timeout)|(PRM\|1\|D)|(kpr)|(kdp))" /e /r /s</v>
      </c>
      <c r="AG82" s="1" t="str">
        <f t="shared" si="49"/>
        <v>EC</v>
      </c>
      <c r="AH82" s="111" t="str">
        <f t="shared" si="50"/>
        <v>"%USERPROFILE%\Documents\GitHub\eaglep3\Utilities\RefineRTDCRunTimes.py" --tripid 169-07 --locoid 4007 --swversion DE.1.0.7.0 --startMP 204:457 --initTime 2016-08-07T12:13:55 --startdatetime 2016-08-07T12:16:04 --delay 2 --endMP 204:233295 --enddatetime 2016-08-07T12:54:26 --enforcementcount 0</v>
      </c>
    </row>
    <row r="83" spans="1:34" x14ac:dyDescent="0.25">
      <c r="A83" s="42" t="s">
        <v>318</v>
      </c>
      <c r="B83" s="7">
        <v>4008</v>
      </c>
      <c r="C83" s="25" t="s">
        <v>147</v>
      </c>
      <c r="D83" s="25" t="s">
        <v>226</v>
      </c>
      <c r="E83" s="16">
        <v>42589.543599537035</v>
      </c>
      <c r="F83" s="16">
        <v>42589.545567129629</v>
      </c>
      <c r="G83" s="7">
        <v>2</v>
      </c>
      <c r="H83" s="16" t="s">
        <v>58</v>
      </c>
      <c r="I83" s="16">
        <v>42589.580983796295</v>
      </c>
      <c r="J83" s="7">
        <v>1</v>
      </c>
      <c r="K83" s="25" t="str">
        <f t="shared" si="36"/>
        <v>4007/4008</v>
      </c>
      <c r="L83" s="25" t="str">
        <f>VLOOKUP(A83,'Trips&amp;Operators'!$C$1:$E$10000,3,FALSE)</f>
        <v>MAYBERRY</v>
      </c>
      <c r="M83" s="6">
        <f t="shared" si="37"/>
        <v>3.5416666665696539E-2</v>
      </c>
      <c r="N83" s="7">
        <f t="shared" si="38"/>
        <v>50.999999998603016</v>
      </c>
      <c r="O83" s="7"/>
      <c r="P83" s="7"/>
      <c r="Q83" s="26"/>
      <c r="R83" s="26"/>
      <c r="S83" s="38">
        <f t="shared" si="39"/>
        <v>1</v>
      </c>
      <c r="T83" s="55" t="str">
        <f t="shared" si="40"/>
        <v>Southbound</v>
      </c>
      <c r="U83" s="14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83" s="57" t="str">
        <f t="shared" si="42"/>
        <v>N</v>
      </c>
      <c r="X83" s="154">
        <f t="shared" si="51"/>
        <v>1</v>
      </c>
      <c r="Y83" s="72">
        <f t="shared" si="43"/>
        <v>23.296900000000001</v>
      </c>
      <c r="Z83" s="72">
        <f t="shared" si="44"/>
        <v>1.52E-2</v>
      </c>
      <c r="AA83" s="72">
        <f t="shared" si="45"/>
        <v>23.281700000000001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46"/>
        <v>0170-07</v>
      </c>
      <c r="AE83" s="110" t="str">
        <f t="shared" si="47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83" s="107" t="str">
        <f t="shared" si="48"/>
        <v>"C:\Program Files (x86)\AstroGrep\AstroGrep.exe" /spath="%USERPROFILE%\AppData\Local\Temp\OnboardLogs" /stypes="*4008*20160807*" /stext=" 19:.+((SYSTEM_STATE.+slice.+state.+changed )|(ment ac)|(system.+state.+changed )|(\|lc)|(penalty)|(\[timeout)|(PRM\|1\|D)|(kpr)|(kdp))" /e /r /s</v>
      </c>
      <c r="AG83" s="1" t="str">
        <f t="shared" si="49"/>
        <v>EC</v>
      </c>
      <c r="AH83" s="111" t="str">
        <f t="shared" si="50"/>
        <v>"%USERPROFILE%\Documents\GitHub\eaglep3\Utilities\RefineRTDCRunTimes.py" --tripid 170-07 --locoid 4008 --swversion DE.1.0.7.0 --startMP 204:232969 --initTime 2016-08-07T13:02:47 --startdatetime 2016-08-07T13:05:37 --delay 2 --endMP 204:152 --enddatetime 2016-08-07T13:56:37 --enforcementcount 1</v>
      </c>
    </row>
    <row r="84" spans="1:34" x14ac:dyDescent="0.25">
      <c r="A84" s="42" t="s">
        <v>424</v>
      </c>
      <c r="B84" s="7">
        <v>4025</v>
      </c>
      <c r="C84" s="25" t="s">
        <v>147</v>
      </c>
      <c r="D84" s="25" t="s">
        <v>132</v>
      </c>
      <c r="E84" s="16">
        <v>42589.517928240741</v>
      </c>
      <c r="F84" s="16">
        <v>42589.519270833334</v>
      </c>
      <c r="G84" s="7">
        <v>1</v>
      </c>
      <c r="H84" s="16" t="s">
        <v>205</v>
      </c>
      <c r="I84" s="16">
        <v>42589.546655092592</v>
      </c>
      <c r="J84" s="7">
        <v>0</v>
      </c>
      <c r="K84" s="25" t="str">
        <f t="shared" si="36"/>
        <v>4025/4026</v>
      </c>
      <c r="L84" s="25" t="str">
        <f>VLOOKUP(A84,'Trips&amp;Operators'!$C$1:$E$10000,3,FALSE)</f>
        <v>SHOOK</v>
      </c>
      <c r="M84" s="6">
        <f t="shared" si="37"/>
        <v>2.7384259257814847E-2</v>
      </c>
      <c r="N84" s="7">
        <f t="shared" si="38"/>
        <v>39.43333333125338</v>
      </c>
      <c r="O84" s="7"/>
      <c r="P84" s="7"/>
      <c r="Q84" s="26"/>
      <c r="R84" s="26"/>
      <c r="S84" s="38">
        <f t="shared" si="39"/>
        <v>1</v>
      </c>
      <c r="T84" s="55" t="str">
        <f t="shared" si="40"/>
        <v>NorthBound</v>
      </c>
      <c r="U84" s="14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11:25:49-0600',mode:absolute,to:'2016-08-07 14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4" s="57" t="str">
        <f t="shared" si="42"/>
        <v>N</v>
      </c>
      <c r="X84" s="154">
        <f t="shared" si="51"/>
        <v>1</v>
      </c>
      <c r="Y84" s="72">
        <f t="shared" si="43"/>
        <v>4.6399999999999997E-2</v>
      </c>
      <c r="Z84" s="72">
        <f t="shared" si="44"/>
        <v>23.331499999999998</v>
      </c>
      <c r="AA84" s="72">
        <f t="shared" si="45"/>
        <v>23.2851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46"/>
        <v>0171-07</v>
      </c>
      <c r="AE84" s="110" t="str">
        <f t="shared" si="47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84" s="107" t="str">
        <f t="shared" si="48"/>
        <v>"C:\Program Files (x86)\AstroGrep\AstroGrep.exe" /spath="%USERPROFILE%\AppData\Local\Temp\OnboardLogs" /stypes="*4025*20160807*" /stext=" 19:.+((SYSTEM_STATE.+slice.+state.+changed )|(ment ac)|(system.+state.+changed )|(\|lc)|(penalty)|(\[timeout)|(PRM\|1\|D)|(kpr)|(kdp))" /e /r /s</v>
      </c>
      <c r="AG84" s="1" t="str">
        <f t="shared" si="49"/>
        <v>EC</v>
      </c>
      <c r="AH84" s="111" t="str">
        <f t="shared" si="50"/>
        <v>"%USERPROFILE%\Documents\GitHub\eaglep3\Utilities\RefineRTDCRunTimes.py" --tripid 171-07 --locoid 4025 --swversion DE.1.0.7.0 --startMP 204:464 --initTime 2016-08-07T12:25:49 --startdatetime 2016-08-07T12:27:45 --delay 1 --endMP 204:233315 --enddatetime 2016-08-07T13:07:11 --enforcementcount 0</v>
      </c>
    </row>
    <row r="85" spans="1:34" x14ac:dyDescent="0.25">
      <c r="A85" s="42" t="s">
        <v>425</v>
      </c>
      <c r="B85" s="7">
        <v>4026</v>
      </c>
      <c r="C85" s="25" t="s">
        <v>147</v>
      </c>
      <c r="D85" s="25" t="s">
        <v>426</v>
      </c>
      <c r="E85" s="16">
        <v>42589.554988425924</v>
      </c>
      <c r="F85" s="16">
        <v>42589.556111111109</v>
      </c>
      <c r="G85" s="7">
        <v>1</v>
      </c>
      <c r="H85" s="16" t="s">
        <v>211</v>
      </c>
      <c r="I85" s="16">
        <v>42589.586828703701</v>
      </c>
      <c r="J85" s="7">
        <v>0</v>
      </c>
      <c r="K85" s="25" t="str">
        <f t="shared" si="36"/>
        <v>4025/4026</v>
      </c>
      <c r="L85" s="25" t="str">
        <f>VLOOKUP(A85,'Trips&amp;Operators'!$C$1:$E$10000,3,FALSE)</f>
        <v>SHOOK</v>
      </c>
      <c r="M85" s="6">
        <f t="shared" si="37"/>
        <v>3.071759259182727E-2</v>
      </c>
      <c r="N85" s="7">
        <f t="shared" si="38"/>
        <v>44.233333332231268</v>
      </c>
      <c r="O85" s="7"/>
      <c r="P85" s="7"/>
      <c r="Q85" s="26"/>
      <c r="R85" s="26"/>
      <c r="S85" s="38">
        <f t="shared" si="39"/>
        <v>1</v>
      </c>
      <c r="T85" s="55" t="str">
        <f t="shared" si="40"/>
        <v>Southbound</v>
      </c>
      <c r="U85" s="14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12:19:11-0600',mode:absolute,to:'2016-08-07 15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85" s="57" t="str">
        <f t="shared" si="42"/>
        <v>N</v>
      </c>
      <c r="X85" s="154">
        <f t="shared" si="51"/>
        <v>1</v>
      </c>
      <c r="Y85" s="72">
        <f t="shared" si="43"/>
        <v>23.301500000000001</v>
      </c>
      <c r="Z85" s="72">
        <f t="shared" si="44"/>
        <v>1.47E-2</v>
      </c>
      <c r="AA85" s="72">
        <f t="shared" si="45"/>
        <v>23.286799999999999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46"/>
        <v>0172-07</v>
      </c>
      <c r="AE85" s="110" t="str">
        <f t="shared" si="47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85" s="107" t="str">
        <f t="shared" si="48"/>
        <v>"C:\Program Files (x86)\AstroGrep\AstroGrep.exe" /spath="%USERPROFILE%\AppData\Local\Temp\OnboardLogs" /stypes="*4026*20160807*" /stext=" 20:.+((SYSTEM_STATE.+slice.+state.+changed )|(ment ac)|(system.+state.+changed )|(\|lc)|(penalty)|(\[timeout)|(PRM\|1\|D)|(kpr)|(kdp))" /e /r /s</v>
      </c>
      <c r="AG85" s="1" t="str">
        <f t="shared" si="49"/>
        <v>EC</v>
      </c>
      <c r="AH85" s="111" t="str">
        <f t="shared" si="50"/>
        <v>"%USERPROFILE%\Documents\GitHub\eaglep3\Utilities\RefineRTDCRunTimes.py" --tripid 172-07 --locoid 4026 --swversion DE.1.0.7.0 --startMP 204:233015 --initTime 2016-08-07T13:19:11 --startdatetime 2016-08-07T13:20:48 --delay 1 --endMP 204:147 --enddatetime 2016-08-07T14:05:02 --enforcementcount 0</v>
      </c>
    </row>
    <row r="86" spans="1:34" x14ac:dyDescent="0.25">
      <c r="A86" s="42" t="s">
        <v>315</v>
      </c>
      <c r="B86" s="7">
        <v>4016</v>
      </c>
      <c r="C86" s="25" t="s">
        <v>147</v>
      </c>
      <c r="D86" s="25" t="s">
        <v>235</v>
      </c>
      <c r="E86" s="16">
        <v>42589.526875000003</v>
      </c>
      <c r="F86" s="16">
        <v>42589.527881944443</v>
      </c>
      <c r="G86" s="7">
        <v>1</v>
      </c>
      <c r="H86" s="16" t="s">
        <v>245</v>
      </c>
      <c r="I86" s="16">
        <v>42589.560370370367</v>
      </c>
      <c r="J86" s="7">
        <v>1</v>
      </c>
      <c r="K86" s="25" t="str">
        <f t="shared" si="36"/>
        <v>4015/4016</v>
      </c>
      <c r="L86" s="25" t="str">
        <f>VLOOKUP(A86,'Trips&amp;Operators'!$C$1:$E$10000,3,FALSE)</f>
        <v>STEWART</v>
      </c>
      <c r="M86" s="6">
        <f t="shared" si="37"/>
        <v>3.2488425924384501E-2</v>
      </c>
      <c r="N86" s="7">
        <f t="shared" si="38"/>
        <v>46.783333331113681</v>
      </c>
      <c r="O86" s="7"/>
      <c r="P86" s="7"/>
      <c r="Q86" s="26"/>
      <c r="R86" s="26"/>
      <c r="S86" s="38">
        <f t="shared" si="39"/>
        <v>1</v>
      </c>
      <c r="T86" s="55" t="str">
        <f t="shared" si="40"/>
        <v>NorthBound</v>
      </c>
      <c r="U86" s="14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86" s="57" t="str">
        <f t="shared" si="42"/>
        <v>N</v>
      </c>
      <c r="X86" s="154">
        <f t="shared" si="51"/>
        <v>1</v>
      </c>
      <c r="Y86" s="72">
        <f t="shared" si="43"/>
        <v>4.7699999999999999E-2</v>
      </c>
      <c r="Z86" s="72">
        <f t="shared" si="44"/>
        <v>23.330500000000001</v>
      </c>
      <c r="AA86" s="72">
        <f t="shared" si="45"/>
        <v>23.282800000000002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46"/>
        <v>0173-07</v>
      </c>
      <c r="AE86" s="110" t="str">
        <f t="shared" si="47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86" s="107" t="str">
        <f t="shared" si="48"/>
        <v>"C:\Program Files (x86)\AstroGrep\AstroGrep.exe" /spath="%USERPROFILE%\AppData\Local\Temp\OnboardLogs" /stypes="*4016*20160807*" /stext=" 19:.+((SYSTEM_STATE.+slice.+state.+changed )|(ment ac)|(system.+state.+changed )|(\|lc)|(penalty)|(\[timeout)|(PRM\|1\|D)|(kpr)|(kdp))" /e /r /s</v>
      </c>
      <c r="AG86" s="1" t="str">
        <f t="shared" si="49"/>
        <v>EC</v>
      </c>
      <c r="AH86" s="111" t="str">
        <f t="shared" si="50"/>
        <v>"%USERPROFILE%\Documents\GitHub\eaglep3\Utilities\RefineRTDCRunTimes.py" --tripid 173-07 --locoid 4016 --swversion DE.1.0.7.0 --startMP 204:477 --initTime 2016-08-07T12:38:42 --startdatetime 2016-08-07T12:40:09 --delay 1 --endMP 204:233305 --enddatetime 2016-08-07T13:26:56 --enforcementcount 1</v>
      </c>
    </row>
    <row r="87" spans="1:34" x14ac:dyDescent="0.25">
      <c r="A87" s="42" t="s">
        <v>427</v>
      </c>
      <c r="B87" s="7">
        <v>4015</v>
      </c>
      <c r="C87" s="25" t="s">
        <v>147</v>
      </c>
      <c r="D87" s="25" t="s">
        <v>192</v>
      </c>
      <c r="E87" s="16">
        <v>42589.566851851851</v>
      </c>
      <c r="F87" s="16">
        <v>42589.567812499998</v>
      </c>
      <c r="G87" s="7">
        <v>1</v>
      </c>
      <c r="H87" s="16" t="s">
        <v>198</v>
      </c>
      <c r="I87" s="16">
        <v>42589.598356481481</v>
      </c>
      <c r="J87" s="7">
        <v>0</v>
      </c>
      <c r="K87" s="25" t="str">
        <f t="shared" si="36"/>
        <v>4015/4016</v>
      </c>
      <c r="L87" s="25" t="str">
        <f>VLOOKUP(A87,'Trips&amp;Operators'!$C$1:$E$10000,3,FALSE)</f>
        <v>STEWART</v>
      </c>
      <c r="M87" s="6">
        <f t="shared" si="37"/>
        <v>3.054398148378823E-2</v>
      </c>
      <c r="N87" s="7">
        <f t="shared" si="38"/>
        <v>43.983333336655051</v>
      </c>
      <c r="O87" s="7"/>
      <c r="P87" s="7"/>
      <c r="Q87" s="26"/>
      <c r="R87" s="26"/>
      <c r="S87" s="38">
        <f t="shared" si="39"/>
        <v>1</v>
      </c>
      <c r="T87" s="55" t="str">
        <f t="shared" si="40"/>
        <v>Southbound</v>
      </c>
      <c r="U87" s="14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12:36:16-0600',mode:absolute,to:'2016-08-07 15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87" s="57" t="str">
        <f t="shared" si="42"/>
        <v>N</v>
      </c>
      <c r="X87" s="154">
        <f t="shared" si="51"/>
        <v>1</v>
      </c>
      <c r="Y87" s="72">
        <f t="shared" si="43"/>
        <v>23.297799999999999</v>
      </c>
      <c r="Z87" s="72">
        <f t="shared" si="44"/>
        <v>1.5800000000000002E-2</v>
      </c>
      <c r="AA87" s="72">
        <f t="shared" si="45"/>
        <v>23.282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46"/>
        <v>0174-07</v>
      </c>
      <c r="AE87" s="110" t="str">
        <f t="shared" si="47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87" s="107" t="str">
        <f t="shared" si="48"/>
        <v>"C:\Program Files (x86)\AstroGrep\AstroGrep.exe" /spath="%USERPROFILE%\AppData\Local\Temp\OnboardLogs" /stypes="*4015*20160807*" /stext=" 20:.+((SYSTEM_STATE.+slice.+state.+changed )|(ment ac)|(system.+state.+changed )|(\|lc)|(penalty)|(\[timeout)|(PRM\|1\|D)|(kpr)|(kdp))" /e /r /s</v>
      </c>
      <c r="AG87" s="1" t="str">
        <f t="shared" si="49"/>
        <v>EC</v>
      </c>
      <c r="AH87" s="111" t="str">
        <f t="shared" si="50"/>
        <v>"%USERPROFILE%\Documents\GitHub\eaglep3\Utilities\RefineRTDCRunTimes.py" --tripid 174-07 --locoid 4015 --swversion DE.1.0.7.0 --startMP 204:232978 --initTime 2016-08-07T13:36:16 --startdatetime 2016-08-07T13:37:39 --delay 1 --endMP 204:158 --enddatetime 2016-08-07T14:21:38 --enforcementcount 0</v>
      </c>
    </row>
    <row r="88" spans="1:34" x14ac:dyDescent="0.25">
      <c r="A88" s="42" t="s">
        <v>428</v>
      </c>
      <c r="B88" s="7">
        <v>4044</v>
      </c>
      <c r="C88" s="25" t="s">
        <v>147</v>
      </c>
      <c r="D88" s="25" t="s">
        <v>187</v>
      </c>
      <c r="E88" s="16">
        <v>42589.537812499999</v>
      </c>
      <c r="F88" s="16">
        <v>42589.538888888892</v>
      </c>
      <c r="G88" s="7">
        <v>1</v>
      </c>
      <c r="H88" s="16" t="s">
        <v>229</v>
      </c>
      <c r="I88" s="16">
        <v>42589.567569444444</v>
      </c>
      <c r="J88" s="7">
        <v>0</v>
      </c>
      <c r="K88" s="25" t="str">
        <f t="shared" si="36"/>
        <v>4043/4044</v>
      </c>
      <c r="L88" s="25" t="str">
        <f>VLOOKUP(A88,'Trips&amp;Operators'!$C$1:$E$10000,3,FALSE)</f>
        <v>BARTLETT</v>
      </c>
      <c r="M88" s="6">
        <f t="shared" si="37"/>
        <v>2.8680555551545694E-2</v>
      </c>
      <c r="N88" s="7">
        <f t="shared" si="38"/>
        <v>41.2999999942258</v>
      </c>
      <c r="O88" s="7"/>
      <c r="P88" s="7"/>
      <c r="Q88" s="26"/>
      <c r="R88" s="26"/>
      <c r="S88" s="38">
        <f t="shared" si="39"/>
        <v>1</v>
      </c>
      <c r="T88" s="55" t="str">
        <f t="shared" si="40"/>
        <v>NorthBound</v>
      </c>
      <c r="U88" s="14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11:54:27-0600',mode:absolute,to:'2016-08-07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88" s="57" t="str">
        <f t="shared" si="42"/>
        <v>N</v>
      </c>
      <c r="X88" s="154">
        <f t="shared" si="51"/>
        <v>1</v>
      </c>
      <c r="Y88" s="72">
        <f t="shared" si="43"/>
        <v>4.4400000000000002E-2</v>
      </c>
      <c r="Z88" s="72">
        <f t="shared" si="44"/>
        <v>23.331</v>
      </c>
      <c r="AA88" s="72">
        <f t="shared" si="45"/>
        <v>23.2866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46"/>
        <v>0175-07</v>
      </c>
      <c r="AE88" s="110" t="str">
        <f t="shared" si="47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88" s="107" t="str">
        <f t="shared" si="48"/>
        <v>"C:\Program Files (x86)\AstroGrep\AstroGrep.exe" /spath="%USERPROFILE%\AppData\Local\Temp\OnboardLogs" /stypes="*4044*20160807*" /stext=" 19:.+((SYSTEM_STATE.+slice.+state.+changed )|(ment ac)|(system.+state.+changed )|(\|lc)|(penalty)|(\[timeout)|(PRM\|1\|D)|(kpr)|(kdp))" /e /r /s</v>
      </c>
      <c r="AG88" s="1" t="str">
        <f t="shared" si="49"/>
        <v>EC</v>
      </c>
      <c r="AH88" s="111" t="str">
        <f t="shared" si="50"/>
        <v>"%USERPROFILE%\Documents\GitHub\eaglep3\Utilities\RefineRTDCRunTimes.py" --tripid 175-07 --locoid 4044 --swversion DE.1.0.7.0 --startMP 204:444 --initTime 2016-08-07T12:54:27 --startdatetime 2016-08-07T12:56:00 --delay 1 --endMP 204:233310 --enddatetime 2016-08-07T13:37:18 --enforcementcount 0</v>
      </c>
    </row>
    <row r="89" spans="1:34" x14ac:dyDescent="0.25">
      <c r="A89" s="42" t="s">
        <v>319</v>
      </c>
      <c r="B89" s="7">
        <v>4043</v>
      </c>
      <c r="C89" s="25" t="s">
        <v>147</v>
      </c>
      <c r="D89" s="25" t="s">
        <v>197</v>
      </c>
      <c r="E89" s="16">
        <v>42589.569791666669</v>
      </c>
      <c r="F89" s="16">
        <v>42589.570925925924</v>
      </c>
      <c r="G89" s="7">
        <v>1</v>
      </c>
      <c r="H89" s="16" t="s">
        <v>224</v>
      </c>
      <c r="I89" s="16">
        <v>42589.608946759261</v>
      </c>
      <c r="J89" s="7">
        <v>1</v>
      </c>
      <c r="K89" s="25" t="str">
        <f t="shared" si="36"/>
        <v>4043/4044</v>
      </c>
      <c r="L89" s="25" t="str">
        <f>VLOOKUP(A89,'Trips&amp;Operators'!$C$1:$E$10000,3,FALSE)</f>
        <v>BARTLETT</v>
      </c>
      <c r="M89" s="6">
        <f t="shared" si="37"/>
        <v>3.8020833337213844E-2</v>
      </c>
      <c r="N89" s="7">
        <f t="shared" si="38"/>
        <v>54.750000005587935</v>
      </c>
      <c r="O89" s="7"/>
      <c r="P89" s="7"/>
      <c r="Q89" s="26"/>
      <c r="R89" s="26"/>
      <c r="S89" s="38">
        <f t="shared" si="39"/>
        <v>1</v>
      </c>
      <c r="T89" s="55" t="str">
        <f t="shared" si="40"/>
        <v>Southbound</v>
      </c>
      <c r="U89" s="14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89" s="57" t="str">
        <f t="shared" si="42"/>
        <v>N</v>
      </c>
      <c r="X89" s="154">
        <f t="shared" si="51"/>
        <v>1</v>
      </c>
      <c r="Y89" s="72">
        <f t="shared" si="43"/>
        <v>23.3</v>
      </c>
      <c r="Z89" s="72">
        <f t="shared" si="44"/>
        <v>1.6E-2</v>
      </c>
      <c r="AA89" s="72">
        <f t="shared" si="45"/>
        <v>23.284000000000002</v>
      </c>
      <c r="AB89" s="69">
        <f>VLOOKUP(A89,Enforcements!$C$7:$J$24,8,0)</f>
        <v>33257</v>
      </c>
      <c r="AC89" s="65" t="str">
        <f>VLOOKUP(A89,Enforcements!$C$7:$E$24,3,0)</f>
        <v>GRADE CROSSING</v>
      </c>
      <c r="AD89" s="66" t="str">
        <f t="shared" si="46"/>
        <v>0176-07</v>
      </c>
      <c r="AE89" s="110" t="str">
        <f t="shared" si="47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89" s="107" t="str">
        <f t="shared" si="48"/>
        <v>"C:\Program Files (x86)\AstroGrep\AstroGrep.exe" /spath="%USERPROFILE%\AppData\Local\Temp\OnboardLogs" /stypes="*4043*20160807*" /stext=" 20:.+((SYSTEM_STATE.+slice.+state.+changed )|(ment ac)|(system.+state.+changed )|(\|lc)|(penalty)|(\[timeout)|(PRM\|1\|D)|(kpr)|(kdp))" /e /r /s</v>
      </c>
      <c r="AG89" s="1" t="str">
        <f t="shared" si="49"/>
        <v>EC</v>
      </c>
      <c r="AH89" s="111" t="str">
        <f t="shared" si="50"/>
        <v>"%USERPROFILE%\Documents\GitHub\eaglep3\Utilities\RefineRTDCRunTimes.py" --tripid 176-07 --locoid 4043 --swversion DE.1.0.7.0 --startMP 204:233000 --initTime 2016-08-07T13:40:30 --startdatetime 2016-08-07T13:42:08 --delay 1 --endMP 204:160 --enddatetime 2016-08-07T14:36:53 --enforcementcount 1</v>
      </c>
    </row>
    <row r="90" spans="1:34" x14ac:dyDescent="0.25">
      <c r="A90" s="42" t="s">
        <v>429</v>
      </c>
      <c r="B90" s="7">
        <v>4018</v>
      </c>
      <c r="C90" s="25" t="s">
        <v>147</v>
      </c>
      <c r="D90" s="25" t="s">
        <v>185</v>
      </c>
      <c r="E90" s="16">
        <v>42589.549039351848</v>
      </c>
      <c r="F90" s="16">
        <v>42589.550162037034</v>
      </c>
      <c r="G90" s="7">
        <v>1</v>
      </c>
      <c r="H90" s="16" t="s">
        <v>225</v>
      </c>
      <c r="I90" s="16">
        <v>42589.578668981485</v>
      </c>
      <c r="J90" s="7">
        <v>0</v>
      </c>
      <c r="K90" s="25" t="str">
        <f t="shared" si="36"/>
        <v>4017/4018</v>
      </c>
      <c r="L90" s="25" t="str">
        <f>VLOOKUP(A90,'Trips&amp;Operators'!$C$1:$E$10000,3,FALSE)</f>
        <v>DE LA ROSA</v>
      </c>
      <c r="M90" s="6">
        <f t="shared" si="37"/>
        <v>2.8506944450782612E-2</v>
      </c>
      <c r="N90" s="7">
        <f t="shared" si="38"/>
        <v>41.050000009126961</v>
      </c>
      <c r="O90" s="7"/>
      <c r="P90" s="7"/>
      <c r="Q90" s="26"/>
      <c r="R90" s="26"/>
      <c r="S90" s="38">
        <f t="shared" si="39"/>
        <v>1</v>
      </c>
      <c r="T90" s="55" t="str">
        <f t="shared" si="40"/>
        <v>NorthBound</v>
      </c>
      <c r="U90" s="14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12:10:37-0600',mode:absolute,to:'2016-08-07 14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0" s="57" t="str">
        <f t="shared" si="42"/>
        <v>N</v>
      </c>
      <c r="X90" s="154">
        <f t="shared" si="51"/>
        <v>1</v>
      </c>
      <c r="Y90" s="72">
        <f t="shared" si="43"/>
        <v>4.5499999999999999E-2</v>
      </c>
      <c r="Z90" s="72">
        <f t="shared" si="44"/>
        <v>23.328900000000001</v>
      </c>
      <c r="AA90" s="72">
        <f t="shared" si="45"/>
        <v>23.2834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6"/>
        <v>0177-07</v>
      </c>
      <c r="AE90" s="110" t="str">
        <f t="shared" si="47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90" s="107" t="str">
        <f t="shared" si="48"/>
        <v>"C:\Program Files (x86)\AstroGrep\AstroGrep.exe" /spath="%USERPROFILE%\AppData\Local\Temp\OnboardLogs" /stypes="*4018*20160807*" /stext=" 19:.+((SYSTEM_STATE.+slice.+state.+changed )|(ment ac)|(system.+state.+changed )|(\|lc)|(penalty)|(\[timeout)|(PRM\|1\|D)|(kpr)|(kdp))" /e /r /s</v>
      </c>
      <c r="AG90" s="1" t="str">
        <f t="shared" si="49"/>
        <v>EC</v>
      </c>
      <c r="AH90" s="111" t="str">
        <f t="shared" si="50"/>
        <v>"%USERPROFILE%\Documents\GitHub\eaglep3\Utilities\RefineRTDCRunTimes.py" --tripid 177-07 --locoid 4018 --swversion DE.1.0.7.0 --startMP 204:455 --initTime 2016-08-07T13:10:37 --startdatetime 2016-08-07T13:12:14 --delay 1 --endMP 204:233289 --enddatetime 2016-08-07T13:53:17 --enforcementcount 0</v>
      </c>
    </row>
    <row r="91" spans="1:34" x14ac:dyDescent="0.25">
      <c r="A91" s="42" t="s">
        <v>430</v>
      </c>
      <c r="B91" s="7">
        <v>4017</v>
      </c>
      <c r="C91" s="25" t="s">
        <v>147</v>
      </c>
      <c r="D91" s="25" t="s">
        <v>231</v>
      </c>
      <c r="E91" s="16">
        <v>42589.586469907408</v>
      </c>
      <c r="F91" s="16">
        <v>42589.587962962964</v>
      </c>
      <c r="G91" s="7">
        <v>2</v>
      </c>
      <c r="H91" s="16" t="s">
        <v>198</v>
      </c>
      <c r="I91" s="16">
        <v>42589.620844907404</v>
      </c>
      <c r="J91" s="7">
        <v>0</v>
      </c>
      <c r="K91" s="25" t="str">
        <f t="shared" si="36"/>
        <v>4017/4018</v>
      </c>
      <c r="L91" s="25" t="str">
        <f>VLOOKUP(A91,'Trips&amp;Operators'!$C$1:$E$10000,3,FALSE)</f>
        <v>DE LA ROSA</v>
      </c>
      <c r="M91" s="6">
        <f t="shared" si="37"/>
        <v>3.2881944440305233E-2</v>
      </c>
      <c r="N91" s="7">
        <f t="shared" si="38"/>
        <v>47.349999994039536</v>
      </c>
      <c r="O91" s="7"/>
      <c r="P91" s="7"/>
      <c r="Q91" s="26"/>
      <c r="R91" s="26"/>
      <c r="S91" s="38">
        <f t="shared" si="39"/>
        <v>1</v>
      </c>
      <c r="T91" s="55" t="str">
        <f t="shared" si="40"/>
        <v>Southbound</v>
      </c>
      <c r="U91" s="14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13:04:31-0600',mode:absolute,to:'2016-08-07 15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1" s="57" t="str">
        <f t="shared" si="42"/>
        <v>N</v>
      </c>
      <c r="X91" s="154">
        <f t="shared" si="51"/>
        <v>1</v>
      </c>
      <c r="Y91" s="72">
        <f t="shared" si="43"/>
        <v>23.298400000000001</v>
      </c>
      <c r="Z91" s="72">
        <f t="shared" si="44"/>
        <v>1.5800000000000002E-2</v>
      </c>
      <c r="AA91" s="72">
        <f t="shared" si="45"/>
        <v>23.282600000000002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6"/>
        <v>0178-07</v>
      </c>
      <c r="AE91" s="110" t="str">
        <f t="shared" si="47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91" s="107" t="str">
        <f t="shared" si="48"/>
        <v>"C:\Program Files (x86)\AstroGrep\AstroGrep.exe" /spath="%USERPROFILE%\AppData\Local\Temp\OnboardLogs" /stypes="*4017*20160807*" /stext=" 20:.+((SYSTEM_STATE.+slice.+state.+changed )|(ment ac)|(system.+state.+changed )|(\|lc)|(penalty)|(\[timeout)|(PRM\|1\|D)|(kpr)|(kdp))" /e /r /s</v>
      </c>
      <c r="AG91" s="1" t="str">
        <f t="shared" si="49"/>
        <v>EC</v>
      </c>
      <c r="AH91" s="111" t="str">
        <f t="shared" si="50"/>
        <v>"%USERPROFILE%\Documents\GitHub\eaglep3\Utilities\RefineRTDCRunTimes.py" --tripid 178-07 --locoid 4017 --swversion DE.1.0.7.0 --startMP 204:232984 --initTime 2016-08-07T14:04:31 --startdatetime 2016-08-07T14:06:40 --delay 2 --endMP 204:158 --enddatetime 2016-08-07T14:54:01 --enforcementcount 0</v>
      </c>
    </row>
    <row r="92" spans="1:34" x14ac:dyDescent="0.25">
      <c r="A92" s="42" t="s">
        <v>431</v>
      </c>
      <c r="B92" s="7">
        <v>4029</v>
      </c>
      <c r="C92" s="25" t="s">
        <v>147</v>
      </c>
      <c r="D92" s="25" t="s">
        <v>432</v>
      </c>
      <c r="E92" s="16">
        <v>42589.55909722222</v>
      </c>
      <c r="F92" s="16">
        <v>42589.567777777775</v>
      </c>
      <c r="G92" s="7">
        <v>12</v>
      </c>
      <c r="H92" s="16" t="s">
        <v>385</v>
      </c>
      <c r="I92" s="16">
        <v>42589.589548611111</v>
      </c>
      <c r="J92" s="7">
        <v>0</v>
      </c>
      <c r="K92" s="25" t="str">
        <f t="shared" si="36"/>
        <v>4029/4030</v>
      </c>
      <c r="L92" s="25" t="str">
        <f>VLOOKUP(A92,'Trips&amp;Operators'!$C$1:$E$10000,3,FALSE)</f>
        <v>MOSES</v>
      </c>
      <c r="M92" s="6">
        <f t="shared" si="37"/>
        <v>2.1770833336631767E-2</v>
      </c>
      <c r="N92" s="7"/>
      <c r="O92" s="7"/>
      <c r="P92" s="7">
        <f>24*60*SUM($M92:$M92)</f>
        <v>31.350000004749745</v>
      </c>
      <c r="Q92" s="26"/>
      <c r="R92" s="26" t="s">
        <v>600</v>
      </c>
      <c r="S92" s="38">
        <f t="shared" si="39"/>
        <v>1</v>
      </c>
      <c r="T92" s="55" t="str">
        <f t="shared" si="40"/>
        <v>NorthBound</v>
      </c>
      <c r="U92" s="14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12:25:06-0600',mode:absolute,to:'2016-08-07 15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2" s="57" t="str">
        <f t="shared" si="42"/>
        <v>Y</v>
      </c>
      <c r="X92" s="154">
        <f t="shared" si="51"/>
        <v>1</v>
      </c>
      <c r="Y92" s="72">
        <f t="shared" si="43"/>
        <v>1.9123000000000001</v>
      </c>
      <c r="Z92" s="72">
        <f t="shared" si="44"/>
        <v>23.331199999999999</v>
      </c>
      <c r="AA92" s="72">
        <f t="shared" si="45"/>
        <v>21.418900000000001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46"/>
        <v>0179-07</v>
      </c>
      <c r="AE92" s="110" t="str">
        <f t="shared" si="47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92" s="107" t="str">
        <f t="shared" si="48"/>
        <v>"C:\Program Files (x86)\AstroGrep\AstroGrep.exe" /spath="%USERPROFILE%\AppData\Local\Temp\OnboardLogs" /stypes="*4029*20160807*" /stext=" 20:.+((SYSTEM_STATE.+slice.+state.+changed )|(ment ac)|(system.+state.+changed )|(\|lc)|(penalty)|(\[timeout)|(PRM\|1\|D)|(kpr)|(kdp))" /e /r /s</v>
      </c>
      <c r="AG92" s="1" t="str">
        <f t="shared" si="49"/>
        <v>EC</v>
      </c>
      <c r="AH92" s="111" t="str">
        <f t="shared" si="50"/>
        <v>"%USERPROFILE%\Documents\GitHub\eaglep3\Utilities\RefineRTDCRunTimes.py" --tripid 179-07 --locoid 4029 --swversion DE.1.0.7.0 --startMP 204:19123 --initTime 2016-08-07T13:25:06 --startdatetime 2016-08-07T13:37:36 --delay 12 --endMP 204:233312 --enddatetime 2016-08-07T14:08:57 --enforcementcount 0</v>
      </c>
    </row>
    <row r="93" spans="1:34" x14ac:dyDescent="0.25">
      <c r="A93" s="42" t="s">
        <v>433</v>
      </c>
      <c r="B93" s="7">
        <v>4030</v>
      </c>
      <c r="C93" s="25" t="s">
        <v>147</v>
      </c>
      <c r="D93" s="25" t="s">
        <v>161</v>
      </c>
      <c r="E93" s="16">
        <v>42589.597870370373</v>
      </c>
      <c r="F93" s="16">
        <v>42589.598969907405</v>
      </c>
      <c r="G93" s="7">
        <v>1</v>
      </c>
      <c r="H93" s="16" t="s">
        <v>234</v>
      </c>
      <c r="I93" s="16">
        <v>42589.628935185188</v>
      </c>
      <c r="J93" s="7">
        <v>0</v>
      </c>
      <c r="K93" s="25" t="str">
        <f t="shared" si="36"/>
        <v>4029/4030</v>
      </c>
      <c r="L93" s="25" t="str">
        <f>VLOOKUP(A93,'Trips&amp;Operators'!$C$1:$E$10000,3,FALSE)</f>
        <v>MOSES</v>
      </c>
      <c r="M93" s="6">
        <f t="shared" si="37"/>
        <v>2.9965277783048805E-2</v>
      </c>
      <c r="N93" s="7">
        <f t="shared" ref="N93:N100" si="52">24*60*SUM($M93:$M93)</f>
        <v>43.150000007590279</v>
      </c>
      <c r="O93" s="7"/>
      <c r="P93" s="7"/>
      <c r="Q93" s="26"/>
      <c r="R93" s="26"/>
      <c r="S93" s="38">
        <f t="shared" si="39"/>
        <v>1</v>
      </c>
      <c r="T93" s="55" t="str">
        <f t="shared" si="40"/>
        <v>Southbound</v>
      </c>
      <c r="U93" s="14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13:20:56-0600',mode:absolute,to:'2016-08-07 16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3" s="57" t="str">
        <f t="shared" si="42"/>
        <v>N</v>
      </c>
      <c r="X93" s="154">
        <f t="shared" si="51"/>
        <v>1</v>
      </c>
      <c r="Y93" s="72">
        <f t="shared" si="43"/>
        <v>23.299299999999999</v>
      </c>
      <c r="Z93" s="72">
        <f t="shared" si="44"/>
        <v>1.49E-2</v>
      </c>
      <c r="AA93" s="72">
        <f t="shared" si="45"/>
        <v>23.284399999999998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46"/>
        <v>0180-07</v>
      </c>
      <c r="AE93" s="110" t="str">
        <f t="shared" si="47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93" s="107" t="str">
        <f t="shared" si="48"/>
        <v>"C:\Program Files (x86)\AstroGrep\AstroGrep.exe" /spath="%USERPROFILE%\AppData\Local\Temp\OnboardLogs" /stypes="*4030*20160807*" /stext=" 21:.+((SYSTEM_STATE.+slice.+state.+changed )|(ment ac)|(system.+state.+changed )|(\|lc)|(penalty)|(\[timeout)|(PRM\|1\|D)|(kpr)|(kdp))" /e /r /s</v>
      </c>
      <c r="AG93" s="1" t="str">
        <f t="shared" si="49"/>
        <v>EC</v>
      </c>
      <c r="AH93" s="111" t="str">
        <f t="shared" si="50"/>
        <v>"%USERPROFILE%\Documents\GitHub\eaglep3\Utilities\RefineRTDCRunTimes.py" --tripid 180-07 --locoid 4030 --swversion DE.1.0.7.0 --startMP 204:232993 --initTime 2016-08-07T14:20:56 --startdatetime 2016-08-07T14:22:31 --delay 1 --endMP 204:149 --enddatetime 2016-08-07T15:05:40 --enforcementcount 0</v>
      </c>
    </row>
    <row r="94" spans="1:34" x14ac:dyDescent="0.25">
      <c r="A94" s="25" t="s">
        <v>455</v>
      </c>
      <c r="B94" s="129">
        <v>4038</v>
      </c>
      <c r="C94" s="130" t="s">
        <v>147</v>
      </c>
      <c r="D94" s="130" t="s">
        <v>185</v>
      </c>
      <c r="E94" s="131">
        <v>42589.571481481478</v>
      </c>
      <c r="F94" s="131">
        <v>42589.572569444441</v>
      </c>
      <c r="G94" s="129">
        <v>1</v>
      </c>
      <c r="H94" s="131" t="s">
        <v>144</v>
      </c>
      <c r="I94" s="131">
        <v>42589.599502314813</v>
      </c>
      <c r="J94" s="129">
        <v>0</v>
      </c>
      <c r="K94" s="25" t="str">
        <f t="shared" si="36"/>
        <v>4037/4038</v>
      </c>
      <c r="L94" s="25" t="str">
        <f>VLOOKUP(A94,'Trips&amp;Operators'!$C$1:$E$10000,3,FALSE)</f>
        <v>YOUNG</v>
      </c>
      <c r="M94" s="6">
        <f t="shared" si="37"/>
        <v>2.6932870372547768E-2</v>
      </c>
      <c r="N94" s="7">
        <f t="shared" si="52"/>
        <v>38.783333336468786</v>
      </c>
      <c r="O94" s="7"/>
      <c r="P94" s="7"/>
      <c r="Q94" s="26"/>
      <c r="R94" s="26"/>
      <c r="S94" s="38">
        <f t="shared" si="39"/>
        <v>1</v>
      </c>
      <c r="T94" s="55" t="str">
        <f t="shared" si="40"/>
        <v>NorthBound</v>
      </c>
      <c r="U94" s="14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12:42:56-0600',mode:absolute,to:'2016-08-07 15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4" s="57" t="str">
        <f t="shared" si="42"/>
        <v>N</v>
      </c>
      <c r="X94" s="154">
        <f t="shared" si="51"/>
        <v>1</v>
      </c>
      <c r="Y94" s="72">
        <f t="shared" si="43"/>
        <v>4.5499999999999999E-2</v>
      </c>
      <c r="Z94" s="72">
        <f t="shared" si="44"/>
        <v>23.329499999999999</v>
      </c>
      <c r="AA94" s="72">
        <f t="shared" si="45"/>
        <v>23.283999999999999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6"/>
        <v>0181-07</v>
      </c>
      <c r="AE94" s="110" t="str">
        <f t="shared" si="47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94" s="107" t="str">
        <f t="shared" si="48"/>
        <v>"C:\Program Files (x86)\AstroGrep\AstroGrep.exe" /spath="%USERPROFILE%\AppData\Local\Temp\OnboardLogs" /stypes="*4038*20160807*" /stext=" 20:.+((SYSTEM_STATE.+slice.+state.+changed )|(ment ac)|(system.+state.+changed )|(\|lc)|(penalty)|(\[timeout)|(PRM\|1\|D)|(kpr)|(kdp))" /e /r /s</v>
      </c>
      <c r="AG94" s="1" t="str">
        <f t="shared" si="49"/>
        <v>EC</v>
      </c>
      <c r="AH94" s="111" t="str">
        <f t="shared" si="50"/>
        <v>"%USERPROFILE%\Documents\GitHub\eaglep3\Utilities\RefineRTDCRunTimes.py" --tripid 181-07 --locoid 4038 --swversion DE.1.0.7.0 --startMP 204:455 --initTime 2016-08-07T13:42:56 --startdatetime 2016-08-07T13:44:30 --delay 1 --endMP 204:233295 --enddatetime 2016-08-07T14:23:17 --enforcementcount 0</v>
      </c>
    </row>
    <row r="95" spans="1:34" x14ac:dyDescent="0.25">
      <c r="A95" s="25" t="s">
        <v>474</v>
      </c>
      <c r="B95" s="129">
        <v>4037</v>
      </c>
      <c r="C95" s="130" t="s">
        <v>147</v>
      </c>
      <c r="D95" s="130" t="s">
        <v>186</v>
      </c>
      <c r="E95" s="131">
        <v>42589.605578703704</v>
      </c>
      <c r="F95" s="131">
        <v>42589.606759259259</v>
      </c>
      <c r="G95" s="129">
        <v>1</v>
      </c>
      <c r="H95" s="131" t="s">
        <v>345</v>
      </c>
      <c r="I95" s="131">
        <v>42589.641087962962</v>
      </c>
      <c r="J95" s="129">
        <v>0</v>
      </c>
      <c r="K95" s="25" t="str">
        <f t="shared" si="36"/>
        <v>4037/4038</v>
      </c>
      <c r="L95" s="25" t="str">
        <f>VLOOKUP(A95,'Trips&amp;Operators'!$C$1:$E$10000,3,FALSE)</f>
        <v>YOUNG</v>
      </c>
      <c r="M95" s="6">
        <f t="shared" si="37"/>
        <v>3.4328703703067731E-2</v>
      </c>
      <c r="N95" s="7">
        <f t="shared" si="52"/>
        <v>49.433333332417533</v>
      </c>
      <c r="O95" s="7"/>
      <c r="P95" s="7"/>
      <c r="Q95" s="26"/>
      <c r="R95" s="26"/>
      <c r="S95" s="38">
        <f t="shared" si="39"/>
        <v>1</v>
      </c>
      <c r="T95" s="55" t="str">
        <f t="shared" si="40"/>
        <v>Southbound</v>
      </c>
      <c r="U95" s="14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13:32:02-0600',mode:absolute,to:'2016-08-07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5" s="57" t="str">
        <f t="shared" si="42"/>
        <v>N</v>
      </c>
      <c r="X95" s="154">
        <f t="shared" si="51"/>
        <v>1</v>
      </c>
      <c r="Y95" s="72">
        <f t="shared" si="43"/>
        <v>23.297999999999998</v>
      </c>
      <c r="Z95" s="72">
        <f t="shared" si="44"/>
        <v>1.8499999999999999E-2</v>
      </c>
      <c r="AA95" s="72">
        <f t="shared" si="45"/>
        <v>23.279499999999999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46"/>
        <v>0182-07</v>
      </c>
      <c r="AE95" s="110" t="str">
        <f t="shared" si="47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95" s="107" t="str">
        <f t="shared" si="48"/>
        <v>"C:\Program Files (x86)\AstroGrep\AstroGrep.exe" /spath="%USERPROFILE%\AppData\Local\Temp\OnboardLogs" /stypes="*4037*20160807*" /stext=" 21:.+((SYSTEM_STATE.+slice.+state.+changed )|(ment ac)|(system.+state.+changed )|(\|lc)|(penalty)|(\[timeout)|(PRM\|1\|D)|(kpr)|(kdp))" /e /r /s</v>
      </c>
      <c r="AG95" s="1" t="str">
        <f t="shared" si="49"/>
        <v>EC</v>
      </c>
      <c r="AH95" s="111" t="str">
        <f t="shared" si="50"/>
        <v>"%USERPROFILE%\Documents\GitHub\eaglep3\Utilities\RefineRTDCRunTimes.py" --tripid 182-07 --locoid 4037 --swversion DE.1.0.7.0 --startMP 204:232980 --initTime 2016-08-07T14:32:02 --startdatetime 2016-08-07T14:33:44 --delay 1 --endMP 204:185 --enddatetime 2016-08-07T15:23:10 --enforcementcount 0</v>
      </c>
    </row>
    <row r="96" spans="1:34" x14ac:dyDescent="0.25">
      <c r="A96" s="25" t="s">
        <v>495</v>
      </c>
      <c r="B96" s="129">
        <v>4007</v>
      </c>
      <c r="C96" s="130" t="s">
        <v>147</v>
      </c>
      <c r="D96" s="130" t="s">
        <v>235</v>
      </c>
      <c r="E96" s="131">
        <v>42589.582881944443</v>
      </c>
      <c r="F96" s="131">
        <v>42589.584131944444</v>
      </c>
      <c r="G96" s="129">
        <v>1</v>
      </c>
      <c r="H96" s="131" t="s">
        <v>496</v>
      </c>
      <c r="I96" s="131">
        <v>42589.609768518516</v>
      </c>
      <c r="J96" s="129">
        <v>0</v>
      </c>
      <c r="K96" s="25" t="str">
        <f t="shared" si="36"/>
        <v>4007/4008</v>
      </c>
      <c r="L96" s="25" t="str">
        <f>VLOOKUP(A96,'Trips&amp;Operators'!$C$1:$E$10000,3,FALSE)</f>
        <v>MAYBERRY</v>
      </c>
      <c r="M96" s="6">
        <f t="shared" si="37"/>
        <v>2.5636574071540963E-2</v>
      </c>
      <c r="N96" s="7">
        <f t="shared" si="52"/>
        <v>36.916666663018987</v>
      </c>
      <c r="O96" s="7"/>
      <c r="P96" s="7"/>
      <c r="Q96" s="26"/>
      <c r="R96" s="26"/>
      <c r="S96" s="38">
        <f t="shared" si="39"/>
        <v>1</v>
      </c>
      <c r="T96" s="55" t="str">
        <f t="shared" si="40"/>
        <v>NorthBound</v>
      </c>
      <c r="U96" s="14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12:59:21-0600',mode:absolute,to:'2016-08-07 15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96" s="57" t="str">
        <f t="shared" si="42"/>
        <v>N</v>
      </c>
      <c r="X96" s="154">
        <f t="shared" si="51"/>
        <v>1</v>
      </c>
      <c r="Y96" s="72">
        <f t="shared" si="43"/>
        <v>4.7699999999999999E-2</v>
      </c>
      <c r="Z96" s="72">
        <f t="shared" si="44"/>
        <v>23.329799999999999</v>
      </c>
      <c r="AA96" s="72">
        <f t="shared" si="45"/>
        <v>23.2821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46"/>
        <v>0183-07</v>
      </c>
      <c r="AE96" s="110" t="str">
        <f t="shared" si="47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96" s="107" t="str">
        <f t="shared" si="48"/>
        <v>"C:\Program Files (x86)\AstroGrep\AstroGrep.exe" /spath="%USERPROFILE%\AppData\Local\Temp\OnboardLogs" /stypes="*4007*20160807*" /stext=" 20:.+((SYSTEM_STATE.+slice.+state.+changed )|(ment ac)|(system.+state.+changed )|(\|lc)|(penalty)|(\[timeout)|(PRM\|1\|D)|(kpr)|(kdp))" /e /r /s</v>
      </c>
      <c r="AG96" s="1" t="str">
        <f t="shared" si="49"/>
        <v>EC</v>
      </c>
      <c r="AH96" s="111" t="str">
        <f t="shared" si="50"/>
        <v>"%USERPROFILE%\Documents\GitHub\eaglep3\Utilities\RefineRTDCRunTimes.py" --tripid 183-07 --locoid 4007 --swversion DE.1.0.7.0 --startMP 204:477 --initTime 2016-08-07T13:59:21 --startdatetime 2016-08-07T14:01:09 --delay 1 --endMP 204:233298 --enddatetime 2016-08-07T14:38:04 --enforcementcount 0</v>
      </c>
    </row>
    <row r="97" spans="1:34" x14ac:dyDescent="0.25">
      <c r="A97" s="25" t="s">
        <v>322</v>
      </c>
      <c r="B97" s="129">
        <v>4008</v>
      </c>
      <c r="C97" s="130" t="s">
        <v>147</v>
      </c>
      <c r="D97" s="130" t="s">
        <v>506</v>
      </c>
      <c r="E97" s="131">
        <v>42589.612500000003</v>
      </c>
      <c r="F97" s="131">
        <v>42589.614629629628</v>
      </c>
      <c r="G97" s="129">
        <v>3</v>
      </c>
      <c r="H97" s="131" t="s">
        <v>131</v>
      </c>
      <c r="I97" s="131">
        <v>42589.650439814817</v>
      </c>
      <c r="J97" s="129">
        <v>2</v>
      </c>
      <c r="K97" s="25" t="str">
        <f t="shared" si="36"/>
        <v>4007/4008</v>
      </c>
      <c r="L97" s="25" t="str">
        <f>VLOOKUP(A97,'Trips&amp;Operators'!$C$1:$E$10000,3,FALSE)</f>
        <v>MAYBERRY</v>
      </c>
      <c r="M97" s="6">
        <f t="shared" si="37"/>
        <v>3.5810185188893229E-2</v>
      </c>
      <c r="N97" s="7">
        <f t="shared" si="52"/>
        <v>51.566666672006249</v>
      </c>
      <c r="O97" s="7"/>
      <c r="P97" s="7"/>
      <c r="Q97" s="26"/>
      <c r="R97" s="26"/>
      <c r="S97" s="38">
        <f t="shared" si="39"/>
        <v>1</v>
      </c>
      <c r="T97" s="55" t="str">
        <f t="shared" si="40"/>
        <v>Southbound</v>
      </c>
      <c r="U97" s="14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97" s="57" t="str">
        <f t="shared" si="42"/>
        <v>N</v>
      </c>
      <c r="X97" s="154">
        <f t="shared" si="51"/>
        <v>1</v>
      </c>
      <c r="Y97" s="72">
        <f t="shared" si="43"/>
        <v>23.2987</v>
      </c>
      <c r="Z97" s="72">
        <f t="shared" si="44"/>
        <v>1.4999999999999999E-2</v>
      </c>
      <c r="AA97" s="72">
        <f t="shared" si="45"/>
        <v>23.2837</v>
      </c>
      <c r="AB97" s="69">
        <f>VLOOKUP(A97,Enforcements!$C$7:$J$24,8,0)</f>
        <v>21848</v>
      </c>
      <c r="AC97" s="65" t="str">
        <f>VLOOKUP(A97,Enforcements!$C$7:$E$24,3,0)</f>
        <v>PERMANENT SPEED RESTRICTION</v>
      </c>
      <c r="AD97" s="66" t="str">
        <f t="shared" si="46"/>
        <v>0184-07</v>
      </c>
      <c r="AE97" s="110" t="str">
        <f t="shared" si="47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97" s="107" t="str">
        <f t="shared" si="48"/>
        <v>"C:\Program Files (x86)\AstroGrep\AstroGrep.exe" /spath="%USERPROFILE%\AppData\Local\Temp\OnboardLogs" /stypes="*4008*20160807*" /stext=" 21:.+((SYSTEM_STATE.+slice.+state.+changed )|(ment ac)|(system.+state.+changed )|(\|lc)|(penalty)|(\[timeout)|(PRM\|1\|D)|(kpr)|(kdp))" /e /r /s</v>
      </c>
      <c r="AG97" s="1" t="str">
        <f t="shared" si="49"/>
        <v>EC</v>
      </c>
      <c r="AH97" s="111" t="str">
        <f t="shared" si="50"/>
        <v>"%USERPROFILE%\Documents\GitHub\eaglep3\Utilities\RefineRTDCRunTimes.py" --tripid 184-07 --locoid 4008 --swversion DE.1.0.7.0 --startMP 204:232987 --initTime 2016-08-07T14:42:00 --startdatetime 2016-08-07T14:45:04 --delay 3 --endMP 204:150 --enddatetime 2016-08-07T15:36:38 --enforcementcount 2</v>
      </c>
    </row>
    <row r="98" spans="1:34" x14ac:dyDescent="0.25">
      <c r="A98" s="25" t="s">
        <v>507</v>
      </c>
      <c r="B98" s="129">
        <v>4025</v>
      </c>
      <c r="C98" s="130" t="s">
        <v>147</v>
      </c>
      <c r="D98" s="130" t="s">
        <v>176</v>
      </c>
      <c r="E98" s="131">
        <v>42589.589513888888</v>
      </c>
      <c r="F98" s="131">
        <v>42589.590613425928</v>
      </c>
      <c r="G98" s="129">
        <v>1</v>
      </c>
      <c r="H98" s="131" t="s">
        <v>359</v>
      </c>
      <c r="I98" s="131">
        <v>42589.61886574074</v>
      </c>
      <c r="J98" s="129">
        <v>0</v>
      </c>
      <c r="K98" s="25" t="str">
        <f t="shared" si="36"/>
        <v>4025/4026</v>
      </c>
      <c r="L98" s="25" t="str">
        <f>VLOOKUP(A98,'Trips&amp;Operators'!$C$1:$E$10000,3,FALSE)</f>
        <v>SHOOK</v>
      </c>
      <c r="M98" s="6">
        <f t="shared" si="37"/>
        <v>2.8252314812561963E-2</v>
      </c>
      <c r="N98" s="7">
        <f t="shared" si="52"/>
        <v>40.683333330089226</v>
      </c>
      <c r="O98" s="7"/>
      <c r="P98" s="7"/>
      <c r="Q98" s="26"/>
      <c r="R98" s="26"/>
      <c r="S98" s="38">
        <f t="shared" si="39"/>
        <v>1</v>
      </c>
      <c r="T98" s="55" t="str">
        <f t="shared" si="40"/>
        <v>NorthBound</v>
      </c>
      <c r="U98" s="14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13:08:54-0600',mode:absolute,to:'2016-08-07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98" s="57" t="str">
        <f t="shared" si="42"/>
        <v>N</v>
      </c>
      <c r="X98" s="154">
        <f t="shared" si="51"/>
        <v>1</v>
      </c>
      <c r="Y98" s="72">
        <f t="shared" si="43"/>
        <v>4.4699999999999997E-2</v>
      </c>
      <c r="Z98" s="72">
        <f t="shared" si="44"/>
        <v>23.334700000000002</v>
      </c>
      <c r="AA98" s="72">
        <f t="shared" si="45"/>
        <v>23.290000000000003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6"/>
        <v>0185-07</v>
      </c>
      <c r="AE98" s="110" t="str">
        <f t="shared" si="47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98" s="107" t="str">
        <f t="shared" si="48"/>
        <v>"C:\Program Files (x86)\AstroGrep\AstroGrep.exe" /spath="%USERPROFILE%\AppData\Local\Temp\OnboardLogs" /stypes="*4025*20160807*" /stext=" 20:.+((SYSTEM_STATE.+slice.+state.+changed )|(ment ac)|(system.+state.+changed )|(\|lc)|(penalty)|(\[timeout)|(PRM\|1\|D)|(kpr)|(kdp))" /e /r /s</v>
      </c>
      <c r="AG98" s="1" t="str">
        <f t="shared" si="49"/>
        <v>EC</v>
      </c>
      <c r="AH98" s="111" t="str">
        <f t="shared" si="50"/>
        <v>"%USERPROFILE%\Documents\GitHub\eaglep3\Utilities\RefineRTDCRunTimes.py" --tripid 185-07 --locoid 4025 --swversion DE.1.0.7.0 --startMP 204:447 --initTime 2016-08-07T14:08:54 --startdatetime 2016-08-07T14:10:29 --delay 1 --endMP 204:233347 --enddatetime 2016-08-07T14:51:10 --enforcementcount 0</v>
      </c>
    </row>
    <row r="99" spans="1:34" x14ac:dyDescent="0.25">
      <c r="A99" s="25" t="s">
        <v>508</v>
      </c>
      <c r="B99" s="129">
        <v>4026</v>
      </c>
      <c r="C99" s="130" t="s">
        <v>147</v>
      </c>
      <c r="D99" s="130" t="s">
        <v>223</v>
      </c>
      <c r="E99" s="131">
        <v>42589.629108796296</v>
      </c>
      <c r="F99" s="131">
        <v>42589.629988425928</v>
      </c>
      <c r="G99" s="129">
        <v>1</v>
      </c>
      <c r="H99" s="131" t="s">
        <v>367</v>
      </c>
      <c r="I99" s="131">
        <v>42589.659849537034</v>
      </c>
      <c r="J99" s="129">
        <v>0</v>
      </c>
      <c r="K99" s="25" t="str">
        <f t="shared" si="36"/>
        <v>4025/4026</v>
      </c>
      <c r="L99" s="25" t="str">
        <f>VLOOKUP(A99,'Trips&amp;Operators'!$C$1:$E$10000,3,FALSE)</f>
        <v>SHOOK</v>
      </c>
      <c r="M99" s="6">
        <f t="shared" si="37"/>
        <v>2.9861111106583849E-2</v>
      </c>
      <c r="N99" s="7">
        <f t="shared" si="52"/>
        <v>42.999999993480742</v>
      </c>
      <c r="O99" s="7"/>
      <c r="P99" s="7"/>
      <c r="Q99" s="26"/>
      <c r="R99" s="26"/>
      <c r="S99" s="38">
        <f t="shared" si="39"/>
        <v>1</v>
      </c>
      <c r="T99" s="55" t="str">
        <f t="shared" si="40"/>
        <v>Southbound</v>
      </c>
      <c r="U99" s="14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14:05:55-0600',mode:absolute,to:'2016-08-07 16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99" s="57" t="str">
        <f t="shared" si="42"/>
        <v>N</v>
      </c>
      <c r="X99" s="154">
        <f t="shared" si="51"/>
        <v>1</v>
      </c>
      <c r="Y99" s="72">
        <f t="shared" si="43"/>
        <v>23.305099999999999</v>
      </c>
      <c r="Z99" s="72">
        <f t="shared" si="44"/>
        <v>1.34E-2</v>
      </c>
      <c r="AA99" s="72">
        <f t="shared" si="45"/>
        <v>23.291699999999999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6"/>
        <v>0186-07</v>
      </c>
      <c r="AE99" s="110" t="str">
        <f t="shared" si="47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99" s="107" t="str">
        <f t="shared" si="48"/>
        <v>"C:\Program Files (x86)\AstroGrep\AstroGrep.exe" /spath="%USERPROFILE%\AppData\Local\Temp\OnboardLogs" /stypes="*4026*20160807*" /stext=" 21:.+((SYSTEM_STATE.+slice.+state.+changed )|(ment ac)|(system.+state.+changed )|(\|lc)|(penalty)|(\[timeout)|(PRM\|1\|D)|(kpr)|(kdp))" /e /r /s</v>
      </c>
      <c r="AG99" s="1" t="str">
        <f t="shared" si="49"/>
        <v>EC</v>
      </c>
      <c r="AH99" s="111" t="str">
        <f t="shared" si="50"/>
        <v>"%USERPROFILE%\Documents\GitHub\eaglep3\Utilities\RefineRTDCRunTimes.py" --tripid 186-07 --locoid 4026 --swversion DE.1.0.7.0 --startMP 204:233051 --initTime 2016-08-07T15:05:55 --startdatetime 2016-08-07T15:07:11 --delay 1 --endMP 204:134 --enddatetime 2016-08-07T15:50:11 --enforcementcount 0</v>
      </c>
    </row>
    <row r="100" spans="1:34" x14ac:dyDescent="0.25">
      <c r="A100" s="25" t="s">
        <v>509</v>
      </c>
      <c r="B100" s="129">
        <v>4016</v>
      </c>
      <c r="C100" s="130" t="s">
        <v>147</v>
      </c>
      <c r="D100" s="130" t="s">
        <v>235</v>
      </c>
      <c r="E100" s="131">
        <v>42589.600902777776</v>
      </c>
      <c r="F100" s="131">
        <v>42589.601979166669</v>
      </c>
      <c r="G100" s="129">
        <v>1</v>
      </c>
      <c r="H100" s="131" t="s">
        <v>205</v>
      </c>
      <c r="I100" s="131">
        <v>42589.630011574074</v>
      </c>
      <c r="J100" s="129">
        <v>0</v>
      </c>
      <c r="K100" s="25" t="str">
        <f t="shared" si="36"/>
        <v>4015/4016</v>
      </c>
      <c r="L100" s="25" t="str">
        <f>VLOOKUP(A100,'Trips&amp;Operators'!$C$1:$E$10000,3,FALSE)</f>
        <v>STEWART</v>
      </c>
      <c r="M100" s="6">
        <f t="shared" si="37"/>
        <v>2.8032407404680271E-2</v>
      </c>
      <c r="N100" s="7">
        <f t="shared" si="52"/>
        <v>40.36666666273959</v>
      </c>
      <c r="O100" s="7"/>
      <c r="P100" s="7"/>
      <c r="Q100" s="26"/>
      <c r="R100" s="26"/>
      <c r="S100" s="38">
        <f t="shared" si="39"/>
        <v>1</v>
      </c>
      <c r="T100" s="55" t="str">
        <f t="shared" si="40"/>
        <v>NorthBound</v>
      </c>
      <c r="U100" s="14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13:25:18-0600',mode:absolute,to:'2016-08-07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0" s="57" t="str">
        <f t="shared" si="42"/>
        <v>N</v>
      </c>
      <c r="X100" s="154">
        <f t="shared" si="51"/>
        <v>1</v>
      </c>
      <c r="Y100" s="72">
        <f t="shared" si="43"/>
        <v>4.7699999999999999E-2</v>
      </c>
      <c r="Z100" s="72">
        <f t="shared" si="44"/>
        <v>23.331499999999998</v>
      </c>
      <c r="AA100" s="72">
        <f t="shared" si="45"/>
        <v>23.283799999999999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6"/>
        <v>0187-07</v>
      </c>
      <c r="AE100" s="110" t="str">
        <f t="shared" si="47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100" s="107" t="str">
        <f t="shared" si="48"/>
        <v>"C:\Program Files (x86)\AstroGrep\AstroGrep.exe" /spath="%USERPROFILE%\AppData\Local\Temp\OnboardLogs" /stypes="*4016*20160807*" /stext=" 21:.+((SYSTEM_STATE.+slice.+state.+changed )|(ment ac)|(system.+state.+changed )|(\|lc)|(penalty)|(\[timeout)|(PRM\|1\|D)|(kpr)|(kdp))" /e /r /s</v>
      </c>
      <c r="AG100" s="1" t="str">
        <f t="shared" si="49"/>
        <v>EC</v>
      </c>
      <c r="AH100" s="111" t="str">
        <f t="shared" si="50"/>
        <v>"%USERPROFILE%\Documents\GitHub\eaglep3\Utilities\RefineRTDCRunTimes.py" --tripid 187-07 --locoid 4016 --swversion DE.1.0.7.0 --startMP 204:477 --initTime 2016-08-07T14:25:18 --startdatetime 2016-08-07T14:26:51 --delay 1 --endMP 204:233315 --enddatetime 2016-08-07T15:07:13 --enforcementcount 0</v>
      </c>
    </row>
    <row r="101" spans="1:34" x14ac:dyDescent="0.25">
      <c r="A101" s="25" t="s">
        <v>323</v>
      </c>
      <c r="B101" s="129">
        <v>4015</v>
      </c>
      <c r="C101" s="130" t="s">
        <v>147</v>
      </c>
      <c r="D101" s="130" t="s">
        <v>257</v>
      </c>
      <c r="E101" s="131">
        <v>42589.63925925926</v>
      </c>
      <c r="F101" s="131">
        <v>42589.640023148146</v>
      </c>
      <c r="G101" s="129">
        <v>1</v>
      </c>
      <c r="H101" s="131" t="s">
        <v>510</v>
      </c>
      <c r="I101" s="131">
        <v>42589.663541666669</v>
      </c>
      <c r="J101" s="129">
        <v>1</v>
      </c>
      <c r="K101" s="25" t="str">
        <f t="shared" si="36"/>
        <v>4015/4016</v>
      </c>
      <c r="L101" s="25" t="str">
        <f>VLOOKUP(A101,'Trips&amp;Operators'!$C$1:$E$10000,3,FALSE)</f>
        <v>STEWART</v>
      </c>
      <c r="M101" s="6">
        <f t="shared" si="37"/>
        <v>2.3518518522905651E-2</v>
      </c>
      <c r="N101" s="7"/>
      <c r="O101" s="7"/>
      <c r="P101" s="7">
        <f>24*60*SUM($M101:$M101)</f>
        <v>33.866666672984138</v>
      </c>
      <c r="Q101" s="26"/>
      <c r="R101" s="26" t="s">
        <v>287</v>
      </c>
      <c r="S101" s="38">
        <f t="shared" si="39"/>
        <v>0.75</v>
      </c>
      <c r="T101" s="55" t="str">
        <f t="shared" si="40"/>
        <v>Southbound</v>
      </c>
      <c r="U101" s="14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9</v>
      </c>
      <c r="V101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1" s="57" t="str">
        <f t="shared" si="42"/>
        <v>Y</v>
      </c>
      <c r="X101" s="154">
        <f t="shared" si="51"/>
        <v>1</v>
      </c>
      <c r="Y101" s="72">
        <f t="shared" si="43"/>
        <v>23.300799999999999</v>
      </c>
      <c r="Z101" s="72">
        <f t="shared" si="44"/>
        <v>3.7557999999999998</v>
      </c>
      <c r="AA101" s="72">
        <f t="shared" si="45"/>
        <v>19.544999999999998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46"/>
        <v>0188-07</v>
      </c>
      <c r="AE101" s="110" t="str">
        <f t="shared" si="47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01" s="107" t="str">
        <f t="shared" si="48"/>
        <v>"C:\Program Files (x86)\AstroGrep\AstroGrep.exe" /spath="%USERPROFILE%\AppData\Local\Temp\OnboardLogs" /stypes="*4015*20160807*" /stext=" 21:.+((SYSTEM_STATE.+slice.+state.+changed )|(ment ac)|(system.+state.+changed )|(\|lc)|(penalty)|(\[timeout)|(PRM\|1\|D)|(kpr)|(kdp))" /e /r /s</v>
      </c>
      <c r="AG101" s="1" t="str">
        <f t="shared" si="49"/>
        <v>EC</v>
      </c>
      <c r="AH101" s="111" t="str">
        <f t="shared" si="50"/>
        <v>"%USERPROFILE%\Documents\GitHub\eaglep3\Utilities\RefineRTDCRunTimes.py" --tripid 188-07 --locoid 4015 --swversion DE.1.0.7.0 --startMP 204:233008 --initTime 2016-08-07T15:20:32 --startdatetime 2016-08-07T15:21:38 --delay 1 --endMP 204:37558 --enddatetime 2016-08-07T15:55:30 --enforcementcount 1</v>
      </c>
    </row>
    <row r="102" spans="1:34" x14ac:dyDescent="0.25">
      <c r="A102" s="25" t="s">
        <v>511</v>
      </c>
      <c r="B102" s="129">
        <v>4044</v>
      </c>
      <c r="C102" s="130" t="s">
        <v>147</v>
      </c>
      <c r="D102" s="130" t="s">
        <v>173</v>
      </c>
      <c r="E102" s="131">
        <v>42589.611203703702</v>
      </c>
      <c r="F102" s="131">
        <v>42589.611967592595</v>
      </c>
      <c r="G102" s="129">
        <v>1</v>
      </c>
      <c r="H102" s="131" t="s">
        <v>404</v>
      </c>
      <c r="I102" s="131">
        <v>42589.641481481478</v>
      </c>
      <c r="J102" s="129">
        <v>0</v>
      </c>
      <c r="K102" s="25" t="str">
        <f t="shared" si="36"/>
        <v>4043/4044</v>
      </c>
      <c r="L102" s="25" t="str">
        <f>VLOOKUP(A102,'Trips&amp;Operators'!$C$1:$E$10000,3,FALSE)</f>
        <v>BARTLETT</v>
      </c>
      <c r="M102" s="6">
        <f t="shared" si="37"/>
        <v>2.9513888883229811E-2</v>
      </c>
      <c r="N102" s="7">
        <f t="shared" ref="N102:N123" si="53">24*60*SUM($M102:$M102)</f>
        <v>42.499999991850927</v>
      </c>
      <c r="O102" s="7"/>
      <c r="P102" s="7"/>
      <c r="Q102" s="26"/>
      <c r="R102" s="26"/>
      <c r="S102" s="38">
        <f t="shared" si="39"/>
        <v>1</v>
      </c>
      <c r="T102" s="55" t="str">
        <f t="shared" si="40"/>
        <v>NorthBound</v>
      </c>
      <c r="U102" s="14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13:40:08-0600',mode:absolute,to:'2016-08-07 16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02" s="57" t="str">
        <f t="shared" si="42"/>
        <v>N</v>
      </c>
      <c r="X102" s="154">
        <f t="shared" si="51"/>
        <v>1</v>
      </c>
      <c r="Y102" s="72">
        <f t="shared" si="43"/>
        <v>4.5100000000000001E-2</v>
      </c>
      <c r="Z102" s="72">
        <f t="shared" si="44"/>
        <v>23.3309</v>
      </c>
      <c r="AA102" s="72">
        <f t="shared" si="45"/>
        <v>23.285799999999998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46"/>
        <v>0189-07</v>
      </c>
      <c r="AE102" s="110" t="str">
        <f t="shared" si="47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02" s="107" t="str">
        <f t="shared" si="48"/>
        <v>"C:\Program Files (x86)\AstroGrep\AstroGrep.exe" /spath="%USERPROFILE%\AppData\Local\Temp\OnboardLogs" /stypes="*4044*20160807*" /stext=" 21:.+((SYSTEM_STATE.+slice.+state.+changed )|(ment ac)|(system.+state.+changed )|(\|lc)|(penalty)|(\[timeout)|(PRM\|1\|D)|(kpr)|(kdp))" /e /r /s</v>
      </c>
      <c r="AG102" s="1" t="str">
        <f t="shared" si="49"/>
        <v>EC</v>
      </c>
      <c r="AH102" s="111" t="str">
        <f t="shared" si="50"/>
        <v>"%USERPROFILE%\Documents\GitHub\eaglep3\Utilities\RefineRTDCRunTimes.py" --tripid 189-07 --locoid 4044 --swversion DE.1.0.7.0 --startMP 204:451 --initTime 2016-08-07T14:40:08 --startdatetime 2016-08-07T14:41:14 --delay 1 --endMP 204:233309 --enddatetime 2016-08-07T15:23:44 --enforcementcount 0</v>
      </c>
    </row>
    <row r="103" spans="1:34" x14ac:dyDescent="0.25">
      <c r="A103" s="25" t="s">
        <v>512</v>
      </c>
      <c r="B103" s="129">
        <v>4043</v>
      </c>
      <c r="C103" s="130" t="s">
        <v>147</v>
      </c>
      <c r="D103" s="130" t="s">
        <v>186</v>
      </c>
      <c r="E103" s="131">
        <v>42589.649837962963</v>
      </c>
      <c r="F103" s="131">
        <v>42589.650752314818</v>
      </c>
      <c r="G103" s="129">
        <v>1</v>
      </c>
      <c r="H103" s="131" t="s">
        <v>99</v>
      </c>
      <c r="I103" s="131">
        <v>42589.680960648147</v>
      </c>
      <c r="J103" s="129">
        <v>0</v>
      </c>
      <c r="K103" s="25" t="str">
        <f t="shared" si="36"/>
        <v>4043/4044</v>
      </c>
      <c r="L103" s="25" t="str">
        <f>VLOOKUP(A103,'Trips&amp;Operators'!$C$1:$E$10000,3,FALSE)</f>
        <v>BARTLETT</v>
      </c>
      <c r="M103" s="6">
        <f t="shared" si="37"/>
        <v>3.0208333329937886E-2</v>
      </c>
      <c r="N103" s="7">
        <f t="shared" si="53"/>
        <v>43.499999995110556</v>
      </c>
      <c r="O103" s="7"/>
      <c r="P103" s="7"/>
      <c r="Q103" s="26"/>
      <c r="R103" s="26"/>
      <c r="S103" s="38">
        <f t="shared" si="39"/>
        <v>1</v>
      </c>
      <c r="T103" s="55" t="str">
        <f t="shared" si="40"/>
        <v>Southbound</v>
      </c>
      <c r="U103" s="14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14:35:46-0600',mode:absolute,to:'2016-08-07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03" s="57" t="str">
        <f t="shared" si="42"/>
        <v>N</v>
      </c>
      <c r="X103" s="154">
        <f t="shared" si="51"/>
        <v>1</v>
      </c>
      <c r="Y103" s="72">
        <f t="shared" si="43"/>
        <v>23.297999999999998</v>
      </c>
      <c r="Z103" s="72">
        <f t="shared" si="44"/>
        <v>1.43E-2</v>
      </c>
      <c r="AA103" s="72">
        <f t="shared" si="45"/>
        <v>23.2837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46"/>
        <v>0190-07</v>
      </c>
      <c r="AE103" s="110" t="str">
        <f t="shared" si="47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03" s="107" t="str">
        <f t="shared" si="48"/>
        <v>"C:\Program Files (x86)\AstroGrep\AstroGrep.exe" /spath="%USERPROFILE%\AppData\Local\Temp\OnboardLogs" /stypes="*4043*20160807*" /stext=" 22:.+((SYSTEM_STATE.+slice.+state.+changed )|(ment ac)|(system.+state.+changed )|(\|lc)|(penalty)|(\[timeout)|(PRM\|1\|D)|(kpr)|(kdp))" /e /r /s</v>
      </c>
      <c r="AG103" s="1" t="str">
        <f t="shared" si="49"/>
        <v>EC</v>
      </c>
      <c r="AH103" s="111" t="str">
        <f t="shared" si="50"/>
        <v>"%USERPROFILE%\Documents\GitHub\eaglep3\Utilities\RefineRTDCRunTimes.py" --tripid 190-07 --locoid 4043 --swversion DE.1.0.7.0 --startMP 204:232980 --initTime 2016-08-07T15:35:46 --startdatetime 2016-08-07T15:37:05 --delay 1 --endMP 204:143 --enddatetime 2016-08-07T16:20:35 --enforcementcount 0</v>
      </c>
    </row>
    <row r="104" spans="1:34" x14ac:dyDescent="0.25">
      <c r="A104" s="25" t="s">
        <v>519</v>
      </c>
      <c r="B104" s="129">
        <v>4018</v>
      </c>
      <c r="C104" s="130" t="s">
        <v>147</v>
      </c>
      <c r="D104" s="130" t="s">
        <v>243</v>
      </c>
      <c r="E104" s="131">
        <v>42589.622928240744</v>
      </c>
      <c r="F104" s="131">
        <v>42589.623738425929</v>
      </c>
      <c r="G104" s="129">
        <v>1</v>
      </c>
      <c r="H104" s="131" t="s">
        <v>266</v>
      </c>
      <c r="I104" s="131">
        <v>42589.649675925924</v>
      </c>
      <c r="J104" s="129">
        <v>0</v>
      </c>
      <c r="K104" s="25" t="str">
        <f t="shared" si="36"/>
        <v>4017/4018</v>
      </c>
      <c r="L104" s="25" t="str">
        <f>VLOOKUP(A104,'Trips&amp;Operators'!$C$1:$E$10000,3,FALSE)</f>
        <v>DE LA ROSA</v>
      </c>
      <c r="M104" s="6">
        <f t="shared" si="37"/>
        <v>2.5937499995052349E-2</v>
      </c>
      <c r="N104" s="7">
        <f t="shared" si="53"/>
        <v>37.349999992875382</v>
      </c>
      <c r="O104" s="7"/>
      <c r="P104" s="7"/>
      <c r="Q104" s="26"/>
      <c r="R104" s="26"/>
      <c r="S104" s="38">
        <f t="shared" si="39"/>
        <v>1</v>
      </c>
      <c r="T104" s="55" t="str">
        <f t="shared" si="40"/>
        <v>NorthBound</v>
      </c>
      <c r="U104" s="14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13:57:01-0600',mode:absolute,to:'2016-08-07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04" s="57" t="str">
        <f t="shared" si="42"/>
        <v>N</v>
      </c>
      <c r="X104" s="154">
        <f t="shared" si="51"/>
        <v>1</v>
      </c>
      <c r="Y104" s="72">
        <f t="shared" si="43"/>
        <v>4.3999999999999997E-2</v>
      </c>
      <c r="Z104" s="72">
        <f t="shared" si="44"/>
        <v>23.33</v>
      </c>
      <c r="AA104" s="72">
        <f t="shared" si="45"/>
        <v>23.285999999999998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46"/>
        <v>0191-07</v>
      </c>
      <c r="AE104" s="110" t="str">
        <f t="shared" si="47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04" s="107" t="str">
        <f t="shared" si="48"/>
        <v>"C:\Program Files (x86)\AstroGrep\AstroGrep.exe" /spath="%USERPROFILE%\AppData\Local\Temp\OnboardLogs" /stypes="*4018*20160807*" /stext=" 21:.+((SYSTEM_STATE.+slice.+state.+changed )|(ment ac)|(system.+state.+changed )|(\|lc)|(penalty)|(\[timeout)|(PRM\|1\|D)|(kpr)|(kdp))" /e /r /s</v>
      </c>
      <c r="AG104" s="1" t="str">
        <f t="shared" si="49"/>
        <v>EC</v>
      </c>
      <c r="AH104" s="111" t="str">
        <f t="shared" si="50"/>
        <v>"%USERPROFILE%\Documents\GitHub\eaglep3\Utilities\RefineRTDCRunTimes.py" --tripid 191-07 --locoid 4018 --swversion DE.1.0.7.0 --startMP 204:440 --initTime 2016-08-07T14:57:01 --startdatetime 2016-08-07T14:58:11 --delay 1 --endMP 204:233300 --enddatetime 2016-08-07T15:35:32 --enforcementcount 0</v>
      </c>
    </row>
    <row r="105" spans="1:34" x14ac:dyDescent="0.25">
      <c r="A105" s="25" t="s">
        <v>520</v>
      </c>
      <c r="B105" s="129">
        <v>4017</v>
      </c>
      <c r="C105" s="130" t="s">
        <v>147</v>
      </c>
      <c r="D105" s="130" t="s">
        <v>521</v>
      </c>
      <c r="E105" s="131">
        <v>42589.659583333334</v>
      </c>
      <c r="F105" s="131">
        <v>42589.666122685187</v>
      </c>
      <c r="G105" s="129">
        <v>9</v>
      </c>
      <c r="H105" s="131" t="s">
        <v>234</v>
      </c>
      <c r="I105" s="131">
        <v>42589.836967592593</v>
      </c>
      <c r="J105" s="129">
        <v>1</v>
      </c>
      <c r="K105" s="25" t="str">
        <f t="shared" si="36"/>
        <v>4017/4018</v>
      </c>
      <c r="L105" s="25" t="str">
        <f>VLOOKUP(A105,'Trips&amp;Operators'!$C$1:$E$10000,3,FALSE)</f>
        <v>DE LA ROSA</v>
      </c>
      <c r="M105" s="6">
        <f t="shared" si="37"/>
        <v>0.17084490740671754</v>
      </c>
      <c r="N105" s="7">
        <f t="shared" si="53"/>
        <v>246.01666666567326</v>
      </c>
      <c r="O105" s="7"/>
      <c r="P105" s="7"/>
      <c r="Q105" s="26"/>
      <c r="R105" s="26"/>
      <c r="S105" s="38">
        <f t="shared" si="39"/>
        <v>1</v>
      </c>
      <c r="T105" s="55" t="str">
        <f t="shared" si="40"/>
        <v>Southbound</v>
      </c>
      <c r="U105" s="14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14:49:48-0600',mode:absolute,to:'2016-08-07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05" s="57" t="str">
        <f t="shared" si="42"/>
        <v>N</v>
      </c>
      <c r="X105" s="154">
        <f t="shared" si="51"/>
        <v>1</v>
      </c>
      <c r="Y105" s="72">
        <f t="shared" si="43"/>
        <v>23.084399999999999</v>
      </c>
      <c r="Z105" s="72">
        <f t="shared" si="44"/>
        <v>1.49E-2</v>
      </c>
      <c r="AA105" s="72">
        <f t="shared" si="45"/>
        <v>23.069499999999998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46"/>
        <v>0192-07</v>
      </c>
      <c r="AE105" s="110" t="str">
        <f t="shared" si="47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05" s="107" t="str">
        <f t="shared" si="48"/>
        <v>"C:\Program Files (x86)\AstroGrep\AstroGrep.exe" /spath="%USERPROFILE%\AppData\Local\Temp\OnboardLogs" /stypes="*4017*20160808*" /stext=" 02:.+((SYSTEM_STATE.+slice.+state.+changed )|(ment ac)|(system.+state.+changed )|(\|lc)|(penalty)|(\[timeout)|(PRM\|1\|D)|(kpr)|(kdp))" /e /r /s</v>
      </c>
      <c r="AG105" s="1" t="str">
        <f t="shared" si="49"/>
        <v>EC</v>
      </c>
      <c r="AH105" s="111" t="str">
        <f t="shared" si="50"/>
        <v>"%USERPROFILE%\Documents\GitHub\eaglep3\Utilities\RefineRTDCRunTimes.py" --tripid 192-07 --locoid 4017 --swversion DE.1.0.7.0 --startMP 204:230844 --initTime 2016-08-07T15:49:48 --startdatetime 2016-08-07T15:59:13 --delay 9 --endMP 204:149 --enddatetime 2016-08-07T20:05:14 --enforcementcount 1</v>
      </c>
    </row>
    <row r="106" spans="1:34" x14ac:dyDescent="0.25">
      <c r="A106" s="25" t="s">
        <v>522</v>
      </c>
      <c r="B106" s="129">
        <v>4029</v>
      </c>
      <c r="C106" s="130" t="s">
        <v>147</v>
      </c>
      <c r="D106" s="130" t="s">
        <v>63</v>
      </c>
      <c r="E106" s="131">
        <v>42589.634664351855</v>
      </c>
      <c r="F106" s="131">
        <v>42589.635659722226</v>
      </c>
      <c r="G106" s="129">
        <v>1</v>
      </c>
      <c r="H106" s="131" t="s">
        <v>219</v>
      </c>
      <c r="I106" s="131">
        <v>42589.661099537036</v>
      </c>
      <c r="J106" s="129">
        <v>0</v>
      </c>
      <c r="K106" s="25" t="str">
        <f t="shared" si="36"/>
        <v>4029/4030</v>
      </c>
      <c r="L106" s="25" t="str">
        <f>VLOOKUP(A106,'Trips&amp;Operators'!$C$1:$E$10000,3,FALSE)</f>
        <v>MOSES</v>
      </c>
      <c r="M106" s="6">
        <f t="shared" si="37"/>
        <v>2.5439814809942618E-2</v>
      </c>
      <c r="N106" s="7">
        <f t="shared" si="53"/>
        <v>36.63333332631737</v>
      </c>
      <c r="O106" s="7"/>
      <c r="P106" s="7"/>
      <c r="Q106" s="26"/>
      <c r="R106" s="26"/>
      <c r="S106" s="38">
        <f t="shared" si="39"/>
        <v>1</v>
      </c>
      <c r="T106" s="55" t="str">
        <f t="shared" si="40"/>
        <v>NorthBound</v>
      </c>
      <c r="U106" s="14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14:13:55-0600',mode:absolute,to:'2016-08-07 16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6" s="57" t="str">
        <f t="shared" si="42"/>
        <v>N</v>
      </c>
      <c r="X106" s="154">
        <f t="shared" si="51"/>
        <v>1</v>
      </c>
      <c r="Y106" s="72">
        <f t="shared" si="43"/>
        <v>4.5999999999999999E-2</v>
      </c>
      <c r="Z106" s="72">
        <f t="shared" si="44"/>
        <v>23.330100000000002</v>
      </c>
      <c r="AA106" s="72">
        <f t="shared" si="45"/>
        <v>23.284100000000002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46"/>
        <v>0193-07</v>
      </c>
      <c r="AE106" s="110" t="str">
        <f t="shared" si="47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106" s="107" t="str">
        <f t="shared" si="48"/>
        <v>"C:\Program Files (x86)\AstroGrep\AstroGrep.exe" /spath="%USERPROFILE%\AppData\Local\Temp\OnboardLogs" /stypes="*4029*20160807*" /stext=" 21:.+((SYSTEM_STATE.+slice.+state.+changed )|(ment ac)|(system.+state.+changed )|(\|lc)|(penalty)|(\[timeout)|(PRM\|1\|D)|(kpr)|(kdp))" /e /r /s</v>
      </c>
      <c r="AG106" s="1" t="str">
        <f t="shared" si="49"/>
        <v>EC</v>
      </c>
      <c r="AH106" s="111" t="str">
        <f t="shared" si="50"/>
        <v>"%USERPROFILE%\Documents\GitHub\eaglep3\Utilities\RefineRTDCRunTimes.py" --tripid 193-07 --locoid 4029 --swversion DE.1.0.7.0 --startMP 204:460 --initTime 2016-08-07T15:13:55 --startdatetime 2016-08-07T15:15:21 --delay 1 --endMP 204:233301 --enddatetime 2016-08-07T15:51:59 --enforcementcount 0</v>
      </c>
    </row>
    <row r="107" spans="1:34" x14ac:dyDescent="0.25">
      <c r="A107" s="25" t="s">
        <v>523</v>
      </c>
      <c r="B107" s="129">
        <v>4030</v>
      </c>
      <c r="C107" s="130" t="s">
        <v>147</v>
      </c>
      <c r="D107" s="130" t="s">
        <v>524</v>
      </c>
      <c r="E107" s="131">
        <v>42589.670324074075</v>
      </c>
      <c r="F107" s="131">
        <v>42589.671365740738</v>
      </c>
      <c r="G107" s="129">
        <v>1</v>
      </c>
      <c r="H107" s="131" t="s">
        <v>525</v>
      </c>
      <c r="I107" s="131">
        <v>42589.702430555553</v>
      </c>
      <c r="J107" s="129">
        <v>0</v>
      </c>
      <c r="K107" s="25" t="str">
        <f t="shared" si="36"/>
        <v>4029/4030</v>
      </c>
      <c r="L107" s="25" t="str">
        <f>VLOOKUP(A107,'Trips&amp;Operators'!$C$1:$E$10000,3,FALSE)</f>
        <v>MOSES</v>
      </c>
      <c r="M107" s="6">
        <f t="shared" si="37"/>
        <v>3.1064814815181307E-2</v>
      </c>
      <c r="N107" s="7">
        <f t="shared" si="53"/>
        <v>44.733333333861083</v>
      </c>
      <c r="O107" s="7"/>
      <c r="P107" s="7"/>
      <c r="Q107" s="26"/>
      <c r="R107" s="26"/>
      <c r="S107" s="38">
        <f t="shared" si="39"/>
        <v>1</v>
      </c>
      <c r="T107" s="55" t="str">
        <f t="shared" si="40"/>
        <v>Southbound</v>
      </c>
      <c r="U107" s="14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15:05:16-0600',mode:absolute,to:'2016-08-07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07" s="57" t="str">
        <f t="shared" si="42"/>
        <v>N</v>
      </c>
      <c r="X107" s="154">
        <f t="shared" si="51"/>
        <v>1</v>
      </c>
      <c r="Y107" s="72">
        <f t="shared" si="43"/>
        <v>23.2988</v>
      </c>
      <c r="Z107" s="72">
        <f t="shared" si="44"/>
        <v>1.1900000000000001E-2</v>
      </c>
      <c r="AA107" s="72">
        <f t="shared" si="45"/>
        <v>23.286899999999999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6"/>
        <v>0194-07</v>
      </c>
      <c r="AE107" s="110" t="str">
        <f t="shared" si="47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107" s="107" t="str">
        <f t="shared" si="48"/>
        <v>"C:\Program Files (x86)\AstroGrep\AstroGrep.exe" /spath="%USERPROFILE%\AppData\Local\Temp\OnboardLogs" /stypes="*4030*20160807*" /stext=" 22:.+((SYSTEM_STATE.+slice.+state.+changed )|(ment ac)|(system.+state.+changed )|(\|lc)|(penalty)|(\[timeout)|(PRM\|1\|D)|(kpr)|(kdp))" /e /r /s</v>
      </c>
      <c r="AG107" s="1" t="str">
        <f t="shared" si="49"/>
        <v>EC</v>
      </c>
      <c r="AH107" s="111" t="str">
        <f t="shared" si="50"/>
        <v>"%USERPROFILE%\Documents\GitHub\eaglep3\Utilities\RefineRTDCRunTimes.py" --tripid 194-07 --locoid 4030 --swversion DE.1.0.7.0 --startMP 204:232988 --initTime 2016-08-07T16:05:16 --startdatetime 2016-08-07T16:06:46 --delay 1 --endMP 204:119 --enddatetime 2016-08-07T16:51:30 --enforcementcount 0</v>
      </c>
    </row>
    <row r="108" spans="1:34" x14ac:dyDescent="0.25">
      <c r="A108" s="25" t="s">
        <v>526</v>
      </c>
      <c r="B108" s="129">
        <v>4038</v>
      </c>
      <c r="C108" s="130" t="s">
        <v>147</v>
      </c>
      <c r="D108" s="130" t="s">
        <v>527</v>
      </c>
      <c r="E108" s="131">
        <v>42589.64261574074</v>
      </c>
      <c r="F108" s="131">
        <v>42589.643888888888</v>
      </c>
      <c r="G108" s="129">
        <v>1</v>
      </c>
      <c r="H108" s="131" t="s">
        <v>261</v>
      </c>
      <c r="I108" s="131">
        <v>42589.672592592593</v>
      </c>
      <c r="J108" s="129">
        <v>0</v>
      </c>
      <c r="K108" s="25" t="str">
        <f t="shared" si="36"/>
        <v>4037/4038</v>
      </c>
      <c r="L108" s="25" t="str">
        <f>VLOOKUP(A108,'Trips&amp;Operators'!$C$1:$E$10000,3,FALSE)</f>
        <v>YOUNG</v>
      </c>
      <c r="M108" s="6">
        <f t="shared" si="37"/>
        <v>2.8703703705104999E-2</v>
      </c>
      <c r="N108" s="7">
        <f t="shared" si="53"/>
        <v>41.333333335351199</v>
      </c>
      <c r="O108" s="7"/>
      <c r="P108" s="7"/>
      <c r="Q108" s="26"/>
      <c r="R108" s="26"/>
      <c r="S108" s="38">
        <f t="shared" si="39"/>
        <v>1</v>
      </c>
      <c r="T108" s="55" t="str">
        <f t="shared" si="40"/>
        <v>NorthBound</v>
      </c>
      <c r="U108" s="14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14:25:22-0600',mode:absolute,to:'2016-08-07 17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8" s="57" t="str">
        <f t="shared" si="42"/>
        <v>N</v>
      </c>
      <c r="X108" s="154">
        <f t="shared" si="51"/>
        <v>1</v>
      </c>
      <c r="Y108" s="72">
        <f t="shared" si="43"/>
        <v>5.1499999999999997E-2</v>
      </c>
      <c r="Z108" s="72">
        <f t="shared" si="44"/>
        <v>23.332100000000001</v>
      </c>
      <c r="AA108" s="72">
        <f t="shared" si="45"/>
        <v>23.2806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46"/>
        <v>0195-07</v>
      </c>
      <c r="AE108" s="110" t="str">
        <f t="shared" si="47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08" s="107" t="str">
        <f t="shared" si="48"/>
        <v>"C:\Program Files (x86)\AstroGrep\AstroGrep.exe" /spath="%USERPROFILE%\AppData\Local\Temp\OnboardLogs" /stypes="*4038*20160807*" /stext=" 22:.+((SYSTEM_STATE.+slice.+state.+changed )|(ment ac)|(system.+state.+changed )|(\|lc)|(penalty)|(\[timeout)|(PRM\|1\|D)|(kpr)|(kdp))" /e /r /s</v>
      </c>
      <c r="AG108" s="1" t="str">
        <f t="shared" si="49"/>
        <v>EC</v>
      </c>
      <c r="AH108" s="111" t="str">
        <f t="shared" si="50"/>
        <v>"%USERPROFILE%\Documents\GitHub\eaglep3\Utilities\RefineRTDCRunTimes.py" --tripid 195-07 --locoid 4038 --swversion DE.1.0.7.0 --startMP 204:515 --initTime 2016-08-07T15:25:22 --startdatetime 2016-08-07T15:27:12 --delay 1 --endMP 204:233321 --enddatetime 2016-08-07T16:08:32 --enforcementcount 0</v>
      </c>
    </row>
    <row r="109" spans="1:34" x14ac:dyDescent="0.25">
      <c r="A109" s="25" t="s">
        <v>528</v>
      </c>
      <c r="B109" s="129">
        <v>4037</v>
      </c>
      <c r="C109" s="130" t="s">
        <v>147</v>
      </c>
      <c r="D109" s="130" t="s">
        <v>426</v>
      </c>
      <c r="E109" s="131">
        <v>42589.681423611109</v>
      </c>
      <c r="F109" s="131">
        <v>42589.68241898148</v>
      </c>
      <c r="G109" s="129">
        <v>1</v>
      </c>
      <c r="H109" s="131" t="s">
        <v>108</v>
      </c>
      <c r="I109" s="131">
        <v>42589.713831018518</v>
      </c>
      <c r="J109" s="129">
        <v>0</v>
      </c>
      <c r="K109" s="25" t="str">
        <f t="shared" ref="K109:K140" si="54">IF(ISEVEN(B109),(B109-1)&amp;"/"&amp;B109,B109&amp;"/"&amp;(B109+1))</f>
        <v>4037/4038</v>
      </c>
      <c r="L109" s="25" t="str">
        <f>VLOOKUP(A109,'Trips&amp;Operators'!$C$1:$E$10000,3,FALSE)</f>
        <v>YOUNG</v>
      </c>
      <c r="M109" s="6">
        <f t="shared" ref="M109:M140" si="55">I109-F109</f>
        <v>3.1412037038535345E-2</v>
      </c>
      <c r="N109" s="7">
        <f t="shared" si="53"/>
        <v>45.233333335490897</v>
      </c>
      <c r="O109" s="7"/>
      <c r="P109" s="7"/>
      <c r="Q109" s="26"/>
      <c r="R109" s="26"/>
      <c r="S109" s="38">
        <f t="shared" ref="S109:S140" si="56">SUM(U109:U109)/IF(AG109="EC",12,1)</f>
        <v>1</v>
      </c>
      <c r="T109" s="55" t="str">
        <f t="shared" ref="T109:T140" si="57">IF(ISEVEN(LEFT(AD109,4)),"Southbound","NorthBound")</f>
        <v>Southbound</v>
      </c>
      <c r="U109" s="14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7" t="str">
        <f t="shared" ref="V109:V140" si="58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https://search-rtdc-monitor-bjffxe2xuh6vdkpspy63sjmuny.us-east-1.es.amazonaws.com/_plugin/kibana/#/discover/Steve-Slow-Train-Analysis-(2080s-and-2083s)?_g=(refreshInterval:(display:Off,section:0,value:0),time:(from:'2016-08-07 15:21:15-0600',mode:absolute,to:'2016-08-07 18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9" s="57" t="str">
        <f t="shared" ref="W109:W140" si="59">IF(AA109&lt;IF(AG109="EC",23,5.65),"Y","N")</f>
        <v>N</v>
      </c>
      <c r="X109" s="154">
        <f t="shared" si="51"/>
        <v>1</v>
      </c>
      <c r="Y109" s="72">
        <f t="shared" ref="Y109:Y140" si="60">RIGHT(D109,LEN(D109)-4)/10000</f>
        <v>23.301500000000001</v>
      </c>
      <c r="Z109" s="72">
        <f t="shared" ref="Z109:Z140" si="61">RIGHT(H109,LEN(H109)-4)/10000</f>
        <v>1.5599999999999999E-2</v>
      </c>
      <c r="AA109" s="72">
        <f t="shared" ref="AA109:AA140" si="62">ABS(Z109-Y109)</f>
        <v>23.285900000000002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ref="AD109:AD140" si="63">IF(LEN(A109)=6,"0"&amp;A109,A109)</f>
        <v>0196-07</v>
      </c>
      <c r="AE109" s="110" t="str">
        <f t="shared" ref="AE109:AE140" si="64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09" s="107" t="str">
        <f t="shared" ref="AF109:AF140" si="65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/stypes="*4037*20160807*" /stext=" 23:.+((SYSTEM_STATE.+slice.+state.+changed )|(ment ac)|(system.+state.+changed )|(\|lc)|(penalty)|(\[timeout)|(PRM\|1\|D)|(kpr)|(kdp))" /e /r /s</v>
      </c>
      <c r="AG109" s="1" t="str">
        <f t="shared" ref="AG109:AG140" si="66">IF(VALUE(LEFT(AD109,2))&lt;=2,"EC",IF(OR(VALUE(LEFT(AD109,2))=8,VALUE(LEFT(AD109,2))=18),"NW","Other"))</f>
        <v>EC</v>
      </c>
      <c r="AH109" s="111" t="str">
        <f t="shared" ref="AH109:AH140" si="67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</f>
        <v>"%USERPROFILE%\Documents\GitHub\eaglep3\Utilities\RefineRTDCRunTimes.py" --tripid 196-07 --locoid 4037 --swversion DE.1.0.7.0 --startMP 204:233015 --initTime 2016-08-07T16:21:15 --startdatetime 2016-08-07T16:22:41 --delay 1 --endMP 204:156 --enddatetime 2016-08-07T17:07:55 --enforcementcount 0</v>
      </c>
    </row>
    <row r="110" spans="1:34" x14ac:dyDescent="0.25">
      <c r="A110" s="25" t="s">
        <v>325</v>
      </c>
      <c r="B110" s="129">
        <v>4007</v>
      </c>
      <c r="C110" s="130" t="s">
        <v>147</v>
      </c>
      <c r="D110" s="130" t="s">
        <v>178</v>
      </c>
      <c r="E110" s="131">
        <v>42589.651990740742</v>
      </c>
      <c r="F110" s="131">
        <v>42589.656157407408</v>
      </c>
      <c r="G110" s="129">
        <v>5</v>
      </c>
      <c r="H110" s="131" t="s">
        <v>267</v>
      </c>
      <c r="I110" s="131">
        <v>42589.682314814818</v>
      </c>
      <c r="J110" s="129">
        <v>1</v>
      </c>
      <c r="K110" s="25" t="str">
        <f t="shared" si="54"/>
        <v>4007/4008</v>
      </c>
      <c r="L110" s="25" t="str">
        <f>VLOOKUP(A110,'Trips&amp;Operators'!$C$1:$E$10000,3,FALSE)</f>
        <v>MAYBERRY</v>
      </c>
      <c r="M110" s="6">
        <f t="shared" si="55"/>
        <v>2.6157407410209998E-2</v>
      </c>
      <c r="N110" s="7">
        <f t="shared" si="53"/>
        <v>37.666666670702398</v>
      </c>
      <c r="O110" s="7"/>
      <c r="P110" s="7"/>
      <c r="Q110" s="26"/>
      <c r="R110" s="26"/>
      <c r="S110" s="38">
        <f t="shared" si="56"/>
        <v>1</v>
      </c>
      <c r="T110" s="55" t="str">
        <f t="shared" si="57"/>
        <v>NorthBound</v>
      </c>
      <c r="U110" s="14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10" s="57" t="str">
        <f t="shared" si="59"/>
        <v>N</v>
      </c>
      <c r="X110" s="154">
        <f t="shared" ref="X110:X141" si="68">VALUE(LEFT(AD110,4))-VALUE(LEFT(AD109,4))</f>
        <v>1</v>
      </c>
      <c r="Y110" s="72">
        <f t="shared" si="60"/>
        <v>4.5699999999999998E-2</v>
      </c>
      <c r="Z110" s="72">
        <f t="shared" si="61"/>
        <v>23.329899999999999</v>
      </c>
      <c r="AA110" s="72">
        <f t="shared" si="62"/>
        <v>23.284199999999998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63"/>
        <v>0197-07</v>
      </c>
      <c r="AE110" s="110" t="str">
        <f t="shared" si="64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110" s="107" t="str">
        <f t="shared" si="65"/>
        <v>"C:\Program Files (x86)\AstroGrep\AstroGrep.exe" /spath="%USERPROFILE%\AppData\Local\Temp\OnboardLogs" /stypes="*4007*20160807*" /stext=" 22:.+((SYSTEM_STATE.+slice.+state.+changed )|(ment ac)|(system.+state.+changed )|(\|lc)|(penalty)|(\[timeout)|(PRM\|1\|D)|(kpr)|(kdp))" /e /r /s</v>
      </c>
      <c r="AG110" s="1" t="str">
        <f t="shared" si="66"/>
        <v>EC</v>
      </c>
      <c r="AH110" s="111" t="str">
        <f t="shared" si="67"/>
        <v>"%USERPROFILE%\Documents\GitHub\eaglep3\Utilities\RefineRTDCRunTimes.py" --tripid 197-07 --locoid 4007 --swversion DE.1.0.7.0 --startMP 204:457 --initTime 2016-08-07T15:38:52 --startdatetime 2016-08-07T15:44:52 --delay 5 --endMP 204:233299 --enddatetime 2016-08-07T16:22:32 --enforcementcount 1</v>
      </c>
    </row>
    <row r="111" spans="1:34" x14ac:dyDescent="0.25">
      <c r="A111" s="25" t="s">
        <v>529</v>
      </c>
      <c r="B111" s="129">
        <v>4008</v>
      </c>
      <c r="C111" s="130" t="s">
        <v>147</v>
      </c>
      <c r="D111" s="130" t="s">
        <v>64</v>
      </c>
      <c r="E111" s="131">
        <v>42589.68818287037</v>
      </c>
      <c r="F111" s="131">
        <v>42589.689016203702</v>
      </c>
      <c r="G111" s="129">
        <v>1</v>
      </c>
      <c r="H111" s="131" t="s">
        <v>248</v>
      </c>
      <c r="I111" s="131">
        <v>42589.722650462965</v>
      </c>
      <c r="J111" s="129">
        <v>0</v>
      </c>
      <c r="K111" s="25" t="str">
        <f t="shared" si="54"/>
        <v>4007/4008</v>
      </c>
      <c r="L111" s="25" t="str">
        <f>VLOOKUP(A111,'Trips&amp;Operators'!$C$1:$E$10000,3,FALSE)</f>
        <v>MAYBERRY</v>
      </c>
      <c r="M111" s="6">
        <f t="shared" si="55"/>
        <v>3.3634259263635613E-2</v>
      </c>
      <c r="N111" s="7">
        <f t="shared" si="53"/>
        <v>48.433333339635283</v>
      </c>
      <c r="O111" s="7"/>
      <c r="P111" s="7"/>
      <c r="Q111" s="26"/>
      <c r="R111" s="26"/>
      <c r="S111" s="38">
        <f t="shared" si="56"/>
        <v>1</v>
      </c>
      <c r="T111" s="55" t="str">
        <f t="shared" si="57"/>
        <v>Southbound</v>
      </c>
      <c r="U111" s="14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15:30:59-0600',mode:absolute,to:'2016-08-07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11" s="57" t="str">
        <f t="shared" si="59"/>
        <v>N</v>
      </c>
      <c r="X111" s="154">
        <f t="shared" si="68"/>
        <v>1</v>
      </c>
      <c r="Y111" s="72">
        <f t="shared" si="60"/>
        <v>23.297699999999999</v>
      </c>
      <c r="Z111" s="72">
        <f t="shared" si="61"/>
        <v>1.41E-2</v>
      </c>
      <c r="AA111" s="72">
        <f t="shared" si="62"/>
        <v>23.2836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63"/>
        <v>0198-07</v>
      </c>
      <c r="AE111" s="110" t="str">
        <f t="shared" si="64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111" s="107" t="str">
        <f t="shared" si="65"/>
        <v>"C:\Program Files (x86)\AstroGrep\AstroGrep.exe" /spath="%USERPROFILE%\AppData\Local\Temp\OnboardLogs" /stypes="*4008*20160807*" /stext=" 23:.+((SYSTEM_STATE.+slice.+state.+changed )|(ment ac)|(system.+state.+changed )|(\|lc)|(penalty)|(\[timeout)|(PRM\|1\|D)|(kpr)|(kdp))" /e /r /s</v>
      </c>
      <c r="AG111" s="1" t="str">
        <f t="shared" si="66"/>
        <v>EC</v>
      </c>
      <c r="AH111" s="111" t="str">
        <f t="shared" si="67"/>
        <v>"%USERPROFILE%\Documents\GitHub\eaglep3\Utilities\RefineRTDCRunTimes.py" --tripid 198-07 --locoid 4008 --swversion DE.1.0.7.0 --startMP 204:232977 --initTime 2016-08-07T16:30:59 --startdatetime 2016-08-07T16:32:11 --delay 1 --endMP 204:141 --enddatetime 2016-08-07T17:20:37 --enforcementcount 0</v>
      </c>
    </row>
    <row r="112" spans="1:34" x14ac:dyDescent="0.25">
      <c r="A112" s="25" t="s">
        <v>530</v>
      </c>
      <c r="B112" s="129">
        <v>4025</v>
      </c>
      <c r="C112" s="130" t="s">
        <v>147</v>
      </c>
      <c r="D112" s="130" t="s">
        <v>390</v>
      </c>
      <c r="E112" s="131">
        <v>42589.661261574074</v>
      </c>
      <c r="F112" s="131">
        <v>42589.662268518521</v>
      </c>
      <c r="G112" s="129">
        <v>1</v>
      </c>
      <c r="H112" s="131" t="s">
        <v>240</v>
      </c>
      <c r="I112" s="131">
        <v>42589.69431712963</v>
      </c>
      <c r="J112" s="129">
        <v>0</v>
      </c>
      <c r="K112" s="25" t="str">
        <f t="shared" si="54"/>
        <v>4025/4026</v>
      </c>
      <c r="L112" s="25" t="str">
        <f>VLOOKUP(A112,'Trips&amp;Operators'!$C$1:$E$10000,3,FALSE)</f>
        <v>SHOOK</v>
      </c>
      <c r="M112" s="6">
        <f t="shared" si="55"/>
        <v>3.2048611108621117E-2</v>
      </c>
      <c r="N112" s="7">
        <f t="shared" si="53"/>
        <v>46.149999996414408</v>
      </c>
      <c r="O112" s="7"/>
      <c r="P112" s="7"/>
      <c r="Q112" s="26"/>
      <c r="R112" s="26"/>
      <c r="S112" s="38">
        <f t="shared" si="56"/>
        <v>1</v>
      </c>
      <c r="T112" s="55" t="str">
        <f t="shared" si="57"/>
        <v>NorthBound</v>
      </c>
      <c r="U112" s="14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14:52:13-0600',mode:absolute,to:'2016-08-07 17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12" s="57" t="str">
        <f t="shared" si="59"/>
        <v>N</v>
      </c>
      <c r="X112" s="154">
        <f t="shared" si="68"/>
        <v>1</v>
      </c>
      <c r="Y112" s="72">
        <f t="shared" si="60"/>
        <v>4.4200000000000003E-2</v>
      </c>
      <c r="Z112" s="72">
        <f t="shared" si="61"/>
        <v>23.336600000000001</v>
      </c>
      <c r="AA112" s="72">
        <f t="shared" si="62"/>
        <v>23.292400000000001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63"/>
        <v>0199-07</v>
      </c>
      <c r="AE112" s="110" t="str">
        <f t="shared" si="64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12" s="107" t="str">
        <f t="shared" si="65"/>
        <v>"C:\Program Files (x86)\AstroGrep\AstroGrep.exe" /spath="%USERPROFILE%\AppData\Local\Temp\OnboardLogs" /stypes="*4025*20160807*" /stext=" 22:.+((SYSTEM_STATE.+slice.+state.+changed )|(ment ac)|(system.+state.+changed )|(\|lc)|(penalty)|(\[timeout)|(PRM\|1\|D)|(kpr)|(kdp))" /e /r /s</v>
      </c>
      <c r="AG112" s="1" t="str">
        <f t="shared" si="66"/>
        <v>EC</v>
      </c>
      <c r="AH112" s="111" t="str">
        <f t="shared" si="67"/>
        <v>"%USERPROFILE%\Documents\GitHub\eaglep3\Utilities\RefineRTDCRunTimes.py" --tripid 199-07 --locoid 4025 --swversion DE.1.0.7.0 --startMP 204:442 --initTime 2016-08-07T15:52:13 --startdatetime 2016-08-07T15:53:40 --delay 1 --endMP 204:233366 --enddatetime 2016-08-07T16:39:49 --enforcementcount 0</v>
      </c>
    </row>
    <row r="113" spans="1:34" x14ac:dyDescent="0.25">
      <c r="A113" s="25" t="s">
        <v>531</v>
      </c>
      <c r="B113" s="129">
        <v>4026</v>
      </c>
      <c r="C113" s="130" t="s">
        <v>147</v>
      </c>
      <c r="D113" s="130" t="s">
        <v>532</v>
      </c>
      <c r="E113" s="131">
        <v>42589.701249999998</v>
      </c>
      <c r="F113" s="131">
        <v>42589.702210648145</v>
      </c>
      <c r="G113" s="129">
        <v>1</v>
      </c>
      <c r="H113" s="131" t="s">
        <v>533</v>
      </c>
      <c r="I113" s="131">
        <v>42589.73233796296</v>
      </c>
      <c r="J113" s="129">
        <v>0</v>
      </c>
      <c r="K113" s="25" t="str">
        <f t="shared" si="54"/>
        <v>4025/4026</v>
      </c>
      <c r="L113" s="25" t="str">
        <f>VLOOKUP(A113,'Trips&amp;Operators'!$C$1:$E$10000,3,FALSE)</f>
        <v>SHOOK</v>
      </c>
      <c r="M113" s="6">
        <f t="shared" si="55"/>
        <v>3.0127314814308193E-2</v>
      </c>
      <c r="N113" s="7">
        <f t="shared" si="53"/>
        <v>43.383333332603797</v>
      </c>
      <c r="O113" s="7"/>
      <c r="P113" s="7"/>
      <c r="Q113" s="26"/>
      <c r="R113" s="26"/>
      <c r="S113" s="38">
        <f t="shared" si="56"/>
        <v>1</v>
      </c>
      <c r="T113" s="55" t="str">
        <f t="shared" si="57"/>
        <v>Southbound</v>
      </c>
      <c r="U113" s="14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15:49:48-0600',mode:absolute,to:'2016-08-07 18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13" s="57" t="str">
        <f t="shared" si="59"/>
        <v>N</v>
      </c>
      <c r="X113" s="154">
        <f t="shared" si="68"/>
        <v>1</v>
      </c>
      <c r="Y113" s="72">
        <f t="shared" si="60"/>
        <v>23.3062</v>
      </c>
      <c r="Z113" s="72">
        <f t="shared" si="61"/>
        <v>1.18E-2</v>
      </c>
      <c r="AA113" s="72">
        <f t="shared" si="62"/>
        <v>23.2944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63"/>
        <v>0200-07</v>
      </c>
      <c r="AE113" s="110" t="str">
        <f t="shared" si="64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13" s="107" t="str">
        <f t="shared" si="65"/>
        <v>"C:\Program Files (x86)\AstroGrep\AstroGrep.exe" /spath="%USERPROFILE%\AppData\Local\Temp\OnboardLogs" /stypes="*4026*20160807*" /stext=" 23:.+((SYSTEM_STATE.+slice.+state.+changed )|(ment ac)|(system.+state.+changed )|(\|lc)|(penalty)|(\[timeout)|(PRM\|1\|D)|(kpr)|(kdp))" /e /r /s</v>
      </c>
      <c r="AG113" s="1" t="str">
        <f t="shared" si="66"/>
        <v>EC</v>
      </c>
      <c r="AH113" s="111" t="str">
        <f t="shared" si="67"/>
        <v>"%USERPROFILE%\Documents\GitHub\eaglep3\Utilities\RefineRTDCRunTimes.py" --tripid 200-07 --locoid 4026 --swversion DE.1.0.7.0 --startMP 204:233062 --initTime 2016-08-07T16:49:48 --startdatetime 2016-08-07T16:51:11 --delay 1 --endMP 204:118 --enddatetime 2016-08-07T17:34:34 --enforcementcount 0</v>
      </c>
    </row>
    <row r="114" spans="1:34" x14ac:dyDescent="0.25">
      <c r="A114" s="25" t="s">
        <v>534</v>
      </c>
      <c r="B114" s="129">
        <v>4016</v>
      </c>
      <c r="C114" s="130" t="s">
        <v>147</v>
      </c>
      <c r="D114" s="130" t="s">
        <v>140</v>
      </c>
      <c r="E114" s="131">
        <v>42589.67560185185</v>
      </c>
      <c r="F114" s="131">
        <v>42589.676504629628</v>
      </c>
      <c r="G114" s="129">
        <v>1</v>
      </c>
      <c r="H114" s="131" t="s">
        <v>359</v>
      </c>
      <c r="I114" s="131">
        <v>42589.702418981484</v>
      </c>
      <c r="J114" s="129">
        <v>0</v>
      </c>
      <c r="K114" s="25" t="str">
        <f t="shared" si="54"/>
        <v>4015/4016</v>
      </c>
      <c r="L114" s="25" t="str">
        <f>VLOOKUP(A114,'Trips&amp;Operators'!$C$1:$E$10000,3,FALSE)</f>
        <v>STEWART</v>
      </c>
      <c r="M114" s="6">
        <f t="shared" si="55"/>
        <v>2.5914351856044959E-2</v>
      </c>
      <c r="N114" s="7">
        <f t="shared" si="53"/>
        <v>37.316666672704741</v>
      </c>
      <c r="O114" s="7"/>
      <c r="P114" s="7"/>
      <c r="Q114" s="26"/>
      <c r="R114" s="26"/>
      <c r="S114" s="38">
        <f t="shared" si="56"/>
        <v>1</v>
      </c>
      <c r="T114" s="55" t="str">
        <f t="shared" si="57"/>
        <v>NorthBound</v>
      </c>
      <c r="U114" s="14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15:12:52-0600',mode:absolute,to:'2016-08-07 17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14" s="57" t="str">
        <f t="shared" si="59"/>
        <v>N</v>
      </c>
      <c r="X114" s="154">
        <f t="shared" si="68"/>
        <v>1</v>
      </c>
      <c r="Y114" s="72">
        <f t="shared" si="60"/>
        <v>4.6699999999999998E-2</v>
      </c>
      <c r="Z114" s="72">
        <f t="shared" si="61"/>
        <v>23.334700000000002</v>
      </c>
      <c r="AA114" s="72">
        <f t="shared" si="62"/>
        <v>23.288</v>
      </c>
      <c r="AB114" s="69" t="e">
        <f>VLOOKUP(A114,Enforcements!$C$7:$J$24,8,0)</f>
        <v>#N/A</v>
      </c>
      <c r="AC114" s="65" t="e">
        <f>VLOOKUP(A114,Enforcements!$C$7:$E$24,3,0)</f>
        <v>#N/A</v>
      </c>
      <c r="AD114" s="66" t="str">
        <f t="shared" si="63"/>
        <v>0201-07</v>
      </c>
      <c r="AE114" s="110" t="str">
        <f t="shared" si="64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114" s="107" t="str">
        <f t="shared" si="65"/>
        <v>"C:\Program Files (x86)\AstroGrep\AstroGrep.exe" /spath="%USERPROFILE%\AppData\Local\Temp\OnboardLogs" /stypes="*4016*20160807*" /stext=" 22:.+((SYSTEM_STATE.+slice.+state.+changed )|(ment ac)|(system.+state.+changed )|(\|lc)|(penalty)|(\[timeout)|(PRM\|1\|D)|(kpr)|(kdp))" /e /r /s</v>
      </c>
      <c r="AG114" s="1" t="str">
        <f t="shared" si="66"/>
        <v>EC</v>
      </c>
      <c r="AH114" s="111" t="str">
        <f t="shared" si="67"/>
        <v>"%USERPROFILE%\Documents\GitHub\eaglep3\Utilities\RefineRTDCRunTimes.py" --tripid 201-07 --locoid 4016 --swversion DE.1.0.7.0 --startMP 204:467 --initTime 2016-08-07T16:12:52 --startdatetime 2016-08-07T16:14:10 --delay 1 --endMP 204:233347 --enddatetime 2016-08-07T16:51:29 --enforcementcount 0</v>
      </c>
    </row>
    <row r="115" spans="1:34" x14ac:dyDescent="0.25">
      <c r="A115" s="25" t="s">
        <v>535</v>
      </c>
      <c r="B115" s="129">
        <v>4015</v>
      </c>
      <c r="C115" s="130" t="s">
        <v>147</v>
      </c>
      <c r="D115" s="130" t="s">
        <v>536</v>
      </c>
      <c r="E115" s="131">
        <v>42589.712824074071</v>
      </c>
      <c r="F115" s="131">
        <v>42589.716203703705</v>
      </c>
      <c r="G115" s="129">
        <v>4</v>
      </c>
      <c r="H115" s="131" t="s">
        <v>234</v>
      </c>
      <c r="I115" s="131">
        <v>42589.745462962965</v>
      </c>
      <c r="J115" s="129">
        <v>0</v>
      </c>
      <c r="K115" s="25" t="str">
        <f t="shared" si="54"/>
        <v>4015/4016</v>
      </c>
      <c r="L115" s="25" t="str">
        <f>VLOOKUP(A115,'Trips&amp;Operators'!$C$1:$E$10000,3,FALSE)</f>
        <v>STEWART</v>
      </c>
      <c r="M115" s="6">
        <f t="shared" si="55"/>
        <v>2.9259259259561077E-2</v>
      </c>
      <c r="N115" s="7">
        <f t="shared" si="53"/>
        <v>42.133333333767951</v>
      </c>
      <c r="O115" s="7"/>
      <c r="P115" s="7"/>
      <c r="Q115" s="26"/>
      <c r="R115" s="26"/>
      <c r="S115" s="38">
        <f t="shared" si="56"/>
        <v>1</v>
      </c>
      <c r="T115" s="55" t="str">
        <f t="shared" si="57"/>
        <v>Southbound</v>
      </c>
      <c r="U115" s="14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16:06:28-0600',mode:absolute,to:'2016-08-07 18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15" s="57" t="str">
        <f t="shared" si="59"/>
        <v>N</v>
      </c>
      <c r="X115" s="154">
        <f t="shared" si="68"/>
        <v>1</v>
      </c>
      <c r="Y115" s="72">
        <f t="shared" si="60"/>
        <v>23.302800000000001</v>
      </c>
      <c r="Z115" s="72">
        <f t="shared" si="61"/>
        <v>1.49E-2</v>
      </c>
      <c r="AA115" s="72">
        <f t="shared" si="62"/>
        <v>23.2879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63"/>
        <v>0202-07</v>
      </c>
      <c r="AE115" s="110" t="str">
        <f t="shared" si="64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15" s="107" t="str">
        <f t="shared" si="65"/>
        <v>"C:\Program Files (x86)\AstroGrep\AstroGrep.exe" /spath="%USERPROFILE%\AppData\Local\Temp\OnboardLogs" /stypes="*4015*20160807*" /stext=" 23:.+((SYSTEM_STATE.+slice.+state.+changed )|(ment ac)|(system.+state.+changed )|(\|lc)|(penalty)|(\[timeout)|(PRM\|1\|D)|(kpr)|(kdp))" /e /r /s</v>
      </c>
      <c r="AG115" s="1" t="str">
        <f t="shared" si="66"/>
        <v>EC</v>
      </c>
      <c r="AH115" s="111" t="str">
        <f t="shared" si="67"/>
        <v>"%USERPROFILE%\Documents\GitHub\eaglep3\Utilities\RefineRTDCRunTimes.py" --tripid 202-07 --locoid 4015 --swversion DE.1.0.7.0 --startMP 204:233028 --initTime 2016-08-07T17:06:28 --startdatetime 2016-08-07T17:11:20 --delay 4 --endMP 204:149 --enddatetime 2016-08-07T17:53:28 --enforcementcount 0</v>
      </c>
    </row>
    <row r="116" spans="1:34" x14ac:dyDescent="0.25">
      <c r="A116" s="25" t="s">
        <v>537</v>
      </c>
      <c r="B116" s="129">
        <v>4044</v>
      </c>
      <c r="C116" s="130" t="s">
        <v>147</v>
      </c>
      <c r="D116" s="130" t="s">
        <v>176</v>
      </c>
      <c r="E116" s="131">
        <v>42589.682488425926</v>
      </c>
      <c r="F116" s="131">
        <v>42589.683657407404</v>
      </c>
      <c r="G116" s="129">
        <v>1</v>
      </c>
      <c r="H116" s="131" t="s">
        <v>145</v>
      </c>
      <c r="I116" s="131">
        <v>42589.713379629633</v>
      </c>
      <c r="J116" s="129">
        <v>0</v>
      </c>
      <c r="K116" s="25" t="str">
        <f t="shared" si="54"/>
        <v>4043/4044</v>
      </c>
      <c r="L116" s="25" t="str">
        <f>VLOOKUP(A116,'Trips&amp;Operators'!$C$1:$E$10000,3,FALSE)</f>
        <v>BARTLETT</v>
      </c>
      <c r="M116" s="6">
        <f t="shared" si="55"/>
        <v>2.9722222228883766E-2</v>
      </c>
      <c r="N116" s="7">
        <f t="shared" si="53"/>
        <v>42.800000009592623</v>
      </c>
      <c r="O116" s="7"/>
      <c r="P116" s="7"/>
      <c r="Q116" s="26"/>
      <c r="R116" s="26"/>
      <c r="S116" s="38">
        <f t="shared" si="56"/>
        <v>1</v>
      </c>
      <c r="T116" s="55" t="str">
        <f t="shared" si="57"/>
        <v>NorthBound</v>
      </c>
      <c r="U116" s="14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15:22:47-0600',mode:absolute,to:'2016-08-07 18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16" s="57" t="str">
        <f t="shared" si="59"/>
        <v>N</v>
      </c>
      <c r="X116" s="154">
        <f t="shared" si="68"/>
        <v>1</v>
      </c>
      <c r="Y116" s="72">
        <f t="shared" si="60"/>
        <v>4.4699999999999997E-2</v>
      </c>
      <c r="Z116" s="72">
        <f t="shared" si="61"/>
        <v>23.3308</v>
      </c>
      <c r="AA116" s="72">
        <f t="shared" si="62"/>
        <v>23.286100000000001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63"/>
        <v>0203-07</v>
      </c>
      <c r="AE116" s="110" t="str">
        <f t="shared" si="64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16" s="107" t="str">
        <f t="shared" si="65"/>
        <v>"C:\Program Files (x86)\AstroGrep\AstroGrep.exe" /spath="%USERPROFILE%\AppData\Local\Temp\OnboardLogs" /stypes="*4044*20160807*" /stext=" 23:.+((SYSTEM_STATE.+slice.+state.+changed )|(ment ac)|(system.+state.+changed )|(\|lc)|(penalty)|(\[timeout)|(PRM\|1\|D)|(kpr)|(kdp))" /e /r /s</v>
      </c>
      <c r="AG116" s="1" t="str">
        <f t="shared" si="66"/>
        <v>EC</v>
      </c>
      <c r="AH116" s="111" t="str">
        <f t="shared" si="67"/>
        <v>"%USERPROFILE%\Documents\GitHub\eaglep3\Utilities\RefineRTDCRunTimes.py" --tripid 203-07 --locoid 4044 --swversion DE.1.0.7.0 --startMP 204:447 --initTime 2016-08-07T16:22:47 --startdatetime 2016-08-07T16:24:28 --delay 1 --endMP 204:233308 --enddatetime 2016-08-07T17:07:16 --enforcementcount 0</v>
      </c>
    </row>
    <row r="117" spans="1:34" x14ac:dyDescent="0.25">
      <c r="A117" s="25" t="s">
        <v>331</v>
      </c>
      <c r="B117" s="129">
        <v>4043</v>
      </c>
      <c r="C117" s="130" t="s">
        <v>147</v>
      </c>
      <c r="D117" s="130" t="s">
        <v>383</v>
      </c>
      <c r="E117" s="131">
        <v>42589.716296296298</v>
      </c>
      <c r="F117" s="131">
        <v>42589.717094907406</v>
      </c>
      <c r="G117" s="129">
        <v>1</v>
      </c>
      <c r="H117" s="131" t="s">
        <v>538</v>
      </c>
      <c r="I117" s="131">
        <v>42589.75582175926</v>
      </c>
      <c r="J117" s="129">
        <v>1</v>
      </c>
      <c r="K117" s="25" t="str">
        <f t="shared" si="54"/>
        <v>4043/4044</v>
      </c>
      <c r="L117" s="25" t="str">
        <f>VLOOKUP(A117,'Trips&amp;Operators'!$C$1:$E$10000,3,FALSE)</f>
        <v>BARTLETT</v>
      </c>
      <c r="M117" s="6">
        <f t="shared" si="55"/>
        <v>3.8726851853425615E-2</v>
      </c>
      <c r="N117" s="7">
        <f t="shared" si="53"/>
        <v>55.766666668932885</v>
      </c>
      <c r="O117" s="7"/>
      <c r="P117" s="7"/>
      <c r="Q117" s="26"/>
      <c r="R117" s="26"/>
      <c r="S117" s="38">
        <f t="shared" si="56"/>
        <v>1</v>
      </c>
      <c r="T117" s="55" t="str">
        <f t="shared" si="57"/>
        <v>Southbound</v>
      </c>
      <c r="U117" s="14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17" s="57" t="str">
        <f t="shared" si="59"/>
        <v>N</v>
      </c>
      <c r="X117" s="154">
        <f t="shared" si="68"/>
        <v>1</v>
      </c>
      <c r="Y117" s="72">
        <f t="shared" si="60"/>
        <v>23.301100000000002</v>
      </c>
      <c r="Z117" s="72">
        <f t="shared" si="61"/>
        <v>2.3800000000000002E-2</v>
      </c>
      <c r="AA117" s="72">
        <f t="shared" si="62"/>
        <v>23.2773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63"/>
        <v>0204-07</v>
      </c>
      <c r="AE117" s="110" t="str">
        <f t="shared" si="64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17" s="107" t="str">
        <f t="shared" si="65"/>
        <v>"C:\Program Files (x86)\AstroGrep\AstroGrep.exe" /spath="%USERPROFILE%\AppData\Local\Temp\OnboardLogs" /stypes="*4043*20160808*" /stext=" 00:.+((SYSTEM_STATE.+slice.+state.+changed )|(ment ac)|(system.+state.+changed )|(\|lc)|(penalty)|(\[timeout)|(PRM\|1\|D)|(kpr)|(kdp))" /e /r /s</v>
      </c>
      <c r="AG117" s="1" t="str">
        <f t="shared" si="66"/>
        <v>EC</v>
      </c>
      <c r="AH117" s="111" t="str">
        <f t="shared" si="67"/>
        <v>"%USERPROFILE%\Documents\GitHub\eaglep3\Utilities\RefineRTDCRunTimes.py" --tripid 204-07 --locoid 4043 --swversion DE.1.0.7.0 --startMP 204:233011 --initTime 2016-08-07T17:11:28 --startdatetime 2016-08-07T17:12:37 --delay 1 --endMP 204:238 --enddatetime 2016-08-07T18:08:23 --enforcementcount 1</v>
      </c>
    </row>
    <row r="118" spans="1:34" x14ac:dyDescent="0.25">
      <c r="A118" s="25" t="s">
        <v>539</v>
      </c>
      <c r="B118" s="129">
        <v>4020</v>
      </c>
      <c r="C118" s="130" t="s">
        <v>147</v>
      </c>
      <c r="D118" s="130" t="s">
        <v>263</v>
      </c>
      <c r="E118" s="131">
        <v>42589.700983796298</v>
      </c>
      <c r="F118" s="131">
        <v>42589.702025462961</v>
      </c>
      <c r="G118" s="129">
        <v>1</v>
      </c>
      <c r="H118" s="131" t="s">
        <v>144</v>
      </c>
      <c r="I118" s="131">
        <v>42589.730543981481</v>
      </c>
      <c r="J118" s="129">
        <v>0</v>
      </c>
      <c r="K118" s="25" t="str">
        <f t="shared" si="54"/>
        <v>4019/4020</v>
      </c>
      <c r="L118" s="25" t="str">
        <f>VLOOKUP(A118,'Trips&amp;Operators'!$C$1:$E$10000,3,FALSE)</f>
        <v>DE LA ROSA</v>
      </c>
      <c r="M118" s="6">
        <f t="shared" si="55"/>
        <v>2.8518518520286307E-2</v>
      </c>
      <c r="N118" s="7">
        <f t="shared" si="53"/>
        <v>41.066666669212282</v>
      </c>
      <c r="O118" s="7"/>
      <c r="P118" s="7"/>
      <c r="Q118" s="26"/>
      <c r="R118" s="26"/>
      <c r="S118" s="38">
        <f t="shared" si="56"/>
        <v>1</v>
      </c>
      <c r="T118" s="55" t="str">
        <f t="shared" si="57"/>
        <v>NorthBound</v>
      </c>
      <c r="U118" s="14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15:49:25-0600',mode:absolute,to:'2016-08-07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8" s="57" t="str">
        <f t="shared" si="59"/>
        <v>N</v>
      </c>
      <c r="X118" s="154">
        <f t="shared" si="68"/>
        <v>1</v>
      </c>
      <c r="Y118" s="72">
        <f t="shared" si="60"/>
        <v>4.7300000000000002E-2</v>
      </c>
      <c r="Z118" s="72">
        <f t="shared" si="61"/>
        <v>23.329499999999999</v>
      </c>
      <c r="AA118" s="72">
        <f t="shared" si="62"/>
        <v>23.2822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63"/>
        <v>0205-07</v>
      </c>
      <c r="AE118" s="110" t="str">
        <f t="shared" si="64"/>
        <v>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 &amp; 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</v>
      </c>
      <c r="AF118" s="107" t="str">
        <f t="shared" si="65"/>
        <v>"C:\Program Files (x86)\AstroGrep\AstroGrep.exe" /spath="%USERPROFILE%\AppData\Local\Temp\OnboardLogs" /stypes="*4020*20160807*" /stext=" 23:.+((SYSTEM_STATE.+slice.+state.+changed )|(ment ac)|(system.+state.+changed )|(\|lc)|(penalty)|(\[timeout)|(PRM\|1\|D)|(kpr)|(kdp))" /e /r /s</v>
      </c>
      <c r="AG118" s="1" t="str">
        <f t="shared" si="66"/>
        <v>EC</v>
      </c>
      <c r="AH118" s="111" t="str">
        <f t="shared" si="67"/>
        <v>"%USERPROFILE%\Documents\GitHub\eaglep3\Utilities\RefineRTDCRunTimes.py" --tripid 205-07 --locoid 4020 --swversion DE.1.0.7.0 --startMP 204:473 --initTime 2016-08-07T16:49:25 --startdatetime 2016-08-07T16:50:55 --delay 1 --endMP 204:233295 --enddatetime 2016-08-07T17:31:59 --enforcementcount 0</v>
      </c>
    </row>
    <row r="119" spans="1:34" x14ac:dyDescent="0.25">
      <c r="A119" s="25" t="s">
        <v>330</v>
      </c>
      <c r="B119" s="129">
        <v>4019</v>
      </c>
      <c r="C119" s="130" t="s">
        <v>147</v>
      </c>
      <c r="D119" s="130" t="s">
        <v>212</v>
      </c>
      <c r="E119" s="131">
        <v>42589.733368055553</v>
      </c>
      <c r="F119" s="131">
        <v>42589.734884259262</v>
      </c>
      <c r="G119" s="129">
        <v>2</v>
      </c>
      <c r="H119" s="131" t="s">
        <v>540</v>
      </c>
      <c r="I119" s="131">
        <v>42589.770543981482</v>
      </c>
      <c r="J119" s="129">
        <v>1</v>
      </c>
      <c r="K119" s="25" t="str">
        <f t="shared" si="54"/>
        <v>4019/4020</v>
      </c>
      <c r="L119" s="25" t="str">
        <f>VLOOKUP(A119,'Trips&amp;Operators'!$C$1:$E$10000,3,FALSE)</f>
        <v>DE LA ROSA</v>
      </c>
      <c r="M119" s="6">
        <f t="shared" si="55"/>
        <v>3.5659722219861578E-2</v>
      </c>
      <c r="N119" s="7">
        <f t="shared" si="53"/>
        <v>51.349999996600673</v>
      </c>
      <c r="O119" s="7"/>
      <c r="P119" s="7"/>
      <c r="Q119" s="26"/>
      <c r="R119" s="26"/>
      <c r="S119" s="38">
        <f t="shared" si="56"/>
        <v>1</v>
      </c>
      <c r="T119" s="55" t="str">
        <f t="shared" si="57"/>
        <v>Southbound</v>
      </c>
      <c r="U119" s="14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9" s="57" t="str">
        <f t="shared" si="59"/>
        <v>N</v>
      </c>
      <c r="X119" s="154">
        <f t="shared" si="68"/>
        <v>1</v>
      </c>
      <c r="Y119" s="72">
        <f t="shared" si="60"/>
        <v>23.2957</v>
      </c>
      <c r="Z119" s="72">
        <f t="shared" si="61"/>
        <v>1.78E-2</v>
      </c>
      <c r="AA119" s="72">
        <f t="shared" si="62"/>
        <v>23.277899999999999</v>
      </c>
      <c r="AB119" s="69">
        <f>VLOOKUP(A119,Enforcements!$C$7:$J$24,8,0)</f>
        <v>109135</v>
      </c>
      <c r="AC119" s="65" t="str">
        <f>VLOOKUP(A119,Enforcements!$C$7:$E$24,3,0)</f>
        <v>GRADE CROSSING</v>
      </c>
      <c r="AD119" s="66" t="str">
        <f t="shared" si="63"/>
        <v>0206-07</v>
      </c>
      <c r="AE119" s="110" t="str">
        <f t="shared" si="64"/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AF119" s="107" t="str">
        <f t="shared" si="65"/>
        <v>"C:\Program Files (x86)\AstroGrep\AstroGrep.exe" /spath="%USERPROFILE%\AppData\Local\Temp\OnboardLogs" /stypes="*4019*20160808*" /stext=" 00:.+((SYSTEM_STATE.+slice.+state.+changed )|(ment ac)|(system.+state.+changed )|(\|lc)|(penalty)|(\[timeout)|(PRM\|1\|D)|(kpr)|(kdp))" /e /r /s</v>
      </c>
      <c r="AG119" s="1" t="str">
        <f t="shared" si="66"/>
        <v>EC</v>
      </c>
      <c r="AH119" s="111" t="str">
        <f t="shared" si="67"/>
        <v>"%USERPROFILE%\Documents\GitHub\eaglep3\Utilities\RefineRTDCRunTimes.py" --tripid 206-07 --locoid 4019 --swversion DE.1.0.7.0 --startMP 204:232957 --initTime 2016-08-07T17:36:03 --startdatetime 2016-08-07T17:38:14 --delay 2 --endMP 204:178 --enddatetime 2016-08-07T18:29:35 --enforcementcount 1</v>
      </c>
    </row>
    <row r="120" spans="1:34" x14ac:dyDescent="0.25">
      <c r="A120" s="25" t="s">
        <v>541</v>
      </c>
      <c r="B120" s="129">
        <v>4029</v>
      </c>
      <c r="C120" s="130" t="s">
        <v>147</v>
      </c>
      <c r="D120" s="130" t="s">
        <v>132</v>
      </c>
      <c r="E120" s="131">
        <v>42589.705347222225</v>
      </c>
      <c r="F120" s="131">
        <v>42589.706770833334</v>
      </c>
      <c r="G120" s="129">
        <v>2</v>
      </c>
      <c r="H120" s="131" t="s">
        <v>217</v>
      </c>
      <c r="I120" s="131">
        <v>42589.733819444446</v>
      </c>
      <c r="J120" s="129">
        <v>0</v>
      </c>
      <c r="K120" s="25" t="str">
        <f t="shared" si="54"/>
        <v>4029/4030</v>
      </c>
      <c r="L120" s="25" t="str">
        <f>VLOOKUP(A120,'Trips&amp;Operators'!$C$1:$E$10000,3,FALSE)</f>
        <v>MOSES</v>
      </c>
      <c r="M120" s="6">
        <f t="shared" si="55"/>
        <v>2.7048611111240461E-2</v>
      </c>
      <c r="N120" s="7">
        <f t="shared" si="53"/>
        <v>38.950000000186265</v>
      </c>
      <c r="O120" s="7"/>
      <c r="P120" s="7"/>
      <c r="Q120" s="26"/>
      <c r="R120" s="26"/>
      <c r="S120" s="38">
        <f t="shared" si="56"/>
        <v>1</v>
      </c>
      <c r="T120" s="55" t="str">
        <f t="shared" si="57"/>
        <v>NorthBound</v>
      </c>
      <c r="U120" s="14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15:55:42-0600',mode:absolute,to:'2016-08-07 18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0" s="57" t="str">
        <f t="shared" si="59"/>
        <v>N</v>
      </c>
      <c r="X120" s="154">
        <f t="shared" si="68"/>
        <v>1</v>
      </c>
      <c r="Y120" s="72">
        <f t="shared" si="60"/>
        <v>4.6399999999999997E-2</v>
      </c>
      <c r="Z120" s="72">
        <f t="shared" si="61"/>
        <v>23.330200000000001</v>
      </c>
      <c r="AA120" s="72">
        <f t="shared" si="62"/>
        <v>23.283800000000003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63"/>
        <v>0207-07</v>
      </c>
      <c r="AE120" s="110" t="str">
        <f t="shared" si="64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120" s="107" t="str">
        <f t="shared" si="65"/>
        <v>"C:\Program Files (x86)\AstroGrep\AstroGrep.exe" /spath="%USERPROFILE%\AppData\Local\Temp\OnboardLogs" /stypes="*4029*20160807*" /stext=" 23:.+((SYSTEM_STATE.+slice.+state.+changed )|(ment ac)|(system.+state.+changed )|(\|lc)|(penalty)|(\[timeout)|(PRM\|1\|D)|(kpr)|(kdp))" /e /r /s</v>
      </c>
      <c r="AG120" s="1" t="str">
        <f t="shared" si="66"/>
        <v>EC</v>
      </c>
      <c r="AH120" s="111" t="str">
        <f t="shared" si="67"/>
        <v>"%USERPROFILE%\Documents\GitHub\eaglep3\Utilities\RefineRTDCRunTimes.py" --tripid 207-07 --locoid 4029 --swversion DE.1.0.7.0 --startMP 204:464 --initTime 2016-08-07T16:55:42 --startdatetime 2016-08-07T16:57:45 --delay 2 --endMP 204:233302 --enddatetime 2016-08-07T17:36:42 --enforcementcount 0</v>
      </c>
    </row>
    <row r="121" spans="1:34" x14ac:dyDescent="0.25">
      <c r="A121" s="25" t="s">
        <v>542</v>
      </c>
      <c r="B121" s="129">
        <v>4030</v>
      </c>
      <c r="C121" s="130" t="s">
        <v>147</v>
      </c>
      <c r="D121" s="130" t="s">
        <v>181</v>
      </c>
      <c r="E121" s="131">
        <v>42589.742939814816</v>
      </c>
      <c r="F121" s="131">
        <v>42589.744328703702</v>
      </c>
      <c r="G121" s="129">
        <v>2</v>
      </c>
      <c r="H121" s="131" t="s">
        <v>543</v>
      </c>
      <c r="I121" s="131">
        <v>42589.777233796296</v>
      </c>
      <c r="J121" s="129">
        <v>0</v>
      </c>
      <c r="K121" s="25" t="str">
        <f t="shared" si="54"/>
        <v>4029/4030</v>
      </c>
      <c r="L121" s="25" t="str">
        <f>VLOOKUP(A121,'Trips&amp;Operators'!$C$1:$E$10000,3,FALSE)</f>
        <v>MOSES</v>
      </c>
      <c r="M121" s="6">
        <f t="shared" si="55"/>
        <v>3.2905092593864538E-2</v>
      </c>
      <c r="N121" s="7">
        <f t="shared" si="53"/>
        <v>47.383333335164934</v>
      </c>
      <c r="O121" s="7"/>
      <c r="P121" s="7"/>
      <c r="Q121" s="26"/>
      <c r="R121" s="26"/>
      <c r="S121" s="38">
        <f t="shared" si="56"/>
        <v>1</v>
      </c>
      <c r="T121" s="55" t="str">
        <f t="shared" si="57"/>
        <v>Southbound</v>
      </c>
      <c r="U121" s="14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16:49:50-0600',mode:absolute,to:'2016-08-07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1" s="57" t="str">
        <f t="shared" si="59"/>
        <v>N</v>
      </c>
      <c r="X121" s="154">
        <f t="shared" si="68"/>
        <v>1</v>
      </c>
      <c r="Y121" s="72">
        <f t="shared" si="60"/>
        <v>23.3004</v>
      </c>
      <c r="Z121" s="72">
        <f t="shared" si="61"/>
        <v>3.4500000000000003E-2</v>
      </c>
      <c r="AA121" s="72">
        <f t="shared" si="62"/>
        <v>23.265899999999998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63"/>
        <v>0208-07</v>
      </c>
      <c r="AE121" s="110" t="str">
        <f t="shared" si="64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121" s="107" t="str">
        <f t="shared" si="65"/>
        <v>"C:\Program Files (x86)\AstroGrep\AstroGrep.exe" /spath="%USERPROFILE%\AppData\Local\Temp\OnboardLogs" /stypes="*4030*20160808*" /stext=" 00:.+((SYSTEM_STATE.+slice.+state.+changed )|(ment ac)|(system.+state.+changed )|(\|lc)|(penalty)|(\[timeout)|(PRM\|1\|D)|(kpr)|(kdp))" /e /r /s</v>
      </c>
      <c r="AG121" s="1" t="str">
        <f t="shared" si="66"/>
        <v>EC</v>
      </c>
      <c r="AH121" s="111" t="str">
        <f t="shared" si="67"/>
        <v>"%USERPROFILE%\Documents\GitHub\eaglep3\Utilities\RefineRTDCRunTimes.py" --tripid 208-07 --locoid 4030 --swversion DE.1.0.7.0 --startMP 204:233004 --initTime 2016-08-07T17:49:50 --startdatetime 2016-08-07T17:51:50 --delay 2 --endMP 204:345 --enddatetime 2016-08-07T18:39:13 --enforcementcount 0</v>
      </c>
    </row>
    <row r="122" spans="1:34" x14ac:dyDescent="0.25">
      <c r="A122" s="25" t="s">
        <v>544</v>
      </c>
      <c r="B122" s="129">
        <v>4038</v>
      </c>
      <c r="C122" s="130" t="s">
        <v>147</v>
      </c>
      <c r="D122" s="130" t="s">
        <v>140</v>
      </c>
      <c r="E122" s="131">
        <v>42589.715833333335</v>
      </c>
      <c r="F122" s="131">
        <v>42589.717349537037</v>
      </c>
      <c r="G122" s="129">
        <v>2</v>
      </c>
      <c r="H122" s="131" t="s">
        <v>410</v>
      </c>
      <c r="I122" s="131">
        <v>42589.745995370373</v>
      </c>
      <c r="J122" s="129">
        <v>0</v>
      </c>
      <c r="K122" s="25" t="str">
        <f t="shared" si="54"/>
        <v>4037/4038</v>
      </c>
      <c r="L122" s="25" t="str">
        <f>VLOOKUP(A122,'Trips&amp;Operators'!$C$1:$E$10000,3,FALSE)</f>
        <v>LEVERE</v>
      </c>
      <c r="M122" s="6">
        <f t="shared" si="55"/>
        <v>2.8645833335758653E-2</v>
      </c>
      <c r="N122" s="7">
        <f t="shared" si="53"/>
        <v>41.25000000349246</v>
      </c>
      <c r="O122" s="7"/>
      <c r="P122" s="7"/>
      <c r="Q122" s="26"/>
      <c r="R122" s="26"/>
      <c r="S122" s="38">
        <f t="shared" si="56"/>
        <v>1</v>
      </c>
      <c r="T122" s="55" t="str">
        <f t="shared" si="57"/>
        <v>NorthBound</v>
      </c>
      <c r="U122" s="14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16:10:48-0600',mode:absolute,to:'2016-08-07 18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2" s="57" t="str">
        <f t="shared" si="59"/>
        <v>N</v>
      </c>
      <c r="X122" s="154">
        <f t="shared" si="68"/>
        <v>1</v>
      </c>
      <c r="Y122" s="72">
        <f t="shared" si="60"/>
        <v>4.6699999999999998E-2</v>
      </c>
      <c r="Z122" s="72">
        <f t="shared" si="61"/>
        <v>23.330300000000001</v>
      </c>
      <c r="AA122" s="72">
        <f t="shared" si="62"/>
        <v>23.2836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63"/>
        <v>0209-07</v>
      </c>
      <c r="AE122" s="110" t="str">
        <f t="shared" si="64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22" s="107" t="str">
        <f t="shared" si="65"/>
        <v>"C:\Program Files (x86)\AstroGrep\AstroGrep.exe" /spath="%USERPROFILE%\AppData\Local\Temp\OnboardLogs" /stypes="*4038*20160807*" /stext=" 23:.+((SYSTEM_STATE.+slice.+state.+changed )|(ment ac)|(system.+state.+changed )|(\|lc)|(penalty)|(\[timeout)|(PRM\|1\|D)|(kpr)|(kdp))" /e /r /s</v>
      </c>
      <c r="AG122" s="1" t="str">
        <f t="shared" si="66"/>
        <v>EC</v>
      </c>
      <c r="AH122" s="111" t="str">
        <f t="shared" si="67"/>
        <v>"%USERPROFILE%\Documents\GitHub\eaglep3\Utilities\RefineRTDCRunTimes.py" --tripid 209-07 --locoid 4038 --swversion DE.1.0.7.0 --startMP 204:467 --initTime 2016-08-07T17:10:48 --startdatetime 2016-08-07T17:12:59 --delay 2 --endMP 204:233303 --enddatetime 2016-08-07T17:54:14 --enforcementcount 0</v>
      </c>
    </row>
    <row r="123" spans="1:34" x14ac:dyDescent="0.25">
      <c r="A123" s="42" t="s">
        <v>545</v>
      </c>
      <c r="B123" s="7">
        <v>4037</v>
      </c>
      <c r="C123" s="25" t="s">
        <v>147</v>
      </c>
      <c r="D123" s="25" t="s">
        <v>236</v>
      </c>
      <c r="E123" s="16">
        <v>42589.752129629633</v>
      </c>
      <c r="F123" s="16">
        <v>42589.753287037034</v>
      </c>
      <c r="G123" s="7">
        <v>1</v>
      </c>
      <c r="H123" s="16" t="s">
        <v>58</v>
      </c>
      <c r="I123" s="16">
        <v>42589.785925925928</v>
      </c>
      <c r="J123" s="7">
        <v>0</v>
      </c>
      <c r="K123" s="25" t="str">
        <f t="shared" si="54"/>
        <v>4037/4038</v>
      </c>
      <c r="L123" s="25" t="str">
        <f>VLOOKUP(A123,'Trips&amp;Operators'!$C$1:$E$10000,3,FALSE)</f>
        <v>LEVERE</v>
      </c>
      <c r="M123" s="6">
        <f t="shared" si="55"/>
        <v>3.2638888893416151E-2</v>
      </c>
      <c r="N123" s="7">
        <f t="shared" si="53"/>
        <v>47.000000006519258</v>
      </c>
      <c r="O123" s="7"/>
      <c r="P123" s="7"/>
      <c r="Q123" s="26"/>
      <c r="R123" s="26"/>
      <c r="S123" s="38">
        <f t="shared" si="56"/>
        <v>1</v>
      </c>
      <c r="T123" s="55" t="str">
        <f t="shared" si="57"/>
        <v>Southbound</v>
      </c>
      <c r="U123" s="14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17:03:04-0600',mode:absolute,to:'2016-08-07 19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3" s="57" t="str">
        <f t="shared" si="59"/>
        <v>N</v>
      </c>
      <c r="X123" s="154">
        <f t="shared" si="68"/>
        <v>1</v>
      </c>
      <c r="Y123" s="72">
        <f t="shared" si="60"/>
        <v>23.2973</v>
      </c>
      <c r="Z123" s="72">
        <f t="shared" si="61"/>
        <v>1.52E-2</v>
      </c>
      <c r="AA123" s="72">
        <f t="shared" si="62"/>
        <v>23.2821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63"/>
        <v>0210-07</v>
      </c>
      <c r="AE123" s="110" t="str">
        <f t="shared" si="64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23" s="107" t="str">
        <f t="shared" si="65"/>
        <v>"C:\Program Files (x86)\AstroGrep\AstroGrep.exe" /spath="%USERPROFILE%\AppData\Local\Temp\OnboardLogs" /stypes="*4037*20160808*" /stext=" 00:.+((SYSTEM_STATE.+slice.+state.+changed )|(ment ac)|(system.+state.+changed )|(\|lc)|(penalty)|(\[timeout)|(PRM\|1\|D)|(kpr)|(kdp))" /e /r /s</v>
      </c>
      <c r="AG123" s="1" t="str">
        <f t="shared" si="66"/>
        <v>EC</v>
      </c>
      <c r="AH123" s="111" t="str">
        <f t="shared" si="67"/>
        <v>"%USERPROFILE%\Documents\GitHub\eaglep3\Utilities\RefineRTDCRunTimes.py" --tripid 210-07 --locoid 4037 --swversion DE.1.0.7.0 --startMP 204:232973 --initTime 2016-08-07T18:03:04 --startdatetime 2016-08-07T18:04:44 --delay 1 --endMP 204:152 --enddatetime 2016-08-07T18:51:44 --enforcementcount 0</v>
      </c>
    </row>
    <row r="124" spans="1:34" x14ac:dyDescent="0.25">
      <c r="A124" s="42" t="s">
        <v>328</v>
      </c>
      <c r="B124" s="7">
        <v>4007</v>
      </c>
      <c r="C124" s="25" t="s">
        <v>147</v>
      </c>
      <c r="D124" s="25" t="s">
        <v>63</v>
      </c>
      <c r="E124" s="16">
        <v>42589.725069444445</v>
      </c>
      <c r="F124" s="16">
        <v>42589.726446759261</v>
      </c>
      <c r="G124" s="7">
        <v>1</v>
      </c>
      <c r="H124" s="16" t="s">
        <v>546</v>
      </c>
      <c r="I124" s="16">
        <v>42589.74</v>
      </c>
      <c r="J124" s="7">
        <v>1</v>
      </c>
      <c r="K124" s="25" t="str">
        <f t="shared" si="54"/>
        <v>4007/4008</v>
      </c>
      <c r="L124" s="25" t="str">
        <f>VLOOKUP(A124,'Trips&amp;Operators'!$C$1:$E$10000,3,FALSE)</f>
        <v>YOUNG</v>
      </c>
      <c r="M124" s="6">
        <f t="shared" si="55"/>
        <v>1.3553240736655425E-2</v>
      </c>
      <c r="N124" s="7"/>
      <c r="O124" s="7"/>
      <c r="P124" s="7">
        <f>24*60*SUM($M124:$M124)</f>
        <v>19.516666660783812</v>
      </c>
      <c r="Q124" s="26"/>
      <c r="R124" s="26" t="s">
        <v>287</v>
      </c>
      <c r="S124" s="38">
        <f t="shared" si="56"/>
        <v>0.41666666666666669</v>
      </c>
      <c r="T124" s="55" t="str">
        <f t="shared" si="57"/>
        <v>NorthBound</v>
      </c>
      <c r="U124" s="14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5</v>
      </c>
      <c r="V124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24" s="57" t="str">
        <f t="shared" si="59"/>
        <v>Y</v>
      </c>
      <c r="X124" s="154">
        <f t="shared" si="68"/>
        <v>1</v>
      </c>
      <c r="Y124" s="72">
        <f t="shared" si="60"/>
        <v>4.5999999999999999E-2</v>
      </c>
      <c r="Z124" s="72">
        <f t="shared" si="61"/>
        <v>5.1810999999999998</v>
      </c>
      <c r="AA124" s="72">
        <f t="shared" si="62"/>
        <v>5.1350999999999996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63"/>
        <v>0211-07</v>
      </c>
      <c r="AE124" s="110" t="str">
        <f t="shared" si="64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124" s="107" t="str">
        <f t="shared" si="65"/>
        <v>"C:\Program Files (x86)\AstroGrep\AstroGrep.exe" /spath="%USERPROFILE%\AppData\Local\Temp\OnboardLogs" /stypes="*4007*20160807*" /stext=" 23:.+((SYSTEM_STATE.+slice.+state.+changed )|(ment ac)|(system.+state.+changed )|(\|lc)|(penalty)|(\[timeout)|(PRM\|1\|D)|(kpr)|(kdp))" /e /r /s</v>
      </c>
      <c r="AG124" s="1" t="str">
        <f t="shared" si="66"/>
        <v>EC</v>
      </c>
      <c r="AH124" s="111" t="str">
        <f t="shared" si="67"/>
        <v>"%USERPROFILE%\Documents\GitHub\eaglep3\Utilities\RefineRTDCRunTimes.py" --tripid 211-07 --locoid 4007 --swversion DE.1.0.7.0 --startMP 204:460 --initTime 2016-08-07T17:24:06 --startdatetime 2016-08-07T17:26:05 --delay 1 --endMP 204:51811 --enddatetime 2016-08-07T17:45:36 --enforcementcount 1</v>
      </c>
    </row>
    <row r="125" spans="1:34" x14ac:dyDescent="0.25">
      <c r="A125" s="25" t="s">
        <v>547</v>
      </c>
      <c r="B125" s="129">
        <v>4008</v>
      </c>
      <c r="C125" s="130" t="s">
        <v>147</v>
      </c>
      <c r="D125" s="130" t="s">
        <v>181</v>
      </c>
      <c r="E125" s="131">
        <v>42589.765462962961</v>
      </c>
      <c r="F125" s="131">
        <v>42589.766400462962</v>
      </c>
      <c r="G125" s="129">
        <v>1</v>
      </c>
      <c r="H125" s="131" t="s">
        <v>99</v>
      </c>
      <c r="I125" s="131">
        <v>42589.800821759258</v>
      </c>
      <c r="J125" s="129">
        <v>0</v>
      </c>
      <c r="K125" s="25" t="str">
        <f t="shared" si="54"/>
        <v>4007/4008</v>
      </c>
      <c r="L125" s="25" t="str">
        <f>VLOOKUP(A125,'Trips&amp;Operators'!$C$1:$E$10000,3,FALSE)</f>
        <v>YOUNG</v>
      </c>
      <c r="M125" s="6">
        <f t="shared" si="55"/>
        <v>3.4421296295477077E-2</v>
      </c>
      <c r="N125" s="7">
        <f t="shared" ref="N125:N157" si="69">24*60*SUM($M125:$M125)</f>
        <v>49.566666665486991</v>
      </c>
      <c r="O125" s="7"/>
      <c r="P125" s="7"/>
      <c r="Q125" s="26"/>
      <c r="R125" s="26"/>
      <c r="S125" s="38">
        <f t="shared" si="56"/>
        <v>1</v>
      </c>
      <c r="T125" s="55" t="str">
        <f t="shared" si="57"/>
        <v>Southbound</v>
      </c>
      <c r="U125" s="14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17:22:16-0600',mode:absolute,to:'2016-08-07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25" s="57" t="str">
        <f t="shared" si="59"/>
        <v>N</v>
      </c>
      <c r="X125" s="154">
        <f t="shared" si="68"/>
        <v>1</v>
      </c>
      <c r="Y125" s="72">
        <f t="shared" si="60"/>
        <v>23.3004</v>
      </c>
      <c r="Z125" s="72">
        <f t="shared" si="61"/>
        <v>1.43E-2</v>
      </c>
      <c r="AA125" s="72">
        <f t="shared" si="62"/>
        <v>23.286100000000001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63"/>
        <v>0212-07</v>
      </c>
      <c r="AE125" s="110" t="str">
        <f t="shared" si="64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125" s="107" t="str">
        <f t="shared" si="65"/>
        <v>"C:\Program Files (x86)\AstroGrep\AstroGrep.exe" /spath="%USERPROFILE%\AppData\Local\Temp\OnboardLogs" /stypes="*4008*20160808*" /stext=" 01:.+((SYSTEM_STATE.+slice.+state.+changed )|(ment ac)|(system.+state.+changed )|(\|lc)|(penalty)|(\[timeout)|(PRM\|1\|D)|(kpr)|(kdp))" /e /r /s</v>
      </c>
      <c r="AG125" s="1" t="str">
        <f t="shared" si="66"/>
        <v>EC</v>
      </c>
      <c r="AH125" s="111" t="str">
        <f t="shared" si="67"/>
        <v>"%USERPROFILE%\Documents\GitHub\eaglep3\Utilities\RefineRTDCRunTimes.py" --tripid 212-07 --locoid 4008 --swversion DE.1.0.7.0 --startMP 204:233004 --initTime 2016-08-07T18:22:16 --startdatetime 2016-08-07T18:23:37 --delay 1 --endMP 204:143 --enddatetime 2016-08-07T19:13:11 --enforcementcount 0</v>
      </c>
    </row>
    <row r="126" spans="1:34" x14ac:dyDescent="0.25">
      <c r="A126" s="25" t="s">
        <v>548</v>
      </c>
      <c r="B126" s="129">
        <v>4025</v>
      </c>
      <c r="C126" s="130" t="s">
        <v>147</v>
      </c>
      <c r="D126" s="130" t="s">
        <v>176</v>
      </c>
      <c r="E126" s="131">
        <v>42589.733495370368</v>
      </c>
      <c r="F126" s="131">
        <v>42589.735011574077</v>
      </c>
      <c r="G126" s="129">
        <v>2</v>
      </c>
      <c r="H126" s="131" t="s">
        <v>202</v>
      </c>
      <c r="I126" s="131">
        <v>42589.765231481484</v>
      </c>
      <c r="J126" s="129">
        <v>0</v>
      </c>
      <c r="K126" s="25" t="str">
        <f t="shared" si="54"/>
        <v>4025/4026</v>
      </c>
      <c r="L126" s="25" t="str">
        <f>VLOOKUP(A126,'Trips&amp;Operators'!$C$1:$E$10000,3,FALSE)</f>
        <v>COOLAHAN</v>
      </c>
      <c r="M126" s="6">
        <f t="shared" si="55"/>
        <v>3.0219907406717539E-2</v>
      </c>
      <c r="N126" s="7">
        <f t="shared" si="69"/>
        <v>43.516666665673256</v>
      </c>
      <c r="O126" s="7"/>
      <c r="P126" s="7"/>
      <c r="Q126" s="26"/>
      <c r="R126" s="26"/>
      <c r="S126" s="38">
        <f t="shared" si="56"/>
        <v>1</v>
      </c>
      <c r="T126" s="55" t="str">
        <f t="shared" si="57"/>
        <v>NorthBound</v>
      </c>
      <c r="U126" s="14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16:36:14-0600',mode:absolute,to:'2016-08-07 19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26" s="57" t="str">
        <f t="shared" si="59"/>
        <v>N</v>
      </c>
      <c r="X126" s="154">
        <f t="shared" si="68"/>
        <v>1</v>
      </c>
      <c r="Y126" s="72">
        <f t="shared" si="60"/>
        <v>4.4699999999999997E-2</v>
      </c>
      <c r="Z126" s="72">
        <f t="shared" si="61"/>
        <v>23.3307</v>
      </c>
      <c r="AA126" s="72">
        <f t="shared" si="62"/>
        <v>23.286000000000001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63"/>
        <v>0213-07</v>
      </c>
      <c r="AE126" s="110" t="str">
        <f t="shared" si="64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26" s="107" t="str">
        <f t="shared" si="65"/>
        <v>"C:\Program Files (x86)\AstroGrep\AstroGrep.exe" /spath="%USERPROFILE%\AppData\Local\Temp\OnboardLogs" /stypes="*4025*20160808*" /stext=" 00:.+((SYSTEM_STATE.+slice.+state.+changed )|(ment ac)|(system.+state.+changed )|(\|lc)|(penalty)|(\[timeout)|(PRM\|1\|D)|(kpr)|(kdp))" /e /r /s</v>
      </c>
      <c r="AG126" s="1" t="str">
        <f t="shared" si="66"/>
        <v>EC</v>
      </c>
      <c r="AH126" s="111" t="str">
        <f t="shared" si="67"/>
        <v>"%USERPROFILE%\Documents\GitHub\eaglep3\Utilities\RefineRTDCRunTimes.py" --tripid 213-07 --locoid 4025 --swversion DE.1.0.7.0 --startMP 204:447 --initTime 2016-08-07T17:36:14 --startdatetime 2016-08-07T17:38:25 --delay 2 --endMP 204:233307 --enddatetime 2016-08-07T18:21:56 --enforcementcount 0</v>
      </c>
    </row>
    <row r="127" spans="1:34" x14ac:dyDescent="0.25">
      <c r="A127" s="25" t="s">
        <v>549</v>
      </c>
      <c r="B127" s="129">
        <v>4026</v>
      </c>
      <c r="C127" s="130" t="s">
        <v>147</v>
      </c>
      <c r="D127" s="130" t="s">
        <v>524</v>
      </c>
      <c r="E127" s="131">
        <v>42589.775196759256</v>
      </c>
      <c r="F127" s="131">
        <v>42589.776180555556</v>
      </c>
      <c r="G127" s="129">
        <v>1</v>
      </c>
      <c r="H127" s="131" t="s">
        <v>248</v>
      </c>
      <c r="I127" s="131">
        <v>42589.805983796294</v>
      </c>
      <c r="J127" s="129">
        <v>0</v>
      </c>
      <c r="K127" s="25" t="str">
        <f t="shared" si="54"/>
        <v>4025/4026</v>
      </c>
      <c r="L127" s="25" t="str">
        <f>VLOOKUP(A127,'Trips&amp;Operators'!$C$1:$E$10000,3,FALSE)</f>
        <v>COOLAHAN</v>
      </c>
      <c r="M127" s="6">
        <f t="shared" si="55"/>
        <v>2.9803240737237502E-2</v>
      </c>
      <c r="N127" s="7">
        <f t="shared" si="69"/>
        <v>42.916666661622003</v>
      </c>
      <c r="O127" s="7"/>
      <c r="P127" s="7"/>
      <c r="Q127" s="26"/>
      <c r="R127" s="26"/>
      <c r="S127" s="38">
        <f t="shared" si="56"/>
        <v>1</v>
      </c>
      <c r="T127" s="55" t="str">
        <f t="shared" si="57"/>
        <v>Southbound</v>
      </c>
      <c r="U127" s="14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17:36:17-0600',mode:absolute,to:'2016-08-07 20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27" s="57" t="str">
        <f t="shared" si="59"/>
        <v>N</v>
      </c>
      <c r="X127" s="154">
        <f t="shared" si="68"/>
        <v>1</v>
      </c>
      <c r="Y127" s="72">
        <f t="shared" si="60"/>
        <v>23.2988</v>
      </c>
      <c r="Z127" s="72">
        <f t="shared" si="61"/>
        <v>1.41E-2</v>
      </c>
      <c r="AA127" s="72">
        <f t="shared" si="62"/>
        <v>23.284700000000001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63"/>
        <v>0214-07</v>
      </c>
      <c r="AE127" s="110" t="str">
        <f t="shared" si="64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27" s="107" t="str">
        <f t="shared" si="65"/>
        <v>"C:\Program Files (x86)\AstroGrep\AstroGrep.exe" /spath="%USERPROFILE%\AppData\Local\Temp\OnboardLogs" /stypes="*4026*20160808*" /stext=" 01:.+((SYSTEM_STATE.+slice.+state.+changed )|(ment ac)|(system.+state.+changed )|(\|lc)|(penalty)|(\[timeout)|(PRM\|1\|D)|(kpr)|(kdp))" /e /r /s</v>
      </c>
      <c r="AG127" s="1" t="str">
        <f t="shared" si="66"/>
        <v>EC</v>
      </c>
      <c r="AH127" s="111" t="str">
        <f t="shared" si="67"/>
        <v>"%USERPROFILE%\Documents\GitHub\eaglep3\Utilities\RefineRTDCRunTimes.py" --tripid 214-07 --locoid 4026 --swversion DE.1.0.7.0 --startMP 204:232988 --initTime 2016-08-07T18:36:17 --startdatetime 2016-08-07T18:37:42 --delay 1 --endMP 204:141 --enddatetime 2016-08-07T19:20:37 --enforcementcount 0</v>
      </c>
    </row>
    <row r="128" spans="1:34" x14ac:dyDescent="0.25">
      <c r="A128" s="25" t="s">
        <v>332</v>
      </c>
      <c r="B128" s="129">
        <v>4016</v>
      </c>
      <c r="C128" s="130" t="s">
        <v>147</v>
      </c>
      <c r="D128" s="130" t="s">
        <v>233</v>
      </c>
      <c r="E128" s="131">
        <v>42589.747766203705</v>
      </c>
      <c r="F128" s="131">
        <v>42589.74900462963</v>
      </c>
      <c r="G128" s="129">
        <v>1</v>
      </c>
      <c r="H128" s="131" t="s">
        <v>259</v>
      </c>
      <c r="I128" s="131">
        <v>42589.777812499997</v>
      </c>
      <c r="J128" s="129">
        <v>1</v>
      </c>
      <c r="K128" s="25" t="str">
        <f t="shared" si="54"/>
        <v>4015/4016</v>
      </c>
      <c r="L128" s="25" t="str">
        <f>VLOOKUP(A128,'Trips&amp;Operators'!$C$1:$E$10000,3,FALSE)</f>
        <v>SHOOK</v>
      </c>
      <c r="M128" s="6">
        <f t="shared" si="55"/>
        <v>2.880787036701804E-2</v>
      </c>
      <c r="N128" s="7">
        <f t="shared" si="69"/>
        <v>41.483333328505978</v>
      </c>
      <c r="O128" s="7"/>
      <c r="P128" s="7"/>
      <c r="Q128" s="26"/>
      <c r="R128" s="26"/>
      <c r="S128" s="38">
        <f t="shared" si="56"/>
        <v>1</v>
      </c>
      <c r="T128" s="55" t="str">
        <f t="shared" si="57"/>
        <v>NorthBound</v>
      </c>
      <c r="U128" s="14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28" s="57" t="str">
        <f t="shared" si="59"/>
        <v>N</v>
      </c>
      <c r="X128" s="154">
        <f t="shared" si="68"/>
        <v>1</v>
      </c>
      <c r="Y128" s="72">
        <f t="shared" si="60"/>
        <v>4.6600000000000003E-2</v>
      </c>
      <c r="Z128" s="72">
        <f t="shared" si="61"/>
        <v>23.337</v>
      </c>
      <c r="AA128" s="72">
        <f t="shared" si="62"/>
        <v>23.290399999999998</v>
      </c>
      <c r="AB128" s="69">
        <f>VLOOKUP(A128,Enforcements!$C$7:$J$24,8,0)</f>
        <v>42779</v>
      </c>
      <c r="AC128" s="65" t="str">
        <f>VLOOKUP(A128,Enforcements!$C$7:$E$24,3,0)</f>
        <v>GRADE CROSSING</v>
      </c>
      <c r="AD128" s="66" t="str">
        <f t="shared" si="63"/>
        <v>0215-07</v>
      </c>
      <c r="AE128" s="110" t="str">
        <f t="shared" si="64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128" s="107" t="str">
        <f t="shared" si="65"/>
        <v>"C:\Program Files (x86)\AstroGrep\AstroGrep.exe" /spath="%USERPROFILE%\AppData\Local\Temp\OnboardLogs" /stypes="*4016*20160808*" /stext=" 00:.+((SYSTEM_STATE.+slice.+state.+changed )|(ment ac)|(system.+state.+changed )|(\|lc)|(penalty)|(\[timeout)|(PRM\|1\|D)|(kpr)|(kdp))" /e /r /s</v>
      </c>
      <c r="AG128" s="1" t="str">
        <f t="shared" si="66"/>
        <v>EC</v>
      </c>
      <c r="AH128" s="111" t="str">
        <f t="shared" si="67"/>
        <v>"%USERPROFILE%\Documents\GitHub\eaglep3\Utilities\RefineRTDCRunTimes.py" --tripid 215-07 --locoid 4016 --swversion DE.1.0.7.0 --startMP 204:466 --initTime 2016-08-07T17:56:47 --startdatetime 2016-08-07T17:58:34 --delay 1 --endMP 204:233370 --enddatetime 2016-08-07T18:40:03 --enforcementcount 1</v>
      </c>
    </row>
    <row r="129" spans="1:34" x14ac:dyDescent="0.25">
      <c r="A129" s="25" t="s">
        <v>550</v>
      </c>
      <c r="B129" s="129">
        <v>4015</v>
      </c>
      <c r="C129" s="130" t="s">
        <v>147</v>
      </c>
      <c r="D129" s="130" t="s">
        <v>249</v>
      </c>
      <c r="E129" s="131">
        <v>42589.783217592594</v>
      </c>
      <c r="F129" s="131">
        <v>42589.784421296295</v>
      </c>
      <c r="G129" s="129">
        <v>1</v>
      </c>
      <c r="H129" s="131" t="s">
        <v>234</v>
      </c>
      <c r="I129" s="131">
        <v>42589.816377314812</v>
      </c>
      <c r="J129" s="129">
        <v>0</v>
      </c>
      <c r="K129" s="25" t="str">
        <f t="shared" si="54"/>
        <v>4015/4016</v>
      </c>
      <c r="L129" s="25" t="str">
        <f>VLOOKUP(A129,'Trips&amp;Operators'!$C$1:$E$10000,3,FALSE)</f>
        <v>SHOOK</v>
      </c>
      <c r="M129" s="6">
        <f t="shared" si="55"/>
        <v>3.195601851621177E-2</v>
      </c>
      <c r="N129" s="7">
        <f t="shared" si="69"/>
        <v>46.016666663344949</v>
      </c>
      <c r="O129" s="7"/>
      <c r="P129" s="7"/>
      <c r="Q129" s="26"/>
      <c r="R129" s="26"/>
      <c r="S129" s="38">
        <f t="shared" si="56"/>
        <v>1</v>
      </c>
      <c r="T129" s="55" t="str">
        <f t="shared" si="57"/>
        <v>Southbound</v>
      </c>
      <c r="U129" s="14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17:47:50-0600',mode:absolute,to:'2016-08-07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29" s="57" t="str">
        <f t="shared" si="59"/>
        <v>N</v>
      </c>
      <c r="X129" s="154">
        <f t="shared" si="68"/>
        <v>1</v>
      </c>
      <c r="Y129" s="72">
        <f t="shared" si="60"/>
        <v>23.304200000000002</v>
      </c>
      <c r="Z129" s="72">
        <f t="shared" si="61"/>
        <v>1.49E-2</v>
      </c>
      <c r="AA129" s="72">
        <f t="shared" si="62"/>
        <v>23.289300000000001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63"/>
        <v>0216-07</v>
      </c>
      <c r="AE129" s="110" t="str">
        <f t="shared" si="64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29" s="107" t="str">
        <f t="shared" si="65"/>
        <v>"C:\Program Files (x86)\AstroGrep\AstroGrep.exe" /spath="%USERPROFILE%\AppData\Local\Temp\OnboardLogs" /stypes="*4015*20160808*" /stext=" 01:.+((SYSTEM_STATE.+slice.+state.+changed )|(ment ac)|(system.+state.+changed )|(\|lc)|(penalty)|(\[timeout)|(PRM\|1\|D)|(kpr)|(kdp))" /e /r /s</v>
      </c>
      <c r="AG129" s="1" t="str">
        <f t="shared" si="66"/>
        <v>EC</v>
      </c>
      <c r="AH129" s="111" t="str">
        <f t="shared" si="67"/>
        <v>"%USERPROFILE%\Documents\GitHub\eaglep3\Utilities\RefineRTDCRunTimes.py" --tripid 216-07 --locoid 4015 --swversion DE.1.0.7.0 --startMP 204:233042 --initTime 2016-08-07T18:47:50 --startdatetime 2016-08-07T18:49:34 --delay 1 --endMP 204:149 --enddatetime 2016-08-07T19:35:35 --enforcementcount 0</v>
      </c>
    </row>
    <row r="130" spans="1:34" x14ac:dyDescent="0.25">
      <c r="A130" s="25" t="s">
        <v>551</v>
      </c>
      <c r="B130" s="129">
        <v>4044</v>
      </c>
      <c r="C130" s="130" t="s">
        <v>147</v>
      </c>
      <c r="D130" s="130" t="s">
        <v>552</v>
      </c>
      <c r="E130" s="131">
        <v>42589.758449074077</v>
      </c>
      <c r="F130" s="131">
        <v>42589.759548611109</v>
      </c>
      <c r="G130" s="129">
        <v>1</v>
      </c>
      <c r="H130" s="131" t="s">
        <v>215</v>
      </c>
      <c r="I130" s="131">
        <v>42589.786840277775</v>
      </c>
      <c r="J130" s="129">
        <v>0</v>
      </c>
      <c r="K130" s="25" t="str">
        <f t="shared" si="54"/>
        <v>4043/4044</v>
      </c>
      <c r="L130" s="25" t="str">
        <f>VLOOKUP(A130,'Trips&amp;Operators'!$C$1:$E$10000,3,FALSE)</f>
        <v>NEWELL</v>
      </c>
      <c r="M130" s="6">
        <f t="shared" si="55"/>
        <v>2.7291666665405501E-2</v>
      </c>
      <c r="N130" s="7">
        <f t="shared" si="69"/>
        <v>39.299999998183921</v>
      </c>
      <c r="O130" s="7"/>
      <c r="P130" s="7"/>
      <c r="Q130" s="26"/>
      <c r="R130" s="26"/>
      <c r="S130" s="38">
        <f t="shared" si="56"/>
        <v>1</v>
      </c>
      <c r="T130" s="55" t="str">
        <f t="shared" si="57"/>
        <v>NorthBound</v>
      </c>
      <c r="U130" s="14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17:12:10-0600',mode:absolute,to:'2016-08-07 19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0" s="57" t="str">
        <f t="shared" si="59"/>
        <v>N</v>
      </c>
      <c r="X130" s="154">
        <f t="shared" si="68"/>
        <v>1</v>
      </c>
      <c r="Y130" s="72">
        <f t="shared" si="60"/>
        <v>5.3499999999999999E-2</v>
      </c>
      <c r="Z130" s="72">
        <f t="shared" si="61"/>
        <v>23.332000000000001</v>
      </c>
      <c r="AA130" s="72">
        <f t="shared" si="62"/>
        <v>23.278500000000001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63"/>
        <v>0217-07</v>
      </c>
      <c r="AE130" s="110" t="str">
        <f t="shared" si="64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30" s="107" t="str">
        <f t="shared" si="65"/>
        <v>"C:\Program Files (x86)\AstroGrep\AstroGrep.exe" /spath="%USERPROFILE%\AppData\Local\Temp\OnboardLogs" /stypes="*4044*20160808*" /stext=" 00:.+((SYSTEM_STATE.+slice.+state.+changed )|(ment ac)|(system.+state.+changed )|(\|lc)|(penalty)|(\[timeout)|(PRM\|1\|D)|(kpr)|(kdp))" /e /r /s</v>
      </c>
      <c r="AG130" s="1" t="str">
        <f t="shared" si="66"/>
        <v>EC</v>
      </c>
      <c r="AH130" s="111" t="str">
        <f t="shared" si="67"/>
        <v>"%USERPROFILE%\Documents\GitHub\eaglep3\Utilities\RefineRTDCRunTimes.py" --tripid 217-07 --locoid 4044 --swversion DE.1.0.7.0 --startMP 204:535 --initTime 2016-08-07T18:12:10 --startdatetime 2016-08-07T18:13:45 --delay 1 --endMP 204:233320 --enddatetime 2016-08-07T18:53:03 --enforcementcount 0</v>
      </c>
    </row>
    <row r="131" spans="1:34" x14ac:dyDescent="0.25">
      <c r="A131" s="25" t="s">
        <v>553</v>
      </c>
      <c r="B131" s="129">
        <v>4043</v>
      </c>
      <c r="C131" s="130" t="s">
        <v>147</v>
      </c>
      <c r="D131" s="130" t="s">
        <v>203</v>
      </c>
      <c r="E131" s="131">
        <v>42589.795393518521</v>
      </c>
      <c r="F131" s="131">
        <v>42589.796527777777</v>
      </c>
      <c r="G131" s="129">
        <v>1</v>
      </c>
      <c r="H131" s="131" t="s">
        <v>133</v>
      </c>
      <c r="I131" s="131">
        <v>42589.825659722221</v>
      </c>
      <c r="J131" s="129">
        <v>0</v>
      </c>
      <c r="K131" s="25" t="str">
        <f t="shared" si="54"/>
        <v>4043/4044</v>
      </c>
      <c r="L131" s="25" t="str">
        <f>VLOOKUP(A131,'Trips&amp;Operators'!$C$1:$E$10000,3,FALSE)</f>
        <v>NEWELL</v>
      </c>
      <c r="M131" s="6">
        <f t="shared" si="55"/>
        <v>2.9131944444088731E-2</v>
      </c>
      <c r="N131" s="7">
        <f t="shared" si="69"/>
        <v>41.949999999487773</v>
      </c>
      <c r="O131" s="7"/>
      <c r="P131" s="7"/>
      <c r="Q131" s="26"/>
      <c r="R131" s="26"/>
      <c r="S131" s="38">
        <f t="shared" si="56"/>
        <v>1</v>
      </c>
      <c r="T131" s="55" t="str">
        <f t="shared" si="57"/>
        <v>Southbound</v>
      </c>
      <c r="U131" s="14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18:05:22-0600',mode:absolute,to:'2016-08-07 20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31" s="57" t="str">
        <f t="shared" si="59"/>
        <v>N</v>
      </c>
      <c r="X131" s="154">
        <f t="shared" si="68"/>
        <v>1</v>
      </c>
      <c r="Y131" s="72">
        <f t="shared" si="60"/>
        <v>23.299199999999999</v>
      </c>
      <c r="Z131" s="72">
        <f t="shared" si="61"/>
        <v>1.3899999999999999E-2</v>
      </c>
      <c r="AA131" s="72">
        <f t="shared" si="62"/>
        <v>23.285299999999999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63"/>
        <v>0218-07</v>
      </c>
      <c r="AE131" s="110" t="str">
        <f t="shared" si="64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31" s="107" t="str">
        <f t="shared" si="65"/>
        <v>"C:\Program Files (x86)\AstroGrep\AstroGrep.exe" /spath="%USERPROFILE%\AppData\Local\Temp\OnboardLogs" /stypes="*4043*20160808*" /stext=" 01:.+((SYSTEM_STATE.+slice.+state.+changed )|(ment ac)|(system.+state.+changed )|(\|lc)|(penalty)|(\[timeout)|(PRM\|1\|D)|(kpr)|(kdp))" /e /r /s</v>
      </c>
      <c r="AG131" s="1" t="str">
        <f t="shared" si="66"/>
        <v>EC</v>
      </c>
      <c r="AH131" s="111" t="str">
        <f t="shared" si="67"/>
        <v>"%USERPROFILE%\Documents\GitHub\eaglep3\Utilities\RefineRTDCRunTimes.py" --tripid 218-07 --locoid 4043 --swversion DE.1.0.7.0 --startMP 204:232992 --initTime 2016-08-07T19:05:22 --startdatetime 2016-08-07T19:07:00 --delay 1 --endMP 204:139 --enddatetime 2016-08-07T19:48:57 --enforcementcount 0</v>
      </c>
    </row>
    <row r="132" spans="1:34" x14ac:dyDescent="0.25">
      <c r="A132" s="25" t="s">
        <v>334</v>
      </c>
      <c r="B132" s="129">
        <v>4018</v>
      </c>
      <c r="C132" s="130" t="s">
        <v>147</v>
      </c>
      <c r="D132" s="130" t="s">
        <v>554</v>
      </c>
      <c r="E132" s="131">
        <v>42589.76871527778</v>
      </c>
      <c r="F132" s="131">
        <v>42589.770752314813</v>
      </c>
      <c r="G132" s="129">
        <v>2</v>
      </c>
      <c r="H132" s="131" t="s">
        <v>555</v>
      </c>
      <c r="I132" s="131">
        <v>42589.796064814815</v>
      </c>
      <c r="J132" s="129">
        <v>2</v>
      </c>
      <c r="K132" s="25" t="str">
        <f t="shared" si="54"/>
        <v>4017/4018</v>
      </c>
      <c r="L132" s="25" t="str">
        <f>VLOOKUP(A132,'Trips&amp;Operators'!$C$1:$E$10000,3,FALSE)</f>
        <v>CHANDLER</v>
      </c>
      <c r="M132" s="6">
        <f t="shared" si="55"/>
        <v>2.531250000174623E-2</v>
      </c>
      <c r="N132" s="7">
        <f t="shared" si="69"/>
        <v>36.450000002514571</v>
      </c>
      <c r="O132" s="7"/>
      <c r="P132" s="7"/>
      <c r="Q132" s="26"/>
      <c r="R132" s="26"/>
      <c r="S132" s="38">
        <f t="shared" si="56"/>
        <v>1</v>
      </c>
      <c r="T132" s="55" t="str">
        <f t="shared" si="57"/>
        <v>NorthBound</v>
      </c>
      <c r="U132" s="14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32" s="57" t="str">
        <f t="shared" si="59"/>
        <v>N</v>
      </c>
      <c r="X132" s="154">
        <f t="shared" si="68"/>
        <v>1</v>
      </c>
      <c r="Y132" s="72">
        <f t="shared" si="60"/>
        <v>0.15049999999999999</v>
      </c>
      <c r="Z132" s="72">
        <f t="shared" si="61"/>
        <v>23.3247</v>
      </c>
      <c r="AA132" s="72">
        <f t="shared" si="62"/>
        <v>23.174199999999999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63"/>
        <v>0219-07</v>
      </c>
      <c r="AE132" s="110" t="str">
        <f t="shared" si="64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32" s="107" t="str">
        <f t="shared" si="65"/>
        <v>"C:\Program Files (x86)\AstroGrep\AstroGrep.exe" /spath="%USERPROFILE%\AppData\Local\Temp\OnboardLogs" /stypes="*4018*20160808*" /stext=" 01:.+((SYSTEM_STATE.+slice.+state.+changed )|(ment ac)|(system.+state.+changed )|(\|lc)|(penalty)|(\[timeout)|(PRM\|1\|D)|(kpr)|(kdp))" /e /r /s</v>
      </c>
      <c r="AG132" s="1" t="str">
        <f t="shared" si="66"/>
        <v>EC</v>
      </c>
      <c r="AH132" s="111" t="str">
        <f t="shared" si="67"/>
        <v>"%USERPROFILE%\Documents\GitHub\eaglep3\Utilities\RefineRTDCRunTimes.py" --tripid 219-07 --locoid 4018 --swversion DE.1.0.7.0 --startMP 204:1505 --initTime 2016-08-07T18:26:57 --startdatetime 2016-08-07T18:29:53 --delay 2 --endMP 204:233247 --enddatetime 2016-08-07T19:06:20 --enforcementcount 2</v>
      </c>
    </row>
    <row r="133" spans="1:34" x14ac:dyDescent="0.25">
      <c r="A133" s="25" t="s">
        <v>336</v>
      </c>
      <c r="B133" s="129">
        <v>4017</v>
      </c>
      <c r="C133" s="130" t="s">
        <v>147</v>
      </c>
      <c r="D133" s="130" t="s">
        <v>556</v>
      </c>
      <c r="E133" s="131">
        <v>42589.805914351855</v>
      </c>
      <c r="F133" s="131">
        <v>42589.807800925926</v>
      </c>
      <c r="G133" s="129">
        <v>2</v>
      </c>
      <c r="H133" s="131" t="s">
        <v>234</v>
      </c>
      <c r="I133" s="131">
        <v>42589.836967592593</v>
      </c>
      <c r="J133" s="129">
        <v>1</v>
      </c>
      <c r="K133" s="25" t="str">
        <f t="shared" si="54"/>
        <v>4017/4018</v>
      </c>
      <c r="L133" s="25" t="str">
        <f>VLOOKUP(A133,'Trips&amp;Operators'!$C$1:$E$10000,3,FALSE)</f>
        <v>CHANDLER</v>
      </c>
      <c r="M133" s="6">
        <f t="shared" si="55"/>
        <v>2.9166666667151731E-2</v>
      </c>
      <c r="N133" s="7">
        <f t="shared" si="69"/>
        <v>42.000000000698492</v>
      </c>
      <c r="O133" s="7"/>
      <c r="P133" s="7"/>
      <c r="Q133" s="26"/>
      <c r="R133" s="26"/>
      <c r="S133" s="38">
        <f t="shared" si="56"/>
        <v>1</v>
      </c>
      <c r="T133" s="55" t="str">
        <f t="shared" si="57"/>
        <v>Southbound</v>
      </c>
      <c r="U133" s="14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33" s="57" t="str">
        <f t="shared" si="59"/>
        <v>N</v>
      </c>
      <c r="X133" s="154">
        <f t="shared" si="68"/>
        <v>1</v>
      </c>
      <c r="Y133" s="72">
        <f t="shared" si="60"/>
        <v>23.292999999999999</v>
      </c>
      <c r="Z133" s="72">
        <f t="shared" si="61"/>
        <v>1.49E-2</v>
      </c>
      <c r="AA133" s="72">
        <f t="shared" si="62"/>
        <v>23.278099999999998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63"/>
        <v>0220-07</v>
      </c>
      <c r="AE133" s="110" t="str">
        <f t="shared" si="64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33" s="107" t="str">
        <f t="shared" si="65"/>
        <v>"C:\Program Files (x86)\AstroGrep\AstroGrep.exe" /spath="%USERPROFILE%\AppData\Local\Temp\OnboardLogs" /stypes="*4017*20160808*" /stext=" 02:.+((SYSTEM_STATE.+slice.+state.+changed )|(ment ac)|(system.+state.+changed )|(\|lc)|(penalty)|(\[timeout)|(PRM\|1\|D)|(kpr)|(kdp))" /e /r /s</v>
      </c>
      <c r="AG133" s="1" t="str">
        <f t="shared" si="66"/>
        <v>EC</v>
      </c>
      <c r="AH133" s="111" t="str">
        <f t="shared" si="67"/>
        <v>"%USERPROFILE%\Documents\GitHub\eaglep3\Utilities\RefineRTDCRunTimes.py" --tripid 220-07 --locoid 4017 --swversion DE.1.0.7.0 --startMP 204:232930 --initTime 2016-08-07T19:20:31 --startdatetime 2016-08-07T19:23:14 --delay 2 --endMP 204:149 --enddatetime 2016-08-07T20:05:14 --enforcementcount 1</v>
      </c>
    </row>
    <row r="134" spans="1:34" x14ac:dyDescent="0.25">
      <c r="A134" s="25" t="s">
        <v>557</v>
      </c>
      <c r="B134" s="129">
        <v>4038</v>
      </c>
      <c r="C134" s="130" t="s">
        <v>147</v>
      </c>
      <c r="D134" s="130" t="s">
        <v>63</v>
      </c>
      <c r="E134" s="131">
        <v>42589.78765046296</v>
      </c>
      <c r="F134" s="131">
        <v>42589.788680555554</v>
      </c>
      <c r="G134" s="129">
        <v>1</v>
      </c>
      <c r="H134" s="131" t="s">
        <v>183</v>
      </c>
      <c r="I134" s="131">
        <v>42589.817847222221</v>
      </c>
      <c r="J134" s="129">
        <v>0</v>
      </c>
      <c r="K134" s="25" t="str">
        <f t="shared" si="54"/>
        <v>4037/4038</v>
      </c>
      <c r="L134" s="25" t="str">
        <f>VLOOKUP(A134,'Trips&amp;Operators'!$C$1:$E$10000,3,FALSE)</f>
        <v>LEVERE</v>
      </c>
      <c r="M134" s="6">
        <f t="shared" si="55"/>
        <v>2.9166666667151731E-2</v>
      </c>
      <c r="N134" s="7">
        <f t="shared" si="69"/>
        <v>42.000000000698492</v>
      </c>
      <c r="O134" s="7"/>
      <c r="P134" s="7"/>
      <c r="Q134" s="26"/>
      <c r="R134" s="26"/>
      <c r="S134" s="38">
        <f t="shared" si="56"/>
        <v>1</v>
      </c>
      <c r="T134" s="55" t="str">
        <f t="shared" si="57"/>
        <v>NorthBound</v>
      </c>
      <c r="U134" s="14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17:54:13-0600',mode:absolute,to:'2016-08-07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4" s="57" t="str">
        <f t="shared" si="59"/>
        <v>N</v>
      </c>
      <c r="X134" s="154">
        <f t="shared" si="68"/>
        <v>1</v>
      </c>
      <c r="Y134" s="72">
        <f t="shared" si="60"/>
        <v>4.5999999999999999E-2</v>
      </c>
      <c r="Z134" s="72">
        <f t="shared" si="61"/>
        <v>23.329699999999999</v>
      </c>
      <c r="AA134" s="72">
        <f t="shared" si="62"/>
        <v>23.2837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63"/>
        <v>0221-07</v>
      </c>
      <c r="AE134" s="110" t="str">
        <f t="shared" si="64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34" s="107" t="str">
        <f t="shared" si="65"/>
        <v>"C:\Program Files (x86)\AstroGrep\AstroGrep.exe" /spath="%USERPROFILE%\AppData\Local\Temp\OnboardLogs" /stypes="*4038*20160808*" /stext=" 01:.+((SYSTEM_STATE.+slice.+state.+changed )|(ment ac)|(system.+state.+changed )|(\|lc)|(penalty)|(\[timeout)|(PRM\|1\|D)|(kpr)|(kdp))" /e /r /s</v>
      </c>
      <c r="AG134" s="1" t="str">
        <f t="shared" si="66"/>
        <v>EC</v>
      </c>
      <c r="AH134" s="111" t="str">
        <f t="shared" si="67"/>
        <v>"%USERPROFILE%\Documents\GitHub\eaglep3\Utilities\RefineRTDCRunTimes.py" --tripid 221-07 --locoid 4038 --swversion DE.1.0.7.0 --startMP 204:460 --initTime 2016-08-07T18:54:13 --startdatetime 2016-08-07T18:55:42 --delay 1 --endMP 204:233297 --enddatetime 2016-08-07T19:37:42 --enforcementcount 0</v>
      </c>
    </row>
    <row r="135" spans="1:34" x14ac:dyDescent="0.25">
      <c r="A135" s="25" t="s">
        <v>558</v>
      </c>
      <c r="B135" s="129">
        <v>4037</v>
      </c>
      <c r="C135" s="130" t="s">
        <v>147</v>
      </c>
      <c r="D135" s="130" t="s">
        <v>213</v>
      </c>
      <c r="E135" s="131">
        <v>42589.824837962966</v>
      </c>
      <c r="F135" s="131">
        <v>42589.825590277775</v>
      </c>
      <c r="G135" s="129">
        <v>1</v>
      </c>
      <c r="H135" s="131" t="s">
        <v>211</v>
      </c>
      <c r="I135" s="131">
        <v>42589.858865740738</v>
      </c>
      <c r="J135" s="129">
        <v>0</v>
      </c>
      <c r="K135" s="25" t="str">
        <f t="shared" si="54"/>
        <v>4037/4038</v>
      </c>
      <c r="L135" s="25" t="str">
        <f>VLOOKUP(A135,'Trips&amp;Operators'!$C$1:$E$10000,3,FALSE)</f>
        <v>LEVERE</v>
      </c>
      <c r="M135" s="6">
        <f t="shared" si="55"/>
        <v>3.3275462963501923E-2</v>
      </c>
      <c r="N135" s="7">
        <f t="shared" si="69"/>
        <v>47.916666667442769</v>
      </c>
      <c r="O135" s="7"/>
      <c r="P135" s="7"/>
      <c r="Q135" s="26"/>
      <c r="R135" s="26"/>
      <c r="S135" s="38">
        <f t="shared" si="56"/>
        <v>1</v>
      </c>
      <c r="T135" s="55" t="str">
        <f t="shared" si="57"/>
        <v>Southbound</v>
      </c>
      <c r="U135" s="14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18:47:46-0600',mode:absolute,to:'2016-08-07 21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35" s="57" t="str">
        <f t="shared" si="59"/>
        <v>N</v>
      </c>
      <c r="X135" s="154">
        <f t="shared" si="68"/>
        <v>1</v>
      </c>
      <c r="Y135" s="72">
        <f t="shared" si="60"/>
        <v>23.297899999999998</v>
      </c>
      <c r="Z135" s="72">
        <f t="shared" si="61"/>
        <v>1.47E-2</v>
      </c>
      <c r="AA135" s="72">
        <f t="shared" si="62"/>
        <v>23.283199999999997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63"/>
        <v>0222-07</v>
      </c>
      <c r="AE135" s="110" t="str">
        <f t="shared" si="64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35" s="107" t="str">
        <f t="shared" si="65"/>
        <v>"C:\Program Files (x86)\AstroGrep\AstroGrep.exe" /spath="%USERPROFILE%\AppData\Local\Temp\OnboardLogs" /stypes="*4037*20160808*" /stext=" 02:.+((SYSTEM_STATE.+slice.+state.+changed )|(ment ac)|(system.+state.+changed )|(\|lc)|(penalty)|(\[timeout)|(PRM\|1\|D)|(kpr)|(kdp))" /e /r /s</v>
      </c>
      <c r="AG135" s="1" t="str">
        <f t="shared" si="66"/>
        <v>EC</v>
      </c>
      <c r="AH135" s="111" t="str">
        <f t="shared" si="67"/>
        <v>"%USERPROFILE%\Documents\GitHub\eaglep3\Utilities\RefineRTDCRunTimes.py" --tripid 222-07 --locoid 4037 --swversion DE.1.0.7.0 --startMP 204:232979 --initTime 2016-08-07T19:47:46 --startdatetime 2016-08-07T19:48:51 --delay 1 --endMP 204:147 --enddatetime 2016-08-07T20:36:46 --enforcementcount 0</v>
      </c>
    </row>
    <row r="136" spans="1:34" x14ac:dyDescent="0.25">
      <c r="A136" s="25" t="s">
        <v>559</v>
      </c>
      <c r="B136" s="129">
        <v>4025</v>
      </c>
      <c r="C136" s="130" t="s">
        <v>147</v>
      </c>
      <c r="D136" s="130" t="s">
        <v>230</v>
      </c>
      <c r="E136" s="131">
        <v>42589.807928240742</v>
      </c>
      <c r="F136" s="131">
        <v>42589.809108796297</v>
      </c>
      <c r="G136" s="129">
        <v>1</v>
      </c>
      <c r="H136" s="131" t="s">
        <v>496</v>
      </c>
      <c r="I136" s="131">
        <v>42589.837546296294</v>
      </c>
      <c r="J136" s="129">
        <v>0</v>
      </c>
      <c r="K136" s="25" t="str">
        <f t="shared" si="54"/>
        <v>4025/4026</v>
      </c>
      <c r="L136" s="25" t="str">
        <f>VLOOKUP(A136,'Trips&amp;Operators'!$C$1:$E$10000,3,FALSE)</f>
        <v>COOLAHAN</v>
      </c>
      <c r="M136" s="6">
        <f t="shared" si="55"/>
        <v>2.8437499997380655E-2</v>
      </c>
      <c r="N136" s="7">
        <f t="shared" si="69"/>
        <v>40.949999996228144</v>
      </c>
      <c r="O136" s="7"/>
      <c r="P136" s="7"/>
      <c r="Q136" s="26"/>
      <c r="R136" s="26"/>
      <c r="S136" s="38">
        <f t="shared" si="56"/>
        <v>1</v>
      </c>
      <c r="T136" s="55" t="str">
        <f t="shared" si="57"/>
        <v>NorthBound</v>
      </c>
      <c r="U136" s="14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18:23:25-0600',mode:absolute,to:'2016-08-07 21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6" s="57" t="str">
        <f t="shared" si="59"/>
        <v>N</v>
      </c>
      <c r="X136" s="154">
        <f t="shared" si="68"/>
        <v>1</v>
      </c>
      <c r="Y136" s="72">
        <f t="shared" si="60"/>
        <v>4.4900000000000002E-2</v>
      </c>
      <c r="Z136" s="72">
        <f t="shared" si="61"/>
        <v>23.329799999999999</v>
      </c>
      <c r="AA136" s="72">
        <f t="shared" si="62"/>
        <v>23.2849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63"/>
        <v>0223-07</v>
      </c>
      <c r="AE136" s="110" t="str">
        <f t="shared" si="64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36" s="107" t="str">
        <f t="shared" si="65"/>
        <v>"C:\Program Files (x86)\AstroGrep\AstroGrep.exe" /spath="%USERPROFILE%\AppData\Local\Temp\OnboardLogs" /stypes="*4025*20160808*" /stext=" 02:.+((SYSTEM_STATE.+slice.+state.+changed )|(ment ac)|(system.+state.+changed )|(\|lc)|(penalty)|(\[timeout)|(PRM\|1\|D)|(kpr)|(kdp))" /e /r /s</v>
      </c>
      <c r="AG136" s="1" t="str">
        <f t="shared" si="66"/>
        <v>EC</v>
      </c>
      <c r="AH136" s="111" t="str">
        <f t="shared" si="67"/>
        <v>"%USERPROFILE%\Documents\GitHub\eaglep3\Utilities\RefineRTDCRunTimes.py" --tripid 223-07 --locoid 4025 --swversion DE.1.0.7.0 --startMP 204:449 --initTime 2016-08-07T19:23:25 --startdatetime 2016-08-07T19:25:07 --delay 1 --endMP 204:233298 --enddatetime 2016-08-07T20:06:04 --enforcementcount 0</v>
      </c>
    </row>
    <row r="137" spans="1:34" x14ac:dyDescent="0.25">
      <c r="A137" s="25" t="s">
        <v>560</v>
      </c>
      <c r="B137" s="129">
        <v>4026</v>
      </c>
      <c r="C137" s="130" t="s">
        <v>147</v>
      </c>
      <c r="D137" s="130" t="s">
        <v>180</v>
      </c>
      <c r="E137" s="131">
        <v>42589.847094907411</v>
      </c>
      <c r="F137" s="131">
        <v>42589.848101851851</v>
      </c>
      <c r="G137" s="129">
        <v>1</v>
      </c>
      <c r="H137" s="131" t="s">
        <v>234</v>
      </c>
      <c r="I137" s="131">
        <v>42589.878761574073</v>
      </c>
      <c r="J137" s="129">
        <v>0</v>
      </c>
      <c r="K137" s="25" t="str">
        <f t="shared" si="54"/>
        <v>4025/4026</v>
      </c>
      <c r="L137" s="25" t="str">
        <f>VLOOKUP(A137,'Trips&amp;Operators'!$C$1:$E$10000,3,FALSE)</f>
        <v>COOLAHAN</v>
      </c>
      <c r="M137" s="6">
        <f t="shared" si="55"/>
        <v>3.0659722222480923E-2</v>
      </c>
      <c r="N137" s="7">
        <f t="shared" si="69"/>
        <v>44.150000000372529</v>
      </c>
      <c r="O137" s="7"/>
      <c r="P137" s="7"/>
      <c r="Q137" s="26"/>
      <c r="R137" s="26"/>
      <c r="S137" s="38">
        <f t="shared" si="56"/>
        <v>1</v>
      </c>
      <c r="T137" s="55" t="str">
        <f t="shared" si="57"/>
        <v>Southbound</v>
      </c>
      <c r="U137" s="14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19:19:49-0600',mode:absolute,to:'2016-08-07 22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37" s="57" t="str">
        <f t="shared" si="59"/>
        <v>N</v>
      </c>
      <c r="X137" s="154">
        <f t="shared" si="68"/>
        <v>1</v>
      </c>
      <c r="Y137" s="72">
        <f t="shared" si="60"/>
        <v>23.299800000000001</v>
      </c>
      <c r="Z137" s="72">
        <f t="shared" si="61"/>
        <v>1.49E-2</v>
      </c>
      <c r="AA137" s="72">
        <f t="shared" si="62"/>
        <v>23.2849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63"/>
        <v>0224-07</v>
      </c>
      <c r="AE137" s="110" t="str">
        <f t="shared" si="64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37" s="107" t="str">
        <f t="shared" si="65"/>
        <v>"C:\Program Files (x86)\AstroGrep\AstroGrep.exe" /spath="%USERPROFILE%\AppData\Local\Temp\OnboardLogs" /stypes="*4026*20160808*" /stext=" 03:.+((SYSTEM_STATE.+slice.+state.+changed )|(ment ac)|(system.+state.+changed )|(\|lc)|(penalty)|(\[timeout)|(PRM\|1\|D)|(kpr)|(kdp))" /e /r /s</v>
      </c>
      <c r="AG137" s="1" t="str">
        <f t="shared" si="66"/>
        <v>EC</v>
      </c>
      <c r="AH137" s="111" t="str">
        <f t="shared" si="67"/>
        <v>"%USERPROFILE%\Documents\GitHub\eaglep3\Utilities\RefineRTDCRunTimes.py" --tripid 224-07 --locoid 4026 --swversion DE.1.0.7.0 --startMP 204:232998 --initTime 2016-08-07T20:19:49 --startdatetime 2016-08-07T20:21:16 --delay 1 --endMP 204:149 --enddatetime 2016-08-07T21:05:25 --enforcementcount 0</v>
      </c>
    </row>
    <row r="138" spans="1:34" x14ac:dyDescent="0.25">
      <c r="A138" s="25" t="s">
        <v>561</v>
      </c>
      <c r="B138" s="129">
        <v>4044</v>
      </c>
      <c r="C138" s="130" t="s">
        <v>147</v>
      </c>
      <c r="D138" s="130" t="s">
        <v>173</v>
      </c>
      <c r="E138" s="131">
        <v>42589.828368055554</v>
      </c>
      <c r="F138" s="131">
        <v>42589.829548611109</v>
      </c>
      <c r="G138" s="129">
        <v>1</v>
      </c>
      <c r="H138" s="131" t="s">
        <v>206</v>
      </c>
      <c r="I138" s="131">
        <v>42589.858055555553</v>
      </c>
      <c r="J138" s="129">
        <v>0</v>
      </c>
      <c r="K138" s="25" t="str">
        <f t="shared" si="54"/>
        <v>4043/4044</v>
      </c>
      <c r="L138" s="25" t="str">
        <f>VLOOKUP(A138,'Trips&amp;Operators'!$C$1:$E$10000,3,FALSE)</f>
        <v>NEWELL</v>
      </c>
      <c r="M138" s="6">
        <f t="shared" si="55"/>
        <v>2.8506944443506654E-2</v>
      </c>
      <c r="N138" s="7">
        <f t="shared" si="69"/>
        <v>41.049999998649582</v>
      </c>
      <c r="O138" s="7"/>
      <c r="P138" s="7"/>
      <c r="Q138" s="26"/>
      <c r="R138" s="26"/>
      <c r="S138" s="38">
        <f t="shared" si="56"/>
        <v>1</v>
      </c>
      <c r="T138" s="55" t="str">
        <f t="shared" si="57"/>
        <v>NorthBound</v>
      </c>
      <c r="U138" s="14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18:52:51-0600',mode:absolute,to:'2016-08-07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8" s="57" t="str">
        <f t="shared" si="59"/>
        <v>N</v>
      </c>
      <c r="X138" s="154">
        <f t="shared" si="68"/>
        <v>1</v>
      </c>
      <c r="Y138" s="72">
        <f t="shared" si="60"/>
        <v>4.5100000000000001E-2</v>
      </c>
      <c r="Z138" s="72">
        <f t="shared" si="61"/>
        <v>23.331700000000001</v>
      </c>
      <c r="AA138" s="72">
        <f t="shared" si="62"/>
        <v>23.2866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63"/>
        <v>0225-07</v>
      </c>
      <c r="AE138" s="110" t="str">
        <f t="shared" si="64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38" s="107" t="str">
        <f t="shared" si="65"/>
        <v>"C:\Program Files (x86)\AstroGrep\AstroGrep.exe" /spath="%USERPROFILE%\AppData\Local\Temp\OnboardLogs" /stypes="*4044*20160808*" /stext=" 02:.+((SYSTEM_STATE.+slice.+state.+changed )|(ment ac)|(system.+state.+changed )|(\|lc)|(penalty)|(\[timeout)|(PRM\|1\|D)|(kpr)|(kdp))" /e /r /s</v>
      </c>
      <c r="AG138" s="1" t="str">
        <f t="shared" si="66"/>
        <v>EC</v>
      </c>
      <c r="AH138" s="111" t="str">
        <f t="shared" si="67"/>
        <v>"%USERPROFILE%\Documents\GitHub\eaglep3\Utilities\RefineRTDCRunTimes.py" --tripid 225-07 --locoid 4044 --swversion DE.1.0.7.0 --startMP 204:451 --initTime 2016-08-07T19:52:51 --startdatetime 2016-08-07T19:54:33 --delay 1 --endMP 204:233317 --enddatetime 2016-08-07T20:35:36 --enforcementcount 0</v>
      </c>
    </row>
    <row r="139" spans="1:34" x14ac:dyDescent="0.25">
      <c r="A139" s="25" t="s">
        <v>562</v>
      </c>
      <c r="B139" s="129">
        <v>4043</v>
      </c>
      <c r="C139" s="130" t="s">
        <v>147</v>
      </c>
      <c r="D139" s="130" t="s">
        <v>181</v>
      </c>
      <c r="E139" s="131">
        <v>42589.860312500001</v>
      </c>
      <c r="F139" s="131">
        <v>42589.861064814817</v>
      </c>
      <c r="G139" s="129">
        <v>1</v>
      </c>
      <c r="H139" s="131" t="s">
        <v>237</v>
      </c>
      <c r="I139" s="131">
        <v>42589.899016203701</v>
      </c>
      <c r="J139" s="129">
        <v>0</v>
      </c>
      <c r="K139" s="25" t="str">
        <f t="shared" si="54"/>
        <v>4043/4044</v>
      </c>
      <c r="L139" s="25" t="str">
        <f>VLOOKUP(A139,'Trips&amp;Operators'!$C$1:$E$10000,3,FALSE)</f>
        <v>NEWELL</v>
      </c>
      <c r="M139" s="6">
        <f t="shared" si="55"/>
        <v>3.7951388883811887E-2</v>
      </c>
      <c r="N139" s="7">
        <f t="shared" si="69"/>
        <v>54.649999992689118</v>
      </c>
      <c r="O139" s="7"/>
      <c r="P139" s="7"/>
      <c r="Q139" s="26"/>
      <c r="R139" s="26"/>
      <c r="S139" s="38">
        <f t="shared" si="56"/>
        <v>1</v>
      </c>
      <c r="T139" s="55" t="str">
        <f t="shared" si="57"/>
        <v>Southbound</v>
      </c>
      <c r="U139" s="14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19:38:51-0600',mode:absolute,to:'2016-08-07 22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39" s="57" t="str">
        <f t="shared" si="59"/>
        <v>N</v>
      </c>
      <c r="X139" s="154">
        <f t="shared" si="68"/>
        <v>1</v>
      </c>
      <c r="Y139" s="72">
        <f t="shared" si="60"/>
        <v>23.3004</v>
      </c>
      <c r="Z139" s="72">
        <f t="shared" si="61"/>
        <v>1.54E-2</v>
      </c>
      <c r="AA139" s="72">
        <f t="shared" si="62"/>
        <v>23.285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63"/>
        <v>0226-07</v>
      </c>
      <c r="AE139" s="110" t="str">
        <f t="shared" si="64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39" s="107" t="str">
        <f t="shared" si="65"/>
        <v>"C:\Program Files (x86)\AstroGrep\AstroGrep.exe" /spath="%USERPROFILE%\AppData\Local\Temp\OnboardLogs" /stypes="*4043*20160808*" /stext=" 03:.+((SYSTEM_STATE.+slice.+state.+changed )|(ment ac)|(system.+state.+changed )|(\|lc)|(penalty)|(\[timeout)|(PRM\|1\|D)|(kpr)|(kdp))" /e /r /s</v>
      </c>
      <c r="AG139" s="1" t="str">
        <f t="shared" si="66"/>
        <v>EC</v>
      </c>
      <c r="AH139" s="111" t="str">
        <f t="shared" si="67"/>
        <v>"%USERPROFILE%\Documents\GitHub\eaglep3\Utilities\RefineRTDCRunTimes.py" --tripid 226-07 --locoid 4043 --swversion DE.1.0.7.0 --startMP 204:233004 --initTime 2016-08-07T20:38:51 --startdatetime 2016-08-07T20:39:56 --delay 1 --endMP 204:154 --enddatetime 2016-08-07T21:34:35 --enforcementcount 0</v>
      </c>
    </row>
    <row r="140" spans="1:34" x14ac:dyDescent="0.25">
      <c r="A140" s="25" t="s">
        <v>563</v>
      </c>
      <c r="B140" s="129">
        <v>4018</v>
      </c>
      <c r="C140" s="130" t="s">
        <v>147</v>
      </c>
      <c r="D140" s="130" t="s">
        <v>390</v>
      </c>
      <c r="E140" s="131">
        <v>42589.853333333333</v>
      </c>
      <c r="F140" s="131">
        <v>42589.854097222225</v>
      </c>
      <c r="G140" s="129">
        <v>1</v>
      </c>
      <c r="H140" s="131" t="s">
        <v>225</v>
      </c>
      <c r="I140" s="131">
        <v>42589.880115740743</v>
      </c>
      <c r="J140" s="129">
        <v>0</v>
      </c>
      <c r="K140" s="25" t="str">
        <f t="shared" si="54"/>
        <v>4017/4018</v>
      </c>
      <c r="L140" s="25" t="str">
        <f>VLOOKUP(A140,'Trips&amp;Operators'!$C$1:$E$10000,3,FALSE)</f>
        <v>CHANDLER</v>
      </c>
      <c r="M140" s="6">
        <f t="shared" si="55"/>
        <v>2.6018518517958E-2</v>
      </c>
      <c r="N140" s="7">
        <f t="shared" si="69"/>
        <v>37.46666666585952</v>
      </c>
      <c r="O140" s="7"/>
      <c r="P140" s="7"/>
      <c r="Q140" s="26"/>
      <c r="R140" s="26"/>
      <c r="S140" s="38">
        <f t="shared" si="56"/>
        <v>1</v>
      </c>
      <c r="T140" s="55" t="str">
        <f t="shared" si="57"/>
        <v>NorthBound</v>
      </c>
      <c r="U140" s="14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19:28:48-0600',mode:absolute,to:'2016-08-07 22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40" s="57" t="str">
        <f t="shared" si="59"/>
        <v>N</v>
      </c>
      <c r="X140" s="154">
        <f t="shared" si="68"/>
        <v>1</v>
      </c>
      <c r="Y140" s="72">
        <f t="shared" si="60"/>
        <v>4.4200000000000003E-2</v>
      </c>
      <c r="Z140" s="72">
        <f t="shared" si="61"/>
        <v>23.328900000000001</v>
      </c>
      <c r="AA140" s="72">
        <f t="shared" si="62"/>
        <v>23.284700000000001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63"/>
        <v>0227-07</v>
      </c>
      <c r="AE140" s="110" t="str">
        <f t="shared" si="64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40" s="107" t="str">
        <f t="shared" si="65"/>
        <v>"C:\Program Files (x86)\AstroGrep\AstroGrep.exe" /spath="%USERPROFILE%\AppData\Local\Temp\OnboardLogs" /stypes="*4018*20160808*" /stext=" 03:.+((SYSTEM_STATE.+slice.+state.+changed )|(ment ac)|(system.+state.+changed )|(\|lc)|(penalty)|(\[timeout)|(PRM\|1\|D)|(kpr)|(kdp))" /e /r /s</v>
      </c>
      <c r="AG140" s="1" t="str">
        <f t="shared" si="66"/>
        <v>EC</v>
      </c>
      <c r="AH140" s="111" t="str">
        <f t="shared" si="67"/>
        <v>"%USERPROFILE%\Documents\GitHub\eaglep3\Utilities\RefineRTDCRunTimes.py" --tripid 227-07 --locoid 4018 --swversion DE.1.0.7.0 --startMP 204:442 --initTime 2016-08-07T20:28:48 --startdatetime 2016-08-07T20:29:54 --delay 1 --endMP 204:233289 --enddatetime 2016-08-07T21:07:22 --enforcementcount 0</v>
      </c>
    </row>
    <row r="141" spans="1:34" x14ac:dyDescent="0.25">
      <c r="A141" s="25" t="s">
        <v>564</v>
      </c>
      <c r="B141" s="129">
        <v>4017</v>
      </c>
      <c r="C141" s="130" t="s">
        <v>147</v>
      </c>
      <c r="D141" s="130" t="s">
        <v>64</v>
      </c>
      <c r="E141" s="131">
        <v>42589.891979166663</v>
      </c>
      <c r="F141" s="131">
        <v>42589.892951388887</v>
      </c>
      <c r="G141" s="129">
        <v>1</v>
      </c>
      <c r="H141" s="131" t="s">
        <v>237</v>
      </c>
      <c r="I141" s="131">
        <v>42589.920856481483</v>
      </c>
      <c r="J141" s="129">
        <v>0</v>
      </c>
      <c r="K141" s="25" t="str">
        <f t="shared" ref="K141:K157" si="70">IF(ISEVEN(B141),(B141-1)&amp;"/"&amp;B141,B141&amp;"/"&amp;(B141+1))</f>
        <v>4017/4018</v>
      </c>
      <c r="L141" s="25" t="str">
        <f>VLOOKUP(A141,'Trips&amp;Operators'!$C$1:$E$10000,3,FALSE)</f>
        <v>CHANDLER</v>
      </c>
      <c r="M141" s="6">
        <f t="shared" ref="M141:M172" si="71">I141-F141</f>
        <v>2.7905092596483883E-2</v>
      </c>
      <c r="N141" s="7">
        <f t="shared" si="69"/>
        <v>40.183333338936791</v>
      </c>
      <c r="O141" s="7"/>
      <c r="P141" s="7"/>
      <c r="Q141" s="26"/>
      <c r="R141" s="26"/>
      <c r="S141" s="38">
        <f t="shared" ref="S141:S172" si="72">SUM(U141:U141)/IF(AG141="EC",12,1)</f>
        <v>1</v>
      </c>
      <c r="T141" s="55" t="str">
        <f t="shared" ref="T141:T172" si="73">IF(ISEVEN(LEFT(AD141,4)),"Southbound","NorthBound")</f>
        <v>Southbound</v>
      </c>
      <c r="U141" s="14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7" t="str">
        <f t="shared" ref="V141:V172" si="74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https://search-rtdc-monitor-bjffxe2xuh6vdkpspy63sjmuny.us-east-1.es.amazonaws.com/_plugin/kibana/#/discover/Steve-Slow-Train-Analysis-(2080s-and-2083s)?_g=(refreshInterval:(display:Off,section:0,value:0),time:(from:'2016-08-07 20:24:27-0600',mode:absolute,to:'2016-08-07 23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1" s="57" t="str">
        <f t="shared" ref="W141:W172" si="75">IF(AA141&lt;IF(AG141="EC",23,5.65),"Y","N")</f>
        <v>N</v>
      </c>
      <c r="X141" s="154">
        <f t="shared" si="68"/>
        <v>1</v>
      </c>
      <c r="Y141" s="72">
        <f t="shared" ref="Y141:Y157" si="76">RIGHT(D141,LEN(D141)-4)/10000</f>
        <v>23.297699999999999</v>
      </c>
      <c r="Z141" s="72">
        <f t="shared" ref="Z141:Z157" si="77">RIGHT(H141,LEN(H141)-4)/10000</f>
        <v>1.54E-2</v>
      </c>
      <c r="AA141" s="72">
        <f t="shared" ref="AA141:AA172" si="78">ABS(Z141-Y141)</f>
        <v>23.282299999999999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ref="AD141:AD172" si="79">IF(LEN(A141)=6,"0"&amp;A141,A141)</f>
        <v>0228-07</v>
      </c>
      <c r="AE141" s="110" t="str">
        <f t="shared" ref="AE141:AE172" si="80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41" s="107" t="str">
        <f t="shared" ref="AF141:AF172" si="81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/stypes="*4017*20160808*" /stext=" 04:.+((SYSTEM_STATE.+slice.+state.+changed )|(ment ac)|(system.+state.+changed )|(\|lc)|(penalty)|(\[timeout)|(PRM\|1\|D)|(kpr)|(kdp))" /e /r /s</v>
      </c>
      <c r="AG141" s="1" t="str">
        <f t="shared" ref="AG141:AG172" si="82">IF(VALUE(LEFT(AD141,2))&lt;=2,"EC",IF(OR(VALUE(LEFT(AD141,2))=8,VALUE(LEFT(AD141,2))=18),"NW","Other"))</f>
        <v>EC</v>
      </c>
      <c r="AH141" s="111" t="str">
        <f t="shared" ref="AH141:AH172" si="8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228-07 --locoid 4017 --swversion DE.1.0.7.0 --startMP 204:232977 --initTime 2016-08-07T21:24:27 --startdatetime 2016-08-07T21:25:51 --delay 1 --endMP 204:154 --enddatetime 2016-08-07T22:06:02 --enforcementcount 0</v>
      </c>
    </row>
    <row r="142" spans="1:34" x14ac:dyDescent="0.25">
      <c r="A142" s="25" t="s">
        <v>565</v>
      </c>
      <c r="B142" s="129">
        <v>4038</v>
      </c>
      <c r="C142" s="130" t="s">
        <v>147</v>
      </c>
      <c r="D142" s="130" t="s">
        <v>390</v>
      </c>
      <c r="E142" s="131">
        <v>42589.868923611109</v>
      </c>
      <c r="F142" s="131">
        <v>42589.869687500002</v>
      </c>
      <c r="G142" s="129">
        <v>1</v>
      </c>
      <c r="H142" s="131" t="s">
        <v>246</v>
      </c>
      <c r="I142" s="131">
        <v>42589.901006944441</v>
      </c>
      <c r="J142" s="129">
        <v>0</v>
      </c>
      <c r="K142" s="25" t="str">
        <f t="shared" si="70"/>
        <v>4037/4038</v>
      </c>
      <c r="L142" s="25" t="str">
        <f>VLOOKUP(A142,'Trips&amp;Operators'!$C$1:$E$10000,3,FALSE)</f>
        <v>LEVERE</v>
      </c>
      <c r="M142" s="6">
        <f t="shared" si="71"/>
        <v>3.1319444438850041E-2</v>
      </c>
      <c r="N142" s="7">
        <f t="shared" si="69"/>
        <v>45.09999999194406</v>
      </c>
      <c r="O142" s="7"/>
      <c r="P142" s="7"/>
      <c r="Q142" s="26"/>
      <c r="R142" s="26"/>
      <c r="S142" s="38">
        <f t="shared" si="72"/>
        <v>1</v>
      </c>
      <c r="T142" s="55" t="str">
        <f t="shared" si="73"/>
        <v>NorthBound</v>
      </c>
      <c r="U142" s="14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19:51:15-0600',mode:absolute,to:'2016-08-07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42" s="57" t="str">
        <f t="shared" si="75"/>
        <v>N</v>
      </c>
      <c r="X142" s="154">
        <f t="shared" ref="X142:X162" si="84">VALUE(LEFT(AD142,4))-VALUE(LEFT(AD141,4))</f>
        <v>1</v>
      </c>
      <c r="Y142" s="72">
        <f t="shared" si="76"/>
        <v>4.4200000000000003E-2</v>
      </c>
      <c r="Z142" s="72">
        <f t="shared" si="77"/>
        <v>23.3306</v>
      </c>
      <c r="AA142" s="72">
        <f t="shared" si="78"/>
        <v>23.2864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79"/>
        <v>0229-07</v>
      </c>
      <c r="AE142" s="110" t="str">
        <f t="shared" si="80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42" s="107" t="str">
        <f t="shared" si="81"/>
        <v>"C:\Program Files (x86)\AstroGrep\AstroGrep.exe" /spath="%USERPROFILE%\AppData\Local\Temp\OnboardLogs" /stypes="*4038*20160808*" /stext=" 03:.+((SYSTEM_STATE.+slice.+state.+changed )|(ment ac)|(system.+state.+changed )|(\|lc)|(penalty)|(\[timeout)|(PRM\|1\|D)|(kpr)|(kdp))" /e /r /s</v>
      </c>
      <c r="AG142" s="1" t="str">
        <f t="shared" si="82"/>
        <v>EC</v>
      </c>
      <c r="AH142" s="111" t="str">
        <f t="shared" si="83"/>
        <v>"%USERPROFILE%\Documents\GitHub\eaglep3\Utilities\RefineRTDCRunTimes.py" --tripid 229-07 --locoid 4038 --swversion DE.1.0.7.0 --startMP 204:442 --initTime 2016-08-07T20:51:15 --startdatetime 2016-08-07T20:52:21 --delay 1 --endMP 204:233306 --enddatetime 2016-08-07T21:37:27 --enforcementcount 0</v>
      </c>
    </row>
    <row r="143" spans="1:34" x14ac:dyDescent="0.25">
      <c r="A143" s="25" t="s">
        <v>566</v>
      </c>
      <c r="B143" s="129">
        <v>4037</v>
      </c>
      <c r="C143" s="130" t="s">
        <v>147</v>
      </c>
      <c r="D143" s="130" t="s">
        <v>210</v>
      </c>
      <c r="E143" s="131">
        <v>42589.907997685186</v>
      </c>
      <c r="F143" s="131">
        <v>42589.909016203703</v>
      </c>
      <c r="G143" s="129">
        <v>1</v>
      </c>
      <c r="H143" s="131" t="s">
        <v>211</v>
      </c>
      <c r="I143" s="131">
        <v>42589.942175925928</v>
      </c>
      <c r="J143" s="129">
        <v>0</v>
      </c>
      <c r="K143" s="25" t="str">
        <f t="shared" si="70"/>
        <v>4037/4038</v>
      </c>
      <c r="L143" s="25" t="str">
        <f>VLOOKUP(A143,'Trips&amp;Operators'!$C$1:$E$10000,3,FALSE)</f>
        <v>LEVERE</v>
      </c>
      <c r="M143" s="6">
        <f t="shared" si="71"/>
        <v>3.3159722224809229E-2</v>
      </c>
      <c r="N143" s="7">
        <f t="shared" si="69"/>
        <v>47.75000000372529</v>
      </c>
      <c r="O143" s="7"/>
      <c r="P143" s="7"/>
      <c r="Q143" s="26"/>
      <c r="R143" s="26"/>
      <c r="S143" s="38">
        <f t="shared" si="72"/>
        <v>1</v>
      </c>
      <c r="T143" s="55" t="str">
        <f t="shared" si="73"/>
        <v>Southbound</v>
      </c>
      <c r="U143" s="14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20:47:31-0600',mode:absolute,to:'2016-08-07 23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43" s="57" t="str">
        <f t="shared" si="75"/>
        <v>N</v>
      </c>
      <c r="X143" s="154">
        <f t="shared" si="84"/>
        <v>1</v>
      </c>
      <c r="Y143" s="72">
        <f t="shared" si="76"/>
        <v>23.2989</v>
      </c>
      <c r="Z143" s="72">
        <f t="shared" si="77"/>
        <v>1.47E-2</v>
      </c>
      <c r="AA143" s="72">
        <f t="shared" si="78"/>
        <v>23.284199999999998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79"/>
        <v>0230-07</v>
      </c>
      <c r="AE143" s="110" t="str">
        <f t="shared" si="80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43" s="107" t="str">
        <f t="shared" si="81"/>
        <v>"C:\Program Files (x86)\AstroGrep\AstroGrep.exe" /spath="%USERPROFILE%\AppData\Local\Temp\OnboardLogs" /stypes="*4037*20160808*" /stext=" 04:.+((SYSTEM_STATE.+slice.+state.+changed )|(ment ac)|(system.+state.+changed )|(\|lc)|(penalty)|(\[timeout)|(PRM\|1\|D)|(kpr)|(kdp))" /e /r /s</v>
      </c>
      <c r="AG143" s="1" t="str">
        <f t="shared" si="82"/>
        <v>EC</v>
      </c>
      <c r="AH143" s="111" t="str">
        <f t="shared" si="83"/>
        <v>"%USERPROFILE%\Documents\GitHub\eaglep3\Utilities\RefineRTDCRunTimes.py" --tripid 230-07 --locoid 4037 --swversion DE.1.0.7.0 --startMP 204:232989 --initTime 2016-08-07T21:47:31 --startdatetime 2016-08-07T21:48:59 --delay 1 --endMP 204:147 --enddatetime 2016-08-07T22:36:44 --enforcementcount 0</v>
      </c>
    </row>
    <row r="144" spans="1:34" x14ac:dyDescent="0.25">
      <c r="A144" s="25" t="s">
        <v>567</v>
      </c>
      <c r="B144" s="129">
        <v>4025</v>
      </c>
      <c r="C144" s="130" t="s">
        <v>147</v>
      </c>
      <c r="D144" s="130" t="s">
        <v>184</v>
      </c>
      <c r="E144" s="131">
        <v>42589.892893518518</v>
      </c>
      <c r="F144" s="131">
        <v>42589.893888888888</v>
      </c>
      <c r="G144" s="129">
        <v>1</v>
      </c>
      <c r="H144" s="131" t="s">
        <v>229</v>
      </c>
      <c r="I144" s="131">
        <v>42589.921898148146</v>
      </c>
      <c r="J144" s="129">
        <v>0</v>
      </c>
      <c r="K144" s="25" t="str">
        <f t="shared" si="70"/>
        <v>4025/4026</v>
      </c>
      <c r="L144" s="25" t="str">
        <f>VLOOKUP(A144,'Trips&amp;Operators'!$C$1:$E$10000,3,FALSE)</f>
        <v>COOLAHAN</v>
      </c>
      <c r="M144" s="6">
        <f t="shared" si="71"/>
        <v>2.8009259258396924E-2</v>
      </c>
      <c r="N144" s="7">
        <f t="shared" si="69"/>
        <v>40.33333333209157</v>
      </c>
      <c r="O144" s="7"/>
      <c r="P144" s="7"/>
      <c r="Q144" s="26"/>
      <c r="R144" s="26"/>
      <c r="S144" s="38">
        <f t="shared" si="72"/>
        <v>1</v>
      </c>
      <c r="T144" s="55" t="str">
        <f t="shared" si="73"/>
        <v>NorthBound</v>
      </c>
      <c r="U144" s="14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20:25:46-0600',mode:absolute,to:'2016-08-07 23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44" s="57" t="str">
        <f t="shared" si="75"/>
        <v>N</v>
      </c>
      <c r="X144" s="154">
        <f t="shared" si="84"/>
        <v>1</v>
      </c>
      <c r="Y144" s="72">
        <f t="shared" si="76"/>
        <v>4.4600000000000001E-2</v>
      </c>
      <c r="Z144" s="72">
        <f t="shared" si="77"/>
        <v>23.331</v>
      </c>
      <c r="AA144" s="72">
        <f t="shared" si="78"/>
        <v>23.2864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79"/>
        <v>0231-07</v>
      </c>
      <c r="AE144" s="110" t="str">
        <f t="shared" si="80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44" s="107" t="str">
        <f t="shared" si="81"/>
        <v>"C:\Program Files (x86)\AstroGrep\AstroGrep.exe" /spath="%USERPROFILE%\AppData\Local\Temp\OnboardLogs" /stypes="*4025*20160808*" /stext=" 04:.+((SYSTEM_STATE.+slice.+state.+changed )|(ment ac)|(system.+state.+changed )|(\|lc)|(penalty)|(\[timeout)|(PRM\|1\|D)|(kpr)|(kdp))" /e /r /s</v>
      </c>
      <c r="AG144" s="1" t="str">
        <f t="shared" si="82"/>
        <v>EC</v>
      </c>
      <c r="AH144" s="111" t="str">
        <f t="shared" si="83"/>
        <v>"%USERPROFILE%\Documents\GitHub\eaglep3\Utilities\RefineRTDCRunTimes.py" --tripid 231-07 --locoid 4025 --swversion DE.1.0.7.0 --startMP 204:446 --initTime 2016-08-07T21:25:46 --startdatetime 2016-08-07T21:27:12 --delay 1 --endMP 204:233310 --enddatetime 2016-08-07T22:07:32 --enforcementcount 0</v>
      </c>
    </row>
    <row r="145" spans="1:34" x14ac:dyDescent="0.25">
      <c r="A145" s="25" t="s">
        <v>568</v>
      </c>
      <c r="B145" s="129">
        <v>4026</v>
      </c>
      <c r="C145" s="130" t="s">
        <v>147</v>
      </c>
      <c r="D145" s="130" t="s">
        <v>197</v>
      </c>
      <c r="E145" s="131">
        <v>42589.931747685187</v>
      </c>
      <c r="F145" s="131">
        <v>42589.933831018519</v>
      </c>
      <c r="G145" s="129">
        <v>2</v>
      </c>
      <c r="H145" s="131" t="s">
        <v>131</v>
      </c>
      <c r="I145" s="131">
        <v>42589.961215277777</v>
      </c>
      <c r="J145" s="129">
        <v>0</v>
      </c>
      <c r="K145" s="25" t="str">
        <f t="shared" si="70"/>
        <v>4025/4026</v>
      </c>
      <c r="L145" s="25" t="str">
        <f>VLOOKUP(A145,'Trips&amp;Operators'!$C$1:$E$10000,3,FALSE)</f>
        <v>COOLAHAN</v>
      </c>
      <c r="M145" s="6">
        <f t="shared" si="71"/>
        <v>2.7384259257814847E-2</v>
      </c>
      <c r="N145" s="7">
        <f t="shared" si="69"/>
        <v>39.43333333125338</v>
      </c>
      <c r="O145" s="7"/>
      <c r="P145" s="7"/>
      <c r="Q145" s="26"/>
      <c r="R145" s="26"/>
      <c r="S145" s="38">
        <f t="shared" si="72"/>
        <v>1</v>
      </c>
      <c r="T145" s="55" t="str">
        <f t="shared" si="73"/>
        <v>Southbound</v>
      </c>
      <c r="U145" s="14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21:21:43-0600',mode:absolute,to:'2016-08-08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45" s="57" t="str">
        <f t="shared" si="75"/>
        <v>N</v>
      </c>
      <c r="X145" s="154">
        <f t="shared" si="84"/>
        <v>1</v>
      </c>
      <c r="Y145" s="72">
        <f t="shared" si="76"/>
        <v>23.3</v>
      </c>
      <c r="Z145" s="72">
        <f t="shared" si="77"/>
        <v>1.4999999999999999E-2</v>
      </c>
      <c r="AA145" s="72">
        <f t="shared" si="78"/>
        <v>23.285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79"/>
        <v>0232-07</v>
      </c>
      <c r="AE145" s="110" t="str">
        <f t="shared" si="80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45" s="107" t="str">
        <f t="shared" si="81"/>
        <v>"C:\Program Files (x86)\AstroGrep\AstroGrep.exe" /spath="%USERPROFILE%\AppData\Local\Temp\OnboardLogs" /stypes="*4026*20160808*" /stext=" 05:.+((SYSTEM_STATE.+slice.+state.+changed )|(ment ac)|(system.+state.+changed )|(\|lc)|(penalty)|(\[timeout)|(PRM\|1\|D)|(kpr)|(kdp))" /e /r /s</v>
      </c>
      <c r="AG145" s="1" t="str">
        <f t="shared" si="82"/>
        <v>EC</v>
      </c>
      <c r="AH145" s="111" t="str">
        <f t="shared" si="83"/>
        <v>"%USERPROFILE%\Documents\GitHub\eaglep3\Utilities\RefineRTDCRunTimes.py" --tripid 232-07 --locoid 4026 --swversion DE.1.0.7.0 --startMP 204:233000 --initTime 2016-08-07T22:21:43 --startdatetime 2016-08-07T22:24:43 --delay 2 --endMP 204:150 --enddatetime 2016-08-07T23:04:09 --enforcementcount 0</v>
      </c>
    </row>
    <row r="146" spans="1:34" x14ac:dyDescent="0.25">
      <c r="A146" s="25" t="s">
        <v>569</v>
      </c>
      <c r="B146" s="129">
        <v>4044</v>
      </c>
      <c r="C146" s="130" t="s">
        <v>147</v>
      </c>
      <c r="D146" s="130" t="s">
        <v>173</v>
      </c>
      <c r="E146" s="131">
        <v>42589.90079861111</v>
      </c>
      <c r="F146" s="131">
        <v>42589.901585648149</v>
      </c>
      <c r="G146" s="129">
        <v>1</v>
      </c>
      <c r="H146" s="131" t="s">
        <v>250</v>
      </c>
      <c r="I146" s="131">
        <v>42589.943194444444</v>
      </c>
      <c r="J146" s="129">
        <v>0</v>
      </c>
      <c r="K146" s="25" t="str">
        <f t="shared" si="70"/>
        <v>4043/4044</v>
      </c>
      <c r="L146" s="25" t="str">
        <f>VLOOKUP(A146,'Trips&amp;Operators'!$C$1:$E$10000,3,FALSE)</f>
        <v>NEWELL</v>
      </c>
      <c r="M146" s="6">
        <f t="shared" si="71"/>
        <v>4.1608796294895001E-2</v>
      </c>
      <c r="N146" s="7">
        <f t="shared" si="69"/>
        <v>59.916666664648801</v>
      </c>
      <c r="O146" s="7"/>
      <c r="P146" s="7"/>
      <c r="Q146" s="26"/>
      <c r="R146" s="26"/>
      <c r="S146" s="38">
        <f t="shared" si="72"/>
        <v>1</v>
      </c>
      <c r="T146" s="55" t="str">
        <f t="shared" si="73"/>
        <v>NorthBound</v>
      </c>
      <c r="U146" s="14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20:37:09-0600',mode:absolute,to:'2016-08-07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6" s="57" t="str">
        <f t="shared" si="75"/>
        <v>N</v>
      </c>
      <c r="X146" s="154">
        <f t="shared" si="84"/>
        <v>1</v>
      </c>
      <c r="Y146" s="72">
        <f t="shared" si="76"/>
        <v>4.5100000000000001E-2</v>
      </c>
      <c r="Z146" s="72">
        <f t="shared" si="77"/>
        <v>23.328600000000002</v>
      </c>
      <c r="AA146" s="72">
        <f t="shared" si="78"/>
        <v>23.2835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79"/>
        <v>0233-07</v>
      </c>
      <c r="AE146" s="110" t="str">
        <f t="shared" si="80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46" s="107" t="str">
        <f t="shared" si="81"/>
        <v>"C:\Program Files (x86)\AstroGrep\AstroGrep.exe" /spath="%USERPROFILE%\AppData\Local\Temp\OnboardLogs" /stypes="*4044*20160808*" /stext=" 04:.+((SYSTEM_STATE.+slice.+state.+changed )|(ment ac)|(system.+state.+changed )|(\|lc)|(penalty)|(\[timeout)|(PRM\|1\|D)|(kpr)|(kdp))" /e /r /s</v>
      </c>
      <c r="AG146" s="1" t="str">
        <f t="shared" si="82"/>
        <v>EC</v>
      </c>
      <c r="AH146" s="111" t="str">
        <f t="shared" si="83"/>
        <v>"%USERPROFILE%\Documents\GitHub\eaglep3\Utilities\RefineRTDCRunTimes.py" --tripid 233-07 --locoid 4044 --swversion DE.1.0.7.0 --startMP 204:451 --initTime 2016-08-07T21:37:09 --startdatetime 2016-08-07T21:38:17 --delay 1 --endMP 204:233286 --enddatetime 2016-08-07T22:38:12 --enforcementcount 0</v>
      </c>
    </row>
    <row r="147" spans="1:34" x14ac:dyDescent="0.25">
      <c r="A147" s="25" t="s">
        <v>570</v>
      </c>
      <c r="B147" s="129">
        <v>4043</v>
      </c>
      <c r="C147" s="130" t="s">
        <v>147</v>
      </c>
      <c r="D147" s="130" t="s">
        <v>524</v>
      </c>
      <c r="E147" s="131">
        <v>42589.94902777778</v>
      </c>
      <c r="F147" s="131">
        <v>42589.949780092589</v>
      </c>
      <c r="G147" s="129">
        <v>1</v>
      </c>
      <c r="H147" s="131" t="s">
        <v>239</v>
      </c>
      <c r="I147" s="131">
        <v>42589.982002314813</v>
      </c>
      <c r="J147" s="129">
        <v>0</v>
      </c>
      <c r="K147" s="25" t="str">
        <f t="shared" si="70"/>
        <v>4043/4044</v>
      </c>
      <c r="L147" s="25" t="str">
        <f>VLOOKUP(A147,'Trips&amp;Operators'!$C$1:$E$10000,3,FALSE)</f>
        <v>NEWELL</v>
      </c>
      <c r="M147" s="6">
        <f t="shared" si="71"/>
        <v>3.2222222223936114E-2</v>
      </c>
      <c r="N147" s="7">
        <f t="shared" si="69"/>
        <v>46.400000002468005</v>
      </c>
      <c r="O147" s="7"/>
      <c r="P147" s="7"/>
      <c r="Q147" s="26"/>
      <c r="R147" s="26"/>
      <c r="S147" s="38">
        <f t="shared" si="72"/>
        <v>1</v>
      </c>
      <c r="T147" s="55" t="str">
        <f t="shared" si="73"/>
        <v>Southbound</v>
      </c>
      <c r="U147" s="14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21:46:36-0600',mode:absolute,to:'2016-08-08 00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47" s="57" t="str">
        <f t="shared" si="75"/>
        <v>N</v>
      </c>
      <c r="X147" s="154">
        <f t="shared" si="84"/>
        <v>1</v>
      </c>
      <c r="Y147" s="72">
        <f t="shared" si="76"/>
        <v>23.2988</v>
      </c>
      <c r="Z147" s="72">
        <f t="shared" si="77"/>
        <v>1.4500000000000001E-2</v>
      </c>
      <c r="AA147" s="72">
        <f t="shared" si="78"/>
        <v>23.284299999999998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79"/>
        <v>0234-07</v>
      </c>
      <c r="AE147" s="110" t="str">
        <f t="shared" si="80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47" s="107" t="str">
        <f t="shared" si="81"/>
        <v>"C:\Program Files (x86)\AstroGrep\AstroGrep.exe" /spath="%USERPROFILE%\AppData\Local\Temp\OnboardLogs" /stypes="*4043*20160808*" /stext=" 05:.+((SYSTEM_STATE.+slice.+state.+changed )|(ment ac)|(system.+state.+changed )|(\|lc)|(penalty)|(\[timeout)|(PRM\|1\|D)|(kpr)|(kdp))" /e /r /s</v>
      </c>
      <c r="AG147" s="1" t="str">
        <f t="shared" si="82"/>
        <v>EC</v>
      </c>
      <c r="AH147" s="111" t="str">
        <f t="shared" si="83"/>
        <v>"%USERPROFILE%\Documents\GitHub\eaglep3\Utilities\RefineRTDCRunTimes.py" --tripid 234-07 --locoid 4043 --swversion DE.1.0.7.0 --startMP 204:232988 --initTime 2016-08-07T22:46:36 --startdatetime 2016-08-07T22:47:41 --delay 1 --endMP 204:145 --enddatetime 2016-08-07T23:34:05 --enforcementcount 0</v>
      </c>
    </row>
    <row r="148" spans="1:34" x14ac:dyDescent="0.25">
      <c r="A148" s="25" t="s">
        <v>571</v>
      </c>
      <c r="B148" s="129">
        <v>4018</v>
      </c>
      <c r="C148" s="130" t="s">
        <v>147</v>
      </c>
      <c r="D148" s="130" t="s">
        <v>572</v>
      </c>
      <c r="E148" s="131">
        <v>42589.935833333337</v>
      </c>
      <c r="F148" s="131">
        <v>42589.936932870369</v>
      </c>
      <c r="G148" s="129">
        <v>1</v>
      </c>
      <c r="H148" s="131" t="s">
        <v>250</v>
      </c>
      <c r="I148" s="131">
        <v>42589.963125000002</v>
      </c>
      <c r="J148" s="129">
        <v>0</v>
      </c>
      <c r="K148" s="25" t="str">
        <f t="shared" si="70"/>
        <v>4017/4018</v>
      </c>
      <c r="L148" s="25" t="str">
        <f>VLOOKUP(A148,'Trips&amp;Operators'!$C$1:$E$10000,3,FALSE)</f>
        <v>CHANDLER</v>
      </c>
      <c r="M148" s="6">
        <f t="shared" si="71"/>
        <v>2.6192129633272998E-2</v>
      </c>
      <c r="N148" s="7">
        <f t="shared" si="69"/>
        <v>37.716666671913117</v>
      </c>
      <c r="O148" s="7"/>
      <c r="P148" s="7"/>
      <c r="Q148" s="26"/>
      <c r="R148" s="26"/>
      <c r="S148" s="38">
        <f t="shared" si="72"/>
        <v>1</v>
      </c>
      <c r="T148" s="55" t="str">
        <f t="shared" si="73"/>
        <v>NorthBound</v>
      </c>
      <c r="U148" s="14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21:27:36-0600',mode:absolute,to:'2016-08-08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48" s="57" t="str">
        <f t="shared" si="75"/>
        <v>N</v>
      </c>
      <c r="X148" s="154">
        <f t="shared" si="84"/>
        <v>1</v>
      </c>
      <c r="Y148" s="72">
        <f t="shared" si="76"/>
        <v>4.8800000000000003E-2</v>
      </c>
      <c r="Z148" s="72">
        <f t="shared" si="77"/>
        <v>23.328600000000002</v>
      </c>
      <c r="AA148" s="72">
        <f t="shared" si="78"/>
        <v>23.279800000000002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79"/>
        <v>0235-07</v>
      </c>
      <c r="AE148" s="110" t="str">
        <f t="shared" si="80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48" s="107" t="str">
        <f t="shared" si="81"/>
        <v>"C:\Program Files (x86)\AstroGrep\AstroGrep.exe" /spath="%USERPROFILE%\AppData\Local\Temp\OnboardLogs" /stypes="*4018*20160808*" /stext=" 05:.+((SYSTEM_STATE.+slice.+state.+changed )|(ment ac)|(system.+state.+changed )|(\|lc)|(penalty)|(\[timeout)|(PRM\|1\|D)|(kpr)|(kdp))" /e /r /s</v>
      </c>
      <c r="AG148" s="1" t="str">
        <f t="shared" si="82"/>
        <v>EC</v>
      </c>
      <c r="AH148" s="111" t="str">
        <f t="shared" si="83"/>
        <v>"%USERPROFILE%\Documents\GitHub\eaglep3\Utilities\RefineRTDCRunTimes.py" --tripid 235-07 --locoid 4018 --swversion DE.1.0.7.0 --startMP 204:488 --initTime 2016-08-07T22:27:36 --startdatetime 2016-08-07T22:29:11 --delay 1 --endMP 204:233286 --enddatetime 2016-08-07T23:06:54 --enforcementcount 0</v>
      </c>
    </row>
    <row r="149" spans="1:34" x14ac:dyDescent="0.25">
      <c r="A149" s="25" t="s">
        <v>339</v>
      </c>
      <c r="B149" s="129">
        <v>4017</v>
      </c>
      <c r="C149" s="130" t="s">
        <v>147</v>
      </c>
      <c r="D149" s="130" t="s">
        <v>236</v>
      </c>
      <c r="E149" s="131">
        <v>42589.974432870367</v>
      </c>
      <c r="F149" s="131">
        <v>42589.975266203706</v>
      </c>
      <c r="G149" s="129">
        <v>1</v>
      </c>
      <c r="H149" s="131" t="s">
        <v>228</v>
      </c>
      <c r="I149" s="131">
        <v>42590.004583333335</v>
      </c>
      <c r="J149" s="129">
        <v>1</v>
      </c>
      <c r="K149" s="25" t="str">
        <f t="shared" si="70"/>
        <v>4017/4018</v>
      </c>
      <c r="L149" s="25" t="str">
        <f>VLOOKUP(A149,'Trips&amp;Operators'!$C$1:$E$10000,3,FALSE)</f>
        <v>CHANDLER</v>
      </c>
      <c r="M149" s="6">
        <f t="shared" si="71"/>
        <v>2.9317129628907423E-2</v>
      </c>
      <c r="N149" s="7">
        <f t="shared" si="69"/>
        <v>42.21666666562669</v>
      </c>
      <c r="O149" s="7"/>
      <c r="P149" s="7"/>
      <c r="Q149" s="26"/>
      <c r="R149" s="26"/>
      <c r="S149" s="38">
        <f t="shared" si="72"/>
        <v>1</v>
      </c>
      <c r="T149" s="55" t="str">
        <f t="shared" si="73"/>
        <v>Southbound</v>
      </c>
      <c r="U149" s="14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9" s="57" t="str">
        <f t="shared" si="75"/>
        <v>N</v>
      </c>
      <c r="X149" s="154">
        <f t="shared" si="84"/>
        <v>1</v>
      </c>
      <c r="Y149" s="72">
        <f t="shared" si="76"/>
        <v>23.2973</v>
      </c>
      <c r="Z149" s="72">
        <f t="shared" si="77"/>
        <v>1.72E-2</v>
      </c>
      <c r="AA149" s="72">
        <f t="shared" si="78"/>
        <v>23.280100000000001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79"/>
        <v>0236-07</v>
      </c>
      <c r="AE149" s="110" t="str">
        <f t="shared" si="80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49" s="107" t="str">
        <f t="shared" si="81"/>
        <v>"C:\Program Files (x86)\AstroGrep\AstroGrep.exe" /spath="%USERPROFILE%\AppData\Local\Temp\OnboardLogs" /stypes="*4017*20160808*" /stext=" 06:.+((SYSTEM_STATE.+slice.+state.+changed )|(ment ac)|(system.+state.+changed )|(\|lc)|(penalty)|(\[timeout)|(PRM\|1\|D)|(kpr)|(kdp))" /e /r /s</v>
      </c>
      <c r="AG149" s="1" t="str">
        <f t="shared" si="82"/>
        <v>EC</v>
      </c>
      <c r="AH149" s="111" t="str">
        <f t="shared" si="83"/>
        <v>"%USERPROFILE%\Documents\GitHub\eaglep3\Utilities\RefineRTDCRunTimes.py" --tripid 236-07 --locoid 4017 --swversion DE.1.0.7.0 --startMP 204:232973 --initTime 2016-08-07T23:23:11 --startdatetime 2016-08-07T23:24:23 --delay 1 --endMP 204:172 --enddatetime 2016-08-08T00:06:36 --enforcementcount 1</v>
      </c>
    </row>
    <row r="150" spans="1:34" x14ac:dyDescent="0.25">
      <c r="A150" s="25" t="s">
        <v>573</v>
      </c>
      <c r="B150" s="129">
        <v>4038</v>
      </c>
      <c r="C150" s="130" t="s">
        <v>147</v>
      </c>
      <c r="D150" s="130" t="s">
        <v>185</v>
      </c>
      <c r="E150" s="131">
        <v>42589.950624999998</v>
      </c>
      <c r="F150" s="131">
        <v>42589.951678240737</v>
      </c>
      <c r="G150" s="129">
        <v>1</v>
      </c>
      <c r="H150" s="131" t="s">
        <v>574</v>
      </c>
      <c r="I150" s="131">
        <v>42589.984224537038</v>
      </c>
      <c r="J150" s="129">
        <v>0</v>
      </c>
      <c r="K150" s="25" t="str">
        <f t="shared" si="70"/>
        <v>4037/4038</v>
      </c>
      <c r="L150" s="25" t="str">
        <f>VLOOKUP(A150,'Trips&amp;Operators'!$C$1:$E$10000,3,FALSE)</f>
        <v>LEVERE</v>
      </c>
      <c r="M150" s="6">
        <f t="shared" si="71"/>
        <v>3.2546296301006805E-2</v>
      </c>
      <c r="N150" s="7">
        <f t="shared" si="69"/>
        <v>46.866666673449799</v>
      </c>
      <c r="O150" s="7"/>
      <c r="P150" s="7"/>
      <c r="Q150" s="26"/>
      <c r="R150" s="26"/>
      <c r="S150" s="38">
        <f t="shared" si="72"/>
        <v>1</v>
      </c>
      <c r="T150" s="55" t="str">
        <f t="shared" si="73"/>
        <v>NorthBound</v>
      </c>
      <c r="U150" s="14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21:48:54-0600',mode:absolute,to:'2016-08-08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50" s="57" t="str">
        <f t="shared" si="75"/>
        <v>N</v>
      </c>
      <c r="X150" s="154">
        <f t="shared" si="84"/>
        <v>1</v>
      </c>
      <c r="Y150" s="72">
        <f t="shared" si="76"/>
        <v>4.5499999999999999E-2</v>
      </c>
      <c r="Z150" s="72">
        <f t="shared" si="77"/>
        <v>23.3322</v>
      </c>
      <c r="AA150" s="72">
        <f t="shared" si="78"/>
        <v>23.2867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79"/>
        <v>0237-07</v>
      </c>
      <c r="AE150" s="110" t="str">
        <f t="shared" si="80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50" s="107" t="str">
        <f t="shared" si="81"/>
        <v>"C:\Program Files (x86)\AstroGrep\AstroGrep.exe" /spath="%USERPROFILE%\AppData\Local\Temp\OnboardLogs" /stypes="*4038*20160808*" /stext=" 05:.+((SYSTEM_STATE.+slice.+state.+changed )|(ment ac)|(system.+state.+changed )|(\|lc)|(penalty)|(\[timeout)|(PRM\|1\|D)|(kpr)|(kdp))" /e /r /s</v>
      </c>
      <c r="AG150" s="1" t="str">
        <f t="shared" si="82"/>
        <v>EC</v>
      </c>
      <c r="AH150" s="111" t="str">
        <f t="shared" si="83"/>
        <v>"%USERPROFILE%\Documents\GitHub\eaglep3\Utilities\RefineRTDCRunTimes.py" --tripid 237-07 --locoid 4038 --swversion DE.1.0.7.0 --startMP 204:455 --initTime 2016-08-07T22:48:54 --startdatetime 2016-08-07T22:50:25 --delay 1 --endMP 204:233322 --enddatetime 2016-08-07T23:37:17 --enforcementcount 0</v>
      </c>
    </row>
    <row r="151" spans="1:34" x14ac:dyDescent="0.25">
      <c r="A151" s="25" t="s">
        <v>575</v>
      </c>
      <c r="B151" s="129">
        <v>4037</v>
      </c>
      <c r="C151" s="130" t="s">
        <v>147</v>
      </c>
      <c r="D151" s="130" t="s">
        <v>576</v>
      </c>
      <c r="E151" s="131">
        <v>42589.99287037037</v>
      </c>
      <c r="F151" s="131">
        <v>42589.99391203704</v>
      </c>
      <c r="G151" s="129">
        <v>1</v>
      </c>
      <c r="H151" s="131" t="s">
        <v>108</v>
      </c>
      <c r="I151" s="131">
        <v>42590.025671296295</v>
      </c>
      <c r="J151" s="129">
        <v>0</v>
      </c>
      <c r="K151" s="25" t="str">
        <f t="shared" si="70"/>
        <v>4037/4038</v>
      </c>
      <c r="L151" s="25" t="str">
        <f>VLOOKUP(A151,'Trips&amp;Operators'!$C$1:$E$10000,3,FALSE)</f>
        <v>LEVERE</v>
      </c>
      <c r="M151" s="6">
        <f t="shared" si="71"/>
        <v>3.1759259254613426E-2</v>
      </c>
      <c r="N151" s="7">
        <f t="shared" si="69"/>
        <v>45.733333326643333</v>
      </c>
      <c r="O151" s="7"/>
      <c r="P151" s="7"/>
      <c r="Q151" s="26"/>
      <c r="R151" s="26"/>
      <c r="S151" s="38">
        <f t="shared" si="72"/>
        <v>1</v>
      </c>
      <c r="T151" s="55" t="str">
        <f t="shared" si="73"/>
        <v>Southbound</v>
      </c>
      <c r="U151" s="14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22:49:44-0600',mode:absolute,to:'2016-08-08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1" s="57" t="str">
        <f t="shared" si="75"/>
        <v>N</v>
      </c>
      <c r="X151" s="154">
        <f t="shared" si="84"/>
        <v>1</v>
      </c>
      <c r="Y151" s="72">
        <f t="shared" si="76"/>
        <v>23.296299999999999</v>
      </c>
      <c r="Z151" s="72">
        <f t="shared" si="77"/>
        <v>1.5599999999999999E-2</v>
      </c>
      <c r="AA151" s="72">
        <f t="shared" si="78"/>
        <v>23.2807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79"/>
        <v>0238-07</v>
      </c>
      <c r="AE151" s="110" t="str">
        <f t="shared" si="80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51" s="107" t="str">
        <f t="shared" si="81"/>
        <v>"C:\Program Files (x86)\AstroGrep\AstroGrep.exe" /spath="%USERPROFILE%\AppData\Local\Temp\OnboardLogs" /stypes="*4037*20160808*" /stext=" 06:.+((SYSTEM_STATE.+slice.+state.+changed )|(ment ac)|(system.+state.+changed )|(\|lc)|(penalty)|(\[timeout)|(PRM\|1\|D)|(kpr)|(kdp))" /e /r /s</v>
      </c>
      <c r="AG151" s="1" t="str">
        <f t="shared" si="82"/>
        <v>EC</v>
      </c>
      <c r="AH151" s="111" t="str">
        <f t="shared" si="83"/>
        <v>"%USERPROFILE%\Documents\GitHub\eaglep3\Utilities\RefineRTDCRunTimes.py" --tripid 238-07 --locoid 4037 --swversion DE.1.0.7.0 --startMP 204:232963 --initTime 2016-08-07T23:49:44 --startdatetime 2016-08-07T23:51:14 --delay 1 --endMP 204:156 --enddatetime 2016-08-08T00:36:58 --enforcementcount 0</v>
      </c>
    </row>
    <row r="152" spans="1:34" x14ac:dyDescent="0.25">
      <c r="A152" s="25" t="s">
        <v>577</v>
      </c>
      <c r="B152" s="129">
        <v>4025</v>
      </c>
      <c r="C152" s="130" t="s">
        <v>147</v>
      </c>
      <c r="D152" s="130" t="s">
        <v>230</v>
      </c>
      <c r="E152" s="131">
        <v>42589.975659722222</v>
      </c>
      <c r="F152" s="131">
        <v>42589.976817129631</v>
      </c>
      <c r="G152" s="129">
        <v>1</v>
      </c>
      <c r="H152" s="131" t="s">
        <v>578</v>
      </c>
      <c r="I152" s="131">
        <v>42590.004166666666</v>
      </c>
      <c r="J152" s="129">
        <v>0</v>
      </c>
      <c r="K152" s="25" t="str">
        <f t="shared" si="70"/>
        <v>4025/4026</v>
      </c>
      <c r="L152" s="25" t="str">
        <f>VLOOKUP(A152,'Trips&amp;Operators'!$C$1:$E$10000,3,FALSE)</f>
        <v>COOLAHAN</v>
      </c>
      <c r="M152" s="6">
        <f t="shared" si="71"/>
        <v>2.7349537034751847E-2</v>
      </c>
      <c r="N152" s="7">
        <f t="shared" si="69"/>
        <v>39.38333333004266</v>
      </c>
      <c r="O152" s="7"/>
      <c r="P152" s="7"/>
      <c r="Q152" s="26"/>
      <c r="R152" s="26"/>
      <c r="S152" s="38">
        <f t="shared" si="72"/>
        <v>1</v>
      </c>
      <c r="T152" s="55" t="str">
        <f t="shared" si="73"/>
        <v>NorthBound</v>
      </c>
      <c r="U152" s="14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22:24:57-0600',mode:absolute,to:'2016-08-08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2" s="57" t="str">
        <f t="shared" si="75"/>
        <v>N</v>
      </c>
      <c r="X152" s="154">
        <f t="shared" si="84"/>
        <v>1</v>
      </c>
      <c r="Y152" s="72">
        <f t="shared" si="76"/>
        <v>4.4900000000000002E-2</v>
      </c>
      <c r="Z152" s="72">
        <f t="shared" si="77"/>
        <v>23.331600000000002</v>
      </c>
      <c r="AA152" s="72">
        <f t="shared" si="78"/>
        <v>23.286700000000003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79"/>
        <v>0239-07</v>
      </c>
      <c r="AE152" s="110" t="str">
        <f t="shared" si="80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52" s="107" t="str">
        <f t="shared" si="81"/>
        <v>"C:\Program Files (x86)\AstroGrep\AstroGrep.exe" /spath="%USERPROFILE%\AppData\Local\Temp\OnboardLogs" /stypes="*4025*20160808*" /stext=" 06:.+((SYSTEM_STATE.+slice.+state.+changed )|(ment ac)|(system.+state.+changed )|(\|lc)|(penalty)|(\[timeout)|(PRM\|1\|D)|(kpr)|(kdp))" /e /r /s</v>
      </c>
      <c r="AG152" s="1" t="str">
        <f t="shared" si="82"/>
        <v>EC</v>
      </c>
      <c r="AH152" s="111" t="str">
        <f t="shared" si="83"/>
        <v>"%USERPROFILE%\Documents\GitHub\eaglep3\Utilities\RefineRTDCRunTimes.py" --tripid 239-07 --locoid 4025 --swversion DE.1.0.7.0 --startMP 204:449 --initTime 2016-08-07T23:24:57 --startdatetime 2016-08-07T23:26:37 --delay 1 --endMP 204:233316 --enddatetime 2016-08-08T00:06:00 --enforcementcount 0</v>
      </c>
    </row>
    <row r="153" spans="1:34" x14ac:dyDescent="0.25">
      <c r="A153" s="25" t="s">
        <v>579</v>
      </c>
      <c r="B153" s="129">
        <v>4026</v>
      </c>
      <c r="C153" s="130" t="s">
        <v>147</v>
      </c>
      <c r="D153" s="130" t="s">
        <v>524</v>
      </c>
      <c r="E153" s="131">
        <v>42590.013715277775</v>
      </c>
      <c r="F153" s="131">
        <v>42590.015474537038</v>
      </c>
      <c r="G153" s="129">
        <v>2</v>
      </c>
      <c r="H153" s="131" t="s">
        <v>255</v>
      </c>
      <c r="I153" s="131">
        <v>42590.044641203705</v>
      </c>
      <c r="J153" s="129">
        <v>0</v>
      </c>
      <c r="K153" s="25" t="str">
        <f t="shared" si="70"/>
        <v>4025/4026</v>
      </c>
      <c r="L153" s="25" t="str">
        <f>VLOOKUP(A153,'Trips&amp;Operators'!$C$1:$E$10000,3,FALSE)</f>
        <v>COOLAHAN</v>
      </c>
      <c r="M153" s="6">
        <f t="shared" si="71"/>
        <v>2.9166666667151731E-2</v>
      </c>
      <c r="N153" s="7">
        <f t="shared" si="69"/>
        <v>42.000000000698492</v>
      </c>
      <c r="O153" s="7"/>
      <c r="P153" s="7"/>
      <c r="Q153" s="26"/>
      <c r="R153" s="26"/>
      <c r="S153" s="38">
        <f t="shared" si="72"/>
        <v>1</v>
      </c>
      <c r="T153" s="55" t="str">
        <f t="shared" si="73"/>
        <v>Southbound</v>
      </c>
      <c r="U153" s="14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23:19:45-0600',mode:absolute,to:'2016-08-08 02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3" s="57" t="str">
        <f t="shared" si="75"/>
        <v>N</v>
      </c>
      <c r="X153" s="154">
        <f t="shared" si="84"/>
        <v>1</v>
      </c>
      <c r="Y153" s="72">
        <f t="shared" si="76"/>
        <v>23.2988</v>
      </c>
      <c r="Z153" s="72">
        <f t="shared" si="77"/>
        <v>1.7399999999999999E-2</v>
      </c>
      <c r="AA153" s="72">
        <f t="shared" si="78"/>
        <v>23.281400000000001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79"/>
        <v>0240-07</v>
      </c>
      <c r="AE153" s="110" t="str">
        <f t="shared" si="80"/>
        <v>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 &amp; 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</v>
      </c>
      <c r="AF153" s="107" t="str">
        <f t="shared" si="81"/>
        <v>"C:\Program Files (x86)\AstroGrep\AstroGrep.exe" /spath="%USERPROFILE%\AppData\Local\Temp\OnboardLogs" /stypes="*4026*20160808*" /stext=" 07:.+((SYSTEM_STATE.+slice.+state.+changed )|(ment ac)|(system.+state.+changed )|(\|lc)|(penalty)|(\[timeout)|(PRM\|1\|D)|(kpr)|(kdp))" /e /r /s</v>
      </c>
      <c r="AG153" s="1" t="str">
        <f t="shared" si="82"/>
        <v>EC</v>
      </c>
      <c r="AH153" s="111" t="str">
        <f t="shared" si="83"/>
        <v>"%USERPROFILE%\Documents\GitHub\eaglep3\Utilities\RefineRTDCRunTimes.py" --tripid 240-07 --locoid 4026 --swversion DE.1.0.7.0 --startMP 204:232988 --initTime 2016-08-08T00:19:45 --startdatetime 2016-08-08T00:22:17 --delay 2 --endMP 204:174 --enddatetime 2016-08-08T01:04:17 --enforcementcount 0</v>
      </c>
    </row>
    <row r="154" spans="1:34" x14ac:dyDescent="0.25">
      <c r="A154" s="25" t="s">
        <v>580</v>
      </c>
      <c r="B154" s="129">
        <v>4044</v>
      </c>
      <c r="C154" s="130" t="s">
        <v>147</v>
      </c>
      <c r="D154" s="130" t="s">
        <v>173</v>
      </c>
      <c r="E154" s="131">
        <v>42589.987210648149</v>
      </c>
      <c r="F154" s="131">
        <v>42589.988217592596</v>
      </c>
      <c r="G154" s="129">
        <v>1</v>
      </c>
      <c r="H154" s="131" t="s">
        <v>578</v>
      </c>
      <c r="I154" s="131">
        <v>42590.024664351855</v>
      </c>
      <c r="J154" s="129">
        <v>0</v>
      </c>
      <c r="K154" s="25" t="str">
        <f t="shared" si="70"/>
        <v>4043/4044</v>
      </c>
      <c r="L154" s="25" t="str">
        <f>VLOOKUP(A154,'Trips&amp;Operators'!$C$1:$E$10000,3,FALSE)</f>
        <v>NEWELL</v>
      </c>
      <c r="M154" s="6">
        <f t="shared" si="71"/>
        <v>3.6446759258979E-2</v>
      </c>
      <c r="N154" s="7">
        <f t="shared" si="69"/>
        <v>52.48333333292976</v>
      </c>
      <c r="O154" s="7"/>
      <c r="P154" s="7"/>
      <c r="Q154" s="26"/>
      <c r="R154" s="26"/>
      <c r="S154" s="38">
        <f t="shared" si="72"/>
        <v>1</v>
      </c>
      <c r="T154" s="55" t="str">
        <f t="shared" si="73"/>
        <v>NorthBound</v>
      </c>
      <c r="U154" s="14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22:41:35-0600',mode:absolute,to:'2016-08-08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54" s="57" t="str">
        <f t="shared" si="75"/>
        <v>N</v>
      </c>
      <c r="X154" s="154">
        <f t="shared" si="84"/>
        <v>1</v>
      </c>
      <c r="Y154" s="72">
        <f t="shared" si="76"/>
        <v>4.5100000000000001E-2</v>
      </c>
      <c r="Z154" s="72">
        <f t="shared" si="77"/>
        <v>23.331600000000002</v>
      </c>
      <c r="AA154" s="72">
        <f t="shared" si="78"/>
        <v>23.2865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79"/>
        <v>0241-07</v>
      </c>
      <c r="AE154" s="110" t="str">
        <f t="shared" si="80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54" s="107" t="str">
        <f t="shared" si="81"/>
        <v>"C:\Program Files (x86)\AstroGrep\AstroGrep.exe" /spath="%USERPROFILE%\AppData\Local\Temp\OnboardLogs" /stypes="*4044*20160808*" /stext=" 06:.+((SYSTEM_STATE.+slice.+state.+changed )|(ment ac)|(system.+state.+changed )|(\|lc)|(penalty)|(\[timeout)|(PRM\|1\|D)|(kpr)|(kdp))" /e /r /s</v>
      </c>
      <c r="AG154" s="1" t="str">
        <f t="shared" si="82"/>
        <v>EC</v>
      </c>
      <c r="AH154" s="111" t="str">
        <f t="shared" si="83"/>
        <v>"%USERPROFILE%\Documents\GitHub\eaglep3\Utilities\RefineRTDCRunTimes.py" --tripid 241-07 --locoid 4044 --swversion DE.1.0.7.0 --startMP 204:451 --initTime 2016-08-07T23:41:35 --startdatetime 2016-08-07T23:43:02 --delay 1 --endMP 204:233316 --enddatetime 2016-08-08T00:35:31 --enforcementcount 0</v>
      </c>
    </row>
    <row r="155" spans="1:34" x14ac:dyDescent="0.25">
      <c r="A155" s="25" t="s">
        <v>581</v>
      </c>
      <c r="B155" s="129">
        <v>4043</v>
      </c>
      <c r="C155" s="130" t="s">
        <v>147</v>
      </c>
      <c r="D155" s="130" t="s">
        <v>265</v>
      </c>
      <c r="E155" s="131">
        <v>42590.037488425929</v>
      </c>
      <c r="F155" s="131">
        <v>42590.038391203707</v>
      </c>
      <c r="G155" s="129">
        <v>1</v>
      </c>
      <c r="H155" s="131" t="s">
        <v>533</v>
      </c>
      <c r="I155" s="131">
        <v>42590.065486111111</v>
      </c>
      <c r="J155" s="129">
        <v>0</v>
      </c>
      <c r="K155" s="25" t="str">
        <f t="shared" si="70"/>
        <v>4043/4044</v>
      </c>
      <c r="L155" s="25" t="str">
        <f>VLOOKUP(A155,'Trips&amp;Operators'!$C$1:$E$10000,3,FALSE)</f>
        <v>NEWELL</v>
      </c>
      <c r="M155" s="6">
        <f t="shared" si="71"/>
        <v>2.7094907403807156E-2</v>
      </c>
      <c r="N155" s="7">
        <f t="shared" si="69"/>
        <v>39.016666661482304</v>
      </c>
      <c r="O155" s="7"/>
      <c r="P155" s="7"/>
      <c r="Q155" s="26"/>
      <c r="R155" s="26"/>
      <c r="S155" s="38">
        <f t="shared" si="72"/>
        <v>1</v>
      </c>
      <c r="T155" s="55" t="str">
        <f t="shared" si="73"/>
        <v>Southbound</v>
      </c>
      <c r="U155" s="14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23:53:59-0600',mode:absolute,to:'2016-08-08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55" s="57" t="str">
        <f t="shared" si="75"/>
        <v>N</v>
      </c>
      <c r="X155" s="154">
        <f t="shared" si="84"/>
        <v>1</v>
      </c>
      <c r="Y155" s="72">
        <f t="shared" si="76"/>
        <v>23.299600000000002</v>
      </c>
      <c r="Z155" s="72">
        <f t="shared" si="77"/>
        <v>1.18E-2</v>
      </c>
      <c r="AA155" s="72">
        <f t="shared" si="78"/>
        <v>23.287800000000001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79"/>
        <v>0242-07</v>
      </c>
      <c r="AE155" s="110" t="str">
        <f t="shared" si="80"/>
        <v>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 &amp; aws s3 cp s3://rtdc.mdm.uploadarchive/RTDC4043/2016-08-09/ "%USERPROFILE%\AppData\Local\Temp\OnboardLogs"\RTDC4043\2016-08-09 --recursive &amp; "%USERPROFILE%\Documents\GitHub\mrs-test-scripts\Headless Mode &amp; Sideloading\WalkAndUnGZ.bat" "%USERPROFILE%\AppData\Local\Temp\OnboardLogs"\RTDC4043\2016-08-09</v>
      </c>
      <c r="AF155" s="107" t="str">
        <f t="shared" si="81"/>
        <v>"C:\Program Files (x86)\AstroGrep\AstroGrep.exe" /spath="%USERPROFILE%\AppData\Local\Temp\OnboardLogs" /stypes="*4043*20160808*" /stext=" 07:.+((SYSTEM_STATE.+slice.+state.+changed )|(ment ac)|(system.+state.+changed )|(\|lc)|(penalty)|(\[timeout)|(PRM\|1\|D)|(kpr)|(kdp))" /e /r /s</v>
      </c>
      <c r="AG155" s="1" t="str">
        <f t="shared" si="82"/>
        <v>EC</v>
      </c>
      <c r="AH155" s="111" t="str">
        <f t="shared" si="83"/>
        <v>"%USERPROFILE%\Documents\GitHub\eaglep3\Utilities\RefineRTDCRunTimes.py" --tripid 242-07 --locoid 4043 --swversion DE.1.0.7.0 --startMP 204:232996 --initTime 2016-08-08T00:53:59 --startdatetime 2016-08-08T00:55:17 --delay 1 --endMP 204:118 --enddatetime 2016-08-08T01:34:18 --enforcementcount 0</v>
      </c>
    </row>
    <row r="156" spans="1:34" x14ac:dyDescent="0.25">
      <c r="A156" s="25" t="s">
        <v>582</v>
      </c>
      <c r="B156" s="129">
        <v>4018</v>
      </c>
      <c r="C156" s="130" t="s">
        <v>147</v>
      </c>
      <c r="D156" s="130" t="s">
        <v>583</v>
      </c>
      <c r="E156" s="131">
        <v>42590.019131944442</v>
      </c>
      <c r="F156" s="131">
        <v>42590.020127314812</v>
      </c>
      <c r="G156" s="129">
        <v>1</v>
      </c>
      <c r="H156" s="131" t="s">
        <v>584</v>
      </c>
      <c r="I156" s="131">
        <v>42590.046284722222</v>
      </c>
      <c r="J156" s="129">
        <v>0</v>
      </c>
      <c r="K156" s="25" t="str">
        <f t="shared" si="70"/>
        <v>4017/4018</v>
      </c>
      <c r="L156" s="25" t="str">
        <f>VLOOKUP(A156,'Trips&amp;Operators'!$C$1:$E$10000,3,FALSE)</f>
        <v>CHANDLER</v>
      </c>
      <c r="M156" s="6">
        <f t="shared" si="71"/>
        <v>2.6157407410209998E-2</v>
      </c>
      <c r="N156" s="7">
        <f t="shared" si="69"/>
        <v>37.666666670702398</v>
      </c>
      <c r="O156" s="7"/>
      <c r="P156" s="7"/>
      <c r="Q156" s="26"/>
      <c r="R156" s="26"/>
      <c r="S156" s="38">
        <f t="shared" si="72"/>
        <v>1</v>
      </c>
      <c r="T156" s="55" t="str">
        <f t="shared" si="73"/>
        <v>NorthBound</v>
      </c>
      <c r="U156" s="14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23:27:33-0600',mode:absolute,to:'2016-08-08 02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56" s="57" t="str">
        <f t="shared" si="75"/>
        <v>N</v>
      </c>
      <c r="X156" s="154">
        <f t="shared" si="84"/>
        <v>1</v>
      </c>
      <c r="Y156" s="72">
        <f t="shared" si="76"/>
        <v>4.9299999999999997E-2</v>
      </c>
      <c r="Z156" s="72">
        <f t="shared" si="77"/>
        <v>23.328199999999999</v>
      </c>
      <c r="AA156" s="72">
        <f t="shared" si="78"/>
        <v>23.2789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79"/>
        <v>0243-07</v>
      </c>
      <c r="AE156" s="110" t="str">
        <f t="shared" si="80"/>
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</c>
      <c r="AF156" s="107" t="str">
        <f t="shared" si="81"/>
        <v>"C:\Program Files (x86)\AstroGrep\AstroGrep.exe" /spath="%USERPROFILE%\AppData\Local\Temp\OnboardLogs" /stypes="*4018*20160808*" /stext=" 07:.+((SYSTEM_STATE.+slice.+state.+changed )|(ment ac)|(system.+state.+changed )|(\|lc)|(penalty)|(\[timeout)|(PRM\|1\|D)|(kpr)|(kdp))" /e /r /s</v>
      </c>
      <c r="AG156" s="1" t="str">
        <f t="shared" si="82"/>
        <v>EC</v>
      </c>
      <c r="AH156" s="111" t="str">
        <f t="shared" si="83"/>
        <v>"%USERPROFILE%\Documents\GitHub\eaglep3\Utilities\RefineRTDCRunTimes.py" --tripid 243-07 --locoid 4018 --swversion DE.1.0.7.0 --startMP 204:493 --initTime 2016-08-08T00:27:33 --startdatetime 2016-08-08T00:28:59 --delay 1 --endMP 204:233282 --enddatetime 2016-08-08T01:06:39 --enforcementcount 0</v>
      </c>
    </row>
    <row r="157" spans="1:34" x14ac:dyDescent="0.25">
      <c r="A157" s="25" t="s">
        <v>585</v>
      </c>
      <c r="B157" s="129">
        <v>4017</v>
      </c>
      <c r="C157" s="130" t="s">
        <v>147</v>
      </c>
      <c r="D157" s="130" t="s">
        <v>576</v>
      </c>
      <c r="E157" s="131">
        <v>42590.058553240742</v>
      </c>
      <c r="F157" s="131">
        <v>42590.059282407405</v>
      </c>
      <c r="G157" s="129">
        <v>1</v>
      </c>
      <c r="H157" s="131" t="s">
        <v>228</v>
      </c>
      <c r="I157" s="131">
        <v>42590.087893518517</v>
      </c>
      <c r="J157" s="129">
        <v>0</v>
      </c>
      <c r="K157" s="25" t="str">
        <f t="shared" si="70"/>
        <v>4017/4018</v>
      </c>
      <c r="L157" s="25" t="str">
        <f>VLOOKUP(A157,'Trips&amp;Operators'!$C$1:$E$10000,3,FALSE)</f>
        <v>CHANDLER</v>
      </c>
      <c r="M157" s="6">
        <f t="shared" si="71"/>
        <v>2.8611111112695653E-2</v>
      </c>
      <c r="N157" s="7">
        <f t="shared" si="69"/>
        <v>41.20000000228174</v>
      </c>
      <c r="O157" s="7"/>
      <c r="P157" s="7"/>
      <c r="Q157" s="26"/>
      <c r="R157" s="26"/>
      <c r="S157" s="38">
        <f t="shared" si="72"/>
        <v>1</v>
      </c>
      <c r="T157" s="55" t="str">
        <f t="shared" si="73"/>
        <v>Southbound</v>
      </c>
      <c r="U157" s="14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03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57" s="57" t="str">
        <f t="shared" si="75"/>
        <v>N</v>
      </c>
      <c r="X157" s="154">
        <f t="shared" si="84"/>
        <v>1</v>
      </c>
      <c r="Y157" s="72">
        <f t="shared" si="76"/>
        <v>23.296299999999999</v>
      </c>
      <c r="Z157" s="72">
        <f t="shared" si="77"/>
        <v>1.72E-2</v>
      </c>
      <c r="AA157" s="72">
        <f t="shared" si="78"/>
        <v>23.2791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79"/>
        <v>0244-07</v>
      </c>
      <c r="AE157" s="110" t="str">
        <f t="shared" si="80"/>
        <v>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 &amp; 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</v>
      </c>
      <c r="AF157" s="107" t="str">
        <f t="shared" si="81"/>
        <v>"C:\Program Files (x86)\AstroGrep\AstroGrep.exe" /spath="%USERPROFILE%\AppData\Local\Temp\OnboardLogs" /stypes="*4017*20160808*" /stext=" 08:.+((SYSTEM_STATE.+slice.+state.+changed )|(ment ac)|(system.+state.+changed )|(\|lc)|(penalty)|(\[timeout)|(PRM\|1\|D)|(kpr)|(kdp))" /e /r /s</v>
      </c>
      <c r="AG157" s="1" t="str">
        <f t="shared" si="82"/>
        <v>EC</v>
      </c>
      <c r="AH157" s="111" t="str">
        <f t="shared" si="83"/>
        <v>"%USERPROFILE%\Documents\GitHub\eaglep3\Utilities\RefineRTDCRunTimes.py" --tripid 244-07 --locoid 4017 --swversion DE.1.0.7.0 --startMP 204:232963 --initTime 2016-08-08T01:24:19 --startdatetime 2016-08-08T01:25:22 --delay 1 --endMP 204:172 --enddatetime 2016-08-08T02:06:34 --enforcementcount 0</v>
      </c>
    </row>
    <row r="158" spans="1:34" s="24" customFormat="1" x14ac:dyDescent="0.25">
      <c r="A158" s="25" t="s">
        <v>601</v>
      </c>
      <c r="B158" s="129" t="s">
        <v>604</v>
      </c>
      <c r="C158" s="130" t="s">
        <v>147</v>
      </c>
      <c r="D158" s="130" t="s">
        <v>576</v>
      </c>
      <c r="E158" s="131">
        <v>42590.058553240742</v>
      </c>
      <c r="F158" s="131">
        <v>42590.059282407405</v>
      </c>
      <c r="G158" s="129">
        <v>1</v>
      </c>
      <c r="H158" s="131" t="s">
        <v>228</v>
      </c>
      <c r="I158" s="131">
        <v>42590.059293981481</v>
      </c>
      <c r="J158" s="129">
        <v>0</v>
      </c>
      <c r="K158" s="25" t="s">
        <v>604</v>
      </c>
      <c r="L158" s="25" t="s">
        <v>604</v>
      </c>
      <c r="M158" s="6">
        <f t="shared" si="71"/>
        <v>1.1574076779652387E-5</v>
      </c>
      <c r="N158" s="7"/>
      <c r="O158" s="7"/>
      <c r="P158" s="7">
        <v>1</v>
      </c>
      <c r="Q158" s="26"/>
      <c r="R158" s="26" t="s">
        <v>603</v>
      </c>
      <c r="S158" s="38">
        <f t="shared" si="72"/>
        <v>0</v>
      </c>
      <c r="T158" s="55" t="str">
        <f t="shared" si="73"/>
        <v>NorthBound</v>
      </c>
      <c r="U158" s="14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02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</c>
      <c r="W158" s="57" t="str">
        <f t="shared" si="75"/>
        <v>Y</v>
      </c>
      <c r="X158" s="154">
        <f t="shared" si="84"/>
        <v>1</v>
      </c>
      <c r="Y158" s="72">
        <v>0.01</v>
      </c>
      <c r="Z158" s="72">
        <v>0.01</v>
      </c>
      <c r="AA158" s="72">
        <f t="shared" si="78"/>
        <v>0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79"/>
        <v>0245-07</v>
      </c>
      <c r="AE158" s="110" t="str">
        <f t="shared" si="80"/>
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</c>
      <c r="AF158" s="107" t="str">
        <f t="shared" si="81"/>
        <v>"C:\Program Files (x86)\AstroGrep\AstroGrep.exe" /spath="%USERPROFILE%\AppData\Local\Temp\OnboardLogs" /stypes="*-*20160808*" /stext=" 07:.+((SYSTEM_STATE.+slice.+state.+changed )|(ment ac)|(system.+state.+changed )|(\|lc)|(penalty)|(\[timeout)|(PRM\|1\|D)|(kpr)|(kdp))" /e /r /s</v>
      </c>
      <c r="AG158" s="1" t="str">
        <f t="shared" si="82"/>
        <v>EC</v>
      </c>
      <c r="AH158" s="111" t="str">
        <f t="shared" si="83"/>
        <v>"%USERPROFILE%\Documents\GitHub\eaglep3\Utilities\RefineRTDCRunTimes.py" --tripid 245-07 --locoid - --swversion DE.1.0.7.0 --startMP 204:232963 --initTime 2016-08-08T01:24:19 --startdatetime 2016-08-08T01:25:22 --delay 1 --endMP 204:172 --enddatetime 2016-08-08T01:25:23 --enforcementcount 0</v>
      </c>
    </row>
    <row r="159" spans="1:34" x14ac:dyDescent="0.25">
      <c r="A159" s="25" t="s">
        <v>614</v>
      </c>
      <c r="B159" s="139" t="s">
        <v>604</v>
      </c>
      <c r="C159" s="130" t="s">
        <v>147</v>
      </c>
      <c r="D159" s="130" t="s">
        <v>177</v>
      </c>
      <c r="E159" s="131">
        <v>42589.073969907404</v>
      </c>
      <c r="F159" s="131">
        <v>42589.074930555558</v>
      </c>
      <c r="G159" s="129">
        <v>1</v>
      </c>
      <c r="H159" s="131" t="s">
        <v>58</v>
      </c>
      <c r="I159" s="131">
        <v>42589.108113425929</v>
      </c>
      <c r="J159" s="129">
        <v>1</v>
      </c>
      <c r="K159" s="25" t="e">
        <f t="shared" ref="K159:K201" si="85">IF(ISEVEN(B159),(B159-1)&amp;"/"&amp;B159,B159&amp;"/"&amp;(B159+1))</f>
        <v>#VALUE!</v>
      </c>
      <c r="L159" s="25" t="e">
        <f>VLOOKUP(A159,'Trips&amp;Operators'!$C$1:$E$10000,3,FALSE)</f>
        <v>#N/A</v>
      </c>
      <c r="M159" s="6">
        <f t="shared" si="71"/>
        <v>3.3182870371092577E-2</v>
      </c>
      <c r="N159" s="7"/>
      <c r="O159" s="7"/>
      <c r="P159" s="7">
        <v>1</v>
      </c>
      <c r="Q159" s="26"/>
      <c r="R159" s="26" t="s">
        <v>603</v>
      </c>
      <c r="S159" s="38">
        <f t="shared" si="72"/>
        <v>0</v>
      </c>
      <c r="T159" s="55" t="str">
        <f t="shared" si="73"/>
        <v>Southbound</v>
      </c>
      <c r="U159" s="14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</c>
      <c r="W159" s="57" t="str">
        <f t="shared" si="75"/>
        <v>Y</v>
      </c>
      <c r="X159" s="154">
        <f t="shared" si="84"/>
        <v>1</v>
      </c>
      <c r="Y159" s="72">
        <v>0.01</v>
      </c>
      <c r="Z159" s="72">
        <v>0.01</v>
      </c>
      <c r="AA159" s="72">
        <f t="shared" si="78"/>
        <v>0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79"/>
        <v>0246-07</v>
      </c>
      <c r="AE159" s="110" t="str">
        <f t="shared" si="80"/>
        <v>aws s3 cp s3://rtdc.mdm.uploadarchive/RTDC-/2016-08-07/ "%USERPROFILE%\AppData\Local\Temp\OnboardLogs"\RTDC-\2016-08-07 --recursive &amp; "%USERPROFILE%\Documents\GitHub\mrs-test-scripts\Headless Mode &amp; Sideloading\WalkAndUnGZ.bat" "%USERPROFILE%\AppData\Local\Temp\OnboardLogs"\RTDC-\2016-08-07 &amp; 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</v>
      </c>
      <c r="AF159" s="107" t="str">
        <f t="shared" si="81"/>
        <v>"C:\Program Files (x86)\AstroGrep\AstroGrep.exe" /spath="%USERPROFILE%\AppData\Local\Temp\OnboardLogs" /stypes="*-*20160807*" /stext=" 08:.+((SYSTEM_STATE.+slice.+state.+changed )|(ment ac)|(system.+state.+changed )|(\|lc)|(penalty)|(\[timeout)|(PRM\|1\|D)|(kpr)|(kdp))" /e /r /s</v>
      </c>
      <c r="AG159" s="1" t="str">
        <f t="shared" si="82"/>
        <v>EC</v>
      </c>
      <c r="AH159" s="111" t="str">
        <f t="shared" si="83"/>
        <v>"%USERPROFILE%\Documents\GitHub\eaglep3\Utilities\RefineRTDCRunTimes.py" --tripid 246-07 --locoid - --swversion DE.1.0.7.0 --startMP 204:232975 --initTime 2016-08-07T01:46:31 --startdatetime 2016-08-07T01:47:54 --delay 1 --endMP 204:152 --enddatetime 2016-08-07T02:35:41 --enforcementcount 1</v>
      </c>
    </row>
    <row r="160" spans="1:34" x14ac:dyDescent="0.25">
      <c r="A160" s="25" t="s">
        <v>290</v>
      </c>
      <c r="B160" s="129">
        <v>4041</v>
      </c>
      <c r="C160" s="130" t="s">
        <v>147</v>
      </c>
      <c r="D160" s="130" t="s">
        <v>434</v>
      </c>
      <c r="E160" s="131">
        <v>42589.235671296294</v>
      </c>
      <c r="F160" s="131">
        <v>42589.236851851849</v>
      </c>
      <c r="G160" s="129">
        <v>1</v>
      </c>
      <c r="H160" s="131" t="s">
        <v>435</v>
      </c>
      <c r="I160" s="131">
        <v>42589.247164351851</v>
      </c>
      <c r="J160" s="129">
        <v>1</v>
      </c>
      <c r="K160" s="25" t="str">
        <f t="shared" si="85"/>
        <v>4041/4042</v>
      </c>
      <c r="L160" s="25" t="str">
        <f>VLOOKUP(A160,'Trips&amp;Operators'!$C$1:$E$10000,3,FALSE)</f>
        <v>STARKS</v>
      </c>
      <c r="M160" s="6">
        <f t="shared" si="71"/>
        <v>1.0312500002328306E-2</v>
      </c>
      <c r="N160" s="7">
        <f>24*60*SUM($M160:$M160)</f>
        <v>14.850000003352761</v>
      </c>
      <c r="O160" s="7"/>
      <c r="P160" s="7"/>
      <c r="Q160" s="26"/>
      <c r="R160" s="26"/>
      <c r="S160" s="38">
        <f t="shared" si="72"/>
        <v>1</v>
      </c>
      <c r="T160" s="55" t="str">
        <f t="shared" si="73"/>
        <v>Southbound</v>
      </c>
      <c r="U160" s="14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0" s="57" t="str">
        <f t="shared" si="75"/>
        <v>N</v>
      </c>
      <c r="X160" s="154">
        <f t="shared" si="84"/>
        <v>1554</v>
      </c>
      <c r="Y160" s="72">
        <f>RIGHT(D160,LEN(D160)-4)/10000</f>
        <v>5.8604000000000003</v>
      </c>
      <c r="Z160" s="72">
        <f>RIGHT(H160,LEN(H160)-4)/10000</f>
        <v>6.6100000000000006E-2</v>
      </c>
      <c r="AA160" s="72">
        <f t="shared" si="78"/>
        <v>5.7943000000000007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79"/>
        <v>1800-07</v>
      </c>
      <c r="AE160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0" s="107" t="str">
        <f t="shared" si="81"/>
        <v>"C:\Program Files (x86)\AstroGrep\AstroGrep.exe" /spath="%USERPROFILE%\AppData\Local\Temp\OnboardLogs" /stypes="*4041*20160807*" /stext=" 11:.+((SYSTEM_STATE.+slice.+state.+changed )|(ment ac)|(system.+state.+changed )|(\|lc)|(penalty)|(\[timeout)|(PRM\|1\|D)|(kpr)|(kdp))" /e /r /s</v>
      </c>
      <c r="AG160" s="1" t="str">
        <f t="shared" si="82"/>
        <v>NW</v>
      </c>
      <c r="AH160" s="111" t="str">
        <f t="shared" si="83"/>
        <v>"%USERPROFILE%\Documents\GitHub\eaglep3\Utilities\RefineRTDCRunTimes.py" --tripid 1800-07 --locoid 4041 --swversion DE.1.0.7.0 --startMP 300:58604 --initTime 2016-08-07T05:39:22 --startdatetime 2016-08-07T05:41:04 --delay 1 --endMP 204:661 --enddatetime 2016-08-07T05:55:55 --enforcementcount 1</v>
      </c>
    </row>
    <row r="161" spans="1:34" x14ac:dyDescent="0.25">
      <c r="A161" s="25" t="s">
        <v>436</v>
      </c>
      <c r="B161" s="129">
        <v>4042</v>
      </c>
      <c r="C161" s="130" t="s">
        <v>147</v>
      </c>
      <c r="D161" s="130" t="s">
        <v>437</v>
      </c>
      <c r="E161" s="131">
        <v>42589.262592592589</v>
      </c>
      <c r="F161" s="131">
        <v>42589.263287037036</v>
      </c>
      <c r="G161" s="129">
        <v>0</v>
      </c>
      <c r="H161" s="131" t="s">
        <v>438</v>
      </c>
      <c r="I161" s="131">
        <v>42589.275613425925</v>
      </c>
      <c r="J161" s="129">
        <v>0</v>
      </c>
      <c r="K161" s="25" t="str">
        <f t="shared" si="85"/>
        <v>4041/4042</v>
      </c>
      <c r="L161" s="25" t="str">
        <f>VLOOKUP(A161,'Trips&amp;Operators'!$C$1:$E$10000,3,FALSE)</f>
        <v>STARKS</v>
      </c>
      <c r="M161" s="6">
        <f t="shared" si="71"/>
        <v>1.2326388889050577E-2</v>
      </c>
      <c r="N161" s="7">
        <f>24*60*SUM($M161:$M161)</f>
        <v>17.750000000232831</v>
      </c>
      <c r="O161" s="7"/>
      <c r="P161" s="7"/>
      <c r="Q161" s="26"/>
      <c r="R161" s="26"/>
      <c r="S161" s="38">
        <f t="shared" si="72"/>
        <v>1</v>
      </c>
      <c r="T161" s="55" t="str">
        <f t="shared" si="73"/>
        <v>NorthBound</v>
      </c>
      <c r="U161" s="14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05:18:08-0600',mode:absolute,to:'2016-08-07 07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1" s="57" t="str">
        <f t="shared" si="75"/>
        <v>N</v>
      </c>
      <c r="X161" s="154">
        <f t="shared" si="84"/>
        <v>1</v>
      </c>
      <c r="Y161" s="72">
        <f>RIGHT(D161,LEN(D161)-4)/10000</f>
        <v>9.64E-2</v>
      </c>
      <c r="Z161" s="72">
        <f>RIGHT(H161,LEN(H161)-4)/10000</f>
        <v>5.8930999999999996</v>
      </c>
      <c r="AA161" s="72">
        <f t="shared" si="78"/>
        <v>5.7966999999999995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79"/>
        <v>1801-07</v>
      </c>
      <c r="AE161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1" s="107" t="str">
        <f t="shared" si="81"/>
        <v>"C:\Program Files (x86)\AstroGrep\AstroGrep.exe" /spath="%USERPROFILE%\AppData\Local\Temp\OnboardLogs" /stypes="*4042*20160807*" /stext=" 12:.+((SYSTEM_STATE.+slice.+state.+changed )|(ment ac)|(system.+state.+changed )|(\|lc)|(penalty)|(\[timeout)|(PRM\|1\|D)|(kpr)|(kdp))" /e /r /s</v>
      </c>
      <c r="AG161" s="1" t="str">
        <f t="shared" si="82"/>
        <v>NW</v>
      </c>
      <c r="AH161" s="111" t="str">
        <f t="shared" si="83"/>
        <v>"%USERPROFILE%\Documents\GitHub\eaglep3\Utilities\RefineRTDCRunTimes.py" --tripid 1801-07 --locoid 4042 --swversion DE.1.0.7.0 --startMP 204:964 --initTime 2016-08-07T06:18:08 --startdatetime 2016-08-07T06:19:08 --delay 0 --endMP 300:58931 --enddatetime 2016-08-07T06:36:53 --enforcementcount 0</v>
      </c>
    </row>
    <row r="162" spans="1:34" x14ac:dyDescent="0.25">
      <c r="A162" s="25" t="s">
        <v>293</v>
      </c>
      <c r="B162" s="129">
        <v>4041</v>
      </c>
      <c r="C162" s="130" t="s">
        <v>147</v>
      </c>
      <c r="D162" s="130" t="s">
        <v>439</v>
      </c>
      <c r="E162" s="131">
        <v>42589.278645833336</v>
      </c>
      <c r="F162" s="131">
        <v>42589.279502314814</v>
      </c>
      <c r="G162" s="129">
        <v>1</v>
      </c>
      <c r="H162" s="131" t="s">
        <v>440</v>
      </c>
      <c r="I162" s="131">
        <v>42589.286805555559</v>
      </c>
      <c r="J162" s="129">
        <v>0</v>
      </c>
      <c r="K162" s="25" t="str">
        <f t="shared" si="85"/>
        <v>4041/4042</v>
      </c>
      <c r="L162" s="25" t="str">
        <f>VLOOKUP(A162,'Trips&amp;Operators'!$C$1:$E$10000,3,FALSE)</f>
        <v>STARKS</v>
      </c>
      <c r="M162" s="6">
        <f t="shared" si="71"/>
        <v>7.3032407453865744E-3</v>
      </c>
      <c r="N162" s="7"/>
      <c r="O162" s="7"/>
      <c r="P162" s="7">
        <f>24*60*SUM($M162:$M162)</f>
        <v>10.516666673356667</v>
      </c>
      <c r="Q162" s="26"/>
      <c r="R162" s="26" t="s">
        <v>599</v>
      </c>
      <c r="S162" s="38">
        <f t="shared" si="72"/>
        <v>0</v>
      </c>
      <c r="T162" s="55" t="str">
        <f t="shared" si="73"/>
        <v>Southbound</v>
      </c>
      <c r="U162" s="14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2" s="57" t="str">
        <f t="shared" si="75"/>
        <v>Y</v>
      </c>
      <c r="X162" s="154">
        <f t="shared" si="84"/>
        <v>1</v>
      </c>
      <c r="Y162" s="72">
        <f>RIGHT(D162,LEN(D162)-4)/10000</f>
        <v>5.7351999999999999</v>
      </c>
      <c r="Z162" s="72">
        <f>RIGHT(H162,LEN(H162)-4)/10000</f>
        <v>1.1054999999999999</v>
      </c>
      <c r="AA162" s="72">
        <f t="shared" si="78"/>
        <v>4.6296999999999997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79"/>
        <v>1802-07</v>
      </c>
      <c r="AE162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2" s="107" t="str">
        <f t="shared" si="81"/>
        <v>"C:\Program Files (x86)\AstroGrep\AstroGrep.exe" /spath="%USERPROFILE%\AppData\Local\Temp\OnboardLogs" /stypes="*4041*20160807*" /stext=" 12:.+((SYSTEM_STATE.+slice.+state.+changed )|(ment ac)|(system.+state.+changed )|(\|lc)|(penalty)|(\[timeout)|(PRM\|1\|D)|(kpr)|(kdp))" /e /r /s</v>
      </c>
      <c r="AG162" s="1" t="str">
        <f t="shared" si="82"/>
        <v>NW</v>
      </c>
      <c r="AH162" s="111" t="str">
        <f t="shared" si="83"/>
        <v>"%USERPROFILE%\Documents\GitHub\eaglep3\Utilities\RefineRTDCRunTimes.py" --tripid 1802-07 --locoid 4041 --swversion DE.1.0.7.0 --startMP 300:57352 --initTime 2016-08-07T06:41:15 --startdatetime 2016-08-07T06:42:29 --delay 1 --endMP 300:11055 --enddatetime 2016-08-07T06:53:00 --enforcementcount 0</v>
      </c>
    </row>
    <row r="163" spans="1:34" x14ac:dyDescent="0.25">
      <c r="A163" s="25" t="s">
        <v>441</v>
      </c>
      <c r="B163" s="129">
        <v>4042</v>
      </c>
      <c r="C163" s="130" t="s">
        <v>147</v>
      </c>
      <c r="D163" s="130" t="s">
        <v>442</v>
      </c>
      <c r="E163" s="131">
        <v>42589.304490740738</v>
      </c>
      <c r="F163" s="131">
        <v>42589.30537037037</v>
      </c>
      <c r="G163" s="129">
        <v>1</v>
      </c>
      <c r="H163" s="131" t="s">
        <v>443</v>
      </c>
      <c r="I163" s="131">
        <v>42589.316319444442</v>
      </c>
      <c r="J163" s="129">
        <v>0</v>
      </c>
      <c r="K163" s="25" t="str">
        <f t="shared" si="85"/>
        <v>4041/4042</v>
      </c>
      <c r="L163" s="25" t="str">
        <f>VLOOKUP(A163,'Trips&amp;Operators'!$C$1:$E$10000,3,FALSE)</f>
        <v>STARKS</v>
      </c>
      <c r="M163" s="6">
        <f t="shared" si="71"/>
        <v>1.0949074072414078E-2</v>
      </c>
      <c r="N163" s="7">
        <f>24*60*SUM($M163:$M163)</f>
        <v>15.766666664276272</v>
      </c>
      <c r="O163" s="7"/>
      <c r="P163" s="7"/>
      <c r="Q163" s="26"/>
      <c r="R163" s="26"/>
      <c r="S163" s="38">
        <f t="shared" si="72"/>
        <v>1</v>
      </c>
      <c r="T163" s="55" t="str">
        <f t="shared" si="73"/>
        <v>NorthBound</v>
      </c>
      <c r="U163" s="14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3" s="57" t="str">
        <f t="shared" si="75"/>
        <v>N</v>
      </c>
      <c r="X163" s="154">
        <f t="shared" ref="X163:X168" si="86">VALUE(LEFT(AD163,4))-VALUE(LEFT(AD162,4))</f>
        <v>1</v>
      </c>
      <c r="Y163" s="72">
        <f t="shared" ref="Y163:Y166" si="87">RIGHT(D163,LEN(D163)-4)/10000</f>
        <v>9.5000000000000001E-2</v>
      </c>
      <c r="Z163" s="72">
        <f t="shared" ref="Z163:Z166" si="88">RIGHT(H163,LEN(H163)-4)/10000</f>
        <v>5.8929</v>
      </c>
      <c r="AA163" s="72">
        <f t="shared" si="78"/>
        <v>5.7979000000000003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79"/>
        <v>1803-07</v>
      </c>
      <c r="AE163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3" s="107" t="str">
        <f t="shared" si="81"/>
        <v>"C:\Program Files (x86)\AstroGrep\AstroGrep.exe" /spath="%USERPROFILE%\AppData\Local\Temp\OnboardLogs" /stypes="*4042*20160807*" /stext=" 13:.+((SYSTEM_STATE.+slice.+state.+changed )|(ment ac)|(system.+state.+changed )|(\|lc)|(penalty)|(\[timeout)|(PRM\|1\|D)|(kpr)|(kdp))" /e /r /s</v>
      </c>
      <c r="AG163" s="1" t="str">
        <f t="shared" si="82"/>
        <v>NW</v>
      </c>
      <c r="AH163" s="111" t="str">
        <f t="shared" si="83"/>
        <v>"%USERPROFILE%\Documents\GitHub\eaglep3\Utilities\RefineRTDCRunTimes.py" --tripid 1803-07 --locoid 4042 --swversion DE.1.0.7.0 --startMP 204:950 --initTime 2016-08-07T07:18:28 --startdatetime 2016-08-07T07:19:44 --delay 1 --endMP 300:58929 --enddatetime 2016-08-07T07:35:30 --enforcementcount 0</v>
      </c>
    </row>
    <row r="164" spans="1:34" s="24" customFormat="1" x14ac:dyDescent="0.25">
      <c r="A164" s="25" t="s">
        <v>602</v>
      </c>
      <c r="B164" s="129">
        <v>4041</v>
      </c>
      <c r="C164" s="130" t="s">
        <v>147</v>
      </c>
      <c r="D164" s="130" t="s">
        <v>442</v>
      </c>
      <c r="E164" s="131">
        <v>42589.304490740738</v>
      </c>
      <c r="F164" s="131">
        <v>42589.30537037037</v>
      </c>
      <c r="G164" s="129">
        <v>1</v>
      </c>
      <c r="H164" s="131" t="s">
        <v>443</v>
      </c>
      <c r="I164" s="131">
        <v>42589.305486111109</v>
      </c>
      <c r="J164" s="129">
        <v>0</v>
      </c>
      <c r="K164" s="25" t="str">
        <f t="shared" si="85"/>
        <v>4041/4042</v>
      </c>
      <c r="L164" s="138" t="s">
        <v>604</v>
      </c>
      <c r="M164" s="6">
        <f t="shared" si="71"/>
        <v>1.1574073869269341E-4</v>
      </c>
      <c r="N164" s="7"/>
      <c r="O164" s="7"/>
      <c r="P164" s="7">
        <f>24*60*SUM($M164:$M164)</f>
        <v>0.16666666371747851</v>
      </c>
      <c r="Q164" s="26"/>
      <c r="R164" s="26" t="s">
        <v>603</v>
      </c>
      <c r="S164" s="38">
        <f t="shared" si="72"/>
        <v>0</v>
      </c>
      <c r="T164" s="55" t="str">
        <f t="shared" si="73"/>
        <v>Southbound</v>
      </c>
      <c r="U164" s="14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4" s="57" t="str">
        <f t="shared" si="75"/>
        <v>Y</v>
      </c>
      <c r="X164" s="154">
        <f t="shared" si="86"/>
        <v>1</v>
      </c>
      <c r="Y164" s="72">
        <f t="shared" ref="Y164" si="89">RIGHT(D164,LEN(D164)-4)/10000</f>
        <v>9.5000000000000001E-2</v>
      </c>
      <c r="Z164" s="72">
        <v>9.5000000000000001E-2</v>
      </c>
      <c r="AA164" s="72">
        <f t="shared" si="78"/>
        <v>0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79"/>
        <v>1804-07</v>
      </c>
      <c r="AE164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4" s="107" t="str">
        <f t="shared" si="81"/>
        <v>"C:\Program Files (x86)\AstroGrep\AstroGrep.exe" /spath="%USERPROFILE%\AppData\Local\Temp\OnboardLogs" /stypes="*4041*20160807*" /stext=" 13:.+((SYSTEM_STATE.+slice.+state.+changed )|(ment ac)|(system.+state.+changed )|(\|lc)|(penalty)|(\[timeout)|(PRM\|1\|D)|(kpr)|(kdp))" /e /r /s</v>
      </c>
      <c r="AG164" s="1" t="str">
        <f t="shared" si="82"/>
        <v>NW</v>
      </c>
      <c r="AH164" s="111" t="str">
        <f t="shared" si="83"/>
        <v>"%USERPROFILE%\Documents\GitHub\eaglep3\Utilities\RefineRTDCRunTimes.py" --tripid 1804-07 --locoid 4041 --swversion DE.1.0.7.0 --startMP 204:950 --initTime 2016-08-07T07:18:28 --startdatetime 2016-08-07T07:19:44 --delay 1 --endMP 300:58929 --enddatetime 2016-08-07T07:19:54 --enforcementcount 0</v>
      </c>
    </row>
    <row r="165" spans="1:34" x14ac:dyDescent="0.25">
      <c r="A165" s="25" t="s">
        <v>444</v>
      </c>
      <c r="B165" s="129">
        <v>4042</v>
      </c>
      <c r="C165" s="130" t="s">
        <v>147</v>
      </c>
      <c r="D165" s="130" t="s">
        <v>445</v>
      </c>
      <c r="E165" s="131">
        <v>42589.344965277778</v>
      </c>
      <c r="F165" s="131">
        <v>42589.346076388887</v>
      </c>
      <c r="G165" s="129">
        <v>1</v>
      </c>
      <c r="H165" s="131" t="s">
        <v>446</v>
      </c>
      <c r="I165" s="131">
        <v>42589.357812499999</v>
      </c>
      <c r="J165" s="129">
        <v>0</v>
      </c>
      <c r="K165" s="25" t="str">
        <f t="shared" si="85"/>
        <v>4041/4042</v>
      </c>
      <c r="L165" s="25" t="str">
        <f>VLOOKUP(A165,'Trips&amp;Operators'!$C$1:$E$10000,3,FALSE)</f>
        <v>STARKS</v>
      </c>
      <c r="M165" s="6">
        <f t="shared" si="71"/>
        <v>1.17361111115315E-2</v>
      </c>
      <c r="N165" s="7">
        <f t="shared" ref="N165:N201" si="90">24*60*SUM($M165:$M165)</f>
        <v>16.90000000060536</v>
      </c>
      <c r="O165" s="7"/>
      <c r="P165" s="7"/>
      <c r="Q165" s="26"/>
      <c r="R165" s="26"/>
      <c r="S165" s="38">
        <f t="shared" si="72"/>
        <v>1</v>
      </c>
      <c r="T165" s="55" t="str">
        <f t="shared" si="73"/>
        <v>NorthBound</v>
      </c>
      <c r="U165" s="14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07:16:45-0600',mode:absolute,to:'2016-08-07 09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5" s="57" t="str">
        <f t="shared" si="75"/>
        <v>N</v>
      </c>
      <c r="X165" s="154">
        <f t="shared" si="86"/>
        <v>1</v>
      </c>
      <c r="Y165" s="72">
        <f t="shared" si="87"/>
        <v>9.4399999999999998E-2</v>
      </c>
      <c r="Z165" s="72">
        <f t="shared" si="88"/>
        <v>5.8925999999999998</v>
      </c>
      <c r="AA165" s="72">
        <f t="shared" si="78"/>
        <v>5.7981999999999996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79"/>
        <v>1805-07</v>
      </c>
      <c r="AE165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5" s="107" t="str">
        <f t="shared" si="81"/>
        <v>"C:\Program Files (x86)\AstroGrep\AstroGrep.exe" /spath="%USERPROFILE%\AppData\Local\Temp\OnboardLogs" /stypes="*4042*20160807*" /stext=" 14:.+((SYSTEM_STATE.+slice.+state.+changed )|(ment ac)|(system.+state.+changed )|(\|lc)|(penalty)|(\[timeout)|(PRM\|1\|D)|(kpr)|(kdp))" /e /r /s</v>
      </c>
      <c r="AG165" s="1" t="str">
        <f t="shared" si="82"/>
        <v>NW</v>
      </c>
      <c r="AH165" s="111" t="str">
        <f t="shared" si="83"/>
        <v>"%USERPROFILE%\Documents\GitHub\eaglep3\Utilities\RefineRTDCRunTimes.py" --tripid 1805-07 --locoid 4042 --swversion DE.1.0.7.0 --startMP 204:944 --initTime 2016-08-07T08:16:45 --startdatetime 2016-08-07T08:18:21 --delay 1 --endMP 300:58926 --enddatetime 2016-08-07T08:35:15 --enforcementcount 0</v>
      </c>
    </row>
    <row r="166" spans="1:34" x14ac:dyDescent="0.25">
      <c r="A166" s="25" t="s">
        <v>303</v>
      </c>
      <c r="B166" s="129">
        <v>4041</v>
      </c>
      <c r="C166" s="130" t="s">
        <v>147</v>
      </c>
      <c r="D166" s="130" t="s">
        <v>447</v>
      </c>
      <c r="E166" s="131">
        <v>42589.359791666669</v>
      </c>
      <c r="F166" s="131">
        <v>42589.360995370371</v>
      </c>
      <c r="G166" s="129">
        <v>1</v>
      </c>
      <c r="H166" s="131" t="s">
        <v>448</v>
      </c>
      <c r="I166" s="131">
        <v>42589.372291666667</v>
      </c>
      <c r="J166" s="129">
        <v>1</v>
      </c>
      <c r="K166" s="25" t="str">
        <f t="shared" si="85"/>
        <v>4041/4042</v>
      </c>
      <c r="L166" s="25" t="str">
        <f>VLOOKUP(A166,'Trips&amp;Operators'!$C$1:$E$10000,3,FALSE)</f>
        <v>STARKS</v>
      </c>
      <c r="M166" s="6">
        <f t="shared" si="71"/>
        <v>1.1296296295768116E-2</v>
      </c>
      <c r="N166" s="7">
        <f t="shared" si="90"/>
        <v>16.266666665906087</v>
      </c>
      <c r="O166" s="7"/>
      <c r="P166" s="7"/>
      <c r="Q166" s="26"/>
      <c r="R166" s="26"/>
      <c r="S166" s="38">
        <f t="shared" si="72"/>
        <v>1</v>
      </c>
      <c r="T166" s="55" t="str">
        <f t="shared" si="73"/>
        <v>Southbound</v>
      </c>
      <c r="U166" s="14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6" s="57" t="str">
        <f t="shared" si="75"/>
        <v>N</v>
      </c>
      <c r="X166" s="154">
        <f t="shared" si="86"/>
        <v>1</v>
      </c>
      <c r="Y166" s="72">
        <f t="shared" si="87"/>
        <v>5.8615000000000004</v>
      </c>
      <c r="Z166" s="72">
        <f t="shared" si="88"/>
        <v>7.22E-2</v>
      </c>
      <c r="AA166" s="72">
        <f t="shared" si="78"/>
        <v>5.7893000000000008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79"/>
        <v>1806-07</v>
      </c>
      <c r="AE166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6" s="107" t="str">
        <f t="shared" si="81"/>
        <v>"C:\Program Files (x86)\AstroGrep\AstroGrep.exe" /spath="%USERPROFILE%\AppData\Local\Temp\OnboardLogs" /stypes="*4041*20160807*" /stext=" 14:.+((SYSTEM_STATE.+slice.+state.+changed )|(ment ac)|(system.+state.+changed )|(\|lc)|(penalty)|(\[timeout)|(PRM\|1\|D)|(kpr)|(kdp))" /e /r /s</v>
      </c>
      <c r="AG166" s="1" t="str">
        <f t="shared" si="82"/>
        <v>NW</v>
      </c>
      <c r="AH166" s="111" t="str">
        <f t="shared" si="83"/>
        <v>"%USERPROFILE%\Documents\GitHub\eaglep3\Utilities\RefineRTDCRunTimes.py" --tripid 1806-07 --locoid 4041 --swversion DE.1.0.7.0 --startMP 300:58615 --initTime 2016-08-07T08:38:06 --startdatetime 2016-08-07T08:39:50 --delay 1 --endMP 204:722 --enddatetime 2016-08-07T08:56:06 --enforcementcount 1</v>
      </c>
    </row>
    <row r="167" spans="1:34" x14ac:dyDescent="0.25">
      <c r="A167" s="25" t="s">
        <v>449</v>
      </c>
      <c r="B167" s="129">
        <v>4042</v>
      </c>
      <c r="C167" s="130" t="s">
        <v>147</v>
      </c>
      <c r="D167" s="130" t="s">
        <v>450</v>
      </c>
      <c r="E167" s="131">
        <v>42589.385706018518</v>
      </c>
      <c r="F167" s="131">
        <v>42589.38652777778</v>
      </c>
      <c r="G167" s="129">
        <v>1</v>
      </c>
      <c r="H167" s="131" t="s">
        <v>451</v>
      </c>
      <c r="I167" s="131">
        <v>42589.399618055555</v>
      </c>
      <c r="J167" s="129">
        <v>0</v>
      </c>
      <c r="K167" s="25" t="str">
        <f t="shared" si="85"/>
        <v>4041/4042</v>
      </c>
      <c r="L167" s="25" t="str">
        <f>VLOOKUP(A167,'Trips&amp;Operators'!$C$1:$E$10000,3,FALSE)</f>
        <v>STARKS</v>
      </c>
      <c r="M167" s="6">
        <f t="shared" si="71"/>
        <v>1.3090277774608694E-2</v>
      </c>
      <c r="N167" s="7">
        <f t="shared" si="90"/>
        <v>18.849999995436519</v>
      </c>
      <c r="O167" s="7"/>
      <c r="P167" s="7"/>
      <c r="Q167" s="26"/>
      <c r="R167" s="26"/>
      <c r="S167" s="38">
        <f t="shared" si="72"/>
        <v>1</v>
      </c>
      <c r="T167" s="55" t="str">
        <f t="shared" si="73"/>
        <v>NorthBound</v>
      </c>
      <c r="U167" s="14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08:15:25-0600',mode:absolute,to:'2016-08-07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7" s="57" t="str">
        <f t="shared" si="75"/>
        <v>N</v>
      </c>
      <c r="X167" s="154">
        <f t="shared" si="86"/>
        <v>1</v>
      </c>
      <c r="Y167" s="72">
        <f t="shared" ref="Y167:Y201" si="91">RIGHT(D167,LEN(D167)-4)/10000</f>
        <v>0.1014</v>
      </c>
      <c r="Z167" s="72">
        <f t="shared" ref="Z167:Z201" si="92">RIGHT(H167,LEN(H167)-4)/10000</f>
        <v>5.8921999999999999</v>
      </c>
      <c r="AA167" s="72">
        <f t="shared" si="78"/>
        <v>5.7907999999999999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79"/>
        <v>1807-07</v>
      </c>
      <c r="AE167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7" s="107" t="str">
        <f t="shared" si="81"/>
        <v>"C:\Program Files (x86)\AstroGrep\AstroGrep.exe" /spath="%USERPROFILE%\AppData\Local\Temp\OnboardLogs" /stypes="*4042*20160807*" /stext=" 15:.+((SYSTEM_STATE.+slice.+state.+changed )|(ment ac)|(system.+state.+changed )|(\|lc)|(penalty)|(\[timeout)|(PRM\|1\|D)|(kpr)|(kdp))" /e /r /s</v>
      </c>
      <c r="AG167" s="1" t="str">
        <f t="shared" si="82"/>
        <v>NW</v>
      </c>
      <c r="AH167" s="111" t="str">
        <f t="shared" si="83"/>
        <v>"%USERPROFILE%\Documents\GitHub\eaglep3\Utilities\RefineRTDCRunTimes.py" --tripid 1807-07 --locoid 4042 --swversion DE.1.0.7.0 --startMP 204:1014 --initTime 2016-08-07T09:15:25 --startdatetime 2016-08-07T09:16:36 --delay 1 --endMP 300:58922 --enddatetime 2016-08-07T09:35:27 --enforcementcount 0</v>
      </c>
    </row>
    <row r="168" spans="1:34" x14ac:dyDescent="0.25">
      <c r="A168" s="25" t="s">
        <v>305</v>
      </c>
      <c r="B168" s="129">
        <v>4041</v>
      </c>
      <c r="C168" s="130" t="s">
        <v>147</v>
      </c>
      <c r="D168" s="130" t="s">
        <v>452</v>
      </c>
      <c r="E168" s="131">
        <v>42589.400509259256</v>
      </c>
      <c r="F168" s="131">
        <v>42589.401643518519</v>
      </c>
      <c r="G168" s="129">
        <v>1</v>
      </c>
      <c r="H168" s="131" t="s">
        <v>453</v>
      </c>
      <c r="I168" s="131">
        <v>42589.414652777778</v>
      </c>
      <c r="J168" s="129">
        <v>2</v>
      </c>
      <c r="K168" s="25" t="str">
        <f t="shared" si="85"/>
        <v>4041/4042</v>
      </c>
      <c r="L168" s="25" t="str">
        <f>VLOOKUP(A168,'Trips&amp;Operators'!$C$1:$E$10000,3,FALSE)</f>
        <v>STARKS</v>
      </c>
      <c r="M168" s="6">
        <f t="shared" si="71"/>
        <v>1.3009259258979E-2</v>
      </c>
      <c r="N168" s="7">
        <f t="shared" si="90"/>
        <v>18.73333333292976</v>
      </c>
      <c r="O168" s="7"/>
      <c r="P168" s="7"/>
      <c r="Q168" s="26"/>
      <c r="R168" s="26"/>
      <c r="S168" s="38">
        <f t="shared" si="72"/>
        <v>1</v>
      </c>
      <c r="T168" s="55" t="str">
        <f t="shared" si="73"/>
        <v>Southbound</v>
      </c>
      <c r="U168" s="14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8" s="57" t="str">
        <f t="shared" si="75"/>
        <v>N</v>
      </c>
      <c r="X168" s="154">
        <f t="shared" si="86"/>
        <v>1</v>
      </c>
      <c r="Y168" s="72">
        <f t="shared" si="91"/>
        <v>5.8611000000000004</v>
      </c>
      <c r="Z168" s="72">
        <f t="shared" si="92"/>
        <v>6.6400000000000001E-2</v>
      </c>
      <c r="AA168" s="72">
        <f t="shared" si="78"/>
        <v>5.7947000000000006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79"/>
        <v>1808-07</v>
      </c>
      <c r="AE168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8" s="107" t="str">
        <f t="shared" si="81"/>
        <v>"C:\Program Files (x86)\AstroGrep\AstroGrep.exe" /spath="%USERPROFILE%\AppData\Local\Temp\OnboardLogs" /stypes="*4041*20160807*" /stext=" 15:.+((SYSTEM_STATE.+slice.+state.+changed )|(ment ac)|(system.+state.+changed )|(\|lc)|(penalty)|(\[timeout)|(PRM\|1\|D)|(kpr)|(kdp))" /e /r /s</v>
      </c>
      <c r="AG168" s="1" t="str">
        <f t="shared" si="82"/>
        <v>NW</v>
      </c>
      <c r="AH168" s="111" t="str">
        <f t="shared" si="83"/>
        <v>"%USERPROFILE%\Documents\GitHub\eaglep3\Utilities\RefineRTDCRunTimes.py" --tripid 1808-07 --locoid 4041 --swversion DE.1.0.7.0 --startMP 300:58611 --initTime 2016-08-07T09:36:44 --startdatetime 2016-08-07T09:38:22 --delay 1 --endMP 204:664 --enddatetime 2016-08-07T09:57:06 --enforcementcount 2</v>
      </c>
    </row>
    <row r="169" spans="1:34" x14ac:dyDescent="0.25">
      <c r="A169" s="25" t="s">
        <v>309</v>
      </c>
      <c r="B169" s="129">
        <v>4042</v>
      </c>
      <c r="C169" s="130" t="s">
        <v>147</v>
      </c>
      <c r="D169" s="130" t="s">
        <v>454</v>
      </c>
      <c r="E169" s="131">
        <v>42589.43041666667</v>
      </c>
      <c r="F169" s="131">
        <v>42589.431168981479</v>
      </c>
      <c r="G169" s="129">
        <v>1</v>
      </c>
      <c r="H169" s="131" t="s">
        <v>252</v>
      </c>
      <c r="I169" s="131">
        <v>42589.442511574074</v>
      </c>
      <c r="J169" s="129">
        <v>2</v>
      </c>
      <c r="K169" s="25" t="str">
        <f t="shared" si="85"/>
        <v>4041/4042</v>
      </c>
      <c r="L169" s="25" t="str">
        <f>VLOOKUP(A169,'Trips&amp;Operators'!$C$1:$E$10000,3,FALSE)</f>
        <v>STARKS</v>
      </c>
      <c r="M169" s="6">
        <f t="shared" si="71"/>
        <v>1.1342592595610768E-2</v>
      </c>
      <c r="N169" s="7">
        <f t="shared" si="90"/>
        <v>16.333333337679505</v>
      </c>
      <c r="O169" s="7"/>
      <c r="P169" s="7"/>
      <c r="Q169" s="26"/>
      <c r="R169" s="26"/>
      <c r="S169" s="38">
        <f t="shared" si="72"/>
        <v>1</v>
      </c>
      <c r="T169" s="55" t="str">
        <f t="shared" si="73"/>
        <v>NorthBound</v>
      </c>
      <c r="U169" s="14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9" s="57" t="str">
        <f t="shared" si="75"/>
        <v>N</v>
      </c>
      <c r="X169" s="154">
        <f t="shared" ref="X169:X201" si="93">VALUE(LEFT(AD169,4))-VALUE(LEFT(AD168,4))</f>
        <v>1</v>
      </c>
      <c r="Y169" s="72">
        <f t="shared" si="91"/>
        <v>9.7100000000000006E-2</v>
      </c>
      <c r="Z169" s="72">
        <f t="shared" si="92"/>
        <v>5.8916000000000004</v>
      </c>
      <c r="AA169" s="72">
        <f t="shared" si="78"/>
        <v>5.7945000000000002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79"/>
        <v>1809-07</v>
      </c>
      <c r="AE169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9" s="107" t="str">
        <f t="shared" si="81"/>
        <v>"C:\Program Files (x86)\AstroGrep\AstroGrep.exe" /spath="%USERPROFILE%\AppData\Local\Temp\OnboardLogs" /stypes="*4042*20160807*" /stext=" 16:.+((SYSTEM_STATE.+slice.+state.+changed )|(ment ac)|(system.+state.+changed )|(\|lc)|(penalty)|(\[timeout)|(PRM\|1\|D)|(kpr)|(kdp))" /e /r /s</v>
      </c>
      <c r="AG169" s="1" t="str">
        <f t="shared" si="82"/>
        <v>NW</v>
      </c>
      <c r="AH169" s="111" t="str">
        <f t="shared" si="83"/>
        <v>"%USERPROFILE%\Documents\GitHub\eaglep3\Utilities\RefineRTDCRunTimes.py" --tripid 1809-07 --locoid 4042 --swversion DE.1.0.7.0 --startMP 204:971 --initTime 2016-08-07T10:19:48 --startdatetime 2016-08-07T10:20:53 --delay 1 --endMP 300:58916 --enddatetime 2016-08-07T10:37:13 --enforcementcount 2</v>
      </c>
    </row>
    <row r="170" spans="1:34" x14ac:dyDescent="0.25">
      <c r="A170" s="25" t="s">
        <v>310</v>
      </c>
      <c r="B170" s="129">
        <v>4041</v>
      </c>
      <c r="C170" s="130" t="s">
        <v>147</v>
      </c>
      <c r="D170" s="130" t="s">
        <v>434</v>
      </c>
      <c r="E170" s="131">
        <v>42589.443449074075</v>
      </c>
      <c r="F170" s="131">
        <v>42589.444247685184</v>
      </c>
      <c r="G170" s="129">
        <v>1</v>
      </c>
      <c r="H170" s="131" t="s">
        <v>456</v>
      </c>
      <c r="I170" s="131">
        <v>42589.455891203703</v>
      </c>
      <c r="J170" s="129">
        <v>1</v>
      </c>
      <c r="K170" s="25" t="str">
        <f t="shared" si="85"/>
        <v>4041/4042</v>
      </c>
      <c r="L170" s="25" t="str">
        <f>VLOOKUP(A170,'Trips&amp;Operators'!$C$1:$E$10000,3,FALSE)</f>
        <v>STARKS</v>
      </c>
      <c r="M170" s="6">
        <f t="shared" si="71"/>
        <v>1.1643518519122154E-2</v>
      </c>
      <c r="N170" s="7">
        <f t="shared" si="90"/>
        <v>16.766666667535901</v>
      </c>
      <c r="O170" s="7"/>
      <c r="P170" s="7"/>
      <c r="Q170" s="26"/>
      <c r="R170" s="26"/>
      <c r="S170" s="38">
        <f t="shared" si="72"/>
        <v>1</v>
      </c>
      <c r="T170" s="55" t="str">
        <f t="shared" si="73"/>
        <v>Southbound</v>
      </c>
      <c r="U170" s="14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0" s="57" t="str">
        <f t="shared" si="75"/>
        <v>N</v>
      </c>
      <c r="X170" s="154">
        <f t="shared" si="93"/>
        <v>1</v>
      </c>
      <c r="Y170" s="72">
        <f t="shared" si="91"/>
        <v>5.8604000000000003</v>
      </c>
      <c r="Z170" s="72">
        <f t="shared" si="92"/>
        <v>7.5499999999999998E-2</v>
      </c>
      <c r="AA170" s="72">
        <f t="shared" si="78"/>
        <v>5.7849000000000004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79"/>
        <v>1810-07</v>
      </c>
      <c r="AE170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0" s="107" t="str">
        <f t="shared" si="81"/>
        <v>"C:\Program Files (x86)\AstroGrep\AstroGrep.exe" /spath="%USERPROFILE%\AppData\Local\Temp\OnboardLogs" /stypes="*4041*20160807*" /stext=" 16:.+((SYSTEM_STATE.+slice.+state.+changed )|(ment ac)|(system.+state.+changed )|(\|lc)|(penalty)|(\[timeout)|(PRM\|1\|D)|(kpr)|(kdp))" /e /r /s</v>
      </c>
      <c r="AG170" s="1" t="str">
        <f t="shared" si="82"/>
        <v>NW</v>
      </c>
      <c r="AH170" s="111" t="str">
        <f t="shared" si="83"/>
        <v>"%USERPROFILE%\Documents\GitHub\eaglep3\Utilities\RefineRTDCRunTimes.py" --tripid 1810-07 --locoid 4041 --swversion DE.1.0.7.0 --startMP 300:58604 --initTime 2016-08-07T10:38:34 --startdatetime 2016-08-07T10:39:43 --delay 1 --endMP 204:755 --enddatetime 2016-08-07T10:56:29 --enforcementcount 1</v>
      </c>
    </row>
    <row r="171" spans="1:34" x14ac:dyDescent="0.25">
      <c r="A171" s="25" t="s">
        <v>312</v>
      </c>
      <c r="B171" s="129">
        <v>4042</v>
      </c>
      <c r="C171" s="130" t="s">
        <v>147</v>
      </c>
      <c r="D171" s="130" t="s">
        <v>457</v>
      </c>
      <c r="E171" s="131">
        <v>42589.469699074078</v>
      </c>
      <c r="F171" s="131">
        <v>42589.470914351848</v>
      </c>
      <c r="G171" s="129">
        <v>1</v>
      </c>
      <c r="H171" s="131" t="s">
        <v>446</v>
      </c>
      <c r="I171" s="131">
        <v>42589.483668981484</v>
      </c>
      <c r="J171" s="129">
        <v>1</v>
      </c>
      <c r="K171" s="25" t="str">
        <f t="shared" si="85"/>
        <v>4041/4042</v>
      </c>
      <c r="L171" s="25" t="str">
        <f>VLOOKUP(A171,'Trips&amp;Operators'!$C$1:$E$10000,3,FALSE)</f>
        <v>STARKS</v>
      </c>
      <c r="M171" s="6">
        <f t="shared" si="71"/>
        <v>1.2754629635310266E-2</v>
      </c>
      <c r="N171" s="7">
        <f t="shared" si="90"/>
        <v>18.366666674846783</v>
      </c>
      <c r="O171" s="7"/>
      <c r="P171" s="7"/>
      <c r="Q171" s="26"/>
      <c r="R171" s="26"/>
      <c r="S171" s="38">
        <f t="shared" si="72"/>
        <v>1</v>
      </c>
      <c r="T171" s="55" t="str">
        <f t="shared" si="73"/>
        <v>NorthBound</v>
      </c>
      <c r="U171" s="14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1" s="57" t="str">
        <f t="shared" si="75"/>
        <v>N</v>
      </c>
      <c r="X171" s="154">
        <f t="shared" si="93"/>
        <v>1</v>
      </c>
      <c r="Y171" s="72">
        <f t="shared" si="91"/>
        <v>0.10340000000000001</v>
      </c>
      <c r="Z171" s="72">
        <f t="shared" si="92"/>
        <v>5.8925999999999998</v>
      </c>
      <c r="AA171" s="72">
        <f t="shared" si="78"/>
        <v>5.7892000000000001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79"/>
        <v>1811-07</v>
      </c>
      <c r="AE171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1" s="107" t="str">
        <f t="shared" si="81"/>
        <v>"C:\Program Files (x86)\AstroGrep\AstroGrep.exe" /spath="%USERPROFILE%\AppData\Local\Temp\OnboardLogs" /stypes="*4042*20160807*" /stext=" 17:.+((SYSTEM_STATE.+slice.+state.+changed )|(ment ac)|(system.+state.+changed )|(\|lc)|(penalty)|(\[timeout)|(PRM\|1\|D)|(kpr)|(kdp))" /e /r /s</v>
      </c>
      <c r="AG171" s="1" t="str">
        <f t="shared" si="82"/>
        <v>NW</v>
      </c>
      <c r="AH171" s="111" t="str">
        <f t="shared" si="83"/>
        <v>"%USERPROFILE%\Documents\GitHub\eaglep3\Utilities\RefineRTDCRunTimes.py" --tripid 1811-07 --locoid 4042 --swversion DE.1.0.7.0 --startMP 204:1034 --initTime 2016-08-07T11:16:22 --startdatetime 2016-08-07T11:18:07 --delay 1 --endMP 300:58926 --enddatetime 2016-08-07T11:36:29 --enforcementcount 1</v>
      </c>
    </row>
    <row r="172" spans="1:34" x14ac:dyDescent="0.25">
      <c r="A172" s="25" t="s">
        <v>458</v>
      </c>
      <c r="B172" s="129">
        <v>4041</v>
      </c>
      <c r="C172" s="130" t="s">
        <v>147</v>
      </c>
      <c r="D172" s="130" t="s">
        <v>251</v>
      </c>
      <c r="E172" s="131">
        <v>42589.4844212963</v>
      </c>
      <c r="F172" s="131">
        <v>42589.48537037037</v>
      </c>
      <c r="G172" s="129">
        <v>1</v>
      </c>
      <c r="H172" s="131" t="s">
        <v>459</v>
      </c>
      <c r="I172" s="131">
        <v>42589.497881944444</v>
      </c>
      <c r="J172" s="129">
        <v>0</v>
      </c>
      <c r="K172" s="25" t="str">
        <f t="shared" si="85"/>
        <v>4041/4042</v>
      </c>
      <c r="L172" s="25" t="str">
        <f>VLOOKUP(A172,'Trips&amp;Operators'!$C$1:$E$10000,3,FALSE)</f>
        <v>STARKS</v>
      </c>
      <c r="M172" s="6">
        <f t="shared" si="71"/>
        <v>1.2511574073869269E-2</v>
      </c>
      <c r="N172" s="7">
        <f t="shared" si="90"/>
        <v>18.016666666371748</v>
      </c>
      <c r="O172" s="7"/>
      <c r="P172" s="7"/>
      <c r="Q172" s="26"/>
      <c r="R172" s="26"/>
      <c r="S172" s="38">
        <f t="shared" si="72"/>
        <v>1</v>
      </c>
      <c r="T172" s="55" t="str">
        <f t="shared" si="73"/>
        <v>Southbound</v>
      </c>
      <c r="U172" s="14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10:37:34-0600',mode:absolute,to:'2016-08-07 12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2" s="57" t="str">
        <f t="shared" si="75"/>
        <v>N</v>
      </c>
      <c r="X172" s="154">
        <f t="shared" si="93"/>
        <v>1</v>
      </c>
      <c r="Y172" s="72">
        <f t="shared" si="91"/>
        <v>5.8597999999999999</v>
      </c>
      <c r="Z172" s="72">
        <f t="shared" si="92"/>
        <v>8.6900000000000005E-2</v>
      </c>
      <c r="AA172" s="72">
        <f t="shared" si="78"/>
        <v>5.7728999999999999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79"/>
        <v>1812-07</v>
      </c>
      <c r="AE172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2" s="107" t="str">
        <f t="shared" si="81"/>
        <v>"C:\Program Files (x86)\AstroGrep\AstroGrep.exe" /spath="%USERPROFILE%\AppData\Local\Temp\OnboardLogs" /stypes="*4041*20160807*" /stext=" 17:.+((SYSTEM_STATE.+slice.+state.+changed )|(ment ac)|(system.+state.+changed )|(\|lc)|(penalty)|(\[timeout)|(PRM\|1\|D)|(kpr)|(kdp))" /e /r /s</v>
      </c>
      <c r="AG172" s="1" t="str">
        <f t="shared" si="82"/>
        <v>NW</v>
      </c>
      <c r="AH172" s="111" t="str">
        <f t="shared" si="83"/>
        <v>"%USERPROFILE%\Documents\GitHub\eaglep3\Utilities\RefineRTDCRunTimes.py" --tripid 1812-07 --locoid 4041 --swversion DE.1.0.7.0 --startMP 300:58598 --initTime 2016-08-07T11:37:34 --startdatetime 2016-08-07T11:38:56 --delay 1 --endMP 204:869 --enddatetime 2016-08-07T11:56:57 --enforcementcount 0</v>
      </c>
    </row>
    <row r="173" spans="1:34" x14ac:dyDescent="0.25">
      <c r="A173" s="25" t="s">
        <v>313</v>
      </c>
      <c r="B173" s="129">
        <v>4042</v>
      </c>
      <c r="C173" s="130" t="s">
        <v>147</v>
      </c>
      <c r="D173" s="130" t="s">
        <v>460</v>
      </c>
      <c r="E173" s="131">
        <v>42589.511481481481</v>
      </c>
      <c r="F173" s="131">
        <v>42589.512372685182</v>
      </c>
      <c r="G173" s="129">
        <v>1</v>
      </c>
      <c r="H173" s="131" t="s">
        <v>461</v>
      </c>
      <c r="I173" s="131">
        <v>42589.525810185187</v>
      </c>
      <c r="J173" s="129">
        <v>1</v>
      </c>
      <c r="K173" s="25" t="str">
        <f t="shared" si="85"/>
        <v>4041/4042</v>
      </c>
      <c r="L173" s="25" t="str">
        <f>VLOOKUP(A173,'Trips&amp;Operators'!$C$1:$E$10000,3,FALSE)</f>
        <v>STARKS</v>
      </c>
      <c r="M173" s="6">
        <f t="shared" ref="M173:M201" si="94">I173-F173</f>
        <v>1.3437500005238689E-2</v>
      </c>
      <c r="N173" s="7">
        <f t="shared" si="90"/>
        <v>19.350000007543713</v>
      </c>
      <c r="O173" s="7"/>
      <c r="P173" s="7"/>
      <c r="Q173" s="26"/>
      <c r="R173" s="26"/>
      <c r="S173" s="38">
        <f t="shared" ref="S173:S201" si="95">SUM(U173:U173)/IF(AG173="EC",12,1)</f>
        <v>1</v>
      </c>
      <c r="T173" s="55" t="str">
        <f t="shared" ref="T173:T201" si="96">IF(ISEVEN(LEFT(AD173,4)),"Southbound","NorthBound")</f>
        <v>NorthBound</v>
      </c>
      <c r="U173" s="14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7" t="str">
        <f t="shared" ref="V173:V201" si="97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3" s="57" t="str">
        <f t="shared" ref="W173:W201" si="98">IF(AA173&lt;IF(AG173="EC",23,5.65),"Y","N")</f>
        <v>N</v>
      </c>
      <c r="X173" s="154">
        <f t="shared" si="93"/>
        <v>1</v>
      </c>
      <c r="Y173" s="72">
        <f t="shared" si="91"/>
        <v>0.1168</v>
      </c>
      <c r="Z173" s="72">
        <f t="shared" si="92"/>
        <v>5.8935000000000004</v>
      </c>
      <c r="AA173" s="72">
        <f t="shared" ref="AA173:AA201" si="99">ABS(Z173-Y173)</f>
        <v>5.7767000000000008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ref="AD173:AD201" si="100">IF(LEN(A173)=6,"0"&amp;A173,A173)</f>
        <v>1813-07</v>
      </c>
      <c r="AE173" s="110" t="str">
        <f t="shared" ref="AE173:AE201" si="101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3" s="107" t="str">
        <f t="shared" ref="AF173:AF201" si="102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/stypes="*4042*20160807*" /stext=" 18:.+((SYSTEM_STATE.+slice.+state.+changed )|(ment ac)|(system.+state.+changed )|(\|lc)|(penalty)|(\[timeout)|(PRM\|1\|D)|(kpr)|(kdp))" /e /r /s</v>
      </c>
      <c r="AG173" s="1" t="str">
        <f t="shared" ref="AG173:AG201" si="103">IF(VALUE(LEFT(AD173,2))&lt;=2,"EC",IF(OR(VALUE(LEFT(AD173,2))=8,VALUE(LEFT(AD173,2))=18),"NW","Other"))</f>
        <v>NW</v>
      </c>
      <c r="AH173" s="111" t="str">
        <f t="shared" ref="AH173:AH201" si="104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</f>
        <v>"%USERPROFILE%\Documents\GitHub\eaglep3\Utilities\RefineRTDCRunTimes.py" --tripid 1813-07 --locoid 4042 --swversion DE.1.0.7.0 --startMP 204:1168 --initTime 2016-08-07T12:16:32 --startdatetime 2016-08-07T12:17:49 --delay 1 --endMP 300:58935 --enddatetime 2016-08-07T12:37:10 --enforcementcount 1</v>
      </c>
    </row>
    <row r="174" spans="1:34" x14ac:dyDescent="0.25">
      <c r="A174" s="25" t="s">
        <v>314</v>
      </c>
      <c r="B174" s="129">
        <v>4041</v>
      </c>
      <c r="C174" s="130" t="s">
        <v>147</v>
      </c>
      <c r="D174" s="130" t="s">
        <v>462</v>
      </c>
      <c r="E174" s="131">
        <v>42589.526898148149</v>
      </c>
      <c r="F174" s="131">
        <v>42589.527638888889</v>
      </c>
      <c r="G174" s="129">
        <v>1</v>
      </c>
      <c r="H174" s="131" t="s">
        <v>463</v>
      </c>
      <c r="I174" s="131">
        <v>42589.539293981485</v>
      </c>
      <c r="J174" s="129">
        <v>1</v>
      </c>
      <c r="K174" s="25" t="str">
        <f t="shared" si="85"/>
        <v>4041/4042</v>
      </c>
      <c r="L174" s="25" t="str">
        <f>VLOOKUP(A174,'Trips&amp;Operators'!$C$1:$E$10000,3,FALSE)</f>
        <v>STARKS</v>
      </c>
      <c r="M174" s="6">
        <f t="shared" si="94"/>
        <v>1.1655092595901806E-2</v>
      </c>
      <c r="N174" s="7">
        <f t="shared" si="90"/>
        <v>16.783333338098601</v>
      </c>
      <c r="O174" s="7"/>
      <c r="P174" s="7"/>
      <c r="Q174" s="26"/>
      <c r="R174" s="26"/>
      <c r="S174" s="38">
        <f t="shared" si="95"/>
        <v>1</v>
      </c>
      <c r="T174" s="55" t="str">
        <f t="shared" si="96"/>
        <v>Southbound</v>
      </c>
      <c r="U174" s="14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4" s="57" t="str">
        <f t="shared" si="98"/>
        <v>N</v>
      </c>
      <c r="X174" s="154">
        <f t="shared" si="93"/>
        <v>1</v>
      </c>
      <c r="Y174" s="72">
        <f t="shared" si="91"/>
        <v>5.8605999999999998</v>
      </c>
      <c r="Z174" s="72">
        <f t="shared" si="92"/>
        <v>6.7500000000000004E-2</v>
      </c>
      <c r="AA174" s="72">
        <f t="shared" si="99"/>
        <v>5.7930999999999999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100"/>
        <v>1814-07</v>
      </c>
      <c r="AE174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4" s="107" t="str">
        <f t="shared" si="102"/>
        <v>"C:\Program Files (x86)\AstroGrep\AstroGrep.exe" /spath="%USERPROFILE%\AppData\Local\Temp\OnboardLogs" /stypes="*4041*20160807*" /stext=" 18:.+((SYSTEM_STATE.+slice.+state.+changed )|(ment ac)|(system.+state.+changed )|(\|lc)|(penalty)|(\[timeout)|(PRM\|1\|D)|(kpr)|(kdp))" /e /r /s</v>
      </c>
      <c r="AG174" s="1" t="str">
        <f t="shared" si="103"/>
        <v>NW</v>
      </c>
      <c r="AH174" s="111" t="str">
        <f t="shared" si="104"/>
        <v>"%USERPROFILE%\Documents\GitHub\eaglep3\Utilities\RefineRTDCRunTimes.py" --tripid 1814-07 --locoid 4041 --swversion DE.1.0.7.0 --startMP 300:58606 --initTime 2016-08-07T12:38:44 --startdatetime 2016-08-07T12:39:48 --delay 1 --endMP 204:675 --enddatetime 2016-08-07T12:56:35 --enforcementcount 1</v>
      </c>
    </row>
    <row r="175" spans="1:34" x14ac:dyDescent="0.25">
      <c r="A175" s="25" t="s">
        <v>464</v>
      </c>
      <c r="B175" s="129">
        <v>4042</v>
      </c>
      <c r="C175" s="130" t="s">
        <v>147</v>
      </c>
      <c r="D175" s="130" t="s">
        <v>465</v>
      </c>
      <c r="E175" s="131">
        <v>42589.552291666667</v>
      </c>
      <c r="F175" s="131">
        <v>42589.553576388891</v>
      </c>
      <c r="G175" s="129">
        <v>1</v>
      </c>
      <c r="H175" s="131" t="s">
        <v>451</v>
      </c>
      <c r="I175" s="131">
        <v>42589.566874999997</v>
      </c>
      <c r="J175" s="129">
        <v>0</v>
      </c>
      <c r="K175" s="25" t="str">
        <f t="shared" si="85"/>
        <v>4041/4042</v>
      </c>
      <c r="L175" s="25" t="str">
        <f>VLOOKUP(A175,'Trips&amp;Operators'!$C$1:$E$10000,3,FALSE)</f>
        <v>STARKS</v>
      </c>
      <c r="M175" s="6">
        <f t="shared" si="94"/>
        <v>1.3298611105710734E-2</v>
      </c>
      <c r="N175" s="7">
        <f t="shared" si="90"/>
        <v>19.149999992223457</v>
      </c>
      <c r="O175" s="7"/>
      <c r="P175" s="7"/>
      <c r="Q175" s="26"/>
      <c r="R175" s="26"/>
      <c r="S175" s="38">
        <f t="shared" si="95"/>
        <v>1</v>
      </c>
      <c r="T175" s="55" t="str">
        <f t="shared" si="96"/>
        <v>NorthBound</v>
      </c>
      <c r="U175" s="14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12:15:18-0600',mode:absolute,to:'2016-08-07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5" s="57" t="str">
        <f t="shared" si="98"/>
        <v>N</v>
      </c>
      <c r="X175" s="154">
        <f t="shared" si="93"/>
        <v>1</v>
      </c>
      <c r="Y175" s="72">
        <f t="shared" si="91"/>
        <v>9.6000000000000002E-2</v>
      </c>
      <c r="Z175" s="72">
        <f t="shared" si="92"/>
        <v>5.8921999999999999</v>
      </c>
      <c r="AA175" s="72">
        <f t="shared" si="99"/>
        <v>5.7961999999999998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100"/>
        <v>1815-07</v>
      </c>
      <c r="AE175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5" s="107" t="str">
        <f t="shared" si="102"/>
        <v>"C:\Program Files (x86)\AstroGrep\AstroGrep.exe" /spath="%USERPROFILE%\AppData\Local\Temp\OnboardLogs" /stypes="*4042*20160807*" /stext=" 19:.+((SYSTEM_STATE.+slice.+state.+changed )|(ment ac)|(system.+state.+changed )|(\|lc)|(penalty)|(\[timeout)|(PRM\|1\|D)|(kpr)|(kdp))" /e /r /s</v>
      </c>
      <c r="AG175" s="1" t="str">
        <f t="shared" si="103"/>
        <v>NW</v>
      </c>
      <c r="AH175" s="111" t="str">
        <f t="shared" si="104"/>
        <v>"%USERPROFILE%\Documents\GitHub\eaglep3\Utilities\RefineRTDCRunTimes.py" --tripid 1815-07 --locoid 4042 --swversion DE.1.0.7.0 --startMP 204:960 --initTime 2016-08-07T13:15:18 --startdatetime 2016-08-07T13:17:09 --delay 1 --endMP 300:58922 --enddatetime 2016-08-07T13:36:18 --enforcementcount 0</v>
      </c>
    </row>
    <row r="176" spans="1:34" x14ac:dyDescent="0.25">
      <c r="A176" s="25" t="s">
        <v>466</v>
      </c>
      <c r="B176" s="129">
        <v>4041</v>
      </c>
      <c r="C176" s="130" t="s">
        <v>147</v>
      </c>
      <c r="D176" s="130" t="s">
        <v>467</v>
      </c>
      <c r="E176" s="131">
        <v>42589.567789351851</v>
      </c>
      <c r="F176" s="131">
        <v>42589.568518518521</v>
      </c>
      <c r="G176" s="129">
        <v>1</v>
      </c>
      <c r="H176" s="131" t="s">
        <v>253</v>
      </c>
      <c r="I176" s="131">
        <v>42589.580752314818</v>
      </c>
      <c r="J176" s="129">
        <v>0</v>
      </c>
      <c r="K176" s="25" t="str">
        <f t="shared" si="85"/>
        <v>4041/4042</v>
      </c>
      <c r="L176" s="25" t="str">
        <f>VLOOKUP(A176,'Trips&amp;Operators'!$C$1:$E$10000,3,FALSE)</f>
        <v>STARKS</v>
      </c>
      <c r="M176" s="6">
        <f t="shared" si="94"/>
        <v>1.2233796296641231E-2</v>
      </c>
      <c r="N176" s="7">
        <f t="shared" si="90"/>
        <v>17.616666667163372</v>
      </c>
      <c r="O176" s="7"/>
      <c r="P176" s="7"/>
      <c r="Q176" s="26"/>
      <c r="R176" s="26"/>
      <c r="S176" s="38">
        <f t="shared" si="95"/>
        <v>1</v>
      </c>
      <c r="T176" s="55" t="str">
        <f t="shared" si="96"/>
        <v>Southbound</v>
      </c>
      <c r="U176" s="14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12:37:37-0600',mode:absolute,to:'2016-08-07 14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6" s="57" t="str">
        <f t="shared" si="98"/>
        <v>N</v>
      </c>
      <c r="X176" s="154">
        <f t="shared" si="93"/>
        <v>1</v>
      </c>
      <c r="Y176" s="72">
        <f t="shared" si="91"/>
        <v>5.8609</v>
      </c>
      <c r="Z176" s="72">
        <f t="shared" si="92"/>
        <v>6.5000000000000002E-2</v>
      </c>
      <c r="AA176" s="72">
        <f t="shared" si="99"/>
        <v>5.7958999999999996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100"/>
        <v>1816-07</v>
      </c>
      <c r="AE176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6" s="107" t="str">
        <f t="shared" si="102"/>
        <v>"C:\Program Files (x86)\AstroGrep\AstroGrep.exe" /spath="%USERPROFILE%\AppData\Local\Temp\OnboardLogs" /stypes="*4041*20160807*" /stext=" 19:.+((SYSTEM_STATE.+slice.+state.+changed )|(ment ac)|(system.+state.+changed )|(\|lc)|(penalty)|(\[timeout)|(PRM\|1\|D)|(kpr)|(kdp))" /e /r /s</v>
      </c>
      <c r="AG176" s="1" t="str">
        <f t="shared" si="103"/>
        <v>NW</v>
      </c>
      <c r="AH176" s="111" t="str">
        <f t="shared" si="104"/>
        <v>"%USERPROFILE%\Documents\GitHub\eaglep3\Utilities\RefineRTDCRunTimes.py" --tripid 1816-07 --locoid 4041 --swversion DE.1.0.7.0 --startMP 300:58609 --initTime 2016-08-07T13:37:37 --startdatetime 2016-08-07T13:38:40 --delay 1 --endMP 204:650 --enddatetime 2016-08-07T13:56:17 --enforcementcount 0</v>
      </c>
    </row>
    <row r="177" spans="1:34" x14ac:dyDescent="0.25">
      <c r="A177" s="25" t="s">
        <v>320</v>
      </c>
      <c r="B177" s="129">
        <v>4042</v>
      </c>
      <c r="C177" s="130" t="s">
        <v>147</v>
      </c>
      <c r="D177" s="130" t="s">
        <v>254</v>
      </c>
      <c r="E177" s="131">
        <v>42589.586956018517</v>
      </c>
      <c r="F177" s="131">
        <v>42589.587881944448</v>
      </c>
      <c r="G177" s="129">
        <v>1</v>
      </c>
      <c r="H177" s="131" t="s">
        <v>468</v>
      </c>
      <c r="I177" s="131">
        <v>42589.607858796298</v>
      </c>
      <c r="J177" s="129">
        <v>1</v>
      </c>
      <c r="K177" s="25" t="str">
        <f t="shared" si="85"/>
        <v>4041/4042</v>
      </c>
      <c r="L177" s="25" t="str">
        <f>VLOOKUP(A177,'Trips&amp;Operators'!$C$1:$E$10000,3,FALSE)</f>
        <v>STAMBAUGH</v>
      </c>
      <c r="M177" s="6">
        <f t="shared" si="94"/>
        <v>1.9976851850515231E-2</v>
      </c>
      <c r="N177" s="7">
        <f t="shared" si="90"/>
        <v>28.766666664741933</v>
      </c>
      <c r="O177" s="7"/>
      <c r="P177" s="7"/>
      <c r="Q177" s="26"/>
      <c r="R177" s="26"/>
      <c r="S177" s="38">
        <f t="shared" si="95"/>
        <v>1</v>
      </c>
      <c r="T177" s="55" t="str">
        <f t="shared" si="96"/>
        <v>NorthBound</v>
      </c>
      <c r="U177" s="14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7" s="57" t="str">
        <f t="shared" si="98"/>
        <v>N</v>
      </c>
      <c r="X177" s="154">
        <f t="shared" si="93"/>
        <v>1</v>
      </c>
      <c r="Y177" s="72">
        <f t="shared" si="91"/>
        <v>9.3399999999999997E-2</v>
      </c>
      <c r="Z177" s="72">
        <f t="shared" si="92"/>
        <v>5.8860999999999999</v>
      </c>
      <c r="AA177" s="72">
        <f t="shared" si="99"/>
        <v>5.7927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100"/>
        <v>1817-07</v>
      </c>
      <c r="AE177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7" s="107" t="str">
        <f t="shared" si="102"/>
        <v>"C:\Program Files (x86)\AstroGrep\AstroGrep.exe" /spath="%USERPROFILE%\AppData\Local\Temp\OnboardLogs" /stypes="*4042*20160807*" /stext=" 20:.+((SYSTEM_STATE.+slice.+state.+changed )|(ment ac)|(system.+state.+changed )|(\|lc)|(penalty)|(\[timeout)|(PRM\|1\|D)|(kpr)|(kdp))" /e /r /s</v>
      </c>
      <c r="AG177" s="1" t="str">
        <f t="shared" si="103"/>
        <v>NW</v>
      </c>
      <c r="AH177" s="111" t="str">
        <f t="shared" si="104"/>
        <v>"%USERPROFILE%\Documents\GitHub\eaglep3\Utilities\RefineRTDCRunTimes.py" --tripid 1817-07 --locoid 4042 --swversion DE.1.0.7.0 --startMP 204:934 --initTime 2016-08-07T14:05:13 --startdatetime 2016-08-07T14:06:33 --delay 1 --endMP 300:58861 --enddatetime 2016-08-07T14:35:19 --enforcementcount 1</v>
      </c>
    </row>
    <row r="178" spans="1:34" x14ac:dyDescent="0.25">
      <c r="A178" s="25" t="s">
        <v>321</v>
      </c>
      <c r="B178" s="129">
        <v>4041</v>
      </c>
      <c r="C178" s="130" t="s">
        <v>147</v>
      </c>
      <c r="D178" s="130" t="s">
        <v>469</v>
      </c>
      <c r="E178" s="131">
        <v>42589.6093287037</v>
      </c>
      <c r="F178" s="131">
        <v>42589.610243055555</v>
      </c>
      <c r="G178" s="129">
        <v>1</v>
      </c>
      <c r="H178" s="131" t="s">
        <v>470</v>
      </c>
      <c r="I178" s="131">
        <v>42589.62537037037</v>
      </c>
      <c r="J178" s="129">
        <v>1</v>
      </c>
      <c r="K178" s="25" t="str">
        <f t="shared" si="85"/>
        <v>4041/4042</v>
      </c>
      <c r="L178" s="25" t="str">
        <f>VLOOKUP(A178,'Trips&amp;Operators'!$C$1:$E$10000,3,FALSE)</f>
        <v>STAMBAUGH</v>
      </c>
      <c r="M178" s="6">
        <f t="shared" si="94"/>
        <v>1.5127314814890269E-2</v>
      </c>
      <c r="N178" s="7">
        <f t="shared" si="90"/>
        <v>21.783333333441988</v>
      </c>
      <c r="O178" s="7"/>
      <c r="P178" s="7"/>
      <c r="Q178" s="26"/>
      <c r="R178" s="26"/>
      <c r="S178" s="38">
        <f t="shared" si="95"/>
        <v>1</v>
      </c>
      <c r="T178" s="55" t="str">
        <f t="shared" si="96"/>
        <v>Southbound</v>
      </c>
      <c r="U178" s="14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8" s="57" t="str">
        <f t="shared" si="98"/>
        <v>N</v>
      </c>
      <c r="X178" s="154">
        <f t="shared" si="93"/>
        <v>1</v>
      </c>
      <c r="Y178" s="72">
        <f t="shared" si="91"/>
        <v>5.8544999999999998</v>
      </c>
      <c r="Z178" s="72">
        <f t="shared" si="92"/>
        <v>7.1499999999999994E-2</v>
      </c>
      <c r="AA178" s="72">
        <f t="shared" si="99"/>
        <v>5.7829999999999995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100"/>
        <v>1818-07</v>
      </c>
      <c r="AE178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8" s="107" t="str">
        <f t="shared" si="102"/>
        <v>"C:\Program Files (x86)\AstroGrep\AstroGrep.exe" /spath="%USERPROFILE%\AppData\Local\Temp\OnboardLogs" /stypes="*4041*20160807*" /stext=" 21:.+((SYSTEM_STATE.+slice.+state.+changed )|(ment ac)|(system.+state.+changed )|(\|lc)|(penalty)|(\[timeout)|(PRM\|1\|D)|(kpr)|(kdp))" /e /r /s</v>
      </c>
      <c r="AG178" s="1" t="str">
        <f t="shared" si="103"/>
        <v>NW</v>
      </c>
      <c r="AH178" s="111" t="str">
        <f t="shared" si="104"/>
        <v>"%USERPROFILE%\Documents\GitHub\eaglep3\Utilities\RefineRTDCRunTimes.py" --tripid 1818-07 --locoid 4041 --swversion DE.1.0.7.0 --startMP 300:58545 --initTime 2016-08-07T14:37:26 --startdatetime 2016-08-07T14:38:45 --delay 1 --endMP 204:715 --enddatetime 2016-08-07T15:00:32 --enforcementcount 1</v>
      </c>
    </row>
    <row r="179" spans="1:34" x14ac:dyDescent="0.25">
      <c r="A179" s="25" t="s">
        <v>471</v>
      </c>
      <c r="B179" s="129">
        <v>4042</v>
      </c>
      <c r="C179" s="130" t="s">
        <v>147</v>
      </c>
      <c r="D179" s="130" t="s">
        <v>472</v>
      </c>
      <c r="E179" s="131">
        <v>42589.635555555556</v>
      </c>
      <c r="F179" s="131">
        <v>42589.636643518519</v>
      </c>
      <c r="G179" s="129">
        <v>1</v>
      </c>
      <c r="H179" s="131" t="s">
        <v>473</v>
      </c>
      <c r="I179" s="131">
        <v>42589.649351851855</v>
      </c>
      <c r="J179" s="129">
        <v>0</v>
      </c>
      <c r="K179" s="25" t="str">
        <f t="shared" si="85"/>
        <v>4041/4042</v>
      </c>
      <c r="L179" s="25" t="str">
        <f>VLOOKUP(A179,'Trips&amp;Operators'!$C$1:$E$10000,3,FALSE)</f>
        <v>STAMBAUGH</v>
      </c>
      <c r="M179" s="6">
        <f t="shared" si="94"/>
        <v>1.2708333335467614E-2</v>
      </c>
      <c r="N179" s="7">
        <f t="shared" si="90"/>
        <v>18.300000003073364</v>
      </c>
      <c r="O179" s="7"/>
      <c r="P179" s="7"/>
      <c r="Q179" s="26"/>
      <c r="R179" s="26"/>
      <c r="S179" s="38">
        <f t="shared" si="95"/>
        <v>1</v>
      </c>
      <c r="T179" s="55" t="str">
        <f t="shared" si="96"/>
        <v>NorthBound</v>
      </c>
      <c r="U179" s="14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14:15:12-0600',mode:absolute,to:'2016-08-07 16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9" s="57" t="str">
        <f t="shared" si="98"/>
        <v>N</v>
      </c>
      <c r="X179" s="154">
        <f t="shared" si="93"/>
        <v>1</v>
      </c>
      <c r="Y179" s="72">
        <f t="shared" si="91"/>
        <v>0.1016</v>
      </c>
      <c r="Z179" s="72">
        <f t="shared" si="92"/>
        <v>5.8890000000000002</v>
      </c>
      <c r="AA179" s="72">
        <f t="shared" si="99"/>
        <v>5.7873999999999999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100"/>
        <v>1819-07</v>
      </c>
      <c r="AE179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9" s="107" t="str">
        <f t="shared" si="102"/>
        <v>"C:\Program Files (x86)\AstroGrep\AstroGrep.exe" /spath="%USERPROFILE%\AppData\Local\Temp\OnboardLogs" /stypes="*4042*20160807*" /stext=" 21:.+((SYSTEM_STATE.+slice.+state.+changed )|(ment ac)|(system.+state.+changed )|(\|lc)|(penalty)|(\[timeout)|(PRM\|1\|D)|(kpr)|(kdp))" /e /r /s</v>
      </c>
      <c r="AG179" s="1" t="str">
        <f t="shared" si="103"/>
        <v>NW</v>
      </c>
      <c r="AH179" s="111" t="str">
        <f t="shared" si="104"/>
        <v>"%USERPROFILE%\Documents\GitHub\eaglep3\Utilities\RefineRTDCRunTimes.py" --tripid 1819-07 --locoid 4042 --swversion DE.1.0.7.0 --startMP 204:1016 --initTime 2016-08-07T15:15:12 --startdatetime 2016-08-07T15:16:46 --delay 1 --endMP 300:58890 --enddatetime 2016-08-07T15:35:04 --enforcementcount 0</v>
      </c>
    </row>
    <row r="180" spans="1:34" x14ac:dyDescent="0.25">
      <c r="A180" s="25" t="s">
        <v>324</v>
      </c>
      <c r="B180" s="129">
        <v>4041</v>
      </c>
      <c r="C180" s="130" t="s">
        <v>147</v>
      </c>
      <c r="D180" s="130" t="s">
        <v>475</v>
      </c>
      <c r="E180" s="131">
        <v>42589.650891203702</v>
      </c>
      <c r="F180" s="131">
        <v>42589.651678240742</v>
      </c>
      <c r="G180" s="129">
        <v>1</v>
      </c>
      <c r="H180" s="131" t="s">
        <v>476</v>
      </c>
      <c r="I180" s="131">
        <v>42589.66511574074</v>
      </c>
      <c r="J180" s="129">
        <v>1</v>
      </c>
      <c r="K180" s="25" t="str">
        <f t="shared" si="85"/>
        <v>4041/4042</v>
      </c>
      <c r="L180" s="25" t="str">
        <f>VLOOKUP(A180,'Trips&amp;Operators'!$C$1:$E$10000,3,FALSE)</f>
        <v>STAMBAUGH</v>
      </c>
      <c r="M180" s="6">
        <f t="shared" si="94"/>
        <v>1.3437499997962732E-2</v>
      </c>
      <c r="N180" s="7">
        <f t="shared" si="90"/>
        <v>19.349999997066334</v>
      </c>
      <c r="O180" s="7"/>
      <c r="P180" s="7"/>
      <c r="Q180" s="26"/>
      <c r="R180" s="26"/>
      <c r="S180" s="38">
        <f t="shared" si="95"/>
        <v>1</v>
      </c>
      <c r="T180" s="55" t="str">
        <f t="shared" si="96"/>
        <v>Southbound</v>
      </c>
      <c r="U180" s="14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80" s="57" t="str">
        <f t="shared" si="98"/>
        <v>N</v>
      </c>
      <c r="X180" s="154">
        <f t="shared" si="93"/>
        <v>1</v>
      </c>
      <c r="Y180" s="72">
        <f t="shared" si="91"/>
        <v>5.8566000000000003</v>
      </c>
      <c r="Z180" s="72">
        <f t="shared" si="92"/>
        <v>1.29E-2</v>
      </c>
      <c r="AA180" s="72">
        <f t="shared" si="99"/>
        <v>5.8437000000000001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100"/>
        <v>1820-07</v>
      </c>
      <c r="AE180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80" s="107" t="str">
        <f t="shared" si="102"/>
        <v>"C:\Program Files (x86)\AstroGrep\AstroGrep.exe" /spath="%USERPROFILE%\AppData\Local\Temp\OnboardLogs" /stypes="*4041*20160807*" /stext=" 21:.+((SYSTEM_STATE.+slice.+state.+changed )|(ment ac)|(system.+state.+changed )|(\|lc)|(penalty)|(\[timeout)|(PRM\|1\|D)|(kpr)|(kdp))" /e /r /s</v>
      </c>
      <c r="AG180" s="1" t="str">
        <f t="shared" si="103"/>
        <v>NW</v>
      </c>
      <c r="AH180" s="111" t="str">
        <f t="shared" si="104"/>
        <v>"%USERPROFILE%\Documents\GitHub\eaglep3\Utilities\RefineRTDCRunTimes.py" --tripid 1820-07 --locoid 4041 --swversion DE.1.0.7.0 --startMP 300:58566 --initTime 2016-08-07T15:37:17 --startdatetime 2016-08-07T15:38:25 --delay 1 --endMP 204:129 --enddatetime 2016-08-07T15:57:46 --enforcementcount 1</v>
      </c>
    </row>
    <row r="181" spans="1:34" x14ac:dyDescent="0.25">
      <c r="A181" s="25" t="s">
        <v>477</v>
      </c>
      <c r="B181" s="129">
        <v>4027</v>
      </c>
      <c r="C181" s="130" t="s">
        <v>147</v>
      </c>
      <c r="D181" s="130" t="s">
        <v>254</v>
      </c>
      <c r="E181" s="131">
        <v>42589.680127314816</v>
      </c>
      <c r="F181" s="131">
        <v>42589.681516203702</v>
      </c>
      <c r="G181" s="129">
        <v>2</v>
      </c>
      <c r="H181" s="131" t="s">
        <v>478</v>
      </c>
      <c r="I181" s="131">
        <v>42589.691840277781</v>
      </c>
      <c r="J181" s="129">
        <v>0</v>
      </c>
      <c r="K181" s="25" t="str">
        <f t="shared" si="85"/>
        <v>4027/4028</v>
      </c>
      <c r="L181" s="25" t="str">
        <f>VLOOKUP(A181,'Trips&amp;Operators'!$C$1:$E$10000,3,FALSE)</f>
        <v>STAMBAUGH</v>
      </c>
      <c r="M181" s="6">
        <f t="shared" si="94"/>
        <v>1.0324074079107959E-2</v>
      </c>
      <c r="N181" s="7">
        <f t="shared" si="90"/>
        <v>14.866666673915461</v>
      </c>
      <c r="O181" s="7"/>
      <c r="P181" s="7"/>
      <c r="Q181" s="26"/>
      <c r="R181" s="26"/>
      <c r="S181" s="38">
        <f t="shared" si="95"/>
        <v>1</v>
      </c>
      <c r="T181" s="55" t="str">
        <f t="shared" si="96"/>
        <v>NorthBound</v>
      </c>
      <c r="U181" s="14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15:19:23-0600',mode:absolute,to:'2016-08-07 17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1" s="57" t="str">
        <f t="shared" si="98"/>
        <v>N</v>
      </c>
      <c r="X181" s="154">
        <f t="shared" si="93"/>
        <v>1</v>
      </c>
      <c r="Y181" s="72">
        <f t="shared" si="91"/>
        <v>9.3399999999999997E-2</v>
      </c>
      <c r="Z181" s="72">
        <f t="shared" si="92"/>
        <v>5.8886000000000003</v>
      </c>
      <c r="AA181" s="72">
        <f t="shared" si="99"/>
        <v>5.7952000000000004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100"/>
        <v>1821-07</v>
      </c>
      <c r="AE181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1" s="107" t="str">
        <f t="shared" si="102"/>
        <v>"C:\Program Files (x86)\AstroGrep\AstroGrep.exe" /spath="%USERPROFILE%\AppData\Local\Temp\OnboardLogs" /stypes="*4027*20160807*" /stext=" 22:.+((SYSTEM_STATE.+slice.+state.+changed )|(ment ac)|(system.+state.+changed )|(\|lc)|(penalty)|(\[timeout)|(PRM\|1\|D)|(kpr)|(kdp))" /e /r /s</v>
      </c>
      <c r="AG181" s="1" t="str">
        <f t="shared" si="103"/>
        <v>NW</v>
      </c>
      <c r="AH181" s="111" t="str">
        <f t="shared" si="104"/>
        <v>"%USERPROFILE%\Documents\GitHub\eaglep3\Utilities\RefineRTDCRunTimes.py" --tripid 1821-07 --locoid 4027 --swversion DE.1.0.7.0 --startMP 204:934 --initTime 2016-08-07T16:19:23 --startdatetime 2016-08-07T16:21:23 --delay 2 --endMP 300:58886 --enddatetime 2016-08-07T16:36:15 --enforcementcount 0</v>
      </c>
    </row>
    <row r="182" spans="1:34" x14ac:dyDescent="0.25">
      <c r="A182" s="25" t="s">
        <v>326</v>
      </c>
      <c r="B182" s="129">
        <v>4028</v>
      </c>
      <c r="C182" s="130" t="s">
        <v>147</v>
      </c>
      <c r="D182" s="130" t="s">
        <v>479</v>
      </c>
      <c r="E182" s="131">
        <v>42589.692974537036</v>
      </c>
      <c r="F182" s="131">
        <v>42589.693831018521</v>
      </c>
      <c r="G182" s="129">
        <v>1</v>
      </c>
      <c r="H182" s="131" t="s">
        <v>463</v>
      </c>
      <c r="I182" s="131">
        <v>42589.707627314812</v>
      </c>
      <c r="J182" s="129">
        <v>1</v>
      </c>
      <c r="K182" s="25" t="str">
        <f t="shared" si="85"/>
        <v>4027/4028</v>
      </c>
      <c r="L182" s="25" t="str">
        <f>VLOOKUP(A182,'Trips&amp;Operators'!$C$1:$E$10000,3,FALSE)</f>
        <v>STAMBAUGH</v>
      </c>
      <c r="M182" s="6">
        <f t="shared" si="94"/>
        <v>1.3796296290820464E-2</v>
      </c>
      <c r="N182" s="7">
        <f t="shared" si="90"/>
        <v>19.866666658781469</v>
      </c>
      <c r="O182" s="7"/>
      <c r="P182" s="7"/>
      <c r="Q182" s="26"/>
      <c r="R182" s="26"/>
      <c r="S182" s="38">
        <f t="shared" si="95"/>
        <v>1</v>
      </c>
      <c r="T182" s="55" t="str">
        <f t="shared" si="96"/>
        <v>Southbound</v>
      </c>
      <c r="U182" s="14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2" s="57" t="str">
        <f t="shared" si="98"/>
        <v>N</v>
      </c>
      <c r="X182" s="154">
        <f t="shared" si="93"/>
        <v>1</v>
      </c>
      <c r="Y182" s="72">
        <f t="shared" si="91"/>
        <v>5.8574999999999999</v>
      </c>
      <c r="Z182" s="72">
        <f t="shared" si="92"/>
        <v>6.7500000000000004E-2</v>
      </c>
      <c r="AA182" s="72">
        <f t="shared" si="99"/>
        <v>5.79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100"/>
        <v>1822-07</v>
      </c>
      <c r="AE182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2" s="107" t="str">
        <f t="shared" si="102"/>
        <v>"C:\Program Files (x86)\AstroGrep\AstroGrep.exe" /spath="%USERPROFILE%\AppData\Local\Temp\OnboardLogs" /stypes="*4028*20160807*" /stext=" 22:.+((SYSTEM_STATE.+slice.+state.+changed )|(ment ac)|(system.+state.+changed )|(\|lc)|(penalty)|(\[timeout)|(PRM\|1\|D)|(kpr)|(kdp))" /e /r /s</v>
      </c>
      <c r="AG182" s="1" t="str">
        <f t="shared" si="103"/>
        <v>NW</v>
      </c>
      <c r="AH182" s="111" t="str">
        <f t="shared" si="104"/>
        <v>"%USERPROFILE%\Documents\GitHub\eaglep3\Utilities\RefineRTDCRunTimes.py" --tripid 1822-07 --locoid 4028 --swversion DE.1.0.7.0 --startMP 300:58575 --initTime 2016-08-07T16:37:53 --startdatetime 2016-08-07T16:39:07 --delay 1 --endMP 204:675 --enddatetime 2016-08-07T16:58:59 --enforcementcount 1</v>
      </c>
    </row>
    <row r="183" spans="1:34" x14ac:dyDescent="0.25">
      <c r="A183" s="25" t="s">
        <v>327</v>
      </c>
      <c r="B183" s="129">
        <v>4027</v>
      </c>
      <c r="C183" s="130" t="s">
        <v>147</v>
      </c>
      <c r="D183" s="130" t="s">
        <v>454</v>
      </c>
      <c r="E183" s="131">
        <v>42589.717858796299</v>
      </c>
      <c r="F183" s="131">
        <v>42589.718888888892</v>
      </c>
      <c r="G183" s="129">
        <v>1</v>
      </c>
      <c r="H183" s="131" t="s">
        <v>480</v>
      </c>
      <c r="I183" s="131">
        <v>42589.733749999999</v>
      </c>
      <c r="J183" s="129">
        <v>1</v>
      </c>
      <c r="K183" s="25" t="str">
        <f t="shared" si="85"/>
        <v>4027/4028</v>
      </c>
      <c r="L183" s="25" t="str">
        <f>VLOOKUP(A183,'Trips&amp;Operators'!$C$1:$E$10000,3,FALSE)</f>
        <v>STAMBAUGH</v>
      </c>
      <c r="M183" s="6">
        <f t="shared" si="94"/>
        <v>1.4861111107165925E-2</v>
      </c>
      <c r="N183" s="7">
        <f t="shared" si="90"/>
        <v>21.399999994318932</v>
      </c>
      <c r="O183" s="7"/>
      <c r="P183" s="7"/>
      <c r="Q183" s="26"/>
      <c r="R183" s="26"/>
      <c r="S183" s="38">
        <f t="shared" si="95"/>
        <v>1</v>
      </c>
      <c r="T183" s="55" t="str">
        <f t="shared" si="96"/>
        <v>NorthBound</v>
      </c>
      <c r="U183" s="14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3" s="57" t="str">
        <f t="shared" si="98"/>
        <v>N</v>
      </c>
      <c r="X183" s="154">
        <f t="shared" si="93"/>
        <v>1</v>
      </c>
      <c r="Y183" s="72">
        <f t="shared" si="91"/>
        <v>9.7100000000000006E-2</v>
      </c>
      <c r="Z183" s="72">
        <f t="shared" si="92"/>
        <v>5.9010999999999996</v>
      </c>
      <c r="AA183" s="72">
        <f t="shared" si="99"/>
        <v>5.8039999999999994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100"/>
        <v>1823-07</v>
      </c>
      <c r="AE183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3" s="107" t="str">
        <f t="shared" si="102"/>
        <v>"C:\Program Files (x86)\AstroGrep\AstroGrep.exe" /spath="%USERPROFILE%\AppData\Local\Temp\OnboardLogs" /stypes="*4027*20160807*" /stext=" 23:.+((SYSTEM_STATE.+slice.+state.+changed )|(ment ac)|(system.+state.+changed )|(\|lc)|(penalty)|(\[timeout)|(PRM\|1\|D)|(kpr)|(kdp))" /e /r /s</v>
      </c>
      <c r="AG183" s="1" t="str">
        <f t="shared" si="103"/>
        <v>NW</v>
      </c>
      <c r="AH183" s="111" t="str">
        <f t="shared" si="104"/>
        <v>"%USERPROFILE%\Documents\GitHub\eaglep3\Utilities\RefineRTDCRunTimes.py" --tripid 1823-07 --locoid 4027 --swversion DE.1.0.7.0 --startMP 204:971 --initTime 2016-08-07T17:13:43 --startdatetime 2016-08-07T17:15:12 --delay 1 --endMP 300:59011 --enddatetime 2016-08-07T17:36:36 --enforcementcount 1</v>
      </c>
    </row>
    <row r="184" spans="1:34" x14ac:dyDescent="0.25">
      <c r="A184" s="25" t="s">
        <v>329</v>
      </c>
      <c r="B184" s="129">
        <v>4028</v>
      </c>
      <c r="C184" s="130" t="s">
        <v>147</v>
      </c>
      <c r="D184" s="130" t="s">
        <v>481</v>
      </c>
      <c r="E184" s="131">
        <v>42589.735011574077</v>
      </c>
      <c r="F184" s="131">
        <v>42589.735902777778</v>
      </c>
      <c r="G184" s="129">
        <v>1</v>
      </c>
      <c r="H184" s="131" t="s">
        <v>470</v>
      </c>
      <c r="I184" s="131">
        <v>42589.746701388889</v>
      </c>
      <c r="J184" s="129">
        <v>1</v>
      </c>
      <c r="K184" s="25" t="str">
        <f t="shared" si="85"/>
        <v>4027/4028</v>
      </c>
      <c r="L184" s="25" t="str">
        <f>VLOOKUP(A184,'Trips&amp;Operators'!$C$1:$E$10000,3,FALSE)</f>
        <v>STAMBAUGH</v>
      </c>
      <c r="M184" s="6">
        <f t="shared" si="94"/>
        <v>1.0798611110658385E-2</v>
      </c>
      <c r="N184" s="7">
        <f t="shared" si="90"/>
        <v>15.549999999348074</v>
      </c>
      <c r="O184" s="7"/>
      <c r="P184" s="7"/>
      <c r="Q184" s="26"/>
      <c r="R184" s="26"/>
      <c r="S184" s="38">
        <f t="shared" si="95"/>
        <v>1</v>
      </c>
      <c r="T184" s="55" t="str">
        <f t="shared" si="96"/>
        <v>Southbound</v>
      </c>
      <c r="U184" s="14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4" s="57" t="str">
        <f t="shared" si="98"/>
        <v>N</v>
      </c>
      <c r="X184" s="154">
        <f t="shared" si="93"/>
        <v>1</v>
      </c>
      <c r="Y184" s="72">
        <f t="shared" si="91"/>
        <v>5.8686999999999996</v>
      </c>
      <c r="Z184" s="72">
        <f t="shared" si="92"/>
        <v>7.1499999999999994E-2</v>
      </c>
      <c r="AA184" s="72">
        <f t="shared" si="99"/>
        <v>5.7971999999999992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100"/>
        <v>1824-07</v>
      </c>
      <c r="AE184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4" s="107" t="str">
        <f t="shared" si="102"/>
        <v>"C:\Program Files (x86)\AstroGrep\AstroGrep.exe" /spath="%USERPROFILE%\AppData\Local\Temp\OnboardLogs" /stypes="*4028*20160807*" /stext=" 23:.+((SYSTEM_STATE.+slice.+state.+changed )|(ment ac)|(system.+state.+changed )|(\|lc)|(penalty)|(\[timeout)|(PRM\|1\|D)|(kpr)|(kdp))" /e /r /s</v>
      </c>
      <c r="AG184" s="1" t="str">
        <f t="shared" si="103"/>
        <v>NW</v>
      </c>
      <c r="AH184" s="111" t="str">
        <f t="shared" si="104"/>
        <v>"%USERPROFILE%\Documents\GitHub\eaglep3\Utilities\RefineRTDCRunTimes.py" --tripid 1824-07 --locoid 4028 --swversion DE.1.0.7.0 --startMP 300:58687 --initTime 2016-08-07T17:38:25 --startdatetime 2016-08-07T17:39:42 --delay 1 --endMP 204:715 --enddatetime 2016-08-07T17:55:15 --enforcementcount 1</v>
      </c>
    </row>
    <row r="185" spans="1:34" x14ac:dyDescent="0.25">
      <c r="A185" s="25" t="s">
        <v>333</v>
      </c>
      <c r="B185" s="129">
        <v>4027</v>
      </c>
      <c r="C185" s="130" t="s">
        <v>147</v>
      </c>
      <c r="D185" s="130" t="s">
        <v>482</v>
      </c>
      <c r="E185" s="131">
        <v>42589.759247685186</v>
      </c>
      <c r="F185" s="131">
        <v>42589.759988425925</v>
      </c>
      <c r="G185" s="129">
        <v>1</v>
      </c>
      <c r="H185" s="131" t="s">
        <v>483</v>
      </c>
      <c r="I185" s="131">
        <v>42589.774548611109</v>
      </c>
      <c r="J185" s="129">
        <v>1</v>
      </c>
      <c r="K185" s="25" t="str">
        <f t="shared" si="85"/>
        <v>4027/4028</v>
      </c>
      <c r="L185" s="25" t="str">
        <f>VLOOKUP(A185,'Trips&amp;Operators'!$C$1:$E$10000,3,FALSE)</f>
        <v>STAMBAUGH</v>
      </c>
      <c r="M185" s="6">
        <f t="shared" si="94"/>
        <v>1.4560185183654539E-2</v>
      </c>
      <c r="N185" s="7">
        <f t="shared" si="90"/>
        <v>20.966666664462537</v>
      </c>
      <c r="O185" s="7"/>
      <c r="P185" s="7"/>
      <c r="Q185" s="26"/>
      <c r="R185" s="26"/>
      <c r="S185" s="38">
        <f t="shared" si="95"/>
        <v>1</v>
      </c>
      <c r="T185" s="55" t="str">
        <f t="shared" si="96"/>
        <v>NorthBound</v>
      </c>
      <c r="U185" s="14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5" s="57" t="str">
        <f t="shared" si="98"/>
        <v>N</v>
      </c>
      <c r="X185" s="154">
        <f t="shared" si="93"/>
        <v>1</v>
      </c>
      <c r="Y185" s="72">
        <f t="shared" si="91"/>
        <v>9.8100000000000007E-2</v>
      </c>
      <c r="Z185" s="72">
        <f t="shared" si="92"/>
        <v>5.9016000000000002</v>
      </c>
      <c r="AA185" s="72">
        <f t="shared" si="99"/>
        <v>5.8035000000000005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100"/>
        <v>1825-07</v>
      </c>
      <c r="AE185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5" s="107" t="str">
        <f t="shared" si="102"/>
        <v>"C:\Program Files (x86)\AstroGrep\AstroGrep.exe" /spath="%USERPROFILE%\AppData\Local\Temp\OnboardLogs" /stypes="*4027*20160808*" /stext=" 00:.+((SYSTEM_STATE.+slice.+state.+changed )|(ment ac)|(system.+state.+changed )|(\|lc)|(penalty)|(\[timeout)|(PRM\|1\|D)|(kpr)|(kdp))" /e /r /s</v>
      </c>
      <c r="AG185" s="1" t="str">
        <f t="shared" si="103"/>
        <v>NW</v>
      </c>
      <c r="AH185" s="111" t="str">
        <f t="shared" si="104"/>
        <v>"%USERPROFILE%\Documents\GitHub\eaglep3\Utilities\RefineRTDCRunTimes.py" --tripid 1825-07 --locoid 4027 --swversion DE.1.0.7.0 --startMP 204:981 --initTime 2016-08-07T18:13:19 --startdatetime 2016-08-07T18:14:23 --delay 1 --endMP 300:59016 --enddatetime 2016-08-07T18:35:21 --enforcementcount 1</v>
      </c>
    </row>
    <row r="186" spans="1:34" x14ac:dyDescent="0.25">
      <c r="A186" s="25" t="s">
        <v>484</v>
      </c>
      <c r="B186" s="129">
        <v>4028</v>
      </c>
      <c r="C186" s="130" t="s">
        <v>147</v>
      </c>
      <c r="D186" s="130" t="s">
        <v>485</v>
      </c>
      <c r="E186" s="131">
        <v>42589.775682870371</v>
      </c>
      <c r="F186" s="131">
        <v>42589.777060185188</v>
      </c>
      <c r="G186" s="129">
        <v>1</v>
      </c>
      <c r="H186" s="131" t="s">
        <v>486</v>
      </c>
      <c r="I186" s="131">
        <v>42589.78833333333</v>
      </c>
      <c r="J186" s="129">
        <v>0</v>
      </c>
      <c r="K186" s="25" t="str">
        <f t="shared" si="85"/>
        <v>4027/4028</v>
      </c>
      <c r="L186" s="25" t="str">
        <f>VLOOKUP(A186,'Trips&amp;Operators'!$C$1:$E$10000,3,FALSE)</f>
        <v>STAMBAUGH</v>
      </c>
      <c r="M186" s="6">
        <f t="shared" si="94"/>
        <v>1.1273148142208811E-2</v>
      </c>
      <c r="N186" s="7">
        <f t="shared" si="90"/>
        <v>16.233333324780688</v>
      </c>
      <c r="O186" s="7"/>
      <c r="P186" s="7"/>
      <c r="Q186" s="26"/>
      <c r="R186" s="26"/>
      <c r="S186" s="38">
        <f t="shared" si="95"/>
        <v>1</v>
      </c>
      <c r="T186" s="55" t="str">
        <f t="shared" si="96"/>
        <v>Southbound</v>
      </c>
      <c r="U186" s="14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17:36:59-0600',mode:absolute,to:'2016-08-07 19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6" s="57" t="str">
        <f t="shared" si="98"/>
        <v>N</v>
      </c>
      <c r="X186" s="154">
        <f t="shared" si="93"/>
        <v>1</v>
      </c>
      <c r="Y186" s="72">
        <f t="shared" si="91"/>
        <v>5.8697999999999997</v>
      </c>
      <c r="Z186" s="72">
        <f t="shared" si="92"/>
        <v>7.7600000000000002E-2</v>
      </c>
      <c r="AA186" s="72">
        <f t="shared" si="99"/>
        <v>5.7921999999999993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100"/>
        <v>1826-07</v>
      </c>
      <c r="AE186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6" s="107" t="str">
        <f t="shared" si="102"/>
        <v>"C:\Program Files (x86)\AstroGrep\AstroGrep.exe" /spath="%USERPROFILE%\AppData\Local\Temp\OnboardLogs" /stypes="*4028*20160808*" /stext=" 00:.+((SYSTEM_STATE.+slice.+state.+changed )|(ment ac)|(system.+state.+changed )|(\|lc)|(penalty)|(\[timeout)|(PRM\|1\|D)|(kpr)|(kdp))" /e /r /s</v>
      </c>
      <c r="AG186" s="1" t="str">
        <f t="shared" si="103"/>
        <v>NW</v>
      </c>
      <c r="AH186" s="111" t="str">
        <f t="shared" si="104"/>
        <v>"%USERPROFILE%\Documents\GitHub\eaglep3\Utilities\RefineRTDCRunTimes.py" --tripid 1826-07 --locoid 4028 --swversion DE.1.0.7.0 --startMP 300:58698 --initTime 2016-08-07T18:36:59 --startdatetime 2016-08-07T18:38:58 --delay 1 --endMP 204:776 --enddatetime 2016-08-07T18:55:12 --enforcementcount 0</v>
      </c>
    </row>
    <row r="187" spans="1:34" x14ac:dyDescent="0.25">
      <c r="A187" s="25" t="s">
        <v>487</v>
      </c>
      <c r="B187" s="129">
        <v>4027</v>
      </c>
      <c r="C187" s="130" t="s">
        <v>147</v>
      </c>
      <c r="D187" s="130" t="s">
        <v>488</v>
      </c>
      <c r="E187" s="131">
        <v>42589.802175925928</v>
      </c>
      <c r="F187" s="131">
        <v>42589.803078703706</v>
      </c>
      <c r="G187" s="129">
        <v>1</v>
      </c>
      <c r="H187" s="131" t="s">
        <v>489</v>
      </c>
      <c r="I187" s="131">
        <v>42589.817916666667</v>
      </c>
      <c r="J187" s="129">
        <v>0</v>
      </c>
      <c r="K187" s="25" t="str">
        <f t="shared" si="85"/>
        <v>4027/4028</v>
      </c>
      <c r="L187" s="25" t="str">
        <f>VLOOKUP(A187,'Trips&amp;Operators'!$C$1:$E$10000,3,FALSE)</f>
        <v>STAMBAUGH</v>
      </c>
      <c r="M187" s="6">
        <f t="shared" si="94"/>
        <v>1.4837962960882578E-2</v>
      </c>
      <c r="N187" s="7">
        <f t="shared" si="90"/>
        <v>21.366666663670912</v>
      </c>
      <c r="O187" s="7"/>
      <c r="P187" s="7"/>
      <c r="Q187" s="26"/>
      <c r="R187" s="26"/>
      <c r="S187" s="38">
        <f t="shared" si="95"/>
        <v>1</v>
      </c>
      <c r="T187" s="55" t="str">
        <f t="shared" si="96"/>
        <v>NorthBound</v>
      </c>
      <c r="U187" s="14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18:15:08-0600',mode:absolute,to:'2016-08-07 20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7" s="57" t="str">
        <f t="shared" si="98"/>
        <v>N</v>
      </c>
      <c r="X187" s="154">
        <f t="shared" si="93"/>
        <v>1</v>
      </c>
      <c r="Y187" s="72">
        <f t="shared" si="91"/>
        <v>0.1072</v>
      </c>
      <c r="Z187" s="72">
        <f t="shared" si="92"/>
        <v>5.8964999999999996</v>
      </c>
      <c r="AA187" s="72">
        <f t="shared" si="99"/>
        <v>5.7892999999999999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100"/>
        <v>1827-07</v>
      </c>
      <c r="AE187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7" s="107" t="str">
        <f t="shared" si="102"/>
        <v>"C:\Program Files (x86)\AstroGrep\AstroGrep.exe" /spath="%USERPROFILE%\AppData\Local\Temp\OnboardLogs" /stypes="*4027*20160808*" /stext=" 01:.+((SYSTEM_STATE.+slice.+state.+changed )|(ment ac)|(system.+state.+changed )|(\|lc)|(penalty)|(\[timeout)|(PRM\|1\|D)|(kpr)|(kdp))" /e /r /s</v>
      </c>
      <c r="AG187" s="1" t="str">
        <f t="shared" si="103"/>
        <v>NW</v>
      </c>
      <c r="AH187" s="111" t="str">
        <f t="shared" si="104"/>
        <v>"%USERPROFILE%\Documents\GitHub\eaglep3\Utilities\RefineRTDCRunTimes.py" --tripid 1827-07 --locoid 4027 --swversion DE.1.0.7.0 --startMP 204:1072 --initTime 2016-08-07T19:15:08 --startdatetime 2016-08-07T19:16:26 --delay 1 --endMP 300:58965 --enddatetime 2016-08-07T19:37:48 --enforcementcount 0</v>
      </c>
    </row>
    <row r="188" spans="1:34" x14ac:dyDescent="0.25">
      <c r="A188" s="25" t="s">
        <v>335</v>
      </c>
      <c r="B188" s="129">
        <v>4028</v>
      </c>
      <c r="C188" s="130" t="s">
        <v>147</v>
      </c>
      <c r="D188" s="130" t="s">
        <v>490</v>
      </c>
      <c r="E188" s="131">
        <v>42589.819155092591</v>
      </c>
      <c r="F188" s="131">
        <v>42589.819895833331</v>
      </c>
      <c r="G188" s="129">
        <v>1</v>
      </c>
      <c r="H188" s="131" t="s">
        <v>491</v>
      </c>
      <c r="I188" s="131">
        <v>42589.83017361111</v>
      </c>
      <c r="J188" s="129">
        <v>1</v>
      </c>
      <c r="K188" s="25" t="str">
        <f t="shared" si="85"/>
        <v>4027/4028</v>
      </c>
      <c r="L188" s="25" t="str">
        <f>VLOOKUP(A188,'Trips&amp;Operators'!$C$1:$E$10000,3,FALSE)</f>
        <v>STAMBAUGH</v>
      </c>
      <c r="M188" s="6">
        <f t="shared" si="94"/>
        <v>1.0277777779265307E-2</v>
      </c>
      <c r="N188" s="7">
        <f t="shared" si="90"/>
        <v>14.800000002142042</v>
      </c>
      <c r="O188" s="7"/>
      <c r="P188" s="7"/>
      <c r="Q188" s="26"/>
      <c r="R188" s="26"/>
      <c r="S188" s="38">
        <f t="shared" si="95"/>
        <v>1</v>
      </c>
      <c r="T188" s="55" t="str">
        <f t="shared" si="96"/>
        <v>Southbound</v>
      </c>
      <c r="U188" s="14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8" s="57" t="str">
        <f t="shared" si="98"/>
        <v>N</v>
      </c>
      <c r="X188" s="154">
        <f t="shared" si="93"/>
        <v>1</v>
      </c>
      <c r="Y188" s="72">
        <f t="shared" si="91"/>
        <v>5.8651</v>
      </c>
      <c r="Z188" s="72">
        <f t="shared" si="92"/>
        <v>6.8000000000000005E-2</v>
      </c>
      <c r="AA188" s="72">
        <f t="shared" si="99"/>
        <v>5.7971000000000004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100"/>
        <v>1828-07</v>
      </c>
      <c r="AE188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8" s="107" t="str">
        <f t="shared" si="102"/>
        <v>"C:\Program Files (x86)\AstroGrep\AstroGrep.exe" /spath="%USERPROFILE%\AppData\Local\Temp\OnboardLogs" /stypes="*4028*20160808*" /stext=" 01:.+((SYSTEM_STATE.+slice.+state.+changed )|(ment ac)|(system.+state.+changed )|(\|lc)|(penalty)|(\[timeout)|(PRM\|1\|D)|(kpr)|(kdp))" /e /r /s</v>
      </c>
      <c r="AG188" s="1" t="str">
        <f t="shared" si="103"/>
        <v>NW</v>
      </c>
      <c r="AH188" s="111" t="str">
        <f t="shared" si="104"/>
        <v>"%USERPROFILE%\Documents\GitHub\eaglep3\Utilities\RefineRTDCRunTimes.py" --tripid 1828-07 --locoid 4028 --swversion DE.1.0.7.0 --startMP 300:58651 --initTime 2016-08-07T19:39:35 --startdatetime 2016-08-07T19:40:39 --delay 1 --endMP 204:680 --enddatetime 2016-08-07T19:55:27 --enforcementcount 1</v>
      </c>
    </row>
    <row r="189" spans="1:34" x14ac:dyDescent="0.25">
      <c r="A189" s="25" t="s">
        <v>492</v>
      </c>
      <c r="B189" s="129">
        <v>4027</v>
      </c>
      <c r="C189" s="130" t="s">
        <v>147</v>
      </c>
      <c r="D189" s="130" t="s">
        <v>493</v>
      </c>
      <c r="E189" s="131">
        <v>42589.842118055552</v>
      </c>
      <c r="F189" s="131">
        <v>42589.842986111114</v>
      </c>
      <c r="G189" s="129">
        <v>1</v>
      </c>
      <c r="H189" s="131" t="s">
        <v>494</v>
      </c>
      <c r="I189" s="131">
        <v>42589.85864583333</v>
      </c>
      <c r="J189" s="129">
        <v>0</v>
      </c>
      <c r="K189" s="25" t="str">
        <f t="shared" si="85"/>
        <v>4027/4028</v>
      </c>
      <c r="L189" s="25" t="str">
        <f>VLOOKUP(A189,'Trips&amp;Operators'!$C$1:$E$10000,3,FALSE)</f>
        <v>STAMBAUGH</v>
      </c>
      <c r="M189" s="6">
        <f t="shared" si="94"/>
        <v>1.5659722215787042E-2</v>
      </c>
      <c r="N189" s="7">
        <f t="shared" si="90"/>
        <v>22.54999999073334</v>
      </c>
      <c r="O189" s="7"/>
      <c r="P189" s="7"/>
      <c r="Q189" s="26"/>
      <c r="R189" s="26"/>
      <c r="S189" s="38">
        <f t="shared" si="95"/>
        <v>1</v>
      </c>
      <c r="T189" s="55" t="str">
        <f t="shared" si="96"/>
        <v>NorthBound</v>
      </c>
      <c r="U189" s="14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19:12:39-0600',mode:absolute,to:'2016-08-07 21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9" s="57" t="str">
        <f t="shared" si="98"/>
        <v>N</v>
      </c>
      <c r="X189" s="154">
        <f t="shared" si="93"/>
        <v>1</v>
      </c>
      <c r="Y189" s="72">
        <f t="shared" si="91"/>
        <v>9.69E-2</v>
      </c>
      <c r="Z189" s="72">
        <f t="shared" si="92"/>
        <v>5.9005000000000001</v>
      </c>
      <c r="AA189" s="72">
        <f t="shared" si="99"/>
        <v>5.8036000000000003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100"/>
        <v>1829-07</v>
      </c>
      <c r="AE189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9" s="107" t="str">
        <f t="shared" si="102"/>
        <v>"C:\Program Files (x86)\AstroGrep\AstroGrep.exe" /spath="%USERPROFILE%\AppData\Local\Temp\OnboardLogs" /stypes="*4027*20160808*" /stext=" 02:.+((SYSTEM_STATE.+slice.+state.+changed )|(ment ac)|(system.+state.+changed )|(\|lc)|(penalty)|(\[timeout)|(PRM\|1\|D)|(kpr)|(kdp))" /e /r /s</v>
      </c>
      <c r="AG189" s="1" t="str">
        <f t="shared" si="103"/>
        <v>NW</v>
      </c>
      <c r="AH189" s="111" t="str">
        <f t="shared" si="104"/>
        <v>"%USERPROFILE%\Documents\GitHub\eaglep3\Utilities\RefineRTDCRunTimes.py" --tripid 1829-07 --locoid 4027 --swversion DE.1.0.7.0 --startMP 204:969 --initTime 2016-08-07T20:12:39 --startdatetime 2016-08-07T20:13:54 --delay 1 --endMP 300:59005 --enddatetime 2016-08-07T20:36:27 --enforcementcount 0</v>
      </c>
    </row>
    <row r="190" spans="1:34" x14ac:dyDescent="0.25">
      <c r="A190" s="25" t="s">
        <v>497</v>
      </c>
      <c r="B190" s="129">
        <v>4028</v>
      </c>
      <c r="C190" s="130" t="s">
        <v>147</v>
      </c>
      <c r="D190" s="130" t="s">
        <v>498</v>
      </c>
      <c r="E190" s="131">
        <v>42589.861655092594</v>
      </c>
      <c r="F190" s="131">
        <v>42589.862569444442</v>
      </c>
      <c r="G190" s="129">
        <v>1</v>
      </c>
      <c r="H190" s="131" t="s">
        <v>499</v>
      </c>
      <c r="I190" s="131">
        <v>42589.872349537036</v>
      </c>
      <c r="J190" s="129">
        <v>0</v>
      </c>
      <c r="K190" s="25" t="str">
        <f t="shared" si="85"/>
        <v>4027/4028</v>
      </c>
      <c r="L190" s="25" t="str">
        <f>VLOOKUP(A190,'Trips&amp;Operators'!$C$1:$E$10000,3,FALSE)</f>
        <v>STAMBAUGH</v>
      </c>
      <c r="M190" s="6">
        <f t="shared" si="94"/>
        <v>9.7800925941555761E-3</v>
      </c>
      <c r="N190" s="7">
        <f t="shared" si="90"/>
        <v>14.08333333558403</v>
      </c>
      <c r="O190" s="7"/>
      <c r="P190" s="7"/>
      <c r="Q190" s="26"/>
      <c r="R190" s="26"/>
      <c r="S190" s="38">
        <f t="shared" si="95"/>
        <v>1</v>
      </c>
      <c r="T190" s="55" t="str">
        <f t="shared" si="96"/>
        <v>Southbound</v>
      </c>
      <c r="U190" s="14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19:40:47-0600',mode:absolute,to:'2016-08-07 21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90" s="57" t="str">
        <f t="shared" si="98"/>
        <v>N</v>
      </c>
      <c r="X190" s="154">
        <f t="shared" si="93"/>
        <v>1</v>
      </c>
      <c r="Y190" s="72">
        <f t="shared" si="91"/>
        <v>5.8677999999999999</v>
      </c>
      <c r="Z190" s="72">
        <f t="shared" si="92"/>
        <v>6.8500000000000005E-2</v>
      </c>
      <c r="AA190" s="72">
        <f t="shared" si="99"/>
        <v>5.7992999999999997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100"/>
        <v>1830-07</v>
      </c>
      <c r="AE190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90" s="107" t="str">
        <f t="shared" si="102"/>
        <v>"C:\Program Files (x86)\AstroGrep\AstroGrep.exe" /spath="%USERPROFILE%\AppData\Local\Temp\OnboardLogs" /stypes="*4028*20160808*" /stext=" 02:.+((SYSTEM_STATE.+slice.+state.+changed )|(ment ac)|(system.+state.+changed )|(\|lc)|(penalty)|(\[timeout)|(PRM\|1\|D)|(kpr)|(kdp))" /e /r /s</v>
      </c>
      <c r="AG190" s="1" t="str">
        <f t="shared" si="103"/>
        <v>NW</v>
      </c>
      <c r="AH190" s="111" t="str">
        <f t="shared" si="104"/>
        <v>"%USERPROFILE%\Documents\GitHub\eaglep3\Utilities\RefineRTDCRunTimes.py" --tripid 1830-07 --locoid 4028 --swversion DE.1.0.7.0 --startMP 300:58678 --initTime 2016-08-07T20:40:47 --startdatetime 2016-08-07T20:42:06 --delay 1 --endMP 204:685 --enddatetime 2016-08-07T20:56:11 --enforcementcount 0</v>
      </c>
    </row>
    <row r="191" spans="1:34" x14ac:dyDescent="0.25">
      <c r="A191" s="25" t="s">
        <v>337</v>
      </c>
      <c r="B191" s="129">
        <v>4027</v>
      </c>
      <c r="C191" s="130" t="s">
        <v>147</v>
      </c>
      <c r="D191" s="130" t="s">
        <v>500</v>
      </c>
      <c r="E191" s="131">
        <v>42589.886747685188</v>
      </c>
      <c r="F191" s="131">
        <v>42589.888206018521</v>
      </c>
      <c r="G191" s="129">
        <v>2</v>
      </c>
      <c r="H191" s="131" t="s">
        <v>501</v>
      </c>
      <c r="I191" s="131">
        <v>42589.899606481478</v>
      </c>
      <c r="J191" s="129">
        <v>2</v>
      </c>
      <c r="K191" s="25" t="str">
        <f t="shared" si="85"/>
        <v>4027/4028</v>
      </c>
      <c r="L191" s="25" t="str">
        <f>VLOOKUP(A191,'Trips&amp;Operators'!$C$1:$E$10000,3,FALSE)</f>
        <v>STAMBAUGH</v>
      </c>
      <c r="M191" s="6">
        <f t="shared" si="94"/>
        <v>1.1400462957681157E-2</v>
      </c>
      <c r="N191" s="7">
        <f t="shared" si="90"/>
        <v>16.416666659060866</v>
      </c>
      <c r="O191" s="7"/>
      <c r="P191" s="7"/>
      <c r="Q191" s="26"/>
      <c r="R191" s="26"/>
      <c r="S191" s="38">
        <f t="shared" si="95"/>
        <v>1</v>
      </c>
      <c r="T191" s="55" t="str">
        <f t="shared" si="96"/>
        <v>NorthBound</v>
      </c>
      <c r="U191" s="14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1" s="57" t="str">
        <f t="shared" si="98"/>
        <v>N</v>
      </c>
      <c r="X191" s="154">
        <f t="shared" si="93"/>
        <v>1</v>
      </c>
      <c r="Y191" s="72">
        <f t="shared" si="91"/>
        <v>9.6500000000000002E-2</v>
      </c>
      <c r="Z191" s="72">
        <f t="shared" si="92"/>
        <v>5.8844000000000003</v>
      </c>
      <c r="AA191" s="72">
        <f t="shared" si="99"/>
        <v>5.7879000000000005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100"/>
        <v>1831-07</v>
      </c>
      <c r="AE191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91" s="107" t="str">
        <f t="shared" si="102"/>
        <v>"C:\Program Files (x86)\AstroGrep\AstroGrep.exe" /spath="%USERPROFILE%\AppData\Local\Temp\OnboardLogs" /stypes="*4027*20160808*" /stext=" 03:.+((SYSTEM_STATE.+slice.+state.+changed )|(ment ac)|(system.+state.+changed )|(\|lc)|(penalty)|(\[timeout)|(PRM\|1\|D)|(kpr)|(kdp))" /e /r /s</v>
      </c>
      <c r="AG191" s="1" t="str">
        <f t="shared" si="103"/>
        <v>NW</v>
      </c>
      <c r="AH191" s="111" t="str">
        <f t="shared" si="104"/>
        <v>"%USERPROFILE%\Documents\GitHub\eaglep3\Utilities\RefineRTDCRunTimes.py" --tripid 1831-07 --locoid 4027 --swversion DE.1.0.7.0 --startMP 204:965 --initTime 2016-08-07T21:16:55 --startdatetime 2016-08-07T21:19:01 --delay 2 --endMP 300:58844 --enddatetime 2016-08-07T21:35:26 --enforcementcount 2</v>
      </c>
    </row>
    <row r="192" spans="1:34" x14ac:dyDescent="0.25">
      <c r="A192" s="25" t="s">
        <v>502</v>
      </c>
      <c r="B192" s="129">
        <v>4028</v>
      </c>
      <c r="C192" s="130" t="s">
        <v>147</v>
      </c>
      <c r="D192" s="130" t="s">
        <v>503</v>
      </c>
      <c r="E192" s="131">
        <v>42589.900555555556</v>
      </c>
      <c r="F192" s="131">
        <v>42589.902511574073</v>
      </c>
      <c r="G192" s="129">
        <v>2</v>
      </c>
      <c r="H192" s="131" t="s">
        <v>504</v>
      </c>
      <c r="I192" s="131">
        <v>42589.914201388892</v>
      </c>
      <c r="J192" s="129">
        <v>0</v>
      </c>
      <c r="K192" s="25" t="str">
        <f t="shared" si="85"/>
        <v>4027/4028</v>
      </c>
      <c r="L192" s="25" t="str">
        <f>VLOOKUP(A192,'Trips&amp;Operators'!$C$1:$E$10000,3,FALSE)</f>
        <v>STAMBAUGH</v>
      </c>
      <c r="M192" s="6">
        <f t="shared" si="94"/>
        <v>1.1689814818964805E-2</v>
      </c>
      <c r="N192" s="7">
        <f t="shared" si="90"/>
        <v>16.83333333930932</v>
      </c>
      <c r="O192" s="7"/>
      <c r="P192" s="7"/>
      <c r="Q192" s="26"/>
      <c r="R192" s="26"/>
      <c r="S192" s="38">
        <f t="shared" si="95"/>
        <v>1</v>
      </c>
      <c r="T192" s="55" t="str">
        <f t="shared" si="96"/>
        <v>Southbound</v>
      </c>
      <c r="U192" s="14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20:36:48-0600',mode:absolute,to:'2016-08-07 22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92" s="57" t="str">
        <f t="shared" si="98"/>
        <v>N</v>
      </c>
      <c r="X192" s="154">
        <f t="shared" si="93"/>
        <v>1</v>
      </c>
      <c r="Y192" s="72">
        <f t="shared" si="91"/>
        <v>5.8034999999999997</v>
      </c>
      <c r="Z192" s="72">
        <f t="shared" si="92"/>
        <v>6.9400000000000003E-2</v>
      </c>
      <c r="AA192" s="72">
        <f t="shared" si="99"/>
        <v>5.7340999999999998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100"/>
        <v>1832-07</v>
      </c>
      <c r="AE192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92" s="107" t="str">
        <f t="shared" si="102"/>
        <v>"C:\Program Files (x86)\AstroGrep\AstroGrep.exe" /spath="%USERPROFILE%\AppData\Local\Temp\OnboardLogs" /stypes="*4028*20160808*" /stext=" 03:.+((SYSTEM_STATE.+slice.+state.+changed )|(ment ac)|(system.+state.+changed )|(\|lc)|(penalty)|(\[timeout)|(PRM\|1\|D)|(kpr)|(kdp))" /e /r /s</v>
      </c>
      <c r="AG192" s="1" t="str">
        <f t="shared" si="103"/>
        <v>NW</v>
      </c>
      <c r="AH192" s="111" t="str">
        <f t="shared" si="104"/>
        <v>"%USERPROFILE%\Documents\GitHub\eaglep3\Utilities\RefineRTDCRunTimes.py" --tripid 1832-07 --locoid 4028 --swversion DE.1.0.7.0 --startMP 300:58035 --initTime 2016-08-07T21:36:48 --startdatetime 2016-08-07T21:39:37 --delay 2 --endMP 204:694 --enddatetime 2016-08-07T21:56:27 --enforcementcount 0</v>
      </c>
    </row>
    <row r="193" spans="1:35" x14ac:dyDescent="0.25">
      <c r="A193" s="25" t="s">
        <v>338</v>
      </c>
      <c r="B193" s="129">
        <v>4027</v>
      </c>
      <c r="C193" s="130" t="s">
        <v>147</v>
      </c>
      <c r="D193" s="130" t="s">
        <v>482</v>
      </c>
      <c r="E193" s="131">
        <v>42589.928541666668</v>
      </c>
      <c r="F193" s="131">
        <v>42589.929398148146</v>
      </c>
      <c r="G193" s="129">
        <v>1</v>
      </c>
      <c r="H193" s="131" t="s">
        <v>505</v>
      </c>
      <c r="I193" s="131">
        <v>42589.941296296296</v>
      </c>
      <c r="J193" s="129">
        <v>1</v>
      </c>
      <c r="K193" s="25" t="str">
        <f t="shared" si="85"/>
        <v>4027/4028</v>
      </c>
      <c r="L193" s="25" t="str">
        <f>VLOOKUP(A193,'Trips&amp;Operators'!$C$1:$E$10000,3,FALSE)</f>
        <v>STAMBAUGH</v>
      </c>
      <c r="M193" s="6">
        <f t="shared" si="94"/>
        <v>1.1898148150066845E-2</v>
      </c>
      <c r="N193" s="7">
        <f t="shared" si="90"/>
        <v>17.133333336096257</v>
      </c>
      <c r="O193" s="7"/>
      <c r="P193" s="7"/>
      <c r="Q193" s="26"/>
      <c r="R193" s="26"/>
      <c r="S193" s="38">
        <f t="shared" si="95"/>
        <v>1</v>
      </c>
      <c r="T193" s="55" t="str">
        <f t="shared" si="96"/>
        <v>NorthBound</v>
      </c>
      <c r="U193" s="14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3" s="57" t="str">
        <f t="shared" si="98"/>
        <v>N</v>
      </c>
      <c r="X193" s="154">
        <f t="shared" si="93"/>
        <v>1</v>
      </c>
      <c r="Y193" s="72">
        <f t="shared" si="91"/>
        <v>9.8100000000000007E-2</v>
      </c>
      <c r="Z193" s="72">
        <f t="shared" si="92"/>
        <v>5.8982000000000001</v>
      </c>
      <c r="AA193" s="72">
        <f t="shared" si="99"/>
        <v>5.8001000000000005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100"/>
        <v>1833-07</v>
      </c>
      <c r="AE193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93" s="107" t="str">
        <f t="shared" si="102"/>
        <v>"C:\Program Files (x86)\AstroGrep\AstroGrep.exe" /spath="%USERPROFILE%\AppData\Local\Temp\OnboardLogs" /stypes="*4027*20160808*" /stext=" 04:.+((SYSTEM_STATE.+slice.+state.+changed )|(ment ac)|(system.+state.+changed )|(\|lc)|(penalty)|(\[timeout)|(PRM\|1\|D)|(kpr)|(kdp))" /e /r /s</v>
      </c>
      <c r="AG193" s="1" t="str">
        <f t="shared" si="103"/>
        <v>NW</v>
      </c>
      <c r="AH193" s="111" t="str">
        <f t="shared" si="104"/>
        <v>"%USERPROFILE%\Documents\GitHub\eaglep3\Utilities\RefineRTDCRunTimes.py" --tripid 1833-07 --locoid 4027 --swversion DE.1.0.7.0 --startMP 204:981 --initTime 2016-08-07T22:17:06 --startdatetime 2016-08-07T22:18:20 --delay 1 --endMP 300:58982 --enddatetime 2016-08-07T22:35:28 --enforcementcount 1</v>
      </c>
    </row>
    <row r="194" spans="1:35" x14ac:dyDescent="0.25">
      <c r="A194" s="25" t="s">
        <v>586</v>
      </c>
      <c r="B194" s="129">
        <v>4029</v>
      </c>
      <c r="C194" s="130" t="s">
        <v>147</v>
      </c>
      <c r="D194" s="130" t="s">
        <v>587</v>
      </c>
      <c r="E194" s="131">
        <v>42589.783761574072</v>
      </c>
      <c r="F194" s="131">
        <v>42589.78496527778</v>
      </c>
      <c r="G194" s="129">
        <v>1</v>
      </c>
      <c r="H194" s="131" t="s">
        <v>274</v>
      </c>
      <c r="I194" s="131">
        <v>42589.795324074075</v>
      </c>
      <c r="J194" s="129">
        <v>0</v>
      </c>
      <c r="K194" s="25" t="str">
        <f t="shared" si="85"/>
        <v>4029/4030</v>
      </c>
      <c r="L194" s="25" t="str">
        <f>VLOOKUP(A194,'Trips&amp;Operators'!$C$1:$E$10000,3,FALSE)</f>
        <v>MOSES</v>
      </c>
      <c r="M194" s="6">
        <f t="shared" si="94"/>
        <v>1.0358796294895001E-2</v>
      </c>
      <c r="N194" s="7">
        <f t="shared" si="90"/>
        <v>14.916666664648801</v>
      </c>
      <c r="O194" s="7"/>
      <c r="P194" s="7"/>
      <c r="Q194" s="26"/>
      <c r="R194" s="26"/>
      <c r="S194" s="38">
        <f t="shared" si="95"/>
        <v>1</v>
      </c>
      <c r="T194" s="55" t="str">
        <f t="shared" si="96"/>
        <v>NorthBound</v>
      </c>
      <c r="U194" s="14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17:48:37-0600',mode:absolute,to:'2016-08-07 20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94" s="57" t="str">
        <f t="shared" si="98"/>
        <v>Y</v>
      </c>
      <c r="X194" s="154">
        <f t="shared" si="93"/>
        <v>-1530</v>
      </c>
      <c r="Y194" s="72">
        <f t="shared" si="91"/>
        <v>6.1100000000000002E-2</v>
      </c>
      <c r="Z194" s="72">
        <f t="shared" si="92"/>
        <v>2.3300999999999998</v>
      </c>
      <c r="AA194" s="72">
        <f t="shared" si="99"/>
        <v>2.2689999999999997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100"/>
        <v>0303-07</v>
      </c>
      <c r="AE194" s="110" t="str">
        <f t="shared" si="101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194" s="107" t="str">
        <f t="shared" si="102"/>
        <v>"C:\Program Files (x86)\AstroGrep\AstroGrep.exe" /spath="%USERPROFILE%\AppData\Local\Temp\OnboardLogs" /stypes="*4029*20160808*" /stext=" 01:.+((SYSTEM_STATE.+slice.+state.+changed )|(ment ac)|(system.+state.+changed )|(\|lc)|(penalty)|(\[timeout)|(PRM\|1\|D)|(kpr)|(kdp))" /e /r /s</v>
      </c>
      <c r="AG194" s="1" t="str">
        <f t="shared" si="103"/>
        <v>Other</v>
      </c>
      <c r="AH194" s="111" t="str">
        <f t="shared" si="104"/>
        <v>"%USERPROFILE%\Documents\GitHub\eaglep3\Utilities\RefineRTDCRunTimes.py" --tripid 303-07 --locoid 4029 --swversion DE.1.0.7.0 --startMP 204:611 --initTime 2016-08-07T18:48:37 --startdatetime 2016-08-07T18:50:21 --delay 1 --endMP 300:23301 --enddatetime 2016-08-07T19:05:16 --enforcementcount 0</v>
      </c>
      <c r="AI194" s="24"/>
    </row>
    <row r="195" spans="1:35" x14ac:dyDescent="0.25">
      <c r="A195" s="25" t="s">
        <v>588</v>
      </c>
      <c r="B195" s="129">
        <v>4038</v>
      </c>
      <c r="C195" s="130" t="s">
        <v>147</v>
      </c>
      <c r="D195" s="130" t="s">
        <v>207</v>
      </c>
      <c r="E195" s="131">
        <v>42590.029756944445</v>
      </c>
      <c r="F195" s="131">
        <v>42590.030949074076</v>
      </c>
      <c r="G195" s="129">
        <v>1</v>
      </c>
      <c r="H195" s="131" t="s">
        <v>589</v>
      </c>
      <c r="I195" s="131">
        <v>42590.037430555552</v>
      </c>
      <c r="J195" s="129">
        <v>0</v>
      </c>
      <c r="K195" s="25" t="str">
        <f t="shared" si="85"/>
        <v>4037/4038</v>
      </c>
      <c r="L195" s="25" t="str">
        <f>VLOOKUP(A195,'Trips&amp;Operators'!$C$1:$E$10000,3,FALSE)</f>
        <v>LEVERE</v>
      </c>
      <c r="M195" s="6">
        <f t="shared" si="94"/>
        <v>6.4814814759301953E-3</v>
      </c>
      <c r="N195" s="7">
        <f t="shared" si="90"/>
        <v>9.3333333253394812</v>
      </c>
      <c r="O195" s="7"/>
      <c r="P195" s="7"/>
      <c r="Q195" s="26"/>
      <c r="R195" s="26"/>
      <c r="S195" s="38">
        <f t="shared" si="95"/>
        <v>1</v>
      </c>
      <c r="T195" s="55" t="str">
        <f t="shared" si="96"/>
        <v>NorthBound</v>
      </c>
      <c r="U195" s="14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23:42:51-0600',mode:absolute,to:'2016-08-08 01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95" s="57" t="str">
        <f t="shared" si="98"/>
        <v>Y</v>
      </c>
      <c r="X195" s="154">
        <f t="shared" si="93"/>
        <v>6</v>
      </c>
      <c r="Y195" s="72">
        <f t="shared" si="91"/>
        <v>4.7100000000000003E-2</v>
      </c>
      <c r="Z195" s="72">
        <f t="shared" si="92"/>
        <v>2.1981000000000002</v>
      </c>
      <c r="AA195" s="72">
        <f t="shared" si="99"/>
        <v>2.1510000000000002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100"/>
        <v>0309-07</v>
      </c>
      <c r="AE195" s="110" t="str">
        <f t="shared" si="101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195" s="107" t="str">
        <f t="shared" si="102"/>
        <v>"C:\Program Files (x86)\AstroGrep\AstroGrep.exe" /spath="%USERPROFILE%\AppData\Local\Temp\OnboardLogs" /stypes="*4038*20160808*" /stext=" 06:.+((SYSTEM_STATE.+slice.+state.+changed )|(ment ac)|(system.+state.+changed )|(\|lc)|(penalty)|(\[timeout)|(PRM\|1\|D)|(kpr)|(kdp))" /e /r /s</v>
      </c>
      <c r="AG195" s="1" t="str">
        <f t="shared" si="103"/>
        <v>Other</v>
      </c>
      <c r="AH195" s="111" t="str">
        <f t="shared" si="104"/>
        <v>"%USERPROFILE%\Documents\GitHub\eaglep3\Utilities\RefineRTDCRunTimes.py" --tripid 309-07 --locoid 4038 --swversion DE.1.0.7.0 --startMP 204:471 --initTime 2016-08-08T00:42:51 --startdatetime 2016-08-08T00:44:34 --delay 1 --endMP 300:21981 --enddatetime 2016-08-08T00:53:54 --enforcementcount 0</v>
      </c>
      <c r="AI195" s="24"/>
    </row>
    <row r="196" spans="1:35" x14ac:dyDescent="0.25">
      <c r="A196" s="25" t="s">
        <v>590</v>
      </c>
      <c r="B196" s="129">
        <v>4025</v>
      </c>
      <c r="C196" s="130" t="s">
        <v>147</v>
      </c>
      <c r="D196" s="130" t="s">
        <v>591</v>
      </c>
      <c r="E196" s="131">
        <v>42590.046435185184</v>
      </c>
      <c r="F196" s="131">
        <v>42590.048506944448</v>
      </c>
      <c r="G196" s="129">
        <v>2</v>
      </c>
      <c r="H196" s="131" t="s">
        <v>592</v>
      </c>
      <c r="I196" s="131">
        <v>42590.053194444445</v>
      </c>
      <c r="J196" s="129">
        <v>0</v>
      </c>
      <c r="K196" s="25" t="str">
        <f t="shared" si="85"/>
        <v>4025/4026</v>
      </c>
      <c r="L196" s="25" t="str">
        <f>VLOOKUP(A196,'Trips&amp;Operators'!$C$1:$E$10000,3,FALSE)</f>
        <v>COOLAHAN</v>
      </c>
      <c r="M196" s="6">
        <f t="shared" si="94"/>
        <v>4.687499997089617E-3</v>
      </c>
      <c r="N196" s="7">
        <f t="shared" si="90"/>
        <v>6.7499999958090484</v>
      </c>
      <c r="O196" s="7"/>
      <c r="P196" s="7"/>
      <c r="Q196" s="26"/>
      <c r="R196" s="26"/>
      <c r="S196" s="38">
        <f t="shared" si="95"/>
        <v>1</v>
      </c>
      <c r="T196" s="55" t="str">
        <f t="shared" si="96"/>
        <v>NorthBound</v>
      </c>
      <c r="U196" s="14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https://search-rtdc-monitor-bjffxe2xuh6vdkpspy63sjmuny.us-east-1.es.amazonaws.com/_plugin/kibana/#/discover/Steve-Slow-Train-Analysis-(2080s-and-2083s)?_g=(refreshInterval:(display:Off,section:0,value:0),time:(from:'2016-08-08 00:06:52-0600',mode:absolute,to:'2016-08-08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96" s="57" t="str">
        <f t="shared" si="98"/>
        <v>Y</v>
      </c>
      <c r="X196" s="154">
        <f t="shared" si="93"/>
        <v>2</v>
      </c>
      <c r="Y196" s="72">
        <f t="shared" si="91"/>
        <v>4.9099999999999998E-2</v>
      </c>
      <c r="Z196" s="72">
        <f t="shared" si="92"/>
        <v>2.2187000000000001</v>
      </c>
      <c r="AA196" s="72">
        <f t="shared" si="99"/>
        <v>2.1696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100"/>
        <v>0311-07</v>
      </c>
      <c r="AE196" s="110" t="str">
        <f t="shared" si="101"/>
        <v>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 &amp; 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</v>
      </c>
      <c r="AF196" s="107" t="str">
        <f t="shared" si="102"/>
        <v>"C:\Program Files (x86)\AstroGrep\AstroGrep.exe" /spath="%USERPROFILE%\AppData\Local\Temp\OnboardLogs" /stypes="*4025*20160808*" /stext=" 07:.+((SYSTEM_STATE.+slice.+state.+changed )|(ment ac)|(system.+state.+changed )|(\|lc)|(penalty)|(\[timeout)|(PRM\|1\|D)|(kpr)|(kdp))" /e /r /s</v>
      </c>
      <c r="AG196" s="1" t="str">
        <f t="shared" si="103"/>
        <v>Other</v>
      </c>
      <c r="AH196" s="111" t="str">
        <f t="shared" si="104"/>
        <v>"%USERPROFILE%\Documents\GitHub\eaglep3\Utilities\RefineRTDCRunTimes.py" --tripid 311-07 --locoid 4025 --swversion DE.1.0.7.0 --startMP 204:491 --initTime 2016-08-08T01:06:52 --startdatetime 2016-08-08T01:09:51 --delay 2 --endMP 300:22187 --enddatetime 2016-08-08T01:16:36 --enforcementcount 0</v>
      </c>
      <c r="AI196" s="24"/>
    </row>
    <row r="197" spans="1:35" x14ac:dyDescent="0.25">
      <c r="A197" s="25" t="s">
        <v>593</v>
      </c>
      <c r="B197" s="129">
        <v>4044</v>
      </c>
      <c r="C197" s="130" t="s">
        <v>147</v>
      </c>
      <c r="D197" s="130" t="s">
        <v>390</v>
      </c>
      <c r="E197" s="131">
        <v>42590.067824074074</v>
      </c>
      <c r="F197" s="131">
        <v>42590.068773148145</v>
      </c>
      <c r="G197" s="129">
        <v>1</v>
      </c>
      <c r="H197" s="131" t="s">
        <v>594</v>
      </c>
      <c r="I197" s="131">
        <v>42590.076307870368</v>
      </c>
      <c r="J197" s="129">
        <v>0</v>
      </c>
      <c r="K197" s="25" t="str">
        <f t="shared" si="85"/>
        <v>4043/4044</v>
      </c>
      <c r="L197" s="25" t="str">
        <f>VLOOKUP(A197,'Trips&amp;Operators'!$C$1:$E$10000,3,FALSE)</f>
        <v>NEWELL</v>
      </c>
      <c r="M197" s="6">
        <f t="shared" si="94"/>
        <v>7.5347222227719612E-3</v>
      </c>
      <c r="N197" s="7">
        <f t="shared" si="90"/>
        <v>10.850000000791624</v>
      </c>
      <c r="O197" s="7"/>
      <c r="P197" s="7"/>
      <c r="Q197" s="26"/>
      <c r="R197" s="26"/>
      <c r="S197" s="38">
        <f t="shared" si="95"/>
        <v>1</v>
      </c>
      <c r="T197" s="55" t="str">
        <f t="shared" si="96"/>
        <v>NorthBound</v>
      </c>
      <c r="U197" s="14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https://search-rtdc-monitor-bjffxe2xuh6vdkpspy63sjmuny.us-east-1.es.amazonaws.com/_plugin/kibana/#/discover/Steve-Slow-Train-Analysis-(2080s-and-2083s)?_g=(refreshInterval:(display:Off,section:0,value:0),time:(from:'2016-08-08 00:37:40-0600',mode:absolute,to:'2016-08-08 02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97" s="57" t="str">
        <f t="shared" si="98"/>
        <v>Y</v>
      </c>
      <c r="X197" s="154">
        <f t="shared" si="93"/>
        <v>2</v>
      </c>
      <c r="Y197" s="72">
        <f t="shared" si="91"/>
        <v>4.4200000000000003E-2</v>
      </c>
      <c r="Z197" s="72">
        <f t="shared" si="92"/>
        <v>2.3292999999999999</v>
      </c>
      <c r="AA197" s="72">
        <f t="shared" si="99"/>
        <v>2.2850999999999999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100"/>
        <v>0313-07</v>
      </c>
      <c r="AE197" s="110" t="str">
        <f t="shared" si="101"/>
        <v>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 &amp; aws s3 cp s3://rtdc.mdm.uploadarchive/RTDC4044/2016-08-09/ "%USERPROFILE%\AppData\Local\Temp\OnboardLogs"\RTDC4044\2016-08-09 --recursive &amp; "%USERPROFILE%\Documents\GitHub\mrs-test-scripts\Headless Mode &amp; Sideloading\WalkAndUnGZ.bat" "%USERPROFILE%\AppData\Local\Temp\OnboardLogs"\RTDC4044\2016-08-09</v>
      </c>
      <c r="AF197" s="107" t="str">
        <f t="shared" si="102"/>
        <v>"C:\Program Files (x86)\AstroGrep\AstroGrep.exe" /spath="%USERPROFILE%\AppData\Local\Temp\OnboardLogs" /stypes="*4044*20160808*" /stext=" 07:.+((SYSTEM_STATE.+slice.+state.+changed )|(ment ac)|(system.+state.+changed )|(\|lc)|(penalty)|(\[timeout)|(PRM\|1\|D)|(kpr)|(kdp))" /e /r /s</v>
      </c>
      <c r="AG197" s="1" t="str">
        <f t="shared" si="103"/>
        <v>Other</v>
      </c>
      <c r="AH197" s="111" t="str">
        <f t="shared" si="104"/>
        <v>"%USERPROFILE%\Documents\GitHub\eaglep3\Utilities\RefineRTDCRunTimes.py" --tripid 313-07 --locoid 4044 --swversion DE.1.0.7.0 --startMP 204:442 --initTime 2016-08-08T01:37:40 --startdatetime 2016-08-08T01:39:02 --delay 1 --endMP 300:23293 --enddatetime 2016-08-08T01:49:53 --enforcementcount 0</v>
      </c>
      <c r="AI197" s="24"/>
    </row>
    <row r="198" spans="1:35" x14ac:dyDescent="0.25">
      <c r="A198" s="25" t="s">
        <v>276</v>
      </c>
      <c r="B198" s="129">
        <v>4011</v>
      </c>
      <c r="C198" s="130" t="s">
        <v>147</v>
      </c>
      <c r="D198" s="130" t="s">
        <v>178</v>
      </c>
      <c r="E198" s="131">
        <v>42589.110254629632</v>
      </c>
      <c r="F198" s="131">
        <v>42589.110925925925</v>
      </c>
      <c r="G198" s="129">
        <v>0</v>
      </c>
      <c r="H198" s="131" t="s">
        <v>277</v>
      </c>
      <c r="I198" s="131">
        <v>42589.117465277777</v>
      </c>
      <c r="J198" s="129">
        <v>0</v>
      </c>
      <c r="K198" s="25" t="str">
        <f t="shared" si="85"/>
        <v>4011/4012</v>
      </c>
      <c r="L198" s="25" t="str">
        <f>VLOOKUP(A198,'Trips&amp;Operators'!$C$1:$E$10000,3,FALSE)</f>
        <v>GOLIGHTLY</v>
      </c>
      <c r="M198" s="6">
        <f t="shared" si="94"/>
        <v>6.5393518525524996E-3</v>
      </c>
      <c r="N198" s="7">
        <f t="shared" si="90"/>
        <v>9.4166666676755995</v>
      </c>
      <c r="O198" s="7"/>
      <c r="P198" s="7"/>
      <c r="Q198" s="26"/>
      <c r="R198" s="26"/>
      <c r="S198" s="38">
        <f t="shared" si="95"/>
        <v>1</v>
      </c>
      <c r="T198" s="55" t="str">
        <f t="shared" si="96"/>
        <v>NorthBound</v>
      </c>
      <c r="U198" s="14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98" s="57" t="str">
        <f t="shared" si="98"/>
        <v>Y</v>
      </c>
      <c r="X198" s="154">
        <f t="shared" si="93"/>
        <v>2</v>
      </c>
      <c r="Y198" s="72">
        <f t="shared" si="91"/>
        <v>4.5699999999999998E-2</v>
      </c>
      <c r="Z198" s="72">
        <f t="shared" si="92"/>
        <v>2.3121</v>
      </c>
      <c r="AA198" s="72">
        <f t="shared" si="99"/>
        <v>2.2664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100"/>
        <v>0315-06</v>
      </c>
      <c r="AE198" s="110" t="str">
        <f t="shared" si="101"/>
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</c>
      <c r="AF198" s="107" t="str">
        <f t="shared" si="102"/>
        <v>"C:\Program Files (x86)\AstroGrep\AstroGrep.exe" /spath="%USERPROFILE%\AppData\Local\Temp\OnboardLogs" /stypes="*4011*20160807*" /stext=" 08:.+((SYSTEM_STATE.+slice.+state.+changed )|(ment ac)|(system.+state.+changed )|(\|lc)|(penalty)|(\[timeout)|(PRM\|1\|D)|(kpr)|(kdp))" /e /r /s</v>
      </c>
      <c r="AG198" s="1" t="str">
        <f t="shared" si="103"/>
        <v>Other</v>
      </c>
      <c r="AH198" s="111" t="str">
        <f t="shared" si="104"/>
        <v>"%USERPROFILE%\Documents\GitHub\eaglep3\Utilities\RefineRTDCRunTimes.py" --tripid 315-06 --locoid 4011 --swversion DE.1.0.7.0 --startMP 204:457 --initTime 2016-08-07T02:38:46 --startdatetime 2016-08-07T02:39:44 --delay 0 --endMP 300:23121 --enddatetime 2016-08-07T02:49:09 --enforcementcount 0</v>
      </c>
      <c r="AI198" s="24"/>
    </row>
    <row r="199" spans="1:35" x14ac:dyDescent="0.25">
      <c r="A199" s="25" t="s">
        <v>595</v>
      </c>
      <c r="B199" s="129">
        <v>4018</v>
      </c>
      <c r="C199" s="130" t="s">
        <v>147</v>
      </c>
      <c r="D199" s="130" t="s">
        <v>596</v>
      </c>
      <c r="E199" s="131">
        <v>42590.090416666666</v>
      </c>
      <c r="F199" s="131">
        <v>42590.091458333336</v>
      </c>
      <c r="G199" s="129">
        <v>1</v>
      </c>
      <c r="H199" s="131" t="s">
        <v>272</v>
      </c>
      <c r="I199" s="131">
        <v>42590.098645833335</v>
      </c>
      <c r="J199" s="129">
        <v>0</v>
      </c>
      <c r="K199" s="25" t="str">
        <f t="shared" si="85"/>
        <v>4017/4018</v>
      </c>
      <c r="L199" s="25" t="str">
        <f>VLOOKUP(A199,'Trips&amp;Operators'!$C$1:$E$10000,3,FALSE)</f>
        <v>CHANDLE</v>
      </c>
      <c r="M199" s="6">
        <f t="shared" si="94"/>
        <v>7.1874999994179234E-3</v>
      </c>
      <c r="N199" s="7">
        <f t="shared" si="90"/>
        <v>10.34999999916181</v>
      </c>
      <c r="O199" s="7"/>
      <c r="P199" s="7"/>
      <c r="Q199" s="26"/>
      <c r="R199" s="26"/>
      <c r="S199" s="38">
        <f t="shared" si="95"/>
        <v>1</v>
      </c>
      <c r="T199" s="55" t="str">
        <f t="shared" si="96"/>
        <v>NorthBound</v>
      </c>
      <c r="U199" s="14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9" s="57" t="str">
        <f t="shared" si="98"/>
        <v>Y</v>
      </c>
      <c r="X199" s="154">
        <f t="shared" si="93"/>
        <v>0</v>
      </c>
      <c r="Y199" s="72">
        <f t="shared" si="91"/>
        <v>4.8000000000000001E-2</v>
      </c>
      <c r="Z199" s="72">
        <f t="shared" si="92"/>
        <v>2.3306</v>
      </c>
      <c r="AA199" s="72">
        <f t="shared" si="99"/>
        <v>2.2826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100"/>
        <v>0315-07</v>
      </c>
      <c r="AE199" s="110" t="str">
        <f t="shared" si="101"/>
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</c>
      <c r="AF199" s="107" t="str">
        <f t="shared" si="102"/>
        <v>"C:\Program Files (x86)\AstroGrep\AstroGrep.exe" /spath="%USERPROFILE%\AppData\Local\Temp\OnboardLogs" /stypes="*4018*20160808*" /stext=" 08:.+((SYSTEM_STATE.+slice.+state.+changed )|(ment ac)|(system.+state.+changed )|(\|lc)|(penalty)|(\[timeout)|(PRM\|1\|D)|(kpr)|(kdp))" /e /r /s</v>
      </c>
      <c r="AG199" s="1" t="str">
        <f t="shared" si="103"/>
        <v>Other</v>
      </c>
      <c r="AH199" s="111" t="str">
        <f t="shared" si="104"/>
        <v>"%USERPROFILE%\Documents\GitHub\eaglep3\Utilities\RefineRTDCRunTimes.py" --tripid 315-07 --locoid 4018 --swversion DE.1.0.7.0 --startMP 204:480 --initTime 2016-08-08T02:10:12 --startdatetime 2016-08-08T02:11:42 --delay 1 --endMP 300:23306 --enddatetime 2016-08-08T02:22:03 --enforcementcount 0</v>
      </c>
      <c r="AI199" s="24"/>
    </row>
    <row r="200" spans="1:35" x14ac:dyDescent="0.25">
      <c r="A200" s="25" t="s">
        <v>513</v>
      </c>
      <c r="B200" s="129">
        <v>4042</v>
      </c>
      <c r="C200" s="130" t="s">
        <v>147</v>
      </c>
      <c r="D200" s="130" t="s">
        <v>514</v>
      </c>
      <c r="E200" s="131">
        <v>42589.219768518517</v>
      </c>
      <c r="F200" s="131">
        <v>42589.227708333332</v>
      </c>
      <c r="G200" s="129">
        <v>11</v>
      </c>
      <c r="H200" s="131" t="s">
        <v>515</v>
      </c>
      <c r="I200" s="131">
        <v>42589.229409722226</v>
      </c>
      <c r="J200" s="129">
        <v>0</v>
      </c>
      <c r="K200" s="25" t="str">
        <f t="shared" si="85"/>
        <v>4041/4042</v>
      </c>
      <c r="L200" s="25" t="str">
        <f>VLOOKUP(A200,'Trips&amp;Operators'!$C$1:$E$10000,3,FALSE)</f>
        <v>STARKS</v>
      </c>
      <c r="M200" s="6">
        <f t="shared" si="94"/>
        <v>1.7013888937071897E-3</v>
      </c>
      <c r="N200" s="7">
        <f t="shared" si="90"/>
        <v>2.4500000069383532</v>
      </c>
      <c r="O200" s="7"/>
      <c r="P200" s="7"/>
      <c r="Q200" s="26"/>
      <c r="R200" s="26"/>
      <c r="S200" s="38">
        <f t="shared" si="95"/>
        <v>0</v>
      </c>
      <c r="T200" s="55" t="str">
        <f t="shared" si="96"/>
        <v>NorthBound</v>
      </c>
      <c r="U200" s="14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04:16:28-0600',mode:absolute,to:'2016-08-07 06:30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00" s="57" t="str">
        <f t="shared" si="98"/>
        <v>Y</v>
      </c>
      <c r="X200" s="154">
        <f t="shared" si="93"/>
        <v>1586</v>
      </c>
      <c r="Y200" s="72">
        <f t="shared" si="91"/>
        <v>2.7082999999999999</v>
      </c>
      <c r="Z200" s="72">
        <f t="shared" si="92"/>
        <v>2.8374000000000001</v>
      </c>
      <c r="AA200" s="72">
        <f t="shared" si="99"/>
        <v>0.12910000000000021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100"/>
        <v>1901-07</v>
      </c>
      <c r="AE200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200" s="107" t="str">
        <f t="shared" si="102"/>
        <v>"C:\Program Files (x86)\AstroGrep\AstroGrep.exe" /spath="%USERPROFILE%\AppData\Local\Temp\OnboardLogs" /stypes="*4042*20160807*" /stext=" 11:.+((SYSTEM_STATE.+slice.+state.+changed )|(ment ac)|(system.+state.+changed )|(\|lc)|(penalty)|(\[timeout)|(PRM\|1\|D)|(kpr)|(kdp))" /e /r /s</v>
      </c>
      <c r="AG200" s="1" t="str">
        <f t="shared" si="103"/>
        <v>Other</v>
      </c>
      <c r="AH200" s="111" t="str">
        <f t="shared" si="104"/>
        <v>"%USERPROFILE%\Documents\GitHub\eaglep3\Utilities\RefineRTDCRunTimes.py" --tripid 1901-07 --locoid 4042 --swversion DE.1.0.7.0 --startMP 300:27083 --initTime 2016-08-07T05:16:28 --startdatetime 2016-08-07T05:27:54 --delay 11 --endMP 300:28374 --enddatetime 2016-08-07T05:30:21 --enforcementcount 0</v>
      </c>
      <c r="AI200" s="24"/>
    </row>
    <row r="201" spans="1:35" x14ac:dyDescent="0.25">
      <c r="A201" s="25" t="s">
        <v>516</v>
      </c>
      <c r="B201" s="129">
        <v>4028</v>
      </c>
      <c r="C201" s="130" t="s">
        <v>147</v>
      </c>
      <c r="D201" s="130" t="s">
        <v>517</v>
      </c>
      <c r="E201" s="131">
        <v>42589.942731481482</v>
      </c>
      <c r="F201" s="131">
        <v>42589.943668981483</v>
      </c>
      <c r="G201" s="129">
        <v>1</v>
      </c>
      <c r="H201" s="131" t="s">
        <v>518</v>
      </c>
      <c r="I201" s="131">
        <v>42589.948750000003</v>
      </c>
      <c r="J201" s="129">
        <v>0</v>
      </c>
      <c r="K201" s="25" t="str">
        <f t="shared" si="85"/>
        <v>4027/4028</v>
      </c>
      <c r="L201" s="25" t="str">
        <f>VLOOKUP(A201,'Trips&amp;Operators'!$C$1:$E$10000,3,FALSE)</f>
        <v>STAMBAUGH</v>
      </c>
      <c r="M201" s="6">
        <f t="shared" si="94"/>
        <v>5.0810185202863067E-3</v>
      </c>
      <c r="N201" s="7">
        <f t="shared" si="90"/>
        <v>7.3166666692122817</v>
      </c>
      <c r="O201" s="7"/>
      <c r="P201" s="7"/>
      <c r="Q201" s="26"/>
      <c r="R201" s="26"/>
      <c r="S201" s="38">
        <f t="shared" si="95"/>
        <v>0</v>
      </c>
      <c r="T201" s="55" t="str">
        <f t="shared" si="96"/>
        <v>Southbound</v>
      </c>
      <c r="U201" s="14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21:37:32-0600',mode:absolute,to:'2016-08-07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201" s="57" t="str">
        <f t="shared" si="98"/>
        <v>Y</v>
      </c>
      <c r="X201" s="154">
        <f t="shared" si="93"/>
        <v>1</v>
      </c>
      <c r="Y201" s="72">
        <f t="shared" si="91"/>
        <v>5.8666</v>
      </c>
      <c r="Z201" s="72">
        <f t="shared" si="92"/>
        <v>2.1280000000000001</v>
      </c>
      <c r="AA201" s="72">
        <f t="shared" si="99"/>
        <v>3.7385999999999999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100"/>
        <v>1902-07</v>
      </c>
      <c r="AE201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201" s="107" t="str">
        <f t="shared" si="102"/>
        <v>"C:\Program Files (x86)\AstroGrep\AstroGrep.exe" /spath="%USERPROFILE%\AppData\Local\Temp\OnboardLogs" /stypes="*4028*20160808*" /stext=" 04:.+((SYSTEM_STATE.+slice.+state.+changed )|(ment ac)|(system.+state.+changed )|(\|lc)|(penalty)|(\[timeout)|(PRM\|1\|D)|(kpr)|(kdp))" /e /r /s</v>
      </c>
      <c r="AG201" s="1" t="str">
        <f t="shared" si="103"/>
        <v>Other</v>
      </c>
      <c r="AH201" s="111" t="str">
        <f t="shared" si="104"/>
        <v>"%USERPROFILE%\Documents\GitHub\eaglep3\Utilities\RefineRTDCRunTimes.py" --tripid 1902-07 --locoid 4028 --swversion DE.1.0.7.0 --startMP 300:58666 --initTime 2016-08-07T22:37:32 --startdatetime 2016-08-07T22:38:53 --delay 1 --endMP 300:21280 --enddatetime 2016-08-07T22:46:12 --enforcementcount 0</v>
      </c>
      <c r="AI201" s="24"/>
    </row>
  </sheetData>
  <autoFilter ref="A12:AG20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35" priority="118" operator="equal">
      <formula>"Y"</formula>
    </cfRule>
  </conditionalFormatting>
  <conditionalFormatting sqref="X13:X1048576">
    <cfRule type="cellIs" dxfId="34" priority="101" operator="greaterThan">
      <formula>1</formula>
    </cfRule>
  </conditionalFormatting>
  <conditionalFormatting sqref="X12:X1048576">
    <cfRule type="cellIs" dxfId="33" priority="98" operator="equal">
      <formula>0</formula>
    </cfRule>
  </conditionalFormatting>
  <conditionalFormatting sqref="N125:S157 O13:O123 Q13:S123 A13:M157 A158:S201">
    <cfRule type="expression" dxfId="32" priority="94">
      <formula>$O13&gt;0</formula>
    </cfRule>
  </conditionalFormatting>
  <conditionalFormatting sqref="N125:S157 O13:O123 Q13:S123 A13:M157 A158:S201">
    <cfRule type="expression" dxfId="31" priority="93">
      <formula>$P13&gt;0</formula>
    </cfRule>
  </conditionalFormatting>
  <conditionalFormatting sqref="P13:P21 P72:P91 P93:P100 P102:P123 P23:P70">
    <cfRule type="expression" dxfId="30" priority="36">
      <formula>$O13&gt;0</formula>
    </cfRule>
  </conditionalFormatting>
  <conditionalFormatting sqref="P13:P21 P72:P91 P93:P100 P102:P123 P23:P70">
    <cfRule type="expression" dxfId="29" priority="35">
      <formula>$P13&gt;0</formula>
    </cfRule>
  </conditionalFormatting>
  <conditionalFormatting sqref="N13:N123">
    <cfRule type="expression" dxfId="28" priority="33">
      <formula>$O13&gt;0</formula>
    </cfRule>
  </conditionalFormatting>
  <conditionalFormatting sqref="N13:N123">
    <cfRule type="expression" dxfId="27" priority="32">
      <formula>$P13&gt;0</formula>
    </cfRule>
  </conditionalFormatting>
  <conditionalFormatting sqref="P22">
    <cfRule type="expression" dxfId="26" priority="30">
      <formula>$O22&gt;0</formula>
    </cfRule>
  </conditionalFormatting>
  <conditionalFormatting sqref="P22">
    <cfRule type="expression" dxfId="25" priority="29">
      <formula>$P22&gt;0</formula>
    </cfRule>
  </conditionalFormatting>
  <conditionalFormatting sqref="P71">
    <cfRule type="expression" dxfId="24" priority="24">
      <formula>$O71&gt;0</formula>
    </cfRule>
  </conditionalFormatting>
  <conditionalFormatting sqref="P71">
    <cfRule type="expression" dxfId="23" priority="23">
      <formula>$P71&gt;0</formula>
    </cfRule>
  </conditionalFormatting>
  <conditionalFormatting sqref="P92">
    <cfRule type="expression" dxfId="22" priority="15">
      <formula>$O92&gt;0</formula>
    </cfRule>
  </conditionalFormatting>
  <conditionalFormatting sqref="P92">
    <cfRule type="expression" dxfId="21" priority="14">
      <formula>$P92&gt;0</formula>
    </cfRule>
  </conditionalFormatting>
  <conditionalFormatting sqref="P101">
    <cfRule type="expression" dxfId="20" priority="12">
      <formula>$O101&gt;0</formula>
    </cfRule>
  </conditionalFormatting>
  <conditionalFormatting sqref="P101">
    <cfRule type="expression" dxfId="19" priority="11">
      <formula>$P101&gt;0</formula>
    </cfRule>
  </conditionalFormatting>
  <conditionalFormatting sqref="O124 Q124:S124">
    <cfRule type="expression" dxfId="18" priority="9">
      <formula>$O124&gt;0</formula>
    </cfRule>
  </conditionalFormatting>
  <conditionalFormatting sqref="O124 Q124:S124">
    <cfRule type="expression" dxfId="17" priority="8">
      <formula>$P124&gt;0</formula>
    </cfRule>
  </conditionalFormatting>
  <conditionalFormatting sqref="N124">
    <cfRule type="expression" dxfId="16" priority="6">
      <formula>$O124&gt;0</formula>
    </cfRule>
  </conditionalFormatting>
  <conditionalFormatting sqref="N124">
    <cfRule type="expression" dxfId="15" priority="5">
      <formula>$P124&gt;0</formula>
    </cfRule>
  </conditionalFormatting>
  <conditionalFormatting sqref="P124">
    <cfRule type="expression" dxfId="14" priority="3">
      <formula>$O124&gt;0</formula>
    </cfRule>
  </conditionalFormatting>
  <conditionalFormatting sqref="P124">
    <cfRule type="expression" dxfId="13" priority="2">
      <formula>$P124&gt;0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N125:S157 O13:O123 Q13:S123 A13:M157 A158:S201</xm:sqref>
        </x14:conditionalFormatting>
        <x14:conditionalFormatting xmlns:xm="http://schemas.microsoft.com/office/excel/2006/main">
          <x14:cfRule type="expression" priority="34" id="{BE0B9365-755C-4C72-8A87-8E3413FE342D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P13:P21 P72:P91 P93:P100 P102:P123 P23:P70</xm:sqref>
        </x14:conditionalFormatting>
        <x14:conditionalFormatting xmlns:xm="http://schemas.microsoft.com/office/excel/2006/main">
          <x14:cfRule type="expression" priority="31" id="{E2A8EF86-9D39-4B83-AC99-075494DA667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N13:N123</xm:sqref>
        </x14:conditionalFormatting>
        <x14:conditionalFormatting xmlns:xm="http://schemas.microsoft.com/office/excel/2006/main">
          <x14:cfRule type="expression" priority="28" id="{28EBB153-07F9-4D49-9B66-3B82DB024DF9}">
            <xm:f>IF($AG22="EC",$N22&gt;Variables!$C$2,$N22&gt;Variables!$D$2)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22" id="{D0B68A9B-81DC-4F75-A365-B11D4E1C89FD}">
            <xm:f>IF($AG71="EC",$N71&gt;Variables!$C$2,$N71&gt;Variables!$D$2)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P71</xm:sqref>
        </x14:conditionalFormatting>
        <x14:conditionalFormatting xmlns:xm="http://schemas.microsoft.com/office/excel/2006/main">
          <x14:cfRule type="expression" priority="13" id="{FF34A910-9A27-4B24-8E86-97EF14B7E13B}">
            <xm:f>IF($AG92="EC",$N92&gt;Variables!$C$2,$N92&gt;Variables!$D$2)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P92</xm:sqref>
        </x14:conditionalFormatting>
        <x14:conditionalFormatting xmlns:xm="http://schemas.microsoft.com/office/excel/2006/main">
          <x14:cfRule type="expression" priority="10" id="{07CD7983-CA5E-4AA3-B607-22A300F68566}">
            <xm:f>IF($AG101="EC",$N101&gt;Variables!$C$2,$N101&gt;Variables!$D$2)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P101</xm:sqref>
        </x14:conditionalFormatting>
        <x14:conditionalFormatting xmlns:xm="http://schemas.microsoft.com/office/excel/2006/main">
          <x14:cfRule type="expression" priority="7" id="{D6548514-A127-4776-9DAC-876B74693930}">
            <xm:f>IF($AG124="EC",$N124&gt;Variables!$C$2,$N124&gt;Variables!$D$2)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O124 Q124:S124</xm:sqref>
        </x14:conditionalFormatting>
        <x14:conditionalFormatting xmlns:xm="http://schemas.microsoft.com/office/excel/2006/main">
          <x14:cfRule type="expression" priority="4" id="{073212B6-2A48-4C88-A3DB-554045338E30}">
            <xm:f>IF($AG124="EC",$N124&gt;Variables!$C$2,$N124&gt;Variables!$D$2)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N124</xm:sqref>
        </x14:conditionalFormatting>
        <x14:conditionalFormatting xmlns:xm="http://schemas.microsoft.com/office/excel/2006/main">
          <x14:cfRule type="expression" priority="1" id="{3E7DB6DC-2536-49E3-A5A7-6E9B11FCC9AE}">
            <xm:f>IF($AG124="EC",$N124&gt;Variables!$C$2,$N124&gt;Variables!$D$2)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9"/>
  <sheetViews>
    <sheetView topLeftCell="A13" workbookViewId="0">
      <selection activeCell="N29" sqref="N2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4.28515625" customWidth="1"/>
    <col min="14" max="14" width="24.140625" customWidth="1"/>
    <col min="15" max="15" width="5" hidden="1" customWidth="1"/>
    <col min="16" max="16" width="5.7109375" style="108" customWidth="1"/>
    <col min="17" max="17" width="5.7109375" style="122" customWidth="1"/>
    <col min="18" max="18" width="6" style="105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P1" s="108"/>
      <c r="Q1" s="122"/>
      <c r="R1" s="105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97</v>
      </c>
      <c r="L2" s="75"/>
      <c r="M2" s="77">
        <f>COUNTIF($M$7:$M$444,"=Y")</f>
        <v>6</v>
      </c>
      <c r="P2" s="108"/>
      <c r="Q2" s="122"/>
      <c r="R2" s="105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98</v>
      </c>
      <c r="L3" s="76"/>
      <c r="M3" s="78">
        <f>COUNTA($M$7:$M$444)-M2</f>
        <v>56</v>
      </c>
      <c r="P3" s="108"/>
      <c r="Q3" s="122"/>
      <c r="R3" s="105"/>
      <c r="T3" s="53"/>
    </row>
    <row r="4" spans="1:22" s="24" customFormat="1" x14ac:dyDescent="0.25">
      <c r="A4" s="8"/>
      <c r="F4" s="2"/>
      <c r="G4" s="2"/>
      <c r="H4" s="2"/>
      <c r="J4" s="2"/>
      <c r="L4" s="31"/>
      <c r="P4" s="108"/>
      <c r="Q4" s="122"/>
      <c r="R4" s="105"/>
      <c r="T4" s="53"/>
    </row>
    <row r="5" spans="1:22" s="12" customFormat="1" ht="15" customHeight="1" x14ac:dyDescent="0.25">
      <c r="A5" s="140" t="str">
        <f>"Eagle P3 Braking Events - "&amp;TEXT(Variables!$A$2,"YYYY-mm-dd")</f>
        <v>Eagle P3 Braking Events - 2016-08-07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3"/>
      <c r="P5" s="119"/>
      <c r="Q5" s="123"/>
      <c r="R5" s="126"/>
      <c r="T5" s="54"/>
    </row>
    <row r="6" spans="1:22" s="1" customFormat="1" ht="135" x14ac:dyDescent="0.25">
      <c r="A6" s="11" t="s">
        <v>38</v>
      </c>
      <c r="B6" s="79" t="s">
        <v>37</v>
      </c>
      <c r="C6" s="79" t="s">
        <v>36</v>
      </c>
      <c r="D6" s="79" t="s">
        <v>35</v>
      </c>
      <c r="E6" s="79" t="s">
        <v>34</v>
      </c>
      <c r="F6" s="80" t="s">
        <v>33</v>
      </c>
      <c r="G6" s="80" t="s">
        <v>32</v>
      </c>
      <c r="H6" s="80" t="s">
        <v>31</v>
      </c>
      <c r="I6" s="79" t="s">
        <v>30</v>
      </c>
      <c r="J6" s="80" t="s">
        <v>29</v>
      </c>
      <c r="K6" s="79" t="s">
        <v>28</v>
      </c>
      <c r="L6" s="17" t="s">
        <v>47</v>
      </c>
      <c r="M6" s="79" t="s">
        <v>27</v>
      </c>
      <c r="N6" s="79" t="s">
        <v>24</v>
      </c>
      <c r="O6" s="55"/>
      <c r="P6" s="120" t="s">
        <v>119</v>
      </c>
      <c r="Q6" s="124" t="s">
        <v>65</v>
      </c>
      <c r="R6" s="127" t="s">
        <v>118</v>
      </c>
      <c r="S6" s="79" t="s">
        <v>113</v>
      </c>
      <c r="T6" s="81" t="s">
        <v>114</v>
      </c>
      <c r="U6" s="55" t="s">
        <v>130</v>
      </c>
      <c r="V6" s="55" t="s">
        <v>135</v>
      </c>
    </row>
    <row r="7" spans="1:22" s="1" customFormat="1" x14ac:dyDescent="0.25">
      <c r="A7" s="41">
        <v>42589.370532407411</v>
      </c>
      <c r="B7" s="34" t="s">
        <v>110</v>
      </c>
      <c r="C7" s="34" t="s">
        <v>302</v>
      </c>
      <c r="D7" s="34" t="s">
        <v>49</v>
      </c>
      <c r="E7" s="34" t="s">
        <v>126</v>
      </c>
      <c r="F7" s="52">
        <v>0</v>
      </c>
      <c r="G7" s="52">
        <v>334</v>
      </c>
      <c r="H7" s="52">
        <v>33105</v>
      </c>
      <c r="I7" s="34" t="s">
        <v>127</v>
      </c>
      <c r="J7" s="52">
        <v>33137</v>
      </c>
      <c r="K7" s="34" t="s">
        <v>52</v>
      </c>
      <c r="L7" s="103" t="str">
        <f>VLOOKUP(C7,'Trips&amp;Operators'!$C$1:$E$9999,3,0)</f>
        <v>STORY</v>
      </c>
      <c r="M7" s="9" t="s">
        <v>96</v>
      </c>
      <c r="N7" s="10" t="s">
        <v>285</v>
      </c>
      <c r="O7" s="34"/>
      <c r="P7" s="121" t="str">
        <f>VLOOKUP(C7,'Train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7" s="125" t="str">
        <f>VLOOKUP(C7,'Train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7" s="128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/stypes="*4007*201608071*" /stext=" 14:.+((SYSTEM_STATE.+slice.+state.+changed )|(ment ac)|(system.+state.+changed )|(\|lc)|(penalty)|(\[timeout)|(PRM\|1\|D)|(kpr)|(kdp))" /e /r /s</v>
      </c>
      <c r="S7" s="9" t="str">
        <f t="shared" ref="S7:S38" si="1">MID(B7,13,4)</f>
        <v>4007</v>
      </c>
      <c r="T7" s="41">
        <f t="shared" ref="T7:T38" si="2">A7+6/24</f>
        <v>42589.620532407411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42589.34165509259</v>
      </c>
      <c r="B8" s="34" t="s">
        <v>157</v>
      </c>
      <c r="C8" s="34" t="s">
        <v>297</v>
      </c>
      <c r="D8" s="34" t="s">
        <v>49</v>
      </c>
      <c r="E8" s="34" t="s">
        <v>126</v>
      </c>
      <c r="F8" s="52">
        <v>0</v>
      </c>
      <c r="G8" s="52">
        <v>298</v>
      </c>
      <c r="H8" s="52">
        <v>33385</v>
      </c>
      <c r="I8" s="34" t="s">
        <v>127</v>
      </c>
      <c r="J8" s="52">
        <v>33257</v>
      </c>
      <c r="K8" s="34" t="s">
        <v>53</v>
      </c>
      <c r="L8" s="103" t="str">
        <f>VLOOKUP(C8,'Trips&amp;Operators'!$C$1:$E$9999,3,0)</f>
        <v>STRICKLAND</v>
      </c>
      <c r="M8" s="9" t="s">
        <v>96</v>
      </c>
      <c r="N8" s="10" t="s">
        <v>285</v>
      </c>
      <c r="O8" s="34"/>
      <c r="P8" s="121" t="str">
        <f>VLOOKUP(C8,'Train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8" s="125" t="str">
        <f>VLOOKUP(C8,'Train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8" s="128" t="str">
        <f t="shared" si="0"/>
        <v>"C:\Program Files (x86)\AstroGrep\AstroGrep.exe" /spath="%USERPROFILE%\AppData\Local\Temp\OnboardLogs" /stypes="*4037*201608071*" /stext=" 14:.+((SYSTEM_STATE.+slice.+state.+changed )|(ment ac)|(system.+state.+changed )|(\|lc)|(penalty)|(\[timeout)|(PRM\|1\|D)|(kpr)|(kdp))" /e /r /s</v>
      </c>
      <c r="S8" s="9" t="str">
        <f t="shared" si="1"/>
        <v>4037</v>
      </c>
      <c r="T8" s="41">
        <f t="shared" si="2"/>
        <v>42589.59165509259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42589.602094907408</v>
      </c>
      <c r="B9" s="34" t="s">
        <v>175</v>
      </c>
      <c r="C9" s="34" t="s">
        <v>319</v>
      </c>
      <c r="D9" s="34" t="s">
        <v>49</v>
      </c>
      <c r="E9" s="34" t="s">
        <v>126</v>
      </c>
      <c r="F9" s="52">
        <v>0</v>
      </c>
      <c r="G9" s="52">
        <v>284</v>
      </c>
      <c r="H9" s="52">
        <v>33485</v>
      </c>
      <c r="I9" s="34" t="s">
        <v>127</v>
      </c>
      <c r="J9" s="52">
        <v>33257</v>
      </c>
      <c r="K9" s="34" t="s">
        <v>53</v>
      </c>
      <c r="L9" s="103" t="str">
        <f>VLOOKUP(C9,'Trips&amp;Operators'!$C$1:$E$9999,3,0)</f>
        <v>BARTLETT</v>
      </c>
      <c r="M9" s="9" t="s">
        <v>96</v>
      </c>
      <c r="N9" s="10" t="s">
        <v>285</v>
      </c>
      <c r="O9" s="34"/>
      <c r="P9" s="121" t="str">
        <f>VLOOKUP(C9,'Train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9" s="125" t="str">
        <f>VLOOKUP(C9,'Train Runs'!$A$13:$AE$524,22,0)</f>
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9" s="128" t="str">
        <f t="shared" si="0"/>
        <v>"C:\Program Files (x86)\AstroGrep\AstroGrep.exe" /spath="%USERPROFILE%\AppData\Local\Temp\OnboardLogs" /stypes="*4043*201608072*" /stext=" 20:.+((SYSTEM_STATE.+slice.+state.+changed )|(ment ac)|(system.+state.+changed )|(\|lc)|(penalty)|(\[timeout)|(PRM\|1\|D)|(kpr)|(kdp))" /e /r /s</v>
      </c>
      <c r="S9" s="9" t="str">
        <f t="shared" si="1"/>
        <v>4043</v>
      </c>
      <c r="T9" s="41">
        <f t="shared" si="2"/>
        <v>42589.852094907408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42589.759282407409</v>
      </c>
      <c r="B10" s="34" t="s">
        <v>129</v>
      </c>
      <c r="C10" s="34" t="s">
        <v>332</v>
      </c>
      <c r="D10" s="34" t="s">
        <v>49</v>
      </c>
      <c r="E10" s="34" t="s">
        <v>126</v>
      </c>
      <c r="F10" s="52">
        <v>0</v>
      </c>
      <c r="G10" s="52">
        <v>39</v>
      </c>
      <c r="H10" s="52">
        <v>42701</v>
      </c>
      <c r="I10" s="34" t="s">
        <v>127</v>
      </c>
      <c r="J10" s="52">
        <v>42779</v>
      </c>
      <c r="K10" s="34" t="s">
        <v>52</v>
      </c>
      <c r="L10" s="103" t="str">
        <f>VLOOKUP(C10,'Trips&amp;Operators'!$C$1:$E$9999,3,0)</f>
        <v>SHOOK</v>
      </c>
      <c r="M10" s="9" t="s">
        <v>96</v>
      </c>
      <c r="N10" s="10" t="s">
        <v>286</v>
      </c>
      <c r="O10" s="34"/>
      <c r="P10" s="121" t="str">
        <f>VLOOKUP(C10,'Train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Q10" s="125" t="str">
        <f>VLOOKUP(C10,'Train Runs'!$A$13:$AE$524,22,0)</f>
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10" s="128" t="str">
        <f t="shared" si="0"/>
        <v>"C:\Program Files (x86)\AstroGrep\AstroGrep.exe" /spath="%USERPROFILE%\AppData\Local\Temp\OnboardLogs" /stypes="*4016*201608080*" /stext=" 00:.+((SYSTEM_STATE.+slice.+state.+changed )|(ment ac)|(system.+state.+changed )|(\|lc)|(penalty)|(\[timeout)|(PRM\|1\|D)|(kpr)|(kdp))" /e /r /s</v>
      </c>
      <c r="S10" s="9" t="str">
        <f t="shared" si="1"/>
        <v>4016</v>
      </c>
      <c r="T10" s="41">
        <f t="shared" si="2"/>
        <v>42590.009282407409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42589.468055555553</v>
      </c>
      <c r="B11" s="34" t="s">
        <v>69</v>
      </c>
      <c r="C11" s="34" t="s">
        <v>311</v>
      </c>
      <c r="D11" s="34" t="s">
        <v>49</v>
      </c>
      <c r="E11" s="34" t="s">
        <v>126</v>
      </c>
      <c r="F11" s="52">
        <v>0</v>
      </c>
      <c r="G11" s="52">
        <v>61</v>
      </c>
      <c r="H11" s="52">
        <v>59139</v>
      </c>
      <c r="I11" s="34" t="s">
        <v>127</v>
      </c>
      <c r="J11" s="52">
        <v>58904</v>
      </c>
      <c r="K11" s="34" t="s">
        <v>53</v>
      </c>
      <c r="L11" s="103" t="str">
        <f>VLOOKUP(C11,'Trips&amp;Operators'!$C$1:$E$9999,3,0)</f>
        <v>DAVIS</v>
      </c>
      <c r="M11" s="9" t="s">
        <v>96</v>
      </c>
      <c r="N11" s="10" t="s">
        <v>286</v>
      </c>
      <c r="O11" s="34"/>
      <c r="P11" s="121" t="str">
        <f>VLOOKUP(C11,'Train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11" s="125" t="str">
        <f>VLOOKUP(C11,'Train Runs'!$A$13:$AE$524,22,0)</f>
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1" s="128" t="str">
        <f t="shared" si="0"/>
        <v>"C:\Program Files (x86)\AstroGrep\AstroGrep.exe" /spath="%USERPROFILE%\AppData\Local\Temp\OnboardLogs" /stypes="*4017*201608071*" /stext=" 17:.+((SYSTEM_STATE.+slice.+state.+changed )|(ment ac)|(system.+state.+changed )|(\|lc)|(penalty)|(\[timeout)|(PRM\|1\|D)|(kpr)|(kdp))" /e /r /s</v>
      </c>
      <c r="S11" s="9" t="str">
        <f t="shared" si="1"/>
        <v>4017</v>
      </c>
      <c r="T11" s="41">
        <f t="shared" si="2"/>
        <v>42589.718055555553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42589.752881944441</v>
      </c>
      <c r="B12" s="34" t="s">
        <v>66</v>
      </c>
      <c r="C12" s="34" t="s">
        <v>330</v>
      </c>
      <c r="D12" s="34" t="s">
        <v>49</v>
      </c>
      <c r="E12" s="34" t="s">
        <v>126</v>
      </c>
      <c r="F12" s="52">
        <v>0</v>
      </c>
      <c r="G12" s="52">
        <v>388</v>
      </c>
      <c r="H12" s="52">
        <v>109150</v>
      </c>
      <c r="I12" s="34" t="s">
        <v>127</v>
      </c>
      <c r="J12" s="52">
        <v>109135</v>
      </c>
      <c r="K12" s="34" t="s">
        <v>53</v>
      </c>
      <c r="L12" s="103" t="str">
        <f>VLOOKUP(C12,'Trips&amp;Operators'!$C$1:$E$9999,3,0)</f>
        <v>DE LA ROSA</v>
      </c>
      <c r="M12" s="9" t="s">
        <v>96</v>
      </c>
      <c r="N12" s="10" t="s">
        <v>285</v>
      </c>
      <c r="O12" s="34"/>
      <c r="P12" s="121" t="str">
        <f>VLOOKUP(C12,'Train Runs'!$A$13:$AE$524,31,0)</f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Q12" s="125" t="str">
        <f>VLOOKUP(C12,'Train Runs'!$A$13:$AE$524,22,0)</f>
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2" s="128" t="str">
        <f t="shared" si="0"/>
        <v>"C:\Program Files (x86)\AstroGrep\AstroGrep.exe" /spath="%USERPROFILE%\AppData\Local\Temp\OnboardLogs" /stypes="*4019*201608080*" /stext=" 00:.+((SYSTEM_STATE.+slice.+state.+changed )|(ment ac)|(system.+state.+changed )|(\|lc)|(penalty)|(\[timeout)|(PRM\|1\|D)|(kpr)|(kdp))" /e /r /s</v>
      </c>
      <c r="S12" s="9" t="str">
        <f t="shared" si="1"/>
        <v>4019</v>
      </c>
      <c r="T12" s="41">
        <f t="shared" si="2"/>
        <v>42590.002881944441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42589.355312500003</v>
      </c>
      <c r="B13" s="34" t="s">
        <v>100</v>
      </c>
      <c r="C13" s="34" t="s">
        <v>300</v>
      </c>
      <c r="D13" s="34" t="s">
        <v>136</v>
      </c>
      <c r="E13" s="34" t="s">
        <v>56</v>
      </c>
      <c r="F13" s="52">
        <v>150</v>
      </c>
      <c r="G13" s="52">
        <v>206</v>
      </c>
      <c r="H13" s="52">
        <v>3333</v>
      </c>
      <c r="I13" s="34" t="s">
        <v>57</v>
      </c>
      <c r="J13" s="52">
        <v>0</v>
      </c>
      <c r="K13" s="34" t="s">
        <v>52</v>
      </c>
      <c r="L13" s="103" t="str">
        <f>VLOOKUP(C13,'Trips&amp;Operators'!$C$1:$E$9999,3,0)</f>
        <v>STRICKLAND</v>
      </c>
      <c r="M13" s="9" t="s">
        <v>96</v>
      </c>
      <c r="N13" s="10"/>
      <c r="O13" s="34"/>
      <c r="P13" s="121" t="str">
        <f>VLOOKUP(C13,'Train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13" s="125" t="str">
        <f>VLOOKUP(C13,'Train Runs'!$A$13:$AE$524,22,0)</f>
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" s="128" t="str">
        <f t="shared" si="0"/>
        <v>"C:\Program Files (x86)\AstroGrep\AstroGrep.exe" /spath="%USERPROFILE%\AppData\Local\Temp\OnboardLogs" /stypes="*4038*201608071*" /stext=" 14:.+((SYSTEM_STATE.+slice.+state.+changed )|(ment ac)|(system.+state.+changed )|(\|lc)|(penalty)|(\[timeout)|(PRM\|1\|D)|(kpr)|(kdp))" /e /r /s</v>
      </c>
      <c r="S13" s="9" t="str">
        <f t="shared" si="1"/>
        <v>4038</v>
      </c>
      <c r="T13" s="41">
        <f t="shared" si="2"/>
        <v>42589.605312500003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42589.35255787037</v>
      </c>
      <c r="B14" s="34" t="s">
        <v>109</v>
      </c>
      <c r="C14" s="34" t="s">
        <v>299</v>
      </c>
      <c r="D14" s="34" t="s">
        <v>49</v>
      </c>
      <c r="E14" s="34" t="s">
        <v>56</v>
      </c>
      <c r="F14" s="52">
        <v>300</v>
      </c>
      <c r="G14" s="52">
        <v>466</v>
      </c>
      <c r="H14" s="52">
        <v>23903</v>
      </c>
      <c r="I14" s="34" t="s">
        <v>57</v>
      </c>
      <c r="J14" s="52">
        <v>21848</v>
      </c>
      <c r="K14" s="34" t="s">
        <v>53</v>
      </c>
      <c r="L14" s="103" t="str">
        <f>VLOOKUP(C14,'Trips&amp;Operators'!$C$1:$E$9999,3,0)</f>
        <v>STORY</v>
      </c>
      <c r="M14" s="9" t="s">
        <v>96</v>
      </c>
      <c r="N14" s="10"/>
      <c r="O14" s="34"/>
      <c r="P14" s="121" t="str">
        <f>VLOOKUP(C14,'Train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14" s="125" t="str">
        <f>VLOOKUP(C14,'Train Runs'!$A$13:$AE$524,22,0)</f>
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4" s="128" t="str">
        <f t="shared" si="0"/>
        <v>"C:\Program Files (x86)\AstroGrep\AstroGrep.exe" /spath="%USERPROFILE%\AppData\Local\Temp\OnboardLogs" /stypes="*4008*201608071*" /stext=" 14:.+((SYSTEM_STATE.+slice.+state.+changed )|(ment ac)|(system.+state.+changed )|(\|lc)|(penalty)|(\[timeout)|(PRM\|1\|D)|(kpr)|(kdp))" /e /r /s</v>
      </c>
      <c r="S14" s="9" t="str">
        <f t="shared" si="1"/>
        <v>4008</v>
      </c>
      <c r="T14" s="41">
        <f t="shared" si="2"/>
        <v>42589.60255787037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42589.564120370371</v>
      </c>
      <c r="B15" s="34" t="s">
        <v>157</v>
      </c>
      <c r="C15" s="34" t="s">
        <v>317</v>
      </c>
      <c r="D15" s="34" t="s">
        <v>49</v>
      </c>
      <c r="E15" s="34" t="s">
        <v>56</v>
      </c>
      <c r="F15" s="52">
        <v>300</v>
      </c>
      <c r="G15" s="52">
        <v>387</v>
      </c>
      <c r="H15" s="52">
        <v>23145</v>
      </c>
      <c r="I15" s="34" t="s">
        <v>57</v>
      </c>
      <c r="J15" s="52">
        <v>21848</v>
      </c>
      <c r="K15" s="34" t="s">
        <v>53</v>
      </c>
      <c r="L15" s="103" t="str">
        <f>VLOOKUP(C15,'Trips&amp;Operators'!$C$1:$E$9999,3,0)</f>
        <v>YOUNG</v>
      </c>
      <c r="M15" s="9" t="s">
        <v>96</v>
      </c>
      <c r="N15" s="10"/>
      <c r="O15" s="34"/>
      <c r="P15" s="121" t="str">
        <f>VLOOKUP(C15,'Train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15" s="125" t="str">
        <f>VLOOKUP(C15,'Train Runs'!$A$13:$AE$524,22,0)</f>
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5" s="128" t="str">
        <f t="shared" si="0"/>
        <v>"C:\Program Files (x86)\AstroGrep\AstroGrep.exe" /spath="%USERPROFILE%\AppData\Local\Temp\OnboardLogs" /stypes="*4037*201608071*" /stext=" 19:.+((SYSTEM_STATE.+slice.+state.+changed )|(ment ac)|(system.+state.+changed )|(\|lc)|(penalty)|(\[timeout)|(PRM\|1\|D)|(kpr)|(kdp))" /e /r /s</v>
      </c>
      <c r="S15" s="9" t="str">
        <f t="shared" si="1"/>
        <v>4037</v>
      </c>
      <c r="T15" s="41">
        <f t="shared" si="2"/>
        <v>42589.814120370371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42589.64571759259</v>
      </c>
      <c r="B16" s="34" t="s">
        <v>109</v>
      </c>
      <c r="C16" s="34" t="s">
        <v>322</v>
      </c>
      <c r="D16" s="34" t="s">
        <v>49</v>
      </c>
      <c r="E16" s="34" t="s">
        <v>56</v>
      </c>
      <c r="F16" s="52">
        <v>300</v>
      </c>
      <c r="G16" s="52">
        <v>482</v>
      </c>
      <c r="H16" s="52">
        <v>24996</v>
      </c>
      <c r="I16" s="34" t="s">
        <v>57</v>
      </c>
      <c r="J16" s="52">
        <v>21848</v>
      </c>
      <c r="K16" s="34" t="s">
        <v>53</v>
      </c>
      <c r="L16" s="103" t="str">
        <f>VLOOKUP(C16,'Trips&amp;Operators'!$C$1:$E$9999,3,0)</f>
        <v>MAYBERRY</v>
      </c>
      <c r="M16" s="9" t="s">
        <v>96</v>
      </c>
      <c r="N16" s="10"/>
      <c r="O16" s="34"/>
      <c r="P16" s="121" t="str">
        <f>VLOOKUP(C16,'Train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16" s="125" t="str">
        <f>VLOOKUP(C16,'Train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6" s="128" t="str">
        <f t="shared" si="0"/>
        <v>"C:\Program Files (x86)\AstroGrep\AstroGrep.exe" /spath="%USERPROFILE%\AppData\Local\Temp\OnboardLogs" /stypes="*4008*201608072*" /stext=" 21:.+((SYSTEM_STATE.+slice.+state.+changed )|(ment ac)|(system.+state.+changed )|(\|lc)|(penalty)|(\[timeout)|(PRM\|1\|D)|(kpr)|(kdp))" /e /r /s</v>
      </c>
      <c r="S16" s="9" t="str">
        <f t="shared" si="1"/>
        <v>4008</v>
      </c>
      <c r="T16" s="41">
        <f t="shared" si="2"/>
        <v>42589.89571759259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42589.432372685187</v>
      </c>
      <c r="B17" s="34" t="s">
        <v>100</v>
      </c>
      <c r="C17" s="34" t="s">
        <v>308</v>
      </c>
      <c r="D17" s="34" t="s">
        <v>136</v>
      </c>
      <c r="E17" s="34" t="s">
        <v>56</v>
      </c>
      <c r="F17" s="52">
        <v>200</v>
      </c>
      <c r="G17" s="52">
        <v>250</v>
      </c>
      <c r="H17" s="52">
        <v>28616</v>
      </c>
      <c r="I17" s="34" t="s">
        <v>57</v>
      </c>
      <c r="J17" s="52">
        <v>27333</v>
      </c>
      <c r="K17" s="34" t="s">
        <v>52</v>
      </c>
      <c r="L17" s="103" t="str">
        <f>VLOOKUP(C17,'Trips&amp;Operators'!$C$1:$E$9999,3,0)</f>
        <v>STRICKLAND</v>
      </c>
      <c r="M17" s="9" t="s">
        <v>96</v>
      </c>
      <c r="N17" s="10"/>
      <c r="O17" s="34"/>
      <c r="P17" s="121" t="str">
        <f>VLOOKUP(C17,'Train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17" s="125" t="str">
        <f>VLOOKUP(C17,'Train Runs'!$A$13:$AE$524,22,0)</f>
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7" s="128" t="str">
        <f t="shared" si="0"/>
        <v>"C:\Program Files (x86)\AstroGrep\AstroGrep.exe" /spath="%USERPROFILE%\AppData\Local\Temp\OnboardLogs" /stypes="*4038*201608071*" /stext=" 16:.+((SYSTEM_STATE.+slice.+state.+changed )|(ment ac)|(system.+state.+changed )|(\|lc)|(penalty)|(\[timeout)|(PRM\|1\|D)|(kpr)|(kdp))" /e /r /s</v>
      </c>
      <c r="S17" s="9" t="str">
        <f t="shared" si="1"/>
        <v>4038</v>
      </c>
      <c r="T17" s="41">
        <f t="shared" si="2"/>
        <v>42589.682372685187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42589.414479166669</v>
      </c>
      <c r="B18" s="34" t="s">
        <v>157</v>
      </c>
      <c r="C18" s="34" t="s">
        <v>306</v>
      </c>
      <c r="D18" s="34" t="s">
        <v>49</v>
      </c>
      <c r="E18" s="34" t="s">
        <v>56</v>
      </c>
      <c r="F18" s="52">
        <v>200</v>
      </c>
      <c r="G18" s="52">
        <v>250</v>
      </c>
      <c r="H18" s="52">
        <v>31068</v>
      </c>
      <c r="I18" s="34" t="s">
        <v>57</v>
      </c>
      <c r="J18" s="52">
        <v>30562</v>
      </c>
      <c r="K18" s="34" t="s">
        <v>53</v>
      </c>
      <c r="L18" s="103" t="str">
        <f>VLOOKUP(C18,'Trips&amp;Operators'!$C$1:$E$9999,3,0)</f>
        <v>STRICKLAND</v>
      </c>
      <c r="M18" s="9" t="s">
        <v>96</v>
      </c>
      <c r="N18" s="10"/>
      <c r="O18" s="34"/>
      <c r="P18" s="121" t="str">
        <f>VLOOKUP(C18,'Train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18" s="125" t="str">
        <f>VLOOKUP(C18,'Train Runs'!$A$13:$AE$524,22,0)</f>
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8" s="128" t="str">
        <f t="shared" si="0"/>
        <v>"C:\Program Files (x86)\AstroGrep\AstroGrep.exe" /spath="%USERPROFILE%\AppData\Local\Temp\OnboardLogs" /stypes="*4037*201608071*" /stext=" 15:.+((SYSTEM_STATE.+slice.+state.+changed )|(ment ac)|(system.+state.+changed )|(\|lc)|(penalty)|(\[timeout)|(PRM\|1\|D)|(kpr)|(kdp))" /e /r /s</v>
      </c>
      <c r="S18" s="9" t="str">
        <f t="shared" si="1"/>
        <v>4037</v>
      </c>
      <c r="T18" s="41">
        <f t="shared" si="2"/>
        <v>42589.664479166669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42589.306215277778</v>
      </c>
      <c r="B19" s="34" t="s">
        <v>110</v>
      </c>
      <c r="C19" s="34" t="s">
        <v>295</v>
      </c>
      <c r="D19" s="34" t="s">
        <v>49</v>
      </c>
      <c r="E19" s="34" t="s">
        <v>56</v>
      </c>
      <c r="F19" s="52">
        <v>400</v>
      </c>
      <c r="G19" s="52">
        <v>456</v>
      </c>
      <c r="H19" s="52">
        <v>115988</v>
      </c>
      <c r="I19" s="34" t="s">
        <v>57</v>
      </c>
      <c r="J19" s="52">
        <v>116838</v>
      </c>
      <c r="K19" s="34" t="s">
        <v>52</v>
      </c>
      <c r="L19" s="103" t="str">
        <f>VLOOKUP(C19,'Trips&amp;Operators'!$C$1:$E$9999,3,0)</f>
        <v>STORY</v>
      </c>
      <c r="M19" s="9" t="s">
        <v>96</v>
      </c>
      <c r="N19" s="10"/>
      <c r="O19" s="34"/>
      <c r="P19" s="121" t="str">
        <f>VLOOKUP(C19,'Train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19" s="125" t="str">
        <f>VLOOKUP(C19,'Train Runs'!$A$13:$AE$524,22,0)</f>
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9" s="128" t="str">
        <f t="shared" si="0"/>
        <v>"C:\Program Files (x86)\AstroGrep\AstroGrep.exe" /spath="%USERPROFILE%\AppData\Local\Temp\OnboardLogs" /stypes="*4007*201608071*" /stext=" 13:.+((SYSTEM_STATE.+slice.+state.+changed )|(ment ac)|(system.+state.+changed )|(\|lc)|(penalty)|(\[timeout)|(PRM\|1\|D)|(kpr)|(kdp))" /e /r /s</v>
      </c>
      <c r="S19" s="9" t="str">
        <f t="shared" si="1"/>
        <v>4007</v>
      </c>
      <c r="T19" s="41">
        <f t="shared" si="2"/>
        <v>42589.556215277778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42589.232523148145</v>
      </c>
      <c r="B20" s="34" t="s">
        <v>69</v>
      </c>
      <c r="C20" s="34" t="s">
        <v>288</v>
      </c>
      <c r="D20" s="34" t="s">
        <v>136</v>
      </c>
      <c r="E20" s="34" t="s">
        <v>56</v>
      </c>
      <c r="F20" s="52">
        <v>700</v>
      </c>
      <c r="G20" s="52">
        <v>750</v>
      </c>
      <c r="H20" s="52">
        <v>179730</v>
      </c>
      <c r="I20" s="34" t="s">
        <v>57</v>
      </c>
      <c r="J20" s="52">
        <v>183829</v>
      </c>
      <c r="K20" s="34" t="s">
        <v>53</v>
      </c>
      <c r="L20" s="103" t="str">
        <f>VLOOKUP(C20,'Trips&amp;Operators'!$C$1:$E$9999,3,0)</f>
        <v>DAVIS</v>
      </c>
      <c r="M20" s="9" t="s">
        <v>96</v>
      </c>
      <c r="N20" s="10"/>
      <c r="O20" s="34"/>
      <c r="P20" s="121" t="str">
        <f>VLOOKUP(C20,'Train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20" s="125" t="str">
        <f>VLOOKUP(C20,'Train Runs'!$A$13:$AE$524,22,0)</f>
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0" s="128" t="str">
        <f t="shared" si="0"/>
        <v>"C:\Program Files (x86)\AstroGrep\AstroGrep.exe" /spath="%USERPROFILE%\AppData\Local\Temp\OnboardLogs" /stypes="*4017*201608071*" /stext=" 11:.+((SYSTEM_STATE.+slice.+state.+changed )|(ment ac)|(system.+state.+changed )|(\|lc)|(penalty)|(\[timeout)|(PRM\|1\|D)|(kpr)|(kdp))" /e /r /s</v>
      </c>
      <c r="S20" s="9" t="str">
        <f t="shared" si="1"/>
        <v>4017</v>
      </c>
      <c r="T20" s="41">
        <f t="shared" si="2"/>
        <v>42589.482523148145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42589.627592592595</v>
      </c>
      <c r="B21" s="34" t="s">
        <v>109</v>
      </c>
      <c r="C21" s="34" t="s">
        <v>322</v>
      </c>
      <c r="D21" s="34" t="s">
        <v>136</v>
      </c>
      <c r="E21" s="34" t="s">
        <v>56</v>
      </c>
      <c r="F21" s="52">
        <v>600</v>
      </c>
      <c r="G21" s="52">
        <v>650</v>
      </c>
      <c r="H21" s="52">
        <v>184220</v>
      </c>
      <c r="I21" s="34" t="s">
        <v>57</v>
      </c>
      <c r="J21" s="52">
        <v>190834</v>
      </c>
      <c r="K21" s="34" t="s">
        <v>53</v>
      </c>
      <c r="L21" s="103" t="str">
        <f>VLOOKUP(C21,'Trips&amp;Operators'!$C$1:$E$9999,3,0)</f>
        <v>MAYBERRY</v>
      </c>
      <c r="M21" s="9" t="s">
        <v>96</v>
      </c>
      <c r="N21" s="10"/>
      <c r="O21" s="34"/>
      <c r="P21" s="121" t="str">
        <f>VLOOKUP(C21,'Train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21" s="125" t="str">
        <f>VLOOKUP(C21,'Train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21" s="128" t="str">
        <f t="shared" si="0"/>
        <v>"C:\Program Files (x86)\AstroGrep\AstroGrep.exe" /spath="%USERPROFILE%\AppData\Local\Temp\OnboardLogs" /stypes="*4008*201608072*" /stext=" 21:.+((SYSTEM_STATE.+slice.+state.+changed )|(ment ac)|(system.+state.+changed )|(\|lc)|(penalty)|(\[timeout)|(PRM\|1\|D)|(kpr)|(kdp))" /e /r /s</v>
      </c>
      <c r="S21" s="9" t="str">
        <f t="shared" si="1"/>
        <v>4008</v>
      </c>
      <c r="T21" s="41">
        <f t="shared" si="2"/>
        <v>42589.877592592595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42589.388009259259</v>
      </c>
      <c r="B22" s="34" t="s">
        <v>110</v>
      </c>
      <c r="C22" s="34" t="s">
        <v>302</v>
      </c>
      <c r="D22" s="34" t="s">
        <v>49</v>
      </c>
      <c r="E22" s="34" t="s">
        <v>56</v>
      </c>
      <c r="F22" s="52">
        <v>550</v>
      </c>
      <c r="G22" s="52">
        <v>714</v>
      </c>
      <c r="H22" s="52">
        <v>219965</v>
      </c>
      <c r="I22" s="34" t="s">
        <v>57</v>
      </c>
      <c r="J22" s="52">
        <v>222090</v>
      </c>
      <c r="K22" s="34" t="s">
        <v>52</v>
      </c>
      <c r="L22" s="103" t="str">
        <f>VLOOKUP(C22,'Trips&amp;Operators'!$C$1:$E$9999,3,0)</f>
        <v>STORY</v>
      </c>
      <c r="M22" s="9" t="s">
        <v>96</v>
      </c>
      <c r="N22" s="10"/>
      <c r="O22" s="34"/>
      <c r="P22" s="121" t="str">
        <f>VLOOKUP(C22,'Train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22" s="125" t="str">
        <f>VLOOKUP(C22,'Train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2" s="128" t="str">
        <f t="shared" si="0"/>
        <v>"C:\Program Files (x86)\AstroGrep\AstroGrep.exe" /spath="%USERPROFILE%\AppData\Local\Temp\OnboardLogs" /stypes="*4007*201608071*" /stext=" 15:.+((SYSTEM_STATE.+slice.+state.+changed )|(ment ac)|(system.+state.+changed )|(\|lc)|(penalty)|(\[timeout)|(PRM\|1\|D)|(kpr)|(kdp))" /e /r /s</v>
      </c>
      <c r="S22" s="9" t="str">
        <f t="shared" si="1"/>
        <v>4007</v>
      </c>
      <c r="T22" s="41">
        <f t="shared" si="2"/>
        <v>42589.638009259259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42589.306574074071</v>
      </c>
      <c r="B23" s="34" t="s">
        <v>100</v>
      </c>
      <c r="C23" s="34" t="s">
        <v>296</v>
      </c>
      <c r="D23" s="34" t="s">
        <v>136</v>
      </c>
      <c r="E23" s="34" t="s">
        <v>56</v>
      </c>
      <c r="F23" s="52">
        <v>350</v>
      </c>
      <c r="G23" s="52">
        <v>400</v>
      </c>
      <c r="H23" s="52">
        <v>227105</v>
      </c>
      <c r="I23" s="34" t="s">
        <v>57</v>
      </c>
      <c r="J23" s="52">
        <v>224578</v>
      </c>
      <c r="K23" s="34" t="s">
        <v>52</v>
      </c>
      <c r="L23" s="103" t="str">
        <f>VLOOKUP(C23,'Trips&amp;Operators'!$C$1:$E$9999,3,0)</f>
        <v>STRICKLAND</v>
      </c>
      <c r="M23" s="9" t="s">
        <v>96</v>
      </c>
      <c r="N23" s="10"/>
      <c r="O23" s="34"/>
      <c r="P23" s="121" t="str">
        <f>VLOOKUP(C23,'Train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23" s="125" t="str">
        <f>VLOOKUP(C23,'Train Runs'!$A$13:$AE$524,22,0)</f>
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3" s="128" t="str">
        <f t="shared" si="0"/>
        <v>"C:\Program Files (x86)\AstroGrep\AstroGrep.exe" /spath="%USERPROFILE%\AppData\Local\Temp\OnboardLogs" /stypes="*4038*201608071*" /stext=" 13:.+((SYSTEM_STATE.+slice.+state.+changed )|(ment ac)|(system.+state.+changed )|(\|lc)|(penalty)|(\[timeout)|(PRM\|1\|D)|(kpr)|(kdp))" /e /r /s</v>
      </c>
      <c r="S23" s="9" t="str">
        <f t="shared" si="1"/>
        <v>4038</v>
      </c>
      <c r="T23" s="41">
        <f t="shared" si="2"/>
        <v>42589.556574074071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42589.253796296296</v>
      </c>
      <c r="B24" s="34" t="s">
        <v>103</v>
      </c>
      <c r="C24" s="34" t="s">
        <v>292</v>
      </c>
      <c r="D24" s="34" t="s">
        <v>49</v>
      </c>
      <c r="E24" s="34" t="s">
        <v>56</v>
      </c>
      <c r="F24" s="52">
        <v>150</v>
      </c>
      <c r="G24" s="52">
        <v>202</v>
      </c>
      <c r="H24" s="52">
        <v>229856</v>
      </c>
      <c r="I24" s="34" t="s">
        <v>57</v>
      </c>
      <c r="J24" s="52">
        <v>230436</v>
      </c>
      <c r="K24" s="34" t="s">
        <v>52</v>
      </c>
      <c r="L24" s="103" t="str">
        <f>VLOOKUP(C24,'Trips&amp;Operators'!$C$1:$E$9999,3,0)</f>
        <v>YORK</v>
      </c>
      <c r="M24" s="9" t="s">
        <v>96</v>
      </c>
      <c r="N24" s="10"/>
      <c r="O24" s="34"/>
      <c r="P24" s="121" t="str">
        <f>VLOOKUP(C24,'Train Runs'!$A$13:$AE$524,31,0)</f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Q24" s="125" t="str">
        <f>VLOOKUP(C24,'Train Runs'!$A$13:$AE$524,22,0)</f>
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4" s="128" t="str">
        <f t="shared" si="0"/>
        <v>"C:\Program Files (x86)\AstroGrep\AstroGrep.exe" /spath="%USERPROFILE%\AppData\Local\Temp\OnboardLogs" /stypes="*4025*201608071*" /stext=" 12:.+((SYSTEM_STATE.+slice.+state.+changed )|(ment ac)|(system.+state.+changed )|(\|lc)|(penalty)|(\[timeout)|(PRM\|1\|D)|(kpr)|(kdp))" /e /r /s</v>
      </c>
      <c r="S24" s="9" t="str">
        <f t="shared" si="1"/>
        <v>4025</v>
      </c>
      <c r="T24" s="41">
        <f t="shared" si="2"/>
        <v>42589.503796296296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42589.794432870367</v>
      </c>
      <c r="B25" s="34" t="s">
        <v>68</v>
      </c>
      <c r="C25" s="34" t="s">
        <v>334</v>
      </c>
      <c r="D25" s="34" t="s">
        <v>49</v>
      </c>
      <c r="E25" s="34" t="s">
        <v>56</v>
      </c>
      <c r="F25" s="52">
        <v>150</v>
      </c>
      <c r="G25" s="52">
        <v>277</v>
      </c>
      <c r="H25" s="52">
        <v>229596</v>
      </c>
      <c r="I25" s="34" t="s">
        <v>57</v>
      </c>
      <c r="J25" s="52">
        <v>230436</v>
      </c>
      <c r="K25" s="34" t="s">
        <v>52</v>
      </c>
      <c r="L25" s="103" t="str">
        <f>VLOOKUP(C25,'Trips&amp;Operators'!$C$1:$E$9999,3,0)</f>
        <v>CHANDLER</v>
      </c>
      <c r="M25" s="9" t="s">
        <v>96</v>
      </c>
      <c r="N25" s="10"/>
      <c r="O25" s="34"/>
      <c r="P25" s="121" t="str">
        <f>VLOOKUP(C25,'Train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25" s="125" t="str">
        <f>VLOOKUP(C25,'Train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5" s="128" t="str">
        <f t="shared" si="0"/>
        <v>"C:\Program Files (x86)\AstroGrep\AstroGrep.exe" /spath="%USERPROFILE%\AppData\Local\Temp\OnboardLogs" /stypes="*4018*201608080*" /stext=" 01:.+((SYSTEM_STATE.+slice.+state.+changed )|(ment ac)|(system.+state.+changed )|(\|lc)|(penalty)|(\[timeout)|(PRM\|1\|D)|(kpr)|(kdp))" /e /r /s</v>
      </c>
      <c r="S25" s="9" t="str">
        <f t="shared" si="1"/>
        <v>4018</v>
      </c>
      <c r="T25" s="41">
        <f t="shared" si="2"/>
        <v>42590.044432870367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42589.250347222223</v>
      </c>
      <c r="B26" s="34" t="s">
        <v>157</v>
      </c>
      <c r="C26" s="34" t="s">
        <v>291</v>
      </c>
      <c r="D26" s="34" t="s">
        <v>136</v>
      </c>
      <c r="E26" s="34" t="s">
        <v>56</v>
      </c>
      <c r="F26" s="52">
        <v>350</v>
      </c>
      <c r="G26" s="52">
        <v>403</v>
      </c>
      <c r="H26" s="52">
        <v>224550</v>
      </c>
      <c r="I26" s="34" t="s">
        <v>57</v>
      </c>
      <c r="J26" s="52">
        <v>232107</v>
      </c>
      <c r="K26" s="34" t="s">
        <v>53</v>
      </c>
      <c r="L26" s="103" t="str">
        <f>VLOOKUP(C26,'Trips&amp;Operators'!$C$1:$E$9999,3,0)</f>
        <v>STRICKLAND</v>
      </c>
      <c r="M26" s="9" t="s">
        <v>96</v>
      </c>
      <c r="N26" s="10"/>
      <c r="O26" s="34"/>
      <c r="P26" s="121" t="str">
        <f>VLOOKUP(C26,'Train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26" s="125" t="str">
        <f>VLOOKUP(C26,'Train Runs'!$A$13:$AE$524,22,0)</f>
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6" s="128" t="str">
        <f t="shared" si="0"/>
        <v>"C:\Program Files (x86)\AstroGrep\AstroGrep.exe" /spath="%USERPROFILE%\AppData\Local\Temp\OnboardLogs" /stypes="*4037*201608071*" /stext=" 12:.+((SYSTEM_STATE.+slice.+state.+changed )|(ment ac)|(system.+state.+changed )|(\|lc)|(penalty)|(\[timeout)|(PRM\|1\|D)|(kpr)|(kdp))" /e /r /s</v>
      </c>
      <c r="S26" s="9" t="str">
        <f t="shared" si="1"/>
        <v>4037</v>
      </c>
      <c r="T26" s="41">
        <f t="shared" si="2"/>
        <v>42589.500347222223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42589.662858796299</v>
      </c>
      <c r="B27" s="34" t="s">
        <v>128</v>
      </c>
      <c r="C27" s="34" t="s">
        <v>323</v>
      </c>
      <c r="D27" s="34" t="s">
        <v>49</v>
      </c>
      <c r="E27" s="34" t="s">
        <v>54</v>
      </c>
      <c r="F27" s="52">
        <v>0</v>
      </c>
      <c r="G27" s="52">
        <v>538</v>
      </c>
      <c r="H27" s="52">
        <v>39361</v>
      </c>
      <c r="I27" s="34" t="s">
        <v>55</v>
      </c>
      <c r="J27" s="52">
        <v>36657</v>
      </c>
      <c r="K27" s="34" t="s">
        <v>53</v>
      </c>
      <c r="L27" s="103" t="str">
        <f>VLOOKUP(C27,'Trips&amp;Operators'!$C$1:$E$9999,3,0)</f>
        <v>STEWART</v>
      </c>
      <c r="M27" s="9" t="s">
        <v>95</v>
      </c>
      <c r="N27" s="10" t="s">
        <v>287</v>
      </c>
      <c r="O27" s="34"/>
      <c r="P27" s="121" t="str">
        <f>VLOOKUP(C27,'Train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27" s="125" t="str">
        <f>VLOOKUP(C27,'Train Runs'!$A$13:$AE$524,22,0)</f>
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" s="128" t="str">
        <f t="shared" si="0"/>
        <v>"C:\Program Files (x86)\AstroGrep\AstroGrep.exe" /spath="%USERPROFILE%\AppData\Local\Temp\OnboardLogs" /stypes="*4015*201608072*" /stext=" 21:.+((SYSTEM_STATE.+slice.+state.+changed )|(ment ac)|(system.+state.+changed )|(\|lc)|(penalty)|(\[timeout)|(PRM\|1\|D)|(kpr)|(kdp))" /e /r /s</v>
      </c>
      <c r="S27" s="9" t="str">
        <f t="shared" si="1"/>
        <v>4015</v>
      </c>
      <c r="T27" s="41">
        <f t="shared" si="2"/>
        <v>42589.912858796299</v>
      </c>
      <c r="U27" s="55" t="str">
        <f t="shared" si="3"/>
        <v>EC</v>
      </c>
      <c r="V27" s="55" t="str">
        <f t="shared" si="4"/>
        <v>KEEP</v>
      </c>
      <c r="W27" s="24" t="s">
        <v>609</v>
      </c>
    </row>
    <row r="28" spans="1:24" x14ac:dyDescent="0.25">
      <c r="A28" s="41">
        <v>42589.342245370368</v>
      </c>
      <c r="B28" s="34" t="s">
        <v>68</v>
      </c>
      <c r="C28" s="34" t="s">
        <v>298</v>
      </c>
      <c r="D28" s="34" t="s">
        <v>49</v>
      </c>
      <c r="E28" s="34" t="s">
        <v>54</v>
      </c>
      <c r="F28" s="52">
        <v>0</v>
      </c>
      <c r="G28" s="52">
        <v>460</v>
      </c>
      <c r="H28" s="52">
        <v>50724</v>
      </c>
      <c r="I28" s="34" t="s">
        <v>55</v>
      </c>
      <c r="J28" s="52">
        <v>50746</v>
      </c>
      <c r="K28" s="34" t="s">
        <v>52</v>
      </c>
      <c r="L28" s="103" t="str">
        <f>VLOOKUP(C28,'Trips&amp;Operators'!$C$1:$E$9999,3,0)</f>
        <v>DAVIS</v>
      </c>
      <c r="M28" s="9" t="s">
        <v>95</v>
      </c>
      <c r="N28" s="10" t="s">
        <v>287</v>
      </c>
      <c r="O28" s="34"/>
      <c r="P28" s="121" t="str">
        <f>VLOOKUP(C28,'Train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28" s="125" t="str">
        <f>VLOOKUP(C28,'Train Runs'!$A$13:$AE$524,22,0)</f>
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8" s="128" t="str">
        <f t="shared" si="0"/>
        <v>"C:\Program Files (x86)\AstroGrep\AstroGrep.exe" /spath="%USERPROFILE%\AppData\Local\Temp\OnboardLogs" /stypes="*4018*201608071*" /stext=" 14:.+((SYSTEM_STATE.+slice.+state.+changed )|(ment ac)|(system.+state.+changed )|(\|lc)|(penalty)|(\[timeout)|(PRM\|1\|D)|(kpr)|(kdp))" /e /r /s</v>
      </c>
      <c r="S28" s="9" t="str">
        <f t="shared" si="1"/>
        <v>4018</v>
      </c>
      <c r="T28" s="41">
        <f t="shared" si="2"/>
        <v>42589.592245370368</v>
      </c>
      <c r="U28" s="55" t="str">
        <f t="shared" si="3"/>
        <v>EC</v>
      </c>
      <c r="V28" s="55" t="str">
        <f t="shared" si="4"/>
        <v>KEEP</v>
      </c>
      <c r="W28" s="24" t="s">
        <v>608</v>
      </c>
      <c r="X28" t="s">
        <v>612</v>
      </c>
    </row>
    <row r="29" spans="1:24" x14ac:dyDescent="0.25">
      <c r="A29" s="41">
        <v>42589.738923611112</v>
      </c>
      <c r="B29" s="34" t="s">
        <v>110</v>
      </c>
      <c r="C29" s="34" t="s">
        <v>328</v>
      </c>
      <c r="D29" s="34" t="s">
        <v>49</v>
      </c>
      <c r="E29" s="34" t="s">
        <v>54</v>
      </c>
      <c r="F29" s="52">
        <v>0</v>
      </c>
      <c r="G29" s="52">
        <v>574</v>
      </c>
      <c r="H29" s="52">
        <v>50042</v>
      </c>
      <c r="I29" s="34" t="s">
        <v>55</v>
      </c>
      <c r="J29" s="52">
        <v>50746</v>
      </c>
      <c r="K29" s="34" t="s">
        <v>52</v>
      </c>
      <c r="L29" s="103" t="str">
        <f>VLOOKUP(C29,'Trips&amp;Operators'!$C$1:$E$9999,3,0)</f>
        <v>YOUNG</v>
      </c>
      <c r="M29" s="9" t="s">
        <v>95</v>
      </c>
      <c r="N29" s="10" t="s">
        <v>287</v>
      </c>
      <c r="O29" s="34"/>
      <c r="P29" s="121" t="str">
        <f>VLOOKUP(C29,'Train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29" s="125" t="str">
        <f>VLOOKUP(C29,'Train Runs'!$A$13:$AE$524,22,0)</f>
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9" s="128" t="str">
        <f t="shared" si="0"/>
        <v>"C:\Program Files (x86)\AstroGrep\AstroGrep.exe" /spath="%USERPROFILE%\AppData\Local\Temp\OnboardLogs" /stypes="*4007*201608072*" /stext=" 23:.+((SYSTEM_STATE.+slice.+state.+changed )|(ment ac)|(system.+state.+changed )|(\|lc)|(penalty)|(\[timeout)|(PRM\|1\|D)|(kpr)|(kdp))" /e /r /s</v>
      </c>
      <c r="S29" s="9" t="str">
        <f t="shared" si="1"/>
        <v>4007</v>
      </c>
      <c r="T29" s="41">
        <f t="shared" si="2"/>
        <v>42589.988923611112</v>
      </c>
      <c r="U29" s="55" t="str">
        <f t="shared" si="3"/>
        <v>EC</v>
      </c>
      <c r="V29" s="55" t="str">
        <f t="shared" si="4"/>
        <v>KEEP</v>
      </c>
      <c r="W29" s="24" t="s">
        <v>610</v>
      </c>
      <c r="X29" s="24" t="s">
        <v>612</v>
      </c>
    </row>
    <row r="30" spans="1:24" x14ac:dyDescent="0.25">
      <c r="A30" s="41">
        <v>42589.571747685186</v>
      </c>
      <c r="B30" s="34" t="s">
        <v>109</v>
      </c>
      <c r="C30" s="34" t="s">
        <v>318</v>
      </c>
      <c r="D30" s="34" t="s">
        <v>49</v>
      </c>
      <c r="E30" s="34" t="s">
        <v>54</v>
      </c>
      <c r="F30" s="52">
        <v>0</v>
      </c>
      <c r="G30" s="52">
        <v>593</v>
      </c>
      <c r="H30" s="52">
        <v>54900</v>
      </c>
      <c r="I30" s="34" t="s">
        <v>55</v>
      </c>
      <c r="J30" s="52">
        <v>50763</v>
      </c>
      <c r="K30" s="34" t="s">
        <v>53</v>
      </c>
      <c r="L30" s="103" t="str">
        <f>VLOOKUP(C30,'Trips&amp;Operators'!$C$1:$E$9999,3,0)</f>
        <v>MAYBERRY</v>
      </c>
      <c r="M30" s="9" t="s">
        <v>95</v>
      </c>
      <c r="N30" s="10" t="s">
        <v>287</v>
      </c>
      <c r="O30" s="34"/>
      <c r="P30" s="121" t="str">
        <f>VLOOKUP(C30,'Train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0" s="125" t="str">
        <f>VLOOKUP(C30,'Train Runs'!$A$13:$AE$524,22,0)</f>
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0" s="128" t="str">
        <f t="shared" si="0"/>
        <v>"C:\Program Files (x86)\AstroGrep\AstroGrep.exe" /spath="%USERPROFILE%\AppData\Local\Temp\OnboardLogs" /stypes="*4008*201608071*" /stext=" 19:.+((SYSTEM_STATE.+slice.+state.+changed )|(ment ac)|(system.+state.+changed )|(\|lc)|(penalty)|(\[timeout)|(PRM\|1\|D)|(kpr)|(kdp))" /e /r /s</v>
      </c>
      <c r="S30" s="9" t="str">
        <f t="shared" si="1"/>
        <v>4008</v>
      </c>
      <c r="T30" s="41">
        <f t="shared" si="2"/>
        <v>42589.821747685186</v>
      </c>
      <c r="U30" s="55" t="str">
        <f t="shared" si="3"/>
        <v>EC</v>
      </c>
      <c r="V30" s="55" t="str">
        <f t="shared" si="4"/>
        <v>KEEP</v>
      </c>
      <c r="W30" s="24" t="s">
        <v>611</v>
      </c>
      <c r="X30" s="24" t="s">
        <v>612</v>
      </c>
    </row>
    <row r="31" spans="1:24" x14ac:dyDescent="0.25">
      <c r="A31" s="41">
        <v>42589.360243055555</v>
      </c>
      <c r="B31" s="34" t="s">
        <v>128</v>
      </c>
      <c r="C31" s="34" t="s">
        <v>301</v>
      </c>
      <c r="D31" s="34" t="s">
        <v>49</v>
      </c>
      <c r="E31" s="34" t="s">
        <v>54</v>
      </c>
      <c r="F31" s="52">
        <v>0</v>
      </c>
      <c r="G31" s="52">
        <v>551</v>
      </c>
      <c r="H31" s="52">
        <v>131397</v>
      </c>
      <c r="I31" s="34" t="s">
        <v>55</v>
      </c>
      <c r="J31" s="52">
        <v>127587</v>
      </c>
      <c r="K31" s="34" t="s">
        <v>53</v>
      </c>
      <c r="L31" s="103" t="str">
        <f>VLOOKUP(C31,'Trips&amp;Operators'!$C$1:$E$9999,3,0)</f>
        <v>ACKERMAN</v>
      </c>
      <c r="M31" s="9" t="s">
        <v>96</v>
      </c>
      <c r="N31" s="10" t="s">
        <v>605</v>
      </c>
      <c r="O31" s="34"/>
      <c r="P31" s="121" t="str">
        <f>VLOOKUP(C31,'Train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1" s="125" t="str">
        <f>VLOOKUP(C31,'Train Runs'!$A$13:$AE$524,22,0)</f>
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1" s="128" t="str">
        <f t="shared" si="0"/>
        <v>"C:\Program Files (x86)\AstroGrep\AstroGrep.exe" /spath="%USERPROFILE%\AppData\Local\Temp\OnboardLogs" /stypes="*4015*201608071*" /stext=" 14:.+((SYSTEM_STATE.+slice.+state.+changed )|(ment ac)|(system.+state.+changed )|(\|lc)|(penalty)|(\[timeout)|(PRM\|1\|D)|(kpr)|(kdp))" /e /r /s</v>
      </c>
      <c r="S31" s="9" t="str">
        <f t="shared" si="1"/>
        <v>4015</v>
      </c>
      <c r="T31" s="41">
        <f t="shared" si="2"/>
        <v>42589.610243055555</v>
      </c>
      <c r="U31" s="55" t="str">
        <f t="shared" si="3"/>
        <v>EC</v>
      </c>
      <c r="V31" s="55" t="str">
        <f t="shared" si="4"/>
        <v>KEEP</v>
      </c>
    </row>
    <row r="32" spans="1:24" x14ac:dyDescent="0.25">
      <c r="A32" s="41">
        <v>42589.674166666664</v>
      </c>
      <c r="B32" s="34" t="s">
        <v>110</v>
      </c>
      <c r="C32" s="34" t="s">
        <v>325</v>
      </c>
      <c r="D32" s="34" t="s">
        <v>49</v>
      </c>
      <c r="E32" s="34" t="s">
        <v>54</v>
      </c>
      <c r="F32" s="52">
        <v>0</v>
      </c>
      <c r="G32" s="52">
        <v>749</v>
      </c>
      <c r="H32" s="52">
        <v>148369</v>
      </c>
      <c r="I32" s="34" t="s">
        <v>55</v>
      </c>
      <c r="J32" s="52">
        <v>155600</v>
      </c>
      <c r="K32" s="34" t="s">
        <v>52</v>
      </c>
      <c r="L32" s="103" t="str">
        <f>VLOOKUP(C32,'Trips&amp;Operators'!$C$1:$E$9999,3,0)</f>
        <v>MAYBERRY</v>
      </c>
      <c r="M32" s="9" t="s">
        <v>96</v>
      </c>
      <c r="N32" s="10" t="s">
        <v>606</v>
      </c>
      <c r="O32" s="34"/>
      <c r="P32" s="121" t="str">
        <f>VLOOKUP(C32,'Train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2" s="125" t="str">
        <f>VLOOKUP(C32,'Train Runs'!$A$13:$AE$524,22,0)</f>
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2" s="128" t="str">
        <f t="shared" si="0"/>
        <v>"C:\Program Files (x86)\AstroGrep\AstroGrep.exe" /spath="%USERPROFILE%\AppData\Local\Temp\OnboardLogs" /stypes="*4007*201608072*" /stext=" 22:.+((SYSTEM_STATE.+slice.+state.+changed )|(ment ac)|(system.+state.+changed )|(\|lc)|(penalty)|(\[timeout)|(PRM\|1\|D)|(kpr)|(kdp))" /e /r /s</v>
      </c>
      <c r="S32" s="9" t="str">
        <f t="shared" si="1"/>
        <v>4007</v>
      </c>
      <c r="T32" s="41">
        <f t="shared" si="2"/>
        <v>42589.924166666664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42589.553946759261</v>
      </c>
      <c r="B33" s="34" t="s">
        <v>129</v>
      </c>
      <c r="C33" s="34" t="s">
        <v>315</v>
      </c>
      <c r="D33" s="34" t="s">
        <v>49</v>
      </c>
      <c r="E33" s="34" t="s">
        <v>54</v>
      </c>
      <c r="F33" s="52">
        <v>0</v>
      </c>
      <c r="G33" s="52">
        <v>614</v>
      </c>
      <c r="H33" s="52">
        <v>159361</v>
      </c>
      <c r="I33" s="34" t="s">
        <v>55</v>
      </c>
      <c r="J33" s="52">
        <v>162254</v>
      </c>
      <c r="K33" s="34" t="s">
        <v>52</v>
      </c>
      <c r="L33" s="103" t="str">
        <f>VLOOKUP(C33,'Trips&amp;Operators'!$C$1:$E$9999,3,0)</f>
        <v>STEWART</v>
      </c>
      <c r="M33" s="9" t="s">
        <v>95</v>
      </c>
      <c r="N33" s="10" t="s">
        <v>287</v>
      </c>
      <c r="O33" s="34"/>
      <c r="P33" s="121" t="str">
        <f>VLOOKUP(C33,'Train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Q33" s="125" t="str">
        <f>VLOOKUP(C33,'Train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3" s="128" t="str">
        <f t="shared" si="0"/>
        <v>"C:\Program Files (x86)\AstroGrep\AstroGrep.exe" /spath="%USERPROFILE%\AppData\Local\Temp\OnboardLogs" /stypes="*4016*201608071*" /stext=" 19:.+((SYSTEM_STATE.+slice.+state.+changed )|(ment ac)|(system.+state.+changed )|(\|lc)|(penalty)|(\[timeout)|(PRM\|1\|D)|(kpr)|(kdp))" /e /r /s</v>
      </c>
      <c r="S33" s="9" t="str">
        <f t="shared" si="1"/>
        <v>4016</v>
      </c>
      <c r="T33" s="41">
        <f t="shared" si="2"/>
        <v>42589.803946759261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42589.324432870373</v>
      </c>
      <c r="B34" s="34" t="s">
        <v>157</v>
      </c>
      <c r="C34" s="34" t="s">
        <v>297</v>
      </c>
      <c r="D34" s="34" t="s">
        <v>49</v>
      </c>
      <c r="E34" s="34" t="s">
        <v>54</v>
      </c>
      <c r="F34" s="52">
        <v>0</v>
      </c>
      <c r="G34" s="52">
        <v>503</v>
      </c>
      <c r="H34" s="52">
        <v>196072</v>
      </c>
      <c r="I34" s="34" t="s">
        <v>55</v>
      </c>
      <c r="J34" s="52">
        <v>191723</v>
      </c>
      <c r="K34" s="34" t="s">
        <v>53</v>
      </c>
      <c r="L34" s="103" t="str">
        <f>VLOOKUP(C34,'Trips&amp;Operators'!$C$1:$E$9999,3,0)</f>
        <v>STRICKLAND</v>
      </c>
      <c r="M34" s="9" t="s">
        <v>96</v>
      </c>
      <c r="N34" s="10" t="s">
        <v>607</v>
      </c>
      <c r="O34" s="34"/>
      <c r="P34" s="121" t="str">
        <f>VLOOKUP(C34,'Train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4" s="125" t="str">
        <f>VLOOKUP(C34,'Train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4" s="128" t="str">
        <f t="shared" si="0"/>
        <v>"C:\Program Files (x86)\AstroGrep\AstroGrep.exe" /spath="%USERPROFILE%\AppData\Local\Temp\OnboardLogs" /stypes="*4037*201608071*" /stext=" 13:.+((SYSTEM_STATE.+slice.+state.+changed )|(ment ac)|(system.+state.+changed )|(\|lc)|(penalty)|(\[timeout)|(PRM\|1\|D)|(kpr)|(kdp))" /e /r /s</v>
      </c>
      <c r="S34" s="9" t="str">
        <f t="shared" si="1"/>
        <v>4037</v>
      </c>
      <c r="T34" s="41">
        <f t="shared" si="2"/>
        <v>42589.574432870373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42589.375636574077</v>
      </c>
      <c r="B35" s="34" t="s">
        <v>69</v>
      </c>
      <c r="C35" s="34" t="s">
        <v>304</v>
      </c>
      <c r="D35" s="34" t="s">
        <v>49</v>
      </c>
      <c r="E35" s="34" t="s">
        <v>54</v>
      </c>
      <c r="F35" s="52">
        <v>0</v>
      </c>
      <c r="G35" s="52">
        <v>560</v>
      </c>
      <c r="H35" s="52">
        <v>195790</v>
      </c>
      <c r="I35" s="34" t="s">
        <v>55</v>
      </c>
      <c r="J35" s="52">
        <v>191723</v>
      </c>
      <c r="K35" s="34" t="s">
        <v>53</v>
      </c>
      <c r="L35" s="103" t="str">
        <f>VLOOKUP(C35,'Trips&amp;Operators'!$C$1:$E$9999,3,0)</f>
        <v>DAVIS</v>
      </c>
      <c r="M35" s="9" t="s">
        <v>96</v>
      </c>
      <c r="N35" s="10" t="s">
        <v>607</v>
      </c>
      <c r="O35" s="34"/>
      <c r="P35" s="121" t="str">
        <f>VLOOKUP(C35,'Train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5" s="125" t="str">
        <f>VLOOKUP(C35,'Train Runs'!$A$13:$AE$524,22,0)</f>
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5" s="128" t="str">
        <f t="shared" si="0"/>
        <v>"C:\Program Files (x86)\AstroGrep\AstroGrep.exe" /spath="%USERPROFILE%\AppData\Local\Temp\OnboardLogs" /stypes="*4017*201608071*" /stext=" 15:.+((SYSTEM_STATE.+slice.+state.+changed )|(ment ac)|(system.+state.+changed )|(\|lc)|(penalty)|(\[timeout)|(PRM\|1\|D)|(kpr)|(kdp))" /e /r /s</v>
      </c>
      <c r="S35" s="9" t="str">
        <f t="shared" si="1"/>
        <v>4017</v>
      </c>
      <c r="T35" s="41">
        <f t="shared" si="2"/>
        <v>42589.625636574077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42590.00204861111</v>
      </c>
      <c r="B36" s="34" t="s">
        <v>69</v>
      </c>
      <c r="C36" s="34" t="s">
        <v>339</v>
      </c>
      <c r="D36" s="34" t="s">
        <v>49</v>
      </c>
      <c r="E36" s="34" t="s">
        <v>340</v>
      </c>
      <c r="F36" s="52">
        <v>0</v>
      </c>
      <c r="G36" s="52">
        <v>139</v>
      </c>
      <c r="H36" s="52">
        <v>4102</v>
      </c>
      <c r="I36" s="34" t="s">
        <v>341</v>
      </c>
      <c r="J36" s="52">
        <v>3902</v>
      </c>
      <c r="K36" s="34" t="s">
        <v>53</v>
      </c>
      <c r="L36" s="103" t="str">
        <f>VLOOKUP(C36,'Trips&amp;Operators'!$C$1:$E$9999,3,0)</f>
        <v>CHANDLER</v>
      </c>
      <c r="M36" s="9" t="s">
        <v>95</v>
      </c>
      <c r="N36" s="10" t="s">
        <v>287</v>
      </c>
      <c r="O36" s="34"/>
      <c r="P36" s="121" t="str">
        <f>VLOOKUP(C36,'Train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6" s="125" t="str">
        <f>VLOOKUP(C36,'Train Runs'!$A$13:$AE$524,22,0)</f>
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6" s="128" t="str">
        <f t="shared" si="0"/>
        <v>"C:\Program Files (x86)\AstroGrep\AstroGrep.exe" /spath="%USERPROFILE%\AppData\Local\Temp\OnboardLogs" /stypes="*4017*201608080*" /stext=" 06:.+((SYSTEM_STATE.+slice.+state.+changed )|(ment ac)|(system.+state.+changed )|(\|lc)|(penalty)|(\[timeout)|(PRM\|1\|D)|(kpr)|(kdp))" /e /r /s</v>
      </c>
      <c r="S36" s="9" t="str">
        <f t="shared" si="1"/>
        <v>4017</v>
      </c>
      <c r="T36" s="41">
        <f t="shared" si="2"/>
        <v>42590.25204861111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42589.201909722222</v>
      </c>
      <c r="B37" s="34" t="s">
        <v>109</v>
      </c>
      <c r="C37" s="34" t="s">
        <v>280</v>
      </c>
      <c r="D37" s="34" t="s">
        <v>49</v>
      </c>
      <c r="E37" s="34" t="s">
        <v>50</v>
      </c>
      <c r="F37" s="52">
        <v>0</v>
      </c>
      <c r="G37" s="52">
        <v>49</v>
      </c>
      <c r="H37" s="52">
        <v>207</v>
      </c>
      <c r="I37" s="34" t="s">
        <v>51</v>
      </c>
      <c r="J37" s="52">
        <v>1</v>
      </c>
      <c r="K37" s="34" t="s">
        <v>53</v>
      </c>
      <c r="L37" s="103" t="str">
        <f>VLOOKUP(C37,'Trips&amp;Operators'!$C$1:$E$9999,3,0)</f>
        <v>STORY</v>
      </c>
      <c r="M37" s="9" t="s">
        <v>96</v>
      </c>
      <c r="N37" s="10"/>
      <c r="O37" s="34"/>
      <c r="P37" s="121" t="str">
        <f>VLOOKUP(C37,'Train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7" s="125" t="str">
        <f>VLOOKUP(C37,'Train Runs'!$A$13:$AE$524,22,0)</f>
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7" s="128" t="str">
        <f t="shared" si="0"/>
        <v>"C:\Program Files (x86)\AstroGrep\AstroGrep.exe" /spath="%USERPROFILE%\AppData\Local\Temp\OnboardLogs" /stypes="*4008*201608071*" /stext=" 10:.+((SYSTEM_STATE.+slice.+state.+changed )|(ment ac)|(system.+state.+changed )|(\|lc)|(penalty)|(\[timeout)|(PRM\|1\|D)|(kpr)|(kdp))" /e /r /s</v>
      </c>
      <c r="S37" s="9" t="str">
        <f t="shared" si="1"/>
        <v>4008</v>
      </c>
      <c r="T37" s="41">
        <f t="shared" si="2"/>
        <v>42589.451909722222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42589.242627314816</v>
      </c>
      <c r="B38" s="34" t="s">
        <v>104</v>
      </c>
      <c r="C38" s="34" t="s">
        <v>289</v>
      </c>
      <c r="D38" s="34" t="s">
        <v>49</v>
      </c>
      <c r="E38" s="34" t="s">
        <v>50</v>
      </c>
      <c r="F38" s="52">
        <v>0</v>
      </c>
      <c r="G38" s="52">
        <v>41</v>
      </c>
      <c r="H38" s="52">
        <v>196</v>
      </c>
      <c r="I38" s="34" t="s">
        <v>51</v>
      </c>
      <c r="J38" s="52">
        <v>1</v>
      </c>
      <c r="K38" s="34" t="s">
        <v>53</v>
      </c>
      <c r="L38" s="103" t="str">
        <f>VLOOKUP(C38,'Trips&amp;Operators'!$C$1:$E$9999,3,0)</f>
        <v>MAELZER</v>
      </c>
      <c r="M38" s="9" t="s">
        <v>96</v>
      </c>
      <c r="N38" s="10"/>
      <c r="O38" s="34"/>
      <c r="P38" s="121" t="str">
        <f>VLOOKUP(C38,'Train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38" s="125" t="str">
        <f>VLOOKUP(C38,'Train Runs'!$A$13:$AE$524,22,0)</f>
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8" s="128" t="str">
        <f t="shared" si="0"/>
        <v>"C:\Program Files (x86)\AstroGrep\AstroGrep.exe" /spath="%USERPROFILE%\AppData\Local\Temp\OnboardLogs" /stypes="*4028*201608071*" /stext=" 11:.+((SYSTEM_STATE.+slice.+state.+changed )|(ment ac)|(system.+state.+changed )|(\|lc)|(penalty)|(\[timeout)|(PRM\|1\|D)|(kpr)|(kdp))" /e /r /s</v>
      </c>
      <c r="S38" s="9" t="str">
        <f t="shared" si="1"/>
        <v>4028</v>
      </c>
      <c r="T38" s="41">
        <f t="shared" si="2"/>
        <v>42589.492627314816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42589.305138888885</v>
      </c>
      <c r="B39" s="34" t="s">
        <v>128</v>
      </c>
      <c r="C39" s="34" t="s">
        <v>294</v>
      </c>
      <c r="D39" s="34" t="s">
        <v>49</v>
      </c>
      <c r="E39" s="34" t="s">
        <v>50</v>
      </c>
      <c r="F39" s="52">
        <v>0</v>
      </c>
      <c r="G39" s="52">
        <v>51</v>
      </c>
      <c r="H39" s="52">
        <v>154</v>
      </c>
      <c r="I39" s="34" t="s">
        <v>51</v>
      </c>
      <c r="J39" s="52">
        <v>1</v>
      </c>
      <c r="K39" s="34" t="s">
        <v>53</v>
      </c>
      <c r="L39" s="103" t="str">
        <f>VLOOKUP(C39,'Trips&amp;Operators'!$C$1:$E$9999,3,0)</f>
        <v>ACKERMAN</v>
      </c>
      <c r="M39" s="9" t="s">
        <v>96</v>
      </c>
      <c r="N39" s="10"/>
      <c r="O39" s="34"/>
      <c r="P39" s="121" t="str">
        <f>VLOOKUP(C39,'Train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9" s="125" t="str">
        <f>VLOOKUP(C39,'Train Runs'!$A$13:$AE$524,22,0)</f>
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9" s="128" t="str">
        <f t="shared" ref="R39:R68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/stypes="*4015*201608071*" /stext=" 13:.+((SYSTEM_STATE.+slice.+state.+changed )|(ment ac)|(system.+state.+changed )|(\|lc)|(penalty)|(\[timeout)|(PRM\|1\|D)|(kpr)|(kdp))" /e /r /s</v>
      </c>
      <c r="S39" s="9" t="str">
        <f t="shared" ref="S39:S68" si="6">MID(B39,13,4)</f>
        <v>4015</v>
      </c>
      <c r="T39" s="41">
        <f t="shared" ref="T39:T68" si="7">A39+6/24</f>
        <v>42589.555138888885</v>
      </c>
      <c r="U39" s="55" t="str">
        <f t="shared" ref="U39:U68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68" si="9">IF(AND(E39="TRACK WARRANT AUTHORITY",G39&lt;10),"OMIT","KEEP")</f>
        <v>KEEP</v>
      </c>
    </row>
    <row r="40" spans="1:22" x14ac:dyDescent="0.25">
      <c r="A40" s="41">
        <v>42589.430138888885</v>
      </c>
      <c r="B40" s="34" t="s">
        <v>109</v>
      </c>
      <c r="C40" s="34" t="s">
        <v>307</v>
      </c>
      <c r="D40" s="34" t="s">
        <v>49</v>
      </c>
      <c r="E40" s="34" t="s">
        <v>50</v>
      </c>
      <c r="F40" s="52">
        <v>0</v>
      </c>
      <c r="G40" s="52">
        <v>60</v>
      </c>
      <c r="H40" s="52">
        <v>238</v>
      </c>
      <c r="I40" s="34" t="s">
        <v>51</v>
      </c>
      <c r="J40" s="52">
        <v>1</v>
      </c>
      <c r="K40" s="34" t="s">
        <v>53</v>
      </c>
      <c r="L40" s="103" t="str">
        <f>VLOOKUP(C40,'Trips&amp;Operators'!$C$1:$E$9999,3,0)</f>
        <v>STORY</v>
      </c>
      <c r="M40" s="9" t="s">
        <v>96</v>
      </c>
      <c r="N40" s="10"/>
      <c r="O40" s="34"/>
      <c r="P40" s="121" t="str">
        <f>VLOOKUP(C40,'Train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40" s="125" t="str">
        <f>VLOOKUP(C40,'Train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0" s="128" t="str">
        <f t="shared" si="5"/>
        <v>"C:\Program Files (x86)\AstroGrep\AstroGrep.exe" /spath="%USERPROFILE%\AppData\Local\Temp\OnboardLogs" /stypes="*4008*201608071*" /stext=" 16:.+((SYSTEM_STATE.+slice.+state.+changed )|(ment ac)|(system.+state.+changed )|(\|lc)|(penalty)|(\[timeout)|(PRM\|1\|D)|(kpr)|(kdp))" /e /r /s</v>
      </c>
      <c r="S40" s="9" t="str">
        <f t="shared" si="6"/>
        <v>4008</v>
      </c>
      <c r="T40" s="41">
        <f t="shared" si="7"/>
        <v>42589.680138888885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42589.557268518518</v>
      </c>
      <c r="B41" s="34" t="s">
        <v>106</v>
      </c>
      <c r="C41" s="34" t="s">
        <v>316</v>
      </c>
      <c r="D41" s="34" t="s">
        <v>49</v>
      </c>
      <c r="E41" s="34" t="s">
        <v>50</v>
      </c>
      <c r="F41" s="52">
        <v>0</v>
      </c>
      <c r="G41" s="52">
        <v>63</v>
      </c>
      <c r="H41" s="52">
        <v>203</v>
      </c>
      <c r="I41" s="34" t="s">
        <v>51</v>
      </c>
      <c r="J41" s="52">
        <v>1</v>
      </c>
      <c r="K41" s="34" t="s">
        <v>53</v>
      </c>
      <c r="L41" s="103" t="str">
        <f>VLOOKUP(C41,'Trips&amp;Operators'!$C$1:$E$9999,3,0)</f>
        <v>MOSES</v>
      </c>
      <c r="M41" s="9" t="s">
        <v>96</v>
      </c>
      <c r="N41" s="10"/>
      <c r="O41" s="34"/>
      <c r="P41" s="121" t="str">
        <f>VLOOKUP(C41,'Train Runs'!$A$13:$AE$524,31,0)</f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Q41" s="125" t="str">
        <f>VLOOKUP(C41,'Train Runs'!$A$13:$AE$524,22,0)</f>
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1" s="128" t="str">
        <f t="shared" si="5"/>
        <v>"C:\Program Files (x86)\AstroGrep\AstroGrep.exe" /spath="%USERPROFILE%\AppData\Local\Temp\OnboardLogs" /stypes="*4030*201608071*" /stext=" 19:.+((SYSTEM_STATE.+slice.+state.+changed )|(ment ac)|(system.+state.+changed )|(\|lc)|(penalty)|(\[timeout)|(PRM\|1\|D)|(kpr)|(kdp))" /e /r /s</v>
      </c>
      <c r="S41" s="9" t="str">
        <f t="shared" si="6"/>
        <v>4030</v>
      </c>
      <c r="T41" s="41">
        <f t="shared" si="7"/>
        <v>42589.807268518518</v>
      </c>
      <c r="U41" s="55" t="str">
        <f t="shared" si="8"/>
        <v>EC</v>
      </c>
      <c r="V41" s="55" t="str">
        <f t="shared" si="9"/>
        <v>KEEP</v>
      </c>
    </row>
    <row r="42" spans="1:22" x14ac:dyDescent="0.25">
      <c r="A42" s="41">
        <v>42589.75571759259</v>
      </c>
      <c r="B42" s="34" t="s">
        <v>175</v>
      </c>
      <c r="C42" s="34" t="s">
        <v>331</v>
      </c>
      <c r="D42" s="34" t="s">
        <v>49</v>
      </c>
      <c r="E42" s="34" t="s">
        <v>50</v>
      </c>
      <c r="F42" s="52">
        <v>0</v>
      </c>
      <c r="G42" s="52">
        <v>93</v>
      </c>
      <c r="H42" s="52">
        <v>309</v>
      </c>
      <c r="I42" s="34" t="s">
        <v>51</v>
      </c>
      <c r="J42" s="52">
        <v>1</v>
      </c>
      <c r="K42" s="34" t="s">
        <v>53</v>
      </c>
      <c r="L42" s="103" t="str">
        <f>VLOOKUP(C42,'Trips&amp;Operators'!$C$1:$E$9999,3,0)</f>
        <v>BARTLETT</v>
      </c>
      <c r="M42" s="9" t="s">
        <v>96</v>
      </c>
      <c r="N42" s="10"/>
      <c r="O42" s="34"/>
      <c r="P42" s="121" t="str">
        <f>VLOOKUP(C42,'Train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42" s="125" t="str">
        <f>VLOOKUP(C42,'Train Runs'!$A$13:$AE$524,22,0)</f>
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2" s="128" t="str">
        <f t="shared" si="5"/>
        <v>"C:\Program Files (x86)\AstroGrep\AstroGrep.exe" /spath="%USERPROFILE%\AppData\Local\Temp\OnboardLogs" /stypes="*4043*201608080*" /stext=" 00:.+((SYSTEM_STATE.+slice.+state.+changed )|(ment ac)|(system.+state.+changed )|(\|lc)|(penalty)|(\[timeout)|(PRM\|1\|D)|(kpr)|(kdp))" /e /r /s</v>
      </c>
      <c r="S42" s="9" t="str">
        <f t="shared" si="6"/>
        <v>4043</v>
      </c>
      <c r="T42" s="41">
        <f t="shared" si="7"/>
        <v>42590.00571759259</v>
      </c>
      <c r="U42" s="55" t="str">
        <f t="shared" si="8"/>
        <v>EC</v>
      </c>
      <c r="V42" s="55" t="str">
        <f t="shared" si="9"/>
        <v>KEEP</v>
      </c>
    </row>
    <row r="43" spans="1:22" x14ac:dyDescent="0.25">
      <c r="A43" s="41">
        <v>42589.836863425924</v>
      </c>
      <c r="B43" s="34" t="s">
        <v>69</v>
      </c>
      <c r="C43" s="34" t="s">
        <v>336</v>
      </c>
      <c r="D43" s="34" t="s">
        <v>49</v>
      </c>
      <c r="E43" s="34" t="s">
        <v>50</v>
      </c>
      <c r="F43" s="52">
        <v>0</v>
      </c>
      <c r="G43" s="52">
        <v>58</v>
      </c>
      <c r="H43" s="52">
        <v>185</v>
      </c>
      <c r="I43" s="34" t="s">
        <v>51</v>
      </c>
      <c r="J43" s="52">
        <v>1</v>
      </c>
      <c r="K43" s="34" t="s">
        <v>53</v>
      </c>
      <c r="L43" s="103" t="str">
        <f>VLOOKUP(C43,'Trips&amp;Operators'!$C$1:$E$9999,3,0)</f>
        <v>CHANDLER</v>
      </c>
      <c r="M43" s="9" t="s">
        <v>96</v>
      </c>
      <c r="N43" s="10"/>
      <c r="O43" s="34"/>
      <c r="P43" s="121" t="str">
        <f>VLOOKUP(C43,'Train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43" s="125" t="str">
        <f>VLOOKUP(C43,'Train Runs'!$A$13:$AE$524,22,0)</f>
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3" s="128" t="str">
        <f t="shared" si="5"/>
        <v>"C:\Program Files (x86)\AstroGrep\AstroGrep.exe" /spath="%USERPROFILE%\AppData\Local\Temp\OnboardLogs" /stypes="*4017*201608080*" /stext=" 02:.+((SYSTEM_STATE.+slice.+state.+changed )|(ment ac)|(system.+state.+changed )|(\|lc)|(penalty)|(\[timeout)|(PRM\|1\|D)|(kpr)|(kdp))" /e /r /s</v>
      </c>
      <c r="S43" s="9" t="str">
        <f t="shared" si="6"/>
        <v>4017</v>
      </c>
      <c r="T43" s="41">
        <f t="shared" si="7"/>
        <v>42590.086863425924</v>
      </c>
      <c r="U43" s="55" t="str">
        <f t="shared" si="8"/>
        <v>EC</v>
      </c>
      <c r="V43" s="55" t="str">
        <f t="shared" si="9"/>
        <v>KEEP</v>
      </c>
    </row>
    <row r="44" spans="1:22" x14ac:dyDescent="0.25">
      <c r="A44" s="41">
        <v>42589.795960648145</v>
      </c>
      <c r="B44" s="34" t="s">
        <v>68</v>
      </c>
      <c r="C44" s="34" t="s">
        <v>334</v>
      </c>
      <c r="D44" s="34" t="s">
        <v>49</v>
      </c>
      <c r="E44" s="34" t="s">
        <v>50</v>
      </c>
      <c r="F44" s="52">
        <v>0</v>
      </c>
      <c r="G44" s="52">
        <v>73</v>
      </c>
      <c r="H44" s="52">
        <v>233213</v>
      </c>
      <c r="I44" s="34" t="s">
        <v>51</v>
      </c>
      <c r="J44" s="52">
        <v>233491</v>
      </c>
      <c r="K44" s="34" t="s">
        <v>52</v>
      </c>
      <c r="L44" s="103" t="str">
        <f>VLOOKUP(C44,'Trips&amp;Operators'!$C$1:$E$9999,3,0)</f>
        <v>CHANDLER</v>
      </c>
      <c r="M44" s="9" t="s">
        <v>96</v>
      </c>
      <c r="N44" s="10"/>
      <c r="O44" s="34"/>
      <c r="P44" s="121" t="str">
        <f>VLOOKUP(C44,'Train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44" s="125" t="str">
        <f>VLOOKUP(C44,'Train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44" s="128" t="str">
        <f t="shared" si="5"/>
        <v>"C:\Program Files (x86)\AstroGrep\AstroGrep.exe" /spath="%USERPROFILE%\AppData\Local\Temp\OnboardLogs" /stypes="*4018*201608080*" /stext=" 01:.+((SYSTEM_STATE.+slice.+state.+changed )|(ment ac)|(system.+state.+changed )|(\|lc)|(penalty)|(\[timeout)|(PRM\|1\|D)|(kpr)|(kdp))" /e /r /s</v>
      </c>
      <c r="S44" s="9" t="str">
        <f t="shared" si="6"/>
        <v>4018</v>
      </c>
      <c r="T44" s="41">
        <f t="shared" si="7"/>
        <v>42590.045960648145</v>
      </c>
      <c r="U44" s="55" t="str">
        <f t="shared" si="8"/>
        <v>EC</v>
      </c>
      <c r="V44" s="55" t="str">
        <f t="shared" si="9"/>
        <v>KEEP</v>
      </c>
    </row>
    <row r="45" spans="1:22" x14ac:dyDescent="0.25">
      <c r="A45" s="41">
        <v>42589.43787037037</v>
      </c>
      <c r="B45" s="34" t="s">
        <v>75</v>
      </c>
      <c r="C45" s="34" t="s">
        <v>309</v>
      </c>
      <c r="D45" s="34" t="s">
        <v>49</v>
      </c>
      <c r="E45" s="34" t="s">
        <v>56</v>
      </c>
      <c r="F45" s="52">
        <v>400</v>
      </c>
      <c r="G45" s="52">
        <v>450</v>
      </c>
      <c r="H45" s="52">
        <v>37350</v>
      </c>
      <c r="I45" s="34" t="s">
        <v>57</v>
      </c>
      <c r="J45" s="52">
        <v>38171</v>
      </c>
      <c r="K45" s="34" t="s">
        <v>52</v>
      </c>
      <c r="L45" s="103" t="str">
        <f>VLOOKUP(C45,'Trips&amp;Operators'!$C$1:$E$9999,3,0)</f>
        <v>STARKS</v>
      </c>
      <c r="M45" s="9" t="s">
        <v>96</v>
      </c>
      <c r="N45" s="10"/>
      <c r="O45" s="34"/>
      <c r="P45" s="121" t="str">
        <f>VLOOKUP(C45,'Train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5" s="125" t="str">
        <f>VLOOKUP(C45,'Train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5" s="128" t="str">
        <f t="shared" si="5"/>
        <v>"C:\Program Files (x86)\AstroGrep\AstroGrep.exe" /spath="%USERPROFILE%\AppData\Local\Temp\OnboardLogs" /stypes="*4042*201608071*" /stext=" 16:.+((SYSTEM_STATE.+slice.+state.+changed )|(ment ac)|(system.+state.+changed )|(\|lc)|(penalty)|(\[timeout)|(PRM\|1\|D)|(kpr)|(kdp))" /e /r /s</v>
      </c>
      <c r="S45" s="9" t="str">
        <f t="shared" si="6"/>
        <v>4042</v>
      </c>
      <c r="T45" s="41">
        <f t="shared" si="7"/>
        <v>42589.68787037037</v>
      </c>
      <c r="U45" s="55" t="str">
        <f t="shared" si="8"/>
        <v>NW</v>
      </c>
      <c r="V45" s="55" t="str">
        <f t="shared" si="9"/>
        <v>KEEP</v>
      </c>
    </row>
    <row r="46" spans="1:22" x14ac:dyDescent="0.25">
      <c r="A46" s="41">
        <v>42589.481296296297</v>
      </c>
      <c r="B46" s="34" t="s">
        <v>75</v>
      </c>
      <c r="C46" s="34" t="s">
        <v>312</v>
      </c>
      <c r="D46" s="34" t="s">
        <v>49</v>
      </c>
      <c r="E46" s="34" t="s">
        <v>56</v>
      </c>
      <c r="F46" s="52">
        <v>150</v>
      </c>
      <c r="G46" s="52">
        <v>281</v>
      </c>
      <c r="H46" s="52">
        <v>56435</v>
      </c>
      <c r="I46" s="34" t="s">
        <v>57</v>
      </c>
      <c r="J46" s="52">
        <v>57008</v>
      </c>
      <c r="K46" s="34" t="s">
        <v>52</v>
      </c>
      <c r="L46" s="103" t="str">
        <f>VLOOKUP(C46,'Trips&amp;Operators'!$C$1:$E$9999,3,0)</f>
        <v>STARKS</v>
      </c>
      <c r="M46" s="9" t="s">
        <v>96</v>
      </c>
      <c r="N46" s="10"/>
      <c r="O46" s="34"/>
      <c r="P46" s="121" t="str">
        <f>VLOOKUP(C46,'Train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6" s="125" t="str">
        <f>VLOOKUP(C46,'Train Runs'!$A$13:$AE$524,22,0)</f>
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6" s="128" t="str">
        <f t="shared" si="5"/>
        <v>"C:\Program Files (x86)\AstroGrep\AstroGrep.exe" /spath="%USERPROFILE%\AppData\Local\Temp\OnboardLogs" /stypes="*4042*201608071*" /stext=" 17:.+((SYSTEM_STATE.+slice.+state.+changed )|(ment ac)|(system.+state.+changed )|(\|lc)|(penalty)|(\[timeout)|(PRM\|1\|D)|(kpr)|(kdp))" /e /r /s</v>
      </c>
      <c r="S46" s="9" t="str">
        <f t="shared" si="6"/>
        <v>4042</v>
      </c>
      <c r="T46" s="41">
        <f t="shared" si="7"/>
        <v>42589.731296296297</v>
      </c>
      <c r="U46" s="55" t="str">
        <f t="shared" si="8"/>
        <v>NW</v>
      </c>
      <c r="V46" s="55" t="str">
        <f t="shared" si="9"/>
        <v>KEEP</v>
      </c>
    </row>
    <row r="47" spans="1:22" x14ac:dyDescent="0.25">
      <c r="A47" s="41">
        <v>42589.522511574076</v>
      </c>
      <c r="B47" s="34" t="s">
        <v>75</v>
      </c>
      <c r="C47" s="34" t="s">
        <v>313</v>
      </c>
      <c r="D47" s="34" t="s">
        <v>49</v>
      </c>
      <c r="E47" s="34" t="s">
        <v>56</v>
      </c>
      <c r="F47" s="52">
        <v>150</v>
      </c>
      <c r="G47" s="52">
        <v>475</v>
      </c>
      <c r="H47" s="52">
        <v>54248</v>
      </c>
      <c r="I47" s="34" t="s">
        <v>57</v>
      </c>
      <c r="J47" s="52">
        <v>57008</v>
      </c>
      <c r="K47" s="34" t="s">
        <v>52</v>
      </c>
      <c r="L47" s="103" t="str">
        <f>VLOOKUP(C47,'Trips&amp;Operators'!$C$1:$E$9999,3,0)</f>
        <v>STARKS</v>
      </c>
      <c r="M47" s="9" t="s">
        <v>96</v>
      </c>
      <c r="N47" s="10"/>
      <c r="O47" s="34"/>
      <c r="P47" s="121" t="str">
        <f>VLOOKUP(C47,'Train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7" s="125" t="str">
        <f>VLOOKUP(C47,'Train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7" s="128" t="str">
        <f t="shared" si="5"/>
        <v>"C:\Program Files (x86)\AstroGrep\AstroGrep.exe" /spath="%USERPROFILE%\AppData\Local\Temp\OnboardLogs" /stypes="*4042*201608071*" /stext=" 18:.+((SYSTEM_STATE.+slice.+state.+changed )|(ment ac)|(system.+state.+changed )|(\|lc)|(penalty)|(\[timeout)|(PRM\|1\|D)|(kpr)|(kdp))" /e /r /s</v>
      </c>
      <c r="S47" s="9" t="str">
        <f t="shared" si="6"/>
        <v>4042</v>
      </c>
      <c r="T47" s="41">
        <f t="shared" si="7"/>
        <v>42589.772511574076</v>
      </c>
      <c r="U47" s="55" t="str">
        <f t="shared" si="8"/>
        <v>NW</v>
      </c>
      <c r="V47" s="55" t="str">
        <f t="shared" si="9"/>
        <v>KEEP</v>
      </c>
    </row>
    <row r="48" spans="1:22" x14ac:dyDescent="0.25">
      <c r="A48" s="41">
        <v>42589.605949074074</v>
      </c>
      <c r="B48" s="34" t="s">
        <v>75</v>
      </c>
      <c r="C48" s="34" t="s">
        <v>320</v>
      </c>
      <c r="D48" s="34" t="s">
        <v>49</v>
      </c>
      <c r="E48" s="34" t="s">
        <v>56</v>
      </c>
      <c r="F48" s="52">
        <v>150</v>
      </c>
      <c r="G48" s="52">
        <v>302</v>
      </c>
      <c r="H48" s="52">
        <v>56325</v>
      </c>
      <c r="I48" s="34" t="s">
        <v>57</v>
      </c>
      <c r="J48" s="52">
        <v>57008</v>
      </c>
      <c r="K48" s="34" t="s">
        <v>52</v>
      </c>
      <c r="L48" s="103" t="str">
        <f>VLOOKUP(C48,'Trips&amp;Operators'!$C$1:$E$9999,3,0)</f>
        <v>STAMBAUGH</v>
      </c>
      <c r="M48" s="9" t="s">
        <v>96</v>
      </c>
      <c r="N48" s="10"/>
      <c r="O48" s="34"/>
      <c r="P48" s="121" t="str">
        <f>VLOOKUP(C48,'Train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8" s="125" t="str">
        <f>VLOOKUP(C48,'Train Runs'!$A$13:$AE$524,22,0)</f>
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8" s="128" t="str">
        <f t="shared" si="5"/>
        <v>"C:\Program Files (x86)\AstroGrep\AstroGrep.exe" /spath="%USERPROFILE%\AppData\Local\Temp\OnboardLogs" /stypes="*4042*201608072*" /stext=" 20:.+((SYSTEM_STATE.+slice.+state.+changed )|(ment ac)|(system.+state.+changed )|(\|lc)|(penalty)|(\[timeout)|(PRM\|1\|D)|(kpr)|(kdp))" /e /r /s</v>
      </c>
      <c r="S48" s="9" t="str">
        <f t="shared" si="6"/>
        <v>4042</v>
      </c>
      <c r="T48" s="41">
        <f t="shared" si="7"/>
        <v>42589.855949074074</v>
      </c>
      <c r="U48" s="55" t="str">
        <f t="shared" si="8"/>
        <v>NW</v>
      </c>
      <c r="V48" s="55" t="str">
        <f t="shared" si="9"/>
        <v>KEEP</v>
      </c>
    </row>
    <row r="49" spans="1:22" x14ac:dyDescent="0.25">
      <c r="A49" s="41">
        <v>42589.93949074074</v>
      </c>
      <c r="B49" s="34" t="s">
        <v>107</v>
      </c>
      <c r="C49" s="34" t="s">
        <v>338</v>
      </c>
      <c r="D49" s="34" t="s">
        <v>49</v>
      </c>
      <c r="E49" s="34" t="s">
        <v>56</v>
      </c>
      <c r="F49" s="52">
        <v>150</v>
      </c>
      <c r="G49" s="52">
        <v>328</v>
      </c>
      <c r="H49" s="52">
        <v>56131</v>
      </c>
      <c r="I49" s="34" t="s">
        <v>57</v>
      </c>
      <c r="J49" s="52">
        <v>57008</v>
      </c>
      <c r="K49" s="34" t="s">
        <v>52</v>
      </c>
      <c r="L49" s="103" t="str">
        <f>VLOOKUP(C49,'Trips&amp;Operators'!$C$1:$E$9999,3,0)</f>
        <v>STAMBAUGH</v>
      </c>
      <c r="M49" s="9" t="s">
        <v>96</v>
      </c>
      <c r="N49" s="10"/>
      <c r="O49" s="34"/>
      <c r="P49" s="121" t="str">
        <f>VLOOKUP(C49,'Train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49" s="125" t="str">
        <f>VLOOKUP(C49,'Train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9" s="128" t="str">
        <f t="shared" si="5"/>
        <v>"C:\Program Files (x86)\AstroGrep\AstroGrep.exe" /spath="%USERPROFILE%\AppData\Local\Temp\OnboardLogs" /stypes="*4027*201608080*" /stext=" 04:.+((SYSTEM_STATE.+slice.+state.+changed )|(ment ac)|(system.+state.+changed )|(\|lc)|(penalty)|(\[timeout)|(PRM\|1\|D)|(kpr)|(kdp))" /e /r /s</v>
      </c>
      <c r="S49" s="9" t="str">
        <f t="shared" si="6"/>
        <v>4027</v>
      </c>
      <c r="T49" s="41">
        <f t="shared" si="7"/>
        <v>42590.18949074074</v>
      </c>
      <c r="U49" s="55" t="str">
        <f t="shared" si="8"/>
        <v>NW</v>
      </c>
      <c r="V49" s="55" t="str">
        <f t="shared" si="9"/>
        <v>KEEP</v>
      </c>
    </row>
    <row r="50" spans="1:22" x14ac:dyDescent="0.25">
      <c r="A50" s="41">
        <v>42589.287187499998</v>
      </c>
      <c r="B50" s="34" t="s">
        <v>138</v>
      </c>
      <c r="C50" s="34" t="s">
        <v>293</v>
      </c>
      <c r="D50" s="34" t="s">
        <v>49</v>
      </c>
      <c r="E50" s="34" t="s">
        <v>179</v>
      </c>
      <c r="F50" s="52">
        <v>100</v>
      </c>
      <c r="G50" s="52">
        <v>323</v>
      </c>
      <c r="H50" s="52">
        <v>13504</v>
      </c>
      <c r="I50" s="34" t="s">
        <v>127</v>
      </c>
      <c r="J50" s="52">
        <v>11000</v>
      </c>
      <c r="K50" s="34" t="s">
        <v>53</v>
      </c>
      <c r="L50" s="103" t="str">
        <f>VLOOKUP(C50,'Trips&amp;Operators'!$C$1:$E$9999,3,0)</f>
        <v>STARKS</v>
      </c>
      <c r="M50" s="9" t="s">
        <v>96</v>
      </c>
      <c r="N50" s="10"/>
      <c r="O50" s="34"/>
      <c r="P50" s="121" t="str">
        <f>VLOOKUP(C50,'Train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0" s="125" t="str">
        <f>VLOOKUP(C50,'Train Runs'!$A$13:$AE$524,22,0)</f>
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0" s="128" t="str">
        <f t="shared" si="5"/>
        <v>"C:\Program Files (x86)\AstroGrep\AstroGrep.exe" /spath="%USERPROFILE%\AppData\Local\Temp\OnboardLogs" /stypes="*4041*201608071*" /stext=" 12:.+((SYSTEM_STATE.+slice.+state.+changed )|(ment ac)|(system.+state.+changed )|(\|lc)|(penalty)|(\[timeout)|(PRM\|1\|D)|(kpr)|(kdp))" /e /r /s</v>
      </c>
      <c r="S50" s="9" t="str">
        <f t="shared" si="6"/>
        <v>4041</v>
      </c>
      <c r="T50" s="41">
        <f t="shared" si="7"/>
        <v>42589.537187499998</v>
      </c>
      <c r="U50" s="55" t="str">
        <f t="shared" si="8"/>
        <v>NW</v>
      </c>
      <c r="V50" s="55" t="str">
        <f t="shared" si="9"/>
        <v>KEEP</v>
      </c>
    </row>
    <row r="51" spans="1:22" x14ac:dyDescent="0.25">
      <c r="A51" s="41">
        <v>42589.410983796297</v>
      </c>
      <c r="B51" s="34" t="s">
        <v>138</v>
      </c>
      <c r="C51" s="34" t="s">
        <v>305</v>
      </c>
      <c r="D51" s="34" t="s">
        <v>49</v>
      </c>
      <c r="E51" s="34" t="s">
        <v>179</v>
      </c>
      <c r="F51" s="52">
        <v>100</v>
      </c>
      <c r="G51" s="52">
        <v>159</v>
      </c>
      <c r="H51" s="52">
        <v>11794</v>
      </c>
      <c r="I51" s="34" t="s">
        <v>127</v>
      </c>
      <c r="J51" s="52">
        <v>11000</v>
      </c>
      <c r="K51" s="34" t="s">
        <v>53</v>
      </c>
      <c r="L51" s="103" t="str">
        <f>VLOOKUP(C51,'Trips&amp;Operators'!$C$1:$E$9999,3,0)</f>
        <v>STARKS</v>
      </c>
      <c r="M51" s="9" t="s">
        <v>96</v>
      </c>
      <c r="N51" s="10"/>
      <c r="O51" s="34"/>
      <c r="P51" s="121" t="str">
        <f>VLOOKUP(C51,'Train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1" s="125" t="str">
        <f>VLOOKUP(C51,'Train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1" s="128" t="str">
        <f t="shared" si="5"/>
        <v>"C:\Program Files (x86)\AstroGrep\AstroGrep.exe" /spath="%USERPROFILE%\AppData\Local\Temp\OnboardLogs" /stypes="*4041*201608071*" /stext=" 15:.+((SYSTEM_STATE.+slice.+state.+changed )|(ment ac)|(system.+state.+changed )|(\|lc)|(penalty)|(\[timeout)|(PRM\|1\|D)|(kpr)|(kdp))" /e /r /s</v>
      </c>
      <c r="S51" s="9" t="str">
        <f t="shared" si="6"/>
        <v>4041</v>
      </c>
      <c r="T51" s="41">
        <f t="shared" si="7"/>
        <v>42589.660983796297</v>
      </c>
      <c r="U51" s="55" t="str">
        <f t="shared" si="8"/>
        <v>NW</v>
      </c>
      <c r="V51" s="55" t="str">
        <f t="shared" si="9"/>
        <v>KEEP</v>
      </c>
    </row>
    <row r="52" spans="1:22" x14ac:dyDescent="0.25">
      <c r="A52" s="41">
        <v>42589.703738425924</v>
      </c>
      <c r="B52" s="34" t="s">
        <v>104</v>
      </c>
      <c r="C52" s="34" t="s">
        <v>326</v>
      </c>
      <c r="D52" s="34" t="s">
        <v>49</v>
      </c>
      <c r="E52" s="34" t="s">
        <v>179</v>
      </c>
      <c r="F52" s="52">
        <v>100</v>
      </c>
      <c r="G52" s="52">
        <v>449</v>
      </c>
      <c r="H52" s="52">
        <v>13607</v>
      </c>
      <c r="I52" s="34" t="s">
        <v>127</v>
      </c>
      <c r="J52" s="52">
        <v>11000</v>
      </c>
      <c r="K52" s="34" t="s">
        <v>53</v>
      </c>
      <c r="L52" s="103" t="str">
        <f>VLOOKUP(C52,'Trips&amp;Operators'!$C$1:$E$9999,3,0)</f>
        <v>STAMBAUGH</v>
      </c>
      <c r="M52" s="9" t="s">
        <v>96</v>
      </c>
      <c r="N52" s="10"/>
      <c r="O52" s="34"/>
      <c r="P52" s="121" t="str">
        <f>VLOOKUP(C52,'Train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52" s="125" t="str">
        <f>VLOOKUP(C52,'Train Runs'!$A$13:$AE$524,22,0)</f>
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52" s="128" t="str">
        <f t="shared" si="5"/>
        <v>"C:\Program Files (x86)\AstroGrep\AstroGrep.exe" /spath="%USERPROFILE%\AppData\Local\Temp\OnboardLogs" /stypes="*4028*201608072*" /stext=" 22:.+((SYSTEM_STATE.+slice.+state.+changed )|(ment ac)|(system.+state.+changed )|(\|lc)|(penalty)|(\[timeout)|(PRM\|1\|D)|(kpr)|(kdp))" /e /r /s</v>
      </c>
      <c r="S52" s="9" t="str">
        <f t="shared" si="6"/>
        <v>4028</v>
      </c>
      <c r="T52" s="41">
        <f t="shared" si="7"/>
        <v>42589.953738425924</v>
      </c>
      <c r="U52" s="55" t="str">
        <f t="shared" si="8"/>
        <v>NW</v>
      </c>
      <c r="V52" s="55" t="str">
        <f t="shared" si="9"/>
        <v>KEEP</v>
      </c>
    </row>
    <row r="53" spans="1:22" x14ac:dyDescent="0.25">
      <c r="A53" s="41">
        <v>42589.665023148147</v>
      </c>
      <c r="B53" s="34" t="s">
        <v>138</v>
      </c>
      <c r="C53" s="34" t="s">
        <v>324</v>
      </c>
      <c r="D53" s="34" t="s">
        <v>49</v>
      </c>
      <c r="E53" s="34" t="s">
        <v>50</v>
      </c>
      <c r="F53" s="52">
        <v>0</v>
      </c>
      <c r="G53" s="52">
        <v>45</v>
      </c>
      <c r="H53" s="52">
        <v>149</v>
      </c>
      <c r="I53" s="34" t="s">
        <v>51</v>
      </c>
      <c r="J53" s="52">
        <v>1</v>
      </c>
      <c r="K53" s="34" t="s">
        <v>53</v>
      </c>
      <c r="L53" s="103" t="str">
        <f>VLOOKUP(C53,'Trips&amp;Operators'!$C$1:$E$9999,3,0)</f>
        <v>STAMBAUGH</v>
      </c>
      <c r="M53" s="9" t="s">
        <v>96</v>
      </c>
      <c r="N53" s="10"/>
      <c r="O53" s="34"/>
      <c r="P53" s="121" t="str">
        <f>VLOOKUP(C53,'Train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3" s="125" t="str">
        <f>VLOOKUP(C53,'Train Runs'!$A$13:$AE$524,22,0)</f>
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3" s="128" t="str">
        <f t="shared" si="5"/>
        <v>"C:\Program Files (x86)\AstroGrep\AstroGrep.exe" /spath="%USERPROFILE%\AppData\Local\Temp\OnboardLogs" /stypes="*4041*201608072*" /stext=" 21:.+((SYSTEM_STATE.+slice.+state.+changed )|(ment ac)|(system.+state.+changed )|(\|lc)|(penalty)|(\[timeout)|(PRM\|1\|D)|(kpr)|(kdp))" /e /r /s</v>
      </c>
      <c r="S53" s="9" t="str">
        <f t="shared" si="6"/>
        <v>4041</v>
      </c>
      <c r="T53" s="41">
        <f t="shared" si="7"/>
        <v>42589.915023148147</v>
      </c>
      <c r="U53" s="55" t="str">
        <f t="shared" si="8"/>
        <v>NW</v>
      </c>
      <c r="V53" s="55" t="str">
        <f t="shared" si="9"/>
        <v>KEEP</v>
      </c>
    </row>
    <row r="54" spans="1:22" x14ac:dyDescent="0.25">
      <c r="A54" s="41">
        <v>42589.246990740743</v>
      </c>
      <c r="B54" s="34" t="s">
        <v>138</v>
      </c>
      <c r="C54" s="34" t="s">
        <v>290</v>
      </c>
      <c r="D54" s="34" t="s">
        <v>49</v>
      </c>
      <c r="E54" s="34" t="s">
        <v>50</v>
      </c>
      <c r="F54" s="52">
        <v>0</v>
      </c>
      <c r="G54" s="52">
        <v>26</v>
      </c>
      <c r="H54" s="52">
        <v>659</v>
      </c>
      <c r="I54" s="34" t="s">
        <v>51</v>
      </c>
      <c r="J54" s="52">
        <v>575</v>
      </c>
      <c r="K54" s="34" t="s">
        <v>53</v>
      </c>
      <c r="L54" s="103" t="str">
        <f>VLOOKUP(C54,'Trips&amp;Operators'!$C$1:$E$9999,3,0)</f>
        <v>STARKS</v>
      </c>
      <c r="M54" s="9" t="s">
        <v>96</v>
      </c>
      <c r="N54" s="10"/>
      <c r="O54" s="34"/>
      <c r="P54" s="121" t="str">
        <f>VLOOKUP(C54,'Train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4" s="125" t="str">
        <f>VLOOKUP(C54,'Train Runs'!$A$13:$AE$524,22,0)</f>
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4" s="128" t="str">
        <f t="shared" si="5"/>
        <v>"C:\Program Files (x86)\AstroGrep\AstroGrep.exe" /spath="%USERPROFILE%\AppData\Local\Temp\OnboardLogs" /stypes="*4041*201608071*" /stext=" 11:.+((SYSTEM_STATE.+slice.+state.+changed )|(ment ac)|(system.+state.+changed )|(\|lc)|(penalty)|(\[timeout)|(PRM\|1\|D)|(kpr)|(kdp))" /e /r /s</v>
      </c>
      <c r="S54" s="9" t="str">
        <f t="shared" si="6"/>
        <v>4041</v>
      </c>
      <c r="T54" s="41">
        <f t="shared" si="7"/>
        <v>42589.496990740743</v>
      </c>
      <c r="U54" s="55" t="str">
        <f t="shared" si="8"/>
        <v>NW</v>
      </c>
      <c r="V54" s="55" t="str">
        <f t="shared" si="9"/>
        <v>KEEP</v>
      </c>
    </row>
    <row r="55" spans="1:22" x14ac:dyDescent="0.25">
      <c r="A55" s="41">
        <v>42589.372048611112</v>
      </c>
      <c r="B55" s="34" t="s">
        <v>138</v>
      </c>
      <c r="C55" s="34" t="s">
        <v>303</v>
      </c>
      <c r="D55" s="34" t="s">
        <v>49</v>
      </c>
      <c r="E55" s="34" t="s">
        <v>50</v>
      </c>
      <c r="F55" s="52">
        <v>0</v>
      </c>
      <c r="G55" s="52">
        <v>42</v>
      </c>
      <c r="H55" s="52">
        <v>731</v>
      </c>
      <c r="I55" s="34" t="s">
        <v>51</v>
      </c>
      <c r="J55" s="52">
        <v>575</v>
      </c>
      <c r="K55" s="34" t="s">
        <v>53</v>
      </c>
      <c r="L55" s="103" t="str">
        <f>VLOOKUP(C55,'Trips&amp;Operators'!$C$1:$E$9999,3,0)</f>
        <v>STARKS</v>
      </c>
      <c r="M55" s="9" t="s">
        <v>96</v>
      </c>
      <c r="N55" s="10"/>
      <c r="O55" s="34"/>
      <c r="P55" s="121" t="str">
        <f>VLOOKUP(C55,'Train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5" s="125" t="str">
        <f>VLOOKUP(C55,'Train Runs'!$A$13:$AE$524,22,0)</f>
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5" s="128" t="str">
        <f t="shared" si="5"/>
        <v>"C:\Program Files (x86)\AstroGrep\AstroGrep.exe" /spath="%USERPROFILE%\AppData\Local\Temp\OnboardLogs" /stypes="*4041*201608071*" /stext=" 14:.+((SYSTEM_STATE.+slice.+state.+changed )|(ment ac)|(system.+state.+changed )|(\|lc)|(penalty)|(\[timeout)|(PRM\|1\|D)|(kpr)|(kdp))" /e /r /s</v>
      </c>
      <c r="S55" s="9" t="str">
        <f t="shared" si="6"/>
        <v>4041</v>
      </c>
      <c r="T55" s="41">
        <f t="shared" si="7"/>
        <v>42589.622048611112</v>
      </c>
      <c r="U55" s="55" t="str">
        <f t="shared" si="8"/>
        <v>NW</v>
      </c>
      <c r="V55" s="55" t="str">
        <f t="shared" si="9"/>
        <v>KEEP</v>
      </c>
    </row>
    <row r="56" spans="1:22" x14ac:dyDescent="0.25">
      <c r="A56" s="41">
        <v>42589.414548611108</v>
      </c>
      <c r="B56" s="34" t="s">
        <v>138</v>
      </c>
      <c r="C56" s="34" t="s">
        <v>305</v>
      </c>
      <c r="D56" s="34" t="s">
        <v>49</v>
      </c>
      <c r="E56" s="34" t="s">
        <v>50</v>
      </c>
      <c r="F56" s="52">
        <v>0</v>
      </c>
      <c r="G56" s="52">
        <v>38</v>
      </c>
      <c r="H56" s="52">
        <v>682</v>
      </c>
      <c r="I56" s="34" t="s">
        <v>51</v>
      </c>
      <c r="J56" s="52">
        <v>575</v>
      </c>
      <c r="K56" s="34" t="s">
        <v>53</v>
      </c>
      <c r="L56" s="103" t="str">
        <f>VLOOKUP(C56,'Trips&amp;Operators'!$C$1:$E$9999,3,0)</f>
        <v>STARKS</v>
      </c>
      <c r="M56" s="9" t="s">
        <v>96</v>
      </c>
      <c r="N56" s="10"/>
      <c r="O56" s="34"/>
      <c r="P56" s="121" t="str">
        <f>VLOOKUP(C56,'Train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6" s="125" t="str">
        <f>VLOOKUP(C56,'Train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6" s="128" t="str">
        <f t="shared" si="5"/>
        <v>"C:\Program Files (x86)\AstroGrep\AstroGrep.exe" /spath="%USERPROFILE%\AppData\Local\Temp\OnboardLogs" /stypes="*4041*201608071*" /stext=" 15:.+((SYSTEM_STATE.+slice.+state.+changed )|(ment ac)|(system.+state.+changed )|(\|lc)|(penalty)|(\[timeout)|(PRM\|1\|D)|(kpr)|(kdp))" /e /r /s</v>
      </c>
      <c r="S56" s="9" t="str">
        <f t="shared" si="6"/>
        <v>4041</v>
      </c>
      <c r="T56" s="41">
        <f t="shared" si="7"/>
        <v>42589.664548611108</v>
      </c>
      <c r="U56" s="55" t="str">
        <f t="shared" si="8"/>
        <v>NW</v>
      </c>
      <c r="V56" s="55" t="str">
        <f t="shared" si="9"/>
        <v>KEEP</v>
      </c>
    </row>
    <row r="57" spans="1:22" x14ac:dyDescent="0.25">
      <c r="A57" s="41">
        <v>42589.45579861111</v>
      </c>
      <c r="B57" s="34" t="s">
        <v>138</v>
      </c>
      <c r="C57" s="34" t="s">
        <v>310</v>
      </c>
      <c r="D57" s="34" t="s">
        <v>49</v>
      </c>
      <c r="E57" s="34" t="s">
        <v>50</v>
      </c>
      <c r="F57" s="52">
        <v>0</v>
      </c>
      <c r="G57" s="52">
        <v>50</v>
      </c>
      <c r="H57" s="52">
        <v>759</v>
      </c>
      <c r="I57" s="34" t="s">
        <v>51</v>
      </c>
      <c r="J57" s="52">
        <v>575</v>
      </c>
      <c r="K57" s="34" t="s">
        <v>53</v>
      </c>
      <c r="L57" s="103" t="str">
        <f>VLOOKUP(C57,'Trips&amp;Operators'!$C$1:$E$9999,3,0)</f>
        <v>STARKS</v>
      </c>
      <c r="M57" s="9" t="s">
        <v>96</v>
      </c>
      <c r="N57" s="10"/>
      <c r="O57" s="34"/>
      <c r="P57" s="121" t="str">
        <f>VLOOKUP(C57,'Train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7" s="125" t="str">
        <f>VLOOKUP(C57,'Train Runs'!$A$13:$AE$524,22,0)</f>
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7" s="128" t="str">
        <f t="shared" si="5"/>
        <v>"C:\Program Files (x86)\AstroGrep\AstroGrep.exe" /spath="%USERPROFILE%\AppData\Local\Temp\OnboardLogs" /stypes="*4041*201608071*" /stext=" 16:.+((SYSTEM_STATE.+slice.+state.+changed )|(ment ac)|(system.+state.+changed )|(\|lc)|(penalty)|(\[timeout)|(PRM\|1\|D)|(kpr)|(kdp))" /e /r /s</v>
      </c>
      <c r="S57" s="9" t="str">
        <f t="shared" si="6"/>
        <v>4041</v>
      </c>
      <c r="T57" s="41">
        <f t="shared" si="7"/>
        <v>42589.70579861111</v>
      </c>
      <c r="U57" s="55" t="str">
        <f t="shared" si="8"/>
        <v>NW</v>
      </c>
      <c r="V57" s="55" t="str">
        <f t="shared" si="9"/>
        <v>KEEP</v>
      </c>
    </row>
    <row r="58" spans="1:22" x14ac:dyDescent="0.25">
      <c r="A58" s="41">
        <v>42589.538865740738</v>
      </c>
      <c r="B58" s="34" t="s">
        <v>138</v>
      </c>
      <c r="C58" s="34" t="s">
        <v>314</v>
      </c>
      <c r="D58" s="34" t="s">
        <v>49</v>
      </c>
      <c r="E58" s="34" t="s">
        <v>50</v>
      </c>
      <c r="F58" s="52">
        <v>0</v>
      </c>
      <c r="G58" s="52">
        <v>30</v>
      </c>
      <c r="H58" s="52">
        <v>671</v>
      </c>
      <c r="I58" s="34" t="s">
        <v>51</v>
      </c>
      <c r="J58" s="52">
        <v>575</v>
      </c>
      <c r="K58" s="34" t="s">
        <v>53</v>
      </c>
      <c r="L58" s="103" t="str">
        <f>VLOOKUP(C58,'Trips&amp;Operators'!$C$1:$E$9999,3,0)</f>
        <v>STARKS</v>
      </c>
      <c r="M58" s="9" t="s">
        <v>96</v>
      </c>
      <c r="N58" s="10"/>
      <c r="O58" s="34"/>
      <c r="P58" s="121" t="str">
        <f>VLOOKUP(C58,'Train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8" s="125" t="str">
        <f>VLOOKUP(C58,'Train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8" s="128" t="str">
        <f t="shared" si="5"/>
        <v>"C:\Program Files (x86)\AstroGrep\AstroGrep.exe" /spath="%USERPROFILE%\AppData\Local\Temp\OnboardLogs" /stypes="*4041*201608071*" /stext=" 18:.+((SYSTEM_STATE.+slice.+state.+changed )|(ment ac)|(system.+state.+changed )|(\|lc)|(penalty)|(\[timeout)|(PRM\|1\|D)|(kpr)|(kdp))" /e /r /s</v>
      </c>
      <c r="S58" s="9" t="str">
        <f t="shared" si="6"/>
        <v>4041</v>
      </c>
      <c r="T58" s="41">
        <f t="shared" si="7"/>
        <v>42589.788865740738</v>
      </c>
      <c r="U58" s="55" t="str">
        <f t="shared" si="8"/>
        <v>NW</v>
      </c>
      <c r="V58" s="55" t="str">
        <f t="shared" si="9"/>
        <v>KEEP</v>
      </c>
    </row>
    <row r="59" spans="1:22" x14ac:dyDescent="0.25">
      <c r="A59" s="41">
        <v>42589.625185185185</v>
      </c>
      <c r="B59" s="34" t="s">
        <v>138</v>
      </c>
      <c r="C59" s="34" t="s">
        <v>321</v>
      </c>
      <c r="D59" s="34" t="s">
        <v>49</v>
      </c>
      <c r="E59" s="34" t="s">
        <v>50</v>
      </c>
      <c r="F59" s="52">
        <v>0</v>
      </c>
      <c r="G59" s="52">
        <v>43</v>
      </c>
      <c r="H59" s="52">
        <v>726</v>
      </c>
      <c r="I59" s="34" t="s">
        <v>51</v>
      </c>
      <c r="J59" s="52">
        <v>575</v>
      </c>
      <c r="K59" s="34" t="s">
        <v>53</v>
      </c>
      <c r="L59" s="103" t="str">
        <f>VLOOKUP(C59,'Trips&amp;Operators'!$C$1:$E$9999,3,0)</f>
        <v>STAMBAUGH</v>
      </c>
      <c r="M59" s="9" t="s">
        <v>96</v>
      </c>
      <c r="N59" s="10"/>
      <c r="O59" s="34"/>
      <c r="P59" s="121" t="str">
        <f>VLOOKUP(C59,'Train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9" s="125" t="str">
        <f>VLOOKUP(C59,'Train Runs'!$A$13:$AE$524,22,0)</f>
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9" s="128" t="str">
        <f t="shared" si="5"/>
        <v>"C:\Program Files (x86)\AstroGrep\AstroGrep.exe" /spath="%USERPROFILE%\AppData\Local\Temp\OnboardLogs" /stypes="*4041*201608072*" /stext=" 21:.+((SYSTEM_STATE.+slice.+state.+changed )|(ment ac)|(system.+state.+changed )|(\|lc)|(penalty)|(\[timeout)|(PRM\|1\|D)|(kpr)|(kdp))" /e /r /s</v>
      </c>
      <c r="S59" s="9" t="str">
        <f t="shared" si="6"/>
        <v>4041</v>
      </c>
      <c r="T59" s="41">
        <f t="shared" si="7"/>
        <v>42589.875185185185</v>
      </c>
      <c r="U59" s="55" t="str">
        <f t="shared" si="8"/>
        <v>NW</v>
      </c>
      <c r="V59" s="55" t="str">
        <f t="shared" si="9"/>
        <v>KEEP</v>
      </c>
    </row>
    <row r="60" spans="1:22" x14ac:dyDescent="0.25">
      <c r="A60" s="41">
        <v>42589.74658564815</v>
      </c>
      <c r="B60" s="34" t="s">
        <v>104</v>
      </c>
      <c r="C60" s="34" t="s">
        <v>329</v>
      </c>
      <c r="D60" s="34" t="s">
        <v>49</v>
      </c>
      <c r="E60" s="34" t="s">
        <v>50</v>
      </c>
      <c r="F60" s="52">
        <v>0</v>
      </c>
      <c r="G60" s="52">
        <v>32</v>
      </c>
      <c r="H60" s="52">
        <v>712</v>
      </c>
      <c r="I60" s="34" t="s">
        <v>51</v>
      </c>
      <c r="J60" s="52">
        <v>575</v>
      </c>
      <c r="K60" s="34" t="s">
        <v>53</v>
      </c>
      <c r="L60" s="103" t="str">
        <f>VLOOKUP(C60,'Trips&amp;Operators'!$C$1:$E$9999,3,0)</f>
        <v>STAMBAUGH</v>
      </c>
      <c r="M60" s="9" t="s">
        <v>96</v>
      </c>
      <c r="N60" s="10"/>
      <c r="O60" s="34"/>
      <c r="P60" s="121" t="str">
        <f>VLOOKUP(C60,'Train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60" s="125" t="str">
        <f>VLOOKUP(C60,'Train Runs'!$A$13:$AE$524,22,0)</f>
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60" s="128" t="str">
        <f t="shared" si="5"/>
        <v>"C:\Program Files (x86)\AstroGrep\AstroGrep.exe" /spath="%USERPROFILE%\AppData\Local\Temp\OnboardLogs" /stypes="*4028*201608072*" /stext=" 23:.+((SYSTEM_STATE.+slice.+state.+changed )|(ment ac)|(system.+state.+changed )|(\|lc)|(penalty)|(\[timeout)|(PRM\|1\|D)|(kpr)|(kdp))" /e /r /s</v>
      </c>
      <c r="S60" s="9" t="str">
        <f t="shared" si="6"/>
        <v>4028</v>
      </c>
      <c r="T60" s="41">
        <f t="shared" si="7"/>
        <v>42589.99658564815</v>
      </c>
      <c r="U60" s="55" t="str">
        <f t="shared" si="8"/>
        <v>NW</v>
      </c>
      <c r="V60" s="55" t="str">
        <f t="shared" si="9"/>
        <v>KEEP</v>
      </c>
    </row>
    <row r="61" spans="1:22" x14ac:dyDescent="0.25">
      <c r="A61" s="41">
        <v>42589.830023148148</v>
      </c>
      <c r="B61" s="34" t="s">
        <v>104</v>
      </c>
      <c r="C61" s="34" t="s">
        <v>335</v>
      </c>
      <c r="D61" s="34" t="s">
        <v>49</v>
      </c>
      <c r="E61" s="34" t="s">
        <v>50</v>
      </c>
      <c r="F61" s="52">
        <v>0</v>
      </c>
      <c r="G61" s="52">
        <v>35</v>
      </c>
      <c r="H61" s="52">
        <v>671</v>
      </c>
      <c r="I61" s="34" t="s">
        <v>51</v>
      </c>
      <c r="J61" s="52">
        <v>575</v>
      </c>
      <c r="K61" s="34" t="s">
        <v>53</v>
      </c>
      <c r="L61" s="103" t="str">
        <f>VLOOKUP(C61,'Trips&amp;Operators'!$C$1:$E$9999,3,0)</f>
        <v>STAMBAUGH</v>
      </c>
      <c r="M61" s="9" t="s">
        <v>96</v>
      </c>
      <c r="N61" s="10"/>
      <c r="O61" s="34"/>
      <c r="P61" s="121" t="str">
        <f>VLOOKUP(C61,'Train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61" s="125" t="str">
        <f>VLOOKUP(C61,'Train Runs'!$A$13:$AE$524,22,0)</f>
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61" s="128" t="str">
        <f t="shared" si="5"/>
        <v>"C:\Program Files (x86)\AstroGrep\AstroGrep.exe" /spath="%USERPROFILE%\AppData\Local\Temp\OnboardLogs" /stypes="*4028*201608080*" /stext=" 01:.+((SYSTEM_STATE.+slice.+state.+changed )|(ment ac)|(system.+state.+changed )|(\|lc)|(penalty)|(\[timeout)|(PRM\|1\|D)|(kpr)|(kdp))" /e /r /s</v>
      </c>
      <c r="S61" s="9" t="str">
        <f t="shared" si="6"/>
        <v>4028</v>
      </c>
      <c r="T61" s="41">
        <f t="shared" si="7"/>
        <v>42590.080023148148</v>
      </c>
      <c r="U61" s="55" t="str">
        <f t="shared" si="8"/>
        <v>NW</v>
      </c>
      <c r="V61" s="55" t="str">
        <f t="shared" si="9"/>
        <v>KEEP</v>
      </c>
    </row>
    <row r="62" spans="1:22" x14ac:dyDescent="0.25">
      <c r="A62" s="41">
        <v>42589.441701388889</v>
      </c>
      <c r="B62" s="34" t="s">
        <v>75</v>
      </c>
      <c r="C62" s="34" t="s">
        <v>309</v>
      </c>
      <c r="D62" s="34" t="s">
        <v>49</v>
      </c>
      <c r="E62" s="34" t="s">
        <v>50</v>
      </c>
      <c r="F62" s="52">
        <v>0</v>
      </c>
      <c r="G62" s="52">
        <v>117</v>
      </c>
      <c r="H62" s="52">
        <v>58496</v>
      </c>
      <c r="I62" s="34" t="s">
        <v>51</v>
      </c>
      <c r="J62" s="52">
        <v>59048</v>
      </c>
      <c r="K62" s="34" t="s">
        <v>52</v>
      </c>
      <c r="L62" s="103" t="str">
        <f>VLOOKUP(C62,'Trips&amp;Operators'!$C$1:$E$9999,3,0)</f>
        <v>STARKS</v>
      </c>
      <c r="M62" s="9" t="s">
        <v>96</v>
      </c>
      <c r="N62" s="10"/>
      <c r="O62" s="34"/>
      <c r="P62" s="121" t="str">
        <f>VLOOKUP(C62,'Train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62" s="125" t="str">
        <f>VLOOKUP(C62,'Train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2" s="128" t="str">
        <f t="shared" si="5"/>
        <v>"C:\Program Files (x86)\AstroGrep\AstroGrep.exe" /spath="%USERPROFILE%\AppData\Local\Temp\OnboardLogs" /stypes="*4042*201608071*" /stext=" 16:.+((SYSTEM_STATE.+slice.+state.+changed )|(ment ac)|(system.+state.+changed )|(\|lc)|(penalty)|(\[timeout)|(PRM\|1\|D)|(kpr)|(kdp))" /e /r /s</v>
      </c>
      <c r="S62" s="9" t="str">
        <f t="shared" si="6"/>
        <v>4042</v>
      </c>
      <c r="T62" s="41">
        <f t="shared" si="7"/>
        <v>42589.691701388889</v>
      </c>
      <c r="U62" s="55" t="str">
        <f t="shared" si="8"/>
        <v>NW</v>
      </c>
      <c r="V62" s="55" t="str">
        <f t="shared" si="9"/>
        <v>KEEP</v>
      </c>
    </row>
    <row r="63" spans="1:22" x14ac:dyDescent="0.25">
      <c r="A63" s="41">
        <v>42589.525752314818</v>
      </c>
      <c r="B63" s="34" t="s">
        <v>75</v>
      </c>
      <c r="C63" s="34" t="s">
        <v>313</v>
      </c>
      <c r="D63" s="34" t="s">
        <v>49</v>
      </c>
      <c r="E63" s="34" t="s">
        <v>50</v>
      </c>
      <c r="F63" s="52">
        <v>0</v>
      </c>
      <c r="G63" s="52">
        <v>36</v>
      </c>
      <c r="H63" s="52">
        <v>58943</v>
      </c>
      <c r="I63" s="34" t="s">
        <v>51</v>
      </c>
      <c r="J63" s="52">
        <v>59048</v>
      </c>
      <c r="K63" s="34" t="s">
        <v>52</v>
      </c>
      <c r="L63" s="103" t="str">
        <f>VLOOKUP(C63,'Trips&amp;Operators'!$C$1:$E$9999,3,0)</f>
        <v>STARKS</v>
      </c>
      <c r="M63" s="9" t="s">
        <v>96</v>
      </c>
      <c r="N63" s="10"/>
      <c r="O63" s="34"/>
      <c r="P63" s="121" t="str">
        <f>VLOOKUP(C63,'Train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63" s="125" t="str">
        <f>VLOOKUP(C63,'Train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3" s="128" t="str">
        <f t="shared" si="5"/>
        <v>"C:\Program Files (x86)\AstroGrep\AstroGrep.exe" /spath="%USERPROFILE%\AppData\Local\Temp\OnboardLogs" /stypes="*4042*201608071*" /stext=" 18:.+((SYSTEM_STATE.+slice.+state.+changed )|(ment ac)|(system.+state.+changed )|(\|lc)|(penalty)|(\[timeout)|(PRM\|1\|D)|(kpr)|(kdp))" /e /r /s</v>
      </c>
      <c r="S63" s="9" t="str">
        <f t="shared" si="6"/>
        <v>4042</v>
      </c>
      <c r="T63" s="41">
        <f t="shared" si="7"/>
        <v>42589.775752314818</v>
      </c>
      <c r="U63" s="55" t="str">
        <f t="shared" si="8"/>
        <v>NW</v>
      </c>
      <c r="V63" s="55" t="str">
        <f t="shared" si="9"/>
        <v>KEEP</v>
      </c>
    </row>
    <row r="64" spans="1:22" x14ac:dyDescent="0.25">
      <c r="A64" s="41">
        <v>42589.941261574073</v>
      </c>
      <c r="B64" s="34" t="s">
        <v>107</v>
      </c>
      <c r="C64" s="34" t="s">
        <v>338</v>
      </c>
      <c r="D64" s="34" t="s">
        <v>49</v>
      </c>
      <c r="E64" s="34" t="s">
        <v>50</v>
      </c>
      <c r="F64" s="52">
        <v>0</v>
      </c>
      <c r="G64" s="52">
        <v>31</v>
      </c>
      <c r="H64" s="52">
        <v>58961</v>
      </c>
      <c r="I64" s="34" t="s">
        <v>51</v>
      </c>
      <c r="J64" s="52">
        <v>59048</v>
      </c>
      <c r="K64" s="34" t="s">
        <v>52</v>
      </c>
      <c r="L64" s="103" t="str">
        <f>VLOOKUP(C64,'Trips&amp;Operators'!$C$1:$E$9999,3,0)</f>
        <v>STAMBAUGH</v>
      </c>
      <c r="M64" s="9" t="s">
        <v>96</v>
      </c>
      <c r="N64" s="10"/>
      <c r="O64" s="34"/>
      <c r="P64" s="121" t="str">
        <f>VLOOKUP(C64,'Train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4" s="125" t="str">
        <f>VLOOKUP(C64,'Train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4" s="128" t="str">
        <f t="shared" si="5"/>
        <v>"C:\Program Files (x86)\AstroGrep\AstroGrep.exe" /spath="%USERPROFILE%\AppData\Local\Temp\OnboardLogs" /stypes="*4027*201608080*" /stext=" 04:.+((SYSTEM_STATE.+slice.+state.+changed )|(ment ac)|(system.+state.+changed )|(\|lc)|(penalty)|(\[timeout)|(PRM\|1\|D)|(kpr)|(kdp))" /e /r /s</v>
      </c>
      <c r="S64" s="9" t="str">
        <f t="shared" si="6"/>
        <v>4027</v>
      </c>
      <c r="T64" s="41">
        <f t="shared" si="7"/>
        <v>42590.191261574073</v>
      </c>
      <c r="U64" s="55" t="str">
        <f t="shared" si="8"/>
        <v>NW</v>
      </c>
      <c r="V64" s="55" t="str">
        <f t="shared" si="9"/>
        <v>KEEP</v>
      </c>
    </row>
    <row r="65" spans="1:22" x14ac:dyDescent="0.25">
      <c r="A65" s="41">
        <v>42589.733657407407</v>
      </c>
      <c r="B65" s="34" t="s">
        <v>107</v>
      </c>
      <c r="C65" s="34" t="s">
        <v>327</v>
      </c>
      <c r="D65" s="34" t="s">
        <v>49</v>
      </c>
      <c r="E65" s="34" t="s">
        <v>50</v>
      </c>
      <c r="F65" s="52">
        <v>0</v>
      </c>
      <c r="G65" s="52">
        <v>10</v>
      </c>
      <c r="H65" s="52">
        <v>59043</v>
      </c>
      <c r="I65" s="34" t="s">
        <v>51</v>
      </c>
      <c r="J65" s="52">
        <v>59058</v>
      </c>
      <c r="K65" s="34" t="s">
        <v>52</v>
      </c>
      <c r="L65" s="103" t="str">
        <f>VLOOKUP(C65,'Trips&amp;Operators'!$C$1:$E$9999,3,0)</f>
        <v>STAMBAUGH</v>
      </c>
      <c r="M65" s="9" t="s">
        <v>96</v>
      </c>
      <c r="N65" s="10"/>
      <c r="O65" s="34"/>
      <c r="P65" s="121" t="str">
        <f>VLOOKUP(C65,'Train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5" s="125" t="str">
        <f>VLOOKUP(C65,'Train Runs'!$A$13:$AE$524,22,0)</f>
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5" s="128" t="str">
        <f t="shared" si="5"/>
        <v>"C:\Program Files (x86)\AstroGrep\AstroGrep.exe" /spath="%USERPROFILE%\AppData\Local\Temp\OnboardLogs" /stypes="*4027*201608072*" /stext=" 23:.+((SYSTEM_STATE.+slice.+state.+changed )|(ment ac)|(system.+state.+changed )|(\|lc)|(penalty)|(\[timeout)|(PRM\|1\|D)|(kpr)|(kdp))" /e /r /s</v>
      </c>
      <c r="S65" s="9" t="str">
        <f t="shared" si="6"/>
        <v>4027</v>
      </c>
      <c r="T65" s="41">
        <f t="shared" si="7"/>
        <v>42589.983657407407</v>
      </c>
      <c r="U65" s="55" t="str">
        <f t="shared" si="8"/>
        <v>NW</v>
      </c>
      <c r="V65" s="55" t="str">
        <f t="shared" si="9"/>
        <v>KEEP</v>
      </c>
    </row>
    <row r="66" spans="1:22" x14ac:dyDescent="0.25">
      <c r="A66" s="41">
        <v>42589.774467592593</v>
      </c>
      <c r="B66" s="34" t="s">
        <v>107</v>
      </c>
      <c r="C66" s="34" t="s">
        <v>333</v>
      </c>
      <c r="D66" s="34" t="s">
        <v>49</v>
      </c>
      <c r="E66" s="34" t="s">
        <v>50</v>
      </c>
      <c r="F66" s="52">
        <v>0</v>
      </c>
      <c r="G66" s="52">
        <v>6</v>
      </c>
      <c r="H66" s="52">
        <v>59049</v>
      </c>
      <c r="I66" s="34" t="s">
        <v>51</v>
      </c>
      <c r="J66" s="52">
        <v>59058</v>
      </c>
      <c r="K66" s="34" t="s">
        <v>52</v>
      </c>
      <c r="L66" s="103" t="str">
        <f>VLOOKUP(C66,'Trips&amp;Operators'!$C$1:$E$9999,3,0)</f>
        <v>STAMBAUGH</v>
      </c>
      <c r="M66" s="9" t="s">
        <v>96</v>
      </c>
      <c r="N66" s="10"/>
      <c r="O66" s="34"/>
      <c r="P66" s="121" t="str">
        <f>VLOOKUP(C66,'Train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6" s="125" t="str">
        <f>VLOOKUP(C66,'Train Runs'!$A$13:$AE$524,22,0)</f>
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6" s="128" t="str">
        <f t="shared" si="5"/>
        <v>"C:\Program Files (x86)\AstroGrep\AstroGrep.exe" /spath="%USERPROFILE%\AppData\Local\Temp\OnboardLogs" /stypes="*4027*201608080*" /stext=" 00:.+((SYSTEM_STATE.+slice.+state.+changed )|(ment ac)|(system.+state.+changed )|(\|lc)|(penalty)|(\[timeout)|(PRM\|1\|D)|(kpr)|(kdp))" /e /r /s</v>
      </c>
      <c r="S66" s="9" t="str">
        <f t="shared" si="6"/>
        <v>4027</v>
      </c>
      <c r="T66" s="41">
        <f t="shared" si="7"/>
        <v>42590.024467592593</v>
      </c>
      <c r="U66" s="55" t="str">
        <f t="shared" si="8"/>
        <v>NW</v>
      </c>
      <c r="V66" s="55" t="str">
        <f t="shared" si="9"/>
        <v>OMIT</v>
      </c>
    </row>
    <row r="67" spans="1:22" x14ac:dyDescent="0.25">
      <c r="A67" s="41">
        <v>42589.899027777778</v>
      </c>
      <c r="B67" s="34" t="s">
        <v>107</v>
      </c>
      <c r="C67" s="34" t="s">
        <v>337</v>
      </c>
      <c r="D67" s="34" t="s">
        <v>49</v>
      </c>
      <c r="E67" s="34" t="s">
        <v>50</v>
      </c>
      <c r="F67" s="52">
        <v>0</v>
      </c>
      <c r="G67" s="52">
        <v>107</v>
      </c>
      <c r="H67" s="52">
        <v>58596</v>
      </c>
      <c r="I67" s="34" t="s">
        <v>51</v>
      </c>
      <c r="J67" s="52">
        <v>59058</v>
      </c>
      <c r="K67" s="34" t="s">
        <v>52</v>
      </c>
      <c r="L67" s="103" t="str">
        <f>VLOOKUP(C67,'Trips&amp;Operators'!$C$1:$E$9999,3,0)</f>
        <v>STAMBAUGH</v>
      </c>
      <c r="M67" s="9" t="s">
        <v>96</v>
      </c>
      <c r="N67" s="10"/>
      <c r="O67" s="34"/>
      <c r="P67" s="121" t="str">
        <f>VLOOKUP(C67,'Train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7" s="125" t="str">
        <f>VLOOKUP(C67,'Train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7" s="128" t="str">
        <f t="shared" si="5"/>
        <v>"C:\Program Files (x86)\AstroGrep\AstroGrep.exe" /spath="%USERPROFILE%\AppData\Local\Temp\OnboardLogs" /stypes="*4027*201608080*" /stext=" 03:.+((SYSTEM_STATE.+slice.+state.+changed )|(ment ac)|(system.+state.+changed )|(\|lc)|(penalty)|(\[timeout)|(PRM\|1\|D)|(kpr)|(kdp))" /e /r /s</v>
      </c>
      <c r="S67" s="9" t="str">
        <f t="shared" si="6"/>
        <v>4027</v>
      </c>
      <c r="T67" s="41">
        <f t="shared" si="7"/>
        <v>42590.149027777778</v>
      </c>
      <c r="U67" s="55" t="str">
        <f t="shared" si="8"/>
        <v>NW</v>
      </c>
      <c r="V67" s="55" t="str">
        <f t="shared" si="9"/>
        <v>KEEP</v>
      </c>
    </row>
    <row r="68" spans="1:22" x14ac:dyDescent="0.25">
      <c r="A68" s="41">
        <v>42589.899513888886</v>
      </c>
      <c r="B68" s="34" t="s">
        <v>107</v>
      </c>
      <c r="C68" s="34" t="s">
        <v>337</v>
      </c>
      <c r="D68" s="34" t="s">
        <v>49</v>
      </c>
      <c r="E68" s="34" t="s">
        <v>50</v>
      </c>
      <c r="F68" s="52">
        <v>0</v>
      </c>
      <c r="G68" s="52">
        <v>48</v>
      </c>
      <c r="H68" s="52">
        <v>58827</v>
      </c>
      <c r="I68" s="34" t="s">
        <v>51</v>
      </c>
      <c r="J68" s="52">
        <v>59058</v>
      </c>
      <c r="K68" s="34" t="s">
        <v>52</v>
      </c>
      <c r="L68" s="103" t="str">
        <f>VLOOKUP(C68,'Trips&amp;Operators'!$C$1:$E$9999,3,0)</f>
        <v>STAMBAUGH</v>
      </c>
      <c r="M68" s="9" t="s">
        <v>96</v>
      </c>
      <c r="N68" s="10"/>
      <c r="O68" s="34"/>
      <c r="P68" s="121" t="str">
        <f>VLOOKUP(C68,'Train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8" s="125" t="str">
        <f>VLOOKUP(C68,'Train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8" s="128" t="str">
        <f t="shared" si="5"/>
        <v>"C:\Program Files (x86)\AstroGrep\AstroGrep.exe" /spath="%USERPROFILE%\AppData\Local\Temp\OnboardLogs" /stypes="*4027*201608080*" /stext=" 03:.+((SYSTEM_STATE.+slice.+state.+changed )|(ment ac)|(system.+state.+changed )|(\|lc)|(penalty)|(\[timeout)|(PRM\|1\|D)|(kpr)|(kdp))" /e /r /s</v>
      </c>
      <c r="S68" s="9" t="str">
        <f t="shared" si="6"/>
        <v>4027</v>
      </c>
      <c r="T68" s="41">
        <f t="shared" si="7"/>
        <v>42590.149513888886</v>
      </c>
      <c r="U68" s="55" t="str">
        <f t="shared" si="8"/>
        <v>NW</v>
      </c>
      <c r="V68" s="55" t="str">
        <f t="shared" si="9"/>
        <v>KEEP</v>
      </c>
    </row>
    <row r="69" spans="1:22" x14ac:dyDescent="0.25">
      <c r="B69" s="24"/>
      <c r="C69" s="24"/>
      <c r="D69" s="24"/>
      <c r="E69" s="24"/>
      <c r="I69" s="24"/>
      <c r="K69" s="24"/>
    </row>
  </sheetData>
  <autoFilter ref="A6:V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8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:XFD3"/>
    </sheetView>
  </sheetViews>
  <sheetFormatPr defaultRowHeight="15" x14ac:dyDescent="0.25"/>
  <cols>
    <col min="1" max="1" width="9.140625" style="73" customWidth="1"/>
    <col min="2" max="2" width="8" style="137" bestFit="1" customWidth="1"/>
    <col min="3" max="3" width="9.85546875" style="133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41" t="str">
        <f>"Trips that did not appear in PTC Data "&amp;TEXT(Variables!$A$2,"YYYY-mm-dd")</f>
        <v>Trips that did not appear in PTC Data 2016-08-07</v>
      </c>
      <c r="B1" s="141"/>
      <c r="C1" s="141"/>
      <c r="D1" s="141"/>
      <c r="E1" s="141"/>
    </row>
    <row r="2" spans="1:10" s="27" customFormat="1" ht="45" x14ac:dyDescent="0.25">
      <c r="A2" s="118" t="s">
        <v>72</v>
      </c>
      <c r="B2" s="134" t="s">
        <v>73</v>
      </c>
      <c r="C2" s="135" t="s">
        <v>74</v>
      </c>
      <c r="D2" s="27" t="s">
        <v>70</v>
      </c>
      <c r="E2" s="27" t="s">
        <v>71</v>
      </c>
      <c r="F2" s="27" t="s">
        <v>76</v>
      </c>
      <c r="G2" s="32" t="s">
        <v>77</v>
      </c>
      <c r="H2" s="32" t="s">
        <v>169</v>
      </c>
    </row>
    <row r="3" spans="1:10" x14ac:dyDescent="0.25">
      <c r="A3" s="83"/>
      <c r="B3" s="136"/>
      <c r="C3" s="136"/>
      <c r="D3" s="55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83"/>
      <c r="B4" s="136"/>
      <c r="C4" s="136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3"/>
      <c r="B5" s="136"/>
      <c r="C5" s="136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3"/>
      <c r="B6" s="136"/>
      <c r="C6" s="136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3"/>
      <c r="B7" s="136"/>
      <c r="C7" s="136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3"/>
      <c r="B8" s="136"/>
      <c r="C8" s="136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32"/>
      <c r="C9" s="132"/>
      <c r="H9" s="24"/>
      <c r="I9" s="24"/>
      <c r="J9" s="24"/>
    </row>
    <row r="10" spans="1:10" x14ac:dyDescent="0.25">
      <c r="B10" s="132"/>
      <c r="C10" s="132"/>
      <c r="H10" s="24"/>
      <c r="I10" s="24"/>
      <c r="J10" s="24"/>
    </row>
    <row r="11" spans="1:10" x14ac:dyDescent="0.25">
      <c r="B11" s="132"/>
      <c r="C11" s="132"/>
      <c r="H11" s="24"/>
      <c r="I11" s="24"/>
      <c r="J11" s="24"/>
    </row>
    <row r="12" spans="1:10" x14ac:dyDescent="0.25">
      <c r="B12" s="132"/>
      <c r="C12" s="132"/>
      <c r="H12" s="24"/>
      <c r="I12" s="24"/>
      <c r="J12" s="24"/>
    </row>
    <row r="13" spans="1:10" x14ac:dyDescent="0.25">
      <c r="B13" s="132"/>
      <c r="C13" s="132"/>
      <c r="H13" s="24"/>
      <c r="I13" s="24"/>
      <c r="J13" s="24"/>
    </row>
    <row r="14" spans="1:10" x14ac:dyDescent="0.25">
      <c r="B14" s="132"/>
      <c r="C14" s="132"/>
      <c r="H14" s="24"/>
      <c r="I14" s="24"/>
      <c r="J14" s="24"/>
    </row>
    <row r="15" spans="1:10" x14ac:dyDescent="0.25">
      <c r="B15" s="132"/>
      <c r="C15" s="132"/>
      <c r="H15" s="24"/>
      <c r="I15" s="24"/>
      <c r="J15" s="24"/>
    </row>
    <row r="16" spans="1:10" x14ac:dyDescent="0.25">
      <c r="B16" s="132"/>
      <c r="C16" s="132"/>
      <c r="H16" s="24"/>
      <c r="I16" s="24"/>
      <c r="J16" s="24"/>
    </row>
    <row r="17" spans="2:10" x14ac:dyDescent="0.25">
      <c r="B17" s="132"/>
      <c r="C17" s="132"/>
      <c r="H17" s="24"/>
      <c r="I17" s="24"/>
      <c r="J17" s="24"/>
    </row>
    <row r="18" spans="2:10" x14ac:dyDescent="0.25">
      <c r="B18" s="132"/>
      <c r="C18" s="132"/>
      <c r="H18" s="24"/>
      <c r="I18" s="24"/>
      <c r="J18" s="24"/>
    </row>
    <row r="19" spans="2:10" x14ac:dyDescent="0.25">
      <c r="B19" s="132"/>
      <c r="C19" s="132"/>
      <c r="H19" s="24"/>
      <c r="I19" s="24"/>
      <c r="J19" s="24"/>
    </row>
    <row r="20" spans="2:10" x14ac:dyDescent="0.25">
      <c r="B20" s="132"/>
      <c r="C20" s="132"/>
      <c r="H20" s="24"/>
      <c r="I20" s="24"/>
      <c r="J20" s="24"/>
    </row>
    <row r="21" spans="2:10" x14ac:dyDescent="0.25">
      <c r="B21" s="132"/>
      <c r="C21" s="132"/>
      <c r="H21" s="24"/>
      <c r="I21" s="24"/>
      <c r="J21" s="24"/>
    </row>
    <row r="22" spans="2:10" x14ac:dyDescent="0.25">
      <c r="B22" s="132"/>
      <c r="C22" s="132"/>
      <c r="H22" s="24"/>
      <c r="I22" s="24"/>
      <c r="J22" s="24"/>
    </row>
    <row r="23" spans="2:10" x14ac:dyDescent="0.25">
      <c r="B23" s="132"/>
      <c r="C23" s="132"/>
      <c r="H23" s="24"/>
      <c r="I23" s="24"/>
      <c r="J23" s="24"/>
    </row>
    <row r="24" spans="2:10" x14ac:dyDescent="0.25">
      <c r="B24" s="132"/>
      <c r="C24" s="132"/>
      <c r="H24" s="24"/>
      <c r="I24" s="24"/>
      <c r="J24" s="24"/>
    </row>
    <row r="25" spans="2:10" x14ac:dyDescent="0.25">
      <c r="B25" s="132"/>
      <c r="C25" s="132"/>
      <c r="H25" s="24"/>
      <c r="I25" s="24"/>
      <c r="J25" s="24"/>
    </row>
    <row r="26" spans="2:10" x14ac:dyDescent="0.25">
      <c r="B26" s="132"/>
      <c r="C26" s="132"/>
      <c r="H26" s="24"/>
      <c r="I26" s="24"/>
      <c r="J26" s="24"/>
    </row>
    <row r="27" spans="2:10" x14ac:dyDescent="0.25">
      <c r="B27" s="132"/>
      <c r="C27" s="132"/>
      <c r="H27" s="24"/>
      <c r="I27" s="24"/>
      <c r="J27" s="24"/>
    </row>
    <row r="28" spans="2:10" x14ac:dyDescent="0.25">
      <c r="B28" s="132"/>
      <c r="C28" s="132"/>
      <c r="H28" s="24"/>
      <c r="I28" s="24"/>
      <c r="J28" s="24"/>
    </row>
    <row r="29" spans="2:10" x14ac:dyDescent="0.25">
      <c r="B29" s="132"/>
      <c r="C29" s="132"/>
      <c r="H29" s="24"/>
      <c r="I29" s="24"/>
      <c r="J29" s="24"/>
    </row>
    <row r="30" spans="2:10" x14ac:dyDescent="0.25">
      <c r="B30" s="132"/>
      <c r="C30" s="132"/>
      <c r="H30" s="24"/>
      <c r="I30" s="24"/>
      <c r="J30" s="24"/>
    </row>
    <row r="31" spans="2:10" x14ac:dyDescent="0.25">
      <c r="B31" s="132"/>
      <c r="C31" s="132"/>
      <c r="H31" s="24"/>
      <c r="I31" s="24"/>
      <c r="J31" s="24"/>
    </row>
    <row r="32" spans="2:10" x14ac:dyDescent="0.25">
      <c r="B32" s="132"/>
      <c r="C32" s="132"/>
      <c r="H32" s="24"/>
      <c r="I32" s="24"/>
      <c r="J32" s="24"/>
    </row>
    <row r="33" spans="2:10" x14ac:dyDescent="0.25">
      <c r="B33" s="132"/>
      <c r="C33" s="132"/>
      <c r="H33" s="24"/>
      <c r="I33" s="24"/>
      <c r="J33" s="24"/>
    </row>
    <row r="34" spans="2:10" x14ac:dyDescent="0.25">
      <c r="B34" s="132"/>
      <c r="C34" s="132"/>
      <c r="H34" s="24"/>
      <c r="I34" s="24"/>
      <c r="J34" s="24"/>
    </row>
    <row r="35" spans="2:10" x14ac:dyDescent="0.25">
      <c r="B35" s="132"/>
      <c r="C35" s="132"/>
      <c r="H35" s="24"/>
      <c r="I35" s="24"/>
      <c r="J35" s="24"/>
    </row>
    <row r="36" spans="2:10" x14ac:dyDescent="0.25">
      <c r="B36" s="132"/>
      <c r="C36" s="132"/>
      <c r="H36" s="24"/>
      <c r="I36" s="24"/>
      <c r="J36" s="24"/>
    </row>
    <row r="37" spans="2:10" x14ac:dyDescent="0.25">
      <c r="B37" s="132"/>
      <c r="C37" s="132"/>
      <c r="H37" s="24"/>
      <c r="I37" s="24"/>
      <c r="J37" s="24"/>
    </row>
    <row r="38" spans="2:10" x14ac:dyDescent="0.25">
      <c r="B38" s="132"/>
      <c r="C38" s="132"/>
      <c r="H38" s="24"/>
      <c r="I38" s="24"/>
      <c r="J38" s="24"/>
    </row>
    <row r="39" spans="2:10" x14ac:dyDescent="0.25">
      <c r="B39" s="132"/>
      <c r="C39" s="132"/>
      <c r="H39" s="24"/>
      <c r="I39" s="24"/>
      <c r="J39" s="24"/>
    </row>
    <row r="40" spans="2:10" x14ac:dyDescent="0.25">
      <c r="B40" s="132"/>
      <c r="C40" s="132"/>
      <c r="H40" s="24"/>
      <c r="I40" s="24"/>
      <c r="J40" s="24"/>
    </row>
    <row r="41" spans="2:10" x14ac:dyDescent="0.25">
      <c r="B41" s="132"/>
      <c r="C41" s="132"/>
      <c r="H41" s="24"/>
      <c r="I41" s="24"/>
      <c r="J41" s="24"/>
    </row>
    <row r="42" spans="2:10" x14ac:dyDescent="0.25">
      <c r="B42" s="132"/>
      <c r="C42" s="132"/>
      <c r="H42" s="24"/>
      <c r="I42" s="24"/>
      <c r="J42" s="24"/>
    </row>
    <row r="43" spans="2:10" x14ac:dyDescent="0.25">
      <c r="B43" s="132"/>
      <c r="C43" s="132"/>
      <c r="H43" s="24"/>
      <c r="I43" s="24"/>
      <c r="J43" s="24"/>
    </row>
    <row r="44" spans="2:10" x14ac:dyDescent="0.25">
      <c r="B44" s="132"/>
      <c r="C44" s="132"/>
      <c r="H44" s="24"/>
      <c r="I44" s="24"/>
      <c r="J44" s="24"/>
    </row>
    <row r="45" spans="2:10" x14ac:dyDescent="0.25">
      <c r="B45" s="132"/>
      <c r="C45" s="132"/>
      <c r="H45" s="24"/>
      <c r="I45" s="24"/>
      <c r="J45" s="24"/>
    </row>
    <row r="46" spans="2:10" x14ac:dyDescent="0.25">
      <c r="B46" s="132"/>
      <c r="C46" s="132"/>
      <c r="H46" s="24"/>
      <c r="I46" s="24"/>
      <c r="J46" s="24"/>
    </row>
    <row r="47" spans="2:10" x14ac:dyDescent="0.25">
      <c r="B47" s="132"/>
      <c r="C47" s="132"/>
      <c r="H47" s="24"/>
      <c r="I47" s="24"/>
      <c r="J47" s="24"/>
    </row>
    <row r="48" spans="2:10" x14ac:dyDescent="0.25">
      <c r="B48" s="132"/>
      <c r="C48" s="132"/>
      <c r="H48" s="24"/>
      <c r="I48" s="24"/>
      <c r="J48" s="24"/>
    </row>
    <row r="49" spans="2:10" x14ac:dyDescent="0.25">
      <c r="B49" s="132"/>
      <c r="C49" s="132"/>
      <c r="H49" s="24"/>
      <c r="I49" s="24"/>
      <c r="J49" s="24"/>
    </row>
    <row r="50" spans="2:10" x14ac:dyDescent="0.25">
      <c r="B50" s="132"/>
      <c r="C50" s="132"/>
      <c r="H50" s="24"/>
      <c r="I50" s="24"/>
      <c r="J50" s="24"/>
    </row>
    <row r="51" spans="2:10" x14ac:dyDescent="0.25">
      <c r="B51" s="132"/>
      <c r="C51" s="132"/>
      <c r="H51" s="24"/>
      <c r="I51" s="24"/>
      <c r="J51" s="24"/>
    </row>
    <row r="52" spans="2:10" x14ac:dyDescent="0.25">
      <c r="B52" s="132"/>
      <c r="C52" s="132"/>
      <c r="H52" s="24"/>
      <c r="I52" s="24"/>
      <c r="J52" s="24"/>
    </row>
    <row r="53" spans="2:10" x14ac:dyDescent="0.25">
      <c r="B53" s="132"/>
      <c r="C53" s="132"/>
      <c r="H53" s="24"/>
      <c r="I53" s="24"/>
      <c r="J53" s="24"/>
    </row>
    <row r="54" spans="2:10" x14ac:dyDescent="0.25">
      <c r="B54" s="132"/>
      <c r="C54" s="132"/>
      <c r="H54" s="24"/>
      <c r="I54" s="24"/>
      <c r="J54" s="24"/>
    </row>
    <row r="55" spans="2:10" x14ac:dyDescent="0.25">
      <c r="B55" s="132"/>
      <c r="C55" s="132"/>
      <c r="H55" s="24"/>
      <c r="I55" s="24"/>
      <c r="J55" s="24"/>
    </row>
    <row r="56" spans="2:10" x14ac:dyDescent="0.25">
      <c r="B56" s="132"/>
      <c r="C56" s="132"/>
      <c r="H56" s="24"/>
      <c r="I56" s="24"/>
      <c r="J56" s="24"/>
    </row>
    <row r="57" spans="2:10" x14ac:dyDescent="0.25">
      <c r="B57" s="132"/>
      <c r="C57" s="132"/>
      <c r="H57" s="24"/>
      <c r="I57" s="24"/>
      <c r="J57" s="24"/>
    </row>
    <row r="58" spans="2:10" x14ac:dyDescent="0.25">
      <c r="B58" s="132"/>
      <c r="C58" s="132"/>
      <c r="H58" s="24"/>
      <c r="I58" s="24"/>
      <c r="J58" s="24"/>
    </row>
    <row r="59" spans="2:10" x14ac:dyDescent="0.25">
      <c r="B59" s="132"/>
      <c r="C59" s="132"/>
      <c r="H59" s="24"/>
      <c r="I59" s="24"/>
      <c r="J59" s="24"/>
    </row>
    <row r="60" spans="2:10" x14ac:dyDescent="0.25">
      <c r="B60" s="132"/>
      <c r="C60" s="132"/>
      <c r="H60" s="24"/>
      <c r="I60" s="24"/>
      <c r="J60" s="24"/>
    </row>
    <row r="61" spans="2:10" x14ac:dyDescent="0.25">
      <c r="B61" s="132"/>
      <c r="C61" s="132"/>
      <c r="H61" s="24"/>
      <c r="I61" s="24"/>
      <c r="J61" s="24"/>
    </row>
    <row r="62" spans="2:10" x14ac:dyDescent="0.25">
      <c r="B62" s="132"/>
      <c r="C62" s="132"/>
      <c r="H62" s="24"/>
      <c r="I62" s="24"/>
      <c r="J62" s="24"/>
    </row>
    <row r="63" spans="2:10" x14ac:dyDescent="0.25">
      <c r="B63" s="132"/>
      <c r="C63" s="132"/>
      <c r="H63" s="24"/>
      <c r="I63" s="24"/>
      <c r="J63" s="24"/>
    </row>
    <row r="64" spans="2:10" x14ac:dyDescent="0.25">
      <c r="B64" s="132"/>
      <c r="C64" s="132"/>
      <c r="H64" s="24"/>
      <c r="I64" s="24"/>
      <c r="J64" s="24"/>
    </row>
    <row r="65" spans="2:10" x14ac:dyDescent="0.25">
      <c r="B65" s="132"/>
      <c r="C65" s="132"/>
      <c r="H65" s="24"/>
      <c r="I65" s="24"/>
      <c r="J65" s="24"/>
    </row>
    <row r="66" spans="2:10" x14ac:dyDescent="0.25">
      <c r="B66" s="132"/>
      <c r="C66" s="132"/>
      <c r="H66" s="24"/>
      <c r="I66" s="24"/>
      <c r="J66" s="24"/>
    </row>
    <row r="67" spans="2:10" x14ac:dyDescent="0.25">
      <c r="B67" s="132"/>
      <c r="C67" s="132"/>
      <c r="H67" s="24"/>
      <c r="I67" s="24"/>
      <c r="J67" s="24"/>
    </row>
    <row r="68" spans="2:10" x14ac:dyDescent="0.25">
      <c r="B68" s="132"/>
      <c r="C68" s="132"/>
      <c r="H68" s="24"/>
      <c r="I68" s="24"/>
      <c r="J68" s="24"/>
    </row>
    <row r="69" spans="2:10" x14ac:dyDescent="0.25">
      <c r="B69" s="132"/>
      <c r="C69" s="132"/>
      <c r="H69" s="24"/>
      <c r="I69" s="24"/>
      <c r="J69" s="24"/>
    </row>
    <row r="70" spans="2:10" x14ac:dyDescent="0.25">
      <c r="B70" s="132"/>
      <c r="C70" s="132"/>
      <c r="H70" s="24"/>
      <c r="I70" s="24"/>
      <c r="J70" s="24"/>
    </row>
    <row r="71" spans="2:10" x14ac:dyDescent="0.25">
      <c r="B71" s="132"/>
      <c r="C71" s="132"/>
      <c r="H71" s="24"/>
      <c r="I71" s="24"/>
      <c r="J71" s="24"/>
    </row>
    <row r="72" spans="2:10" x14ac:dyDescent="0.25">
      <c r="B72" s="132"/>
      <c r="C72" s="132"/>
      <c r="H72" s="24"/>
      <c r="I72" s="24"/>
      <c r="J72" s="24"/>
    </row>
    <row r="73" spans="2:10" x14ac:dyDescent="0.25">
      <c r="B73" s="132"/>
      <c r="C73" s="132"/>
      <c r="H73" s="24"/>
      <c r="I73" s="24"/>
      <c r="J73" s="24"/>
    </row>
    <row r="74" spans="2:10" x14ac:dyDescent="0.25">
      <c r="B74" s="132"/>
      <c r="C74" s="132"/>
      <c r="H74" s="24"/>
      <c r="I74" s="24"/>
      <c r="J74" s="24"/>
    </row>
    <row r="75" spans="2:10" x14ac:dyDescent="0.25">
      <c r="B75" s="132"/>
      <c r="C75" s="132"/>
      <c r="H75" s="24"/>
      <c r="I75" s="24"/>
      <c r="J75" s="24"/>
    </row>
    <row r="76" spans="2:10" x14ac:dyDescent="0.25">
      <c r="B76" s="132"/>
      <c r="C76" s="132"/>
      <c r="H76" s="24"/>
      <c r="I76" s="24"/>
      <c r="J76" s="24"/>
    </row>
    <row r="77" spans="2:10" x14ac:dyDescent="0.25">
      <c r="B77" s="132"/>
      <c r="C77" s="132"/>
      <c r="H77" s="24"/>
      <c r="I77" s="24"/>
      <c r="J77" s="24"/>
    </row>
    <row r="78" spans="2:10" x14ac:dyDescent="0.25">
      <c r="B78" s="132"/>
      <c r="C78" s="132"/>
      <c r="H78" s="24"/>
      <c r="I78" s="24"/>
      <c r="J78" s="24"/>
    </row>
    <row r="79" spans="2:10" x14ac:dyDescent="0.25">
      <c r="B79" s="132"/>
      <c r="C79" s="132"/>
      <c r="H79" s="24"/>
      <c r="I79" s="24"/>
      <c r="J79" s="24"/>
    </row>
    <row r="80" spans="2:10" x14ac:dyDescent="0.25">
      <c r="B80" s="132"/>
      <c r="C80" s="132"/>
      <c r="H80" s="24"/>
      <c r="I80" s="24"/>
      <c r="J80" s="24"/>
    </row>
    <row r="81" spans="2:10" x14ac:dyDescent="0.25">
      <c r="B81" s="132"/>
      <c r="C81" s="132"/>
      <c r="H81" s="24"/>
      <c r="I81" s="24"/>
      <c r="J81" s="24"/>
    </row>
    <row r="82" spans="2:10" x14ac:dyDescent="0.25">
      <c r="B82" s="132"/>
      <c r="C82" s="132"/>
      <c r="H82" s="24"/>
      <c r="I82" s="24"/>
      <c r="J82" s="24"/>
    </row>
    <row r="83" spans="2:10" x14ac:dyDescent="0.25">
      <c r="B83" s="132"/>
      <c r="C83" s="132"/>
      <c r="H83" s="24"/>
      <c r="I83" s="24"/>
      <c r="J83" s="24"/>
    </row>
    <row r="84" spans="2:10" x14ac:dyDescent="0.25">
      <c r="B84" s="132"/>
      <c r="C84" s="132"/>
      <c r="H84" s="24"/>
      <c r="I84" s="24"/>
      <c r="J84" s="24"/>
    </row>
    <row r="85" spans="2:10" x14ac:dyDescent="0.25">
      <c r="B85" s="132"/>
      <c r="C85" s="132"/>
      <c r="H85" s="24"/>
      <c r="I85" s="24"/>
      <c r="J85" s="24"/>
    </row>
    <row r="86" spans="2:10" x14ac:dyDescent="0.25">
      <c r="B86" s="132"/>
      <c r="C86" s="132"/>
      <c r="H86" s="24"/>
      <c r="I86" s="24"/>
      <c r="J86" s="24"/>
    </row>
    <row r="87" spans="2:10" x14ac:dyDescent="0.25">
      <c r="B87" s="132"/>
      <c r="C87" s="132"/>
      <c r="H87" s="24"/>
      <c r="I87" s="24"/>
      <c r="J87" s="24"/>
    </row>
    <row r="88" spans="2:10" x14ac:dyDescent="0.25">
      <c r="B88" s="132"/>
      <c r="C88" s="132"/>
      <c r="H88" s="24"/>
      <c r="I88" s="24"/>
      <c r="J88" s="24"/>
    </row>
    <row r="89" spans="2:10" x14ac:dyDescent="0.25">
      <c r="B89" s="132"/>
      <c r="C89" s="132"/>
      <c r="H89" s="24"/>
      <c r="I89" s="24"/>
      <c r="J89" s="24"/>
    </row>
    <row r="90" spans="2:10" x14ac:dyDescent="0.25">
      <c r="B90" s="132"/>
      <c r="C90" s="132"/>
      <c r="H90" s="24"/>
      <c r="I90" s="24"/>
      <c r="J90" s="24"/>
    </row>
    <row r="91" spans="2:10" x14ac:dyDescent="0.25">
      <c r="B91" s="132"/>
      <c r="C91" s="132"/>
      <c r="H91" s="24"/>
      <c r="I91" s="24"/>
      <c r="J91" s="24"/>
    </row>
    <row r="92" spans="2:10" x14ac:dyDescent="0.25">
      <c r="B92" s="132"/>
      <c r="C92" s="132"/>
      <c r="H92" s="24"/>
      <c r="I92" s="24"/>
      <c r="J92" s="24"/>
    </row>
    <row r="93" spans="2:10" x14ac:dyDescent="0.25">
      <c r="B93" s="132"/>
      <c r="C93" s="132"/>
      <c r="H93" s="24"/>
      <c r="I93" s="24"/>
      <c r="J93" s="24"/>
    </row>
    <row r="94" spans="2:10" x14ac:dyDescent="0.25">
      <c r="B94" s="132"/>
      <c r="C94" s="132"/>
      <c r="H94" s="24"/>
      <c r="I94" s="24"/>
      <c r="J94" s="24"/>
    </row>
    <row r="95" spans="2:10" x14ac:dyDescent="0.25">
      <c r="B95" s="132"/>
      <c r="C95" s="132"/>
      <c r="H95" s="24"/>
      <c r="I95" s="24"/>
      <c r="J95" s="24"/>
    </row>
    <row r="96" spans="2:10" x14ac:dyDescent="0.25">
      <c r="B96" s="132"/>
      <c r="C96" s="132"/>
      <c r="H96" s="24"/>
      <c r="I96" s="24"/>
      <c r="J96" s="24"/>
    </row>
    <row r="97" spans="2:10" x14ac:dyDescent="0.25">
      <c r="B97" s="132"/>
      <c r="C97" s="132"/>
      <c r="H97" s="24"/>
      <c r="I97" s="24"/>
      <c r="J97" s="24"/>
    </row>
    <row r="98" spans="2:10" x14ac:dyDescent="0.25">
      <c r="B98" s="132"/>
      <c r="C98" s="132"/>
      <c r="H98" s="24"/>
      <c r="I98" s="24"/>
      <c r="J98" s="24"/>
    </row>
    <row r="99" spans="2:10" x14ac:dyDescent="0.25">
      <c r="B99" s="132"/>
      <c r="C99" s="132"/>
      <c r="H99" s="24"/>
      <c r="I99" s="24"/>
      <c r="J99" s="24"/>
    </row>
    <row r="100" spans="2:10" x14ac:dyDescent="0.25">
      <c r="B100" s="132"/>
      <c r="C100" s="132"/>
      <c r="H100" s="24"/>
      <c r="I100" s="24"/>
      <c r="J100" s="24"/>
    </row>
    <row r="101" spans="2:10" x14ac:dyDescent="0.25">
      <c r="B101" s="132"/>
      <c r="C101" s="132"/>
      <c r="H101" s="24"/>
      <c r="I101" s="24"/>
      <c r="J101" s="24"/>
    </row>
    <row r="102" spans="2:10" x14ac:dyDescent="0.25">
      <c r="B102" s="132"/>
      <c r="C102" s="132"/>
      <c r="H102" s="24"/>
      <c r="I102" s="24"/>
      <c r="J102" s="24"/>
    </row>
    <row r="103" spans="2:10" x14ac:dyDescent="0.25">
      <c r="B103" s="132"/>
      <c r="C103" s="132"/>
      <c r="H103" s="24"/>
      <c r="I103" s="24"/>
      <c r="J103" s="24"/>
    </row>
    <row r="104" spans="2:10" x14ac:dyDescent="0.25">
      <c r="B104" s="132"/>
      <c r="C104" s="132"/>
      <c r="H104" s="24"/>
      <c r="I104" s="24"/>
      <c r="J104" s="24"/>
    </row>
    <row r="105" spans="2:10" x14ac:dyDescent="0.25">
      <c r="B105" s="132"/>
      <c r="C105" s="132"/>
      <c r="H105" s="24"/>
      <c r="I105" s="24"/>
      <c r="J105" s="24"/>
    </row>
    <row r="106" spans="2:10" x14ac:dyDescent="0.25">
      <c r="B106" s="132"/>
      <c r="C106" s="132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0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42589.03738425926</v>
      </c>
      <c r="B1" s="24" t="s">
        <v>102</v>
      </c>
      <c r="C1" s="24" t="s">
        <v>268</v>
      </c>
      <c r="D1" s="24">
        <v>1800000</v>
      </c>
      <c r="E1" s="24" t="s">
        <v>154</v>
      </c>
      <c r="F1" s="24" t="str">
        <f>B1</f>
        <v>rtdc.l.rtdc.4013:itc</v>
      </c>
      <c r="G1" s="8">
        <f>A1</f>
        <v>42589.03738425926</v>
      </c>
    </row>
    <row r="2" spans="1:7" x14ac:dyDescent="0.25">
      <c r="A2" s="8">
        <v>42589.040497685186</v>
      </c>
      <c r="B2" s="24" t="s">
        <v>142</v>
      </c>
      <c r="C2" s="24" t="s">
        <v>270</v>
      </c>
      <c r="D2" s="24">
        <v>1410000</v>
      </c>
      <c r="E2" s="24" t="s">
        <v>209</v>
      </c>
      <c r="F2" s="24" t="str">
        <f t="shared" ref="F2:F65" si="0">B2</f>
        <v>rtdc.l.rtdc.4011:itc</v>
      </c>
      <c r="G2" s="8">
        <f t="shared" ref="G2:G65" si="1">A2</f>
        <v>42589.040497685186</v>
      </c>
    </row>
    <row r="3" spans="1:7" x14ac:dyDescent="0.25">
      <c r="A3" s="8">
        <v>42589.049178240741</v>
      </c>
      <c r="B3" s="24" t="s">
        <v>137</v>
      </c>
      <c r="C3" s="24" t="s">
        <v>273</v>
      </c>
      <c r="D3" s="24">
        <v>1810000</v>
      </c>
      <c r="E3" s="24" t="s">
        <v>152</v>
      </c>
      <c r="F3" s="24" t="str">
        <f t="shared" si="0"/>
        <v>rtdc.l.rtdc.4009:itc</v>
      </c>
      <c r="G3" s="8">
        <f t="shared" si="1"/>
        <v>42589.049178240741</v>
      </c>
    </row>
    <row r="4" spans="1:7" x14ac:dyDescent="0.25">
      <c r="A4" s="8">
        <v>42589.058680555558</v>
      </c>
      <c r="B4" s="24" t="s">
        <v>149</v>
      </c>
      <c r="C4" s="24" t="s">
        <v>269</v>
      </c>
      <c r="D4" s="24">
        <v>2000000</v>
      </c>
      <c r="E4" s="24" t="s">
        <v>182</v>
      </c>
      <c r="F4" s="24" t="str">
        <f t="shared" si="0"/>
        <v>rtdc.l.rtdc.4032:itc</v>
      </c>
      <c r="G4" s="8">
        <f t="shared" si="1"/>
        <v>42589.058680555558</v>
      </c>
    </row>
    <row r="5" spans="1:7" x14ac:dyDescent="0.25">
      <c r="A5" s="8">
        <v>42589.071250000001</v>
      </c>
      <c r="B5" s="24" t="s">
        <v>146</v>
      </c>
      <c r="C5" s="24" t="s">
        <v>275</v>
      </c>
      <c r="D5" s="24">
        <v>1800000</v>
      </c>
      <c r="E5" s="24" t="s">
        <v>154</v>
      </c>
      <c r="F5" s="24" t="str">
        <f t="shared" si="0"/>
        <v>rtdc.l.rtdc.4014:itc</v>
      </c>
      <c r="G5" s="8">
        <f t="shared" si="1"/>
        <v>42589.071250000001</v>
      </c>
    </row>
    <row r="6" spans="1:7" x14ac:dyDescent="0.25">
      <c r="A6" s="8">
        <v>42589.074340277781</v>
      </c>
      <c r="B6" s="24" t="s">
        <v>143</v>
      </c>
      <c r="C6" s="24" t="s">
        <v>271</v>
      </c>
      <c r="D6" s="24">
        <v>1410000</v>
      </c>
      <c r="E6" s="24" t="s">
        <v>209</v>
      </c>
      <c r="F6" s="24" t="str">
        <f t="shared" si="0"/>
        <v>rtdc.l.rtdc.4012:itc</v>
      </c>
      <c r="G6" s="8">
        <f t="shared" si="1"/>
        <v>42589.074340277781</v>
      </c>
    </row>
    <row r="7" spans="1:7" x14ac:dyDescent="0.25">
      <c r="A7" s="8">
        <v>42589.090138888889</v>
      </c>
      <c r="B7" s="24" t="s">
        <v>148</v>
      </c>
      <c r="C7" s="24" t="s">
        <v>281</v>
      </c>
      <c r="D7" s="24">
        <v>2000000</v>
      </c>
      <c r="E7" s="24" t="s">
        <v>182</v>
      </c>
      <c r="F7" s="24" t="str">
        <f t="shared" si="0"/>
        <v>rtdc.l.rtdc.4031:itc</v>
      </c>
      <c r="G7" s="8">
        <f t="shared" si="1"/>
        <v>42589.090138888889</v>
      </c>
    </row>
    <row r="8" spans="1:7" x14ac:dyDescent="0.25">
      <c r="A8" s="8">
        <v>42589.110590277778</v>
      </c>
      <c r="B8" s="24" t="s">
        <v>142</v>
      </c>
      <c r="C8" s="24" t="s">
        <v>276</v>
      </c>
      <c r="D8" s="24">
        <v>1410000</v>
      </c>
      <c r="E8" s="24" t="s">
        <v>209</v>
      </c>
      <c r="F8" s="24" t="str">
        <f t="shared" si="0"/>
        <v>rtdc.l.rtdc.4011:itc</v>
      </c>
      <c r="G8" s="8">
        <f t="shared" si="1"/>
        <v>42589.110590277778</v>
      </c>
    </row>
    <row r="9" spans="1:7" ht="15.75" thickBot="1" x14ac:dyDescent="0.3">
      <c r="A9" s="28">
        <v>42589.13082175926</v>
      </c>
      <c r="B9" s="24" t="s">
        <v>100</v>
      </c>
      <c r="C9" s="24" t="s">
        <v>279</v>
      </c>
      <c r="D9" s="24">
        <v>1740000</v>
      </c>
      <c r="E9" s="24" t="s">
        <v>278</v>
      </c>
      <c r="F9" s="24" t="str">
        <f t="shared" si="0"/>
        <v>rtdc.l.rtdc.4038:itc</v>
      </c>
      <c r="G9" s="8">
        <f t="shared" si="1"/>
        <v>42589.13082175926</v>
      </c>
    </row>
    <row r="10" spans="1:7" x14ac:dyDescent="0.25">
      <c r="A10" s="8">
        <v>42589.151493055557</v>
      </c>
      <c r="B10" s="24" t="s">
        <v>103</v>
      </c>
      <c r="C10" s="24" t="s">
        <v>284</v>
      </c>
      <c r="D10" s="24">
        <v>1260000</v>
      </c>
      <c r="E10" s="24" t="s">
        <v>156</v>
      </c>
      <c r="F10" s="24" t="str">
        <f t="shared" si="0"/>
        <v>rtdc.l.rtdc.4025:itc</v>
      </c>
      <c r="G10" s="8">
        <f t="shared" si="1"/>
        <v>42589.151493055557</v>
      </c>
    </row>
    <row r="11" spans="1:7" x14ac:dyDescent="0.25">
      <c r="A11" s="8">
        <v>42589.165706018517</v>
      </c>
      <c r="B11" s="24" t="s">
        <v>109</v>
      </c>
      <c r="C11" s="24" t="s">
        <v>280</v>
      </c>
      <c r="D11" s="24">
        <v>1740000</v>
      </c>
      <c r="E11" s="24" t="s">
        <v>278</v>
      </c>
      <c r="F11" s="24" t="str">
        <f t="shared" si="0"/>
        <v>rtdc.l.rtdc.4008:itc</v>
      </c>
      <c r="G11" s="8">
        <f t="shared" si="1"/>
        <v>42589.165706018517</v>
      </c>
    </row>
    <row r="12" spans="1:7" x14ac:dyDescent="0.25">
      <c r="A12" s="8">
        <v>42589.169537037036</v>
      </c>
      <c r="B12" s="24" t="s">
        <v>188</v>
      </c>
      <c r="C12" s="24" t="s">
        <v>282</v>
      </c>
      <c r="D12" s="24">
        <v>2010000</v>
      </c>
      <c r="E12" s="24" t="s">
        <v>162</v>
      </c>
      <c r="F12" s="24" t="str">
        <f t="shared" si="0"/>
        <v>rtdc.l.rtdc.4044:itc</v>
      </c>
      <c r="G12" s="8">
        <f t="shared" si="1"/>
        <v>42589.169537037036</v>
      </c>
    </row>
    <row r="13" spans="1:7" x14ac:dyDescent="0.25">
      <c r="A13" s="8">
        <v>42589.181261574071</v>
      </c>
      <c r="B13" s="24" t="s">
        <v>68</v>
      </c>
      <c r="C13" s="24" t="s">
        <v>283</v>
      </c>
      <c r="D13" s="24">
        <v>1990000</v>
      </c>
      <c r="E13" s="24" t="s">
        <v>160</v>
      </c>
      <c r="F13" s="24" t="str">
        <f t="shared" si="0"/>
        <v>rtdc.l.rtdc.4018:itc</v>
      </c>
      <c r="G13" s="8">
        <f t="shared" si="1"/>
        <v>42589.181261574071</v>
      </c>
    </row>
    <row r="14" spans="1:7" x14ac:dyDescent="0.25">
      <c r="A14" s="8">
        <v>42589.191134259258</v>
      </c>
      <c r="B14" s="24" t="s">
        <v>128</v>
      </c>
      <c r="C14" s="24" t="s">
        <v>348</v>
      </c>
      <c r="D14" s="24">
        <v>1260000</v>
      </c>
      <c r="E14" s="24" t="s">
        <v>156</v>
      </c>
      <c r="F14" s="24" t="str">
        <f t="shared" si="0"/>
        <v>rtdc.l.rtdc.4015:itc</v>
      </c>
      <c r="G14" s="8">
        <f t="shared" si="1"/>
        <v>42589.191134259258</v>
      </c>
    </row>
    <row r="15" spans="1:7" x14ac:dyDescent="0.25">
      <c r="A15" s="8">
        <v>42589.196250000001</v>
      </c>
      <c r="B15" s="24" t="s">
        <v>105</v>
      </c>
      <c r="C15" s="24" t="s">
        <v>353</v>
      </c>
      <c r="D15" s="24">
        <v>1310000</v>
      </c>
      <c r="E15" s="24" t="s">
        <v>201</v>
      </c>
      <c r="F15" s="24" t="str">
        <f t="shared" si="0"/>
        <v>rtdc.l.rtdc.4029:itc</v>
      </c>
      <c r="G15" s="8">
        <f t="shared" si="1"/>
        <v>42589.196250000001</v>
      </c>
    </row>
    <row r="16" spans="1:7" x14ac:dyDescent="0.25">
      <c r="A16" s="8">
        <v>42589.197175925925</v>
      </c>
      <c r="B16" s="24" t="s">
        <v>105</v>
      </c>
      <c r="C16" s="24" t="s">
        <v>353</v>
      </c>
      <c r="D16" s="24">
        <v>1310000</v>
      </c>
      <c r="E16" s="24" t="s">
        <v>201</v>
      </c>
      <c r="F16" s="24" t="str">
        <f t="shared" si="0"/>
        <v>rtdc.l.rtdc.4029:itc</v>
      </c>
      <c r="G16" s="8">
        <f t="shared" si="1"/>
        <v>42589.197175925925</v>
      </c>
    </row>
    <row r="17" spans="1:7" x14ac:dyDescent="0.25">
      <c r="A17" s="8">
        <v>42589.207928240743</v>
      </c>
      <c r="B17" s="24" t="s">
        <v>100</v>
      </c>
      <c r="C17" s="24" t="s">
        <v>356</v>
      </c>
      <c r="D17" s="24">
        <v>1760000</v>
      </c>
      <c r="E17" s="24" t="s">
        <v>193</v>
      </c>
      <c r="F17" s="24" t="str">
        <f t="shared" si="0"/>
        <v>rtdc.l.rtdc.4038:itc</v>
      </c>
      <c r="G17" s="8">
        <f t="shared" si="1"/>
        <v>42589.207928240743</v>
      </c>
    </row>
    <row r="18" spans="1:7" x14ac:dyDescent="0.25">
      <c r="A18" s="8">
        <v>42589.212997685187</v>
      </c>
      <c r="B18" s="24" t="s">
        <v>110</v>
      </c>
      <c r="C18" s="24" t="s">
        <v>358</v>
      </c>
      <c r="D18" s="24">
        <v>1740000</v>
      </c>
      <c r="E18" s="24" t="s">
        <v>278</v>
      </c>
      <c r="F18" s="24" t="str">
        <f t="shared" si="0"/>
        <v>rtdc.l.rtdc.4007:itc</v>
      </c>
      <c r="G18" s="8">
        <f t="shared" si="1"/>
        <v>42589.212997685187</v>
      </c>
    </row>
    <row r="19" spans="1:7" x14ac:dyDescent="0.25">
      <c r="A19" s="8">
        <v>42589.213090277779</v>
      </c>
      <c r="B19" s="24" t="s">
        <v>104</v>
      </c>
      <c r="C19" s="24" t="s">
        <v>289</v>
      </c>
      <c r="D19" s="24">
        <v>2010000</v>
      </c>
      <c r="E19" s="24" t="s">
        <v>162</v>
      </c>
      <c r="F19" s="24" t="str">
        <f t="shared" si="0"/>
        <v>rtdc.l.rtdc.4028:itc</v>
      </c>
      <c r="G19" s="8">
        <f t="shared" si="1"/>
        <v>42589.213090277779</v>
      </c>
    </row>
    <row r="20" spans="1:7" x14ac:dyDescent="0.25">
      <c r="A20" s="8">
        <v>42589.219259259262</v>
      </c>
      <c r="B20" s="24" t="s">
        <v>75</v>
      </c>
      <c r="C20" s="24" t="s">
        <v>513</v>
      </c>
      <c r="D20" s="24">
        <v>1110000</v>
      </c>
      <c r="E20" s="24" t="s">
        <v>112</v>
      </c>
      <c r="F20" s="24" t="str">
        <f t="shared" si="0"/>
        <v>rtdc.l.rtdc.4042:itc</v>
      </c>
      <c r="G20" s="8">
        <f t="shared" si="1"/>
        <v>42589.219259259262</v>
      </c>
    </row>
    <row r="21" spans="1:7" x14ac:dyDescent="0.25">
      <c r="A21" s="8">
        <v>42589.22016203704</v>
      </c>
      <c r="B21" s="24" t="s">
        <v>75</v>
      </c>
      <c r="C21" s="24" t="s">
        <v>513</v>
      </c>
      <c r="D21" s="24">
        <v>1110000</v>
      </c>
      <c r="E21" s="24" t="s">
        <v>112</v>
      </c>
      <c r="F21" s="24" t="str">
        <f t="shared" si="0"/>
        <v>rtdc.l.rtdc.4042:itc</v>
      </c>
      <c r="G21" s="8">
        <f t="shared" si="1"/>
        <v>42589.22016203704</v>
      </c>
    </row>
    <row r="22" spans="1:7" x14ac:dyDescent="0.25">
      <c r="A22" s="30">
        <v>42589.22148148148</v>
      </c>
      <c r="B22" s="24" t="s">
        <v>69</v>
      </c>
      <c r="C22" s="24" t="s">
        <v>288</v>
      </c>
      <c r="D22" s="24">
        <v>1990000</v>
      </c>
      <c r="E22" s="24" t="s">
        <v>160</v>
      </c>
      <c r="F22" s="24" t="str">
        <f t="shared" si="0"/>
        <v>rtdc.l.rtdc.4017:itc</v>
      </c>
      <c r="G22" s="8">
        <f t="shared" si="1"/>
        <v>42589.22148148148</v>
      </c>
    </row>
    <row r="23" spans="1:7" x14ac:dyDescent="0.25">
      <c r="A23" s="8">
        <v>42589.224942129629</v>
      </c>
      <c r="B23" s="24" t="s">
        <v>103</v>
      </c>
      <c r="C23" s="24" t="s">
        <v>292</v>
      </c>
      <c r="D23" s="24">
        <v>1830000</v>
      </c>
      <c r="E23" s="24" t="s">
        <v>174</v>
      </c>
      <c r="F23" s="24" t="str">
        <f t="shared" si="0"/>
        <v>rtdc.l.rtdc.4025:itc</v>
      </c>
      <c r="G23" s="8">
        <f t="shared" si="1"/>
        <v>42589.224942129629</v>
      </c>
    </row>
    <row r="24" spans="1:7" x14ac:dyDescent="0.25">
      <c r="A24" s="8">
        <v>42589.226284722223</v>
      </c>
      <c r="B24" s="24" t="s">
        <v>75</v>
      </c>
      <c r="C24" s="24" t="s">
        <v>513</v>
      </c>
      <c r="D24" s="24">
        <v>1110000</v>
      </c>
      <c r="E24" s="24" t="s">
        <v>112</v>
      </c>
      <c r="F24" s="24" t="str">
        <f t="shared" si="0"/>
        <v>rtdc.l.rtdc.4042:itc</v>
      </c>
      <c r="G24" s="8">
        <f t="shared" si="1"/>
        <v>42589.226284722223</v>
      </c>
    </row>
    <row r="25" spans="1:7" x14ac:dyDescent="0.25">
      <c r="A25" s="8">
        <v>42589.233900462961</v>
      </c>
      <c r="B25" s="24" t="s">
        <v>129</v>
      </c>
      <c r="C25" s="24" t="s">
        <v>365</v>
      </c>
      <c r="D25" s="24">
        <v>1260000</v>
      </c>
      <c r="E25" s="24" t="s">
        <v>156</v>
      </c>
      <c r="F25" s="24" t="str">
        <f t="shared" si="0"/>
        <v>rtdc.l.rtdc.4016:itc</v>
      </c>
      <c r="G25" s="8">
        <f t="shared" si="1"/>
        <v>42589.233900462961</v>
      </c>
    </row>
    <row r="26" spans="1:7" x14ac:dyDescent="0.25">
      <c r="A26" s="8">
        <v>42589.2343287037</v>
      </c>
      <c r="B26" s="24" t="s">
        <v>106</v>
      </c>
      <c r="C26" s="24" t="s">
        <v>354</v>
      </c>
      <c r="D26" s="24">
        <v>1310000</v>
      </c>
      <c r="E26" s="24" t="s">
        <v>201</v>
      </c>
      <c r="F26" s="24" t="str">
        <f t="shared" si="0"/>
        <v>rtdc.l.rtdc.4030:itc</v>
      </c>
      <c r="G26" s="8">
        <f t="shared" si="1"/>
        <v>42589.2343287037</v>
      </c>
    </row>
    <row r="27" spans="1:7" x14ac:dyDescent="0.25">
      <c r="A27" s="8">
        <v>42589.235347222224</v>
      </c>
      <c r="B27" s="24" t="s">
        <v>106</v>
      </c>
      <c r="C27" s="24" t="s">
        <v>354</v>
      </c>
      <c r="D27" s="24">
        <v>1310000</v>
      </c>
      <c r="E27" s="24" t="s">
        <v>201</v>
      </c>
      <c r="F27" s="24" t="str">
        <f t="shared" si="0"/>
        <v>rtdc.l.rtdc.4030:itc</v>
      </c>
      <c r="G27" s="8">
        <f t="shared" si="1"/>
        <v>42589.235347222224</v>
      </c>
    </row>
    <row r="28" spans="1:7" x14ac:dyDescent="0.25">
      <c r="A28" s="8">
        <v>42589.236516203702</v>
      </c>
      <c r="B28" s="24" t="s">
        <v>138</v>
      </c>
      <c r="C28" s="24" t="s">
        <v>290</v>
      </c>
      <c r="D28" s="24">
        <v>1110000</v>
      </c>
      <c r="E28" s="24" t="s">
        <v>112</v>
      </c>
      <c r="F28" s="24" t="str">
        <f t="shared" si="0"/>
        <v>rtdc.l.rtdc.4041:itc</v>
      </c>
      <c r="G28" s="8">
        <f t="shared" si="1"/>
        <v>42589.236516203702</v>
      </c>
    </row>
    <row r="29" spans="1:7" x14ac:dyDescent="0.25">
      <c r="A29" s="8">
        <v>42589.244664351849</v>
      </c>
      <c r="B29" s="24" t="s">
        <v>157</v>
      </c>
      <c r="C29" s="24" t="s">
        <v>291</v>
      </c>
      <c r="D29" s="24">
        <v>1760000</v>
      </c>
      <c r="E29" s="24" t="s">
        <v>193</v>
      </c>
      <c r="F29" s="24" t="str">
        <f t="shared" si="0"/>
        <v>rtdc.l.rtdc.4037:itc</v>
      </c>
      <c r="G29" s="8">
        <f t="shared" si="1"/>
        <v>42589.244664351849</v>
      </c>
    </row>
    <row r="30" spans="1:7" x14ac:dyDescent="0.25">
      <c r="A30" s="8">
        <v>42589.247916666667</v>
      </c>
      <c r="B30" s="24" t="s">
        <v>188</v>
      </c>
      <c r="C30" s="24" t="s">
        <v>368</v>
      </c>
      <c r="D30" s="24">
        <v>2010000</v>
      </c>
      <c r="E30" s="24" t="s">
        <v>162</v>
      </c>
      <c r="F30" s="24" t="str">
        <f t="shared" si="0"/>
        <v>rtdc.l.rtdc.4044:itc</v>
      </c>
      <c r="G30" s="8">
        <f t="shared" si="1"/>
        <v>42589.247916666667</v>
      </c>
    </row>
    <row r="31" spans="1:7" x14ac:dyDescent="0.25">
      <c r="A31" s="8">
        <v>42589.248518518521</v>
      </c>
      <c r="B31" s="24" t="s">
        <v>106</v>
      </c>
      <c r="C31" s="24" t="s">
        <v>354</v>
      </c>
      <c r="D31" s="24">
        <v>1310000</v>
      </c>
      <c r="E31" s="24" t="s">
        <v>201</v>
      </c>
      <c r="F31" s="24" t="str">
        <f t="shared" si="0"/>
        <v>rtdc.l.rtdc.4030:itc</v>
      </c>
      <c r="G31" s="8">
        <f t="shared" si="1"/>
        <v>42589.248518518521</v>
      </c>
    </row>
    <row r="32" spans="1:7" x14ac:dyDescent="0.25">
      <c r="A32" s="8">
        <v>42589.253182870372</v>
      </c>
      <c r="B32" s="24" t="s">
        <v>109</v>
      </c>
      <c r="C32" s="24" t="s">
        <v>360</v>
      </c>
      <c r="D32" s="24">
        <v>1740000</v>
      </c>
      <c r="E32" s="24" t="s">
        <v>278</v>
      </c>
      <c r="F32" s="24" t="str">
        <f t="shared" si="0"/>
        <v>rtdc.l.rtdc.4008:itc</v>
      </c>
      <c r="G32" s="8">
        <f t="shared" si="1"/>
        <v>42589.253182870372</v>
      </c>
    </row>
    <row r="33" spans="1:7" x14ac:dyDescent="0.25">
      <c r="A33" s="8">
        <v>42589.256458333337</v>
      </c>
      <c r="B33" s="24" t="s">
        <v>68</v>
      </c>
      <c r="C33" s="24" t="s">
        <v>371</v>
      </c>
      <c r="D33" s="24">
        <v>1990000</v>
      </c>
      <c r="E33" s="24" t="s">
        <v>160</v>
      </c>
      <c r="F33" s="24" t="str">
        <f t="shared" si="0"/>
        <v>rtdc.l.rtdc.4018:itc</v>
      </c>
      <c r="G33" s="8">
        <f t="shared" si="1"/>
        <v>42589.256458333337</v>
      </c>
    </row>
    <row r="34" spans="1:7" x14ac:dyDescent="0.25">
      <c r="A34" s="8">
        <v>42589.256921296299</v>
      </c>
      <c r="B34" s="24" t="s">
        <v>101</v>
      </c>
      <c r="C34" s="24" t="s">
        <v>364</v>
      </c>
      <c r="D34" s="24">
        <v>1830000</v>
      </c>
      <c r="E34" s="24" t="s">
        <v>174</v>
      </c>
      <c r="F34" s="24" t="str">
        <f t="shared" si="0"/>
        <v>rtdc.l.rtdc.4026:itc</v>
      </c>
      <c r="G34" s="8">
        <f t="shared" si="1"/>
        <v>42589.256921296299</v>
      </c>
    </row>
    <row r="35" spans="1:7" x14ac:dyDescent="0.25">
      <c r="A35" s="8">
        <v>42589.262962962966</v>
      </c>
      <c r="B35" s="24" t="s">
        <v>75</v>
      </c>
      <c r="C35" s="24" t="s">
        <v>436</v>
      </c>
      <c r="D35" s="24">
        <v>1110000</v>
      </c>
      <c r="E35" s="24" t="s">
        <v>112</v>
      </c>
      <c r="F35" s="24" t="str">
        <f t="shared" si="0"/>
        <v>rtdc.l.rtdc.4042:itc</v>
      </c>
      <c r="G35" s="8">
        <f t="shared" si="1"/>
        <v>42589.262962962966</v>
      </c>
    </row>
    <row r="36" spans="1:7" x14ac:dyDescent="0.25">
      <c r="A36" s="8">
        <v>42589.271701388891</v>
      </c>
      <c r="B36" s="24" t="s">
        <v>128</v>
      </c>
      <c r="C36" s="24" t="s">
        <v>294</v>
      </c>
      <c r="D36" s="24">
        <v>1260000</v>
      </c>
      <c r="E36" s="24" t="s">
        <v>156</v>
      </c>
      <c r="F36" s="24" t="str">
        <f t="shared" si="0"/>
        <v>rtdc.l.rtdc.4015:itc</v>
      </c>
      <c r="G36" s="8">
        <f t="shared" si="1"/>
        <v>42589.271701388891</v>
      </c>
    </row>
    <row r="37" spans="1:7" x14ac:dyDescent="0.25">
      <c r="A37" s="8">
        <v>42589.276921296296</v>
      </c>
      <c r="B37" s="24" t="s">
        <v>138</v>
      </c>
      <c r="C37" s="24" t="s">
        <v>293</v>
      </c>
      <c r="D37" s="24">
        <v>1110000</v>
      </c>
      <c r="E37" s="24" t="s">
        <v>112</v>
      </c>
      <c r="F37" s="24" t="str">
        <f t="shared" si="0"/>
        <v>rtdc.l.rtdc.4041:itc</v>
      </c>
      <c r="G37" s="8">
        <f t="shared" si="1"/>
        <v>42589.276921296296</v>
      </c>
    </row>
    <row r="38" spans="1:7" x14ac:dyDescent="0.25">
      <c r="A38" s="8">
        <v>42589.279050925928</v>
      </c>
      <c r="B38" s="24" t="s">
        <v>100</v>
      </c>
      <c r="C38" s="24" t="s">
        <v>296</v>
      </c>
      <c r="D38" s="24">
        <v>1760000</v>
      </c>
      <c r="E38" s="24" t="s">
        <v>193</v>
      </c>
      <c r="F38" s="24" t="str">
        <f t="shared" si="0"/>
        <v>rtdc.l.rtdc.4038:itc</v>
      </c>
      <c r="G38" s="8">
        <f t="shared" si="1"/>
        <v>42589.279050925928</v>
      </c>
    </row>
    <row r="39" spans="1:7" x14ac:dyDescent="0.25">
      <c r="A39" s="8">
        <v>42589.279074074075</v>
      </c>
      <c r="B39" s="24" t="s">
        <v>138</v>
      </c>
      <c r="C39" s="24" t="s">
        <v>293</v>
      </c>
      <c r="D39" s="24">
        <v>1110000</v>
      </c>
      <c r="E39" s="24" t="s">
        <v>112</v>
      </c>
      <c r="F39" s="24" t="str">
        <f t="shared" si="0"/>
        <v>rtdc.l.rtdc.4041:itc</v>
      </c>
      <c r="G39" s="8">
        <f t="shared" si="1"/>
        <v>42589.279074074075</v>
      </c>
    </row>
    <row r="40" spans="1:7" x14ac:dyDescent="0.25">
      <c r="A40" s="8">
        <v>42589.284351851849</v>
      </c>
      <c r="B40" s="29" t="s">
        <v>175</v>
      </c>
      <c r="C40" s="24" t="s">
        <v>370</v>
      </c>
      <c r="D40" s="24">
        <v>2010000</v>
      </c>
      <c r="E40" s="24" t="s">
        <v>162</v>
      </c>
      <c r="F40" s="24" t="str">
        <f t="shared" si="0"/>
        <v>rtdc.l.rtdc.4043:itc</v>
      </c>
      <c r="G40" s="8">
        <f t="shared" si="1"/>
        <v>42589.284351851849</v>
      </c>
    </row>
    <row r="41" spans="1:7" x14ac:dyDescent="0.25">
      <c r="A41" s="8">
        <v>42589.289305555554</v>
      </c>
      <c r="B41" s="24" t="s">
        <v>110</v>
      </c>
      <c r="C41" s="24" t="s">
        <v>295</v>
      </c>
      <c r="D41" s="24">
        <v>1740000</v>
      </c>
      <c r="E41" s="24" t="s">
        <v>278</v>
      </c>
      <c r="F41" s="24" t="str">
        <f t="shared" si="0"/>
        <v>rtdc.l.rtdc.4007:itc</v>
      </c>
      <c r="G41" s="8">
        <f t="shared" si="1"/>
        <v>42589.289305555554</v>
      </c>
    </row>
    <row r="42" spans="1:7" x14ac:dyDescent="0.25">
      <c r="A42" s="8">
        <v>42589.293541666666</v>
      </c>
      <c r="B42" s="24" t="s">
        <v>69</v>
      </c>
      <c r="C42" s="24" t="s">
        <v>373</v>
      </c>
      <c r="D42" s="24">
        <v>1990000</v>
      </c>
      <c r="E42" s="24" t="s">
        <v>160</v>
      </c>
      <c r="F42" s="24" t="str">
        <f t="shared" si="0"/>
        <v>rtdc.l.rtdc.4017:itc</v>
      </c>
      <c r="G42" s="8">
        <f t="shared" si="1"/>
        <v>42589.293541666666</v>
      </c>
    </row>
    <row r="43" spans="1:7" x14ac:dyDescent="0.25">
      <c r="A43" s="8">
        <v>42589.298900462964</v>
      </c>
      <c r="B43" s="24" t="s">
        <v>103</v>
      </c>
      <c r="C43" s="24" t="s">
        <v>378</v>
      </c>
      <c r="D43" s="24">
        <v>730000</v>
      </c>
      <c r="E43" s="24" t="s">
        <v>597</v>
      </c>
      <c r="F43" s="24" t="str">
        <f t="shared" si="0"/>
        <v>rtdc.l.rtdc.4025:itc</v>
      </c>
      <c r="G43" s="8">
        <f t="shared" si="1"/>
        <v>42589.298900462964</v>
      </c>
    </row>
    <row r="44" spans="1:7" x14ac:dyDescent="0.25">
      <c r="A44" s="8">
        <v>42589.304976851854</v>
      </c>
      <c r="B44" s="24" t="s">
        <v>75</v>
      </c>
      <c r="C44" s="24" t="s">
        <v>441</v>
      </c>
      <c r="D44" s="24">
        <v>1110000</v>
      </c>
      <c r="E44" s="24" t="s">
        <v>112</v>
      </c>
      <c r="F44" s="24" t="str">
        <f t="shared" si="0"/>
        <v>rtdc.l.rtdc.4042:itc</v>
      </c>
      <c r="G44" s="8">
        <f t="shared" si="1"/>
        <v>42589.304976851854</v>
      </c>
    </row>
    <row r="45" spans="1:7" x14ac:dyDescent="0.25">
      <c r="A45" s="8">
        <v>42589.308113425926</v>
      </c>
      <c r="B45" s="24" t="s">
        <v>106</v>
      </c>
      <c r="C45" s="24" t="s">
        <v>374</v>
      </c>
      <c r="D45" s="24">
        <v>900000</v>
      </c>
      <c r="E45" s="24" t="s">
        <v>158</v>
      </c>
      <c r="F45" s="24" t="str">
        <f t="shared" si="0"/>
        <v>rtdc.l.rtdc.4030:itc</v>
      </c>
      <c r="G45" s="8">
        <f t="shared" si="1"/>
        <v>42589.308113425926</v>
      </c>
    </row>
    <row r="46" spans="1:7" x14ac:dyDescent="0.25">
      <c r="A46" s="8">
        <v>42589.308136574073</v>
      </c>
      <c r="B46" s="24" t="s">
        <v>129</v>
      </c>
      <c r="C46" s="24" t="s">
        <v>381</v>
      </c>
      <c r="D46" s="24">
        <v>1260000</v>
      </c>
      <c r="E46" s="24" t="s">
        <v>156</v>
      </c>
      <c r="F46" s="24" t="str">
        <f t="shared" si="0"/>
        <v>rtdc.l.rtdc.4016:itc</v>
      </c>
      <c r="G46" s="8">
        <f t="shared" si="1"/>
        <v>42589.308136574073</v>
      </c>
    </row>
    <row r="47" spans="1:7" x14ac:dyDescent="0.25">
      <c r="A47" s="8">
        <v>42589.309039351851</v>
      </c>
      <c r="B47" s="24" t="s">
        <v>106</v>
      </c>
      <c r="C47" s="24" t="s">
        <v>374</v>
      </c>
      <c r="D47" s="24">
        <v>900000</v>
      </c>
      <c r="E47" s="24" t="s">
        <v>158</v>
      </c>
      <c r="F47" s="24" t="str">
        <f t="shared" si="0"/>
        <v>rtdc.l.rtdc.4030:itc</v>
      </c>
      <c r="G47" s="8">
        <f t="shared" si="1"/>
        <v>42589.309039351851</v>
      </c>
    </row>
    <row r="48" spans="1:7" x14ac:dyDescent="0.25">
      <c r="A48" s="8">
        <v>42589.316759259258</v>
      </c>
      <c r="B48" s="24" t="s">
        <v>157</v>
      </c>
      <c r="C48" s="24" t="s">
        <v>297</v>
      </c>
      <c r="D48" s="24">
        <v>1760000</v>
      </c>
      <c r="E48" s="24" t="s">
        <v>193</v>
      </c>
      <c r="F48" s="24" t="str">
        <f t="shared" si="0"/>
        <v>rtdc.l.rtdc.4037:itc</v>
      </c>
      <c r="G48" s="8">
        <f t="shared" si="1"/>
        <v>42589.316759259258</v>
      </c>
    </row>
    <row r="49" spans="1:7" x14ac:dyDescent="0.25">
      <c r="A49" s="8">
        <v>42589.319062499999</v>
      </c>
      <c r="B49" s="24" t="s">
        <v>188</v>
      </c>
      <c r="C49" s="24" t="s">
        <v>384</v>
      </c>
      <c r="D49" s="24">
        <v>2010000</v>
      </c>
      <c r="E49" s="24" t="s">
        <v>162</v>
      </c>
      <c r="F49" s="24" t="str">
        <f t="shared" si="0"/>
        <v>rtdc.l.rtdc.4044:itc</v>
      </c>
      <c r="G49" s="8">
        <f t="shared" si="1"/>
        <v>42589.319062499999</v>
      </c>
    </row>
    <row r="50" spans="1:7" x14ac:dyDescent="0.25">
      <c r="A50" s="8">
        <v>42589.322500000002</v>
      </c>
      <c r="B50" s="24" t="s">
        <v>109</v>
      </c>
      <c r="C50" s="24" t="s">
        <v>299</v>
      </c>
      <c r="D50" s="24">
        <v>1740000</v>
      </c>
      <c r="E50" s="24" t="s">
        <v>278</v>
      </c>
      <c r="F50" s="24" t="str">
        <f t="shared" si="0"/>
        <v>rtdc.l.rtdc.4008:itc</v>
      </c>
      <c r="G50" s="8">
        <f t="shared" si="1"/>
        <v>42589.322500000002</v>
      </c>
    </row>
    <row r="51" spans="1:7" x14ac:dyDescent="0.25">
      <c r="A51" s="8">
        <v>42589.329675925925</v>
      </c>
      <c r="B51" s="24" t="s">
        <v>68</v>
      </c>
      <c r="C51" s="24" t="s">
        <v>298</v>
      </c>
      <c r="D51" s="24">
        <v>1990000</v>
      </c>
      <c r="E51" s="24" t="s">
        <v>160</v>
      </c>
      <c r="F51" s="24" t="str">
        <f t="shared" si="0"/>
        <v>rtdc.l.rtdc.4018:itc</v>
      </c>
      <c r="G51" s="8">
        <f t="shared" si="1"/>
        <v>42589.329675925925</v>
      </c>
    </row>
    <row r="52" spans="1:7" x14ac:dyDescent="0.25">
      <c r="A52" s="8">
        <v>42589.334930555553</v>
      </c>
      <c r="B52" s="24" t="s">
        <v>101</v>
      </c>
      <c r="C52" s="24" t="s">
        <v>379</v>
      </c>
      <c r="D52" s="24">
        <v>730000</v>
      </c>
      <c r="E52" s="24" t="s">
        <v>597</v>
      </c>
      <c r="F52" s="24" t="str">
        <f t="shared" si="0"/>
        <v>rtdc.l.rtdc.4026:itc</v>
      </c>
      <c r="G52" s="8">
        <f t="shared" si="1"/>
        <v>42589.334930555553</v>
      </c>
    </row>
    <row r="53" spans="1:7" x14ac:dyDescent="0.25">
      <c r="A53" s="8">
        <v>42589.342245370368</v>
      </c>
      <c r="B53" s="24" t="s">
        <v>105</v>
      </c>
      <c r="C53" s="24" t="s">
        <v>388</v>
      </c>
      <c r="D53" s="24">
        <v>1310000</v>
      </c>
      <c r="E53" s="24" t="s">
        <v>201</v>
      </c>
      <c r="F53" s="24" t="str">
        <f t="shared" si="0"/>
        <v>rtdc.l.rtdc.4029:itc</v>
      </c>
      <c r="G53" s="8">
        <f t="shared" si="1"/>
        <v>42589.342245370368</v>
      </c>
    </row>
    <row r="54" spans="1:7" x14ac:dyDescent="0.25">
      <c r="A54" s="8">
        <v>42589.345439814817</v>
      </c>
      <c r="B54" s="24" t="s">
        <v>75</v>
      </c>
      <c r="C54" s="24" t="s">
        <v>444</v>
      </c>
      <c r="D54" s="24">
        <v>1110000</v>
      </c>
      <c r="E54" s="24" t="s">
        <v>112</v>
      </c>
      <c r="F54" s="24" t="str">
        <f t="shared" si="0"/>
        <v>rtdc.l.rtdc.4042:itc</v>
      </c>
      <c r="G54" s="8">
        <f t="shared" si="1"/>
        <v>42589.345439814817</v>
      </c>
    </row>
    <row r="55" spans="1:7" x14ac:dyDescent="0.25">
      <c r="A55" s="8">
        <v>42589.346273148149</v>
      </c>
      <c r="B55" s="24" t="s">
        <v>128</v>
      </c>
      <c r="C55" s="24" t="s">
        <v>301</v>
      </c>
      <c r="D55" s="24">
        <v>1260000</v>
      </c>
      <c r="E55" s="24" t="s">
        <v>156</v>
      </c>
      <c r="F55" s="24" t="str">
        <f t="shared" si="0"/>
        <v>rtdc.l.rtdc.4015:itc</v>
      </c>
      <c r="G55" s="8">
        <f t="shared" si="1"/>
        <v>42589.346273148149</v>
      </c>
    </row>
    <row r="56" spans="1:7" x14ac:dyDescent="0.25">
      <c r="A56" s="8">
        <v>42589.35125</v>
      </c>
      <c r="B56" s="24" t="s">
        <v>100</v>
      </c>
      <c r="C56" s="24" t="s">
        <v>300</v>
      </c>
      <c r="D56" s="24">
        <v>1760000</v>
      </c>
      <c r="E56" s="24" t="s">
        <v>193</v>
      </c>
      <c r="F56" s="24" t="str">
        <f t="shared" si="0"/>
        <v>rtdc.l.rtdc.4038:itc</v>
      </c>
      <c r="G56" s="8">
        <f t="shared" si="1"/>
        <v>42589.35125</v>
      </c>
    </row>
    <row r="57" spans="1:7" x14ac:dyDescent="0.25">
      <c r="A57" s="8">
        <v>42589.354039351849</v>
      </c>
      <c r="B57" s="24" t="s">
        <v>175</v>
      </c>
      <c r="C57" s="24" t="s">
        <v>386</v>
      </c>
      <c r="D57" s="24">
        <v>2010000</v>
      </c>
      <c r="E57" s="24" t="s">
        <v>162</v>
      </c>
      <c r="F57" s="24" t="str">
        <f t="shared" si="0"/>
        <v>rtdc.l.rtdc.4043:itc</v>
      </c>
      <c r="G57" s="8">
        <f t="shared" si="1"/>
        <v>42589.354039351849</v>
      </c>
    </row>
    <row r="58" spans="1:7" x14ac:dyDescent="0.25">
      <c r="A58" s="8">
        <v>42589.3594212963</v>
      </c>
      <c r="B58" s="24" t="s">
        <v>138</v>
      </c>
      <c r="C58" s="24" t="s">
        <v>303</v>
      </c>
      <c r="D58" s="24">
        <v>1110000</v>
      </c>
      <c r="E58" s="24" t="s">
        <v>112</v>
      </c>
      <c r="F58" s="24" t="str">
        <f t="shared" si="0"/>
        <v>rtdc.l.rtdc.4041:itc</v>
      </c>
      <c r="G58" s="8">
        <f t="shared" si="1"/>
        <v>42589.3594212963</v>
      </c>
    </row>
    <row r="59" spans="1:7" x14ac:dyDescent="0.25">
      <c r="A59" s="8">
        <v>42589.359780092593</v>
      </c>
      <c r="B59" s="24" t="s">
        <v>110</v>
      </c>
      <c r="C59" s="24" t="s">
        <v>302</v>
      </c>
      <c r="D59" s="24">
        <v>1740000</v>
      </c>
      <c r="E59" s="24" t="s">
        <v>278</v>
      </c>
      <c r="F59" s="24" t="str">
        <f t="shared" si="0"/>
        <v>rtdc.l.rtdc.4007:itc</v>
      </c>
      <c r="G59" s="8">
        <f t="shared" si="1"/>
        <v>42589.359780092593</v>
      </c>
    </row>
    <row r="60" spans="1:7" x14ac:dyDescent="0.25">
      <c r="A60" s="8">
        <v>42589.360185185185</v>
      </c>
      <c r="B60" s="24" t="s">
        <v>138</v>
      </c>
      <c r="C60" s="24" t="s">
        <v>303</v>
      </c>
      <c r="D60" s="24">
        <v>1110000</v>
      </c>
      <c r="E60" s="24" t="s">
        <v>112</v>
      </c>
      <c r="F60" s="24" t="str">
        <f t="shared" si="0"/>
        <v>rtdc.l.rtdc.4041:itc</v>
      </c>
      <c r="G60" s="8">
        <f t="shared" si="1"/>
        <v>42589.360185185185</v>
      </c>
    </row>
    <row r="61" spans="1:7" x14ac:dyDescent="0.25">
      <c r="A61" s="8">
        <v>42589.367476851854</v>
      </c>
      <c r="B61" s="24" t="s">
        <v>69</v>
      </c>
      <c r="C61" s="24" t="s">
        <v>304</v>
      </c>
      <c r="D61" s="24">
        <v>1990000</v>
      </c>
      <c r="E61" s="24" t="s">
        <v>160</v>
      </c>
      <c r="F61" s="24" t="str">
        <f t="shared" si="0"/>
        <v>rtdc.l.rtdc.4017:itc</v>
      </c>
      <c r="G61" s="8">
        <f t="shared" si="1"/>
        <v>42589.367476851854</v>
      </c>
    </row>
    <row r="62" spans="1:7" x14ac:dyDescent="0.25">
      <c r="A62" s="8">
        <v>42589.371724537035</v>
      </c>
      <c r="B62" s="24" t="s">
        <v>103</v>
      </c>
      <c r="C62" s="24" t="s">
        <v>394</v>
      </c>
      <c r="D62" s="24">
        <v>1830000</v>
      </c>
      <c r="E62" s="24" t="s">
        <v>174</v>
      </c>
      <c r="F62" s="24" t="str">
        <f t="shared" si="0"/>
        <v>rtdc.l.rtdc.4025:itc</v>
      </c>
      <c r="G62" s="8">
        <f t="shared" si="1"/>
        <v>42589.371724537035</v>
      </c>
    </row>
    <row r="63" spans="1:7" x14ac:dyDescent="0.25">
      <c r="A63" s="8">
        <v>42589.380902777775</v>
      </c>
      <c r="B63" s="24" t="s">
        <v>129</v>
      </c>
      <c r="C63" s="24" t="s">
        <v>397</v>
      </c>
      <c r="D63" s="24">
        <v>1260000</v>
      </c>
      <c r="E63" s="24" t="s">
        <v>156</v>
      </c>
      <c r="F63" s="24" t="str">
        <f t="shared" si="0"/>
        <v>rtdc.l.rtdc.4016:itc</v>
      </c>
      <c r="G63" s="8">
        <f t="shared" si="1"/>
        <v>42589.380902777775</v>
      </c>
    </row>
    <row r="64" spans="1:7" x14ac:dyDescent="0.25">
      <c r="A64" s="30">
        <v>42589.382708333331</v>
      </c>
      <c r="B64" s="24" t="s">
        <v>106</v>
      </c>
      <c r="C64" s="24" t="s">
        <v>389</v>
      </c>
      <c r="D64" s="24">
        <v>1310000</v>
      </c>
      <c r="E64" s="24" t="s">
        <v>201</v>
      </c>
      <c r="F64" s="24" t="str">
        <f t="shared" si="0"/>
        <v>rtdc.l.rtdc.4030:itc</v>
      </c>
      <c r="G64" s="8">
        <f t="shared" si="1"/>
        <v>42589.382708333331</v>
      </c>
    </row>
    <row r="65" spans="1:7" x14ac:dyDescent="0.25">
      <c r="A65" s="8">
        <v>42589.386087962965</v>
      </c>
      <c r="B65" s="24" t="s">
        <v>75</v>
      </c>
      <c r="C65" s="24" t="s">
        <v>449</v>
      </c>
      <c r="D65" s="24">
        <v>1110000</v>
      </c>
      <c r="E65" s="24" t="s">
        <v>112</v>
      </c>
      <c r="F65" s="24" t="str">
        <f t="shared" si="0"/>
        <v>rtdc.l.rtdc.4042:itc</v>
      </c>
      <c r="G65" s="8">
        <f t="shared" si="1"/>
        <v>42589.386087962965</v>
      </c>
    </row>
    <row r="66" spans="1:7" x14ac:dyDescent="0.25">
      <c r="A66" s="8">
        <v>42589.38858796296</v>
      </c>
      <c r="B66" s="24" t="s">
        <v>157</v>
      </c>
      <c r="C66" s="24" t="s">
        <v>306</v>
      </c>
      <c r="D66" s="24">
        <v>1760000</v>
      </c>
      <c r="E66" s="24" t="s">
        <v>193</v>
      </c>
      <c r="F66" s="24" t="str">
        <f t="shared" ref="F66:F129" si="2">B66</f>
        <v>rtdc.l.rtdc.4037:itc</v>
      </c>
      <c r="G66" s="8">
        <f t="shared" ref="G66:G129" si="3">A66</f>
        <v>42589.38858796296</v>
      </c>
    </row>
    <row r="67" spans="1:7" x14ac:dyDescent="0.25">
      <c r="A67" s="8">
        <v>42589.391284722224</v>
      </c>
      <c r="B67" s="24" t="s">
        <v>188</v>
      </c>
      <c r="C67" s="24" t="s">
        <v>399</v>
      </c>
      <c r="D67" s="24">
        <v>2010000</v>
      </c>
      <c r="E67" s="24" t="s">
        <v>162</v>
      </c>
      <c r="F67" s="24" t="str">
        <f t="shared" si="2"/>
        <v>rtdc.l.rtdc.4044:itc</v>
      </c>
      <c r="G67" s="8">
        <f t="shared" si="3"/>
        <v>42589.391284722224</v>
      </c>
    </row>
    <row r="68" spans="1:7" x14ac:dyDescent="0.25">
      <c r="A68" s="8">
        <v>42589.400451388887</v>
      </c>
      <c r="B68" s="24" t="s">
        <v>109</v>
      </c>
      <c r="C68" s="24" t="s">
        <v>307</v>
      </c>
      <c r="D68" s="24">
        <v>1740000</v>
      </c>
      <c r="E68" s="24" t="s">
        <v>278</v>
      </c>
      <c r="F68" s="24" t="str">
        <f t="shared" si="2"/>
        <v>rtdc.l.rtdc.4008:itc</v>
      </c>
      <c r="G68" s="8">
        <f t="shared" si="3"/>
        <v>42589.400451388887</v>
      </c>
    </row>
    <row r="69" spans="1:7" x14ac:dyDescent="0.25">
      <c r="A69" s="8">
        <v>42589.401122685187</v>
      </c>
      <c r="B69" s="24" t="s">
        <v>101</v>
      </c>
      <c r="C69" s="24" t="s">
        <v>395</v>
      </c>
      <c r="D69" s="24">
        <v>1830000</v>
      </c>
      <c r="E69" s="24" t="s">
        <v>174</v>
      </c>
      <c r="F69" s="24" t="str">
        <f t="shared" si="2"/>
        <v>rtdc.l.rtdc.4026:itc</v>
      </c>
      <c r="G69" s="8">
        <f t="shared" si="3"/>
        <v>42589.401122685187</v>
      </c>
    </row>
    <row r="70" spans="1:7" x14ac:dyDescent="0.25">
      <c r="A70" s="8">
        <v>42589.40116898148</v>
      </c>
      <c r="B70" s="24" t="s">
        <v>138</v>
      </c>
      <c r="C70" s="24" t="s">
        <v>305</v>
      </c>
      <c r="D70" s="24">
        <v>1110000</v>
      </c>
      <c r="E70" s="24" t="s">
        <v>112</v>
      </c>
      <c r="F70" s="24" t="str">
        <f t="shared" si="2"/>
        <v>rtdc.l.rtdc.4041:itc</v>
      </c>
      <c r="G70" s="8">
        <f t="shared" si="3"/>
        <v>42589.40116898148</v>
      </c>
    </row>
    <row r="71" spans="1:7" x14ac:dyDescent="0.25">
      <c r="A71" s="8">
        <v>42589.402384259258</v>
      </c>
      <c r="B71" s="24" t="s">
        <v>68</v>
      </c>
      <c r="C71" s="24" t="s">
        <v>401</v>
      </c>
      <c r="D71" s="24">
        <v>1990000</v>
      </c>
      <c r="E71" s="24" t="s">
        <v>160</v>
      </c>
      <c r="F71" s="24" t="str">
        <f t="shared" si="2"/>
        <v>rtdc.l.rtdc.4018:itc</v>
      </c>
      <c r="G71" s="8">
        <f t="shared" si="3"/>
        <v>42589.402384259258</v>
      </c>
    </row>
    <row r="72" spans="1:7" x14ac:dyDescent="0.25">
      <c r="A72" s="8">
        <v>42589.415324074071</v>
      </c>
      <c r="B72" s="24" t="s">
        <v>105</v>
      </c>
      <c r="C72" s="24" t="s">
        <v>402</v>
      </c>
      <c r="D72" s="24">
        <v>1310000</v>
      </c>
      <c r="E72" s="24" t="s">
        <v>201</v>
      </c>
      <c r="F72" s="24" t="str">
        <f t="shared" si="2"/>
        <v>rtdc.l.rtdc.4029:itc</v>
      </c>
      <c r="G72" s="8">
        <f t="shared" si="3"/>
        <v>42589.415324074071</v>
      </c>
    </row>
    <row r="73" spans="1:7" x14ac:dyDescent="0.25">
      <c r="A73" s="8">
        <v>42589.418749999997</v>
      </c>
      <c r="B73" s="24" t="s">
        <v>128</v>
      </c>
      <c r="C73" s="24" t="s">
        <v>398</v>
      </c>
      <c r="D73" s="24">
        <v>1260000</v>
      </c>
      <c r="E73" s="24" t="s">
        <v>156</v>
      </c>
      <c r="F73" s="24" t="str">
        <f t="shared" si="2"/>
        <v>rtdc.l.rtdc.4015:itc</v>
      </c>
      <c r="G73" s="8">
        <f t="shared" si="3"/>
        <v>42589.418749999997</v>
      </c>
    </row>
    <row r="74" spans="1:7" x14ac:dyDescent="0.25">
      <c r="A74" s="8">
        <v>42589.422893518517</v>
      </c>
      <c r="B74" s="24" t="s">
        <v>100</v>
      </c>
      <c r="C74" s="24" t="s">
        <v>308</v>
      </c>
      <c r="D74" s="24">
        <v>1760000</v>
      </c>
      <c r="E74" s="24" t="s">
        <v>193</v>
      </c>
      <c r="F74" s="24" t="str">
        <f t="shared" si="2"/>
        <v>rtdc.l.rtdc.4038:itc</v>
      </c>
      <c r="G74" s="8">
        <f t="shared" si="3"/>
        <v>42589.422893518517</v>
      </c>
    </row>
    <row r="75" spans="1:7" x14ac:dyDescent="0.25">
      <c r="A75" s="8">
        <v>42589.428564814814</v>
      </c>
      <c r="B75" s="24" t="s">
        <v>175</v>
      </c>
      <c r="C75" s="24" t="s">
        <v>400</v>
      </c>
      <c r="D75" s="24">
        <v>2010000</v>
      </c>
      <c r="E75" s="24" t="s">
        <v>162</v>
      </c>
      <c r="F75" s="24" t="str">
        <f t="shared" si="2"/>
        <v>rtdc.l.rtdc.4043:itc</v>
      </c>
      <c r="G75" s="8">
        <f t="shared" si="3"/>
        <v>42589.428564814814</v>
      </c>
    </row>
    <row r="76" spans="1:7" x14ac:dyDescent="0.25">
      <c r="A76" s="8">
        <v>42589.429965277777</v>
      </c>
      <c r="B76" s="24" t="s">
        <v>75</v>
      </c>
      <c r="C76" s="24" t="s">
        <v>305</v>
      </c>
      <c r="D76" s="24">
        <v>1110000</v>
      </c>
      <c r="E76" s="24" t="s">
        <v>112</v>
      </c>
      <c r="F76" s="24" t="str">
        <f t="shared" si="2"/>
        <v>rtdc.l.rtdc.4042:itc</v>
      </c>
      <c r="G76" s="8">
        <f t="shared" si="3"/>
        <v>42589.429965277777</v>
      </c>
    </row>
    <row r="77" spans="1:7" x14ac:dyDescent="0.25">
      <c r="A77" s="8">
        <v>42589.430787037039</v>
      </c>
      <c r="B77" s="24" t="s">
        <v>75</v>
      </c>
      <c r="C77" s="24" t="s">
        <v>309</v>
      </c>
      <c r="D77" s="24">
        <v>1110000</v>
      </c>
      <c r="E77" s="24" t="s">
        <v>112</v>
      </c>
      <c r="F77" s="24" t="str">
        <f t="shared" si="2"/>
        <v>rtdc.l.rtdc.4042:itc</v>
      </c>
      <c r="G77" s="8">
        <f t="shared" si="3"/>
        <v>42589.430787037039</v>
      </c>
    </row>
    <row r="78" spans="1:7" x14ac:dyDescent="0.25">
      <c r="A78" s="8">
        <v>42589.433148148149</v>
      </c>
      <c r="B78" s="24" t="s">
        <v>110</v>
      </c>
      <c r="C78" s="24" t="s">
        <v>406</v>
      </c>
      <c r="D78" s="24">
        <v>1520000</v>
      </c>
      <c r="E78" s="24" t="s">
        <v>150</v>
      </c>
      <c r="F78" s="24" t="str">
        <f t="shared" si="2"/>
        <v>rtdc.l.rtdc.4007:itc</v>
      </c>
      <c r="G78" s="8">
        <f t="shared" si="3"/>
        <v>42589.433148148149</v>
      </c>
    </row>
    <row r="79" spans="1:7" x14ac:dyDescent="0.25">
      <c r="A79" s="8">
        <v>42589.441481481481</v>
      </c>
      <c r="B79" s="24" t="s">
        <v>69</v>
      </c>
      <c r="C79" s="24" t="s">
        <v>311</v>
      </c>
      <c r="D79" s="24">
        <v>1990000</v>
      </c>
      <c r="E79" s="24" t="s">
        <v>160</v>
      </c>
      <c r="F79" s="24" t="str">
        <f t="shared" si="2"/>
        <v>rtdc.l.rtdc.4017:itc</v>
      </c>
      <c r="G79" s="8">
        <f t="shared" si="3"/>
        <v>42589.441481481481</v>
      </c>
    </row>
    <row r="80" spans="1:7" x14ac:dyDescent="0.25">
      <c r="A80" s="8">
        <v>42589.443483796298</v>
      </c>
      <c r="B80" s="24" t="s">
        <v>103</v>
      </c>
      <c r="C80" s="24" t="s">
        <v>409</v>
      </c>
      <c r="D80" s="24">
        <v>730000</v>
      </c>
      <c r="E80" s="24" t="s">
        <v>597</v>
      </c>
      <c r="F80" s="24" t="str">
        <f t="shared" si="2"/>
        <v>rtdc.l.rtdc.4025:itc</v>
      </c>
      <c r="G80" s="8">
        <f t="shared" si="3"/>
        <v>42589.443483796298</v>
      </c>
    </row>
    <row r="81" spans="1:7" x14ac:dyDescent="0.25">
      <c r="A81" s="8">
        <v>42589.443831018521</v>
      </c>
      <c r="B81" s="24" t="s">
        <v>138</v>
      </c>
      <c r="C81" s="24" t="s">
        <v>310</v>
      </c>
      <c r="D81" s="24">
        <v>1110000</v>
      </c>
      <c r="E81" s="24" t="s">
        <v>112</v>
      </c>
      <c r="F81" s="24" t="str">
        <f t="shared" si="2"/>
        <v>rtdc.l.rtdc.4041:itc</v>
      </c>
      <c r="G81" s="8">
        <f t="shared" si="3"/>
        <v>42589.443831018521</v>
      </c>
    </row>
    <row r="82" spans="1:7" x14ac:dyDescent="0.25">
      <c r="A82" s="8">
        <v>42589.454050925924</v>
      </c>
      <c r="B82" s="24" t="s">
        <v>129</v>
      </c>
      <c r="C82" s="24" t="s">
        <v>413</v>
      </c>
      <c r="D82" s="24">
        <v>880000</v>
      </c>
      <c r="E82" s="24" t="s">
        <v>153</v>
      </c>
      <c r="F82" s="24" t="str">
        <f t="shared" si="2"/>
        <v>rtdc.l.rtdc.4016:itc</v>
      </c>
      <c r="G82" s="8">
        <f t="shared" si="3"/>
        <v>42589.454050925924</v>
      </c>
    </row>
    <row r="83" spans="1:7" x14ac:dyDescent="0.25">
      <c r="A83" s="8">
        <v>42589.454398148147</v>
      </c>
      <c r="B83" s="24" t="s">
        <v>106</v>
      </c>
      <c r="C83" s="24" t="s">
        <v>403</v>
      </c>
      <c r="D83" s="24">
        <v>1310000</v>
      </c>
      <c r="E83" s="24" t="s">
        <v>201</v>
      </c>
      <c r="F83" s="24" t="str">
        <f t="shared" si="2"/>
        <v>rtdc.l.rtdc.4030:itc</v>
      </c>
      <c r="G83" s="8">
        <f t="shared" si="3"/>
        <v>42589.454398148147</v>
      </c>
    </row>
    <row r="84" spans="1:7" x14ac:dyDescent="0.25">
      <c r="A84" s="8">
        <v>42589.461099537039</v>
      </c>
      <c r="B84" s="24" t="s">
        <v>157</v>
      </c>
      <c r="C84" s="24" t="s">
        <v>405</v>
      </c>
      <c r="D84" s="24">
        <v>1760000</v>
      </c>
      <c r="E84" s="24" t="s">
        <v>193</v>
      </c>
      <c r="F84" s="24" t="str">
        <f t="shared" si="2"/>
        <v>rtdc.l.rtdc.4037:itc</v>
      </c>
      <c r="G84" s="8">
        <f t="shared" si="3"/>
        <v>42589.461099537039</v>
      </c>
    </row>
    <row r="85" spans="1:7" x14ac:dyDescent="0.25">
      <c r="A85" s="8">
        <v>42589.463842592595</v>
      </c>
      <c r="B85" s="24" t="s">
        <v>188</v>
      </c>
      <c r="C85" s="24" t="s">
        <v>415</v>
      </c>
      <c r="D85" s="24">
        <v>1280000</v>
      </c>
      <c r="E85" s="24" t="s">
        <v>155</v>
      </c>
      <c r="F85" s="24" t="str">
        <f t="shared" si="2"/>
        <v>rtdc.l.rtdc.4044:itc</v>
      </c>
      <c r="G85" s="8">
        <f t="shared" si="3"/>
        <v>42589.463842592595</v>
      </c>
    </row>
    <row r="86" spans="1:7" x14ac:dyDescent="0.25">
      <c r="A86" s="8">
        <v>42589.468402777777</v>
      </c>
      <c r="B86" s="24" t="s">
        <v>109</v>
      </c>
      <c r="C86" s="24" t="s">
        <v>408</v>
      </c>
      <c r="D86" s="24">
        <v>1520000</v>
      </c>
      <c r="E86" s="24" t="s">
        <v>150</v>
      </c>
      <c r="F86" s="24" t="str">
        <f t="shared" si="2"/>
        <v>rtdc.l.rtdc.4008:itc</v>
      </c>
      <c r="G86" s="8">
        <f t="shared" si="3"/>
        <v>42589.468402777777</v>
      </c>
    </row>
    <row r="87" spans="1:7" x14ac:dyDescent="0.25">
      <c r="A87" s="8">
        <v>42589.470243055555</v>
      </c>
      <c r="B87" s="24" t="s">
        <v>75</v>
      </c>
      <c r="C87" s="24" t="s">
        <v>312</v>
      </c>
      <c r="D87" s="24">
        <v>1110000</v>
      </c>
      <c r="E87" s="24" t="s">
        <v>112</v>
      </c>
      <c r="F87" s="24" t="str">
        <f t="shared" si="2"/>
        <v>rtdc.l.rtdc.4042:itc</v>
      </c>
      <c r="G87" s="8">
        <f t="shared" si="3"/>
        <v>42589.470243055555</v>
      </c>
    </row>
    <row r="88" spans="1:7" x14ac:dyDescent="0.25">
      <c r="A88" s="8">
        <v>42589.475844907407</v>
      </c>
      <c r="B88" s="24" t="s">
        <v>101</v>
      </c>
      <c r="C88" s="24" t="s">
        <v>411</v>
      </c>
      <c r="D88" s="24">
        <v>730000</v>
      </c>
      <c r="E88" s="24" t="s">
        <v>597</v>
      </c>
      <c r="F88" s="24" t="str">
        <f t="shared" si="2"/>
        <v>rtdc.l.rtdc.4026:itc</v>
      </c>
      <c r="G88" s="8">
        <f t="shared" si="3"/>
        <v>42589.475844907407</v>
      </c>
    </row>
    <row r="89" spans="1:7" x14ac:dyDescent="0.25">
      <c r="A89" s="8">
        <v>42589.478425925925</v>
      </c>
      <c r="B89" s="24" t="s">
        <v>101</v>
      </c>
      <c r="C89" s="24" t="s">
        <v>411</v>
      </c>
      <c r="D89" s="24">
        <v>730000</v>
      </c>
      <c r="E89" s="24" t="s">
        <v>597</v>
      </c>
      <c r="F89" s="24" t="str">
        <f t="shared" si="2"/>
        <v>rtdc.l.rtdc.4026:itc</v>
      </c>
      <c r="G89" s="8">
        <f t="shared" si="3"/>
        <v>42589.478425925925</v>
      </c>
    </row>
    <row r="90" spans="1:7" x14ac:dyDescent="0.25">
      <c r="A90" s="8">
        <v>42589.480671296296</v>
      </c>
      <c r="B90" s="24" t="s">
        <v>68</v>
      </c>
      <c r="C90" s="24" t="s">
        <v>418</v>
      </c>
      <c r="D90" s="24">
        <v>1780000</v>
      </c>
      <c r="E90" s="24" t="s">
        <v>163</v>
      </c>
      <c r="F90" s="24" t="str">
        <f t="shared" si="2"/>
        <v>rtdc.l.rtdc.4018:itc</v>
      </c>
      <c r="G90" s="8">
        <f t="shared" si="3"/>
        <v>42589.480671296296</v>
      </c>
    </row>
    <row r="91" spans="1:7" x14ac:dyDescent="0.25">
      <c r="A91" s="8">
        <v>42589.484953703701</v>
      </c>
      <c r="B91" s="24" t="s">
        <v>138</v>
      </c>
      <c r="C91" s="24" t="s">
        <v>458</v>
      </c>
      <c r="D91" s="24">
        <v>1110000</v>
      </c>
      <c r="E91" s="24" t="s">
        <v>112</v>
      </c>
      <c r="F91" s="24" t="str">
        <f t="shared" si="2"/>
        <v>rtdc.l.rtdc.4041:itc</v>
      </c>
      <c r="G91" s="8">
        <f t="shared" si="3"/>
        <v>42589.484953703701</v>
      </c>
    </row>
    <row r="92" spans="1:7" x14ac:dyDescent="0.25">
      <c r="A92" s="8">
        <v>42589.489351851851</v>
      </c>
      <c r="B92" s="24" t="s">
        <v>105</v>
      </c>
      <c r="C92" s="24" t="s">
        <v>421</v>
      </c>
      <c r="D92" s="24">
        <v>2040000</v>
      </c>
      <c r="E92" s="24" t="s">
        <v>200</v>
      </c>
      <c r="F92" s="24" t="str">
        <f t="shared" si="2"/>
        <v>rtdc.l.rtdc.4029:itc</v>
      </c>
      <c r="G92" s="8">
        <f t="shared" si="3"/>
        <v>42589.489351851851</v>
      </c>
    </row>
    <row r="93" spans="1:7" x14ac:dyDescent="0.25">
      <c r="A93" s="8">
        <v>42589.495185185187</v>
      </c>
      <c r="B93" s="24" t="s">
        <v>128</v>
      </c>
      <c r="C93" s="24" t="s">
        <v>414</v>
      </c>
      <c r="D93" s="24">
        <v>880000</v>
      </c>
      <c r="E93" s="24" t="s">
        <v>153</v>
      </c>
      <c r="F93" s="24" t="str">
        <f t="shared" si="2"/>
        <v>rtdc.l.rtdc.4015:itc</v>
      </c>
      <c r="G93" s="8">
        <f t="shared" si="3"/>
        <v>42589.495185185187</v>
      </c>
    </row>
    <row r="94" spans="1:7" x14ac:dyDescent="0.25">
      <c r="A94" s="8">
        <v>42589.498067129629</v>
      </c>
      <c r="B94" s="24" t="s">
        <v>175</v>
      </c>
      <c r="C94" s="24" t="s">
        <v>415</v>
      </c>
      <c r="D94" s="24">
        <v>1280000</v>
      </c>
      <c r="E94" s="24" t="s">
        <v>155</v>
      </c>
      <c r="F94" s="24" t="str">
        <f t="shared" si="2"/>
        <v>rtdc.l.rtdc.4043:itc</v>
      </c>
      <c r="G94" s="8">
        <f t="shared" si="3"/>
        <v>42589.498067129629</v>
      </c>
    </row>
    <row r="95" spans="1:7" x14ac:dyDescent="0.25">
      <c r="A95" s="8">
        <v>42589.498807870368</v>
      </c>
      <c r="B95" s="24" t="s">
        <v>175</v>
      </c>
      <c r="C95" s="24" t="s">
        <v>416</v>
      </c>
      <c r="D95" s="24">
        <v>1280000</v>
      </c>
      <c r="E95" s="24" t="s">
        <v>155</v>
      </c>
      <c r="F95" s="24" t="str">
        <f t="shared" si="2"/>
        <v>rtdc.l.rtdc.4043:itc</v>
      </c>
      <c r="G95" s="8">
        <f t="shared" si="3"/>
        <v>42589.498807870368</v>
      </c>
    </row>
    <row r="96" spans="1:7" x14ac:dyDescent="0.25">
      <c r="A96" s="8">
        <v>42589.501238425924</v>
      </c>
      <c r="B96" s="24" t="s">
        <v>100</v>
      </c>
      <c r="C96" s="24" t="s">
        <v>422</v>
      </c>
      <c r="D96" s="24">
        <v>1140000</v>
      </c>
      <c r="E96" s="24" t="s">
        <v>151</v>
      </c>
      <c r="F96" s="24" t="str">
        <f t="shared" si="2"/>
        <v>rtdc.l.rtdc.4038:itc</v>
      </c>
      <c r="G96" s="8">
        <f t="shared" si="3"/>
        <v>42589.501238425924</v>
      </c>
    </row>
    <row r="97" spans="1:7" x14ac:dyDescent="0.25">
      <c r="A97" s="8">
        <v>42589.510057870371</v>
      </c>
      <c r="B97" s="24" t="s">
        <v>110</v>
      </c>
      <c r="C97" s="24" t="s">
        <v>423</v>
      </c>
      <c r="D97" s="24">
        <v>1520000</v>
      </c>
      <c r="E97" s="24" t="s">
        <v>150</v>
      </c>
      <c r="F97" s="24" t="str">
        <f t="shared" si="2"/>
        <v>rtdc.l.rtdc.4007:itc</v>
      </c>
      <c r="G97" s="8">
        <f t="shared" si="3"/>
        <v>42589.510057870371</v>
      </c>
    </row>
    <row r="98" spans="1:7" x14ac:dyDescent="0.25">
      <c r="A98" s="8">
        <v>42589.511921296296</v>
      </c>
      <c r="B98" s="24" t="s">
        <v>75</v>
      </c>
      <c r="C98" s="24" t="s">
        <v>313</v>
      </c>
      <c r="D98" s="24">
        <v>1110000</v>
      </c>
      <c r="E98" s="24" t="s">
        <v>112</v>
      </c>
      <c r="F98" s="24" t="str">
        <f t="shared" si="2"/>
        <v>rtdc.l.rtdc.4042:itc</v>
      </c>
      <c r="G98" s="8">
        <f t="shared" si="3"/>
        <v>42589.511921296296</v>
      </c>
    </row>
    <row r="99" spans="1:7" x14ac:dyDescent="0.25">
      <c r="A99" s="8">
        <v>42589.515393518515</v>
      </c>
      <c r="B99" s="24" t="s">
        <v>69</v>
      </c>
      <c r="C99" s="24" t="s">
        <v>419</v>
      </c>
      <c r="D99" s="24">
        <v>1780000</v>
      </c>
      <c r="E99" s="24" t="s">
        <v>163</v>
      </c>
      <c r="F99" s="24" t="str">
        <f t="shared" si="2"/>
        <v>rtdc.l.rtdc.4017:itc</v>
      </c>
      <c r="G99" s="8">
        <f t="shared" si="3"/>
        <v>42589.515393518515</v>
      </c>
    </row>
    <row r="100" spans="1:7" x14ac:dyDescent="0.25">
      <c r="A100" s="8">
        <v>42589.518680555557</v>
      </c>
      <c r="B100" s="24" t="s">
        <v>103</v>
      </c>
      <c r="C100" s="24" t="s">
        <v>424</v>
      </c>
      <c r="D100" s="24">
        <v>2020000</v>
      </c>
      <c r="E100" s="24" t="s">
        <v>208</v>
      </c>
      <c r="F100" s="24" t="str">
        <f t="shared" si="2"/>
        <v>rtdc.l.rtdc.4025:itc</v>
      </c>
      <c r="G100" s="8">
        <f t="shared" si="3"/>
        <v>42589.518680555557</v>
      </c>
    </row>
    <row r="101" spans="1:7" x14ac:dyDescent="0.25">
      <c r="A101" s="8">
        <v>42589.526458333334</v>
      </c>
      <c r="B101" s="24" t="s">
        <v>106</v>
      </c>
      <c r="C101" s="24" t="s">
        <v>316</v>
      </c>
      <c r="D101" s="24">
        <v>2040000</v>
      </c>
      <c r="E101" s="24" t="s">
        <v>200</v>
      </c>
      <c r="F101" s="24" t="str">
        <f t="shared" si="2"/>
        <v>rtdc.l.rtdc.4030:itc</v>
      </c>
      <c r="G101" s="8">
        <f t="shared" si="3"/>
        <v>42589.526458333334</v>
      </c>
    </row>
    <row r="102" spans="1:7" x14ac:dyDescent="0.25">
      <c r="A102" s="8">
        <v>42589.527256944442</v>
      </c>
      <c r="B102" s="24" t="s">
        <v>138</v>
      </c>
      <c r="C102" s="24" t="s">
        <v>314</v>
      </c>
      <c r="D102" s="24">
        <v>1110000</v>
      </c>
      <c r="E102" s="24" t="s">
        <v>112</v>
      </c>
      <c r="F102" s="24" t="str">
        <f t="shared" si="2"/>
        <v>rtdc.l.rtdc.4041:itc</v>
      </c>
      <c r="G102" s="8">
        <f t="shared" si="3"/>
        <v>42589.527256944442</v>
      </c>
    </row>
    <row r="103" spans="1:7" x14ac:dyDescent="0.25">
      <c r="A103" s="8">
        <v>42589.527268518519</v>
      </c>
      <c r="B103" s="24" t="s">
        <v>129</v>
      </c>
      <c r="C103" s="24" t="s">
        <v>315</v>
      </c>
      <c r="D103" s="24">
        <v>880000</v>
      </c>
      <c r="E103" s="24" t="s">
        <v>153</v>
      </c>
      <c r="F103" s="24" t="str">
        <f t="shared" si="2"/>
        <v>rtdc.l.rtdc.4016:itc</v>
      </c>
      <c r="G103" s="8">
        <f t="shared" si="3"/>
        <v>42589.527268518519</v>
      </c>
    </row>
    <row r="104" spans="1:7" x14ac:dyDescent="0.25">
      <c r="A104" s="8">
        <v>42589.533356481479</v>
      </c>
      <c r="B104" s="24" t="s">
        <v>157</v>
      </c>
      <c r="C104" s="24" t="s">
        <v>317</v>
      </c>
      <c r="D104" s="24">
        <v>1140000</v>
      </c>
      <c r="E104" s="24" t="s">
        <v>151</v>
      </c>
      <c r="F104" s="24" t="str">
        <f t="shared" si="2"/>
        <v>rtdc.l.rtdc.4037:itc</v>
      </c>
      <c r="G104" s="8">
        <f t="shared" si="3"/>
        <v>42589.533356481479</v>
      </c>
    </row>
    <row r="105" spans="1:7" x14ac:dyDescent="0.25">
      <c r="A105" s="8">
        <v>42589.538298611114</v>
      </c>
      <c r="B105" s="24" t="s">
        <v>188</v>
      </c>
      <c r="C105" s="24" t="s">
        <v>428</v>
      </c>
      <c r="D105" s="24">
        <v>1280000</v>
      </c>
      <c r="E105" s="24" t="s">
        <v>155</v>
      </c>
      <c r="F105" s="24" t="str">
        <f t="shared" si="2"/>
        <v>rtdc.l.rtdc.4044:itc</v>
      </c>
      <c r="G105" s="8">
        <f t="shared" si="3"/>
        <v>42589.538298611114</v>
      </c>
    </row>
    <row r="106" spans="1:7" x14ac:dyDescent="0.25">
      <c r="A106" s="8">
        <v>42589.544976851852</v>
      </c>
      <c r="B106" s="24" t="s">
        <v>109</v>
      </c>
      <c r="C106" s="24" t="s">
        <v>318</v>
      </c>
      <c r="D106" s="24">
        <v>1520000</v>
      </c>
      <c r="E106" s="24" t="s">
        <v>150</v>
      </c>
      <c r="F106" s="24" t="str">
        <f t="shared" si="2"/>
        <v>rtdc.l.rtdc.4008:itc</v>
      </c>
      <c r="G106" s="8">
        <f t="shared" si="3"/>
        <v>42589.544976851852</v>
      </c>
    </row>
    <row r="107" spans="1:7" x14ac:dyDescent="0.25">
      <c r="A107" s="8">
        <v>42589.549560185187</v>
      </c>
      <c r="B107" s="24" t="s">
        <v>68</v>
      </c>
      <c r="C107" s="24" t="s">
        <v>429</v>
      </c>
      <c r="D107" s="24">
        <v>1780000</v>
      </c>
      <c r="E107" s="24" t="s">
        <v>163</v>
      </c>
      <c r="F107" s="24" t="str">
        <f t="shared" si="2"/>
        <v>rtdc.l.rtdc.4018:itc</v>
      </c>
      <c r="G107" s="8">
        <f t="shared" si="3"/>
        <v>42589.549560185187</v>
      </c>
    </row>
    <row r="108" spans="1:7" x14ac:dyDescent="0.25">
      <c r="A108" s="8">
        <v>42589.552743055552</v>
      </c>
      <c r="B108" s="24" t="s">
        <v>75</v>
      </c>
      <c r="C108" s="24" t="s">
        <v>464</v>
      </c>
      <c r="D108" s="24">
        <v>1110000</v>
      </c>
      <c r="E108" s="24" t="s">
        <v>112</v>
      </c>
      <c r="F108" s="24" t="str">
        <f t="shared" si="2"/>
        <v>rtdc.l.rtdc.4042:itc</v>
      </c>
      <c r="G108" s="8">
        <f t="shared" si="3"/>
        <v>42589.552743055552</v>
      </c>
    </row>
    <row r="109" spans="1:7" x14ac:dyDescent="0.25">
      <c r="A109" s="8">
        <v>42589.555752314816</v>
      </c>
      <c r="B109" s="24" t="s">
        <v>101</v>
      </c>
      <c r="C109" s="24" t="s">
        <v>425</v>
      </c>
      <c r="D109" s="24">
        <v>2020000</v>
      </c>
      <c r="E109" s="24" t="s">
        <v>208</v>
      </c>
      <c r="F109" s="24" t="str">
        <f t="shared" si="2"/>
        <v>rtdc.l.rtdc.4026:itc</v>
      </c>
      <c r="G109" s="8">
        <f t="shared" si="3"/>
        <v>42589.555752314816</v>
      </c>
    </row>
    <row r="110" spans="1:7" x14ac:dyDescent="0.25">
      <c r="A110" s="8">
        <v>42589.559571759259</v>
      </c>
      <c r="B110" s="24" t="s">
        <v>105</v>
      </c>
      <c r="C110" s="24" t="s">
        <v>431</v>
      </c>
      <c r="D110" s="24">
        <v>2040000</v>
      </c>
      <c r="E110" s="24" t="s">
        <v>200</v>
      </c>
      <c r="F110" s="24" t="str">
        <f t="shared" si="2"/>
        <v>rtdc.l.rtdc.4029:itc</v>
      </c>
      <c r="G110" s="8">
        <f t="shared" si="3"/>
        <v>42589.559571759259</v>
      </c>
    </row>
    <row r="111" spans="1:7" x14ac:dyDescent="0.25">
      <c r="A111" s="8">
        <v>42589.567118055558</v>
      </c>
      <c r="B111" s="24" t="s">
        <v>105</v>
      </c>
      <c r="C111" s="24" t="s">
        <v>431</v>
      </c>
      <c r="D111" s="24">
        <v>2040000</v>
      </c>
      <c r="E111" s="24" t="s">
        <v>200</v>
      </c>
      <c r="F111" s="24" t="str">
        <f t="shared" si="2"/>
        <v>rtdc.l.rtdc.4029:itc</v>
      </c>
      <c r="G111" s="8">
        <f t="shared" si="3"/>
        <v>42589.567118055558</v>
      </c>
    </row>
    <row r="112" spans="1:7" x14ac:dyDescent="0.25">
      <c r="A112" s="8">
        <v>42589.567326388889</v>
      </c>
      <c r="B112" s="24" t="s">
        <v>128</v>
      </c>
      <c r="C112" s="24" t="s">
        <v>427</v>
      </c>
      <c r="D112" s="24">
        <v>880000</v>
      </c>
      <c r="E112" s="24" t="s">
        <v>153</v>
      </c>
      <c r="F112" s="24" t="str">
        <f t="shared" si="2"/>
        <v>rtdc.l.rtdc.4015:itc</v>
      </c>
      <c r="G112" s="8">
        <f t="shared" si="3"/>
        <v>42589.567326388889</v>
      </c>
    </row>
    <row r="113" spans="1:7" x14ac:dyDescent="0.25">
      <c r="A113" s="8">
        <v>42589.568148148152</v>
      </c>
      <c r="B113" s="24" t="s">
        <v>138</v>
      </c>
      <c r="C113" s="24" t="s">
        <v>466</v>
      </c>
      <c r="D113" s="24">
        <v>1110000</v>
      </c>
      <c r="E113" s="24" t="s">
        <v>112</v>
      </c>
      <c r="F113" s="24" t="str">
        <f t="shared" si="2"/>
        <v>rtdc.l.rtdc.4041:itc</v>
      </c>
      <c r="G113" s="8">
        <f t="shared" si="3"/>
        <v>42589.568148148152</v>
      </c>
    </row>
    <row r="114" spans="1:7" x14ac:dyDescent="0.25">
      <c r="A114" s="8">
        <v>42589.570497685185</v>
      </c>
      <c r="B114" s="24" t="s">
        <v>175</v>
      </c>
      <c r="C114" s="24" t="s">
        <v>319</v>
      </c>
      <c r="D114" s="24">
        <v>1280000</v>
      </c>
      <c r="E114" s="24" t="s">
        <v>155</v>
      </c>
      <c r="F114" s="24" t="str">
        <f t="shared" si="2"/>
        <v>rtdc.l.rtdc.4043:itc</v>
      </c>
      <c r="G114" s="8">
        <f t="shared" si="3"/>
        <v>42589.570497685185</v>
      </c>
    </row>
    <row r="115" spans="1:7" x14ac:dyDescent="0.25">
      <c r="A115" s="8">
        <v>42589.572141203702</v>
      </c>
      <c r="B115" s="24" t="s">
        <v>100</v>
      </c>
      <c r="C115" s="24" t="s">
        <v>455</v>
      </c>
      <c r="D115" s="24">
        <v>1140000</v>
      </c>
      <c r="E115" s="24" t="s">
        <v>151</v>
      </c>
      <c r="F115" s="24" t="str">
        <f t="shared" si="2"/>
        <v>rtdc.l.rtdc.4038:itc</v>
      </c>
      <c r="G115" s="8">
        <f t="shared" si="3"/>
        <v>42589.572141203702</v>
      </c>
    </row>
    <row r="116" spans="1:7" x14ac:dyDescent="0.25">
      <c r="A116" s="8">
        <v>42589.583506944444</v>
      </c>
      <c r="B116" s="24" t="s">
        <v>110</v>
      </c>
      <c r="C116" s="24" t="s">
        <v>495</v>
      </c>
      <c r="D116" s="24">
        <v>1520000</v>
      </c>
      <c r="E116" s="24" t="s">
        <v>150</v>
      </c>
      <c r="F116" s="24" t="str">
        <f t="shared" si="2"/>
        <v>rtdc.l.rtdc.4007:itc</v>
      </c>
      <c r="G116" s="8">
        <f t="shared" si="3"/>
        <v>42589.583506944444</v>
      </c>
    </row>
    <row r="117" spans="1:7" x14ac:dyDescent="0.25">
      <c r="A117" s="8">
        <v>42589.587326388886</v>
      </c>
      <c r="B117" s="24" t="s">
        <v>69</v>
      </c>
      <c r="C117" s="24" t="s">
        <v>430</v>
      </c>
      <c r="D117" s="24">
        <v>1780000</v>
      </c>
      <c r="E117" s="24" t="s">
        <v>163</v>
      </c>
      <c r="F117" s="24" t="str">
        <f t="shared" si="2"/>
        <v>rtdc.l.rtdc.4017:itc</v>
      </c>
      <c r="G117" s="8">
        <f t="shared" si="3"/>
        <v>42589.587326388886</v>
      </c>
    </row>
    <row r="118" spans="1:7" x14ac:dyDescent="0.25">
      <c r="A118" s="8">
        <v>42589.587523148148</v>
      </c>
      <c r="B118" s="24" t="s">
        <v>75</v>
      </c>
      <c r="C118" s="24" t="s">
        <v>320</v>
      </c>
      <c r="D118" s="24">
        <v>2000000</v>
      </c>
      <c r="E118" s="24" t="s">
        <v>182</v>
      </c>
      <c r="F118" s="24" t="str">
        <f t="shared" si="2"/>
        <v>rtdc.l.rtdc.4042:itc</v>
      </c>
      <c r="G118" s="8">
        <f t="shared" si="3"/>
        <v>42589.587523148148</v>
      </c>
    </row>
    <row r="119" spans="1:7" x14ac:dyDescent="0.25">
      <c r="A119" s="8">
        <v>42589.58997685185</v>
      </c>
      <c r="B119" s="24" t="s">
        <v>103</v>
      </c>
      <c r="C119" s="24" t="s">
        <v>507</v>
      </c>
      <c r="D119" s="24">
        <v>2020000</v>
      </c>
      <c r="E119" s="24" t="s">
        <v>208</v>
      </c>
      <c r="F119" s="24" t="str">
        <f t="shared" si="2"/>
        <v>rtdc.l.rtdc.4025:itc</v>
      </c>
      <c r="G119" s="8">
        <f t="shared" si="3"/>
        <v>42589.58997685185</v>
      </c>
    </row>
    <row r="120" spans="1:7" x14ac:dyDescent="0.25">
      <c r="A120" s="8">
        <v>42589.598541666666</v>
      </c>
      <c r="B120" s="24" t="s">
        <v>106</v>
      </c>
      <c r="C120" s="24" t="s">
        <v>433</v>
      </c>
      <c r="D120" s="24">
        <v>2040000</v>
      </c>
      <c r="E120" s="24" t="s">
        <v>200</v>
      </c>
      <c r="F120" s="24" t="str">
        <f t="shared" si="2"/>
        <v>rtdc.l.rtdc.4030:itc</v>
      </c>
      <c r="G120" s="8">
        <f t="shared" si="3"/>
        <v>42589.598541666666</v>
      </c>
    </row>
    <row r="121" spans="1:7" x14ac:dyDescent="0.25">
      <c r="A121" s="8">
        <v>42589.601388888892</v>
      </c>
      <c r="B121" s="24" t="s">
        <v>129</v>
      </c>
      <c r="C121" s="24" t="s">
        <v>509</v>
      </c>
      <c r="D121" s="24">
        <v>880000</v>
      </c>
      <c r="E121" s="24" t="s">
        <v>153</v>
      </c>
      <c r="F121" s="24" t="str">
        <f t="shared" si="2"/>
        <v>rtdc.l.rtdc.4016:itc</v>
      </c>
      <c r="G121" s="8">
        <f t="shared" si="3"/>
        <v>42589.601388888892</v>
      </c>
    </row>
    <row r="122" spans="1:7" x14ac:dyDescent="0.25">
      <c r="A122" s="8">
        <v>42589.606249999997</v>
      </c>
      <c r="B122" s="29" t="s">
        <v>157</v>
      </c>
      <c r="C122" s="24" t="s">
        <v>474</v>
      </c>
      <c r="D122" s="24">
        <v>1140000</v>
      </c>
      <c r="E122" s="24" t="s">
        <v>151</v>
      </c>
      <c r="F122" s="24" t="str">
        <f t="shared" si="2"/>
        <v>rtdc.l.rtdc.4037:itc</v>
      </c>
      <c r="G122" s="8">
        <f t="shared" si="3"/>
        <v>42589.606249999997</v>
      </c>
    </row>
    <row r="123" spans="1:7" x14ac:dyDescent="0.25">
      <c r="A123" s="8">
        <v>42589.609930555554</v>
      </c>
      <c r="B123" s="24" t="s">
        <v>138</v>
      </c>
      <c r="C123" s="24" t="s">
        <v>321</v>
      </c>
      <c r="D123" s="24">
        <v>2000000</v>
      </c>
      <c r="E123" s="24" t="s">
        <v>182</v>
      </c>
      <c r="F123" s="24" t="str">
        <f t="shared" si="2"/>
        <v>rtdc.l.rtdc.4041:itc</v>
      </c>
      <c r="G123" s="8">
        <f t="shared" si="3"/>
        <v>42589.609930555554</v>
      </c>
    </row>
    <row r="124" spans="1:7" x14ac:dyDescent="0.25">
      <c r="A124" s="8">
        <v>42589.611643518518</v>
      </c>
      <c r="B124" s="24" t="s">
        <v>188</v>
      </c>
      <c r="C124" s="24" t="s">
        <v>511</v>
      </c>
      <c r="D124" s="24">
        <v>1280000</v>
      </c>
      <c r="E124" s="24" t="s">
        <v>155</v>
      </c>
      <c r="F124" s="24" t="str">
        <f t="shared" si="2"/>
        <v>rtdc.l.rtdc.4044:itc</v>
      </c>
      <c r="G124" s="8">
        <f t="shared" si="3"/>
        <v>42589.611643518518</v>
      </c>
    </row>
    <row r="125" spans="1:7" x14ac:dyDescent="0.25">
      <c r="A125" s="8">
        <v>42589.613182870373</v>
      </c>
      <c r="B125" s="24" t="s">
        <v>109</v>
      </c>
      <c r="C125" s="24" t="s">
        <v>322</v>
      </c>
      <c r="D125" s="24">
        <v>1520000</v>
      </c>
      <c r="E125" s="24" t="s">
        <v>150</v>
      </c>
      <c r="F125" s="24" t="str">
        <f t="shared" si="2"/>
        <v>rtdc.l.rtdc.4008:itc</v>
      </c>
      <c r="G125" s="8">
        <f t="shared" si="3"/>
        <v>42589.613182870373</v>
      </c>
    </row>
    <row r="126" spans="1:7" x14ac:dyDescent="0.25">
      <c r="A126" s="8">
        <v>42589.62332175926</v>
      </c>
      <c r="B126" s="24" t="s">
        <v>68</v>
      </c>
      <c r="C126" s="24" t="s">
        <v>519</v>
      </c>
      <c r="D126" s="24">
        <v>1780000</v>
      </c>
      <c r="E126" s="24" t="s">
        <v>163</v>
      </c>
      <c r="F126" s="24" t="str">
        <f t="shared" si="2"/>
        <v>rtdc.l.rtdc.4018:itc</v>
      </c>
      <c r="G126" s="8">
        <f t="shared" si="3"/>
        <v>42589.62332175926</v>
      </c>
    </row>
    <row r="127" spans="1:7" x14ac:dyDescent="0.25">
      <c r="A127" s="8">
        <v>42589.629606481481</v>
      </c>
      <c r="B127" s="24" t="s">
        <v>101</v>
      </c>
      <c r="C127" s="24" t="s">
        <v>508</v>
      </c>
      <c r="D127" s="24">
        <v>2020000</v>
      </c>
      <c r="E127" s="24" t="s">
        <v>208</v>
      </c>
      <c r="F127" s="24" t="str">
        <f t="shared" si="2"/>
        <v>rtdc.l.rtdc.4026:itc</v>
      </c>
      <c r="G127" s="8">
        <f t="shared" si="3"/>
        <v>42589.629606481481</v>
      </c>
    </row>
    <row r="128" spans="1:7" x14ac:dyDescent="0.25">
      <c r="A128" s="8">
        <v>42589.634120370371</v>
      </c>
      <c r="B128" s="24" t="s">
        <v>105</v>
      </c>
      <c r="C128" s="24" t="s">
        <v>522</v>
      </c>
      <c r="D128" s="24">
        <v>2040000</v>
      </c>
      <c r="E128" s="24" t="s">
        <v>200</v>
      </c>
      <c r="F128" s="24" t="str">
        <f t="shared" si="2"/>
        <v>rtdc.l.rtdc.4029:itc</v>
      </c>
      <c r="G128" s="8">
        <f t="shared" si="3"/>
        <v>42589.634120370371</v>
      </c>
    </row>
    <row r="129" spans="1:7" x14ac:dyDescent="0.25">
      <c r="A129" s="8">
        <v>42589.635081018518</v>
      </c>
      <c r="B129" s="24" t="s">
        <v>105</v>
      </c>
      <c r="C129" s="24" t="s">
        <v>522</v>
      </c>
      <c r="D129" s="24">
        <v>2040000</v>
      </c>
      <c r="E129" s="24" t="s">
        <v>200</v>
      </c>
      <c r="F129" s="24" t="str">
        <f t="shared" si="2"/>
        <v>rtdc.l.rtdc.4029:itc</v>
      </c>
      <c r="G129" s="8">
        <f t="shared" si="3"/>
        <v>42589.635081018518</v>
      </c>
    </row>
    <row r="130" spans="1:7" x14ac:dyDescent="0.25">
      <c r="A130" s="8">
        <v>42589.635972222219</v>
      </c>
      <c r="B130" s="24" t="s">
        <v>75</v>
      </c>
      <c r="C130" s="24" t="s">
        <v>471</v>
      </c>
      <c r="D130" s="24">
        <v>2000000</v>
      </c>
      <c r="E130" s="24" t="s">
        <v>182</v>
      </c>
      <c r="F130" s="24" t="str">
        <f t="shared" ref="F130:F193" si="4">B130</f>
        <v>rtdc.l.rtdc.4042:itc</v>
      </c>
      <c r="G130" s="8">
        <f t="shared" ref="G130:G193" si="5">A130</f>
        <v>42589.635972222219</v>
      </c>
    </row>
    <row r="131" spans="1:7" x14ac:dyDescent="0.25">
      <c r="A131" s="8">
        <v>42589.639641203707</v>
      </c>
      <c r="B131" s="24" t="s">
        <v>128</v>
      </c>
      <c r="C131" s="24" t="s">
        <v>323</v>
      </c>
      <c r="D131" s="24">
        <v>880000</v>
      </c>
      <c r="E131" s="24" t="s">
        <v>153</v>
      </c>
      <c r="F131" s="24" t="str">
        <f t="shared" si="4"/>
        <v>rtdc.l.rtdc.4015:itc</v>
      </c>
      <c r="G131" s="8">
        <f t="shared" si="5"/>
        <v>42589.639641203707</v>
      </c>
    </row>
    <row r="132" spans="1:7" x14ac:dyDescent="0.25">
      <c r="A132" s="8">
        <v>42589.643252314818</v>
      </c>
      <c r="B132" s="24" t="s">
        <v>100</v>
      </c>
      <c r="C132" s="24" t="s">
        <v>526</v>
      </c>
      <c r="D132" s="24">
        <v>1140000</v>
      </c>
      <c r="E132" s="24" t="s">
        <v>151</v>
      </c>
      <c r="F132" s="24" t="str">
        <f t="shared" si="4"/>
        <v>rtdc.l.rtdc.4038:itc</v>
      </c>
      <c r="G132" s="8">
        <f t="shared" si="5"/>
        <v>42589.643252314818</v>
      </c>
    </row>
    <row r="133" spans="1:7" x14ac:dyDescent="0.25">
      <c r="A133" s="8">
        <v>42589.650277777779</v>
      </c>
      <c r="B133" s="24" t="s">
        <v>175</v>
      </c>
      <c r="C133" s="24" t="s">
        <v>512</v>
      </c>
      <c r="D133" s="24">
        <v>1280000</v>
      </c>
      <c r="E133" s="24" t="s">
        <v>155</v>
      </c>
      <c r="F133" s="24" t="str">
        <f t="shared" si="4"/>
        <v>rtdc.l.rtdc.4043:itc</v>
      </c>
      <c r="G133" s="8">
        <f t="shared" si="5"/>
        <v>42589.650277777779</v>
      </c>
    </row>
    <row r="134" spans="1:7" x14ac:dyDescent="0.25">
      <c r="A134" s="8">
        <v>42589.651273148149</v>
      </c>
      <c r="B134" s="24" t="s">
        <v>138</v>
      </c>
      <c r="C134" s="24" t="s">
        <v>324</v>
      </c>
      <c r="D134" s="24">
        <v>2000000</v>
      </c>
      <c r="E134" s="24" t="s">
        <v>182</v>
      </c>
      <c r="F134" s="24" t="str">
        <f t="shared" si="4"/>
        <v>rtdc.l.rtdc.4041:itc</v>
      </c>
      <c r="G134" s="8">
        <f t="shared" si="5"/>
        <v>42589.651273148149</v>
      </c>
    </row>
    <row r="135" spans="1:7" x14ac:dyDescent="0.25">
      <c r="A135" s="8">
        <v>42589.652418981481</v>
      </c>
      <c r="B135" s="24" t="s">
        <v>110</v>
      </c>
      <c r="C135" s="24" t="s">
        <v>325</v>
      </c>
      <c r="D135" s="24">
        <v>1520000</v>
      </c>
      <c r="E135" s="24" t="s">
        <v>150</v>
      </c>
      <c r="F135" s="24" t="str">
        <f t="shared" si="4"/>
        <v>rtdc.l.rtdc.4007:itc</v>
      </c>
      <c r="G135" s="8">
        <f t="shared" si="5"/>
        <v>42589.652418981481</v>
      </c>
    </row>
    <row r="136" spans="1:7" x14ac:dyDescent="0.25">
      <c r="A136" s="8">
        <v>42589.660046296296</v>
      </c>
      <c r="B136" s="24" t="s">
        <v>69</v>
      </c>
      <c r="C136" s="24" t="s">
        <v>520</v>
      </c>
      <c r="D136" s="24">
        <v>1780000</v>
      </c>
      <c r="E136" s="24" t="s">
        <v>163</v>
      </c>
      <c r="F136" s="24" t="str">
        <f t="shared" si="4"/>
        <v>rtdc.l.rtdc.4017:itc</v>
      </c>
      <c r="G136" s="8">
        <f t="shared" si="5"/>
        <v>42589.660046296296</v>
      </c>
    </row>
    <row r="137" spans="1:7" x14ac:dyDescent="0.25">
      <c r="A137" s="8">
        <v>42589.661666666667</v>
      </c>
      <c r="B137" s="24" t="s">
        <v>103</v>
      </c>
      <c r="C137" s="24" t="s">
        <v>530</v>
      </c>
      <c r="D137" s="24">
        <v>2020000</v>
      </c>
      <c r="E137" s="24" t="s">
        <v>208</v>
      </c>
      <c r="F137" s="24" t="str">
        <f t="shared" si="4"/>
        <v>rtdc.l.rtdc.4025:itc</v>
      </c>
      <c r="G137" s="8">
        <f t="shared" si="5"/>
        <v>42589.661666666667</v>
      </c>
    </row>
    <row r="138" spans="1:7" x14ac:dyDescent="0.25">
      <c r="A138" s="8">
        <v>42589.663726851853</v>
      </c>
      <c r="B138" s="24" t="s">
        <v>69</v>
      </c>
      <c r="C138" s="24" t="s">
        <v>520</v>
      </c>
      <c r="D138" s="24">
        <v>1780000</v>
      </c>
      <c r="E138" s="24" t="s">
        <v>163</v>
      </c>
      <c r="F138" s="24" t="str">
        <f t="shared" si="4"/>
        <v>rtdc.l.rtdc.4017:itc</v>
      </c>
      <c r="G138" s="8">
        <f t="shared" si="5"/>
        <v>42589.663726851853</v>
      </c>
    </row>
    <row r="139" spans="1:7" x14ac:dyDescent="0.25">
      <c r="A139" s="8">
        <v>42589.67082175926</v>
      </c>
      <c r="B139" s="24" t="s">
        <v>106</v>
      </c>
      <c r="C139" s="24" t="s">
        <v>523</v>
      </c>
      <c r="D139" s="24">
        <v>2040000</v>
      </c>
      <c r="E139" s="24" t="s">
        <v>200</v>
      </c>
      <c r="F139" s="24" t="str">
        <f t="shared" si="4"/>
        <v>rtdc.l.rtdc.4030:itc</v>
      </c>
      <c r="G139" s="8">
        <f t="shared" si="5"/>
        <v>42589.67082175926</v>
      </c>
    </row>
    <row r="140" spans="1:7" x14ac:dyDescent="0.25">
      <c r="A140" s="8">
        <v>42589.675937499997</v>
      </c>
      <c r="B140" s="24" t="s">
        <v>129</v>
      </c>
      <c r="C140" s="24" t="s">
        <v>534</v>
      </c>
      <c r="D140" s="24">
        <v>880000</v>
      </c>
      <c r="E140" s="24" t="s">
        <v>153</v>
      </c>
      <c r="F140" s="24" t="str">
        <f t="shared" si="4"/>
        <v>rtdc.l.rtdc.4016:itc</v>
      </c>
      <c r="G140" s="8">
        <f t="shared" si="5"/>
        <v>42589.675937499997</v>
      </c>
    </row>
    <row r="141" spans="1:7" x14ac:dyDescent="0.25">
      <c r="A141" s="8">
        <v>42589.680717592593</v>
      </c>
      <c r="B141" s="24" t="s">
        <v>107</v>
      </c>
      <c r="C141" s="24" t="s">
        <v>477</v>
      </c>
      <c r="D141" s="24">
        <v>2000000</v>
      </c>
      <c r="E141" s="24" t="s">
        <v>182</v>
      </c>
      <c r="F141" s="24" t="str">
        <f t="shared" si="4"/>
        <v>rtdc.l.rtdc.4027:itc</v>
      </c>
      <c r="G141" s="8">
        <f t="shared" si="5"/>
        <v>42589.680717592593</v>
      </c>
    </row>
    <row r="142" spans="1:7" x14ac:dyDescent="0.25">
      <c r="A142" s="8">
        <v>42589.681828703702</v>
      </c>
      <c r="B142" s="24" t="s">
        <v>157</v>
      </c>
      <c r="C142" s="24" t="s">
        <v>528</v>
      </c>
      <c r="D142" s="24">
        <v>1140000</v>
      </c>
      <c r="E142" s="24" t="s">
        <v>151</v>
      </c>
      <c r="F142" s="24" t="str">
        <f t="shared" si="4"/>
        <v>rtdc.l.rtdc.4037:itc</v>
      </c>
      <c r="G142" s="8">
        <f t="shared" si="5"/>
        <v>42589.681828703702</v>
      </c>
    </row>
    <row r="143" spans="1:7" x14ac:dyDescent="0.25">
      <c r="A143" s="8">
        <v>42589.683078703703</v>
      </c>
      <c r="B143" s="24" t="s">
        <v>188</v>
      </c>
      <c r="C143" s="24" t="s">
        <v>537</v>
      </c>
      <c r="D143" s="24">
        <v>1280000</v>
      </c>
      <c r="E143" s="24" t="s">
        <v>155</v>
      </c>
      <c r="F143" s="24" t="str">
        <f t="shared" si="4"/>
        <v>rtdc.l.rtdc.4044:itc</v>
      </c>
      <c r="G143" s="8">
        <f t="shared" si="5"/>
        <v>42589.683078703703</v>
      </c>
    </row>
    <row r="144" spans="1:7" x14ac:dyDescent="0.25">
      <c r="A144" s="8">
        <v>42589.688599537039</v>
      </c>
      <c r="B144" s="24" t="s">
        <v>109</v>
      </c>
      <c r="C144" s="24" t="s">
        <v>529</v>
      </c>
      <c r="D144" s="24">
        <v>1520000</v>
      </c>
      <c r="E144" s="24" t="s">
        <v>150</v>
      </c>
      <c r="F144" s="24" t="str">
        <f t="shared" si="4"/>
        <v>rtdc.l.rtdc.4008:itc</v>
      </c>
      <c r="G144" s="8">
        <f t="shared" si="5"/>
        <v>42589.688599537039</v>
      </c>
    </row>
    <row r="145" spans="1:7" x14ac:dyDescent="0.25">
      <c r="A145" s="8">
        <v>42589.693460648145</v>
      </c>
      <c r="B145" s="24" t="s">
        <v>104</v>
      </c>
      <c r="C145" s="24" t="s">
        <v>326</v>
      </c>
      <c r="D145" s="24">
        <v>2000000</v>
      </c>
      <c r="E145" s="24" t="s">
        <v>182</v>
      </c>
      <c r="F145" s="24" t="str">
        <f t="shared" si="4"/>
        <v>rtdc.l.rtdc.4028:itc</v>
      </c>
      <c r="G145" s="8">
        <f t="shared" si="5"/>
        <v>42589.693460648145</v>
      </c>
    </row>
    <row r="146" spans="1:7" x14ac:dyDescent="0.25">
      <c r="A146" s="8">
        <v>42589.701574074075</v>
      </c>
      <c r="B146" s="24" t="s">
        <v>67</v>
      </c>
      <c r="C146" s="24" t="s">
        <v>539</v>
      </c>
      <c r="D146" s="24">
        <v>1780000</v>
      </c>
      <c r="E146" s="24" t="s">
        <v>163</v>
      </c>
      <c r="F146" s="24" t="str">
        <f t="shared" si="4"/>
        <v>rtdc.l.rtdc.4020:itc</v>
      </c>
      <c r="G146" s="8">
        <f t="shared" si="5"/>
        <v>42589.701574074075</v>
      </c>
    </row>
    <row r="147" spans="1:7" x14ac:dyDescent="0.25">
      <c r="A147" s="8">
        <v>42589.701782407406</v>
      </c>
      <c r="B147" s="24" t="s">
        <v>101</v>
      </c>
      <c r="C147" s="24" t="s">
        <v>531</v>
      </c>
      <c r="D147" s="24">
        <v>2020000</v>
      </c>
      <c r="E147" s="24" t="s">
        <v>208</v>
      </c>
      <c r="F147" s="24" t="str">
        <f t="shared" si="4"/>
        <v>rtdc.l.rtdc.4026:itc</v>
      </c>
      <c r="G147" s="8">
        <f t="shared" si="5"/>
        <v>42589.701782407406</v>
      </c>
    </row>
    <row r="148" spans="1:7" x14ac:dyDescent="0.25">
      <c r="A148" s="8">
        <v>42589.70616898148</v>
      </c>
      <c r="B148" s="24" t="s">
        <v>105</v>
      </c>
      <c r="C148" s="24" t="s">
        <v>541</v>
      </c>
      <c r="D148" s="24">
        <v>2040000</v>
      </c>
      <c r="E148" s="24" t="s">
        <v>200</v>
      </c>
      <c r="F148" s="24" t="str">
        <f t="shared" si="4"/>
        <v>rtdc.l.rtdc.4029:itc</v>
      </c>
      <c r="G148" s="8">
        <f t="shared" si="5"/>
        <v>42589.70616898148</v>
      </c>
    </row>
    <row r="149" spans="1:7" x14ac:dyDescent="0.25">
      <c r="A149" s="8">
        <v>42589.713287037041</v>
      </c>
      <c r="B149" s="24" t="s">
        <v>128</v>
      </c>
      <c r="C149" s="24" t="s">
        <v>535</v>
      </c>
      <c r="D149" s="24">
        <v>880000</v>
      </c>
      <c r="E149" s="24" t="s">
        <v>153</v>
      </c>
      <c r="F149" s="24" t="str">
        <f t="shared" si="4"/>
        <v>rtdc.l.rtdc.4015:itc</v>
      </c>
      <c r="G149" s="8">
        <f t="shared" si="5"/>
        <v>42589.713287037041</v>
      </c>
    </row>
    <row r="150" spans="1:7" x14ac:dyDescent="0.25">
      <c r="A150" s="8">
        <v>42589.716689814813</v>
      </c>
      <c r="B150" s="24" t="s">
        <v>100</v>
      </c>
      <c r="C150" s="24" t="s">
        <v>544</v>
      </c>
      <c r="D150" s="24">
        <v>1180000</v>
      </c>
      <c r="E150" s="24" t="s">
        <v>159</v>
      </c>
      <c r="F150" s="24" t="str">
        <f t="shared" si="4"/>
        <v>rtdc.l.rtdc.4038:itc</v>
      </c>
      <c r="G150" s="8">
        <f t="shared" si="5"/>
        <v>42589.716689814813</v>
      </c>
    </row>
    <row r="151" spans="1:7" x14ac:dyDescent="0.25">
      <c r="A151" s="8">
        <v>42589.71670138889</v>
      </c>
      <c r="B151" s="24" t="s">
        <v>175</v>
      </c>
      <c r="C151" s="24" t="s">
        <v>331</v>
      </c>
      <c r="D151" s="24">
        <v>1280000</v>
      </c>
      <c r="E151" s="24" t="s">
        <v>155</v>
      </c>
      <c r="F151" s="24" t="str">
        <f t="shared" si="4"/>
        <v>rtdc.l.rtdc.4043:itc</v>
      </c>
      <c r="G151" s="8">
        <f t="shared" si="5"/>
        <v>42589.71670138889</v>
      </c>
    </row>
    <row r="152" spans="1:7" x14ac:dyDescent="0.25">
      <c r="A152" s="8">
        <v>42589.718391203707</v>
      </c>
      <c r="B152" s="24" t="s">
        <v>107</v>
      </c>
      <c r="C152" s="24" t="s">
        <v>327</v>
      </c>
      <c r="D152" s="24">
        <v>2000000</v>
      </c>
      <c r="E152" s="24" t="s">
        <v>182</v>
      </c>
      <c r="F152" s="24" t="str">
        <f t="shared" si="4"/>
        <v>rtdc.l.rtdc.4027:itc</v>
      </c>
      <c r="G152" s="8">
        <f t="shared" si="5"/>
        <v>42589.718391203707</v>
      </c>
    </row>
    <row r="153" spans="1:7" x14ac:dyDescent="0.25">
      <c r="A153" s="8">
        <v>42589.725775462961</v>
      </c>
      <c r="B153" s="24" t="s">
        <v>110</v>
      </c>
      <c r="C153" s="24" t="s">
        <v>328</v>
      </c>
      <c r="D153" s="24">
        <v>1140000</v>
      </c>
      <c r="E153" s="24" t="s">
        <v>151</v>
      </c>
      <c r="F153" s="24" t="str">
        <f t="shared" si="4"/>
        <v>rtdc.l.rtdc.4007:itc</v>
      </c>
      <c r="G153" s="8">
        <f t="shared" si="5"/>
        <v>42589.725775462961</v>
      </c>
    </row>
    <row r="154" spans="1:7" x14ac:dyDescent="0.25">
      <c r="A154" s="8">
        <v>42589.734282407408</v>
      </c>
      <c r="B154" s="24" t="s">
        <v>103</v>
      </c>
      <c r="C154" s="24" t="s">
        <v>548</v>
      </c>
      <c r="D154" s="24">
        <v>1290000</v>
      </c>
      <c r="E154" s="24" t="s">
        <v>141</v>
      </c>
      <c r="F154" s="24" t="str">
        <f t="shared" si="4"/>
        <v>rtdc.l.rtdc.4025:itc</v>
      </c>
      <c r="G154" s="8">
        <f t="shared" si="5"/>
        <v>42589.734282407408</v>
      </c>
    </row>
    <row r="155" spans="1:7" x14ac:dyDescent="0.25">
      <c r="A155" s="8">
        <v>42589.734317129631</v>
      </c>
      <c r="B155" s="24" t="s">
        <v>66</v>
      </c>
      <c r="C155" s="24" t="s">
        <v>330</v>
      </c>
      <c r="D155" s="24">
        <v>1780000</v>
      </c>
      <c r="E155" s="24" t="s">
        <v>163</v>
      </c>
      <c r="F155" s="24" t="str">
        <f t="shared" si="4"/>
        <v>rtdc.l.rtdc.4019:itc</v>
      </c>
      <c r="G155" s="8">
        <f t="shared" si="5"/>
        <v>42589.734317129631</v>
      </c>
    </row>
    <row r="156" spans="1:7" x14ac:dyDescent="0.25">
      <c r="A156" s="8">
        <v>42589.735543981478</v>
      </c>
      <c r="B156" s="24" t="s">
        <v>104</v>
      </c>
      <c r="C156" s="24" t="s">
        <v>329</v>
      </c>
      <c r="D156" s="24">
        <v>2000000</v>
      </c>
      <c r="E156" s="24" t="s">
        <v>182</v>
      </c>
      <c r="F156" s="24" t="str">
        <f t="shared" si="4"/>
        <v>rtdc.l.rtdc.4028:itc</v>
      </c>
      <c r="G156" s="8">
        <f t="shared" si="5"/>
        <v>42589.735543981478</v>
      </c>
    </row>
    <row r="157" spans="1:7" x14ac:dyDescent="0.25">
      <c r="A157" s="8">
        <v>42589.743391203701</v>
      </c>
      <c r="B157" s="24" t="s">
        <v>106</v>
      </c>
      <c r="C157" s="24" t="s">
        <v>542</v>
      </c>
      <c r="D157" s="24">
        <v>2040000</v>
      </c>
      <c r="E157" s="24" t="s">
        <v>200</v>
      </c>
      <c r="F157" s="24" t="str">
        <f t="shared" si="4"/>
        <v>rtdc.l.rtdc.4030:itc</v>
      </c>
      <c r="G157" s="8">
        <f t="shared" si="5"/>
        <v>42589.743391203701</v>
      </c>
    </row>
    <row r="158" spans="1:7" x14ac:dyDescent="0.25">
      <c r="A158" s="8">
        <v>42589.748379629629</v>
      </c>
      <c r="B158" s="24" t="s">
        <v>129</v>
      </c>
      <c r="C158" s="24" t="s">
        <v>332</v>
      </c>
      <c r="D158" s="24">
        <v>2020000</v>
      </c>
      <c r="E158" s="24" t="s">
        <v>208</v>
      </c>
      <c r="F158" s="24" t="str">
        <f t="shared" si="4"/>
        <v>rtdc.l.rtdc.4016:itc</v>
      </c>
      <c r="G158" s="8">
        <f t="shared" si="5"/>
        <v>42589.748379629629</v>
      </c>
    </row>
    <row r="159" spans="1:7" x14ac:dyDescent="0.25">
      <c r="A159" s="8">
        <v>42589.752789351849</v>
      </c>
      <c r="B159" s="24" t="s">
        <v>157</v>
      </c>
      <c r="C159" s="24" t="s">
        <v>545</v>
      </c>
      <c r="D159" s="24">
        <v>1180000</v>
      </c>
      <c r="E159" s="24" t="s">
        <v>159</v>
      </c>
      <c r="F159" s="24" t="str">
        <f t="shared" si="4"/>
        <v>rtdc.l.rtdc.4037:itc</v>
      </c>
      <c r="G159" s="8">
        <f t="shared" si="5"/>
        <v>42589.752789351849</v>
      </c>
    </row>
    <row r="160" spans="1:7" x14ac:dyDescent="0.25">
      <c r="A160" s="8">
        <v>42589.758946759262</v>
      </c>
      <c r="B160" s="24" t="s">
        <v>188</v>
      </c>
      <c r="C160" s="24" t="s">
        <v>551</v>
      </c>
      <c r="D160" s="24">
        <v>1810000</v>
      </c>
      <c r="E160" s="24" t="s">
        <v>152</v>
      </c>
      <c r="F160" s="24" t="str">
        <f t="shared" si="4"/>
        <v>rtdc.l.rtdc.4044:itc</v>
      </c>
      <c r="G160" s="8">
        <f t="shared" si="5"/>
        <v>42589.758946759262</v>
      </c>
    </row>
    <row r="161" spans="1:7" x14ac:dyDescent="0.25">
      <c r="A161" s="8">
        <v>42589.759606481479</v>
      </c>
      <c r="B161" s="24" t="s">
        <v>107</v>
      </c>
      <c r="C161" s="24" t="s">
        <v>333</v>
      </c>
      <c r="D161" s="24">
        <v>2000000</v>
      </c>
      <c r="E161" s="24" t="s">
        <v>182</v>
      </c>
      <c r="F161" s="24" t="str">
        <f t="shared" si="4"/>
        <v>rtdc.l.rtdc.4027:itc</v>
      </c>
      <c r="G161" s="8">
        <f t="shared" si="5"/>
        <v>42589.759606481479</v>
      </c>
    </row>
    <row r="162" spans="1:7" x14ac:dyDescent="0.25">
      <c r="A162" s="8">
        <v>42589.766018518516</v>
      </c>
      <c r="B162" s="24" t="s">
        <v>109</v>
      </c>
      <c r="C162" s="24" t="s">
        <v>547</v>
      </c>
      <c r="D162" s="24">
        <v>1140000</v>
      </c>
      <c r="E162" s="24" t="s">
        <v>151</v>
      </c>
      <c r="F162" s="24" t="str">
        <f t="shared" si="4"/>
        <v>rtdc.l.rtdc.4008:itc</v>
      </c>
      <c r="G162" s="8">
        <f t="shared" si="5"/>
        <v>42589.766018518516</v>
      </c>
    </row>
    <row r="163" spans="1:7" x14ac:dyDescent="0.25">
      <c r="A163" s="8">
        <v>42589.770173611112</v>
      </c>
      <c r="B163" s="24" t="s">
        <v>68</v>
      </c>
      <c r="C163" s="24" t="s">
        <v>334</v>
      </c>
      <c r="D163" s="24">
        <v>1800000</v>
      </c>
      <c r="E163" s="24" t="s">
        <v>154</v>
      </c>
      <c r="F163" s="24" t="str">
        <f t="shared" si="4"/>
        <v>rtdc.l.rtdc.4018:itc</v>
      </c>
      <c r="G163" s="8">
        <f t="shared" si="5"/>
        <v>42589.770173611112</v>
      </c>
    </row>
    <row r="164" spans="1:7" x14ac:dyDescent="0.25">
      <c r="A164" s="8">
        <v>42589.77579861111</v>
      </c>
      <c r="B164" s="24" t="s">
        <v>101</v>
      </c>
      <c r="C164" s="24" t="s">
        <v>549</v>
      </c>
      <c r="D164" s="24">
        <v>1290000</v>
      </c>
      <c r="E164" s="24" t="s">
        <v>141</v>
      </c>
      <c r="F164" s="24" t="str">
        <f t="shared" si="4"/>
        <v>rtdc.l.rtdc.4026:itc</v>
      </c>
      <c r="G164" s="8">
        <f t="shared" si="5"/>
        <v>42589.77579861111</v>
      </c>
    </row>
    <row r="165" spans="1:7" x14ac:dyDescent="0.25">
      <c r="A165" s="8">
        <v>42589.776608796295</v>
      </c>
      <c r="B165" s="24" t="s">
        <v>104</v>
      </c>
      <c r="C165" s="24" t="s">
        <v>484</v>
      </c>
      <c r="D165" s="24">
        <v>2000000</v>
      </c>
      <c r="E165" s="24" t="s">
        <v>182</v>
      </c>
      <c r="F165" s="24" t="str">
        <f t="shared" si="4"/>
        <v>rtdc.l.rtdc.4028:itc</v>
      </c>
      <c r="G165" s="8">
        <f t="shared" si="5"/>
        <v>42589.776608796295</v>
      </c>
    </row>
    <row r="166" spans="1:7" x14ac:dyDescent="0.25">
      <c r="A166" s="8">
        <v>42589.784004629626</v>
      </c>
      <c r="B166" s="24" t="s">
        <v>128</v>
      </c>
      <c r="C166" s="24" t="s">
        <v>550</v>
      </c>
      <c r="D166" s="24">
        <v>2020000</v>
      </c>
      <c r="E166" s="24" t="s">
        <v>208</v>
      </c>
      <c r="F166" s="24" t="str">
        <f t="shared" si="4"/>
        <v>rtdc.l.rtdc.4015:itc</v>
      </c>
      <c r="G166" s="8">
        <f t="shared" si="5"/>
        <v>42589.784004629626</v>
      </c>
    </row>
    <row r="167" spans="1:7" x14ac:dyDescent="0.25">
      <c r="A167" s="8">
        <v>42589.78429398148</v>
      </c>
      <c r="B167" s="24" t="s">
        <v>105</v>
      </c>
      <c r="C167" s="24" t="s">
        <v>586</v>
      </c>
      <c r="D167" s="24">
        <v>2040000</v>
      </c>
      <c r="E167" s="24" t="s">
        <v>200</v>
      </c>
      <c r="F167" s="24" t="str">
        <f t="shared" si="4"/>
        <v>rtdc.l.rtdc.4029:itc</v>
      </c>
      <c r="G167" s="8">
        <f t="shared" si="5"/>
        <v>42589.78429398148</v>
      </c>
    </row>
    <row r="168" spans="1:7" x14ac:dyDescent="0.25">
      <c r="A168" s="8">
        <v>42589.788043981483</v>
      </c>
      <c r="B168" s="24" t="s">
        <v>100</v>
      </c>
      <c r="C168" s="24" t="s">
        <v>557</v>
      </c>
      <c r="D168" s="24">
        <v>1180000</v>
      </c>
      <c r="E168" s="24" t="s">
        <v>159</v>
      </c>
      <c r="F168" s="24" t="str">
        <f t="shared" si="4"/>
        <v>rtdc.l.rtdc.4038:itc</v>
      </c>
      <c r="G168" s="8">
        <f t="shared" si="5"/>
        <v>42589.788043981483</v>
      </c>
    </row>
    <row r="169" spans="1:7" x14ac:dyDescent="0.25">
      <c r="A169" s="8">
        <v>42589.795856481483</v>
      </c>
      <c r="B169" s="24" t="s">
        <v>175</v>
      </c>
      <c r="C169" s="24" t="s">
        <v>553</v>
      </c>
      <c r="D169" s="24">
        <v>1810000</v>
      </c>
      <c r="E169" s="24" t="s">
        <v>152</v>
      </c>
      <c r="F169" s="24" t="str">
        <f t="shared" si="4"/>
        <v>rtdc.l.rtdc.4043:itc</v>
      </c>
      <c r="G169" s="8">
        <f t="shared" si="5"/>
        <v>42589.795856481483</v>
      </c>
    </row>
    <row r="170" spans="1:7" x14ac:dyDescent="0.25">
      <c r="A170" s="8">
        <v>42589.80263888889</v>
      </c>
      <c r="B170" s="24" t="s">
        <v>107</v>
      </c>
      <c r="C170" s="24" t="s">
        <v>487</v>
      </c>
      <c r="D170" s="24">
        <v>2000000</v>
      </c>
      <c r="E170" s="24" t="s">
        <v>182</v>
      </c>
      <c r="F170" s="24" t="str">
        <f t="shared" si="4"/>
        <v>rtdc.l.rtdc.4027:itc</v>
      </c>
      <c r="G170" s="8">
        <f t="shared" si="5"/>
        <v>42589.80263888889</v>
      </c>
    </row>
    <row r="171" spans="1:7" x14ac:dyDescent="0.25">
      <c r="A171" s="8">
        <v>42589.80740740741</v>
      </c>
      <c r="B171" s="24" t="s">
        <v>69</v>
      </c>
      <c r="C171" s="24" t="s">
        <v>336</v>
      </c>
      <c r="D171" s="24">
        <v>1800000</v>
      </c>
      <c r="E171" s="24" t="s">
        <v>154</v>
      </c>
      <c r="F171" s="24" t="str">
        <f t="shared" si="4"/>
        <v>rtdc.l.rtdc.4017:itc</v>
      </c>
      <c r="G171" s="8">
        <f t="shared" si="5"/>
        <v>42589.80740740741</v>
      </c>
    </row>
    <row r="172" spans="1:7" x14ac:dyDescent="0.25">
      <c r="A172" s="8">
        <v>42589.808530092596</v>
      </c>
      <c r="B172" s="24" t="s">
        <v>103</v>
      </c>
      <c r="C172" s="24" t="s">
        <v>559</v>
      </c>
      <c r="D172" s="24">
        <v>1290000</v>
      </c>
      <c r="E172" s="24" t="s">
        <v>141</v>
      </c>
      <c r="F172" s="24" t="str">
        <f t="shared" si="4"/>
        <v>rtdc.l.rtdc.4025:itc</v>
      </c>
      <c r="G172" s="8">
        <f t="shared" si="5"/>
        <v>42589.808530092596</v>
      </c>
    </row>
    <row r="173" spans="1:7" x14ac:dyDescent="0.25">
      <c r="A173" s="8">
        <v>42589.819571759261</v>
      </c>
      <c r="B173" s="24" t="s">
        <v>104</v>
      </c>
      <c r="C173" s="24" t="s">
        <v>335</v>
      </c>
      <c r="D173" s="24">
        <v>2000000</v>
      </c>
      <c r="E173" s="24" t="s">
        <v>182</v>
      </c>
      <c r="F173" s="24" t="str">
        <f t="shared" si="4"/>
        <v>rtdc.l.rtdc.4028:itc</v>
      </c>
      <c r="G173" s="8">
        <f t="shared" si="5"/>
        <v>42589.819571759261</v>
      </c>
    </row>
    <row r="174" spans="1:7" x14ac:dyDescent="0.25">
      <c r="A174" s="8">
        <v>42589.825185185182</v>
      </c>
      <c r="B174" s="24" t="s">
        <v>157</v>
      </c>
      <c r="C174" s="24" t="s">
        <v>558</v>
      </c>
      <c r="D174" s="24">
        <v>1180000</v>
      </c>
      <c r="E174" s="24" t="s">
        <v>159</v>
      </c>
      <c r="F174" s="24" t="str">
        <f t="shared" si="4"/>
        <v>rtdc.l.rtdc.4037:itc</v>
      </c>
      <c r="G174" s="8">
        <f t="shared" si="5"/>
        <v>42589.825185185182</v>
      </c>
    </row>
    <row r="175" spans="1:7" x14ac:dyDescent="0.25">
      <c r="A175" s="8">
        <v>42589.828738425924</v>
      </c>
      <c r="B175" s="24" t="s">
        <v>188</v>
      </c>
      <c r="C175" s="24" t="s">
        <v>561</v>
      </c>
      <c r="D175" s="24">
        <v>1810000</v>
      </c>
      <c r="E175" s="24" t="s">
        <v>152</v>
      </c>
      <c r="F175" s="24" t="str">
        <f t="shared" si="4"/>
        <v>rtdc.l.rtdc.4044:itc</v>
      </c>
      <c r="G175" s="8">
        <f t="shared" si="5"/>
        <v>42589.828738425924</v>
      </c>
    </row>
    <row r="176" spans="1:7" x14ac:dyDescent="0.25">
      <c r="A176" s="8">
        <v>42589.842534722222</v>
      </c>
      <c r="B176" s="24" t="s">
        <v>107</v>
      </c>
      <c r="C176" s="24" t="s">
        <v>492</v>
      </c>
      <c r="D176" s="24">
        <v>2000000</v>
      </c>
      <c r="E176" s="24" t="s">
        <v>182</v>
      </c>
      <c r="F176" s="24" t="str">
        <f t="shared" si="4"/>
        <v>rtdc.l.rtdc.4027:itc</v>
      </c>
      <c r="G176" s="8">
        <f t="shared" si="5"/>
        <v>42589.842534722222</v>
      </c>
    </row>
    <row r="177" spans="1:7" x14ac:dyDescent="0.25">
      <c r="A177" s="8">
        <v>42589.847534722219</v>
      </c>
      <c r="B177" s="24" t="s">
        <v>101</v>
      </c>
      <c r="C177" s="24" t="s">
        <v>560</v>
      </c>
      <c r="D177" s="24">
        <v>1290000</v>
      </c>
      <c r="E177" s="24" t="s">
        <v>141</v>
      </c>
      <c r="F177" s="24" t="str">
        <f t="shared" si="4"/>
        <v>rtdc.l.rtdc.4026:itc</v>
      </c>
      <c r="G177" s="8">
        <f t="shared" si="5"/>
        <v>42589.847534722219</v>
      </c>
    </row>
    <row r="178" spans="1:7" x14ac:dyDescent="0.25">
      <c r="A178" s="8">
        <v>42589.853668981479</v>
      </c>
      <c r="B178" s="24" t="s">
        <v>68</v>
      </c>
      <c r="C178" s="24" t="s">
        <v>563</v>
      </c>
      <c r="D178" s="24">
        <v>1800000</v>
      </c>
      <c r="E178" s="24" t="s">
        <v>154</v>
      </c>
      <c r="F178" s="24" t="str">
        <f t="shared" si="4"/>
        <v>rtdc.l.rtdc.4018:itc</v>
      </c>
      <c r="G178" s="8">
        <f t="shared" si="5"/>
        <v>42589.853668981479</v>
      </c>
    </row>
    <row r="179" spans="1:7" x14ac:dyDescent="0.25">
      <c r="A179" s="8">
        <v>42589.860659722224</v>
      </c>
      <c r="B179" s="24" t="s">
        <v>175</v>
      </c>
      <c r="C179" s="24" t="s">
        <v>562</v>
      </c>
      <c r="D179" s="24">
        <v>1810000</v>
      </c>
      <c r="E179" s="24" t="s">
        <v>152</v>
      </c>
      <c r="F179" s="24" t="str">
        <f t="shared" si="4"/>
        <v>rtdc.l.rtdc.4043:itc</v>
      </c>
      <c r="G179" s="8">
        <f t="shared" si="5"/>
        <v>42589.860659722224</v>
      </c>
    </row>
    <row r="180" spans="1:7" x14ac:dyDescent="0.25">
      <c r="A180" s="8">
        <v>42589.86215277778</v>
      </c>
      <c r="B180" s="24" t="s">
        <v>104</v>
      </c>
      <c r="C180" s="24" t="s">
        <v>497</v>
      </c>
      <c r="D180" s="24">
        <v>2000000</v>
      </c>
      <c r="E180" s="24" t="s">
        <v>182</v>
      </c>
      <c r="F180" s="24" t="str">
        <f t="shared" si="4"/>
        <v>rtdc.l.rtdc.4028:itc</v>
      </c>
      <c r="G180" s="8">
        <f t="shared" si="5"/>
        <v>42589.86215277778</v>
      </c>
    </row>
    <row r="181" spans="1:7" x14ac:dyDescent="0.25">
      <c r="A181" s="8">
        <v>42589.869328703702</v>
      </c>
      <c r="B181" s="24" t="s">
        <v>100</v>
      </c>
      <c r="C181" s="24" t="s">
        <v>565</v>
      </c>
      <c r="D181" s="24">
        <v>1180000</v>
      </c>
      <c r="E181" s="24" t="s">
        <v>159</v>
      </c>
      <c r="F181" s="24" t="str">
        <f t="shared" si="4"/>
        <v>rtdc.l.rtdc.4038:itc</v>
      </c>
      <c r="G181" s="8">
        <f t="shared" si="5"/>
        <v>42589.869328703702</v>
      </c>
    </row>
    <row r="182" spans="1:7" x14ac:dyDescent="0.25">
      <c r="A182" s="8">
        <v>42589.887766203705</v>
      </c>
      <c r="B182" s="24" t="s">
        <v>107</v>
      </c>
      <c r="C182" s="24" t="s">
        <v>337</v>
      </c>
      <c r="D182" s="24">
        <v>2000000</v>
      </c>
      <c r="E182" s="24" t="s">
        <v>182</v>
      </c>
      <c r="F182" s="24" t="str">
        <f t="shared" si="4"/>
        <v>rtdc.l.rtdc.4027:itc</v>
      </c>
      <c r="G182" s="8">
        <f t="shared" si="5"/>
        <v>42589.887766203705</v>
      </c>
    </row>
    <row r="183" spans="1:7" x14ac:dyDescent="0.25">
      <c r="A183" s="8">
        <v>42589.892395833333</v>
      </c>
      <c r="B183" s="24" t="s">
        <v>69</v>
      </c>
      <c r="C183" s="24" t="s">
        <v>564</v>
      </c>
      <c r="D183" s="24">
        <v>1800000</v>
      </c>
      <c r="E183" s="24" t="s">
        <v>154</v>
      </c>
      <c r="F183" s="24" t="str">
        <f t="shared" si="4"/>
        <v>rtdc.l.rtdc.4017:itc</v>
      </c>
      <c r="G183" s="8">
        <f t="shared" si="5"/>
        <v>42589.892395833333</v>
      </c>
    </row>
    <row r="184" spans="1:7" x14ac:dyDescent="0.25">
      <c r="A184" s="8">
        <v>42589.89335648148</v>
      </c>
      <c r="B184" s="24" t="s">
        <v>103</v>
      </c>
      <c r="C184" s="24" t="s">
        <v>567</v>
      </c>
      <c r="D184" s="24">
        <v>1290000</v>
      </c>
      <c r="E184" s="24" t="s">
        <v>141</v>
      </c>
      <c r="F184" s="24" t="str">
        <f t="shared" si="4"/>
        <v>rtdc.l.rtdc.4025:itc</v>
      </c>
      <c r="G184" s="8">
        <f t="shared" si="5"/>
        <v>42589.89335648148</v>
      </c>
    </row>
    <row r="185" spans="1:7" x14ac:dyDescent="0.25">
      <c r="A185" s="8">
        <v>42589.900868055556</v>
      </c>
      <c r="B185" s="24" t="s">
        <v>104</v>
      </c>
      <c r="C185" s="24" t="s">
        <v>502</v>
      </c>
      <c r="D185" s="24">
        <v>2000000</v>
      </c>
      <c r="E185" s="24" t="s">
        <v>182</v>
      </c>
      <c r="F185" s="24" t="str">
        <f t="shared" si="4"/>
        <v>rtdc.l.rtdc.4028:itc</v>
      </c>
      <c r="G185" s="8">
        <f t="shared" si="5"/>
        <v>42589.900868055556</v>
      </c>
    </row>
    <row r="186" spans="1:7" x14ac:dyDescent="0.25">
      <c r="A186" s="8">
        <v>42589.90121527778</v>
      </c>
      <c r="B186" s="24" t="s">
        <v>188</v>
      </c>
      <c r="C186" s="24" t="s">
        <v>569</v>
      </c>
      <c r="D186" s="24">
        <v>1810000</v>
      </c>
      <c r="E186" s="24" t="s">
        <v>152</v>
      </c>
      <c r="F186" s="24" t="str">
        <f t="shared" si="4"/>
        <v>rtdc.l.rtdc.4044:itc</v>
      </c>
      <c r="G186" s="8">
        <f t="shared" si="5"/>
        <v>42589.90121527778</v>
      </c>
    </row>
    <row r="187" spans="1:7" x14ac:dyDescent="0.25">
      <c r="A187" s="8">
        <v>42589.908425925925</v>
      </c>
      <c r="B187" s="24" t="s">
        <v>157</v>
      </c>
      <c r="C187" s="24" t="s">
        <v>566</v>
      </c>
      <c r="D187" s="24">
        <v>1180000</v>
      </c>
      <c r="E187" s="24" t="s">
        <v>159</v>
      </c>
      <c r="F187" s="24" t="str">
        <f t="shared" si="4"/>
        <v>rtdc.l.rtdc.4037:itc</v>
      </c>
      <c r="G187" s="8">
        <f t="shared" si="5"/>
        <v>42589.908425925925</v>
      </c>
    </row>
    <row r="188" spans="1:7" x14ac:dyDescent="0.25">
      <c r="A188" s="8">
        <v>42589.92895833333</v>
      </c>
      <c r="B188" s="24" t="s">
        <v>107</v>
      </c>
      <c r="C188" s="24" t="s">
        <v>338</v>
      </c>
      <c r="D188" s="24">
        <v>2000000</v>
      </c>
      <c r="E188" s="24" t="s">
        <v>182</v>
      </c>
      <c r="F188" s="24" t="str">
        <f t="shared" si="4"/>
        <v>rtdc.l.rtdc.4027:itc</v>
      </c>
      <c r="G188" s="8">
        <f t="shared" si="5"/>
        <v>42589.92895833333</v>
      </c>
    </row>
    <row r="189" spans="1:7" x14ac:dyDescent="0.25">
      <c r="A189" s="8">
        <v>42589.932430555556</v>
      </c>
      <c r="B189" s="24" t="s">
        <v>101</v>
      </c>
      <c r="C189" s="24" t="s">
        <v>568</v>
      </c>
      <c r="D189" s="24">
        <v>1290000</v>
      </c>
      <c r="E189" s="24" t="s">
        <v>141</v>
      </c>
      <c r="F189" s="24" t="str">
        <f t="shared" si="4"/>
        <v>rtdc.l.rtdc.4026:itc</v>
      </c>
      <c r="G189" s="8">
        <f t="shared" si="5"/>
        <v>42589.932430555556</v>
      </c>
    </row>
    <row r="190" spans="1:7" x14ac:dyDescent="0.25">
      <c r="A190" s="8">
        <v>42589.93644675926</v>
      </c>
      <c r="B190" s="24" t="s">
        <v>68</v>
      </c>
      <c r="C190" s="24" t="s">
        <v>571</v>
      </c>
      <c r="D190" s="24">
        <v>1800000</v>
      </c>
      <c r="E190" s="24" t="s">
        <v>154</v>
      </c>
      <c r="F190" s="24" t="str">
        <f t="shared" si="4"/>
        <v>rtdc.l.rtdc.4018:itc</v>
      </c>
      <c r="G190" s="8">
        <f t="shared" si="5"/>
        <v>42589.93644675926</v>
      </c>
    </row>
    <row r="191" spans="1:7" x14ac:dyDescent="0.25">
      <c r="A191" s="8">
        <v>42589.943240740744</v>
      </c>
      <c r="B191" s="24" t="s">
        <v>104</v>
      </c>
      <c r="C191" s="24" t="s">
        <v>516</v>
      </c>
      <c r="D191" s="24">
        <v>2000000</v>
      </c>
      <c r="E191" s="24" t="s">
        <v>182</v>
      </c>
      <c r="F191" s="24" t="str">
        <f t="shared" si="4"/>
        <v>rtdc.l.rtdc.4028:itc</v>
      </c>
      <c r="G191" s="8">
        <f t="shared" si="5"/>
        <v>42589.943240740744</v>
      </c>
    </row>
    <row r="192" spans="1:7" x14ac:dyDescent="0.25">
      <c r="A192" s="8">
        <v>42589.949386574073</v>
      </c>
      <c r="B192" s="24" t="s">
        <v>175</v>
      </c>
      <c r="C192" s="24" t="s">
        <v>570</v>
      </c>
      <c r="D192" s="24">
        <v>1810000</v>
      </c>
      <c r="E192" s="24" t="s">
        <v>152</v>
      </c>
      <c r="F192" s="24" t="str">
        <f t="shared" si="4"/>
        <v>rtdc.l.rtdc.4043:itc</v>
      </c>
      <c r="G192" s="8">
        <f t="shared" si="5"/>
        <v>42589.949386574073</v>
      </c>
    </row>
    <row r="193" spans="1:7" x14ac:dyDescent="0.25">
      <c r="A193" s="8">
        <v>42589.950462962966</v>
      </c>
      <c r="B193" s="24" t="s">
        <v>107</v>
      </c>
      <c r="C193" s="24" t="s">
        <v>516</v>
      </c>
      <c r="D193" s="24">
        <v>2000000</v>
      </c>
      <c r="E193" s="24" t="s">
        <v>182</v>
      </c>
      <c r="F193" s="24" t="str">
        <f t="shared" si="4"/>
        <v>rtdc.l.rtdc.4027:itc</v>
      </c>
      <c r="G193" s="8">
        <f t="shared" si="5"/>
        <v>42589.950462962966</v>
      </c>
    </row>
    <row r="194" spans="1:7" x14ac:dyDescent="0.25">
      <c r="A194" s="8">
        <v>42589.95108796296</v>
      </c>
      <c r="B194" s="24" t="s">
        <v>100</v>
      </c>
      <c r="C194" s="24" t="s">
        <v>573</v>
      </c>
      <c r="D194" s="24">
        <v>1180000</v>
      </c>
      <c r="E194" s="24" t="s">
        <v>159</v>
      </c>
      <c r="F194" s="24" t="str">
        <f t="shared" ref="F194:F235" si="6">B194</f>
        <v>rtdc.l.rtdc.4038:itc</v>
      </c>
      <c r="G194" s="8">
        <f t="shared" ref="G194:G235" si="7">A194</f>
        <v>42589.95108796296</v>
      </c>
    </row>
    <row r="195" spans="1:7" x14ac:dyDescent="0.25">
      <c r="A195" s="8">
        <v>42589.974756944444</v>
      </c>
      <c r="B195" s="24" t="s">
        <v>69</v>
      </c>
      <c r="C195" s="24" t="s">
        <v>339</v>
      </c>
      <c r="D195" s="24">
        <v>1800000</v>
      </c>
      <c r="E195" s="24" t="s">
        <v>154</v>
      </c>
      <c r="F195" s="24" t="str">
        <f t="shared" si="6"/>
        <v>rtdc.l.rtdc.4017:itc</v>
      </c>
      <c r="G195" s="8">
        <f t="shared" si="7"/>
        <v>42589.974756944444</v>
      </c>
    </row>
    <row r="196" spans="1:7" x14ac:dyDescent="0.25">
      <c r="A196" s="8">
        <v>42589.97619212963</v>
      </c>
      <c r="B196" s="24" t="s">
        <v>103</v>
      </c>
      <c r="C196" s="24" t="s">
        <v>577</v>
      </c>
      <c r="D196" s="24">
        <v>1290000</v>
      </c>
      <c r="E196" s="24" t="s">
        <v>141</v>
      </c>
      <c r="F196" s="24" t="str">
        <f t="shared" si="6"/>
        <v>rtdc.l.rtdc.4025:itc</v>
      </c>
      <c r="G196" s="8">
        <f t="shared" si="7"/>
        <v>42589.97619212963</v>
      </c>
    </row>
    <row r="197" spans="1:7" x14ac:dyDescent="0.25">
      <c r="A197" s="8">
        <v>42589.987638888888</v>
      </c>
      <c r="B197" s="24" t="s">
        <v>188</v>
      </c>
      <c r="C197" s="24" t="s">
        <v>580</v>
      </c>
      <c r="D197" s="24">
        <v>1810000</v>
      </c>
      <c r="E197" s="24" t="s">
        <v>152</v>
      </c>
      <c r="F197" s="24" t="str">
        <f t="shared" si="6"/>
        <v>rtdc.l.rtdc.4044:itc</v>
      </c>
      <c r="G197" s="8">
        <f t="shared" si="7"/>
        <v>42589.987638888888</v>
      </c>
    </row>
    <row r="198" spans="1:7" x14ac:dyDescent="0.25">
      <c r="A198" s="8">
        <v>42589.993321759262</v>
      </c>
      <c r="B198" s="24" t="s">
        <v>157</v>
      </c>
      <c r="C198" s="24" t="s">
        <v>575</v>
      </c>
      <c r="D198" s="24">
        <v>1180000</v>
      </c>
      <c r="E198" s="24" t="s">
        <v>159</v>
      </c>
      <c r="F198" s="24" t="str">
        <f t="shared" si="6"/>
        <v>rtdc.l.rtdc.4037:itc</v>
      </c>
      <c r="G198" s="8">
        <f t="shared" si="7"/>
        <v>42589.993321759262</v>
      </c>
    </row>
    <row r="199" spans="1:7" x14ac:dyDescent="0.25">
      <c r="A199" s="8">
        <v>42590.014062499999</v>
      </c>
      <c r="B199" s="24" t="s">
        <v>101</v>
      </c>
      <c r="C199" s="24" t="s">
        <v>579</v>
      </c>
      <c r="D199" s="24">
        <v>1290000</v>
      </c>
      <c r="E199" s="24" t="s">
        <v>141</v>
      </c>
      <c r="F199" s="24" t="str">
        <f t="shared" si="6"/>
        <v>rtdc.l.rtdc.4026:itc</v>
      </c>
      <c r="G199" s="8">
        <f t="shared" si="7"/>
        <v>42590.014062499999</v>
      </c>
    </row>
    <row r="200" spans="1:7" x14ac:dyDescent="0.25">
      <c r="A200" s="8">
        <v>42590.019525462965</v>
      </c>
      <c r="B200" s="24" t="s">
        <v>68</v>
      </c>
      <c r="C200" s="24" t="s">
        <v>582</v>
      </c>
      <c r="D200" s="24">
        <v>1800000</v>
      </c>
      <c r="E200" s="24" t="s">
        <v>154</v>
      </c>
      <c r="F200" s="24" t="str">
        <f t="shared" si="6"/>
        <v>rtdc.l.rtdc.4018:itc</v>
      </c>
      <c r="G200" s="8">
        <f t="shared" si="7"/>
        <v>42590.019525462965</v>
      </c>
    </row>
    <row r="201" spans="1:7" x14ac:dyDescent="0.25">
      <c r="A201" s="8">
        <v>42590.028240740743</v>
      </c>
      <c r="B201" s="24" t="s">
        <v>100</v>
      </c>
      <c r="C201" s="24" t="s">
        <v>588</v>
      </c>
      <c r="D201" s="24">
        <v>1180000</v>
      </c>
      <c r="E201" s="24" t="s">
        <v>159</v>
      </c>
      <c r="F201" s="24" t="str">
        <f t="shared" si="6"/>
        <v>rtdc.l.rtdc.4038:itc</v>
      </c>
      <c r="G201" s="8">
        <f t="shared" si="7"/>
        <v>42590.028240740743</v>
      </c>
    </row>
    <row r="202" spans="1:7" x14ac:dyDescent="0.25">
      <c r="A202" s="30">
        <v>42590.02888888889</v>
      </c>
      <c r="B202" s="24" t="s">
        <v>100</v>
      </c>
      <c r="C202" s="24" t="s">
        <v>588</v>
      </c>
      <c r="D202" s="24">
        <v>1180000</v>
      </c>
      <c r="E202" s="24" t="s">
        <v>159</v>
      </c>
      <c r="F202" s="24" t="str">
        <f t="shared" si="6"/>
        <v>rtdc.l.rtdc.4038:itc</v>
      </c>
      <c r="G202" s="8">
        <f t="shared" si="7"/>
        <v>42590.02888888889</v>
      </c>
    </row>
    <row r="203" spans="1:7" x14ac:dyDescent="0.25">
      <c r="A203" s="8">
        <v>42590.030474537038</v>
      </c>
      <c r="B203" s="24" t="s">
        <v>100</v>
      </c>
      <c r="C203" s="24" t="s">
        <v>588</v>
      </c>
      <c r="D203" s="24">
        <v>1180000</v>
      </c>
      <c r="E203" s="24" t="s">
        <v>159</v>
      </c>
      <c r="F203" s="24" t="str">
        <f t="shared" si="6"/>
        <v>rtdc.l.rtdc.4038:itc</v>
      </c>
      <c r="G203" s="8">
        <f t="shared" si="7"/>
        <v>42590.030474537038</v>
      </c>
    </row>
    <row r="204" spans="1:7" x14ac:dyDescent="0.25">
      <c r="A204" s="8">
        <v>42590.037905092591</v>
      </c>
      <c r="B204" s="24" t="s">
        <v>175</v>
      </c>
      <c r="C204" s="24" t="s">
        <v>581</v>
      </c>
      <c r="D204" s="24">
        <v>1810000</v>
      </c>
      <c r="E204" s="24" t="s">
        <v>152</v>
      </c>
      <c r="F204" s="24" t="str">
        <f t="shared" si="6"/>
        <v>rtdc.l.rtdc.4043:itc</v>
      </c>
      <c r="G204" s="8">
        <f t="shared" si="7"/>
        <v>42590.037905092591</v>
      </c>
    </row>
    <row r="205" spans="1:7" x14ac:dyDescent="0.25">
      <c r="A205" s="8">
        <v>42590.046759259261</v>
      </c>
      <c r="B205" s="24" t="s">
        <v>103</v>
      </c>
      <c r="C205" s="24" t="s">
        <v>590</v>
      </c>
      <c r="D205" s="24">
        <v>1290000</v>
      </c>
      <c r="E205" s="24" t="s">
        <v>141</v>
      </c>
      <c r="F205" s="24" t="str">
        <f t="shared" si="6"/>
        <v>rtdc.l.rtdc.4025:itc</v>
      </c>
      <c r="G205" s="8">
        <f t="shared" si="7"/>
        <v>42590.046759259261</v>
      </c>
    </row>
    <row r="206" spans="1:7" x14ac:dyDescent="0.25">
      <c r="A206" s="8">
        <v>42590.058900462966</v>
      </c>
      <c r="B206" s="24" t="s">
        <v>69</v>
      </c>
      <c r="C206" s="24" t="s">
        <v>585</v>
      </c>
      <c r="D206" s="24">
        <v>1800000</v>
      </c>
      <c r="E206" s="24" t="s">
        <v>154</v>
      </c>
      <c r="F206" s="24" t="str">
        <f t="shared" si="6"/>
        <v>rtdc.l.rtdc.4017:itc</v>
      </c>
      <c r="G206" s="8">
        <f t="shared" si="7"/>
        <v>42590.058900462966</v>
      </c>
    </row>
    <row r="207" spans="1:7" x14ac:dyDescent="0.25">
      <c r="A207" s="8">
        <v>42590.068159722221</v>
      </c>
      <c r="B207" s="24" t="s">
        <v>188</v>
      </c>
      <c r="C207" s="24" t="s">
        <v>593</v>
      </c>
      <c r="D207" s="24">
        <v>1810000</v>
      </c>
      <c r="E207" s="24" t="s">
        <v>152</v>
      </c>
      <c r="F207" s="24" t="str">
        <f t="shared" si="6"/>
        <v>rtdc.l.rtdc.4044:itc</v>
      </c>
      <c r="G207" s="8">
        <f t="shared" si="7"/>
        <v>42590.068159722221</v>
      </c>
    </row>
    <row r="208" spans="1:7" x14ac:dyDescent="0.25">
      <c r="A208" s="8">
        <v>42590.090868055559</v>
      </c>
      <c r="B208" s="24" t="s">
        <v>68</v>
      </c>
      <c r="C208" s="24" t="s">
        <v>595</v>
      </c>
      <c r="D208" s="24">
        <v>1800000</v>
      </c>
      <c r="E208" s="24" t="s">
        <v>613</v>
      </c>
      <c r="F208" s="24" t="str">
        <f t="shared" si="6"/>
        <v>rtdc.l.rtdc.4018:itc</v>
      </c>
      <c r="G208" s="8">
        <f t="shared" si="7"/>
        <v>42590.090868055559</v>
      </c>
    </row>
    <row r="209" spans="2:7" x14ac:dyDescent="0.25">
      <c r="B209" s="24"/>
      <c r="C209" s="24"/>
      <c r="D209" s="24"/>
      <c r="E209" s="24"/>
      <c r="F209" s="24">
        <f t="shared" si="6"/>
        <v>0</v>
      </c>
      <c r="G209" s="8">
        <f t="shared" si="7"/>
        <v>0</v>
      </c>
    </row>
    <row r="210" spans="2:7" x14ac:dyDescent="0.25">
      <c r="B210" s="24"/>
      <c r="C210" s="24"/>
      <c r="D210" s="24"/>
      <c r="E210" s="24"/>
      <c r="F210" s="24">
        <f t="shared" si="6"/>
        <v>0</v>
      </c>
      <c r="G210" s="8">
        <f t="shared" si="7"/>
        <v>0</v>
      </c>
    </row>
    <row r="211" spans="2:7" x14ac:dyDescent="0.25">
      <c r="B211" s="24"/>
      <c r="C211" s="24"/>
      <c r="D211" s="24"/>
      <c r="E211" s="24"/>
      <c r="F211" s="24">
        <f t="shared" si="6"/>
        <v>0</v>
      </c>
      <c r="G211" s="8">
        <f t="shared" si="7"/>
        <v>0</v>
      </c>
    </row>
    <row r="212" spans="2:7" x14ac:dyDescent="0.25">
      <c r="B212" s="24"/>
      <c r="C212" s="24"/>
      <c r="D212" s="24"/>
      <c r="E212" s="24"/>
      <c r="F212" s="24">
        <f t="shared" si="6"/>
        <v>0</v>
      </c>
      <c r="G212" s="8">
        <f t="shared" si="7"/>
        <v>0</v>
      </c>
    </row>
    <row r="213" spans="2:7" x14ac:dyDescent="0.25">
      <c r="B213" s="24"/>
      <c r="C213" s="24"/>
      <c r="D213" s="24"/>
      <c r="E213" s="24"/>
      <c r="F213" s="24">
        <f t="shared" si="6"/>
        <v>0</v>
      </c>
      <c r="G213" s="8">
        <f t="shared" si="7"/>
        <v>0</v>
      </c>
    </row>
    <row r="214" spans="2:7" x14ac:dyDescent="0.25">
      <c r="B214" s="24"/>
      <c r="C214" s="24"/>
      <c r="D214" s="24"/>
      <c r="E214" s="24"/>
      <c r="F214" s="24">
        <f t="shared" si="6"/>
        <v>0</v>
      </c>
      <c r="G214" s="8">
        <f t="shared" si="7"/>
        <v>0</v>
      </c>
    </row>
    <row r="215" spans="2:7" x14ac:dyDescent="0.25">
      <c r="B215" s="24"/>
      <c r="C215" s="24"/>
      <c r="D215" s="24"/>
      <c r="E215" s="24"/>
      <c r="F215" s="24">
        <f t="shared" si="6"/>
        <v>0</v>
      </c>
      <c r="G215" s="8">
        <f t="shared" si="7"/>
        <v>0</v>
      </c>
    </row>
    <row r="216" spans="2:7" x14ac:dyDescent="0.25">
      <c r="B216" s="24"/>
      <c r="C216" s="24"/>
      <c r="D216" s="24"/>
      <c r="E216" s="24"/>
      <c r="F216" s="24">
        <f t="shared" si="6"/>
        <v>0</v>
      </c>
      <c r="G216" s="8">
        <f t="shared" si="7"/>
        <v>0</v>
      </c>
    </row>
    <row r="217" spans="2:7" x14ac:dyDescent="0.25">
      <c r="B217" s="24"/>
      <c r="C217" s="24"/>
      <c r="D217" s="24"/>
      <c r="E217" s="24"/>
      <c r="F217" s="24">
        <f t="shared" si="6"/>
        <v>0</v>
      </c>
      <c r="G217" s="8">
        <f t="shared" si="7"/>
        <v>0</v>
      </c>
    </row>
    <row r="218" spans="2:7" x14ac:dyDescent="0.25">
      <c r="B218" s="24"/>
      <c r="C218" s="24"/>
      <c r="D218" s="24"/>
      <c r="E218" s="24"/>
      <c r="F218" s="24">
        <f t="shared" si="6"/>
        <v>0</v>
      </c>
      <c r="G218" s="8">
        <f t="shared" si="7"/>
        <v>0</v>
      </c>
    </row>
    <row r="219" spans="2:7" x14ac:dyDescent="0.25">
      <c r="B219" s="24"/>
      <c r="C219" s="24"/>
      <c r="D219" s="24"/>
      <c r="E219" s="24"/>
      <c r="F219" s="24">
        <f t="shared" si="6"/>
        <v>0</v>
      </c>
      <c r="G219" s="8">
        <f t="shared" si="7"/>
        <v>0</v>
      </c>
    </row>
    <row r="220" spans="2:7" x14ac:dyDescent="0.25">
      <c r="B220" s="24"/>
      <c r="C220" s="24"/>
      <c r="D220" s="24"/>
      <c r="E220" s="24"/>
      <c r="F220" s="24">
        <f t="shared" si="6"/>
        <v>0</v>
      </c>
      <c r="G220" s="8">
        <f t="shared" si="7"/>
        <v>0</v>
      </c>
    </row>
    <row r="221" spans="2:7" x14ac:dyDescent="0.25">
      <c r="B221" s="24"/>
      <c r="C221" s="24"/>
      <c r="D221" s="24"/>
      <c r="E221" s="24"/>
      <c r="F221" s="24">
        <f t="shared" si="6"/>
        <v>0</v>
      </c>
      <c r="G221" s="8">
        <f t="shared" si="7"/>
        <v>0</v>
      </c>
    </row>
    <row r="222" spans="2:7" x14ac:dyDescent="0.25">
      <c r="B222" s="24"/>
      <c r="C222" s="24"/>
      <c r="D222" s="24"/>
      <c r="E222" s="24"/>
      <c r="F222" s="24">
        <f t="shared" si="6"/>
        <v>0</v>
      </c>
      <c r="G222" s="8">
        <f t="shared" si="7"/>
        <v>0</v>
      </c>
    </row>
    <row r="223" spans="2:7" x14ac:dyDescent="0.25">
      <c r="B223" s="24"/>
      <c r="C223" s="24"/>
      <c r="D223" s="24"/>
      <c r="E223" s="24"/>
      <c r="F223" s="24">
        <f t="shared" si="6"/>
        <v>0</v>
      </c>
      <c r="G223" s="8">
        <f t="shared" si="7"/>
        <v>0</v>
      </c>
    </row>
    <row r="224" spans="2:7" x14ac:dyDescent="0.25">
      <c r="F224" s="24">
        <f t="shared" si="6"/>
        <v>0</v>
      </c>
      <c r="G224" s="8">
        <f t="shared" si="7"/>
        <v>0</v>
      </c>
    </row>
    <row r="225" spans="6:7" x14ac:dyDescent="0.25">
      <c r="F225" s="24">
        <f t="shared" si="6"/>
        <v>0</v>
      </c>
      <c r="G225" s="8">
        <f t="shared" si="7"/>
        <v>0</v>
      </c>
    </row>
    <row r="226" spans="6:7" x14ac:dyDescent="0.25">
      <c r="F226" s="24">
        <f t="shared" si="6"/>
        <v>0</v>
      </c>
      <c r="G226" s="8">
        <f t="shared" si="7"/>
        <v>0</v>
      </c>
    </row>
    <row r="227" spans="6:7" x14ac:dyDescent="0.25">
      <c r="F227" s="24">
        <f t="shared" si="6"/>
        <v>0</v>
      </c>
      <c r="G227" s="8">
        <f t="shared" si="7"/>
        <v>0</v>
      </c>
    </row>
    <row r="228" spans="6:7" x14ac:dyDescent="0.25">
      <c r="F228" s="24">
        <f t="shared" si="6"/>
        <v>0</v>
      </c>
      <c r="G228" s="8">
        <f t="shared" si="7"/>
        <v>0</v>
      </c>
    </row>
    <row r="229" spans="6:7" x14ac:dyDescent="0.25">
      <c r="F229" s="24">
        <f t="shared" si="6"/>
        <v>0</v>
      </c>
      <c r="G229" s="8">
        <f t="shared" si="7"/>
        <v>0</v>
      </c>
    </row>
    <row r="230" spans="6:7" x14ac:dyDescent="0.25">
      <c r="F230" s="24">
        <f t="shared" si="6"/>
        <v>0</v>
      </c>
      <c r="G230" s="8">
        <f t="shared" si="7"/>
        <v>0</v>
      </c>
    </row>
    <row r="231" spans="6:7" x14ac:dyDescent="0.25">
      <c r="F231" s="24">
        <f t="shared" si="6"/>
        <v>0</v>
      </c>
      <c r="G231" s="8">
        <f t="shared" si="7"/>
        <v>0</v>
      </c>
    </row>
    <row r="232" spans="6:7" x14ac:dyDescent="0.25">
      <c r="F232" s="24">
        <f t="shared" si="6"/>
        <v>0</v>
      </c>
      <c r="G232" s="8">
        <f t="shared" si="7"/>
        <v>0</v>
      </c>
    </row>
    <row r="233" spans="6:7" x14ac:dyDescent="0.25">
      <c r="F233" s="24">
        <f t="shared" si="6"/>
        <v>0</v>
      </c>
      <c r="G233" s="8">
        <f t="shared" si="7"/>
        <v>0</v>
      </c>
    </row>
    <row r="234" spans="6:7" x14ac:dyDescent="0.25">
      <c r="F234" s="24">
        <f t="shared" si="6"/>
        <v>0</v>
      </c>
      <c r="G234" s="8">
        <f t="shared" si="7"/>
        <v>0</v>
      </c>
    </row>
    <row r="235" spans="6:7" x14ac:dyDescent="0.25">
      <c r="F235" s="24">
        <f t="shared" si="6"/>
        <v>0</v>
      </c>
      <c r="G235" s="8">
        <f t="shared" si="7"/>
        <v>0</v>
      </c>
    </row>
    <row r="236" spans="6:7" x14ac:dyDescent="0.25">
      <c r="F236" s="24">
        <f t="shared" ref="F236:F265" si="8">B236</f>
        <v>0</v>
      </c>
      <c r="G236" s="8">
        <f t="shared" ref="G236:G265" si="9">A236</f>
        <v>0</v>
      </c>
    </row>
    <row r="237" spans="6:7" x14ac:dyDescent="0.25">
      <c r="F237" s="24">
        <f t="shared" si="8"/>
        <v>0</v>
      </c>
      <c r="G237" s="8">
        <f t="shared" si="9"/>
        <v>0</v>
      </c>
    </row>
    <row r="238" spans="6:7" x14ac:dyDescent="0.25">
      <c r="F238" s="24">
        <f t="shared" si="8"/>
        <v>0</v>
      </c>
      <c r="G238" s="8">
        <f t="shared" si="9"/>
        <v>0</v>
      </c>
    </row>
    <row r="239" spans="6:7" x14ac:dyDescent="0.25">
      <c r="F239" s="24">
        <f t="shared" si="8"/>
        <v>0</v>
      </c>
      <c r="G239" s="8">
        <f t="shared" si="9"/>
        <v>0</v>
      </c>
    </row>
    <row r="240" spans="6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4" t="s">
        <v>164</v>
      </c>
      <c r="D1" s="85" t="s">
        <v>165</v>
      </c>
      <c r="J1" s="35" t="s">
        <v>166</v>
      </c>
      <c r="K1" s="35" t="s">
        <v>81</v>
      </c>
      <c r="L1" s="35" t="s">
        <v>82</v>
      </c>
      <c r="O1" s="88" t="s">
        <v>167</v>
      </c>
    </row>
    <row r="2" spans="1:16" ht="15.75" thickBot="1" x14ac:dyDescent="0.3">
      <c r="A2" s="15">
        <v>42589</v>
      </c>
      <c r="B2" s="4"/>
      <c r="C2" s="86">
        <v>50</v>
      </c>
      <c r="D2" s="87">
        <v>25</v>
      </c>
      <c r="F2" t="s">
        <v>59</v>
      </c>
      <c r="J2" s="35"/>
      <c r="K2" s="35" t="s">
        <v>81</v>
      </c>
      <c r="L2" s="35" t="s">
        <v>82</v>
      </c>
    </row>
    <row r="3" spans="1:16" x14ac:dyDescent="0.25">
      <c r="F3" t="s">
        <v>60</v>
      </c>
      <c r="J3" s="36" t="s">
        <v>83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168</v>
      </c>
      <c r="P3" s="73">
        <f>AVERAGE(1.0714,1.1016)</f>
        <v>1.0865</v>
      </c>
    </row>
    <row r="4" spans="1:16" x14ac:dyDescent="0.25">
      <c r="F4" t="s">
        <v>61</v>
      </c>
      <c r="J4" s="36" t="s">
        <v>84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85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J6" s="36" t="s">
        <v>86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J7" s="36" t="s">
        <v>87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J8" s="36" t="s">
        <v>88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89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90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91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92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93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94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115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116</v>
      </c>
      <c r="K19" s="37"/>
      <c r="L19" s="37"/>
      <c r="M19" s="73" t="s">
        <v>196</v>
      </c>
    </row>
    <row r="20" spans="10:13" x14ac:dyDescent="0.25">
      <c r="J20" t="s">
        <v>117</v>
      </c>
      <c r="M20" s="73" t="s">
        <v>189</v>
      </c>
    </row>
    <row r="21" spans="10:13" x14ac:dyDescent="0.25">
      <c r="J21" s="24" t="s">
        <v>120</v>
      </c>
      <c r="K21" s="24" t="s">
        <v>121</v>
      </c>
      <c r="M21" s="73" t="s">
        <v>121</v>
      </c>
    </row>
    <row r="22" spans="10:13" x14ac:dyDescent="0.25">
      <c r="J22" s="24" t="s">
        <v>122</v>
      </c>
      <c r="K22" s="24" t="s">
        <v>123</v>
      </c>
      <c r="M22" s="73" t="s">
        <v>195</v>
      </c>
    </row>
    <row r="23" spans="10:13" x14ac:dyDescent="0.25">
      <c r="J23" s="32" t="s">
        <v>125</v>
      </c>
      <c r="K23" s="24"/>
      <c r="M23" s="73">
        <v>-6</v>
      </c>
    </row>
    <row r="24" spans="10:13" x14ac:dyDescent="0.25">
      <c r="J24" s="24" t="s">
        <v>190</v>
      </c>
      <c r="K24" s="24"/>
      <c r="M24" s="73" t="s">
        <v>194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2016-08-09T16:59:18Z</dcterms:modified>
</cp:coreProperties>
</file>