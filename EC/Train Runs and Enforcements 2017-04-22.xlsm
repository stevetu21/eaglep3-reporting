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Trips'!$A$2:$J$85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2" i="1" l="1"/>
  <c r="K171" i="1"/>
  <c r="L171" i="1"/>
  <c r="M171" i="1"/>
  <c r="P171" i="1"/>
  <c r="V171" i="1"/>
  <c r="Y171" i="1"/>
  <c r="Z171" i="1"/>
  <c r="AA171" i="1" s="1"/>
  <c r="AB171" i="1"/>
  <c r="AC171" i="1"/>
  <c r="AD171" i="1"/>
  <c r="T171" i="1" s="1"/>
  <c r="AE171" i="1"/>
  <c r="AF171" i="1"/>
  <c r="AH171" i="1"/>
  <c r="AM171" i="1"/>
  <c r="AN171" i="1"/>
  <c r="X170" i="1"/>
  <c r="P169" i="1"/>
  <c r="K169" i="1"/>
  <c r="L169" i="1"/>
  <c r="M169" i="1"/>
  <c r="V169" i="1"/>
  <c r="X169" i="1"/>
  <c r="Y169" i="1"/>
  <c r="Z169" i="1"/>
  <c r="AA169" i="1"/>
  <c r="AB169" i="1"/>
  <c r="AC169" i="1"/>
  <c r="AD169" i="1"/>
  <c r="AG169" i="1" s="1"/>
  <c r="AE169" i="1"/>
  <c r="AF169" i="1"/>
  <c r="AH169" i="1"/>
  <c r="AM169" i="1"/>
  <c r="AN169" i="1"/>
  <c r="X157" i="1"/>
  <c r="X158" i="1"/>
  <c r="X159" i="1"/>
  <c r="X160" i="1"/>
  <c r="X161" i="1"/>
  <c r="X162" i="1"/>
  <c r="X163" i="1"/>
  <c r="X4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/>
  <c r="V20" i="1"/>
  <c r="Y20" i="1"/>
  <c r="Z20" i="1"/>
  <c r="AB20" i="1"/>
  <c r="AC20" i="1"/>
  <c r="AD20" i="1"/>
  <c r="AG20" i="1" s="1"/>
  <c r="AE20" i="1"/>
  <c r="AF20" i="1"/>
  <c r="AH20" i="1"/>
  <c r="AI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/>
  <c r="V28" i="1"/>
  <c r="Y28" i="1"/>
  <c r="Z28" i="1"/>
  <c r="AB28" i="1"/>
  <c r="AC28" i="1"/>
  <c r="AD28" i="1"/>
  <c r="AG28" i="1" s="1"/>
  <c r="AE28" i="1"/>
  <c r="AF28" i="1"/>
  <c r="AH28" i="1"/>
  <c r="AI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S20" i="3" s="1"/>
  <c r="Y34" i="1"/>
  <c r="Z34" i="1"/>
  <c r="AB34" i="1"/>
  <c r="AC34" i="1"/>
  <c r="AD34" i="1"/>
  <c r="T34" i="1" s="1"/>
  <c r="AE34" i="1"/>
  <c r="R20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23" i="3" s="1"/>
  <c r="Y38" i="1"/>
  <c r="Z38" i="1"/>
  <c r="AB38" i="1"/>
  <c r="AC38" i="1"/>
  <c r="AD38" i="1"/>
  <c r="X39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G42" i="1"/>
  <c r="AH42" i="1"/>
  <c r="AM42" i="1"/>
  <c r="AN42" i="1"/>
  <c r="K43" i="1"/>
  <c r="L43" i="1"/>
  <c r="M43" i="1"/>
  <c r="N43" i="1" s="1"/>
  <c r="V43" i="1"/>
  <c r="Y43" i="1"/>
  <c r="AA43" i="1" s="1"/>
  <c r="Z43" i="1"/>
  <c r="AB43" i="1"/>
  <c r="AC43" i="1"/>
  <c r="AD43" i="1"/>
  <c r="AG43" i="1" s="1"/>
  <c r="AE43" i="1"/>
  <c r="AF43" i="1"/>
  <c r="AH43" i="1"/>
  <c r="AI43" i="1"/>
  <c r="AM43" i="1"/>
  <c r="AN43" i="1"/>
  <c r="K44" i="1"/>
  <c r="L44" i="1"/>
  <c r="M44" i="1"/>
  <c r="P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G47" i="1" s="1"/>
  <c r="AE47" i="1"/>
  <c r="AF47" i="1"/>
  <c r="AH47" i="1"/>
  <c r="AI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S17" i="3" s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W61" i="1" s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S8" i="3" s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12" i="3" s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T66" i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AG69" i="1" s="1"/>
  <c r="AE69" i="1"/>
  <c r="AF69" i="1"/>
  <c r="AH69" i="1"/>
  <c r="AI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T74" i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R18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S16" i="3" s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G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T161" i="1"/>
  <c r="V161" i="1"/>
  <c r="Y161" i="1"/>
  <c r="Z161" i="1"/>
  <c r="AB161" i="1"/>
  <c r="AC161" i="1"/>
  <c r="AD161" i="1"/>
  <c r="AG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01" i="1"/>
  <c r="AM101" i="1"/>
  <c r="AN101" i="1"/>
  <c r="K168" i="1"/>
  <c r="L168" i="1"/>
  <c r="M168" i="1"/>
  <c r="N168" i="1"/>
  <c r="V168" i="1"/>
  <c r="Y168" i="1"/>
  <c r="Z168" i="1"/>
  <c r="AA168" i="1" s="1"/>
  <c r="W168" i="1" s="1"/>
  <c r="AB168" i="1"/>
  <c r="AC168" i="1"/>
  <c r="AD168" i="1"/>
  <c r="AG168" i="1" s="1"/>
  <c r="AE168" i="1"/>
  <c r="AF168" i="1"/>
  <c r="AH102" i="1"/>
  <c r="AM102" i="1"/>
  <c r="AN102" i="1"/>
  <c r="K93" i="1"/>
  <c r="L93" i="1"/>
  <c r="M93" i="1"/>
  <c r="N93" i="1" s="1"/>
  <c r="T93" i="1"/>
  <c r="V93" i="1"/>
  <c r="Y93" i="1"/>
  <c r="Z93" i="1"/>
  <c r="AB93" i="1"/>
  <c r="AC93" i="1"/>
  <c r="AD93" i="1"/>
  <c r="AG93" i="1" s="1"/>
  <c r="AE93" i="1"/>
  <c r="AF93" i="1"/>
  <c r="AH103" i="1"/>
  <c r="AM103" i="1"/>
  <c r="AN103" i="1"/>
  <c r="K170" i="1"/>
  <c r="L170" i="1"/>
  <c r="M170" i="1"/>
  <c r="P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2" i="1"/>
  <c r="L172" i="1"/>
  <c r="M172" i="1"/>
  <c r="N172" i="1" s="1"/>
  <c r="V172" i="1"/>
  <c r="Y172" i="1"/>
  <c r="Z172" i="1"/>
  <c r="AA172" i="1" s="1"/>
  <c r="AB172" i="1"/>
  <c r="AC172" i="1"/>
  <c r="AD172" i="1"/>
  <c r="AG172" i="1" s="1"/>
  <c r="AE172" i="1"/>
  <c r="AF172" i="1"/>
  <c r="AH105" i="1"/>
  <c r="AM105" i="1"/>
  <c r="AN105" i="1"/>
  <c r="K173" i="1"/>
  <c r="L173" i="1"/>
  <c r="M173" i="1"/>
  <c r="N173" i="1"/>
  <c r="V173" i="1"/>
  <c r="Y173" i="1"/>
  <c r="Z173" i="1"/>
  <c r="AB173" i="1"/>
  <c r="AC173" i="1"/>
  <c r="AD173" i="1"/>
  <c r="AG173" i="1" s="1"/>
  <c r="AE173" i="1"/>
  <c r="AF173" i="1"/>
  <c r="AH106" i="1"/>
  <c r="AM106" i="1"/>
  <c r="AN106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07" i="1"/>
  <c r="AM107" i="1"/>
  <c r="AN1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8" i="1"/>
  <c r="AM108" i="1"/>
  <c r="AN108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09" i="1"/>
  <c r="AM109" i="1"/>
  <c r="AN109" i="1"/>
  <c r="K177" i="1"/>
  <c r="L177" i="1"/>
  <c r="M177" i="1"/>
  <c r="N177" i="1"/>
  <c r="V177" i="1"/>
  <c r="Y177" i="1"/>
  <c r="Z177" i="1"/>
  <c r="AB177" i="1"/>
  <c r="AC177" i="1"/>
  <c r="AD177" i="1"/>
  <c r="AE177" i="1"/>
  <c r="AF177" i="1"/>
  <c r="AH110" i="1"/>
  <c r="AM110" i="1"/>
  <c r="AN110" i="1"/>
  <c r="K178" i="1"/>
  <c r="L178" i="1"/>
  <c r="M178" i="1"/>
  <c r="N178" i="1" s="1"/>
  <c r="V178" i="1"/>
  <c r="Y178" i="1"/>
  <c r="AA178" i="1" s="1"/>
  <c r="Z178" i="1"/>
  <c r="AB178" i="1"/>
  <c r="AC178" i="1"/>
  <c r="AD178" i="1"/>
  <c r="AG178" i="1" s="1"/>
  <c r="AE178" i="1"/>
  <c r="AF178" i="1"/>
  <c r="AH111" i="1"/>
  <c r="AM111" i="1"/>
  <c r="AN111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3" i="1"/>
  <c r="AM113" i="1"/>
  <c r="AN113" i="1"/>
  <c r="K180" i="1"/>
  <c r="L180" i="1"/>
  <c r="M180" i="1"/>
  <c r="N180" i="1" s="1"/>
  <c r="T180" i="1"/>
  <c r="V180" i="1"/>
  <c r="Y180" i="1"/>
  <c r="Z180" i="1"/>
  <c r="AB180" i="1"/>
  <c r="AC180" i="1"/>
  <c r="AD180" i="1"/>
  <c r="AG180" i="1" s="1"/>
  <c r="AE180" i="1"/>
  <c r="AF180" i="1"/>
  <c r="AH114" i="1"/>
  <c r="AM114" i="1"/>
  <c r="AN114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115" i="1"/>
  <c r="AM115" i="1"/>
  <c r="AN11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6" i="1"/>
  <c r="AM116" i="1"/>
  <c r="AN11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7" i="1"/>
  <c r="AM117" i="1"/>
  <c r="AN117" i="1"/>
  <c r="K184" i="1"/>
  <c r="L184" i="1"/>
  <c r="M184" i="1"/>
  <c r="N184" i="1" s="1"/>
  <c r="V184" i="1"/>
  <c r="S28" i="3" s="1"/>
  <c r="Y184" i="1"/>
  <c r="Z184" i="1"/>
  <c r="AB184" i="1"/>
  <c r="AC184" i="1"/>
  <c r="AD184" i="1"/>
  <c r="AG184" i="1" s="1"/>
  <c r="AE184" i="1"/>
  <c r="AF184" i="1"/>
  <c r="AH118" i="1"/>
  <c r="AM118" i="1"/>
  <c r="AN118" i="1"/>
  <c r="K185" i="1"/>
  <c r="L185" i="1"/>
  <c r="M185" i="1"/>
  <c r="N185" i="1" s="1"/>
  <c r="V185" i="1"/>
  <c r="S27" i="3" s="1"/>
  <c r="Y185" i="1"/>
  <c r="Z185" i="1"/>
  <c r="AB185" i="1"/>
  <c r="AC185" i="1"/>
  <c r="AD185" i="1"/>
  <c r="AG185" i="1" s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A187" i="1" s="1"/>
  <c r="AB187" i="1"/>
  <c r="AC187" i="1"/>
  <c r="AD187" i="1"/>
  <c r="AG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A188" i="1" s="1"/>
  <c r="W188" i="1" s="1"/>
  <c r="AB188" i="1"/>
  <c r="AC188" i="1"/>
  <c r="AD188" i="1"/>
  <c r="AG188" i="1" s="1"/>
  <c r="AE188" i="1"/>
  <c r="AF188" i="1"/>
  <c r="AH122" i="1"/>
  <c r="AM122" i="1"/>
  <c r="AN122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4" i="1"/>
  <c r="AM124" i="1"/>
  <c r="AN12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5" i="1"/>
  <c r="AM125" i="1"/>
  <c r="AN125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6" i="1"/>
  <c r="AM126" i="1"/>
  <c r="AN126" i="1"/>
  <c r="K192" i="1"/>
  <c r="L192" i="1"/>
  <c r="M192" i="1"/>
  <c r="N192" i="1" s="1"/>
  <c r="V192" i="1"/>
  <c r="Y192" i="1"/>
  <c r="AA192" i="1" s="1"/>
  <c r="Z192" i="1"/>
  <c r="AB192" i="1"/>
  <c r="AC192" i="1"/>
  <c r="AD192" i="1"/>
  <c r="T192" i="1" s="1"/>
  <c r="AE192" i="1"/>
  <c r="AF192" i="1"/>
  <c r="AH127" i="1"/>
  <c r="AM127" i="1"/>
  <c r="AN127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8" i="1"/>
  <c r="AM128" i="1"/>
  <c r="AN128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29" i="1"/>
  <c r="AM129" i="1"/>
  <c r="AN129" i="1"/>
  <c r="K98" i="1"/>
  <c r="L98" i="1"/>
  <c r="M98" i="1"/>
  <c r="P98" i="1" s="1"/>
  <c r="V98" i="1"/>
  <c r="S21" i="3" s="1"/>
  <c r="Y98" i="1"/>
  <c r="Z98" i="1"/>
  <c r="AB98" i="1"/>
  <c r="AC98" i="1"/>
  <c r="AD98" i="1"/>
  <c r="AE98" i="1"/>
  <c r="AF98" i="1"/>
  <c r="AH130" i="1"/>
  <c r="AM130" i="1"/>
  <c r="AN130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1" i="1"/>
  <c r="AM131" i="1"/>
  <c r="AN131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2" i="1"/>
  <c r="AM132" i="1"/>
  <c r="AN132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3" i="1"/>
  <c r="AM133" i="1"/>
  <c r="AN133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4" i="1"/>
  <c r="AM134" i="1"/>
  <c r="AN13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5" i="1"/>
  <c r="AM135" i="1"/>
  <c r="AN135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36" i="1"/>
  <c r="AM136" i="1"/>
  <c r="AN13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A114" i="1" s="1"/>
  <c r="W114" i="1" s="1"/>
  <c r="AB114" i="1"/>
  <c r="AC114" i="1"/>
  <c r="AD114" i="1"/>
  <c r="AG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1" i="1"/>
  <c r="AM151" i="1"/>
  <c r="AN151" i="1"/>
  <c r="K117" i="1"/>
  <c r="L117" i="1"/>
  <c r="M117" i="1"/>
  <c r="N117" i="1"/>
  <c r="V117" i="1"/>
  <c r="X117" i="1"/>
  <c r="Y117" i="1"/>
  <c r="Z117" i="1"/>
  <c r="AA117" i="1" s="1"/>
  <c r="AB117" i="1"/>
  <c r="AC117" i="1"/>
  <c r="AD117" i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A118" i="1" s="1"/>
  <c r="AB118" i="1"/>
  <c r="AC118" i="1"/>
  <c r="AD118" i="1"/>
  <c r="AG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5" i="1"/>
  <c r="AM155" i="1"/>
  <c r="AN155" i="1"/>
  <c r="K121" i="1"/>
  <c r="L121" i="1"/>
  <c r="M121" i="1"/>
  <c r="N121" i="1"/>
  <c r="V121" i="1"/>
  <c r="Y121" i="1"/>
  <c r="Z121" i="1"/>
  <c r="AB121" i="1"/>
  <c r="AC121" i="1"/>
  <c r="AD121" i="1"/>
  <c r="AG121" i="1" s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A125" i="1" s="1"/>
  <c r="W125" i="1" s="1"/>
  <c r="AB125" i="1"/>
  <c r="AC125" i="1"/>
  <c r="AD125" i="1"/>
  <c r="AG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AM161" i="1"/>
  <c r="AN161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3" i="1"/>
  <c r="AI163" i="1"/>
  <c r="AM163" i="1"/>
  <c r="AN163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64" i="1"/>
  <c r="AI164" i="1"/>
  <c r="AM164" i="1"/>
  <c r="AN164" i="1"/>
  <c r="K131" i="1"/>
  <c r="L131" i="1"/>
  <c r="M131" i="1"/>
  <c r="N131" i="1"/>
  <c r="V131" i="1"/>
  <c r="X131" i="1"/>
  <c r="Y131" i="1"/>
  <c r="Z131" i="1"/>
  <c r="AA131" i="1" s="1"/>
  <c r="AB131" i="1"/>
  <c r="AC131" i="1"/>
  <c r="AD131" i="1"/>
  <c r="T131" i="1" s="1"/>
  <c r="AE131" i="1"/>
  <c r="AF131" i="1"/>
  <c r="AG131" i="1"/>
  <c r="AH165" i="1"/>
  <c r="AM165" i="1"/>
  <c r="AN165" i="1"/>
  <c r="K132" i="1"/>
  <c r="L132" i="1"/>
  <c r="M132" i="1"/>
  <c r="N132" i="1" s="1"/>
  <c r="V132" i="1"/>
  <c r="Y132" i="1"/>
  <c r="AA132" i="1" s="1"/>
  <c r="Z132" i="1"/>
  <c r="AB132" i="1"/>
  <c r="AC132" i="1"/>
  <c r="AD132" i="1"/>
  <c r="AG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AI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 s="1"/>
  <c r="V136" i="1"/>
  <c r="S11" i="3" s="1"/>
  <c r="Y136" i="1"/>
  <c r="Z136" i="1"/>
  <c r="AB136" i="1"/>
  <c r="AC136" i="1"/>
  <c r="AD136" i="1"/>
  <c r="AE136" i="1"/>
  <c r="AF136" i="1"/>
  <c r="AH172" i="1"/>
  <c r="AM172" i="1"/>
  <c r="AN172" i="1"/>
  <c r="K137" i="1"/>
  <c r="L137" i="1"/>
  <c r="M137" i="1"/>
  <c r="N137" i="1" s="1"/>
  <c r="V137" i="1"/>
  <c r="S26" i="3" s="1"/>
  <c r="Y137" i="1"/>
  <c r="Z137" i="1"/>
  <c r="AB137" i="1"/>
  <c r="AC137" i="1"/>
  <c r="AD137" i="1"/>
  <c r="AG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7" i="1"/>
  <c r="AM177" i="1"/>
  <c r="AN177" i="1"/>
  <c r="K142" i="1"/>
  <c r="L142" i="1"/>
  <c r="M142" i="1"/>
  <c r="N142" i="1" s="1"/>
  <c r="V142" i="1"/>
  <c r="S10" i="3" s="1"/>
  <c r="Y142" i="1"/>
  <c r="Z142" i="1"/>
  <c r="AB142" i="1"/>
  <c r="AC142" i="1"/>
  <c r="AD142" i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/>
  <c r="V147" i="1"/>
  <c r="Y147" i="1"/>
  <c r="Z147" i="1"/>
  <c r="AB147" i="1"/>
  <c r="AC147" i="1"/>
  <c r="AD147" i="1"/>
  <c r="X148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A151" i="1" s="1"/>
  <c r="AB151" i="1"/>
  <c r="AC151" i="1"/>
  <c r="AD151" i="1"/>
  <c r="AG151" i="1" s="1"/>
  <c r="AE151" i="1"/>
  <c r="AF151" i="1"/>
  <c r="AH187" i="1"/>
  <c r="AM187" i="1"/>
  <c r="AN187" i="1"/>
  <c r="K152" i="1"/>
  <c r="L152" i="1"/>
  <c r="M152" i="1"/>
  <c r="N152" i="1" s="1"/>
  <c r="T152" i="1"/>
  <c r="V152" i="1"/>
  <c r="X152" i="1"/>
  <c r="Y152" i="1"/>
  <c r="Z152" i="1"/>
  <c r="AB152" i="1"/>
  <c r="AC152" i="1"/>
  <c r="AD152" i="1"/>
  <c r="AE152" i="1"/>
  <c r="AF152" i="1"/>
  <c r="AG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AH194" i="1"/>
  <c r="AM194" i="1"/>
  <c r="AN194" i="1"/>
  <c r="K158" i="1"/>
  <c r="L158" i="1"/>
  <c r="M158" i="1"/>
  <c r="N158" i="1" s="1"/>
  <c r="V158" i="1"/>
  <c r="Y158" i="1"/>
  <c r="Z158" i="1"/>
  <c r="AA158" i="1" s="1"/>
  <c r="AB158" i="1"/>
  <c r="AC158" i="1"/>
  <c r="AD158" i="1"/>
  <c r="AG158" i="1" s="1"/>
  <c r="AE158" i="1"/>
  <c r="AF158" i="1"/>
  <c r="AH195" i="1"/>
  <c r="AM195" i="1"/>
  <c r="AN19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7" i="1"/>
  <c r="AM197" i="1"/>
  <c r="AN197" i="1"/>
  <c r="K195" i="1"/>
  <c r="L195" i="1"/>
  <c r="M195" i="1"/>
  <c r="N195" i="1"/>
  <c r="V195" i="1"/>
  <c r="Y195" i="1"/>
  <c r="AA195" i="1" s="1"/>
  <c r="Z195" i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/>
  <c r="V196" i="1"/>
  <c r="Y196" i="1"/>
  <c r="Z196" i="1"/>
  <c r="AB196" i="1"/>
  <c r="AC196" i="1"/>
  <c r="AD196" i="1"/>
  <c r="AG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A198" i="1" s="1"/>
  <c r="W198" i="1" s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/>
  <c r="V199" i="1"/>
  <c r="Y199" i="1"/>
  <c r="AA199" i="1" s="1"/>
  <c r="Z199" i="1"/>
  <c r="AB199" i="1"/>
  <c r="AC199" i="1"/>
  <c r="AD199" i="1"/>
  <c r="T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K213" i="1"/>
  <c r="L213" i="1"/>
  <c r="M213" i="1"/>
  <c r="N213" i="1" s="1"/>
  <c r="V213" i="1"/>
  <c r="S30" i="3" s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R30" i="3" s="1"/>
  <c r="AF214" i="1"/>
  <c r="AH214" i="1"/>
  <c r="AM214" i="1"/>
  <c r="AN214" i="1"/>
  <c r="K215" i="1"/>
  <c r="L215" i="1"/>
  <c r="M215" i="1"/>
  <c r="N215" i="1" s="1"/>
  <c r="V215" i="1"/>
  <c r="S29" i="3" s="1"/>
  <c r="Y215" i="1"/>
  <c r="Z215" i="1"/>
  <c r="AB215" i="1"/>
  <c r="AC215" i="1"/>
  <c r="AD215" i="1"/>
  <c r="AG215" i="1" s="1"/>
  <c r="AE215" i="1"/>
  <c r="R29" i="3" s="1"/>
  <c r="AF215" i="1"/>
  <c r="AH215" i="1"/>
  <c r="AM215" i="1"/>
  <c r="AN215" i="1"/>
  <c r="K216" i="1"/>
  <c r="L216" i="1"/>
  <c r="M216" i="1"/>
  <c r="N216" i="1" s="1"/>
  <c r="T216" i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AA218" i="1" s="1"/>
  <c r="Z218" i="1"/>
  <c r="AB218" i="1"/>
  <c r="AC218" i="1"/>
  <c r="AD218" i="1"/>
  <c r="T218" i="1" s="1"/>
  <c r="AE218" i="1"/>
  <c r="AF218" i="1"/>
  <c r="AH218" i="1"/>
  <c r="AM218" i="1"/>
  <c r="AN218" i="1"/>
  <c r="M14" i="3"/>
  <c r="R14" i="3"/>
  <c r="S14" i="3"/>
  <c r="U14" i="3"/>
  <c r="T14" i="3" s="1"/>
  <c r="V14" i="3"/>
  <c r="W14" i="3"/>
  <c r="Y14" i="3" s="1"/>
  <c r="X14" i="3"/>
  <c r="AC14" i="3"/>
  <c r="M22" i="3"/>
  <c r="R22" i="3"/>
  <c r="S22" i="3"/>
  <c r="U22" i="3"/>
  <c r="AC22" i="3" s="1"/>
  <c r="V22" i="3"/>
  <c r="W22" i="3"/>
  <c r="Y22" i="3" s="1"/>
  <c r="X22" i="3"/>
  <c r="M7" i="3"/>
  <c r="R7" i="3"/>
  <c r="S7" i="3"/>
  <c r="U7" i="3"/>
  <c r="AC7" i="3" s="1"/>
  <c r="V7" i="3"/>
  <c r="W7" i="3"/>
  <c r="X7" i="3"/>
  <c r="M20" i="3"/>
  <c r="U20" i="3"/>
  <c r="AC20" i="3" s="1"/>
  <c r="V20" i="3"/>
  <c r="W20" i="3"/>
  <c r="X20" i="3"/>
  <c r="M23" i="3"/>
  <c r="R23" i="3"/>
  <c r="U23" i="3"/>
  <c r="T23" i="3" s="1"/>
  <c r="V23" i="3"/>
  <c r="W23" i="3"/>
  <c r="X23" i="3"/>
  <c r="M15" i="3"/>
  <c r="R15" i="3"/>
  <c r="S15" i="3"/>
  <c r="U15" i="3"/>
  <c r="AD15" i="3" s="1"/>
  <c r="V15" i="3"/>
  <c r="W15" i="3"/>
  <c r="X15" i="3"/>
  <c r="M17" i="3"/>
  <c r="R17" i="3"/>
  <c r="U17" i="3"/>
  <c r="AC17" i="3" s="1"/>
  <c r="V17" i="3"/>
  <c r="W17" i="3"/>
  <c r="Y17" i="3" s="1"/>
  <c r="X17" i="3"/>
  <c r="M8" i="3"/>
  <c r="R8" i="3"/>
  <c r="U8" i="3"/>
  <c r="AC8" i="3" s="1"/>
  <c r="V8" i="3"/>
  <c r="W8" i="3"/>
  <c r="X8" i="3"/>
  <c r="M12" i="3"/>
  <c r="R12" i="3"/>
  <c r="U12" i="3"/>
  <c r="T12" i="3" s="1"/>
  <c r="V12" i="3"/>
  <c r="W12" i="3"/>
  <c r="X12" i="3"/>
  <c r="AC12" i="3"/>
  <c r="M18" i="3"/>
  <c r="S18" i="3"/>
  <c r="U18" i="3"/>
  <c r="V18" i="3"/>
  <c r="W18" i="3"/>
  <c r="Y18" i="3" s="1"/>
  <c r="X18" i="3"/>
  <c r="AC18" i="3"/>
  <c r="M30" i="3"/>
  <c r="U30" i="3"/>
  <c r="AC30" i="3" s="1"/>
  <c r="V30" i="3"/>
  <c r="W30" i="3"/>
  <c r="X30" i="3"/>
  <c r="Y30" i="3"/>
  <c r="M31" i="3"/>
  <c r="U31" i="3"/>
  <c r="AC31" i="3" s="1"/>
  <c r="V31" i="3"/>
  <c r="W31" i="3"/>
  <c r="Y31" i="3" s="1"/>
  <c r="X31" i="3"/>
  <c r="M32" i="3"/>
  <c r="U32" i="3"/>
  <c r="AD20" i="3" s="1"/>
  <c r="V32" i="3"/>
  <c r="W32" i="3"/>
  <c r="X32" i="3"/>
  <c r="AC32" i="3"/>
  <c r="M16" i="3"/>
  <c r="R16" i="3"/>
  <c r="U16" i="3"/>
  <c r="V16" i="3"/>
  <c r="W16" i="3"/>
  <c r="X16" i="3"/>
  <c r="AC16" i="3"/>
  <c r="M21" i="3"/>
  <c r="R21" i="3"/>
  <c r="U21" i="3"/>
  <c r="AC21" i="3" s="1"/>
  <c r="V21" i="3"/>
  <c r="W21" i="3"/>
  <c r="Y21" i="3" s="1"/>
  <c r="X21" i="3"/>
  <c r="M19" i="3"/>
  <c r="R19" i="3"/>
  <c r="S19" i="3"/>
  <c r="U19" i="3"/>
  <c r="AC19" i="3" s="1"/>
  <c r="V19" i="3"/>
  <c r="W19" i="3"/>
  <c r="Y19" i="3" s="1"/>
  <c r="X19" i="3"/>
  <c r="M29" i="3"/>
  <c r="U29" i="3"/>
  <c r="T29" i="3" s="1"/>
  <c r="V29" i="3"/>
  <c r="W29" i="3"/>
  <c r="X29" i="3"/>
  <c r="AC29" i="3"/>
  <c r="M28" i="3"/>
  <c r="R28" i="3"/>
  <c r="U28" i="3"/>
  <c r="V28" i="3"/>
  <c r="W28" i="3"/>
  <c r="Y28" i="3" s="1"/>
  <c r="X28" i="3"/>
  <c r="AC28" i="3"/>
  <c r="M27" i="3"/>
  <c r="R27" i="3"/>
  <c r="U27" i="3"/>
  <c r="AC27" i="3" s="1"/>
  <c r="V27" i="3"/>
  <c r="W27" i="3"/>
  <c r="X27" i="3"/>
  <c r="M13" i="3"/>
  <c r="R13" i="3"/>
  <c r="S13" i="3"/>
  <c r="U13" i="3"/>
  <c r="AC13" i="3" s="1"/>
  <c r="V13" i="3"/>
  <c r="W13" i="3"/>
  <c r="X13" i="3"/>
  <c r="M9" i="3"/>
  <c r="R9" i="3"/>
  <c r="S9" i="3"/>
  <c r="U9" i="3"/>
  <c r="T9" i="3" s="1"/>
  <c r="V9" i="3"/>
  <c r="AE28" i="3" s="1"/>
  <c r="W9" i="3"/>
  <c r="X9" i="3"/>
  <c r="AC9" i="3"/>
  <c r="AD28" i="3"/>
  <c r="M24" i="3"/>
  <c r="R24" i="3"/>
  <c r="S24" i="3"/>
  <c r="U24" i="3"/>
  <c r="AD29" i="3" s="1"/>
  <c r="V24" i="3"/>
  <c r="W24" i="3"/>
  <c r="X24" i="3"/>
  <c r="M25" i="3"/>
  <c r="R25" i="3"/>
  <c r="U25" i="3"/>
  <c r="AC25" i="3" s="1"/>
  <c r="V25" i="3"/>
  <c r="W25" i="3"/>
  <c r="Y25" i="3" s="1"/>
  <c r="X25" i="3"/>
  <c r="M26" i="3"/>
  <c r="R26" i="3"/>
  <c r="U26" i="3"/>
  <c r="AC26" i="3" s="1"/>
  <c r="V26" i="3"/>
  <c r="W26" i="3"/>
  <c r="X26" i="3"/>
  <c r="M11" i="3"/>
  <c r="R11" i="3"/>
  <c r="U11" i="3"/>
  <c r="V11" i="3"/>
  <c r="W11" i="3"/>
  <c r="X11" i="3"/>
  <c r="AC11" i="3"/>
  <c r="AD32" i="3"/>
  <c r="M10" i="3"/>
  <c r="R10" i="3"/>
  <c r="U10" i="3"/>
  <c r="T10" i="3" s="1"/>
  <c r="V10" i="3"/>
  <c r="W10" i="3"/>
  <c r="X10" i="3"/>
  <c r="AC10" i="3"/>
  <c r="AG171" i="1" l="1"/>
  <c r="X171" i="1"/>
  <c r="T169" i="1"/>
  <c r="U169" i="1"/>
  <c r="S169" i="1" s="1"/>
  <c r="AI169" i="1"/>
  <c r="W169" i="1"/>
  <c r="AC23" i="3"/>
  <c r="AA207" i="1"/>
  <c r="AG201" i="1"/>
  <c r="AI105" i="1"/>
  <c r="Y24" i="3"/>
  <c r="AG216" i="1"/>
  <c r="Y9" i="3"/>
  <c r="AD23" i="3"/>
  <c r="Y15" i="3"/>
  <c r="Y23" i="3"/>
  <c r="T212" i="1"/>
  <c r="AI149" i="1"/>
  <c r="AG148" i="1"/>
  <c r="AA110" i="1"/>
  <c r="AA206" i="1"/>
  <c r="X101" i="1"/>
  <c r="AA180" i="1"/>
  <c r="W180" i="1" s="1"/>
  <c r="AI173" i="1"/>
  <c r="T78" i="1"/>
  <c r="AA77" i="1"/>
  <c r="X62" i="1"/>
  <c r="AA51" i="1"/>
  <c r="AA48" i="1"/>
  <c r="AI21" i="1"/>
  <c r="AI16" i="1"/>
  <c r="X44" i="1"/>
  <c r="AA38" i="1"/>
  <c r="AI36" i="1"/>
  <c r="AA23" i="1"/>
  <c r="X43" i="1"/>
  <c r="AA91" i="1"/>
  <c r="W91" i="1" s="1"/>
  <c r="X55" i="1"/>
  <c r="AG54" i="1"/>
  <c r="X54" i="1"/>
  <c r="AG212" i="1"/>
  <c r="U212" i="1" s="1"/>
  <c r="S212" i="1" s="1"/>
  <c r="AI52" i="1"/>
  <c r="AA52" i="1"/>
  <c r="AG51" i="1"/>
  <c r="X51" i="1"/>
  <c r="AG130" i="1"/>
  <c r="W130" i="1" s="1"/>
  <c r="AG94" i="1"/>
  <c r="X94" i="1"/>
  <c r="AA93" i="1"/>
  <c r="W93" i="1" s="1"/>
  <c r="X168" i="1"/>
  <c r="T164" i="1"/>
  <c r="AA81" i="1"/>
  <c r="AI53" i="1"/>
  <c r="AA39" i="1"/>
  <c r="AA35" i="1"/>
  <c r="AG14" i="1"/>
  <c r="X45" i="1"/>
  <c r="X41" i="1"/>
  <c r="Y26" i="3"/>
  <c r="X215" i="1"/>
  <c r="X201" i="1"/>
  <c r="AI188" i="1"/>
  <c r="X174" i="1"/>
  <c r="X87" i="1"/>
  <c r="AI54" i="1"/>
  <c r="S25" i="3"/>
  <c r="AD27" i="3"/>
  <c r="T31" i="3"/>
  <c r="AD17" i="3"/>
  <c r="AA214" i="1"/>
  <c r="AG208" i="1"/>
  <c r="X208" i="1"/>
  <c r="AA203" i="1"/>
  <c r="AA200" i="1"/>
  <c r="W200" i="1" s="1"/>
  <c r="X197" i="1"/>
  <c r="AG156" i="1"/>
  <c r="AI156" i="1" s="1"/>
  <c r="X156" i="1"/>
  <c r="X155" i="1"/>
  <c r="T151" i="1"/>
  <c r="AA146" i="1"/>
  <c r="AA142" i="1"/>
  <c r="X135" i="1"/>
  <c r="AA133" i="1"/>
  <c r="W133" i="1" s="1"/>
  <c r="AA126" i="1"/>
  <c r="W126" i="1" s="1"/>
  <c r="X119" i="1"/>
  <c r="AG115" i="1"/>
  <c r="AI115" i="1" s="1"/>
  <c r="X115" i="1"/>
  <c r="AA109" i="1"/>
  <c r="W109" i="1" s="1"/>
  <c r="AA107" i="1"/>
  <c r="AA105" i="1"/>
  <c r="W105" i="1" s="1"/>
  <c r="AA204" i="1"/>
  <c r="AA191" i="1"/>
  <c r="X95" i="1"/>
  <c r="AA183" i="1"/>
  <c r="X175" i="1"/>
  <c r="X165" i="1"/>
  <c r="AA85" i="1"/>
  <c r="X82" i="1"/>
  <c r="X71" i="1"/>
  <c r="AA66" i="1"/>
  <c r="X65" i="1"/>
  <c r="AA36" i="1"/>
  <c r="W36" i="1" s="1"/>
  <c r="X33" i="1"/>
  <c r="AA31" i="1"/>
  <c r="AG29" i="1"/>
  <c r="AI29" i="1" s="1"/>
  <c r="X29" i="1"/>
  <c r="AG18" i="1"/>
  <c r="AG17" i="1"/>
  <c r="AI17" i="1" s="1"/>
  <c r="X17" i="1"/>
  <c r="W132" i="1"/>
  <c r="AE32" i="3"/>
  <c r="AE23" i="3"/>
  <c r="AD21" i="3"/>
  <c r="AA215" i="1"/>
  <c r="AA211" i="1"/>
  <c r="AG193" i="1"/>
  <c r="U193" i="1" s="1"/>
  <c r="S193" i="1" s="1"/>
  <c r="X193" i="1"/>
  <c r="AA153" i="1"/>
  <c r="X133" i="1"/>
  <c r="AG122" i="1"/>
  <c r="U122" i="1" s="1"/>
  <c r="S122" i="1" s="1"/>
  <c r="AA108" i="1"/>
  <c r="X105" i="1"/>
  <c r="AA205" i="1"/>
  <c r="AA100" i="1"/>
  <c r="W100" i="1" s="1"/>
  <c r="AA92" i="1"/>
  <c r="W92" i="1" s="1"/>
  <c r="X90" i="1"/>
  <c r="AG89" i="1"/>
  <c r="AI89" i="1" s="1"/>
  <c r="AA88" i="1"/>
  <c r="AA82" i="1"/>
  <c r="W82" i="1" s="1"/>
  <c r="T82" i="1"/>
  <c r="AI70" i="1"/>
  <c r="AA70" i="1"/>
  <c r="W70" i="1" s="1"/>
  <c r="AA65" i="1"/>
  <c r="W65" i="1" s="1"/>
  <c r="AA64" i="1"/>
  <c r="AI61" i="1"/>
  <c r="AA57" i="1"/>
  <c r="W57" i="1" s="1"/>
  <c r="AA53" i="1"/>
  <c r="W53" i="1" s="1"/>
  <c r="X38" i="1"/>
  <c r="AG37" i="1"/>
  <c r="AI37" i="1" s="1"/>
  <c r="AA30" i="1"/>
  <c r="W30" i="1" s="1"/>
  <c r="AA18" i="1"/>
  <c r="W18" i="1" s="1"/>
  <c r="AA15" i="1"/>
  <c r="W207" i="1"/>
  <c r="AA194" i="1"/>
  <c r="AA150" i="1"/>
  <c r="AA141" i="1"/>
  <c r="W141" i="1" s="1"/>
  <c r="AA137" i="1"/>
  <c r="W137" i="1" s="1"/>
  <c r="AA134" i="1"/>
  <c r="X113" i="1"/>
  <c r="AG106" i="1"/>
  <c r="X106" i="1"/>
  <c r="AA101" i="1"/>
  <c r="AA99" i="1"/>
  <c r="AA96" i="1"/>
  <c r="X189" i="1"/>
  <c r="AA184" i="1"/>
  <c r="W184" i="1" s="1"/>
  <c r="AA175" i="1"/>
  <c r="AA160" i="1"/>
  <c r="AG91" i="1"/>
  <c r="X91" i="1"/>
  <c r="AG85" i="1"/>
  <c r="AI85" i="1" s="1"/>
  <c r="AA84" i="1"/>
  <c r="AA80" i="1"/>
  <c r="X79" i="1"/>
  <c r="X75" i="1"/>
  <c r="X70" i="1"/>
  <c r="AG59" i="1"/>
  <c r="X59" i="1"/>
  <c r="AG50" i="1"/>
  <c r="U50" i="1" s="1"/>
  <c r="S50" i="1" s="1"/>
  <c r="X50" i="1"/>
  <c r="AG48" i="1"/>
  <c r="AI48" i="1" s="1"/>
  <c r="AG44" i="1"/>
  <c r="U44" i="1" s="1"/>
  <c r="S44" i="1" s="1"/>
  <c r="AA41" i="1"/>
  <c r="X36" i="1"/>
  <c r="AI35" i="1"/>
  <c r="AA24" i="1"/>
  <c r="W24" i="1" s="1"/>
  <c r="AG22" i="1"/>
  <c r="U22" i="1" s="1"/>
  <c r="S22" i="1" s="1"/>
  <c r="X22" i="1"/>
  <c r="AA16" i="1"/>
  <c r="W16" i="1" s="1"/>
  <c r="X207" i="1"/>
  <c r="AA196" i="1"/>
  <c r="W196" i="1" s="1"/>
  <c r="AI196" i="1"/>
  <c r="T62" i="1"/>
  <c r="T58" i="1"/>
  <c r="U58" i="1" s="1"/>
  <c r="S58" i="1" s="1"/>
  <c r="W51" i="1"/>
  <c r="X47" i="1"/>
  <c r="AI32" i="1"/>
  <c r="AG30" i="1"/>
  <c r="X30" i="1"/>
  <c r="AA28" i="1"/>
  <c r="W28" i="1" s="1"/>
  <c r="AG25" i="1"/>
  <c r="AI25" i="1" s="1"/>
  <c r="AA20" i="1"/>
  <c r="W20" i="1" s="1"/>
  <c r="AA213" i="1"/>
  <c r="AA210" i="1"/>
  <c r="AG197" i="1"/>
  <c r="X196" i="1"/>
  <c r="AA157" i="1"/>
  <c r="AA155" i="1"/>
  <c r="W155" i="1" s="1"/>
  <c r="AI153" i="1"/>
  <c r="X151" i="1"/>
  <c r="AA149" i="1"/>
  <c r="W149" i="1" s="1"/>
  <c r="AG146" i="1"/>
  <c r="U146" i="1" s="1"/>
  <c r="S146" i="1" s="1"/>
  <c r="AG138" i="1"/>
  <c r="AG134" i="1"/>
  <c r="U134" i="1" s="1"/>
  <c r="S134" i="1" s="1"/>
  <c r="X127" i="1"/>
  <c r="AG126" i="1"/>
  <c r="X126" i="1"/>
  <c r="AA121" i="1"/>
  <c r="W121" i="1" s="1"/>
  <c r="T114" i="1"/>
  <c r="U114" i="1" s="1"/>
  <c r="S114" i="1" s="1"/>
  <c r="AA113" i="1"/>
  <c r="W113" i="1" s="1"/>
  <c r="AA112" i="1"/>
  <c r="X111" i="1"/>
  <c r="AG110" i="1"/>
  <c r="W110" i="1" s="1"/>
  <c r="X110" i="1"/>
  <c r="AA104" i="1"/>
  <c r="AG206" i="1"/>
  <c r="U206" i="1" s="1"/>
  <c r="S206" i="1" s="1"/>
  <c r="X206" i="1"/>
  <c r="AA98" i="1"/>
  <c r="AG96" i="1"/>
  <c r="AG192" i="1"/>
  <c r="U192" i="1" s="1"/>
  <c r="S192" i="1" s="1"/>
  <c r="AA95" i="1"/>
  <c r="W95" i="1" s="1"/>
  <c r="AA185" i="1"/>
  <c r="W185" i="1" s="1"/>
  <c r="AA179" i="1"/>
  <c r="AA173" i="1"/>
  <c r="W173" i="1" s="1"/>
  <c r="U93" i="1"/>
  <c r="S93" i="1" s="1"/>
  <c r="AA164" i="1"/>
  <c r="W164" i="1" s="1"/>
  <c r="AA162" i="1"/>
  <c r="AA89" i="1"/>
  <c r="W89" i="1" s="1"/>
  <c r="T79" i="1"/>
  <c r="AA78" i="1"/>
  <c r="T75" i="1"/>
  <c r="AA74" i="1"/>
  <c r="W74" i="1" s="1"/>
  <c r="AA73" i="1"/>
  <c r="AA69" i="1"/>
  <c r="W69" i="1" s="1"/>
  <c r="AI68" i="1"/>
  <c r="AA59" i="1"/>
  <c r="W59" i="1" s="1"/>
  <c r="AA54" i="1"/>
  <c r="W54" i="1" s="1"/>
  <c r="AG41" i="1"/>
  <c r="AA217" i="1"/>
  <c r="W215" i="1"/>
  <c r="AA202" i="1"/>
  <c r="X142" i="1"/>
  <c r="W131" i="1"/>
  <c r="X188" i="1"/>
  <c r="T181" i="1"/>
  <c r="W47" i="1"/>
  <c r="W43" i="1"/>
  <c r="W118" i="1"/>
  <c r="AI118" i="1"/>
  <c r="AA216" i="1"/>
  <c r="W216" i="1" s="1"/>
  <c r="T215" i="1"/>
  <c r="U215" i="1" s="1"/>
  <c r="S215" i="1" s="1"/>
  <c r="X211" i="1"/>
  <c r="AA208" i="1"/>
  <c r="W208" i="1" s="1"/>
  <c r="T207" i="1"/>
  <c r="U207" i="1" s="1"/>
  <c r="S207" i="1" s="1"/>
  <c r="X200" i="1"/>
  <c r="AA197" i="1"/>
  <c r="W197" i="1" s="1"/>
  <c r="T196" i="1"/>
  <c r="AA156" i="1"/>
  <c r="W156" i="1" s="1"/>
  <c r="T155" i="1"/>
  <c r="AA148" i="1"/>
  <c r="W148" i="1" s="1"/>
  <c r="X147" i="1"/>
  <c r="X145" i="1"/>
  <c r="T142" i="1"/>
  <c r="AA140" i="1"/>
  <c r="W140" i="1" s="1"/>
  <c r="AG139" i="1"/>
  <c r="U139" i="1" s="1"/>
  <c r="X139" i="1"/>
  <c r="AA138" i="1"/>
  <c r="W138" i="1" s="1"/>
  <c r="X134" i="1"/>
  <c r="T133" i="1"/>
  <c r="U133" i="1" s="1"/>
  <c r="S133" i="1" s="1"/>
  <c r="U131" i="1"/>
  <c r="S131" i="1" s="1"/>
  <c r="X129" i="1"/>
  <c r="AA124" i="1"/>
  <c r="W124" i="1" s="1"/>
  <c r="AG123" i="1"/>
  <c r="AI123" i="1" s="1"/>
  <c r="X123" i="1"/>
  <c r="AA122" i="1"/>
  <c r="AI121" i="1"/>
  <c r="X118" i="1"/>
  <c r="AI152" i="1"/>
  <c r="AG117" i="1"/>
  <c r="T117" i="1"/>
  <c r="AA116" i="1"/>
  <c r="W116" i="1" s="1"/>
  <c r="AI114" i="1"/>
  <c r="AI33" i="1"/>
  <c r="AI184" i="1"/>
  <c r="AI148" i="1"/>
  <c r="T141" i="1"/>
  <c r="U141" i="1" s="1"/>
  <c r="S141" i="1" s="1"/>
  <c r="T125" i="1"/>
  <c r="AI122" i="1"/>
  <c r="W172" i="1"/>
  <c r="U87" i="1"/>
  <c r="S87" i="1" s="1"/>
  <c r="W68" i="1"/>
  <c r="U30" i="1"/>
  <c r="S30" i="1" s="1"/>
  <c r="AA212" i="1"/>
  <c r="T211" i="1"/>
  <c r="U211" i="1" s="1"/>
  <c r="S211" i="1" s="1"/>
  <c r="AA201" i="1"/>
  <c r="W201" i="1" s="1"/>
  <c r="T200" i="1"/>
  <c r="U200" i="1" s="1"/>
  <c r="S200" i="1" s="1"/>
  <c r="AA193" i="1"/>
  <c r="T158" i="1"/>
  <c r="U158" i="1" s="1"/>
  <c r="S158" i="1" s="1"/>
  <c r="AA152" i="1"/>
  <c r="W152" i="1" s="1"/>
  <c r="AI151" i="1"/>
  <c r="AG150" i="1"/>
  <c r="U150" i="1" s="1"/>
  <c r="S150" i="1" s="1"/>
  <c r="AA147" i="1"/>
  <c r="T147" i="1"/>
  <c r="AA145" i="1"/>
  <c r="W145" i="1" s="1"/>
  <c r="AA144" i="1"/>
  <c r="X143" i="1"/>
  <c r="AG142" i="1"/>
  <c r="U142" i="1" s="1"/>
  <c r="S142" i="1" s="1"/>
  <c r="AA139" i="1"/>
  <c r="AA136" i="1"/>
  <c r="AA129" i="1"/>
  <c r="W129" i="1" s="1"/>
  <c r="AA128" i="1"/>
  <c r="U126" i="1"/>
  <c r="AA123" i="1"/>
  <c r="AA120" i="1"/>
  <c r="T118" i="1"/>
  <c r="U118" i="1" s="1"/>
  <c r="S118" i="1" s="1"/>
  <c r="AG109" i="1"/>
  <c r="U109" i="1" s="1"/>
  <c r="S109" i="1" s="1"/>
  <c r="X109" i="1"/>
  <c r="U66" i="1"/>
  <c r="S66" i="1" s="1"/>
  <c r="AI66" i="1"/>
  <c r="AI212" i="1"/>
  <c r="U130" i="1"/>
  <c r="S130" i="1" s="1"/>
  <c r="W117" i="1"/>
  <c r="AI145" i="1"/>
  <c r="U115" i="1"/>
  <c r="S115" i="1" s="1"/>
  <c r="U106" i="1"/>
  <c r="S106" i="1" s="1"/>
  <c r="X100" i="1"/>
  <c r="X96" i="1"/>
  <c r="AA189" i="1"/>
  <c r="AG186" i="1"/>
  <c r="AI186" i="1" s="1"/>
  <c r="X186" i="1"/>
  <c r="X184" i="1"/>
  <c r="AA94" i="1"/>
  <c r="W94" i="1" s="1"/>
  <c r="T178" i="1"/>
  <c r="U178" i="1" s="1"/>
  <c r="S178" i="1" s="1"/>
  <c r="AA177" i="1"/>
  <c r="AG174" i="1"/>
  <c r="AI174" i="1" s="1"/>
  <c r="AA170" i="1"/>
  <c r="AG165" i="1"/>
  <c r="U165" i="1" s="1"/>
  <c r="S165" i="1" s="1"/>
  <c r="AA159" i="1"/>
  <c r="AA90" i="1"/>
  <c r="W90" i="1" s="1"/>
  <c r="T90" i="1"/>
  <c r="AA87" i="1"/>
  <c r="W87" i="1" s="1"/>
  <c r="AA86" i="1"/>
  <c r="W86" i="1" s="1"/>
  <c r="T86" i="1"/>
  <c r="AG83" i="1"/>
  <c r="U83" i="1" s="1"/>
  <c r="S83" i="1" s="1"/>
  <c r="X83" i="1"/>
  <c r="AG81" i="1"/>
  <c r="U81" i="1" s="1"/>
  <c r="S81" i="1" s="1"/>
  <c r="AG79" i="1"/>
  <c r="X78" i="1"/>
  <c r="AA72" i="1"/>
  <c r="T70" i="1"/>
  <c r="U70" i="1" s="1"/>
  <c r="S70" i="1" s="1"/>
  <c r="X69" i="1"/>
  <c r="AG62" i="1"/>
  <c r="U62" i="1" s="1"/>
  <c r="S62" i="1" s="1"/>
  <c r="T61" i="1"/>
  <c r="U48" i="1"/>
  <c r="S48" i="1" s="1"/>
  <c r="U37" i="1"/>
  <c r="S37" i="1" s="1"/>
  <c r="T33" i="1"/>
  <c r="U33" i="1" s="1"/>
  <c r="S33" i="1" s="1"/>
  <c r="T26" i="1"/>
  <c r="T205" i="1"/>
  <c r="U205" i="1" s="1"/>
  <c r="S205" i="1" s="1"/>
  <c r="AA102" i="1"/>
  <c r="T101" i="1"/>
  <c r="AA190" i="1"/>
  <c r="T95" i="1"/>
  <c r="U95" i="1" s="1"/>
  <c r="S95" i="1" s="1"/>
  <c r="T185" i="1"/>
  <c r="U185" i="1" s="1"/>
  <c r="S185" i="1" s="1"/>
  <c r="W179" i="1"/>
  <c r="AI106" i="1"/>
  <c r="T173" i="1"/>
  <c r="U173" i="1" s="1"/>
  <c r="S173" i="1" s="1"/>
  <c r="AA67" i="1"/>
  <c r="AI65" i="1"/>
  <c r="AA56" i="1"/>
  <c r="X53" i="1"/>
  <c r="AA50" i="1"/>
  <c r="AA49" i="1"/>
  <c r="AA46" i="1"/>
  <c r="AA44" i="1"/>
  <c r="X37" i="1"/>
  <c r="T36" i="1"/>
  <c r="U36" i="1" s="1"/>
  <c r="S36" i="1" s="1"/>
  <c r="AG26" i="1"/>
  <c r="U26" i="1" s="1"/>
  <c r="S26" i="1" s="1"/>
  <c r="AA17" i="1"/>
  <c r="T16" i="1"/>
  <c r="U16" i="1" s="1"/>
  <c r="S16" i="1" s="1"/>
  <c r="T100" i="1"/>
  <c r="U100" i="1" s="1"/>
  <c r="S100" i="1" s="1"/>
  <c r="W187" i="1"/>
  <c r="W186" i="1"/>
  <c r="AA181" i="1"/>
  <c r="W178" i="1"/>
  <c r="W174" i="1"/>
  <c r="AG170" i="1"/>
  <c r="U170" i="1" s="1"/>
  <c r="S170" i="1" s="1"/>
  <c r="AA163" i="1"/>
  <c r="W163" i="1" s="1"/>
  <c r="U91" i="1"/>
  <c r="S91" i="1" s="1"/>
  <c r="X86" i="1"/>
  <c r="AA75" i="1"/>
  <c r="AG73" i="1"/>
  <c r="AI73" i="1" s="1"/>
  <c r="T69" i="1"/>
  <c r="U54" i="1"/>
  <c r="S54" i="1" s="1"/>
  <c r="W52" i="1"/>
  <c r="AA34" i="1"/>
  <c r="T28" i="1"/>
  <c r="U28" i="1" s="1"/>
  <c r="S28" i="1" s="1"/>
  <c r="AA115" i="1"/>
  <c r="AA106" i="1"/>
  <c r="W106" i="1" s="1"/>
  <c r="T105" i="1"/>
  <c r="U105" i="1" s="1"/>
  <c r="S105" i="1" s="1"/>
  <c r="AA103" i="1"/>
  <c r="X205" i="1"/>
  <c r="AG101" i="1"/>
  <c r="AA97" i="1"/>
  <c r="W97" i="1" s="1"/>
  <c r="T188" i="1"/>
  <c r="U188" i="1" s="1"/>
  <c r="S188" i="1" s="1"/>
  <c r="AG181" i="1"/>
  <c r="X173" i="1"/>
  <c r="AA165" i="1"/>
  <c r="W165" i="1" s="1"/>
  <c r="AG162" i="1"/>
  <c r="AA161" i="1"/>
  <c r="W161" i="1" s="1"/>
  <c r="AA83" i="1"/>
  <c r="W83" i="1" s="1"/>
  <c r="AA79" i="1"/>
  <c r="AG77" i="1"/>
  <c r="AG75" i="1"/>
  <c r="U75" i="1" s="1"/>
  <c r="S75" i="1" s="1"/>
  <c r="X74" i="1"/>
  <c r="AG67" i="1"/>
  <c r="X67" i="1"/>
  <c r="W66" i="1"/>
  <c r="AA62" i="1"/>
  <c r="AA60" i="1"/>
  <c r="W60" i="1" s="1"/>
  <c r="T53" i="1"/>
  <c r="AA42" i="1"/>
  <c r="W42" i="1" s="1"/>
  <c r="AA40" i="1"/>
  <c r="W33" i="1"/>
  <c r="T32" i="1"/>
  <c r="U32" i="1" s="1"/>
  <c r="S32" i="1" s="1"/>
  <c r="AA27" i="1"/>
  <c r="AA26" i="1"/>
  <c r="AA25" i="1"/>
  <c r="W25" i="1" s="1"/>
  <c r="T24" i="1"/>
  <c r="U24" i="1" s="1"/>
  <c r="S24" i="1" s="1"/>
  <c r="AA21" i="1"/>
  <c r="W21" i="1" s="1"/>
  <c r="T20" i="1"/>
  <c r="AI215" i="1"/>
  <c r="AI207" i="1"/>
  <c r="AI201" i="1"/>
  <c r="U196" i="1"/>
  <c r="S196" i="1" s="1"/>
  <c r="U155" i="1"/>
  <c r="S155" i="1" s="1"/>
  <c r="AI185" i="1"/>
  <c r="AI211" i="1"/>
  <c r="AI187" i="1"/>
  <c r="U151" i="1"/>
  <c r="S151" i="1" s="1"/>
  <c r="W211" i="1"/>
  <c r="W158" i="1"/>
  <c r="W153" i="1"/>
  <c r="W151" i="1"/>
  <c r="U216" i="1"/>
  <c r="S216" i="1" s="1"/>
  <c r="T144" i="1"/>
  <c r="X144" i="1"/>
  <c r="T128" i="1"/>
  <c r="X128" i="1"/>
  <c r="AG209" i="1"/>
  <c r="AG218" i="1"/>
  <c r="AG210" i="1"/>
  <c r="AG199" i="1"/>
  <c r="AI199" i="1" s="1"/>
  <c r="X198" i="1"/>
  <c r="T198" i="1"/>
  <c r="U198" i="1" s="1"/>
  <c r="S198" i="1" s="1"/>
  <c r="AI200" i="1"/>
  <c r="X137" i="1"/>
  <c r="T136" i="1"/>
  <c r="X136" i="1"/>
  <c r="T135" i="1"/>
  <c r="AI165" i="1"/>
  <c r="AI158" i="1"/>
  <c r="X121" i="1"/>
  <c r="T120" i="1"/>
  <c r="X120" i="1"/>
  <c r="T119" i="1"/>
  <c r="AI150" i="1"/>
  <c r="AI137" i="1"/>
  <c r="AG102" i="1"/>
  <c r="AI102" i="1" s="1"/>
  <c r="T102" i="1"/>
  <c r="X102" i="1"/>
  <c r="AG191" i="1"/>
  <c r="AI191" i="1" s="1"/>
  <c r="T191" i="1"/>
  <c r="X192" i="1"/>
  <c r="X191" i="1"/>
  <c r="U186" i="1"/>
  <c r="S186" i="1" s="1"/>
  <c r="T183" i="1"/>
  <c r="X183" i="1"/>
  <c r="AG183" i="1"/>
  <c r="X182" i="1"/>
  <c r="AG182" i="1"/>
  <c r="AI182" i="1" s="1"/>
  <c r="U161" i="1"/>
  <c r="S161" i="1" s="1"/>
  <c r="AG57" i="1"/>
  <c r="T57" i="1"/>
  <c r="X58" i="1"/>
  <c r="X57" i="1"/>
  <c r="U51" i="1"/>
  <c r="S51" i="1" s="1"/>
  <c r="U208" i="1"/>
  <c r="S208" i="1" s="1"/>
  <c r="U201" i="1"/>
  <c r="S201" i="1" s="1"/>
  <c r="U197" i="1"/>
  <c r="S197" i="1" s="1"/>
  <c r="U152" i="1"/>
  <c r="S152" i="1" s="1"/>
  <c r="U148" i="1"/>
  <c r="S148" i="1" s="1"/>
  <c r="T143" i="1"/>
  <c r="U138" i="1"/>
  <c r="S138" i="1" s="1"/>
  <c r="T127" i="1"/>
  <c r="AG217" i="1"/>
  <c r="AG213" i="1"/>
  <c r="AG202" i="1"/>
  <c r="W202" i="1" s="1"/>
  <c r="AG194" i="1"/>
  <c r="W194" i="1" s="1"/>
  <c r="AG157" i="1"/>
  <c r="AI157" i="1" s="1"/>
  <c r="S32" i="3"/>
  <c r="S31" i="3"/>
  <c r="X217" i="1"/>
  <c r="AI216" i="1"/>
  <c r="AG214" i="1"/>
  <c r="X213" i="1"/>
  <c r="X209" i="1"/>
  <c r="AI208" i="1"/>
  <c r="AG203" i="1"/>
  <c r="W203" i="1" s="1"/>
  <c r="X202" i="1"/>
  <c r="AG195" i="1"/>
  <c r="AI195" i="1" s="1"/>
  <c r="X194" i="1"/>
  <c r="AG154" i="1"/>
  <c r="X153" i="1"/>
  <c r="T153" i="1"/>
  <c r="U153" i="1" s="1"/>
  <c r="S153" i="1" s="1"/>
  <c r="X149" i="1"/>
  <c r="T149" i="1"/>
  <c r="U149" i="1" s="1"/>
  <c r="S149" i="1" s="1"/>
  <c r="R32" i="3"/>
  <c r="R31" i="3"/>
  <c r="X218" i="1"/>
  <c r="X214" i="1"/>
  <c r="X210" i="1"/>
  <c r="X203" i="1"/>
  <c r="X199" i="1"/>
  <c r="X195" i="1"/>
  <c r="X154" i="1"/>
  <c r="X150" i="1"/>
  <c r="AG147" i="1"/>
  <c r="X146" i="1"/>
  <c r="T145" i="1"/>
  <c r="U145" i="1" s="1"/>
  <c r="S145" i="1" s="1"/>
  <c r="AA143" i="1"/>
  <c r="AI178" i="1"/>
  <c r="X141" i="1"/>
  <c r="T140" i="1"/>
  <c r="U140" i="1" s="1"/>
  <c r="S140" i="1" s="1"/>
  <c r="X140" i="1"/>
  <c r="AG136" i="1"/>
  <c r="AI136" i="1" s="1"/>
  <c r="AG135" i="1"/>
  <c r="X130" i="1"/>
  <c r="T129" i="1"/>
  <c r="U129" i="1" s="1"/>
  <c r="S129" i="1" s="1"/>
  <c r="AA127" i="1"/>
  <c r="S126" i="1"/>
  <c r="X125" i="1"/>
  <c r="T124" i="1"/>
  <c r="U124" i="1" s="1"/>
  <c r="S124" i="1" s="1"/>
  <c r="X124" i="1"/>
  <c r="AG120" i="1"/>
  <c r="AI120" i="1" s="1"/>
  <c r="AG119" i="1"/>
  <c r="AI119" i="1" s="1"/>
  <c r="U117" i="1"/>
  <c r="S117" i="1" s="1"/>
  <c r="X114" i="1"/>
  <c r="T113" i="1"/>
  <c r="U113" i="1" s="1"/>
  <c r="S113" i="1" s="1"/>
  <c r="AA111" i="1"/>
  <c r="AI133" i="1"/>
  <c r="AI132" i="1"/>
  <c r="AG98" i="1"/>
  <c r="AI98" i="1" s="1"/>
  <c r="T98" i="1"/>
  <c r="X98" i="1"/>
  <c r="AI113" i="1"/>
  <c r="AI97" i="1"/>
  <c r="AG76" i="1"/>
  <c r="W76" i="1" s="1"/>
  <c r="T76" i="1"/>
  <c r="X76" i="1"/>
  <c r="AI58" i="1"/>
  <c r="S139" i="1"/>
  <c r="T112" i="1"/>
  <c r="X112" i="1"/>
  <c r="T111" i="1"/>
  <c r="AG107" i="1"/>
  <c r="T107" i="1"/>
  <c r="X107" i="1"/>
  <c r="AI129" i="1"/>
  <c r="U94" i="1"/>
  <c r="S94" i="1" s="1"/>
  <c r="AI96" i="1"/>
  <c r="U162" i="1"/>
  <c r="S162" i="1" s="1"/>
  <c r="AI78" i="1"/>
  <c r="U78" i="1"/>
  <c r="S78" i="1" s="1"/>
  <c r="AI18" i="1"/>
  <c r="U18" i="1"/>
  <c r="S18" i="1" s="1"/>
  <c r="AG144" i="1"/>
  <c r="AG143" i="1"/>
  <c r="X138" i="1"/>
  <c r="T137" i="1"/>
  <c r="U137" i="1" s="1"/>
  <c r="S137" i="1" s="1"/>
  <c r="AA135" i="1"/>
  <c r="T132" i="1"/>
  <c r="U132" i="1" s="1"/>
  <c r="S132" i="1" s="1"/>
  <c r="X132" i="1"/>
  <c r="AG128" i="1"/>
  <c r="W128" i="1" s="1"/>
  <c r="AG127" i="1"/>
  <c r="AI127" i="1" s="1"/>
  <c r="U125" i="1"/>
  <c r="S125" i="1" s="1"/>
  <c r="X122" i="1"/>
  <c r="T121" i="1"/>
  <c r="U121" i="1" s="1"/>
  <c r="S121" i="1" s="1"/>
  <c r="AA119" i="1"/>
  <c r="T116" i="1"/>
  <c r="U116" i="1" s="1"/>
  <c r="S116" i="1" s="1"/>
  <c r="X116" i="1"/>
  <c r="AG112" i="1"/>
  <c r="W112" i="1" s="1"/>
  <c r="AG111" i="1"/>
  <c r="AI111" i="1" s="1"/>
  <c r="U110" i="1"/>
  <c r="S110" i="1" s="1"/>
  <c r="AI141" i="1"/>
  <c r="AI140" i="1"/>
  <c r="AG103" i="1"/>
  <c r="AI103" i="1" s="1"/>
  <c r="T103" i="1"/>
  <c r="X103" i="1"/>
  <c r="W205" i="1"/>
  <c r="U101" i="1"/>
  <c r="S101" i="1" s="1"/>
  <c r="AI128" i="1"/>
  <c r="U96" i="1"/>
  <c r="S96" i="1" s="1"/>
  <c r="W183" i="1"/>
  <c r="AG177" i="1"/>
  <c r="T177" i="1"/>
  <c r="X178" i="1"/>
  <c r="X177" i="1"/>
  <c r="U174" i="1"/>
  <c r="S174" i="1" s="1"/>
  <c r="T167" i="1"/>
  <c r="X167" i="1"/>
  <c r="AG167" i="1"/>
  <c r="AI167" i="1" s="1"/>
  <c r="X166" i="1"/>
  <c r="AG166" i="1"/>
  <c r="AI166" i="1" s="1"/>
  <c r="AI95" i="1"/>
  <c r="AG160" i="1"/>
  <c r="AI160" i="1" s="1"/>
  <c r="T160" i="1"/>
  <c r="AI79" i="1"/>
  <c r="AG108" i="1"/>
  <c r="W108" i="1" s="1"/>
  <c r="AG104" i="1"/>
  <c r="AG204" i="1"/>
  <c r="AI204" i="1" s="1"/>
  <c r="AG99" i="1"/>
  <c r="AI99" i="1" s="1"/>
  <c r="W96" i="1"/>
  <c r="T190" i="1"/>
  <c r="X190" i="1"/>
  <c r="T189" i="1"/>
  <c r="T176" i="1"/>
  <c r="X176" i="1"/>
  <c r="T175" i="1"/>
  <c r="AI104" i="1"/>
  <c r="W162" i="1"/>
  <c r="T159" i="1"/>
  <c r="X92" i="1"/>
  <c r="AI87" i="1"/>
  <c r="AI86" i="1"/>
  <c r="U86" i="1"/>
  <c r="S86" i="1" s="1"/>
  <c r="AG84" i="1"/>
  <c r="W84" i="1" s="1"/>
  <c r="T84" i="1"/>
  <c r="X84" i="1"/>
  <c r="AI60" i="1"/>
  <c r="X108" i="1"/>
  <c r="X104" i="1"/>
  <c r="X204" i="1"/>
  <c r="X99" i="1"/>
  <c r="T97" i="1"/>
  <c r="U97" i="1" s="1"/>
  <c r="S97" i="1" s="1"/>
  <c r="X97" i="1"/>
  <c r="AG190" i="1"/>
  <c r="W190" i="1" s="1"/>
  <c r="AG189" i="1"/>
  <c r="AI189" i="1" s="1"/>
  <c r="X185" i="1"/>
  <c r="T184" i="1"/>
  <c r="U184" i="1" s="1"/>
  <c r="S184" i="1" s="1"/>
  <c r="AA182" i="1"/>
  <c r="W182" i="1" s="1"/>
  <c r="X180" i="1"/>
  <c r="T179" i="1"/>
  <c r="U179" i="1" s="1"/>
  <c r="S179" i="1" s="1"/>
  <c r="X179" i="1"/>
  <c r="AG176" i="1"/>
  <c r="AI176" i="1" s="1"/>
  <c r="AG175" i="1"/>
  <c r="W175" i="1" s="1"/>
  <c r="X93" i="1"/>
  <c r="T168" i="1"/>
  <c r="U168" i="1" s="1"/>
  <c r="S168" i="1" s="1"/>
  <c r="AA166" i="1"/>
  <c r="W166" i="1" s="1"/>
  <c r="X164" i="1"/>
  <c r="T163" i="1"/>
  <c r="U163" i="1" s="1"/>
  <c r="S163" i="1" s="1"/>
  <c r="AG159" i="1"/>
  <c r="AI159" i="1" s="1"/>
  <c r="AI91" i="1"/>
  <c r="AI83" i="1"/>
  <c r="AI82" i="1"/>
  <c r="U82" i="1"/>
  <c r="S82" i="1" s="1"/>
  <c r="AG80" i="1"/>
  <c r="T80" i="1"/>
  <c r="X80" i="1"/>
  <c r="W78" i="1"/>
  <c r="AI59" i="1"/>
  <c r="U59" i="1"/>
  <c r="S59" i="1" s="1"/>
  <c r="W58" i="1"/>
  <c r="T187" i="1"/>
  <c r="U187" i="1" s="1"/>
  <c r="S187" i="1" s="1"/>
  <c r="X187" i="1"/>
  <c r="U180" i="1"/>
  <c r="S180" i="1" s="1"/>
  <c r="T172" i="1"/>
  <c r="U172" i="1" s="1"/>
  <c r="S172" i="1" s="1"/>
  <c r="U164" i="1"/>
  <c r="S164" i="1" s="1"/>
  <c r="U92" i="1"/>
  <c r="S92" i="1" s="1"/>
  <c r="AI92" i="1"/>
  <c r="AI90" i="1"/>
  <c r="U90" i="1"/>
  <c r="S90" i="1" s="1"/>
  <c r="U89" i="1"/>
  <c r="S89" i="1" s="1"/>
  <c r="AG88" i="1"/>
  <c r="T88" i="1"/>
  <c r="X88" i="1"/>
  <c r="AI75" i="1"/>
  <c r="AI74" i="1"/>
  <c r="U74" i="1"/>
  <c r="S74" i="1" s="1"/>
  <c r="AG72" i="1"/>
  <c r="T72" i="1"/>
  <c r="X72" i="1"/>
  <c r="U67" i="1"/>
  <c r="S67" i="1" s="1"/>
  <c r="T64" i="1"/>
  <c r="X64" i="1"/>
  <c r="AG64" i="1"/>
  <c r="W64" i="1" s="1"/>
  <c r="X63" i="1"/>
  <c r="AG63" i="1"/>
  <c r="T71" i="1"/>
  <c r="AI67" i="1"/>
  <c r="T56" i="1"/>
  <c r="X56" i="1"/>
  <c r="T55" i="1"/>
  <c r="AI51" i="1"/>
  <c r="AI41" i="1"/>
  <c r="U41" i="1"/>
  <c r="S41" i="1" s="1"/>
  <c r="U20" i="1"/>
  <c r="S20" i="1" s="1"/>
  <c r="U14" i="1"/>
  <c r="S14" i="1" s="1"/>
  <c r="X89" i="1"/>
  <c r="X85" i="1"/>
  <c r="X81" i="1"/>
  <c r="X77" i="1"/>
  <c r="X73" i="1"/>
  <c r="AG71" i="1"/>
  <c r="W71" i="1" s="1"/>
  <c r="U69" i="1"/>
  <c r="S69" i="1" s="1"/>
  <c r="X66" i="1"/>
  <c r="T65" i="1"/>
  <c r="U65" i="1" s="1"/>
  <c r="S65" i="1" s="1"/>
  <c r="AA63" i="1"/>
  <c r="X61" i="1"/>
  <c r="T60" i="1"/>
  <c r="U60" i="1" s="1"/>
  <c r="S60" i="1" s="1"/>
  <c r="X60" i="1"/>
  <c r="AG56" i="1"/>
  <c r="AG55" i="1"/>
  <c r="U53" i="1"/>
  <c r="S53" i="1" s="1"/>
  <c r="AG40" i="1"/>
  <c r="T40" i="1"/>
  <c r="W35" i="1"/>
  <c r="T23" i="1"/>
  <c r="X23" i="1"/>
  <c r="AG23" i="1"/>
  <c r="W23" i="1" s="1"/>
  <c r="X24" i="1"/>
  <c r="T68" i="1"/>
  <c r="U68" i="1" s="1"/>
  <c r="S68" i="1" s="1"/>
  <c r="X68" i="1"/>
  <c r="U61" i="1"/>
  <c r="S61" i="1" s="1"/>
  <c r="AA55" i="1"/>
  <c r="T52" i="1"/>
  <c r="U52" i="1" s="1"/>
  <c r="S52" i="1" s="1"/>
  <c r="X52" i="1"/>
  <c r="T46" i="1"/>
  <c r="X46" i="1"/>
  <c r="AG46" i="1"/>
  <c r="AG45" i="1"/>
  <c r="AI42" i="1"/>
  <c r="T15" i="1"/>
  <c r="X15" i="1"/>
  <c r="AG15" i="1"/>
  <c r="W15" i="1" s="1"/>
  <c r="X16" i="1"/>
  <c r="AG49" i="1"/>
  <c r="W49" i="1" s="1"/>
  <c r="X49" i="1"/>
  <c r="T43" i="1"/>
  <c r="U43" i="1" s="1"/>
  <c r="S43" i="1" s="1"/>
  <c r="W41" i="1"/>
  <c r="T39" i="1"/>
  <c r="T38" i="1"/>
  <c r="AG34" i="1"/>
  <c r="X34" i="1"/>
  <c r="AI30" i="1"/>
  <c r="X48" i="1"/>
  <c r="T47" i="1"/>
  <c r="U47" i="1" s="1"/>
  <c r="S47" i="1" s="1"/>
  <c r="AA45" i="1"/>
  <c r="T42" i="1"/>
  <c r="U42" i="1" s="1"/>
  <c r="S42" i="1" s="1"/>
  <c r="AG39" i="1"/>
  <c r="AG38" i="1"/>
  <c r="AA22" i="1"/>
  <c r="T19" i="1"/>
  <c r="X19" i="1"/>
  <c r="AG19" i="1"/>
  <c r="W19" i="1" s="1"/>
  <c r="X20" i="1"/>
  <c r="AA14" i="1"/>
  <c r="W14" i="1" s="1"/>
  <c r="W38" i="1"/>
  <c r="T35" i="1"/>
  <c r="U35" i="1" s="1"/>
  <c r="S35" i="1" s="1"/>
  <c r="X35" i="1"/>
  <c r="T31" i="1"/>
  <c r="X31" i="1"/>
  <c r="AG31" i="1"/>
  <c r="X32" i="1"/>
  <c r="U29" i="1"/>
  <c r="S29" i="1" s="1"/>
  <c r="T27" i="1"/>
  <c r="X27" i="1"/>
  <c r="AG27" i="1"/>
  <c r="X28" i="1"/>
  <c r="AI14" i="1"/>
  <c r="U25" i="1"/>
  <c r="S25" i="1" s="1"/>
  <c r="U21" i="1"/>
  <c r="S21" i="1" s="1"/>
  <c r="X18" i="1"/>
  <c r="Y20" i="3"/>
  <c r="Y7" i="3"/>
  <c r="AD9" i="3"/>
  <c r="Y10" i="3"/>
  <c r="Y27" i="3"/>
  <c r="AD25" i="3"/>
  <c r="Y29" i="3"/>
  <c r="AD13" i="3"/>
  <c r="AE11" i="3"/>
  <c r="AD8" i="3"/>
  <c r="AE27" i="3"/>
  <c r="AD24" i="3"/>
  <c r="AE24" i="3"/>
  <c r="Y16" i="3"/>
  <c r="AD19" i="3"/>
  <c r="AD16" i="3"/>
  <c r="AE16" i="3"/>
  <c r="AD12" i="3"/>
  <c r="AE12" i="3"/>
  <c r="AD11" i="3"/>
  <c r="T32" i="3"/>
  <c r="T8" i="3"/>
  <c r="T13" i="3"/>
  <c r="Y32" i="3"/>
  <c r="AE19" i="3"/>
  <c r="Y8" i="3"/>
  <c r="T20" i="3"/>
  <c r="T26" i="3"/>
  <c r="T11" i="3"/>
  <c r="Y11" i="3"/>
  <c r="AE31" i="3"/>
  <c r="AC24" i="3"/>
  <c r="Y13" i="3"/>
  <c r="T19" i="3"/>
  <c r="AE20" i="3"/>
  <c r="Y12" i="3"/>
  <c r="AE15" i="3"/>
  <c r="AC15" i="3"/>
  <c r="AD31" i="3"/>
  <c r="AE26" i="3"/>
  <c r="T27" i="3"/>
  <c r="AE22" i="3"/>
  <c r="T21" i="3"/>
  <c r="AE14" i="3"/>
  <c r="T17" i="3"/>
  <c r="AE10" i="3"/>
  <c r="T7" i="3"/>
  <c r="AE30" i="3"/>
  <c r="T25" i="3"/>
  <c r="AE18" i="3"/>
  <c r="T30" i="3"/>
  <c r="AD30" i="3"/>
  <c r="AE29" i="3"/>
  <c r="T24" i="3"/>
  <c r="AD26" i="3"/>
  <c r="AE25" i="3"/>
  <c r="T28" i="3"/>
  <c r="AD22" i="3"/>
  <c r="AE21" i="3"/>
  <c r="T16" i="3"/>
  <c r="AD18" i="3"/>
  <c r="AE17" i="3"/>
  <c r="T18" i="3"/>
  <c r="AD14" i="3"/>
  <c r="AE13" i="3"/>
  <c r="T15" i="3"/>
  <c r="AD10" i="3"/>
  <c r="AE9" i="3"/>
  <c r="T22" i="3"/>
  <c r="AE8" i="3"/>
  <c r="S33" i="3"/>
  <c r="R33" i="3"/>
  <c r="M33" i="3"/>
  <c r="U33" i="3"/>
  <c r="V33" i="3"/>
  <c r="W33" i="3"/>
  <c r="X33" i="3"/>
  <c r="AI171" i="1" l="1"/>
  <c r="U171" i="1"/>
  <c r="S171" i="1" s="1"/>
  <c r="W171" i="1"/>
  <c r="AE33" i="3"/>
  <c r="W88" i="1"/>
  <c r="AI192" i="1"/>
  <c r="U156" i="1"/>
  <c r="S156" i="1" s="1"/>
  <c r="W101" i="1"/>
  <c r="W31" i="1"/>
  <c r="W192" i="1"/>
  <c r="U17" i="1"/>
  <c r="S17" i="1" s="1"/>
  <c r="AI44" i="1"/>
  <c r="W34" i="1"/>
  <c r="W206" i="1"/>
  <c r="W79" i="1"/>
  <c r="W17" i="1"/>
  <c r="W44" i="1"/>
  <c r="W102" i="1"/>
  <c r="W193" i="1"/>
  <c r="W212" i="1"/>
  <c r="W122" i="1"/>
  <c r="U79" i="1"/>
  <c r="S79" i="1" s="1"/>
  <c r="AI22" i="1"/>
  <c r="AI26" i="1"/>
  <c r="W50" i="1"/>
  <c r="W62" i="1"/>
  <c r="W191" i="1"/>
  <c r="W119" i="1"/>
  <c r="W135" i="1"/>
  <c r="U123" i="1"/>
  <c r="S123" i="1" s="1"/>
  <c r="W85" i="1"/>
  <c r="W29" i="1"/>
  <c r="W22" i="1"/>
  <c r="W55" i="1"/>
  <c r="AI62" i="1"/>
  <c r="U73" i="1"/>
  <c r="S73" i="1" s="1"/>
  <c r="U85" i="1"/>
  <c r="S85" i="1" s="1"/>
  <c r="AI112" i="1"/>
  <c r="W139" i="1"/>
  <c r="W214" i="1"/>
  <c r="W213" i="1"/>
  <c r="W123" i="1"/>
  <c r="W115" i="1"/>
  <c r="AI50" i="1"/>
  <c r="W37" i="1"/>
  <c r="W26" i="1"/>
  <c r="W142" i="1"/>
  <c r="W134" i="1"/>
  <c r="W75" i="1"/>
  <c r="W146" i="1"/>
  <c r="W48" i="1"/>
  <c r="W177" i="1"/>
  <c r="AI177" i="1"/>
  <c r="AI175" i="1"/>
  <c r="W199" i="1"/>
  <c r="W204" i="1"/>
  <c r="U77" i="1"/>
  <c r="S77" i="1" s="1"/>
  <c r="AI77" i="1"/>
  <c r="U181" i="1"/>
  <c r="S181" i="1" s="1"/>
  <c r="AI181" i="1"/>
  <c r="AI81" i="1"/>
  <c r="W81" i="1"/>
  <c r="W73" i="1"/>
  <c r="W45" i="1"/>
  <c r="W144" i="1"/>
  <c r="AI144" i="1"/>
  <c r="W98" i="1"/>
  <c r="W67" i="1"/>
  <c r="W77" i="1"/>
  <c r="W107" i="1"/>
  <c r="AI107" i="1"/>
  <c r="AI203" i="1"/>
  <c r="W181" i="1"/>
  <c r="W170" i="1"/>
  <c r="W150" i="1"/>
  <c r="U80" i="1"/>
  <c r="S80" i="1" s="1"/>
  <c r="AI80" i="1"/>
  <c r="U27" i="1"/>
  <c r="S27" i="1" s="1"/>
  <c r="AI27" i="1"/>
  <c r="AI71" i="1"/>
  <c r="U71" i="1"/>
  <c r="S71" i="1" s="1"/>
  <c r="AI109" i="1"/>
  <c r="U176" i="1"/>
  <c r="S176" i="1" s="1"/>
  <c r="W176" i="1"/>
  <c r="U99" i="1"/>
  <c r="S99" i="1" s="1"/>
  <c r="W99" i="1"/>
  <c r="AI131" i="1"/>
  <c r="U76" i="1"/>
  <c r="S76" i="1" s="1"/>
  <c r="AI76" i="1"/>
  <c r="U98" i="1"/>
  <c r="S98" i="1" s="1"/>
  <c r="AI130" i="1"/>
  <c r="W111" i="1"/>
  <c r="AI154" i="1"/>
  <c r="U119" i="1"/>
  <c r="S119" i="1" s="1"/>
  <c r="AI172" i="1"/>
  <c r="U136" i="1"/>
  <c r="S136" i="1" s="1"/>
  <c r="U154" i="1"/>
  <c r="S154" i="1" s="1"/>
  <c r="AI190" i="1"/>
  <c r="AI193" i="1"/>
  <c r="U157" i="1"/>
  <c r="S157" i="1" s="1"/>
  <c r="AI217" i="1"/>
  <c r="U217" i="1"/>
  <c r="S217" i="1" s="1"/>
  <c r="AI117" i="1"/>
  <c r="U183" i="1"/>
  <c r="S183" i="1" s="1"/>
  <c r="U199" i="1"/>
  <c r="S199" i="1" s="1"/>
  <c r="AI202" i="1"/>
  <c r="AI218" i="1"/>
  <c r="U218" i="1"/>
  <c r="S218" i="1" s="1"/>
  <c r="W157" i="1"/>
  <c r="W217" i="1"/>
  <c r="AI56" i="1"/>
  <c r="U56" i="1"/>
  <c r="S56" i="1" s="1"/>
  <c r="W56" i="1"/>
  <c r="AI63" i="1"/>
  <c r="U63" i="1"/>
  <c r="S63" i="1" s="1"/>
  <c r="AI93" i="1"/>
  <c r="U159" i="1"/>
  <c r="S159" i="1" s="1"/>
  <c r="W159" i="1"/>
  <c r="AI124" i="1"/>
  <c r="U189" i="1"/>
  <c r="S189" i="1" s="1"/>
  <c r="W80" i="1"/>
  <c r="U160" i="1"/>
  <c r="S160" i="1" s="1"/>
  <c r="AI94" i="1"/>
  <c r="U177" i="1"/>
  <c r="S177" i="1" s="1"/>
  <c r="AI110" i="1"/>
  <c r="U107" i="1"/>
  <c r="S107" i="1" s="1"/>
  <c r="AI142" i="1"/>
  <c r="AI183" i="1"/>
  <c r="U147" i="1"/>
  <c r="S147" i="1" s="1"/>
  <c r="AI205" i="1"/>
  <c r="U202" i="1"/>
  <c r="S202" i="1" s="1"/>
  <c r="AI116" i="1"/>
  <c r="U182" i="1"/>
  <c r="S182" i="1" s="1"/>
  <c r="U210" i="1"/>
  <c r="S210" i="1" s="1"/>
  <c r="AI210" i="1"/>
  <c r="U19" i="1"/>
  <c r="S19" i="1" s="1"/>
  <c r="AI19" i="1"/>
  <c r="AI38" i="1"/>
  <c r="U38" i="1"/>
  <c r="S38" i="1" s="1"/>
  <c r="AI45" i="1"/>
  <c r="U45" i="1"/>
  <c r="S45" i="1" s="1"/>
  <c r="AI39" i="1"/>
  <c r="U39" i="1"/>
  <c r="S39" i="1" s="1"/>
  <c r="W39" i="1"/>
  <c r="W27" i="1"/>
  <c r="W63" i="1"/>
  <c r="AI64" i="1"/>
  <c r="U64" i="1"/>
  <c r="S64" i="1" s="1"/>
  <c r="U31" i="1"/>
  <c r="S31" i="1" s="1"/>
  <c r="AI31" i="1"/>
  <c r="U15" i="1"/>
  <c r="S15" i="1" s="1"/>
  <c r="AI15" i="1"/>
  <c r="AI46" i="1"/>
  <c r="U46" i="1"/>
  <c r="S46" i="1" s="1"/>
  <c r="U40" i="1"/>
  <c r="S40" i="1" s="1"/>
  <c r="AI40" i="1"/>
  <c r="AI55" i="1"/>
  <c r="U55" i="1"/>
  <c r="S55" i="1" s="1"/>
  <c r="W40" i="1"/>
  <c r="W46" i="1"/>
  <c r="U88" i="1"/>
  <c r="S88" i="1" s="1"/>
  <c r="AI88" i="1"/>
  <c r="W189" i="1"/>
  <c r="U84" i="1"/>
  <c r="S84" i="1" s="1"/>
  <c r="AI84" i="1"/>
  <c r="U204" i="1"/>
  <c r="S204" i="1" s="1"/>
  <c r="AI135" i="1"/>
  <c r="AI100" i="1"/>
  <c r="U166" i="1"/>
  <c r="S166" i="1" s="1"/>
  <c r="AI155" i="1"/>
  <c r="U120" i="1"/>
  <c r="S120" i="1" s="1"/>
  <c r="U195" i="1"/>
  <c r="S195" i="1" s="1"/>
  <c r="AI198" i="1"/>
  <c r="AI197" i="1"/>
  <c r="U194" i="1"/>
  <c r="S194" i="1" s="1"/>
  <c r="U57" i="1"/>
  <c r="S57" i="1" s="1"/>
  <c r="AI57" i="1"/>
  <c r="U102" i="1"/>
  <c r="S102" i="1" s="1"/>
  <c r="AI134" i="1"/>
  <c r="AI209" i="1"/>
  <c r="U209" i="1"/>
  <c r="S209" i="1" s="1"/>
  <c r="W154" i="1"/>
  <c r="W195" i="1"/>
  <c r="W218" i="1"/>
  <c r="W209" i="1"/>
  <c r="AI34" i="1"/>
  <c r="U34" i="1"/>
  <c r="S34" i="1" s="1"/>
  <c r="U23" i="1"/>
  <c r="S23" i="1" s="1"/>
  <c r="AI23" i="1"/>
  <c r="U104" i="1"/>
  <c r="S104" i="1" s="1"/>
  <c r="AI139" i="1"/>
  <c r="W104" i="1"/>
  <c r="U103" i="1"/>
  <c r="S103" i="1" s="1"/>
  <c r="AI138" i="1"/>
  <c r="AI146" i="1"/>
  <c r="U111" i="1"/>
  <c r="S111" i="1" s="1"/>
  <c r="AI161" i="1"/>
  <c r="U127" i="1"/>
  <c r="S127" i="1" s="1"/>
  <c r="AI179" i="1"/>
  <c r="U143" i="1"/>
  <c r="S143" i="1" s="1"/>
  <c r="W210" i="1"/>
  <c r="W147" i="1"/>
  <c r="AI49" i="1"/>
  <c r="U49" i="1"/>
  <c r="S49" i="1" s="1"/>
  <c r="U72" i="1"/>
  <c r="S72" i="1" s="1"/>
  <c r="AI72" i="1"/>
  <c r="AI108" i="1"/>
  <c r="U175" i="1"/>
  <c r="S175" i="1" s="1"/>
  <c r="AI125" i="1"/>
  <c r="U190" i="1"/>
  <c r="S190" i="1" s="1"/>
  <c r="U108" i="1"/>
  <c r="S108" i="1" s="1"/>
  <c r="AI143" i="1"/>
  <c r="AI101" i="1"/>
  <c r="U167" i="1"/>
  <c r="S167" i="1" s="1"/>
  <c r="U112" i="1"/>
  <c r="S112" i="1" s="1"/>
  <c r="AI147" i="1"/>
  <c r="AI162" i="1"/>
  <c r="U128" i="1"/>
  <c r="S128" i="1" s="1"/>
  <c r="AI180" i="1"/>
  <c r="U144" i="1"/>
  <c r="S144" i="1" s="1"/>
  <c r="W160" i="1"/>
  <c r="W167" i="1"/>
  <c r="W103" i="1"/>
  <c r="W127" i="1"/>
  <c r="AI170" i="1"/>
  <c r="U135" i="1"/>
  <c r="S135" i="1" s="1"/>
  <c r="W143" i="1"/>
  <c r="AI194" i="1"/>
  <c r="AI206" i="1"/>
  <c r="U203" i="1"/>
  <c r="S203" i="1" s="1"/>
  <c r="U214" i="1"/>
  <c r="S214" i="1" s="1"/>
  <c r="AI214" i="1"/>
  <c r="AI213" i="1"/>
  <c r="U213" i="1"/>
  <c r="S213" i="1" s="1"/>
  <c r="W72" i="1"/>
  <c r="U191" i="1"/>
  <c r="S191" i="1" s="1"/>
  <c r="AI126" i="1"/>
  <c r="W120" i="1"/>
  <c r="W136" i="1"/>
  <c r="AC33" i="3"/>
  <c r="AD33" i="3"/>
  <c r="T33" i="3"/>
  <c r="Y33" i="3"/>
  <c r="B3" i="6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3" i="3" s="1"/>
  <c r="G33" i="4"/>
  <c r="G34" i="4"/>
  <c r="G35" i="4"/>
  <c r="G36" i="4"/>
  <c r="G37" i="4"/>
  <c r="G38" i="4"/>
  <c r="G39" i="4"/>
  <c r="G40" i="4"/>
  <c r="N22" i="3" s="1"/>
  <c r="G41" i="4"/>
  <c r="G42" i="4"/>
  <c r="G43" i="4"/>
  <c r="G44" i="4"/>
  <c r="G45" i="4"/>
  <c r="G46" i="4"/>
  <c r="N7" i="3" s="1"/>
  <c r="G47" i="4"/>
  <c r="N14" i="3" s="1"/>
  <c r="G48" i="4"/>
  <c r="G49" i="4"/>
  <c r="G50" i="4"/>
  <c r="G51" i="4"/>
  <c r="N20" i="3" s="1"/>
  <c r="G52" i="4"/>
  <c r="G53" i="4"/>
  <c r="G54" i="4"/>
  <c r="G55" i="4"/>
  <c r="N23" i="3" s="1"/>
  <c r="G56" i="4"/>
  <c r="G57" i="4"/>
  <c r="G58" i="4"/>
  <c r="G59" i="4"/>
  <c r="G60" i="4"/>
  <c r="G61" i="4"/>
  <c r="G62" i="4"/>
  <c r="G63" i="4"/>
  <c r="G64" i="4"/>
  <c r="N15" i="3" s="1"/>
  <c r="G65" i="4"/>
  <c r="G66" i="4"/>
  <c r="G67" i="4"/>
  <c r="N17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8" i="3" s="1"/>
  <c r="G88" i="4"/>
  <c r="N12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8" i="3" s="1"/>
  <c r="G113" i="4"/>
  <c r="G114" i="4"/>
  <c r="G115" i="4"/>
  <c r="G116" i="4"/>
  <c r="G117" i="4"/>
  <c r="G118" i="4"/>
  <c r="G119" i="4"/>
  <c r="G120" i="4"/>
  <c r="N16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21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N19" i="3" s="1"/>
  <c r="G150" i="4"/>
  <c r="G151" i="4"/>
  <c r="G152" i="4"/>
  <c r="G153" i="4"/>
  <c r="G154" i="4"/>
  <c r="G155" i="4"/>
  <c r="G156" i="4"/>
  <c r="G157" i="4"/>
  <c r="G158" i="4"/>
  <c r="N29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28" i="3" s="1"/>
  <c r="G178" i="4"/>
  <c r="G179" i="4"/>
  <c r="G180" i="4"/>
  <c r="G181" i="4"/>
  <c r="G182" i="4"/>
  <c r="N27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11" i="3" s="1"/>
  <c r="G196" i="4"/>
  <c r="G197" i="4"/>
  <c r="G198" i="4"/>
  <c r="G199" i="4"/>
  <c r="G200" i="4"/>
  <c r="G201" i="4"/>
  <c r="G202" i="4"/>
  <c r="G203" i="4"/>
  <c r="G204" i="4"/>
  <c r="G205" i="4"/>
  <c r="N10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5" i="3" l="1"/>
  <c r="N26" i="3"/>
  <c r="N13" i="3"/>
  <c r="N9" i="3"/>
  <c r="N24" i="3"/>
  <c r="N31" i="3"/>
  <c r="N32" i="3"/>
  <c r="N30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<sst xmlns="http://schemas.openxmlformats.org/spreadsheetml/2006/main" count="2673" uniqueCount="1013">
  <si>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</si>
  <si>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</si>
  <si>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</si>
  <si>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</si>
  <si>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</si>
  <si>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</si>
  <si>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</si>
  <si>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</si>
  <si>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</si>
  <si>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</si>
  <si>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</si>
  <si>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</si>
  <si>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</si>
  <si>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</si>
  <si>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</si>
  <si>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</si>
  <si>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</si>
  <si>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</si>
  <si>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</si>
  <si>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</si>
  <si>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</si>
  <si>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</si>
  <si>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</si>
  <si>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</si>
  <si>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</si>
  <si>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</si>
  <si>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</si>
  <si>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</si>
  <si>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</si>
  <si>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</si>
  <si>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</si>
  <si>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</si>
  <si>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</si>
  <si>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</si>
  <si>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</si>
  <si>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</si>
  <si>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</si>
  <si>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</si>
  <si>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</si>
  <si>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</si>
  <si>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</si>
  <si>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</si>
  <si>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</si>
  <si>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</si>
  <si>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</si>
  <si>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</si>
  <si>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</si>
  <si>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</si>
  <si>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</si>
  <si>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</si>
  <si>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</si>
  <si>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</si>
  <si>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</si>
  <si>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</si>
  <si>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</si>
  <si>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</si>
  <si>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</si>
  <si>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</si>
  <si>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</si>
  <si>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</si>
  <si>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</si>
  <si>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</si>
  <si>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</si>
  <si>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</si>
  <si>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</si>
  <si>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</si>
  <si>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</si>
  <si>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</si>
  <si>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</si>
  <si>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</si>
  <si>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</si>
  <si>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</si>
  <si>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</si>
  <si>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</si>
  <si>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</si>
  <si>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</si>
  <si>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</si>
  <si>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</si>
  <si>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</si>
  <si>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</si>
  <si>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</si>
  <si>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</si>
  <si>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</si>
  <si>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</si>
  <si>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</si>
  <si>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</si>
  <si>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</si>
  <si>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</si>
  <si>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</si>
  <si>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</si>
  <si>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</si>
  <si>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</si>
  <si>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</si>
  <si>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</si>
  <si>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</si>
  <si>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</si>
  <si>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</si>
  <si>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</si>
  <si>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</si>
  <si>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</si>
  <si>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</si>
  <si>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</si>
  <si>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</si>
  <si>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</si>
  <si>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</si>
  <si>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</si>
  <si>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</si>
  <si>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</si>
  <si>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</si>
  <si>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</si>
  <si>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</si>
  <si>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</si>
  <si>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</si>
  <si>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</si>
  <si>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</si>
  <si>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</si>
  <si>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</si>
  <si>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</si>
  <si>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</si>
  <si>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</si>
  <si>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</si>
  <si>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</si>
  <si>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</si>
  <si>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</si>
  <si>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</si>
  <si>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</si>
  <si>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</si>
  <si>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</si>
  <si>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</si>
  <si>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</si>
  <si>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</si>
  <si>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</si>
  <si>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</si>
  <si>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</si>
  <si>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</si>
  <si>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</si>
  <si>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</si>
  <si>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</si>
  <si>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</si>
  <si>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</si>
  <si>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</si>
  <si>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</si>
  <si>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</si>
  <si>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</si>
  <si>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</si>
  <si>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</si>
  <si>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</si>
  <si>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</si>
  <si>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</si>
  <si>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</si>
  <si>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</si>
  <si>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</si>
  <si>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</si>
  <si>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</si>
  <si>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</si>
  <si>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</si>
  <si>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</si>
  <si>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</si>
  <si>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</si>
  <si>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</si>
  <si>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</si>
  <si>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</si>
  <si>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</si>
  <si>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</si>
  <si>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</si>
  <si>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</si>
  <si>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</si>
  <si>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</si>
  <si>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</si>
  <si>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</si>
  <si>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</si>
  <si>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</si>
  <si>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</si>
  <si>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</si>
  <si>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</si>
  <si>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</si>
  <si>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</si>
  <si>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</si>
  <si>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</si>
  <si>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</si>
  <si>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</si>
  <si>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</si>
  <si>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</si>
  <si>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</si>
  <si>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</si>
  <si>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</si>
  <si>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</si>
  <si>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</si>
  <si>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</si>
  <si>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</si>
  <si>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</si>
  <si>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</si>
  <si>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</si>
  <si>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</si>
  <si>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</si>
  <si>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</si>
  <si>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</si>
  <si>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</si>
  <si>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</si>
  <si>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</si>
  <si>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</si>
  <si>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</si>
  <si>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</si>
  <si>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</si>
  <si>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</si>
  <si>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</si>
  <si>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</si>
  <si>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</si>
  <si>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</si>
  <si>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</si>
  <si>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</si>
  <si>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</si>
  <si>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</si>
  <si>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</si>
  <si>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</si>
  <si>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</si>
  <si>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</si>
  <si>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</si>
  <si>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</si>
  <si>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</si>
  <si>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</si>
  <si>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</si>
  <si>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</si>
  <si>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</si>
  <si>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</si>
  <si>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</si>
  <si>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</si>
  <si>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</si>
  <si>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</si>
  <si>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</si>
  <si>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</si>
  <si>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</si>
  <si>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</si>
  <si>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</si>
  <si>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</si>
  <si>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</si>
  <si>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</si>
  <si>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</si>
  <si>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</si>
  <si>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</si>
  <si>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</si>
  <si>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</si>
  <si>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</si>
  <si>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</si>
  <si>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</si>
  <si>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</si>
  <si>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</si>
  <si>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</si>
  <si>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</si>
  <si>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</si>
  <si>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</si>
  <si>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</si>
  <si>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</si>
  <si>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</si>
  <si>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</si>
  <si>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</si>
  <si>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</si>
  <si>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</si>
  <si>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</si>
  <si>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</si>
  <si>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</si>
  <si>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</si>
  <si>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</si>
  <si>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</si>
  <si>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</si>
  <si>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</si>
  <si>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</si>
  <si>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</si>
  <si>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</si>
  <si>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</si>
  <si>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</si>
  <si>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</si>
  <si>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</si>
  <si>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</si>
  <si>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</si>
  <si>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</si>
  <si>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</si>
  <si>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</si>
  <si>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</si>
  <si>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</si>
  <si>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</si>
  <si>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</si>
  <si>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</si>
  <si>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</si>
  <si>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</si>
  <si>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</si>
  <si>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</si>
  <si>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</si>
  <si>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</si>
  <si>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</si>
  <si>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</si>
  <si>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</si>
  <si>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</si>
  <si>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</si>
  <si>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</si>
  <si>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</si>
  <si>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</si>
  <si>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</si>
  <si>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</si>
  <si>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</si>
  <si>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</si>
  <si>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</si>
  <si>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</si>
  <si>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</si>
  <si>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</si>
  <si>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</si>
  <si>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</si>
  <si>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</si>
  <si>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</si>
  <si>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</si>
  <si>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</si>
  <si>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</si>
  <si>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</si>
  <si>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</si>
  <si>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</si>
  <si>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</si>
  <si>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</si>
  <si>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</si>
  <si>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</si>
  <si>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</si>
  <si>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</si>
  <si>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</si>
  <si>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</si>
  <si>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</si>
  <si>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</si>
  <si>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</si>
  <si>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</si>
  <si>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</si>
  <si>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</si>
  <si>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</si>
  <si>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</si>
  <si>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</si>
  <si>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</si>
  <si>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</si>
  <si>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</si>
  <si>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</si>
  <si>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</si>
  <si>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</si>
  <si>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</si>
  <si>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</si>
  <si>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</si>
  <si>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</si>
  <si>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</si>
  <si>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</si>
  <si>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</si>
  <si>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</si>
  <si>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</si>
  <si>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</si>
  <si>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</si>
  <si>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</si>
  <si>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</si>
  <si>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</si>
  <si>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</si>
  <si>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</si>
  <si>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</si>
  <si>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</si>
  <si>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</si>
  <si>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</si>
  <si>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</si>
  <si>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</si>
  <si>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</si>
  <si>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</si>
  <si>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</si>
  <si>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</si>
  <si>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</si>
  <si>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</si>
  <si>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</si>
  <si>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</si>
  <si>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</si>
  <si>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</si>
  <si>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</si>
  <si>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</si>
  <si>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</si>
  <si>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</si>
  <si>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</si>
  <si>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</si>
  <si>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</si>
  <si>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</si>
  <si>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</si>
  <si>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</si>
  <si>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</si>
  <si>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</si>
  <si>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</si>
  <si>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</si>
  <si>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</si>
  <si>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</si>
  <si>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</si>
  <si>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</si>
  <si>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</si>
  <si>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</si>
  <si>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</si>
  <si>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</si>
  <si>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</si>
  <si>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</si>
  <si>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</si>
  <si>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</si>
  <si>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</si>
  <si>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</si>
  <si>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</si>
  <si>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</si>
  <si>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</si>
  <si>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</si>
  <si>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</si>
  <si>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</si>
  <si>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</si>
  <si>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</si>
  <si>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</si>
  <si>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</si>
  <si>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</si>
  <si>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</si>
  <si>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</si>
  <si>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</si>
  <si>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</si>
  <si>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</si>
  <si>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</si>
  <si>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204:233306</t>
  </si>
  <si>
    <t>204:467</t>
  </si>
  <si>
    <t>204:233291</t>
  </si>
  <si>
    <t>204:233002</t>
  </si>
  <si>
    <t>rtdc.l.rtdc.4054:itc</t>
  </si>
  <si>
    <t>204:233293</t>
  </si>
  <si>
    <t>204:150</t>
  </si>
  <si>
    <t>204:447</t>
  </si>
  <si>
    <t>204:473</t>
  </si>
  <si>
    <t>rtdc.l.rtdc.4006:itc</t>
  </si>
  <si>
    <t>partly-cloudy-night</t>
  </si>
  <si>
    <t>204:149</t>
  </si>
  <si>
    <t>204:143</t>
  </si>
  <si>
    <t>s</t>
  </si>
  <si>
    <t>204:442</t>
  </si>
  <si>
    <t>300:58630</t>
  </si>
  <si>
    <t>204:139</t>
  </si>
  <si>
    <t>204:163</t>
  </si>
  <si>
    <t>rtdc.l.rtdc.4026:itc</t>
  </si>
  <si>
    <t>rtdc.l.rtdc.4025:itc</t>
  </si>
  <si>
    <t>rtdc.l.rtdc.4005:itc</t>
  </si>
  <si>
    <t>Y</t>
  </si>
  <si>
    <t>partly-cloudy-day</t>
  </si>
  <si>
    <t>204:466</t>
  </si>
  <si>
    <t>204:233315</t>
  </si>
  <si>
    <t>204:156</t>
  </si>
  <si>
    <t>204:444</t>
  </si>
  <si>
    <t>204:136</t>
  </si>
  <si>
    <t>204:161</t>
  </si>
  <si>
    <t>300:58621</t>
  </si>
  <si>
    <t>204:233000</t>
  </si>
  <si>
    <t>rtdc.l.rtdc.4015:itc</t>
  </si>
  <si>
    <t>SWITCH UNKNOWN</t>
  </si>
  <si>
    <t>Track device (7)</t>
  </si>
  <si>
    <t>rtdc.l.rtdc.4023:itc</t>
  </si>
  <si>
    <t>rtdc.l.rtdc.4024:itc</t>
  </si>
  <si>
    <t>204:233312</t>
  </si>
  <si>
    <t>204:232984</t>
  </si>
  <si>
    <t>204:233323</t>
  </si>
  <si>
    <t>204:232969</t>
  </si>
  <si>
    <t>204:438</t>
  </si>
  <si>
    <t>Early arrival</t>
  </si>
  <si>
    <t>SIGNAL</t>
  </si>
  <si>
    <t>Signal based authority (5)</t>
  </si>
  <si>
    <t>rtdc.l.rtdc.4001:itc</t>
  </si>
  <si>
    <t>Mostly Cloudy</t>
  </si>
  <si>
    <t>204:232980</t>
  </si>
  <si>
    <t>204:469</t>
  </si>
  <si>
    <t>204:165</t>
  </si>
  <si>
    <t>rtdc.l.rtdc.4019:itc</t>
  </si>
  <si>
    <t>rtdc.l.rtdc.4039:itc</t>
  </si>
  <si>
    <t>4023-18</t>
  </si>
  <si>
    <t>243-18</t>
  </si>
  <si>
    <t>rtdc.l.rtdc.4040:itc</t>
  </si>
  <si>
    <t>YANG</t>
  </si>
  <si>
    <t>JAN</t>
  </si>
  <si>
    <t>4024-18</t>
  </si>
  <si>
    <t>241-18</t>
  </si>
  <si>
    <t>238-18</t>
  </si>
  <si>
    <t>240-18</t>
  </si>
  <si>
    <t>204:233317</t>
  </si>
  <si>
    <t>204:232994</t>
  </si>
  <si>
    <t>204:451</t>
  </si>
  <si>
    <t>204:233301</t>
  </si>
  <si>
    <t>204:134</t>
  </si>
  <si>
    <t>204:233325</t>
  </si>
  <si>
    <t>204:232971</t>
  </si>
  <si>
    <t>204:437</t>
  </si>
  <si>
    <t>204:424</t>
  </si>
  <si>
    <t>300:23346</t>
  </si>
  <si>
    <t>300:58939</t>
  </si>
  <si>
    <t>rtdc.l.rtdc.4017:itc</t>
  </si>
  <si>
    <t>rtdc.l.rtdc.4007:itc</t>
  </si>
  <si>
    <t>rtdc.l.rtdc.4018:itc</t>
  </si>
  <si>
    <t>rtdc.l.rtdc.4032:itc</t>
  </si>
  <si>
    <t>rtdc.l.rtdc.4008:itc</t>
  </si>
  <si>
    <t>BADERTSCHER</t>
  </si>
  <si>
    <t>DIANE</t>
  </si>
  <si>
    <t>GEBRETEKLE</t>
  </si>
  <si>
    <t>DAGNEW</t>
  </si>
  <si>
    <t>HELVIE</t>
  </si>
  <si>
    <t>ADAM</t>
  </si>
  <si>
    <t>DELGADO</t>
  </si>
  <si>
    <t>DIANAH</t>
  </si>
  <si>
    <t>LOPES</t>
  </si>
  <si>
    <t>KIMBERLY</t>
  </si>
  <si>
    <t>BRUDER</t>
  </si>
  <si>
    <t>RICHARD</t>
  </si>
  <si>
    <t>MCREYNOLDS</t>
  </si>
  <si>
    <t>KYLE</t>
  </si>
  <si>
    <t>315-19</t>
  </si>
  <si>
    <t>242-19</t>
  </si>
  <si>
    <t>309-19</t>
  </si>
  <si>
    <t>244-19</t>
  </si>
  <si>
    <t>311-19</t>
  </si>
  <si>
    <t>313-19</t>
  </si>
  <si>
    <t>precipType</t>
  </si>
  <si>
    <t>rain</t>
  </si>
  <si>
    <t>Drizzle</t>
  </si>
  <si>
    <t>204:233297</t>
  </si>
  <si>
    <t>204:233303</t>
  </si>
  <si>
    <t>204:233006</t>
  </si>
  <si>
    <t>204:232978</t>
  </si>
  <si>
    <t>204:132</t>
  </si>
  <si>
    <t>204:233316</t>
  </si>
  <si>
    <t>204:181</t>
  </si>
  <si>
    <t>300:58626</t>
  </si>
  <si>
    <t>204:701</t>
  </si>
  <si>
    <t>Wi-MAX data drop</t>
  </si>
  <si>
    <t>rtdc.l.rtdc.4002:itc</t>
  </si>
  <si>
    <t>234-20</t>
  </si>
  <si>
    <t>COOLAHAN</t>
  </si>
  <si>
    <t>JOHN</t>
  </si>
  <si>
    <t>WHITED</t>
  </si>
  <si>
    <t>DUSTIN</t>
  </si>
  <si>
    <t>MACDONALD</t>
  </si>
  <si>
    <t>THOMAS</t>
  </si>
  <si>
    <t>PERKINS</t>
  </si>
  <si>
    <t>DARREN</t>
  </si>
  <si>
    <t>rtdc.l.rtdc.4044:itc</t>
  </si>
  <si>
    <t>232-20</t>
  </si>
  <si>
    <t>908-20</t>
  </si>
  <si>
    <t>237-20</t>
  </si>
  <si>
    <t>239-20</t>
  </si>
  <si>
    <t>4018-20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</si>
  <si>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</si>
  <si>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</si>
  <si>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</si>
  <si>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</si>
  <si>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</si>
  <si>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</si>
  <si>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</si>
  <si>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</si>
  <si>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</si>
  <si>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</si>
  <si>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</si>
  <si>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302-21</t>
  </si>
  <si>
    <t>204:777</t>
  </si>
  <si>
    <t>204:233314</t>
  </si>
  <si>
    <t>204:746</t>
  </si>
  <si>
    <t>204:775</t>
  </si>
  <si>
    <t>204:232957</t>
  </si>
  <si>
    <t>204:435</t>
  </si>
  <si>
    <t>204:233274</t>
  </si>
  <si>
    <t>204:232988</t>
  </si>
  <si>
    <t>204:233304</t>
  </si>
  <si>
    <t>204:464</t>
  </si>
  <si>
    <t>204:232961</t>
  </si>
  <si>
    <t>204:233302</t>
  </si>
  <si>
    <t>204:233278</t>
  </si>
  <si>
    <t>204:233003</t>
  </si>
  <si>
    <t>204:233280</t>
  </si>
  <si>
    <t>204:119</t>
  </si>
  <si>
    <t>204:233319</t>
  </si>
  <si>
    <t>204:233287</t>
  </si>
  <si>
    <t>204:232992</t>
  </si>
  <si>
    <t>204:233320</t>
  </si>
  <si>
    <t>204:129</t>
  </si>
  <si>
    <t>204:233376</t>
  </si>
  <si>
    <t>204:233051</t>
  </si>
  <si>
    <t>204:232993</t>
  </si>
  <si>
    <t>204:233374</t>
  </si>
  <si>
    <t>204:233307</t>
  </si>
  <si>
    <t>300:23302</t>
  </si>
  <si>
    <t>204:1464</t>
  </si>
  <si>
    <t>204:733</t>
  </si>
  <si>
    <t>204:717</t>
  </si>
  <si>
    <t>204:724</t>
  </si>
  <si>
    <t>Extended Onboard Wi-MAX outage</t>
  </si>
  <si>
    <t>310-22</t>
  </si>
  <si>
    <t>rtdc.l.rtdc.4056:itc</t>
  </si>
  <si>
    <t>125-22</t>
  </si>
  <si>
    <t>114-22</t>
  </si>
  <si>
    <t>118-22</t>
  </si>
  <si>
    <t>rtdc.l.rtdc.4063:itc</t>
  </si>
  <si>
    <t>122-22</t>
  </si>
  <si>
    <t>rtdc.l.rtdc.4055:itc</t>
  </si>
  <si>
    <t>126-22</t>
  </si>
  <si>
    <t>139-22</t>
  </si>
  <si>
    <t>141-22</t>
  </si>
  <si>
    <t>150-22</t>
  </si>
  <si>
    <t>152-22</t>
  </si>
  <si>
    <t>168-22</t>
  </si>
  <si>
    <t>56-22</t>
  </si>
  <si>
    <t>174-22</t>
  </si>
  <si>
    <t>186-22</t>
  </si>
  <si>
    <t>196-22</t>
  </si>
  <si>
    <t>rtdc.l.rtdc.4016:itc</t>
  </si>
  <si>
    <t>67-22</t>
  </si>
  <si>
    <t>1825-22</t>
  </si>
  <si>
    <t>1826-22</t>
  </si>
  <si>
    <t>216-22</t>
  </si>
  <si>
    <t>225-22</t>
  </si>
  <si>
    <t>224-22</t>
  </si>
  <si>
    <t>230-22</t>
  </si>
  <si>
    <t>245-21</t>
  </si>
  <si>
    <t>242-21</t>
  </si>
  <si>
    <t>309-21</t>
  </si>
  <si>
    <t>244-21</t>
  </si>
  <si>
    <t>MAGEE</t>
  </si>
  <si>
    <t>KENYA</t>
  </si>
  <si>
    <t>311-21</t>
  </si>
  <si>
    <t>246-21</t>
  </si>
  <si>
    <t>313-21</t>
  </si>
  <si>
    <t>315-21</t>
  </si>
  <si>
    <t>302-22</t>
  </si>
  <si>
    <t>101-22</t>
  </si>
  <si>
    <t>304-22</t>
  </si>
  <si>
    <t>ROBINSON</t>
  </si>
  <si>
    <t>KADDIBA</t>
  </si>
  <si>
    <t>103-22</t>
  </si>
  <si>
    <t>306-22</t>
  </si>
  <si>
    <t>MAELZER</t>
  </si>
  <si>
    <t>KURT</t>
  </si>
  <si>
    <t>102-22</t>
  </si>
  <si>
    <t>308-22</t>
  </si>
  <si>
    <t>DAVIS</t>
  </si>
  <si>
    <t>WENDY</t>
  </si>
  <si>
    <t>105-22</t>
  </si>
  <si>
    <t>rtdc.l.rtdc.4064:itc</t>
  </si>
  <si>
    <t>107-22</t>
  </si>
  <si>
    <t>SANTIZO</t>
  </si>
  <si>
    <t>D. EDY</t>
  </si>
  <si>
    <t>104-22</t>
  </si>
  <si>
    <t>109-22</t>
  </si>
  <si>
    <t>111-22</t>
  </si>
  <si>
    <t>MAYBERRY</t>
  </si>
  <si>
    <t>BILL</t>
  </si>
  <si>
    <t>113-22</t>
  </si>
  <si>
    <t>106-22</t>
  </si>
  <si>
    <t>1901-22</t>
  </si>
  <si>
    <t>SHOOK</t>
  </si>
  <si>
    <t>108-22</t>
  </si>
  <si>
    <t>110-22</t>
  </si>
  <si>
    <t>115-22</t>
  </si>
  <si>
    <t>117-22</t>
  </si>
  <si>
    <t>1800-22</t>
  </si>
  <si>
    <t>112-22</t>
  </si>
  <si>
    <t>119-22</t>
  </si>
  <si>
    <t>1801-22</t>
  </si>
  <si>
    <t>51-22</t>
  </si>
  <si>
    <t>121-22</t>
  </si>
  <si>
    <t>116-22</t>
  </si>
  <si>
    <t>123-22</t>
  </si>
  <si>
    <t>1802-22</t>
  </si>
  <si>
    <t>120-22</t>
  </si>
  <si>
    <t>127-22</t>
  </si>
  <si>
    <t>1803-22</t>
  </si>
  <si>
    <t>124-22</t>
  </si>
  <si>
    <t>129-22</t>
  </si>
  <si>
    <t>131-22</t>
  </si>
  <si>
    <t>1804-22</t>
  </si>
  <si>
    <t>133-22</t>
  </si>
  <si>
    <t>128-22</t>
  </si>
  <si>
    <t>135-22</t>
  </si>
  <si>
    <t>1805-22</t>
  </si>
  <si>
    <t>137-22</t>
  </si>
  <si>
    <t>130-22</t>
  </si>
  <si>
    <t>132-22</t>
  </si>
  <si>
    <t>134-22</t>
  </si>
  <si>
    <t>1806-22</t>
  </si>
  <si>
    <t>136-22</t>
  </si>
  <si>
    <t>143-22</t>
  </si>
  <si>
    <t>138-22</t>
  </si>
  <si>
    <t>1807-22</t>
  </si>
  <si>
    <t>53-22</t>
  </si>
  <si>
    <t>145-22</t>
  </si>
  <si>
    <t>140-22</t>
  </si>
  <si>
    <t>147-22</t>
  </si>
  <si>
    <t>1808-22</t>
  </si>
  <si>
    <t>142-22</t>
  </si>
  <si>
    <t>149-22</t>
  </si>
  <si>
    <t>144-22</t>
  </si>
  <si>
    <t>151-22</t>
  </si>
  <si>
    <t>146-22</t>
  </si>
  <si>
    <t>1809-22</t>
  </si>
  <si>
    <t>153-22</t>
  </si>
  <si>
    <t>DE LA ROSA</t>
  </si>
  <si>
    <t>ALEX</t>
  </si>
  <si>
    <t>148-22</t>
  </si>
  <si>
    <t>155-22</t>
  </si>
  <si>
    <t>ROMERO</t>
  </si>
  <si>
    <t>CHAD</t>
  </si>
  <si>
    <t>157-22</t>
  </si>
  <si>
    <t>1810-22</t>
  </si>
  <si>
    <t>159-22</t>
  </si>
  <si>
    <t>STEWART</t>
  </si>
  <si>
    <t>54-22</t>
  </si>
  <si>
    <t>1811-22</t>
  </si>
  <si>
    <t>154-22</t>
  </si>
  <si>
    <t>161-22</t>
  </si>
  <si>
    <t>156-22</t>
  </si>
  <si>
    <t>163-22</t>
  </si>
  <si>
    <t>158-22</t>
  </si>
  <si>
    <t>55-22</t>
  </si>
  <si>
    <t>165-22</t>
  </si>
  <si>
    <t>160-22</t>
  </si>
  <si>
    <t>162-22</t>
  </si>
  <si>
    <t>167-22</t>
  </si>
  <si>
    <t>LEVIN</t>
  </si>
  <si>
    <t>SCOTT</t>
  </si>
  <si>
    <t>169-22</t>
  </si>
  <si>
    <t>1813-22</t>
  </si>
  <si>
    <t>164-22</t>
  </si>
  <si>
    <t>171-22</t>
  </si>
  <si>
    <t>LALONDE</t>
  </si>
  <si>
    <t>GREGORY</t>
  </si>
  <si>
    <t>166-22</t>
  </si>
  <si>
    <t>1814-22</t>
  </si>
  <si>
    <t>173-22</t>
  </si>
  <si>
    <t>170-22</t>
  </si>
  <si>
    <t>175-22</t>
  </si>
  <si>
    <t>172-22</t>
  </si>
  <si>
    <t>177-22</t>
  </si>
  <si>
    <t>1815-22</t>
  </si>
  <si>
    <t>179-22</t>
  </si>
  <si>
    <t>NELSON</t>
  </si>
  <si>
    <t>ARIANE</t>
  </si>
  <si>
    <t>1816-22</t>
  </si>
  <si>
    <t>181-22</t>
  </si>
  <si>
    <t>176-22</t>
  </si>
  <si>
    <t>183-22</t>
  </si>
  <si>
    <t>178-22</t>
  </si>
  <si>
    <t>185-22</t>
  </si>
  <si>
    <t>1817-22</t>
  </si>
  <si>
    <t>180-22</t>
  </si>
  <si>
    <t>187-22</t>
  </si>
  <si>
    <t>182-22</t>
  </si>
  <si>
    <t>1818-22</t>
  </si>
  <si>
    <t>184-22</t>
  </si>
  <si>
    <t>189-22</t>
  </si>
  <si>
    <t>191-22</t>
  </si>
  <si>
    <t>193-22</t>
  </si>
  <si>
    <t>1819-22</t>
  </si>
  <si>
    <t>188-22</t>
  </si>
  <si>
    <t>195-22</t>
  </si>
  <si>
    <t>190-22</t>
  </si>
  <si>
    <t>1820-22</t>
  </si>
  <si>
    <t>197-22</t>
  </si>
  <si>
    <t>192-22</t>
  </si>
  <si>
    <t>199-22</t>
  </si>
  <si>
    <t>194-22</t>
  </si>
  <si>
    <t>201-22</t>
  </si>
  <si>
    <t>1821-22</t>
  </si>
  <si>
    <t>198-22</t>
  </si>
  <si>
    <t>203-22</t>
  </si>
  <si>
    <t>200-22</t>
  </si>
  <si>
    <t>1822-22</t>
  </si>
  <si>
    <t>205-22</t>
  </si>
  <si>
    <t>207-22</t>
  </si>
  <si>
    <t>202-22</t>
  </si>
  <si>
    <t>209-22</t>
  </si>
  <si>
    <t>204-22</t>
  </si>
  <si>
    <t>1823-22</t>
  </si>
  <si>
    <t>211-22</t>
  </si>
  <si>
    <t>206-22</t>
  </si>
  <si>
    <t>213-22</t>
  </si>
  <si>
    <t>DAVIDSON</t>
  </si>
  <si>
    <t>DAVID</t>
  </si>
  <si>
    <t>1824-22</t>
  </si>
  <si>
    <t>70-22</t>
  </si>
  <si>
    <t>SAFIEF</t>
  </si>
  <si>
    <t>AEIMEN</t>
  </si>
  <si>
    <t>208-22</t>
  </si>
  <si>
    <t>215-22</t>
  </si>
  <si>
    <t>78-22</t>
  </si>
  <si>
    <t>210-22</t>
  </si>
  <si>
    <t>217-22</t>
  </si>
  <si>
    <t>212-22</t>
  </si>
  <si>
    <t>219-22</t>
  </si>
  <si>
    <t>77-22</t>
  </si>
  <si>
    <t>214-22</t>
  </si>
  <si>
    <t>303-22</t>
  </si>
  <si>
    <t>221-22</t>
  </si>
  <si>
    <t>305-22</t>
  </si>
  <si>
    <t>218-22</t>
  </si>
  <si>
    <t>220-22</t>
  </si>
  <si>
    <t>1827-22</t>
  </si>
  <si>
    <t>223-22</t>
  </si>
  <si>
    <t>1828-22</t>
  </si>
  <si>
    <t>307-22</t>
  </si>
  <si>
    <t>222-22</t>
  </si>
  <si>
    <t>1829-22</t>
  </si>
  <si>
    <t>227-22</t>
  </si>
  <si>
    <t>1830-22</t>
  </si>
  <si>
    <t>226-22</t>
  </si>
  <si>
    <t>229-22</t>
  </si>
  <si>
    <t>231-22</t>
  </si>
  <si>
    <t>1831-22</t>
  </si>
  <si>
    <t>228-22</t>
  </si>
  <si>
    <t>233-22</t>
  </si>
  <si>
    <t>1832-22</t>
  </si>
  <si>
    <t>1833-22</t>
  </si>
  <si>
    <t>232-22</t>
  </si>
  <si>
    <t>235-22</t>
  </si>
  <si>
    <t>1902-22</t>
  </si>
  <si>
    <t>234-22</t>
  </si>
  <si>
    <t>237-22</t>
  </si>
  <si>
    <t>236-22</t>
  </si>
  <si>
    <t>239-22</t>
  </si>
  <si>
    <t>238-22</t>
  </si>
  <si>
    <t>241-22</t>
  </si>
  <si>
    <t>240-22</t>
  </si>
  <si>
    <t>243-22</t>
  </si>
  <si>
    <t>242-22</t>
  </si>
  <si>
    <t>245-22</t>
  </si>
  <si>
    <t>309-22</t>
  </si>
  <si>
    <t>244-22</t>
  </si>
  <si>
    <t>311-22</t>
  </si>
  <si>
    <t>246-22</t>
  </si>
  <si>
    <t>313-22</t>
  </si>
  <si>
    <t>315-22</t>
  </si>
  <si>
    <t>fog</t>
  </si>
  <si>
    <t>Foggy</t>
  </si>
  <si>
    <t>clear-day</t>
  </si>
  <si>
    <t>Clear</t>
  </si>
  <si>
    <t>clear-night</t>
  </si>
  <si>
    <t>204:686</t>
  </si>
  <si>
    <t>204:233338</t>
  </si>
  <si>
    <t>204:232692</t>
  </si>
  <si>
    <t>204:232713</t>
  </si>
  <si>
    <t>204:232694</t>
  </si>
  <si>
    <t>204:232990</t>
  </si>
  <si>
    <t>204:433</t>
  </si>
  <si>
    <t>204:233298</t>
  </si>
  <si>
    <t>204:232996</t>
  </si>
  <si>
    <t>204:743</t>
  </si>
  <si>
    <t>204:227</t>
  </si>
  <si>
    <t>204:794</t>
  </si>
  <si>
    <t>204:770</t>
  </si>
  <si>
    <t>204:233346</t>
  </si>
  <si>
    <t>204:233028</t>
  </si>
  <si>
    <t>204:471</t>
  </si>
  <si>
    <t>204:233008</t>
  </si>
  <si>
    <t>204:544</t>
  </si>
  <si>
    <t>204:231496</t>
  </si>
  <si>
    <t>204:125</t>
  </si>
  <si>
    <t>204:233332</t>
  </si>
  <si>
    <t>204:233309</t>
  </si>
  <si>
    <t>204:86352</t>
  </si>
  <si>
    <t>204:233017</t>
  </si>
  <si>
    <t>204:233322</t>
  </si>
  <si>
    <t>204:233007</t>
  </si>
  <si>
    <t>204:232991</t>
  </si>
  <si>
    <t>204:232987</t>
  </si>
  <si>
    <t>204:233324</t>
  </si>
  <si>
    <t>204:233010</t>
  </si>
  <si>
    <t>204:233004</t>
  </si>
  <si>
    <t>204:233372</t>
  </si>
  <si>
    <t>204:233053</t>
  </si>
  <si>
    <t>204:118</t>
  </si>
  <si>
    <t>204:233011</t>
  </si>
  <si>
    <t>204:489</t>
  </si>
  <si>
    <t>204:233344</t>
  </si>
  <si>
    <t>204:233025</t>
  </si>
  <si>
    <t>204:233245</t>
  </si>
  <si>
    <t>204:232913</t>
  </si>
  <si>
    <t>204:486</t>
  </si>
  <si>
    <t>204:233368</t>
  </si>
  <si>
    <t>204:233042</t>
  </si>
  <si>
    <t>204:233076</t>
  </si>
  <si>
    <t>204:233362</t>
  </si>
  <si>
    <t>204:232974</t>
  </si>
  <si>
    <t>204:233397</t>
  </si>
  <si>
    <t>204:233092</t>
  </si>
  <si>
    <t>204:233023</t>
  </si>
  <si>
    <t>204:130</t>
  </si>
  <si>
    <t>300:58679</t>
  </si>
  <si>
    <t>204:754</t>
  </si>
  <si>
    <t>204:1035</t>
  </si>
  <si>
    <t>300:58993</t>
  </si>
  <si>
    <t>300:58685</t>
  </si>
  <si>
    <t>204:747</t>
  </si>
  <si>
    <t>204:1020</t>
  </si>
  <si>
    <t>300:58992</t>
  </si>
  <si>
    <t>300:58677</t>
  </si>
  <si>
    <t>204:738</t>
  </si>
  <si>
    <t>204:1027</t>
  </si>
  <si>
    <t>204:741</t>
  </si>
  <si>
    <t>204:1014</t>
  </si>
  <si>
    <t>300:58988</t>
  </si>
  <si>
    <t>204:734</t>
  </si>
  <si>
    <t>204:1032</t>
  </si>
  <si>
    <t>204:1034</t>
  </si>
  <si>
    <t>300:59005</t>
  </si>
  <si>
    <t>300:58675</t>
  </si>
  <si>
    <t>204:748</t>
  </si>
  <si>
    <t>204:1023</t>
  </si>
  <si>
    <t>300:58999</t>
  </si>
  <si>
    <t>300:58941</t>
  </si>
  <si>
    <t>204:1044</t>
  </si>
  <si>
    <t>300:58929</t>
  </si>
  <si>
    <t>300:58619</t>
  </si>
  <si>
    <t>204:1021</t>
  </si>
  <si>
    <t>300:58623</t>
  </si>
  <si>
    <t>204:995</t>
  </si>
  <si>
    <t>204:761</t>
  </si>
  <si>
    <t>204:1041</t>
  </si>
  <si>
    <t>300:58943</t>
  </si>
  <si>
    <t>204:1030</t>
  </si>
  <si>
    <t>204:1006</t>
  </si>
  <si>
    <t>300:58914</t>
  </si>
  <si>
    <t>300:58602</t>
  </si>
  <si>
    <t>204:804</t>
  </si>
  <si>
    <t>204:1100</t>
  </si>
  <si>
    <t>300:58918</t>
  </si>
  <si>
    <t>204:123</t>
  </si>
  <si>
    <t>204:233034</t>
  </si>
  <si>
    <t>204:14599</t>
  </si>
  <si>
    <t>204:233266</t>
  </si>
  <si>
    <t>300:30104</t>
  </si>
  <si>
    <t>300:58613</t>
  </si>
  <si>
    <t>300:21691</t>
  </si>
  <si>
    <t>300:21983</t>
  </si>
  <si>
    <t>300:23310</t>
  </si>
  <si>
    <t>204:431</t>
  </si>
  <si>
    <t>204:233015</t>
  </si>
  <si>
    <t>204:121</t>
  </si>
  <si>
    <t>204:233387</t>
  </si>
  <si>
    <t>204:233066</t>
  </si>
  <si>
    <t>204:233336</t>
  </si>
  <si>
    <t>204:233036</t>
  </si>
  <si>
    <t>204:233395</t>
  </si>
  <si>
    <t>204:233067</t>
  </si>
  <si>
    <t>204:233001</t>
  </si>
  <si>
    <t>204:415</t>
  </si>
  <si>
    <t>204:233361</t>
  </si>
  <si>
    <t>204:233094</t>
  </si>
  <si>
    <t>204:232966</t>
  </si>
  <si>
    <t>204:212</t>
  </si>
  <si>
    <t>204:233391</t>
  </si>
  <si>
    <t>204:233115</t>
  </si>
  <si>
    <t>204:233412</t>
  </si>
  <si>
    <t>204:233090</t>
  </si>
  <si>
    <t>204:233068</t>
  </si>
  <si>
    <t>204:116</t>
  </si>
  <si>
    <t>204:233424</t>
  </si>
  <si>
    <t>204:233040</t>
  </si>
  <si>
    <t>204:411</t>
  </si>
  <si>
    <t>204:233087</t>
  </si>
  <si>
    <t>204:233402</t>
  </si>
  <si>
    <t>204:233043</t>
  </si>
  <si>
    <t>204:233329</t>
  </si>
  <si>
    <t>204:233077</t>
  </si>
  <si>
    <t>204:233425</t>
  </si>
  <si>
    <t>204:209</t>
  </si>
  <si>
    <t>300:22838</t>
  </si>
  <si>
    <t>300:23834</t>
  </si>
  <si>
    <t>300:23196</t>
  </si>
  <si>
    <t>204:517</t>
  </si>
  <si>
    <t>300:23315</t>
  </si>
  <si>
    <t>300:19504</t>
  </si>
  <si>
    <t>204:504</t>
  </si>
  <si>
    <t>204:3242</t>
  </si>
  <si>
    <t>204:1162</t>
  </si>
  <si>
    <t>204:3561</t>
  </si>
  <si>
    <t>204:3080</t>
  </si>
  <si>
    <t>204:109</t>
  </si>
  <si>
    <t>204:1479</t>
  </si>
  <si>
    <t>204:3423</t>
  </si>
  <si>
    <t>300:23521</t>
  </si>
  <si>
    <t>204:131</t>
  </si>
  <si>
    <t>300:24480</t>
  </si>
  <si>
    <t>300:21985</t>
  </si>
  <si>
    <t>300:22310</t>
  </si>
  <si>
    <t>300:22140</t>
  </si>
  <si>
    <t>300:22493</t>
  </si>
  <si>
    <t>204:1817</t>
  </si>
  <si>
    <t>300:23423</t>
  </si>
  <si>
    <t>204:994</t>
  </si>
  <si>
    <t>300:23320</t>
  </si>
  <si>
    <t>300:23271</t>
  </si>
  <si>
    <t>204:140</t>
  </si>
  <si>
    <t>start /low /b %USERPROFILE%\Documents\GitHub\eaglep3\Utilities\DownloadLogsFromS3.py --loco 4015 --day 2017-04-22</t>
  </si>
  <si>
    <t>start /low /b %USERPROFILE%\Documents\GitHub\eaglep3\Utilities\DownloadLogsFromS3.py --loco 4025 --day 2017-04-22</t>
  </si>
  <si>
    <t>start /low /b %USERPROFILE%\Documents\GitHub\eaglep3\Utilities\DownloadLogsFromS3.py --loco 4014 --day 2017-04-22</t>
  </si>
  <si>
    <t>start /low /b %USERPROFILE%\Documents\GitHub\eaglep3\Utilities\DownloadLogsFromS3.py --loco 4063 --day 2017-04-22</t>
  </si>
  <si>
    <t>start /low /b %USERPROFILE%\Documents\GitHub\eaglep3\Utilities\DownloadLogsFromS3.py --loco 4041 --day 2017-04-23</t>
  </si>
  <si>
    <t>start /low /b %USERPROFILE%\Documents\GitHub\eaglep3\Utilities\DownloadLogsFromS3.py --loco 4055 --day 2017-04-23</t>
  </si>
  <si>
    <t>start /low /b %USERPROFILE%\Documents\GitHub\eaglep3\Utilities\DownloadLogsFromS3.py --loco 4025 --day 2017-04-23</t>
  </si>
  <si>
    <t>start /low /b %USERPROFILE%\Documents\GitHub\eaglep3\Utilities\DownloadLogsFromS3.py --loco 4031 --day 2017-04-22</t>
  </si>
  <si>
    <t>start /low /b %USERPROFILE%\Documents\GitHub\eaglep3\Utilities\DownloadLogsFromS3.py --loco 4056 --day 2017-04-22</t>
  </si>
  <si>
    <t>start /low /b %USERPROFILE%\Documents\GitHub\eaglep3\Utilities\DownloadLogsFromS3.py --loco 4041 --day 2017-04-22</t>
  </si>
  <si>
    <t>start /low /b %USERPROFILE%\Documents\GitHub\eaglep3\Utilities\DownloadLogsFromS3.py --loco 4022 --day 2017-04-22</t>
  </si>
  <si>
    <t>start /low /b %USERPROFILE%\Documents\GitHub\eaglep3\Utilities\DownloadLogsFromS3.py --loco 4055 --day 2017-04-22</t>
  </si>
  <si>
    <t>start /low /b %USERPROFILE%\Documents\GitHub\eaglep3\Utilities\DownloadLogsFromS3.py --loco 4021 --day 2017-04-22</t>
  </si>
  <si>
    <t>start /low /b %USERPROFILE%\Documents\GitHub\eaglep3\Utilities\DownloadLogsFromS3.py --loco 4018 --day 2017-04-23</t>
  </si>
  <si>
    <t>start /low /b %USERPROFILE%\Documents\GitHub\eaglep3\Utilities\DownloadLogsFromS3.py --loco 4013 --day 2017-04-23</t>
  </si>
  <si>
    <t>start /low /b %USERPROFILE%\Documents\GitHub\eaglep3\Utilities\DownloadLogsFromS3.py --loco 4014 --day 2017-04-23</t>
  </si>
  <si>
    <t>Onboard in-route failure</t>
  </si>
  <si>
    <t>http://stevetu21.github.io/eaglep3/load_kml.html?kml=http://rtdc.gmaps-snips.s3.amazonaws.com/4d568044-6826-40cb-b80d-d4f384813f48.kml</t>
  </si>
  <si>
    <t>1812-22</t>
  </si>
  <si>
    <t>Class 2 test failure - BPP was at 0 PSI instead of usual ~83</t>
  </si>
  <si>
    <t>http://stevetu21.github.io/eaglep3/load_kml.html?kml=http://rtdc.gmaps-snips.s3.amazonaws.com/95a28fbd-6cd9-494f-a3d3-cd370a6da220.kml</t>
  </si>
  <si>
    <t>Minor onboard in-route failure caused momentary red fence due to signal status unknown</t>
  </si>
  <si>
    <t>Wi-MAX data drop caused momentary red fence due to signal status unknown</t>
  </si>
  <si>
    <t>No evidence of enforcement found (train was warned at CP 61st a few times before dispatcher cleared signal)</t>
  </si>
  <si>
    <t>Unable to init at first due to Extended Onboard Wi-MAX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</si>
</sst>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0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5" xfId="0" applyNumberFormat="1" applyBorder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428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42847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COUNTIFS($N$13:$N$9321,"&gt;0",$AG$13:$AG$9321,I1)</f>
        <v>144</v>
      </c>
      <c r="K5" s="40"/>
      <c r="L5" s="40"/>
      <c r="M5" s="41">
        <f>AVERAGEIFS($N$13:$N$9321,$AG$13:$AG$9321,I1)</f>
        <v>37.729282407308347</v>
      </c>
      <c r="N5" s="39">
        <f t="array" ref="N5">MIN(IF($AG$13:$AG$9321=I1,IF(ISNUMBER($N$13:$N$9321),IF($N$13:$N$9321&gt;0,$N$13:$N$9321))))</f>
        <v>34.416666665347293</v>
      </c>
      <c r="O5" s="3">
        <f t="array" ref="O5">MAX(IF($AG$13:$AG$9321=I1,IF(ISNUMBER($N$13:$N$9321),IF($N$13:$N$9321&gt;0,$N$13:$N$9321))))</f>
        <v>47.316666663391516</v>
      </c>
      <c r="P5" s="2"/>
      <c r="R5" s="74" t="s">
        <v>17</v>
      </c>
      <c r="S5" s="50">
        <f>COUNTIFS($N$13:$N$9321,"&gt;0",$AG$13:$AG$9321,R1)</f>
        <v>31</v>
      </c>
      <c r="T5" s="40"/>
      <c r="U5" s="173"/>
      <c r="V5" s="170">
        <f>AVERAGEIFS($N$13:$N$9321,$AG$13:$AG$9321,R1)</f>
        <v>13.731720429251812</v>
      </c>
      <c r="W5" s="171">
        <f t="array" ref="W5">MIN(IF($AG$13:$AG$9321=R1,IF(ISNUMBER($N$13:$N$9321),IF($N$13:$N$9321&gt;0,$N$13:$N$9321))))</f>
        <v>12.21666666213423</v>
      </c>
      <c r="X5" s="172">
        <f t="array" ref="X5">MAX(IF($AG$13:$AG$9321=R1,IF(ISNUMBER($N$13:$N$9321),IF($N$13:$N$9321&gt;0,$N$13:$N$9321))))</f>
        <v>16.450000000186265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COUNT($O$13:$O$108)</f>
        <v>0</v>
      </c>
      <c r="K6" s="40"/>
      <c r="L6" s="40"/>
      <c r="M6" s="41">
        <f>IFERROR(AVERAGE($O$13:$O$108),0)</f>
        <v>0</v>
      </c>
      <c r="N6" s="39">
        <f>MIN($O$13:$O$108)</f>
        <v>0</v>
      </c>
      <c r="O6" s="3">
        <f>MAX($O$13:$O$108)</f>
        <v>0</v>
      </c>
      <c r="P6" s="2"/>
      <c r="R6" s="75" t="s">
        <v>43</v>
      </c>
      <c r="S6" s="50">
        <f>COUNT($O$13:$O$108)</f>
        <v>0</v>
      </c>
      <c r="T6" s="40"/>
      <c r="U6" s="173"/>
      <c r="V6" s="170">
        <f>IFERROR(AVERAGE($O$13:$O$108),0)</f>
        <v>0</v>
      </c>
      <c r="W6" s="171">
        <f>MIN($O$13:$O$108)</f>
        <v>0</v>
      </c>
      <c r="X6" s="172">
        <f>MAX($O$13:$O$108)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COUNTIFS($P$13:$P$9321,"&gt;0",$AG$13:$AG$9321,I1)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COUNTIFS($P$13:$P$9321,"&gt;0",$AG$13:$AG$9321,R1)</f>
        <v>3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37.729282407308347</v>
      </c>
      <c r="N8" s="39">
        <f>N5</f>
        <v>34.416666665347293</v>
      </c>
      <c r="O8" s="3">
        <f>O5</f>
        <v>47.316666663391516</v>
      </c>
      <c r="P8" s="2"/>
      <c r="R8" s="74" t="s">
        <v>16</v>
      </c>
      <c r="S8" s="50">
        <f>S5</f>
        <v>31</v>
      </c>
      <c r="T8" s="40"/>
      <c r="U8" s="173"/>
      <c r="V8" s="170">
        <f>V5</f>
        <v>13.731720429251812</v>
      </c>
      <c r="W8" s="171">
        <f>W5</f>
        <v>12.21666666213423</v>
      </c>
      <c r="X8" s="172">
        <f>X5</f>
        <v>16.450000000186265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0.98630136986301364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0.91176470588235292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199" t="str">
        <f>"Eagle P3 System Performance - "&amp;TEXT(Variables!A2,"yyyy-mm-dd")</f>
        <v>Eagle P3 System Performance - 2017-04-22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S11" s="64">
        <f>AVERAGE(S13:S80)</f>
        <v>0.98774509803921573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382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621</v>
      </c>
      <c r="B13" s="7">
        <v>4056</v>
      </c>
      <c r="C13" s="21" t="s">
        <v>213</v>
      </c>
      <c r="D13" s="21" t="s">
        <v>832</v>
      </c>
      <c r="E13" s="13">
        <v>42847.131944444445</v>
      </c>
      <c r="F13" s="13">
        <v>42847.135833333334</v>
      </c>
      <c r="G13" s="7">
        <v>1</v>
      </c>
      <c r="H13" s="21" t="s">
        <v>833</v>
      </c>
      <c r="I13" s="13">
        <v>42847.162476851852</v>
      </c>
      <c r="J13" s="7">
        <v>0</v>
      </c>
      <c r="K13" s="97" t="str">
        <f t="shared" ref="K13:K76" si="0">IF(ISEVEN(B13),(B13-1)&amp;"/"&amp;B13,B13&amp;"/"&amp;(B13+1))</f>
        <v>4055/4056</v>
      </c>
      <c r="L13" s="21" t="str">
        <f>VLOOKUP(A13,'Trips&amp;Operators'!$C$1:$G$99999,5,FALSE)</f>
        <v>BADERTSCHER DIANE</v>
      </c>
      <c r="M13" s="6">
        <f t="shared" ref="M13:M76" si="1">I13-F13</f>
        <v>2.6643518518540077E-2</v>
      </c>
      <c r="N13" s="7">
        <f t="shared" ref="N13:N43" si="2">24*60*SUM($M13:$M13)</f>
        <v>38.366666666697711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-22T02:10:00-0600',mode:absolute,to:'2017-04-22T04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183" t="str">
        <f t="shared" ref="W13:W76" si="6">IF(AA13&lt;IF(AG13="EC",23,5.65),"Y","N")</f>
        <v>N</v>
      </c>
      <c r="X13" s="183" t="e">
        <f t="shared" ref="X13:X38" si="7">VALUE(LEFT(AD13,4))-VALUE(LEFT(AD12,4))</f>
        <v>#VALUE!</v>
      </c>
      <c r="Y13" s="62">
        <f t="shared" ref="Y13:Y76" si="8">RIGHT(D13,LEN(D13)-4)/10000</f>
        <v>6.8599999999999994E-2</v>
      </c>
      <c r="Z13" s="62">
        <f t="shared" ref="Z13:Z76" si="9">RIGHT(H13,LEN(H13)-4)/10000</f>
        <v>23.3338</v>
      </c>
      <c r="AA13" s="62">
        <f t="shared" ref="AA13:AA76" si="10">ABS(Z13-Y13)</f>
        <v>23.2652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0101-22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/stypes="app*4056*20170422*"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4056 --swversion DE.1.0.9.0 --startMP 204:686 --initTime 2017-04-22T03:10:00 --startdatetime 2017-04-22T03:15:36 --delay 1 --endMP 204:233338 --enddatetime 2017-04-22T03:53:58 --enforcementcount 0 &gt;&gt;C:\Users\stu\Documents\GitHub\eaglep3-reporting\EC\2017-04-22-refined-times.txt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{"issue":{"subject":"","project_id":79,"tracker_id":40,"status_id":1,"priority_id":2,"assigned_to_id":23,"start_date":"2017-04-22","description":"","custom_fields":[{"id":1,"name":"Subdivision","value":"EC"},{"id":4,"name":"Milepost","value":"23.3338"},{"id":17,"name":"Train ID","value":"101-22"},{"id":16,"name":"Locomotive ID","value":"4056"},{"id":130,"name":"Impact","value":""},{"id":150,"name":"Time of Event (Mountain Time)","value":"03:53:58"},{"id":151,"name":"Denver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4056 --day 2017-04-22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09:53:58"},{"id":29,"name":"Sharepoint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629</v>
      </c>
      <c r="B14" s="7">
        <v>4021</v>
      </c>
      <c r="C14" s="21" t="s">
        <v>213</v>
      </c>
      <c r="D14" s="21" t="s">
        <v>834</v>
      </c>
      <c r="E14" s="13">
        <v>42847.168553240743</v>
      </c>
      <c r="F14" s="13">
        <v>42847.174513888887</v>
      </c>
      <c r="G14" s="7">
        <v>6</v>
      </c>
      <c r="H14" s="21" t="s">
        <v>381</v>
      </c>
      <c r="I14" s="13">
        <v>42847.202824074076</v>
      </c>
      <c r="J14" s="7">
        <v>0</v>
      </c>
      <c r="K14" s="97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2.8310185189184267E-2</v>
      </c>
      <c r="N14" s="7">
        <f t="shared" si="2"/>
        <v>40.766666672425345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-22T03:02:43-0600',mode:absolute,to:'2017-04-22T05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23.269200000000001</v>
      </c>
      <c r="Z14" s="62">
        <f t="shared" si="9"/>
        <v>1.41E-2</v>
      </c>
      <c r="AA14" s="62">
        <f t="shared" si="10"/>
        <v>23.255100000000002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0102-22</v>
      </c>
      <c r="AE14" s="85" t="str">
        <f t="shared" si="12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14" s="82" t="str">
        <f t="shared" si="13"/>
        <v>"C:\Program Files (x86)\AstroGrep\AstroGrep.exe" /e /r /s /spath="%USERPROFILE%\AppData\Local\Temp\OnboardLogs" /stypes="app*4021*20170422*"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4021 --swversion DE.1.0.9.0 --startMP 204:232692 --initTime 2017-04-22T04:02:43 --startdatetime 2017-04-22T04:11:18 --delay 6 --endMP 204:141 --enddatetime 2017-04-22T04:52:04 --enforcementcount 0 &gt;&gt;C:\Users\stu\Documents\GitHub\eaglep3-reporting\EC\2017-04-22-refined-times.txt</v>
      </c>
      <c r="AI14" s="104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{"issue":{"subject":"","project_id":79,"tracker_id":40,"status_id":1,"priority_id":2,"assigned_to_id":23,"start_date":"2017-04-22","description":"","custom_fields":[{"id":1,"name":"Subdivision","value":"EC"},{"id":4,"name":"Milepost","value":"0.0141"},{"id":17,"name":"Train ID","value":"102-22"},{"id":16,"name":"Locomotive ID","value":"4021"},{"id":130,"name":"Impact","value":""},{"id":150,"name":"Time of Event (Mountain Time)","value":"04:52:04"},{"id":151,"name":"Denver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1">"start /low /b "&amp;dls3logs&amp;" --loco "&amp;B14&amp;" --day "&amp;TEXT(F14,"YYYY-MM-DD")</f>
        <v>start /low /b %USERPROFILE%\Documents\GitHub\eaglep3\Utilities\DownloadLogsFromS3.py --loco 4021 --day 2017-04-22</v>
      </c>
      <c r="AN14" s="159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625</v>
      </c>
      <c r="B15" s="7">
        <v>4026</v>
      </c>
      <c r="C15" s="21" t="s">
        <v>213</v>
      </c>
      <c r="D15" s="21" t="s">
        <v>554</v>
      </c>
      <c r="E15" s="13">
        <v>42847.154293981483</v>
      </c>
      <c r="F15" s="13">
        <v>42847.156504629631</v>
      </c>
      <c r="G15" s="7">
        <v>1</v>
      </c>
      <c r="H15" s="21" t="s">
        <v>833</v>
      </c>
      <c r="I15" s="13">
        <v>42847.182291666664</v>
      </c>
      <c r="J15" s="7">
        <v>0</v>
      </c>
      <c r="K15" s="97" t="str">
        <f t="shared" si="0"/>
        <v>4025/4026</v>
      </c>
      <c r="L15" s="21" t="str">
        <f>VLOOKUP(A15,'Trips&amp;Operators'!$C$1:$G$99999,5,FALSE)</f>
        <v>ROBINSON KADDIBA</v>
      </c>
      <c r="M15" s="6">
        <f t="shared" si="1"/>
        <v>2.5787037033296656E-2</v>
      </c>
      <c r="N15" s="7">
        <f t="shared" si="2"/>
        <v>37.133333327947184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-22T02:42:11-0600',mode:absolute,to:'2017-04-22T05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7.46E-2</v>
      </c>
      <c r="Z15" s="62">
        <f t="shared" si="9"/>
        <v>23.3338</v>
      </c>
      <c r="AA15" s="62">
        <f t="shared" si="10"/>
        <v>23.2592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0103-22</v>
      </c>
      <c r="AE15" s="85" t="str">
        <f t="shared" si="12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15" s="82" t="str">
        <f t="shared" si="13"/>
        <v>"C:\Program Files (x86)\AstroGrep\AstroGrep.exe" /e /r /s /spath="%USERPROFILE%\AppData\Local\Temp\OnboardLogs" /stypes="app*4026*20170422*"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103-22 --locoid 4026 --swversion DE.1.0.9.0 --startMP 204:746 --initTime 2017-04-22T03:42:11 --startdatetime 2017-04-22T03:45:22 --delay 1 --endMP 204:233338 --enddatetime 2017-04-22T04:22:30 --enforcementcount 0 &gt;&gt;C:\Users\stu\Documents\GitHub\eaglep3-reporting\EC\2017-04-22-refined-times.txt</v>
      </c>
      <c r="AI1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{"issue":{"subject":"","project_id":79,"tracker_id":40,"status_id":1,"priority_id":2,"assigned_to_id":23,"start_date":"2017-04-22","description":"","custom_fields":[{"id":1,"name":"Subdivision","value":"EC"},{"id":4,"name":"Milepost","value":"23.3338"},{"id":17,"name":"Train ID","value":"103-22"},{"id":16,"name":"Locomotive ID","value":"4026"},{"id":130,"name":"Impact","value":""},{"id":150,"name":"Time of Event (Mountain Time)","value":"04:22:30"},{"id":151,"name":"Denver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4026 --day 2017-04-22</v>
      </c>
      <c r="AN1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638</v>
      </c>
      <c r="B16" s="7">
        <v>4015</v>
      </c>
      <c r="C16" s="21" t="s">
        <v>213</v>
      </c>
      <c r="D16" s="21" t="s">
        <v>835</v>
      </c>
      <c r="E16" s="13">
        <v>42847.188518518517</v>
      </c>
      <c r="F16" s="13">
        <v>42847.195300925923</v>
      </c>
      <c r="G16" s="7">
        <v>0</v>
      </c>
      <c r="H16" s="21" t="s">
        <v>198</v>
      </c>
      <c r="I16" s="13">
        <v>42847.223310185182</v>
      </c>
      <c r="J16" s="7">
        <v>0</v>
      </c>
      <c r="K16" s="97" t="str">
        <f t="shared" si="0"/>
        <v>4015/4016</v>
      </c>
      <c r="L16" s="21" t="str">
        <f>VLOOKUP(A16,'Trips&amp;Operators'!$C$1:$G$99999,5,FALSE)</f>
        <v>ROBINSON KADDIBA</v>
      </c>
      <c r="M16" s="6">
        <f t="shared" si="1"/>
        <v>2.8009259258396924E-2</v>
      </c>
      <c r="N16" s="7">
        <f t="shared" si="2"/>
        <v>40.33333333209157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-22T03:31:28-0600',mode:absolute,to:'2017-04-22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23.2713</v>
      </c>
      <c r="Z16" s="62">
        <f t="shared" si="9"/>
        <v>1.5800000000000002E-2</v>
      </c>
      <c r="AA16" s="62">
        <f t="shared" si="10"/>
        <v>23.255500000000001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0104-22</v>
      </c>
      <c r="AE16" s="85" t="str">
        <f t="shared" si="12"/>
        <v>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 &amp; 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</v>
      </c>
      <c r="AF16" s="82" t="str">
        <f t="shared" si="13"/>
        <v>"C:\Program Files (x86)\AstroGrep\AstroGrep.exe" /e /r /s /spath="%USERPROFILE%\AppData\Local\Temp\OnboardLogs" /stypes="app*4015*20170422*"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104-22 --locoid 4015 --swversion DE.1.0.9.0 --startMP 204:232713 --initTime 2017-04-22T04:31:28 --startdatetime 2017-04-22T04:41:14 --delay 0 --endMP 204:158 --enddatetime 2017-04-22T05:21:34 --enforcementcount 0 &gt;&gt;C:\Users\stu\Documents\GitHub\eaglep3-reporting\EC\2017-04-22-refined-times.txt</v>
      </c>
      <c r="AI1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{"issue":{"subject":"","project_id":79,"tracker_id":40,"status_id":1,"priority_id":2,"assigned_to_id":23,"start_date":"2017-04-22","description":"","custom_fields":[{"id":1,"name":"Subdivision","value":"EC"},{"id":4,"name":"Milepost","value":"0.0158"},{"id":17,"name":"Train ID","value":"104-22"},{"id":16,"name":"Locomotive ID","value":"4015"},{"id":130,"name":"Impact","value":""},{"id":150,"name":"Time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4015 --day 2017-04-22</v>
      </c>
      <c r="AN1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633</v>
      </c>
      <c r="B17" s="7">
        <v>4018</v>
      </c>
      <c r="C17" s="21" t="s">
        <v>213</v>
      </c>
      <c r="D17" s="21" t="s">
        <v>552</v>
      </c>
      <c r="E17" s="13">
        <v>42847.171574074076</v>
      </c>
      <c r="F17" s="13">
        <v>42847.177337962959</v>
      </c>
      <c r="G17" s="7">
        <v>1</v>
      </c>
      <c r="H17" s="21" t="s">
        <v>833</v>
      </c>
      <c r="I17" s="13">
        <v>42847.202928240738</v>
      </c>
      <c r="J17" s="7">
        <v>0</v>
      </c>
      <c r="K17" s="97" t="str">
        <f t="shared" si="0"/>
        <v>4017/4018</v>
      </c>
      <c r="L17" s="21" t="str">
        <f>VLOOKUP(A17,'Trips&amp;Operators'!$C$1:$G$99999,5,FALSE)</f>
        <v>MAELZER KURT</v>
      </c>
      <c r="M17" s="6">
        <f t="shared" si="1"/>
        <v>2.5590277778974269E-2</v>
      </c>
      <c r="N17" s="7">
        <f t="shared" si="2"/>
        <v>36.850000001722947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-22T03:07:04-0600',mode:absolute,to:'2017-04-22T05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7.7700000000000005E-2</v>
      </c>
      <c r="Z17" s="62">
        <f t="shared" si="9"/>
        <v>23.3338</v>
      </c>
      <c r="AA17" s="62">
        <f t="shared" si="10"/>
        <v>23.2561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0105-22</v>
      </c>
      <c r="AE17" s="85" t="str">
        <f t="shared" si="12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17" s="82" t="str">
        <f t="shared" si="13"/>
        <v>"C:\Program Files (x86)\AstroGrep\AstroGrep.exe" /e /r /s /spath="%USERPROFILE%\AppData\Local\Temp\OnboardLogs" /stypes="app*4018*20170422*"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105-22 --locoid 4018 --swversion DE.1.0.9.0 --startMP 204:777 --initTime 2017-04-22T04:07:04 --startdatetime 2017-04-22T04:15:22 --delay 1 --endMP 204:233338 --enddatetime 2017-04-22T04:52:13 --enforcementcount 0 &gt;&gt;C:\Users\stu\Documents\GitHub\eaglep3-reporting\EC\2017-04-22-refined-times.txt</v>
      </c>
      <c r="AI17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{"issue":{"subject":"","project_id":79,"tracker_id":40,"status_id":1,"priority_id":2,"assigned_to_id":23,"start_date":"2017-04-22","description":"","custom_fields":[{"id":1,"name":"Subdivision","value":"EC"},{"id":4,"name":"Milepost","value":"23.3338"},{"id":17,"name":"Train ID","value":"105-22"},{"id":16,"name":"Locomotive ID","value":"4018"},{"id":130,"name":"Impact","value":""},{"id":150,"name":"Time of Event (Mountain Time)","value":"04:52:13"},{"id":151,"name":"Denver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4018 --day 2017-04-22</v>
      </c>
      <c r="AN17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10:52:13"},{"id":29,"name":"Sharepoint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644</v>
      </c>
      <c r="B18" s="7">
        <v>4041</v>
      </c>
      <c r="C18" s="21" t="s">
        <v>213</v>
      </c>
      <c r="D18" s="21" t="s">
        <v>836</v>
      </c>
      <c r="E18" s="13">
        <v>42847.212106481478</v>
      </c>
      <c r="F18" s="13">
        <v>42847.216296296298</v>
      </c>
      <c r="G18" s="7">
        <v>0</v>
      </c>
      <c r="H18" s="21" t="s">
        <v>463</v>
      </c>
      <c r="I18" s="13">
        <v>42847.243495370371</v>
      </c>
      <c r="J18" s="7">
        <v>0</v>
      </c>
      <c r="K18" s="97" t="str">
        <f t="shared" si="0"/>
        <v>4041/4042</v>
      </c>
      <c r="L18" s="21" t="str">
        <f>VLOOKUP(A18,'Trips&amp;Operators'!$C$1:$G$99999,5,FALSE)</f>
        <v>MAELZER KURT</v>
      </c>
      <c r="M18" s="6">
        <f t="shared" si="1"/>
        <v>2.7199074072996154E-2</v>
      </c>
      <c r="N18" s="7">
        <f t="shared" si="2"/>
        <v>39.166666665114462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-22T04:05:26-0600',mode:absolute,to:'2017-04-22T06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23.269400000000001</v>
      </c>
      <c r="Z18" s="62">
        <f t="shared" si="9"/>
        <v>1.6500000000000001E-2</v>
      </c>
      <c r="AA18" s="62">
        <f t="shared" si="10"/>
        <v>23.2529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0106-22</v>
      </c>
      <c r="AE18" s="85" t="str">
        <f t="shared" si="12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18" s="82" t="str">
        <f t="shared" si="13"/>
        <v>"C:\Program Files (x86)\AstroGrep\AstroGrep.exe" /e /r /s /spath="%USERPROFILE%\AppData\Local\Temp\OnboardLogs" /stypes="app*4041*20170422*"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106-22 --locoid 4041 --swversion DE.1.0.9.0 --startMP 204:232694 --initTime 2017-04-22T05:05:26 --startdatetime 2017-04-22T05:11:28 --delay 0 --endMP 204:165 --enddatetime 2017-04-22T05:50:38 --enforcementcount 0 &gt;&gt;C:\Users\stu\Documents\GitHub\eaglep3-reporting\EC\2017-04-22-refined-times.txt</v>
      </c>
      <c r="AI18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{"issue":{"subject":"","project_id":79,"tracker_id":40,"status_id":1,"priority_id":2,"assigned_to_id":23,"start_date":"2017-04-22","description":"","custom_fields":[{"id":1,"name":"Subdivision","value":"EC"},{"id":4,"name":"Milepost","value":"0.0165"},{"id":17,"name":"Train ID","value":"106-22"},{"id":16,"name":"Locomotive ID","value":"4041"},{"id":130,"name":"Impact","value":""},{"id":150,"name":"Time of Event (Mountain Time)","value":"05:50:38"},{"id":151,"name":"Denver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4041 --day 2017-04-22</v>
      </c>
      <c r="AN18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635</v>
      </c>
      <c r="B19" s="7">
        <v>4064</v>
      </c>
      <c r="C19" s="21" t="s">
        <v>213</v>
      </c>
      <c r="D19" s="21" t="s">
        <v>394</v>
      </c>
      <c r="E19" s="13">
        <v>42847.181215277778</v>
      </c>
      <c r="F19" s="13">
        <v>42847.187696759262</v>
      </c>
      <c r="G19" s="7">
        <v>1</v>
      </c>
      <c r="H19" s="21" t="s">
        <v>571</v>
      </c>
      <c r="I19" s="13">
        <v>42847.214189814818</v>
      </c>
      <c r="J19" s="7">
        <v>0</v>
      </c>
      <c r="K19" s="97" t="str">
        <f t="shared" si="0"/>
        <v>4063/4064</v>
      </c>
      <c r="L19" s="21" t="str">
        <f>VLOOKUP(A19,'Trips&amp;Operators'!$C$1:$G$99999,5,FALSE)</f>
        <v>DAVIS WENDY</v>
      </c>
      <c r="M19" s="6">
        <f t="shared" si="1"/>
        <v>2.6493055556784384E-2</v>
      </c>
      <c r="N19" s="7">
        <f t="shared" si="2"/>
        <v>38.150000001769513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-22T03:20:57-0600',mode:absolute,to:'2017-04-22T06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4.58E-2</v>
      </c>
      <c r="Z19" s="62">
        <f t="shared" si="9"/>
        <v>23.332000000000001</v>
      </c>
      <c r="AA19" s="62">
        <f t="shared" si="10"/>
        <v>23.286200000000001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0107-22</v>
      </c>
      <c r="AE19" s="85" t="str">
        <f t="shared" si="12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19" s="82" t="str">
        <f t="shared" si="13"/>
        <v>"C:\Program Files (x86)\AstroGrep\AstroGrep.exe" /e /r /s /spath="%USERPROFILE%\AppData\Local\Temp\OnboardLogs" /stypes="app*4064*20170422*"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107-22 --locoid 4064 --swversion DE.1.0.9.0 --startMP 204:458 --initTime 2017-04-22T04:20:57 --startdatetime 2017-04-22T04:30:17 --delay 1 --endMP 204:233320 --enddatetime 2017-04-22T05:08:26 --enforcementcount 0 &gt;&gt;C:\Users\stu\Documents\GitHub\eaglep3-reporting\EC\2017-04-22-refined-times.txt</v>
      </c>
      <c r="AI19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{"issue":{"subject":"","project_id":79,"tracker_id":40,"status_id":1,"priority_id":2,"assigned_to_id":23,"start_date":"2017-04-22","description":"","custom_fields":[{"id":1,"name":"Subdivision","value":"EC"},{"id":4,"name":"Milepost","value":"23.332"},{"id":17,"name":"Train ID","value":"107-22"},{"id":16,"name":"Locomotive ID","value":"4064"},{"id":130,"name":"Impact","value":""},{"id":150,"name":"Time of Event (Mountain Time)","value":"05:08:26"},{"id":151,"name":"Denver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4064 --day 2017-04-22</v>
      </c>
      <c r="AN19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647</v>
      </c>
      <c r="B20" s="7">
        <v>4063</v>
      </c>
      <c r="C20" s="21" t="s">
        <v>213</v>
      </c>
      <c r="D20" s="21" t="s">
        <v>837</v>
      </c>
      <c r="E20" s="13">
        <v>42847.224039351851</v>
      </c>
      <c r="F20" s="13">
        <v>42847.226539351854</v>
      </c>
      <c r="G20" s="7">
        <v>1</v>
      </c>
      <c r="H20" s="21" t="s">
        <v>520</v>
      </c>
      <c r="I20" s="13">
        <v>42847.254907407405</v>
      </c>
      <c r="J20" s="7">
        <v>0</v>
      </c>
      <c r="K20" s="97" t="str">
        <f t="shared" si="0"/>
        <v>4063/4064</v>
      </c>
      <c r="L20" s="21" t="str">
        <f>VLOOKUP(A20,'Trips&amp;Operators'!$C$1:$G$99999,5,FALSE)</f>
        <v>DAVIS WENDY</v>
      </c>
      <c r="M20" s="6">
        <f t="shared" si="1"/>
        <v>2.8368055551254656E-2</v>
      </c>
      <c r="N20" s="7">
        <f t="shared" si="2"/>
        <v>40.849999993806705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-22T04:22:37-0600',mode:absolute,to:'2017-04-22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23.298999999999999</v>
      </c>
      <c r="Z20" s="62">
        <f t="shared" si="9"/>
        <v>1.8100000000000002E-2</v>
      </c>
      <c r="AA20" s="62">
        <f t="shared" si="10"/>
        <v>23.280899999999999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0108-22</v>
      </c>
      <c r="AE20" s="85" t="str">
        <f t="shared" si="12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20" s="82" t="str">
        <f t="shared" si="13"/>
        <v>"C:\Program Files (x86)\AstroGrep\AstroGrep.exe" /e /r /s /spath="%USERPROFILE%\AppData\Local\Temp\OnboardLogs" /stypes="app*4063*20170422*"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108-22 --locoid 4063 --swversion DE.1.0.9.0 --startMP 204:232990 --initTime 2017-04-22T05:22:37 --startdatetime 2017-04-22T05:26:13 --delay 1 --endMP 204:181 --enddatetime 2017-04-22T06:07:04 --enforcementcount 0 &gt;&gt;C:\Users\stu\Documents\GitHub\eaglep3-reporting\EC\2017-04-22-refined-times.txt</v>
      </c>
      <c r="AI20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{"issue":{"subject":"","project_id":79,"tracker_id":40,"status_id":1,"priority_id":2,"assigned_to_id":23,"start_date":"2017-04-22","description":"","custom_fields":[{"id":1,"name":"Subdivision","value":"EC"},{"id":4,"name":"Milepost","value":"0.0181"},{"id":17,"name":"Train ID","value":"108-22"},{"id":16,"name":"Locomotive ID","value":"4063"},{"id":130,"name":"Impact","value":""},{"id":150,"name":"Time of Event (Mountain Time)","value":"06:07:04"},{"id":151,"name":"Denver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4063 --day 2017-04-22</v>
      </c>
      <c r="AN20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639</v>
      </c>
      <c r="B21" s="7">
        <v>4032</v>
      </c>
      <c r="C21" s="21" t="s">
        <v>213</v>
      </c>
      <c r="D21" s="21" t="s">
        <v>838</v>
      </c>
      <c r="E21" s="13">
        <v>42847.193888888891</v>
      </c>
      <c r="F21" s="13">
        <v>42847.198159722226</v>
      </c>
      <c r="G21" s="7">
        <v>1</v>
      </c>
      <c r="H21" s="21" t="s">
        <v>839</v>
      </c>
      <c r="I21" s="13">
        <v>42847.223923611113</v>
      </c>
      <c r="J21" s="7">
        <v>0</v>
      </c>
      <c r="K21" s="97" t="str">
        <f t="shared" si="0"/>
        <v>4031/4032</v>
      </c>
      <c r="L21" s="21" t="str">
        <f>VLOOKUP(A21,'Trips&amp;Operators'!$C$1:$G$99999,5,FALSE)</f>
        <v>SANTIZO D. EDY</v>
      </c>
      <c r="M21" s="6">
        <f t="shared" si="1"/>
        <v>2.5763888887013309E-2</v>
      </c>
      <c r="N21" s="7">
        <f t="shared" si="2"/>
        <v>37.099999997299165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-22T03:39:12-0600',mode:absolute,to:'2017-04-22T06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4.3299999999999998E-2</v>
      </c>
      <c r="Z21" s="62">
        <f t="shared" si="9"/>
        <v>23.329799999999999</v>
      </c>
      <c r="AA21" s="62">
        <f t="shared" si="10"/>
        <v>23.2865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0109-22</v>
      </c>
      <c r="AE21" s="85" t="str">
        <f t="shared" si="12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21" s="82" t="str">
        <f t="shared" si="13"/>
        <v>"C:\Program Files (x86)\AstroGrep\AstroGrep.exe" /e /r /s /spath="%USERPROFILE%\AppData\Local\Temp\OnboardLogs" /stypes="app*4032*20170422*"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109-22 --locoid 4032 --swversion DE.1.0.9.0 --startMP 204:433 --initTime 2017-04-22T04:39:12 --startdatetime 2017-04-22T04:45:21 --delay 1 --endMP 204:233298 --enddatetime 2017-04-22T05:22:27 --enforcementcount 0 &gt;&gt;C:\Users\stu\Documents\GitHub\eaglep3-reporting\EC\2017-04-22-refined-times.txt</v>
      </c>
      <c r="AI21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{"issue":{"subject":"","project_id":79,"tracker_id":40,"status_id":1,"priority_id":2,"assigned_to_id":23,"start_date":"2017-04-22","description":"","custom_fields":[{"id":1,"name":"Subdivision","value":"EC"},{"id":4,"name":"Milepost","value":"23.3298"},{"id":17,"name":"Train ID","value":"109-22"},{"id":16,"name":"Locomotive ID","value":"4032"},{"id":130,"name":"Impact","value":""},{"id":150,"name":"Time of Event (Mountain Time)","value":"05:22:27"},{"id":151,"name":"Denver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4032 --day 2017-04-22</v>
      </c>
      <c r="AN21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648</v>
      </c>
      <c r="B22" s="7">
        <v>4031</v>
      </c>
      <c r="C22" s="21" t="s">
        <v>213</v>
      </c>
      <c r="D22" s="21" t="s">
        <v>840</v>
      </c>
      <c r="E22" s="13">
        <v>42847.225381944445</v>
      </c>
      <c r="F22" s="13">
        <v>42847.236990740741</v>
      </c>
      <c r="G22" s="7">
        <v>1</v>
      </c>
      <c r="H22" s="21" t="s">
        <v>463</v>
      </c>
      <c r="I22" s="13">
        <v>42847.263148148151</v>
      </c>
      <c r="J22" s="7">
        <v>0</v>
      </c>
      <c r="K22" s="97" t="str">
        <f t="shared" si="0"/>
        <v>4031/4032</v>
      </c>
      <c r="L22" s="21" t="str">
        <f>VLOOKUP(A22,'Trips&amp;Operators'!$C$1:$G$99999,5,FALSE)</f>
        <v>SANTIZO D. EDY</v>
      </c>
      <c r="M22" s="6">
        <f t="shared" si="1"/>
        <v>2.6157407410209998E-2</v>
      </c>
      <c r="N22" s="7">
        <f t="shared" si="2"/>
        <v>37.666666670702398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-22T04:24:33-0600',mode:absolute,to:'2017-04-22T07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23.299600000000002</v>
      </c>
      <c r="Z22" s="62">
        <f t="shared" si="9"/>
        <v>1.6500000000000001E-2</v>
      </c>
      <c r="AA22" s="62">
        <f t="shared" si="10"/>
        <v>23.283100000000001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0110-22</v>
      </c>
      <c r="AE22" s="85" t="str">
        <f t="shared" si="12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22" s="82" t="str">
        <f t="shared" si="13"/>
        <v>"C:\Program Files (x86)\AstroGrep\AstroGrep.exe" /e /r /s /spath="%USERPROFILE%\AppData\Local\Temp\OnboardLogs" /stypes="app*4031*20170422*"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110-22 --locoid 4031 --swversion DE.1.0.9.0 --startMP 204:232996 --initTime 2017-04-22T05:24:33 --startdatetime 2017-04-22T05:41:16 --delay 1 --endMP 204:165 --enddatetime 2017-04-22T06:18:56 --enforcementcount 0 &gt;&gt;C:\Users\stu\Documents\GitHub\eaglep3-reporting\EC\2017-04-22-refined-times.txt</v>
      </c>
      <c r="AI22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{"issue":{"subject":"","project_id":79,"tracker_id":40,"status_id":1,"priority_id":2,"assigned_to_id":23,"start_date":"2017-04-22","description":"","custom_fields":[{"id":1,"name":"Subdivision","value":"EC"},{"id":4,"name":"Milepost","value":"0.0165"},{"id":17,"name":"Train ID","value":"110-22"},{"id":16,"name":"Locomotive ID","value":"4031"},{"id":130,"name":"Impact","value":""},{"id":150,"name":"Time of Event (Mountain Time)","value":"06:18:56"},{"id":151,"name":"Denver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4031 --day 2017-04-22</v>
      </c>
      <c r="AN22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640</v>
      </c>
      <c r="B23" s="7">
        <v>4056</v>
      </c>
      <c r="C23" s="21" t="s">
        <v>213</v>
      </c>
      <c r="D23" s="21" t="s">
        <v>841</v>
      </c>
      <c r="E23" s="13">
        <v>42847.204571759263</v>
      </c>
      <c r="F23" s="13">
        <v>42847.208726851852</v>
      </c>
      <c r="G23" s="7">
        <v>2</v>
      </c>
      <c r="H23" s="21" t="s">
        <v>420</v>
      </c>
      <c r="I23" s="13">
        <v>42847.234131944446</v>
      </c>
      <c r="J23" s="7">
        <v>0</v>
      </c>
      <c r="K23" s="97" t="str">
        <f t="shared" si="0"/>
        <v>4055/4056</v>
      </c>
      <c r="L23" s="21" t="str">
        <f>VLOOKUP(A23,'Trips&amp;Operators'!$C$1:$G$99999,5,FALSE)</f>
        <v>MAYBERRY BILL</v>
      </c>
      <c r="M23" s="6">
        <f t="shared" si="1"/>
        <v>2.5405092594155576E-2</v>
      </c>
      <c r="N23" s="7">
        <f t="shared" si="2"/>
        <v>36.58333333558403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-22T03:54:35-0600',mode:absolute,to:'2017-04-22T06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7.4300000000000005E-2</v>
      </c>
      <c r="Z23" s="62">
        <f t="shared" si="9"/>
        <v>23.3293</v>
      </c>
      <c r="AA23" s="62">
        <f t="shared" si="10"/>
        <v>23.254999999999999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0111-22</v>
      </c>
      <c r="AE23" s="85" t="str">
        <f t="shared" si="12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23" s="82" t="str">
        <f t="shared" si="13"/>
        <v>"C:\Program Files (x86)\AstroGrep\AstroGrep.exe" /e /r /s /spath="%USERPROFILE%\AppData\Local\Temp\OnboardLogs" /stypes="app*4056*20170422*"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111-22 --locoid 4056 --swversion DE.1.0.9.0 --startMP 204:743 --initTime 2017-04-22T04:54:35 --startdatetime 2017-04-22T05:00:34 --delay 2 --endMP 204:233293 --enddatetime 2017-04-22T05:37:09 --enforcementcount 0 &gt;&gt;C:\Users\stu\Documents\GitHub\eaglep3-reporting\EC\2017-04-22-refined-times.txt</v>
      </c>
      <c r="AI23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{"issue":{"subject":"","project_id":79,"tracker_id":40,"status_id":1,"priority_id":2,"assigned_to_id":23,"start_date":"2017-04-22","description":"","custom_fields":[{"id":1,"name":"Subdivision","value":"EC"},{"id":4,"name":"Milepost","value":"23.3293"},{"id":17,"name":"Train ID","value":"111-22"},{"id":16,"name":"Locomotive ID","value":"4056"},{"id":130,"name":"Impact","value":""},{"id":150,"name":"Time of Event (Mountain Time)","value":"05:37:09"},{"id":151,"name":"Denver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4056 --day 2017-04-22</v>
      </c>
      <c r="AN23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652</v>
      </c>
      <c r="B24" s="7">
        <v>4055</v>
      </c>
      <c r="C24" s="21" t="s">
        <v>213</v>
      </c>
      <c r="D24" s="21" t="s">
        <v>562</v>
      </c>
      <c r="E24" s="13">
        <v>42847.245300925926</v>
      </c>
      <c r="F24" s="13">
        <v>42847.247534722221</v>
      </c>
      <c r="G24" s="7">
        <v>1</v>
      </c>
      <c r="H24" s="21" t="s">
        <v>421</v>
      </c>
      <c r="I24" s="13">
        <v>42847.274699074071</v>
      </c>
      <c r="J24" s="7">
        <v>0</v>
      </c>
      <c r="K24" s="97" t="str">
        <f t="shared" si="0"/>
        <v>4055/4056</v>
      </c>
      <c r="L24" s="21" t="str">
        <f>VLOOKUP(A24,'Trips&amp;Operators'!$C$1:$G$99999,5,FALSE)</f>
        <v>MAYBERRY BILL</v>
      </c>
      <c r="M24" s="6">
        <f t="shared" si="1"/>
        <v>2.7164351849933155E-2</v>
      </c>
      <c r="N24" s="7">
        <f t="shared" si="2"/>
        <v>39.116666663903743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-22T04:53:14-0600',mode:absolute,to:'2017-04-22T07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23.296099999999999</v>
      </c>
      <c r="Z24" s="62">
        <f t="shared" si="9"/>
        <v>1.4999999999999999E-2</v>
      </c>
      <c r="AA24" s="62">
        <f t="shared" si="10"/>
        <v>23.281099999999999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0112-22</v>
      </c>
      <c r="AE24" s="85" t="str">
        <f t="shared" si="12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24" s="82" t="str">
        <f t="shared" si="13"/>
        <v>"C:\Program Files (x86)\AstroGrep\AstroGrep.exe" /e /r /s /spath="%USERPROFILE%\AppData\Local\Temp\OnboardLogs" /stypes="app*4055*20170422*"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112-22 --locoid 4055 --swversion DE.1.0.9.0 --startMP 204:232961 --initTime 2017-04-22T05:53:14 --startdatetime 2017-04-22T05:56:27 --delay 1 --endMP 204:150 --enddatetime 2017-04-22T06:35:34 --enforcementcount 0 &gt;&gt;C:\Users\stu\Documents\GitHub\eaglep3-reporting\EC\2017-04-22-refined-times.txt</v>
      </c>
      <c r="AI24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{"issue":{"subject":"","project_id":79,"tracker_id":40,"status_id":1,"priority_id":2,"assigned_to_id":23,"start_date":"2017-04-22","description":"","custom_fields":[{"id":1,"name":"Subdivision","value":"EC"},{"id":4,"name":"Milepost","value":"0.015"},{"id":17,"name":"Train ID","value":"112-22"},{"id":16,"name":"Locomotive ID","value":"4055"},{"id":130,"name":"Impact","value":""},{"id":150,"name":"Time of Event (Mountain Time)","value":"06:35:34"},{"id":151,"name":"Denver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4055 --day 2017-04-22</v>
      </c>
      <c r="AN24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643</v>
      </c>
      <c r="B25" s="7">
        <v>4022</v>
      </c>
      <c r="C25" s="21" t="s">
        <v>213</v>
      </c>
      <c r="D25" s="21" t="s">
        <v>477</v>
      </c>
      <c r="E25" s="13">
        <v>42847.210682870369</v>
      </c>
      <c r="F25" s="13">
        <v>42847.218923611108</v>
      </c>
      <c r="G25" s="7">
        <v>1</v>
      </c>
      <c r="H25" s="21" t="s">
        <v>475</v>
      </c>
      <c r="I25" s="13">
        <v>42847.245937500003</v>
      </c>
      <c r="J25" s="7">
        <v>0</v>
      </c>
      <c r="K25" s="97" t="str">
        <f t="shared" si="0"/>
        <v>4021/4022</v>
      </c>
      <c r="L25" s="21" t="str">
        <f>VLOOKUP(A25,'Trips&amp;Operators'!$C$1:$G$99999,5,FALSE)</f>
        <v>BADERTSCHER DIANE</v>
      </c>
      <c r="M25" s="6">
        <f t="shared" si="1"/>
        <v>2.701388889545342E-2</v>
      </c>
      <c r="N25" s="7">
        <f t="shared" si="2"/>
        <v>38.900000009452924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-22T04:03:23-0600',mode:absolute,to:'2017-04-22T06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4.5100000000000001E-2</v>
      </c>
      <c r="Z25" s="62">
        <f t="shared" si="9"/>
        <v>23.331700000000001</v>
      </c>
      <c r="AA25" s="62">
        <f t="shared" si="10"/>
        <v>23.2866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0113-22</v>
      </c>
      <c r="AE25" s="85" t="str">
        <f t="shared" si="12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25" s="82" t="str">
        <f t="shared" si="13"/>
        <v>"C:\Program Files (x86)\AstroGrep\AstroGrep.exe" /e /r /s /spath="%USERPROFILE%\AppData\Local\Temp\OnboardLogs" /stypes="app*4022*20170422*"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113-22 --locoid 4022 --swversion DE.1.0.9.0 --startMP 204:451 --initTime 2017-04-22T05:03:23 --startdatetime 2017-04-22T05:15:15 --delay 1 --endMP 204:233317 --enddatetime 2017-04-22T05:54:09 --enforcementcount 0 &gt;&gt;C:\Users\stu\Documents\GitHub\eaglep3-reporting\EC\2017-04-22-refined-times.txt</v>
      </c>
      <c r="AI2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{"issue":{"subject":"","project_id":79,"tracker_id":40,"status_id":1,"priority_id":2,"assigned_to_id":23,"start_date":"2017-04-22","description":"","custom_fields":[{"id":1,"name":"Subdivision","value":"EC"},{"id":4,"name":"Milepost","value":"23.3317"},{"id":17,"name":"Train ID","value":"113-22"},{"id":16,"name":"Locomotive ID","value":"4022"},{"id":130,"name":"Impact","value":""},{"id":150,"name":"Time of Event (Mountain Time)","value":"05:54:09"},{"id":151,"name":"Denver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4022 --day 2017-04-22</v>
      </c>
      <c r="AN2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587</v>
      </c>
      <c r="B26" s="7">
        <v>4021</v>
      </c>
      <c r="C26" s="21" t="s">
        <v>213</v>
      </c>
      <c r="D26" s="21" t="s">
        <v>575</v>
      </c>
      <c r="E26" s="13">
        <v>42847.250289351854</v>
      </c>
      <c r="F26" s="13">
        <v>42847.257824074077</v>
      </c>
      <c r="G26" s="7">
        <v>1</v>
      </c>
      <c r="H26" s="21" t="s">
        <v>842</v>
      </c>
      <c r="I26" s="13">
        <v>42847.285439814812</v>
      </c>
      <c r="J26" s="7">
        <v>0</v>
      </c>
      <c r="K26" s="97" t="str">
        <f t="shared" si="0"/>
        <v>4021/4022</v>
      </c>
      <c r="L26" s="21" t="str">
        <f>VLOOKUP(A26,'Trips&amp;Operators'!$C$1:$G$99999,5,FALSE)</f>
        <v>BADERTSCHER DIANE</v>
      </c>
      <c r="M26" s="6">
        <f t="shared" si="1"/>
        <v>2.7615740735200234E-2</v>
      </c>
      <c r="N26" s="7">
        <f t="shared" si="2"/>
        <v>39.766666658688337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-22T05:00:25-0600',mode:absolute,to:'2017-04-22T07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23.299299999999999</v>
      </c>
      <c r="Z26" s="62">
        <f t="shared" si="9"/>
        <v>2.2700000000000001E-2</v>
      </c>
      <c r="AA26" s="62">
        <f t="shared" si="10"/>
        <v>23.276599999999998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0114-22</v>
      </c>
      <c r="AE26" s="85" t="str">
        <f t="shared" si="12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26" s="82" t="str">
        <f t="shared" si="13"/>
        <v>"C:\Program Files (x86)\AstroGrep\AstroGrep.exe" /e /r /s /spath="%USERPROFILE%\AppData\Local\Temp\OnboardLogs" /stypes="app*4021*20170422*"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114-22 --locoid 4021 --swversion DE.1.0.9.0 --startMP 204:232993 --initTime 2017-04-22T06:00:25 --startdatetime 2017-04-22T06:11:16 --delay 1 --endMP 204:227 --enddatetime 2017-04-22T06:51:02 --enforcementcount 0 &gt;&gt;C:\Users\stu\Documents\GitHub\eaglep3-reporting\EC\2017-04-22-refined-times.txt</v>
      </c>
      <c r="AI2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{"issue":{"subject":"","project_id":79,"tracker_id":40,"status_id":1,"priority_id":2,"assigned_to_id":23,"start_date":"2017-04-22","description":"","custom_fields":[{"id":1,"name":"Subdivision","value":"EC"},{"id":4,"name":"Milepost","value":"0.0227"},{"id":17,"name":"Train ID","value":"114-22"},{"id":16,"name":"Locomotive ID","value":"4021"},{"id":130,"name":"Impact","value":""},{"id":150,"name":"Time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4021 --day 2017-04-22</v>
      </c>
      <c r="AN2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649</v>
      </c>
      <c r="B27" s="7">
        <v>4026</v>
      </c>
      <c r="C27" s="21" t="s">
        <v>213</v>
      </c>
      <c r="D27" s="21" t="s">
        <v>843</v>
      </c>
      <c r="E27" s="13">
        <v>42847.225891203707</v>
      </c>
      <c r="F27" s="13">
        <v>42847.229363425926</v>
      </c>
      <c r="G27" s="7">
        <v>2</v>
      </c>
      <c r="H27" s="21" t="s">
        <v>571</v>
      </c>
      <c r="I27" s="13">
        <v>42847.253842592596</v>
      </c>
      <c r="J27" s="7">
        <v>0</v>
      </c>
      <c r="K27" s="97" t="str">
        <f t="shared" si="0"/>
        <v>4025/4026</v>
      </c>
      <c r="L27" s="21" t="str">
        <f>VLOOKUP(A27,'Trips&amp;Operators'!$C$1:$G$99999,5,FALSE)</f>
        <v>GEBRETEKLE DAGNEW</v>
      </c>
      <c r="M27" s="6">
        <f t="shared" si="1"/>
        <v>2.4479166670062114E-2</v>
      </c>
      <c r="N27" s="7">
        <f t="shared" si="2"/>
        <v>35.250000004889444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-22T04:25:17-0600',mode:absolute,to:'2017-04-22T07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7.9399999999999998E-2</v>
      </c>
      <c r="Z27" s="62">
        <f t="shared" si="9"/>
        <v>23.332000000000001</v>
      </c>
      <c r="AA27" s="62">
        <f t="shared" si="10"/>
        <v>23.252600000000001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0115-22</v>
      </c>
      <c r="AE27" s="85" t="str">
        <f t="shared" si="12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27" s="82" t="str">
        <f t="shared" si="13"/>
        <v>"C:\Program Files (x86)\AstroGrep\AstroGrep.exe" /e /r /s /spath="%USERPROFILE%\AppData\Local\Temp\OnboardLogs" /stypes="app*4026*20170422*"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115-22 --locoid 4026 --swversion DE.1.0.9.0 --startMP 204:794 --initTime 2017-04-22T05:25:17 --startdatetime 2017-04-22T05:30:17 --delay 2 --endMP 204:233320 --enddatetime 2017-04-22T06:05:32 --enforcementcount 0 &gt;&gt;C:\Users\stu\Documents\GitHub\eaglep3-reporting\EC\2017-04-22-refined-times.txt</v>
      </c>
      <c r="AI27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{"issue":{"subject":"","project_id":79,"tracker_id":40,"status_id":1,"priority_id":2,"assigned_to_id":23,"start_date":"2017-04-22","description":"","custom_fields":[{"id":1,"name":"Subdivision","value":"EC"},{"id":4,"name":"Milepost","value":"23.332"},{"id":17,"name":"Train ID","value":"115-22"},{"id":16,"name":"Locomotive ID","value":"4026"},{"id":130,"name":"Impact","value":""},{"id":150,"name":"Time of Event (Mountain Time)","value":"06:05:32"},{"id":151,"name":"Denver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4026 --day 2017-04-22</v>
      </c>
      <c r="AN27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657</v>
      </c>
      <c r="B28" s="7">
        <v>4025</v>
      </c>
      <c r="C28" s="21" t="s">
        <v>213</v>
      </c>
      <c r="D28" s="21" t="s">
        <v>517</v>
      </c>
      <c r="E28" s="13">
        <v>42847.263784722221</v>
      </c>
      <c r="F28" s="13">
        <v>42847.268229166664</v>
      </c>
      <c r="G28" s="7">
        <v>1</v>
      </c>
      <c r="H28" s="21" t="s">
        <v>203</v>
      </c>
      <c r="I28" s="13">
        <v>42847.294444444444</v>
      </c>
      <c r="J28" s="7">
        <v>0</v>
      </c>
      <c r="K28" s="97" t="str">
        <f t="shared" si="0"/>
        <v>4025/4026</v>
      </c>
      <c r="L28" s="21" t="str">
        <f>VLOOKUP(A28,'Trips&amp;Operators'!$C$1:$G$99999,5,FALSE)</f>
        <v>GEBRETEKLE DAGNEW</v>
      </c>
      <c r="M28" s="6">
        <f t="shared" si="1"/>
        <v>2.6215277779556345E-2</v>
      </c>
      <c r="N28" s="7">
        <f t="shared" si="2"/>
        <v>37.750000002561137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-22T05:19:51-0600',mode:absolute,to:'2017-04-22T08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23.297799999999999</v>
      </c>
      <c r="Z28" s="62">
        <f t="shared" si="9"/>
        <v>1.54E-2</v>
      </c>
      <c r="AA28" s="62">
        <f t="shared" si="10"/>
        <v>23.282399999999999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0116-22</v>
      </c>
      <c r="AE28" s="85" t="str">
        <f t="shared" si="12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28" s="82" t="str">
        <f t="shared" si="13"/>
        <v>"C:\Program Files (x86)\AstroGrep\AstroGrep.exe" /e /r /s /spath="%USERPROFILE%\AppData\Local\Temp\OnboardLogs" /stypes="app*4025*20170422*"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116-22 --locoid 4025 --swversion DE.1.0.9.0 --startMP 204:232978 --initTime 2017-04-22T06:19:51 --startdatetime 2017-04-22T06:26:15 --delay 1 --endMP 204:154 --enddatetime 2017-04-22T07:04:00 --enforcementcount 0 &gt;&gt;C:\Users\stu\Documents\GitHub\eaglep3-reporting\EC\2017-04-22-refined-times.txt</v>
      </c>
      <c r="AI28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{"issue":{"subject":"","project_id":79,"tracker_id":40,"status_id":1,"priority_id":2,"assigned_to_id":23,"start_date":"2017-04-22","description":"","custom_fields":[{"id":1,"name":"Subdivision","value":"EC"},{"id":4,"name":"Milepost","value":"0.0154"},{"id":17,"name":"Train ID","value":"116-22"},{"id":16,"name":"Locomotive ID","value":"4025"},{"id":130,"name":"Impact","value":""},{"id":150,"name":"Time of Event (Mountain Time)","value":"07:04:00"},{"id":151,"name":"Denver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4025 --day 2017-04-22</v>
      </c>
      <c r="AN28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650</v>
      </c>
      <c r="B29" s="7">
        <v>4016</v>
      </c>
      <c r="C29" s="21" t="s">
        <v>213</v>
      </c>
      <c r="D29" s="21" t="s">
        <v>455</v>
      </c>
      <c r="E29" s="13">
        <v>42847.228773148148</v>
      </c>
      <c r="F29" s="13">
        <v>42847.24</v>
      </c>
      <c r="G29" s="7">
        <v>1</v>
      </c>
      <c r="H29" s="21" t="s">
        <v>563</v>
      </c>
      <c r="I29" s="13">
        <v>42847.264988425923</v>
      </c>
      <c r="J29" s="7">
        <v>0</v>
      </c>
      <c r="K29" s="97" t="str">
        <f t="shared" si="0"/>
        <v>4015/4016</v>
      </c>
      <c r="L29" s="21" t="str">
        <f>VLOOKUP(A29,'Trips&amp;Operators'!$C$1:$G$99999,5,FALSE)</f>
        <v>ROBINSON KADDIBA</v>
      </c>
      <c r="M29" s="6">
        <f t="shared" si="1"/>
        <v>2.4988425924675539E-2</v>
      </c>
      <c r="N29" s="7">
        <f t="shared" si="2"/>
        <v>35.983333331532776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-22T04:29:26-0600',mode:absolute,to:'2017-04-22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4.3799999999999999E-2</v>
      </c>
      <c r="Z29" s="62">
        <f t="shared" si="9"/>
        <v>23.330200000000001</v>
      </c>
      <c r="AA29" s="62">
        <f t="shared" si="10"/>
        <v>23.2864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0117-22</v>
      </c>
      <c r="AE29" s="85" t="str">
        <f t="shared" si="12"/>
        <v>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 &amp; 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</v>
      </c>
      <c r="AF29" s="82" t="str">
        <f t="shared" si="13"/>
        <v>"C:\Program Files (x86)\AstroGrep\AstroGrep.exe" /e /r /s /spath="%USERPROFILE%\AppData\Local\Temp\OnboardLogs" /stypes="app*4016*20170422*"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117-22 --locoid 4016 --swversion DE.1.0.9.0 --startMP 204:438 --initTime 2017-04-22T05:29:26 --startdatetime 2017-04-22T05:45:36 --delay 1 --endMP 204:233302 --enddatetime 2017-04-22T06:21:35 --enforcementcount 0 &gt;&gt;C:\Users\stu\Documents\GitHub\eaglep3-reporting\EC\2017-04-22-refined-times.txt</v>
      </c>
      <c r="AI29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{"issue":{"subject":"","project_id":79,"tracker_id":40,"status_id":1,"priority_id":2,"assigned_to_id":23,"start_date":"2017-04-22","description":"","custom_fields":[{"id":1,"name":"Subdivision","value":"EC"},{"id":4,"name":"Milepost","value":"23.3302"},{"id":17,"name":"Train ID","value":"117-22"},{"id":16,"name":"Locomotive ID","value":"4016"},{"id":130,"name":"Impact","value":""},{"id":150,"name":"Time of Event (Mountain Time)","value":"06:21:35"},{"id":151,"name":"Denver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4016 --day 2017-04-22</v>
      </c>
      <c r="AN29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588</v>
      </c>
      <c r="B30" s="7">
        <v>4015</v>
      </c>
      <c r="C30" s="21" t="s">
        <v>213</v>
      </c>
      <c r="D30" s="21" t="s">
        <v>516</v>
      </c>
      <c r="E30" s="13">
        <v>42847.27621527778</v>
      </c>
      <c r="F30" s="13">
        <v>42847.278634259259</v>
      </c>
      <c r="G30" s="7">
        <v>1</v>
      </c>
      <c r="H30" s="21" t="s">
        <v>440</v>
      </c>
      <c r="I30" s="13">
        <v>42847.306828703702</v>
      </c>
      <c r="J30" s="7">
        <v>0</v>
      </c>
      <c r="K30" s="97" t="str">
        <f t="shared" si="0"/>
        <v>4015/4016</v>
      </c>
      <c r="L30" s="21" t="str">
        <f>VLOOKUP(A30,'Trips&amp;Operators'!$C$1:$G$99999,5,FALSE)</f>
        <v>ROBINSON KADDIBA</v>
      </c>
      <c r="M30" s="6">
        <f t="shared" si="1"/>
        <v>2.8194444443215616E-2</v>
      </c>
      <c r="N30" s="7">
        <f t="shared" si="2"/>
        <v>40.599999998230487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-22T05:37:45-0600',mode:absolute,to:'2017-04-22T08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23.300599999999999</v>
      </c>
      <c r="Z30" s="62">
        <f t="shared" si="9"/>
        <v>1.5599999999999999E-2</v>
      </c>
      <c r="AA30" s="62">
        <f t="shared" si="10"/>
        <v>23.285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11"/>
        <v>0118-22</v>
      </c>
      <c r="AE30" s="85" t="str">
        <f t="shared" si="12"/>
        <v>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 &amp; 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</v>
      </c>
      <c r="AF30" s="82" t="str">
        <f t="shared" si="13"/>
        <v>"C:\Program Files (x86)\AstroGrep\AstroGrep.exe" /e /r /s /spath="%USERPROFILE%\AppData\Local\Temp\OnboardLogs" /stypes="app*4015*20170422*"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118-22 --locoid 4015 --swversion DE.1.0.9.0 --startMP 204:233006 --initTime 2017-04-22T06:37:45 --startdatetime 2017-04-22T06:41:14 --delay 1 --endMP 204:156 --enddatetime 2017-04-22T07:21:50 --enforcementcount 0 &gt;&gt;C:\Users\stu\Documents\GitHub\eaglep3-reporting\EC\2017-04-22-refined-times.txt</v>
      </c>
      <c r="AI30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{"issue":{"subject":"","project_id":79,"tracker_id":40,"status_id":1,"priority_id":2,"assigned_to_id":23,"start_date":"2017-04-22","description":"","custom_fields":[{"id":1,"name":"Subdivision","value":"EC"},{"id":4,"name":"Milepost","value":"0.0156"},{"id":17,"name":"Train ID","value":"118-22"},{"id":16,"name":"Locomotive ID","value":"4015"},{"id":130,"name":"Impact","value":""},{"id":150,"name":"Time of Event (Mountain Time)","value":"07:21:50"},{"id":151,"name":"Denver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4015 --day 2017-04-22</v>
      </c>
      <c r="AN30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653</v>
      </c>
      <c r="B31" s="7">
        <v>4018</v>
      </c>
      <c r="C31" s="21" t="s">
        <v>213</v>
      </c>
      <c r="D31" s="21" t="s">
        <v>844</v>
      </c>
      <c r="E31" s="13">
        <v>42847.247499999998</v>
      </c>
      <c r="F31" s="13">
        <v>42847.250219907408</v>
      </c>
      <c r="G31" s="7">
        <v>1</v>
      </c>
      <c r="H31" s="21" t="s">
        <v>577</v>
      </c>
      <c r="I31" s="13">
        <v>42847.274895833332</v>
      </c>
      <c r="J31" s="7">
        <v>0</v>
      </c>
      <c r="K31" s="97" t="str">
        <f t="shared" si="0"/>
        <v>4017/4018</v>
      </c>
      <c r="L31" s="21" t="str">
        <f>VLOOKUP(A31,'Trips&amp;Operators'!$C$1:$G$99999,5,FALSE)</f>
        <v>MAELZER KURT</v>
      </c>
      <c r="M31" s="6">
        <f t="shared" si="1"/>
        <v>2.4675925924384501E-2</v>
      </c>
      <c r="N31" s="7">
        <f t="shared" si="2"/>
        <v>35.533333331113681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-22T04:56:24-0600',mode:absolute,to:'2017-04-22T07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7.6999999999999999E-2</v>
      </c>
      <c r="Z31" s="62">
        <f t="shared" si="9"/>
        <v>23.3307</v>
      </c>
      <c r="AA31" s="62">
        <f t="shared" si="10"/>
        <v>23.253699999999998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0119-22</v>
      </c>
      <c r="AE31" s="85" t="str">
        <f t="shared" si="12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31" s="82" t="str">
        <f t="shared" si="13"/>
        <v>"C:\Program Files (x86)\AstroGrep\AstroGrep.exe" /e /r /s /spath="%USERPROFILE%\AppData\Local\Temp\OnboardLogs" /stypes="app*4018*20170422*"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119-22 --locoid 4018 --swversion DE.1.0.9.0 --startMP 204:770 --initTime 2017-04-22T05:56:24 --startdatetime 2017-04-22T06:00:19 --delay 1 --endMP 204:233307 --enddatetime 2017-04-22T06:35:51 --enforcementcount 0 &gt;&gt;C:\Users\stu\Documents\GitHub\eaglep3-reporting\EC\2017-04-22-refined-times.txt</v>
      </c>
      <c r="AI31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{"issue":{"subject":"","project_id":79,"tracker_id":40,"status_id":1,"priority_id":2,"assigned_to_id":23,"start_date":"2017-04-22","description":"","custom_fields":[{"id":1,"name":"Subdivision","value":"EC"},{"id":4,"name":"Milepost","value":"23.3307"},{"id":17,"name":"Train ID","value":"119-22"},{"id":16,"name":"Locomotive ID","value":"4018"},{"id":130,"name":"Impact","value":""},{"id":150,"name":"Time of Event (Mountain Time)","value":"06:35:51"},{"id":151,"name":"Denver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4018 --day 2017-04-22</v>
      </c>
      <c r="AN31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660</v>
      </c>
      <c r="B32" s="7">
        <v>4017</v>
      </c>
      <c r="C32" s="21" t="s">
        <v>213</v>
      </c>
      <c r="D32" s="21" t="s">
        <v>454</v>
      </c>
      <c r="E32" s="13">
        <v>42847.28297453704</v>
      </c>
      <c r="F32" s="13">
        <v>42847.289143518516</v>
      </c>
      <c r="G32" s="7">
        <v>1</v>
      </c>
      <c r="H32" s="21" t="s">
        <v>479</v>
      </c>
      <c r="I32" s="13">
        <v>42847.315949074073</v>
      </c>
      <c r="J32" s="7">
        <v>0</v>
      </c>
      <c r="K32" s="97" t="str">
        <f t="shared" si="0"/>
        <v>4017/4018</v>
      </c>
      <c r="L32" s="21" t="str">
        <f>VLOOKUP(A32,'Trips&amp;Operators'!$C$1:$G$99999,5,FALSE)</f>
        <v>MAELZER KURT</v>
      </c>
      <c r="M32" s="6">
        <f t="shared" si="1"/>
        <v>2.6805555557075422E-2</v>
      </c>
      <c r="N32" s="7">
        <f t="shared" si="2"/>
        <v>38.600000002188608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-22T05:47:29-0600',mode:absolute,to:'2017-04-22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23.296900000000001</v>
      </c>
      <c r="Z32" s="62">
        <f t="shared" si="9"/>
        <v>1.34E-2</v>
      </c>
      <c r="AA32" s="62">
        <f t="shared" si="10"/>
        <v>23.2835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0120-22</v>
      </c>
      <c r="AE32" s="85" t="str">
        <f t="shared" si="12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32" s="82" t="str">
        <f t="shared" si="13"/>
        <v>"C:\Program Files (x86)\AstroGrep\AstroGrep.exe" /e /r /s /spath="%USERPROFILE%\AppData\Local\Temp\OnboardLogs" /stypes="app*4017*20170422*"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120-22 --locoid 4017 --swversion DE.1.0.9.0 --startMP 204:232969 --initTime 2017-04-22T06:47:29 --startdatetime 2017-04-22T06:56:22 --delay 1 --endMP 204:134 --enddatetime 2017-04-22T07:34:58 --enforcementcount 0 &gt;&gt;C:\Users\stu\Documents\GitHub\eaglep3-reporting\EC\2017-04-22-refined-times.txt</v>
      </c>
      <c r="AI32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{"issue":{"subject":"","project_id":79,"tracker_id":40,"status_id":1,"priority_id":2,"assigned_to_id":23,"start_date":"2017-04-22","description":"","custom_fields":[{"id":1,"name":"Subdivision","value":"EC"},{"id":4,"name":"Milepost","value":"0.0134"},{"id":17,"name":"Train ID","value":"120-22"},{"id":16,"name":"Locomotive ID","value":"4017"},{"id":130,"name":"Impact","value":""},{"id":150,"name":"Time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4017 --day 2017-04-22</v>
      </c>
      <c r="AN32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656</v>
      </c>
      <c r="B33" s="7">
        <v>4064</v>
      </c>
      <c r="C33" s="21" t="s">
        <v>213</v>
      </c>
      <c r="D33" s="21" t="s">
        <v>429</v>
      </c>
      <c r="E33" s="13">
        <v>42847.256909722222</v>
      </c>
      <c r="F33" s="13">
        <v>42847.260601851849</v>
      </c>
      <c r="G33" s="7">
        <v>1</v>
      </c>
      <c r="H33" s="21" t="s">
        <v>845</v>
      </c>
      <c r="I33" s="13">
        <v>42847.286759259259</v>
      </c>
      <c r="J33" s="7">
        <v>0</v>
      </c>
      <c r="K33" s="97" t="str">
        <f t="shared" si="0"/>
        <v>4063/4064</v>
      </c>
      <c r="L33" s="21" t="str">
        <f>VLOOKUP(A33,'Trips&amp;Operators'!$C$1:$G$99999,5,FALSE)</f>
        <v>DAVIS WENDY</v>
      </c>
      <c r="M33" s="6">
        <f t="shared" si="1"/>
        <v>2.6157407410209998E-2</v>
      </c>
      <c r="N33" s="7">
        <f t="shared" si="2"/>
        <v>37.666666670702398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-22T05:09:57-0600',mode:absolute,to:'2017-04-22T07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4.4200000000000003E-2</v>
      </c>
      <c r="Z33" s="62">
        <f t="shared" si="9"/>
        <v>23.334599999999998</v>
      </c>
      <c r="AA33" s="62">
        <f t="shared" si="10"/>
        <v>23.290399999999998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0121-22</v>
      </c>
      <c r="AE33" s="85" t="str">
        <f t="shared" si="12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33" s="82" t="str">
        <f t="shared" si="13"/>
        <v>"C:\Program Files (x86)\AstroGrep\AstroGrep.exe" /e /r /s /spath="%USERPROFILE%\AppData\Local\Temp\OnboardLogs" /stypes="app*4064*20170422*"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121-22 --locoid 4064 --swversion DE.1.0.9.0 --startMP 204:442 --initTime 2017-04-22T06:09:57 --startdatetime 2017-04-22T06:15:16 --delay 1 --endMP 204:233346 --enddatetime 2017-04-22T06:52:56 --enforcementcount 0 &gt;&gt;C:\Users\stu\Documents\GitHub\eaglep3-reporting\EC\2017-04-22-refined-times.txt</v>
      </c>
      <c r="AI33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{"issue":{"subject":"","project_id":79,"tracker_id":40,"status_id":1,"priority_id":2,"assigned_to_id":23,"start_date":"2017-04-22","description":"","custom_fields":[{"id":1,"name":"Subdivision","value":"EC"},{"id":4,"name":"Milepost","value":"23.3346"},{"id":17,"name":"Train ID","value":"121-22"},{"id":16,"name":"Locomotive ID","value":"4064"},{"id":130,"name":"Impact","value":""},{"id":150,"name":"Time of Event (Mountain Time)","value":"06:52:56"},{"id":151,"name":"Denver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4064 --day 2017-04-22</v>
      </c>
      <c r="AN33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590</v>
      </c>
      <c r="B34" s="7">
        <v>4063</v>
      </c>
      <c r="C34" s="21" t="s">
        <v>213</v>
      </c>
      <c r="D34" s="21" t="s">
        <v>846</v>
      </c>
      <c r="E34" s="13">
        <v>42847.294386574074</v>
      </c>
      <c r="F34" s="13">
        <v>42847.299456018518</v>
      </c>
      <c r="G34" s="7">
        <v>1</v>
      </c>
      <c r="H34" s="21" t="s">
        <v>197</v>
      </c>
      <c r="I34" s="13">
        <v>42847.32744212963</v>
      </c>
      <c r="J34" s="7">
        <v>0</v>
      </c>
      <c r="K34" s="97" t="str">
        <f t="shared" si="0"/>
        <v>4063/4064</v>
      </c>
      <c r="L34" s="21" t="str">
        <f>VLOOKUP(A34,'Trips&amp;Operators'!$C$1:$G$99999,5,FALSE)</f>
        <v>DAVIS WENDY</v>
      </c>
      <c r="M34" s="6">
        <f t="shared" si="1"/>
        <v>2.7986111112113576E-2</v>
      </c>
      <c r="N34" s="7">
        <f t="shared" si="2"/>
        <v>40.30000000144355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-22T06:03:55-0600',mode:absolute,to:'2017-04-22T08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23.302800000000001</v>
      </c>
      <c r="Z34" s="62">
        <f t="shared" si="9"/>
        <v>1.52E-2</v>
      </c>
      <c r="AA34" s="62">
        <f t="shared" si="10"/>
        <v>23.287600000000001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0122-22</v>
      </c>
      <c r="AE34" s="85" t="str">
        <f t="shared" si="12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34" s="82" t="str">
        <f t="shared" si="13"/>
        <v>"C:\Program Files (x86)\AstroGrep\AstroGrep.exe" /e /r /s /spath="%USERPROFILE%\AppData\Local\Temp\OnboardLogs" /stypes="app*4063*20170422*"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122-22 --locoid 4063 --swversion DE.1.0.9.0 --startMP 204:233028 --initTime 2017-04-22T07:03:55 --startdatetime 2017-04-22T07:11:13 --delay 1 --endMP 204:152 --enddatetime 2017-04-22T07:51:31 --enforcementcount 0 &gt;&gt;C:\Users\stu\Documents\GitHub\eaglep3-reporting\EC\2017-04-22-refined-times.txt</v>
      </c>
      <c r="AI34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{"issue":{"subject":"","project_id":79,"tracker_id":40,"status_id":1,"priority_id":2,"assigned_to_id":23,"start_date":"2017-04-22","description":"","custom_fields":[{"id":1,"name":"Subdivision","value":"EC"},{"id":4,"name":"Milepost","value":"0.0152"},{"id":17,"name":"Train ID","value":"122-22"},{"id":16,"name":"Locomotive ID","value":"4063"},{"id":130,"name":"Impact","value":""},{"id":150,"name":"Time of Event (Mountain Time)","value":"07:51:31"},{"id":151,"name":"Denver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4063 --day 2017-04-22</v>
      </c>
      <c r="AN34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658</v>
      </c>
      <c r="B35" s="7">
        <v>4032</v>
      </c>
      <c r="C35" s="21" t="s">
        <v>213</v>
      </c>
      <c r="D35" s="21" t="s">
        <v>462</v>
      </c>
      <c r="E35" s="13">
        <v>42847.263969907406</v>
      </c>
      <c r="F35" s="13">
        <v>42847.271018518521</v>
      </c>
      <c r="G35" s="7">
        <v>1</v>
      </c>
      <c r="H35" s="21" t="s">
        <v>571</v>
      </c>
      <c r="I35" s="13">
        <v>42847.295659722222</v>
      </c>
      <c r="J35" s="7">
        <v>0</v>
      </c>
      <c r="K35" s="97" t="str">
        <f t="shared" si="0"/>
        <v>4031/4032</v>
      </c>
      <c r="L35" s="21" t="str">
        <f>VLOOKUP(A35,'Trips&amp;Operators'!$C$1:$G$99999,5,FALSE)</f>
        <v>SANTIZO D. EDY</v>
      </c>
      <c r="M35" s="6">
        <f t="shared" si="1"/>
        <v>2.4641203701321501E-2</v>
      </c>
      <c r="N35" s="7">
        <f t="shared" si="2"/>
        <v>35.483333329902962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-22T05:20:07-0600',mode:absolute,to:'2017-04-22T08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4.6899999999999997E-2</v>
      </c>
      <c r="Z35" s="62">
        <f t="shared" si="9"/>
        <v>23.332000000000001</v>
      </c>
      <c r="AA35" s="62">
        <f t="shared" si="10"/>
        <v>23.2851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0123-22</v>
      </c>
      <c r="AE35" s="85" t="str">
        <f t="shared" si="12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35" s="82" t="str">
        <f t="shared" si="13"/>
        <v>"C:\Program Files (x86)\AstroGrep\AstroGrep.exe" /e /r /s /spath="%USERPROFILE%\AppData\Local\Temp\OnboardLogs" /stypes="app*4032*20170422*"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123-22 --locoid 4032 --swversion DE.1.0.9.0 --startMP 204:469 --initTime 2017-04-22T06:20:07 --startdatetime 2017-04-22T06:30:16 --delay 1 --endMP 204:233320 --enddatetime 2017-04-22T07:05:45 --enforcementcount 0 &gt;&gt;C:\Users\stu\Documents\GitHub\eaglep3-reporting\EC\2017-04-22-refined-times.txt</v>
      </c>
      <c r="AI3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{"issue":{"subject":"","project_id":79,"tracker_id":40,"status_id":1,"priority_id":2,"assigned_to_id":23,"start_date":"2017-04-22","description":"","custom_fields":[{"id":1,"name":"Subdivision","value":"EC"},{"id":4,"name":"Milepost","value":"23.332"},{"id":17,"name":"Train ID","value":"123-22"},{"id":16,"name":"Locomotive ID","value":"4032"},{"id":130,"name":"Impact","value":""},{"id":150,"name":"Time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4032 --day 2017-04-22</v>
      </c>
      <c r="AN3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663</v>
      </c>
      <c r="B36" s="7">
        <v>4031</v>
      </c>
      <c r="C36" s="21" t="s">
        <v>213</v>
      </c>
      <c r="D36" s="21" t="s">
        <v>445</v>
      </c>
      <c r="E36" s="13">
        <v>42847.296898148146</v>
      </c>
      <c r="F36" s="13">
        <v>42847.31</v>
      </c>
      <c r="G36" s="7">
        <v>1</v>
      </c>
      <c r="H36" s="21" t="s">
        <v>421</v>
      </c>
      <c r="I36" s="13">
        <v>42847.3358912037</v>
      </c>
      <c r="J36" s="7">
        <v>0</v>
      </c>
      <c r="K36" s="97" t="str">
        <f t="shared" si="0"/>
        <v>4031/4032</v>
      </c>
      <c r="L36" s="21" t="str">
        <f>VLOOKUP(A36,'Trips&amp;Operators'!$C$1:$G$99999,5,FALSE)</f>
        <v>SANTIZO D. EDY</v>
      </c>
      <c r="M36" s="6">
        <f t="shared" si="1"/>
        <v>2.5891203702485655E-2</v>
      </c>
      <c r="N36" s="7">
        <f t="shared" si="2"/>
        <v>37.283333331579342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-22T06:07:32-0600',mode:absolute,to:'2017-04-22T09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23.3</v>
      </c>
      <c r="Z36" s="62">
        <f t="shared" si="9"/>
        <v>1.4999999999999999E-2</v>
      </c>
      <c r="AA36" s="62">
        <f t="shared" si="10"/>
        <v>23.285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0124-22</v>
      </c>
      <c r="AE36" s="85" t="str">
        <f t="shared" si="12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36" s="82" t="str">
        <f t="shared" si="13"/>
        <v>"C:\Program Files (x86)\AstroGrep\AstroGrep.exe" /e /r /s /spath="%USERPROFILE%\AppData\Local\Temp\OnboardLogs" /stypes="app*4031*20170422*"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124-22 --locoid 4031 --swversion DE.1.0.9.0 --startMP 204:233000 --initTime 2017-04-22T07:07:32 --startdatetime 2017-04-22T07:26:24 --delay 1 --endMP 204:150 --enddatetime 2017-04-22T08:03:41 --enforcementcount 0 &gt;&gt;C:\Users\stu\Documents\GitHub\eaglep3-reporting\EC\2017-04-22-refined-times.txt</v>
      </c>
      <c r="AI3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{"issue":{"subject":"","project_id":79,"tracker_id":40,"status_id":1,"priority_id":2,"assigned_to_id":23,"start_date":"2017-04-22","description":"","custom_fields":[{"id":1,"name":"Subdivision","value":"EC"},{"id":4,"name":"Milepost","value":"0.015"},{"id":17,"name":"Train ID","value":"124-22"},{"id":16,"name":"Locomotive ID","value":"4031"},{"id":130,"name":"Impact","value":""},{"id":150,"name":"Time of Event (Mountain Time)","value":"08:03:41"},{"id":151,"name":"Denver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4031 --day 2017-04-22</v>
      </c>
      <c r="AN3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586</v>
      </c>
      <c r="B37" s="7">
        <v>4056</v>
      </c>
      <c r="C37" s="21" t="s">
        <v>213</v>
      </c>
      <c r="D37" s="21" t="s">
        <v>847</v>
      </c>
      <c r="E37" s="13">
        <v>42847.276493055557</v>
      </c>
      <c r="F37" s="13">
        <v>42847.281585648147</v>
      </c>
      <c r="G37" s="7">
        <v>2</v>
      </c>
      <c r="H37" s="21" t="s">
        <v>475</v>
      </c>
      <c r="I37" s="13">
        <v>42847.306944444441</v>
      </c>
      <c r="J37" s="7">
        <v>0</v>
      </c>
      <c r="K37" s="97" t="str">
        <f t="shared" si="0"/>
        <v>4055/4056</v>
      </c>
      <c r="L37" s="21" t="str">
        <f>VLOOKUP(A37,'Trips&amp;Operators'!$C$1:$G$99999,5,FALSE)</f>
        <v>MAYBERRY BILL</v>
      </c>
      <c r="M37" s="6">
        <f t="shared" si="1"/>
        <v>2.5358796294312924E-2</v>
      </c>
      <c r="N37" s="7">
        <f t="shared" si="2"/>
        <v>36.516666663810611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-22T05:38:09-0600',mode:absolute,to:'2017-04-22T08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4.7100000000000003E-2</v>
      </c>
      <c r="Z37" s="62">
        <f t="shared" si="9"/>
        <v>23.331700000000001</v>
      </c>
      <c r="AA37" s="62">
        <f t="shared" si="10"/>
        <v>23.284600000000001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0125-22</v>
      </c>
      <c r="AE37" s="85" t="str">
        <f t="shared" si="12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37" s="82" t="str">
        <f t="shared" si="13"/>
        <v>"C:\Program Files (x86)\AstroGrep\AstroGrep.exe" /e /r /s /spath="%USERPROFILE%\AppData\Local\Temp\OnboardLogs" /stypes="app*4056*20170422*"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125-22 --locoid 4056 --swversion DE.1.0.9.0 --startMP 204:471 --initTime 2017-04-22T06:38:09 --startdatetime 2017-04-22T06:45:29 --delay 2 --endMP 204:233317 --enddatetime 2017-04-22T07:22:00 --enforcementcount 0 &gt;&gt;C:\Users\stu\Documents\GitHub\eaglep3-reporting\EC\2017-04-22-refined-times.txt</v>
      </c>
      <c r="AI37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{"issue":{"subject":"","project_id":79,"tracker_id":40,"status_id":1,"priority_id":2,"assigned_to_id":23,"start_date":"2017-04-22","description":"","custom_fields":[{"id":1,"name":"Subdivision","value":"EC"},{"id":4,"name":"Milepost","value":"23.3317"},{"id":17,"name":"Train ID","value":"125-22"},{"id":16,"name":"Locomotive ID","value":"4056"},{"id":130,"name":"Impact","value":""},{"id":150,"name":"Time of Event (Mountain Time)","value":"07:22:00"},{"id":151,"name":"Denver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4056 --day 2017-04-22</v>
      </c>
      <c r="AN37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592</v>
      </c>
      <c r="B38" s="7">
        <v>4055</v>
      </c>
      <c r="C38" s="21" t="s">
        <v>213</v>
      </c>
      <c r="D38" s="21" t="s">
        <v>848</v>
      </c>
      <c r="E38" s="13">
        <v>42847.313437500001</v>
      </c>
      <c r="F38" s="13">
        <v>42847.320451388892</v>
      </c>
      <c r="G38" s="7">
        <v>2</v>
      </c>
      <c r="H38" s="21" t="s">
        <v>443</v>
      </c>
      <c r="I38" s="13">
        <v>42847.347233796296</v>
      </c>
      <c r="J38" s="7">
        <v>0</v>
      </c>
      <c r="K38" s="97" t="str">
        <f t="shared" si="0"/>
        <v>4055/4056</v>
      </c>
      <c r="L38" s="21" t="str">
        <f>VLOOKUP(A38,'Trips&amp;Operators'!$C$1:$G$99999,5,FALSE)</f>
        <v>MAYBERRY BILL</v>
      </c>
      <c r="M38" s="6">
        <f t="shared" si="1"/>
        <v>2.6782407403516117E-2</v>
      </c>
      <c r="N38" s="7">
        <f t="shared" si="2"/>
        <v>38.566666661063209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-22T06:31:21-0600',mode:absolute,to:'2017-04-22T09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23.300799999999999</v>
      </c>
      <c r="Z38" s="62">
        <f t="shared" si="9"/>
        <v>1.61E-2</v>
      </c>
      <c r="AA38" s="62">
        <f t="shared" si="10"/>
        <v>23.284699999999997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0126-22</v>
      </c>
      <c r="AE38" s="85" t="str">
        <f t="shared" si="12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38" s="82" t="str">
        <f t="shared" si="13"/>
        <v>"C:\Program Files (x86)\AstroGrep\AstroGrep.exe" /e /r /s /spath="%USERPROFILE%\AppData\Local\Temp\OnboardLogs" /stypes="app*4055*20170422*"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126-22 --locoid 4055 --swversion DE.1.0.9.0 --startMP 204:233008 --initTime 2017-04-22T07:31:21 --startdatetime 2017-04-22T07:41:27 --delay 2 --endMP 204:161 --enddatetime 2017-04-22T08:20:01 --enforcementcount 0 &gt;&gt;C:\Users\stu\Documents\GitHub\eaglep3-reporting\EC\2017-04-22-refined-times.txt</v>
      </c>
      <c r="AI38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{"issue":{"subject":"","project_id":79,"tracker_id":40,"status_id":1,"priority_id":2,"assigned_to_id":23,"start_date":"2017-04-22","description":"","custom_fields":[{"id":1,"name":"Subdivision","value":"EC"},{"id":4,"name":"Milepost","value":"0.0161"},{"id":17,"name":"Train ID","value":"126-22"},{"id":16,"name":"Locomotive ID","value":"4055"},{"id":130,"name":"Impact","value":""},{"id":150,"name":"Time of Event (Mountain Time)","value":"08:20:01"},{"id":151,"name":"Denver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4055 --day 2017-04-22</v>
      </c>
      <c r="AN38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661</v>
      </c>
      <c r="B39" s="7">
        <v>4022</v>
      </c>
      <c r="C39" s="21" t="s">
        <v>213</v>
      </c>
      <c r="D39" s="21" t="s">
        <v>849</v>
      </c>
      <c r="E39" s="13">
        <v>42847.287615740737</v>
      </c>
      <c r="F39" s="13">
        <v>42847.291851851849</v>
      </c>
      <c r="G39" s="7">
        <v>1</v>
      </c>
      <c r="H39" s="21" t="s">
        <v>577</v>
      </c>
      <c r="I39" s="13">
        <v>42847.316886574074</v>
      </c>
      <c r="J39" s="7">
        <v>0</v>
      </c>
      <c r="K39" s="97" t="str">
        <f t="shared" si="0"/>
        <v>4021/4022</v>
      </c>
      <c r="L39" s="21" t="str">
        <f>VLOOKUP(A39,'Trips&amp;Operators'!$C$1:$G$99999,5,FALSE)</f>
        <v>BADERTSCHER DIANE</v>
      </c>
      <c r="M39" s="6">
        <f t="shared" si="1"/>
        <v>2.5034722224518191E-2</v>
      </c>
      <c r="N39" s="7">
        <f t="shared" si="2"/>
        <v>36.050000003306195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-22T05:54:10-0600',mode:absolute,to:'2017-04-22T08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3" t="str">
        <f t="shared" si="6"/>
        <v>N</v>
      </c>
      <c r="X39" s="183">
        <f t="shared" ref="X39:X45" si="23">VALUE(LEFT(AD39,4))-VALUE(LEFT(AD38,4))</f>
        <v>1</v>
      </c>
      <c r="Y39" s="62">
        <f t="shared" si="8"/>
        <v>5.4399999999999997E-2</v>
      </c>
      <c r="Z39" s="62">
        <f t="shared" si="9"/>
        <v>23.3307</v>
      </c>
      <c r="AA39" s="62">
        <f t="shared" si="10"/>
        <v>23.276299999999999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0127-22</v>
      </c>
      <c r="AE39" s="85" t="str">
        <f t="shared" si="12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39" s="82" t="str">
        <f t="shared" si="13"/>
        <v>"C:\Program Files (x86)\AstroGrep\AstroGrep.exe" /e /r /s /spath="%USERPROFILE%\AppData\Local\Temp\OnboardLogs" /stypes="app*4022*20170422*"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127-22 --locoid 4022 --swversion DE.1.0.9.0 --startMP 204:544 --initTime 2017-04-22T06:54:10 --startdatetime 2017-04-22T07:00:16 --delay 1 --endMP 204:233307 --enddatetime 2017-04-22T07:36:19 --enforcementcount 0 &gt;&gt;C:\Users\stu\Documents\GitHub\eaglep3-reporting\EC\2017-04-22-refined-times.txt</v>
      </c>
      <c r="AI39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{"issue":{"subject":"","project_id":79,"tracker_id":40,"status_id":1,"priority_id":2,"assigned_to_id":23,"start_date":"2017-04-22","description":"","custom_fields":[{"id":1,"name":"Subdivision","value":"EC"},{"id":4,"name":"Milepost","value":"23.3307"},{"id":17,"name":"Train ID","value":"127-22"},{"id":16,"name":"Locomotive ID","value":"4022"},{"id":130,"name":"Impact","value":""},{"id":150,"name":"Time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4022 --day 2017-04-22</v>
      </c>
      <c r="AN39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668</v>
      </c>
      <c r="B40" s="7">
        <v>4021</v>
      </c>
      <c r="C40" s="21" t="s">
        <v>213</v>
      </c>
      <c r="D40" s="21" t="s">
        <v>850</v>
      </c>
      <c r="E40" s="13">
        <v>42847.325057870374</v>
      </c>
      <c r="F40" s="13">
        <v>42847.330983796295</v>
      </c>
      <c r="G40" s="7">
        <v>9</v>
      </c>
      <c r="H40" s="21" t="s">
        <v>851</v>
      </c>
      <c r="I40" s="13">
        <v>42847.358576388891</v>
      </c>
      <c r="J40" s="7">
        <v>0</v>
      </c>
      <c r="K40" s="97" t="str">
        <f t="shared" si="0"/>
        <v>4021/4022</v>
      </c>
      <c r="L40" s="21" t="str">
        <f>VLOOKUP(A40,'Trips&amp;Operators'!$C$1:$G$99999,5,FALSE)</f>
        <v>BADERTSCHER DIANE</v>
      </c>
      <c r="M40" s="6">
        <f t="shared" si="1"/>
        <v>2.7592592596192844E-2</v>
      </c>
      <c r="N40" s="7">
        <f t="shared" si="2"/>
        <v>39.733333338517696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-22T06:48:05-0600',mode:absolute,to:'2017-04-22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3" t="str">
        <f t="shared" si="6"/>
        <v>N</v>
      </c>
      <c r="X40" s="183">
        <f t="shared" si="23"/>
        <v>1</v>
      </c>
      <c r="Y40" s="62">
        <f t="shared" si="8"/>
        <v>23.1496</v>
      </c>
      <c r="Z40" s="62">
        <f t="shared" si="9"/>
        <v>1.2500000000000001E-2</v>
      </c>
      <c r="AA40" s="62">
        <f t="shared" si="10"/>
        <v>23.1371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0128-22</v>
      </c>
      <c r="AE40" s="85" t="str">
        <f t="shared" si="12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40" s="82" t="str">
        <f t="shared" si="13"/>
        <v>"C:\Program Files (x86)\AstroGrep\AstroGrep.exe" /e /r /s /spath="%USERPROFILE%\AppData\Local\Temp\OnboardLogs" /stypes="app*4021*20170422*"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128-22 --locoid 4021 --swversion DE.1.0.9.0 --startMP 204:231496 --initTime 2017-04-22T07:48:05 --startdatetime 2017-04-22T07:56:37 --delay 9 --endMP 204:125 --enddatetime 2017-04-22T08:36:21 --enforcementcount 0 &gt;&gt;C:\Users\stu\Documents\GitHub\eaglep3-reporting\EC\2017-04-22-refined-times.txt</v>
      </c>
      <c r="AI40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{"issue":{"subject":"","project_id":79,"tracker_id":40,"status_id":1,"priority_id":2,"assigned_to_id":23,"start_date":"2017-04-22","description":"","custom_fields":[{"id":1,"name":"Subdivision","value":"EC"},{"id":4,"name":"Milepost","value":"0.0125"},{"id":17,"name":"Train ID","value":"128-22"},{"id":16,"name":"Locomotive ID","value":"4021"},{"id":130,"name":"Impact","value":""},{"id":150,"name":"Time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4021 --day 2017-04-22</v>
      </c>
      <c r="AN40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664</v>
      </c>
      <c r="B41" s="7">
        <v>4026</v>
      </c>
      <c r="C41" s="21" t="s">
        <v>213</v>
      </c>
      <c r="D41" s="21" t="s">
        <v>561</v>
      </c>
      <c r="E41" s="13">
        <v>42847.297523148147</v>
      </c>
      <c r="F41" s="13">
        <v>42847.30265046296</v>
      </c>
      <c r="G41" s="7">
        <v>2</v>
      </c>
      <c r="H41" s="21" t="s">
        <v>852</v>
      </c>
      <c r="I41" s="13">
        <v>42847.327025462961</v>
      </c>
      <c r="J41" s="7">
        <v>0</v>
      </c>
      <c r="K41" s="97" t="str">
        <f t="shared" si="0"/>
        <v>4025/4026</v>
      </c>
      <c r="L41" s="21" t="str">
        <f>VLOOKUP(A41,'Trips&amp;Operators'!$C$1:$G$99999,5,FALSE)</f>
        <v>GEBRETEKLE DAGNEW</v>
      </c>
      <c r="M41" s="6">
        <f t="shared" si="1"/>
        <v>2.4375000000873115E-2</v>
      </c>
      <c r="N41" s="7">
        <f t="shared" si="2"/>
        <v>35.100000001257285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-22T06:08:26-0600',mode:absolute,to:'2017-04-22T08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83" t="str">
        <f t="shared" si="6"/>
        <v>N</v>
      </c>
      <c r="X41" s="183">
        <f t="shared" si="23"/>
        <v>1</v>
      </c>
      <c r="Y41" s="62">
        <f t="shared" si="8"/>
        <v>4.6399999999999997E-2</v>
      </c>
      <c r="Z41" s="62">
        <f t="shared" si="9"/>
        <v>23.333200000000001</v>
      </c>
      <c r="AA41" s="62">
        <f t="shared" si="10"/>
        <v>23.286800000000003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0129-22</v>
      </c>
      <c r="AE41" s="85" t="str">
        <f t="shared" si="12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41" s="82" t="str">
        <f t="shared" si="13"/>
        <v>"C:\Program Files (x86)\AstroGrep\AstroGrep.exe" /e /r /s /spath="%USERPROFILE%\AppData\Local\Temp\OnboardLogs" /stypes="app*4026*20170422*"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129-22 --locoid 4026 --swversion DE.1.0.9.0 --startMP 204:464 --initTime 2017-04-22T07:08:26 --startdatetime 2017-04-22T07:15:49 --delay 2 --endMP 204:233332 --enddatetime 2017-04-22T07:50:55 --enforcementcount 0 &gt;&gt;C:\Users\stu\Documents\GitHub\eaglep3-reporting\EC\2017-04-22-refined-times.txt</v>
      </c>
      <c r="AI41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{"issue":{"subject":"","project_id":79,"tracker_id":40,"status_id":1,"priority_id":2,"assigned_to_id":23,"start_date":"2017-04-22","description":"","custom_fields":[{"id":1,"name":"Subdivision","value":"EC"},{"id":4,"name":"Milepost","value":"23.3332"},{"id":17,"name":"Train ID","value":"129-22"},{"id":16,"name":"Locomotive ID","value":"4026"},{"id":130,"name":"Impact","value":""},{"id":150,"name":"Time of Event (Mountain Time)","value":"07:50:55"},{"id":151,"name":"Denver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4026 --day 2017-04-22</v>
      </c>
      <c r="AN41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672</v>
      </c>
      <c r="B42" s="7">
        <v>4025</v>
      </c>
      <c r="C42" s="21" t="s">
        <v>213</v>
      </c>
      <c r="D42" s="21" t="s">
        <v>848</v>
      </c>
      <c r="E42" s="13">
        <v>42847.337141203701</v>
      </c>
      <c r="F42" s="13">
        <v>42847.341157407405</v>
      </c>
      <c r="G42" s="7">
        <v>1</v>
      </c>
      <c r="H42" s="21" t="s">
        <v>210</v>
      </c>
      <c r="I42" s="13">
        <v>42847.367291666669</v>
      </c>
      <c r="J42" s="7">
        <v>0</v>
      </c>
      <c r="K42" s="97" t="str">
        <f t="shared" si="0"/>
        <v>4025/4026</v>
      </c>
      <c r="L42" s="21" t="str">
        <f>VLOOKUP(A42,'Trips&amp;Operators'!$C$1:$G$99999,5,FALSE)</f>
        <v>GEBRETEKLE DAGNEW</v>
      </c>
      <c r="M42" s="6">
        <f t="shared" si="1"/>
        <v>2.6134259263926651E-2</v>
      </c>
      <c r="N42" s="7">
        <f t="shared" si="2"/>
        <v>37.633333340054378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-22T07:05:29-0600',mode:absolute,to:'2017-04-22T09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83" t="str">
        <f t="shared" si="6"/>
        <v>N</v>
      </c>
      <c r="X42" s="183">
        <f t="shared" si="23"/>
        <v>1</v>
      </c>
      <c r="Y42" s="62">
        <f t="shared" si="8"/>
        <v>23.300799999999999</v>
      </c>
      <c r="Z42" s="62">
        <f t="shared" si="9"/>
        <v>1.47E-2</v>
      </c>
      <c r="AA42" s="62">
        <f t="shared" si="10"/>
        <v>23.286099999999998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0130-22</v>
      </c>
      <c r="AE42" s="85" t="str">
        <f t="shared" si="12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42" s="82" t="str">
        <f t="shared" si="13"/>
        <v>"C:\Program Files (x86)\AstroGrep\AstroGrep.exe" /e /r /s /spath="%USERPROFILE%\AppData\Local\Temp\OnboardLogs" /stypes="app*4025*20170422*"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130-22 --locoid 4025 --swversion DE.1.0.9.0 --startMP 204:233008 --initTime 2017-04-22T08:05:29 --startdatetime 2017-04-22T08:11:16 --delay 1 --endMP 204:147 --enddatetime 2017-04-22T08:48:54 --enforcementcount 0 &gt;&gt;C:\Users\stu\Documents\GitHub\eaglep3-reporting\EC\2017-04-22-refined-times.txt</v>
      </c>
      <c r="AI42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{"issue":{"subject":"","project_id":79,"tracker_id":40,"status_id":1,"priority_id":2,"assigned_to_id":23,"start_date":"2017-04-22","description":"","custom_fields":[{"id":1,"name":"Subdivision","value":"EC"},{"id":4,"name":"Milepost","value":"0.0147"},{"id":17,"name":"Train ID","value":"130-22"},{"id":16,"name":"Locomotive ID","value":"4025"},{"id":130,"name":"Impact","value":""},{"id":150,"name":"Time of Event (Mountain Time)","value":"08:48:54"},{"id":151,"name":"Denver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4025 --day 2017-04-22</v>
      </c>
      <c r="AN42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665</v>
      </c>
      <c r="B43" s="7">
        <v>4016</v>
      </c>
      <c r="C43" s="21" t="s">
        <v>213</v>
      </c>
      <c r="D43" s="21" t="s">
        <v>462</v>
      </c>
      <c r="E43" s="13">
        <v>42847.308819444443</v>
      </c>
      <c r="F43" s="13">
        <v>42847.312685185185</v>
      </c>
      <c r="G43" s="7">
        <v>1</v>
      </c>
      <c r="H43" s="21" t="s">
        <v>853</v>
      </c>
      <c r="I43" s="13">
        <v>42847.337708333333</v>
      </c>
      <c r="J43" s="7">
        <v>0</v>
      </c>
      <c r="K43" s="97" t="str">
        <f t="shared" si="0"/>
        <v>4015/4016</v>
      </c>
      <c r="L43" s="21" t="str">
        <f>VLOOKUP(A43,'Trips&amp;Operators'!$C$1:$G$99999,5,FALSE)</f>
        <v>ROBINSON KADDIBA</v>
      </c>
      <c r="M43" s="6">
        <f t="shared" si="1"/>
        <v>2.5023148147738539E-2</v>
      </c>
      <c r="N43" s="7">
        <f t="shared" si="2"/>
        <v>36.033333332743496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-22T06:24:42-0600',mode:absolute,to:'2017-04-22T09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83" t="str">
        <f t="shared" si="6"/>
        <v>N</v>
      </c>
      <c r="X43" s="183">
        <f t="shared" si="23"/>
        <v>1</v>
      </c>
      <c r="Y43" s="62">
        <f t="shared" si="8"/>
        <v>4.6899999999999997E-2</v>
      </c>
      <c r="Z43" s="62">
        <f t="shared" si="9"/>
        <v>23.3309</v>
      </c>
      <c r="AA43" s="62">
        <f t="shared" si="10"/>
        <v>23.283999999999999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0131-22</v>
      </c>
      <c r="AE43" s="85" t="str">
        <f t="shared" si="12"/>
        <v>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 &amp; 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</v>
      </c>
      <c r="AF43" s="82" t="str">
        <f t="shared" si="13"/>
        <v>"C:\Program Files (x86)\AstroGrep\AstroGrep.exe" /e /r /s /spath="%USERPROFILE%\AppData\Local\Temp\OnboardLogs" /stypes="app*4016*20170422*"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131-22 --locoid 4016 --swversion DE.1.0.9.0 --startMP 204:469 --initTime 2017-04-22T07:24:42 --startdatetime 2017-04-22T07:30:16 --delay 1 --endMP 204:233309 --enddatetime 2017-04-22T08:06:18 --enforcementcount 0 &gt;&gt;C:\Users\stu\Documents\GitHub\eaglep3-reporting\EC\2017-04-22-refined-times.txt</v>
      </c>
      <c r="AI43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{"issue":{"subject":"","project_id":79,"tracker_id":40,"status_id":1,"priority_id":2,"assigned_to_id":23,"start_date":"2017-04-22","description":"","custom_fields":[{"id":1,"name":"Subdivision","value":"EC"},{"id":4,"name":"Milepost","value":"23.3309"},{"id":17,"name":"Train ID","value":"131-22"},{"id":16,"name":"Locomotive ID","value":"4016"},{"id":130,"name":"Impact","value":""},{"id":150,"name":"Time of Event (Mountain Time)","value":"08:06:18"},{"id":151,"name":"Denver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4016 --day 2017-04-22</v>
      </c>
      <c r="AN43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673</v>
      </c>
      <c r="B44" s="7">
        <v>4015</v>
      </c>
      <c r="C44" s="21" t="s">
        <v>213</v>
      </c>
      <c r="D44" s="21" t="s">
        <v>559</v>
      </c>
      <c r="E44" s="13">
        <v>42847.347604166665</v>
      </c>
      <c r="F44" s="13">
        <v>42847.351550925923</v>
      </c>
      <c r="G44" s="7">
        <v>1</v>
      </c>
      <c r="H44" s="21" t="s">
        <v>854</v>
      </c>
      <c r="I44" s="13">
        <v>42847.365381944444</v>
      </c>
      <c r="J44" s="7">
        <v>0</v>
      </c>
      <c r="K44" s="97" t="str">
        <f t="shared" si="0"/>
        <v>4015/4016</v>
      </c>
      <c r="L44" s="21" t="str">
        <f>VLOOKUP(A44,'Trips&amp;Operators'!$C$1:$G$99999,5,FALSE)</f>
        <v>ROBINSON KADDIBA</v>
      </c>
      <c r="M44" s="6">
        <f t="shared" si="1"/>
        <v>1.3831018521159422E-2</v>
      </c>
      <c r="N44" s="7"/>
      <c r="O44" s="7"/>
      <c r="P44" s="7">
        <f>24*60*SUM($M44:$M44)</f>
        <v>19.916666670469567</v>
      </c>
      <c r="Q44" s="22"/>
      <c r="R44" s="22" t="s">
        <v>1004</v>
      </c>
      <c r="S44" s="31">
        <f t="shared" si="3"/>
        <v>0.16666666666666666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-22T07:20:33-0600',mode:absolute,to:'2017-04-22T09:46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83" t="str">
        <f t="shared" si="6"/>
        <v>Y</v>
      </c>
      <c r="X44" s="183">
        <f t="shared" si="23"/>
        <v>1</v>
      </c>
      <c r="Y44" s="62">
        <f t="shared" si="8"/>
        <v>23.2988</v>
      </c>
      <c r="Z44" s="62">
        <f t="shared" si="9"/>
        <v>8.6351999999999993</v>
      </c>
      <c r="AA44" s="62">
        <f t="shared" si="10"/>
        <v>14.663600000000001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0132-22</v>
      </c>
      <c r="AE44" s="85" t="str">
        <f t="shared" si="12"/>
        <v>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 &amp; 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</v>
      </c>
      <c r="AF44" s="82" t="str">
        <f t="shared" si="13"/>
        <v>"C:\Program Files (x86)\AstroGrep\AstroGrep.exe" /e /r /s /spath="%USERPROFILE%\AppData\Local\Temp\OnboardLogs" /stypes="app*4015*20170422*"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132-22 --locoid 4015 --swversion DE.1.0.9.0 --startMP 204:232988 --initTime 2017-04-22T08:20:33 --startdatetime 2017-04-22T08:26:14 --delay 1 --endMP 204:86352 --enddatetime 2017-04-22T08:46:09 --enforcementcount 0 &gt;&gt;C:\Users\stu\Documents\GitHub\eaglep3-reporting\EC\2017-04-22-refined-times.txt</v>
      </c>
      <c r="AI44" s="104" t="str">
        <f t="shared" si="20"/>
        <v>echo {"issue":{"subject":"Onboard in-route failure","project_id":79,"tracker_id":40,"status_id":1,"priority_id":2,"assigned_to_id":23,"start_date":"2017-04-22","description":"","custom_fields":[{"id":1,"name":"Subdivision","value":"EC"},{"id":4,"name":"Milepost","value":"8.6352"},{"id":17,"name":"Train ID","value":"132-22"},{"id":16,"name":"Locomotive ID","value":"4015"},{"id":130,"name":"Impact","value":""},{"id":150,"name":"Time of Event (Mountain Time)","value":"08:46:09"},{"id":151,"name":"Denver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4015 --day 2017-04-22</v>
      </c>
      <c r="AN44" s="159" t="str">
        <f t="shared" si="22"/>
        <v>echo {"issue":{"subject":"Onboard in-route failure","project_id":30,"tracker_id":4,"status_id":1,"priority_id":1,"assigned_to_id":10,"start_date":"2017-04-22","description":"","custom_fields":[{"id":30,"name":"Category","value":"Issue"},{"id":3,"name":"Functional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14:46:09"},{"id":29,"name":"Sharepoint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667</v>
      </c>
      <c r="B45" s="7">
        <v>4018</v>
      </c>
      <c r="C45" s="21" t="s">
        <v>213</v>
      </c>
      <c r="D45" s="21" t="s">
        <v>477</v>
      </c>
      <c r="E45" s="13">
        <v>42847.320243055554</v>
      </c>
      <c r="F45" s="13">
        <v>42847.323298611111</v>
      </c>
      <c r="G45" s="7">
        <v>1</v>
      </c>
      <c r="H45" s="21" t="s">
        <v>845</v>
      </c>
      <c r="I45" s="13">
        <v>42847.348483796297</v>
      </c>
      <c r="J45" s="7">
        <v>0</v>
      </c>
      <c r="K45" s="97" t="str">
        <f t="shared" si="0"/>
        <v>4017/4018</v>
      </c>
      <c r="L45" s="21" t="str">
        <f>VLOOKUP(A45,'Trips&amp;Operators'!$C$1:$G$99999,5,FALSE)</f>
        <v>MAELZER KURT</v>
      </c>
      <c r="M45" s="6">
        <f t="shared" si="1"/>
        <v>2.5185185186273884E-2</v>
      </c>
      <c r="N45" s="7">
        <f t="shared" ref="N45:N76" si="24">24*60*SUM($M45:$M45)</f>
        <v>36.266666668234393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-22T06:41:09-0600',mode:absolute,to:'2017-04-22T09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183" t="str">
        <f t="shared" si="6"/>
        <v>N</v>
      </c>
      <c r="X45" s="183">
        <f t="shared" si="23"/>
        <v>1</v>
      </c>
      <c r="Y45" s="62">
        <f t="shared" si="8"/>
        <v>4.5100000000000001E-2</v>
      </c>
      <c r="Z45" s="62">
        <f t="shared" si="9"/>
        <v>23.334599999999998</v>
      </c>
      <c r="AA45" s="62">
        <f t="shared" si="10"/>
        <v>23.289499999999997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0133-22</v>
      </c>
      <c r="AE45" s="85" t="str">
        <f t="shared" si="12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45" s="82" t="str">
        <f t="shared" si="13"/>
        <v>"C:\Program Files (x86)\AstroGrep\AstroGrep.exe" /e /r /s /spath="%USERPROFILE%\AppData\Local\Temp\OnboardLogs" /stypes="app*4018*20170422*"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133-22 --locoid 4018 --swversion DE.1.0.9.0 --startMP 204:451 --initTime 2017-04-22T07:41:09 --startdatetime 2017-04-22T07:45:33 --delay 1 --endMP 204:233346 --enddatetime 2017-04-22T08:21:49 --enforcementcount 0 &gt;&gt;C:\Users\stu\Documents\GitHub\eaglep3-reporting\EC\2017-04-22-refined-times.txt</v>
      </c>
      <c r="AI4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{"issue":{"subject":"","project_id":79,"tracker_id":40,"status_id":1,"priority_id":2,"assigned_to_id":23,"start_date":"2017-04-22","description":"","custom_fields":[{"id":1,"name":"Subdivision","value":"EC"},{"id":4,"name":"Milepost","value":"23.3346"},{"id":17,"name":"Train ID","value":"133-22"},{"id":16,"name":"Locomotive ID","value":"4018"},{"id":130,"name":"Impact","value":""},{"id":150,"name":"Time of Event (Mountain Time)","value":"08:21:49"},{"id":151,"name":"Denver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4018 --day 2017-04-22</v>
      </c>
      <c r="AN4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674</v>
      </c>
      <c r="B46" s="7">
        <v>4017</v>
      </c>
      <c r="C46" s="21" t="s">
        <v>213</v>
      </c>
      <c r="D46" s="21" t="s">
        <v>855</v>
      </c>
      <c r="E46" s="13">
        <v>42847.353425925925</v>
      </c>
      <c r="F46" s="13">
        <v>42847.362083333333</v>
      </c>
      <c r="G46" s="7">
        <v>1</v>
      </c>
      <c r="H46" s="21" t="s">
        <v>426</v>
      </c>
      <c r="I46" s="13">
        <v>42847.392384259256</v>
      </c>
      <c r="J46" s="7">
        <v>0</v>
      </c>
      <c r="K46" s="97" t="str">
        <f t="shared" si="0"/>
        <v>4017/4018</v>
      </c>
      <c r="L46" s="21" t="str">
        <f>VLOOKUP(A46,'Trips&amp;Operators'!$C$1:$G$99999,5,FALSE)</f>
        <v>MAELZER KURT</v>
      </c>
      <c r="M46" s="6">
        <f t="shared" si="1"/>
        <v>3.0300925922347233E-2</v>
      </c>
      <c r="N46" s="7">
        <f t="shared" si="24"/>
        <v>43.633333328180015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-22T07:28:56-0600',mode:absolute,to:'2017-04-22T10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183" t="str">
        <f t="shared" si="6"/>
        <v>N</v>
      </c>
      <c r="X46" s="183">
        <f t="shared" ref="X46:X77" si="25">VALUE(LEFT(AD46,4))-VALUE(LEFT(AD45,4))</f>
        <v>1</v>
      </c>
      <c r="Y46" s="62">
        <f t="shared" si="8"/>
        <v>23.3017</v>
      </c>
      <c r="Z46" s="62">
        <f t="shared" si="9"/>
        <v>1.49E-2</v>
      </c>
      <c r="AA46" s="62">
        <f t="shared" si="10"/>
        <v>23.286799999999999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0134-22</v>
      </c>
      <c r="AE46" s="85" t="str">
        <f t="shared" si="12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46" s="82" t="str">
        <f t="shared" si="13"/>
        <v>"C:\Program Files (x86)\AstroGrep\AstroGrep.exe" /e /r /s /spath="%USERPROFILE%\AppData\Local\Temp\OnboardLogs" /stypes="app*4017*20170422*"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134-22 --locoid 4017 --swversion DE.1.0.9.0 --startMP 204:233017 --initTime 2017-04-22T08:28:56 --startdatetime 2017-04-22T08:41:24 --delay 1 --endMP 204:149 --enddatetime 2017-04-22T09:25:02 --enforcementcount 0 &gt;&gt;C:\Users\stu\Documents\GitHub\eaglep3-reporting\EC\2017-04-22-refined-times.txt</v>
      </c>
      <c r="AI4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{"issue":{"subject":"","project_id":79,"tracker_id":40,"status_id":1,"priority_id":2,"assigned_to_id":23,"start_date":"2017-04-22","description":"","custom_fields":[{"id":1,"name":"Subdivision","value":"EC"},{"id":4,"name":"Milepost","value":"0.0149"},{"id":17,"name":"Train ID","value":"134-22"},{"id":16,"name":"Locomotive ID","value":"4017"},{"id":130,"name":"Impact","value":""},{"id":150,"name":"Time of Event (Mountain Time)","value":"09:25:02"},{"id":151,"name":"Denver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4017 --day 2017-04-22</v>
      </c>
      <c r="AN4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669</v>
      </c>
      <c r="B47" s="7">
        <v>4064</v>
      </c>
      <c r="C47" s="21" t="s">
        <v>213</v>
      </c>
      <c r="D47" s="21" t="s">
        <v>423</v>
      </c>
      <c r="E47" s="13">
        <v>42847.329189814816</v>
      </c>
      <c r="F47" s="13">
        <v>42847.33353009259</v>
      </c>
      <c r="G47" s="7">
        <v>1</v>
      </c>
      <c r="H47" s="21" t="s">
        <v>856</v>
      </c>
      <c r="I47" s="13">
        <v>42847.358923611115</v>
      </c>
      <c r="J47" s="7">
        <v>0</v>
      </c>
      <c r="K47" s="97" t="str">
        <f t="shared" si="0"/>
        <v>4063/4064</v>
      </c>
      <c r="L47" s="21" t="str">
        <f>VLOOKUP(A47,'Trips&amp;Operators'!$C$1:$G$99999,5,FALSE)</f>
        <v>DAVIS WENDY</v>
      </c>
      <c r="M47" s="6">
        <f t="shared" si="1"/>
        <v>2.5393518524651881E-2</v>
      </c>
      <c r="N47" s="7">
        <f t="shared" si="24"/>
        <v>36.566666675498709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-22T06:54:02-0600',mode:absolute,to:'2017-04-22T09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183" t="str">
        <f t="shared" si="6"/>
        <v>N</v>
      </c>
      <c r="X47" s="183">
        <f t="shared" si="25"/>
        <v>1</v>
      </c>
      <c r="Y47" s="62">
        <f t="shared" si="8"/>
        <v>4.7300000000000002E-2</v>
      </c>
      <c r="Z47" s="62">
        <f t="shared" si="9"/>
        <v>23.3322</v>
      </c>
      <c r="AA47" s="62">
        <f t="shared" si="10"/>
        <v>23.2849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0135-22</v>
      </c>
      <c r="AE47" s="85" t="str">
        <f t="shared" si="12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47" s="82" t="str">
        <f t="shared" si="13"/>
        <v>"C:\Program Files (x86)\AstroGrep\AstroGrep.exe" /e /r /s /spath="%USERPROFILE%\AppData\Local\Temp\OnboardLogs" /stypes="app*4064*20170422*"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135-22 --locoid 4064 --swversion DE.1.0.9.0 --startMP 204:473 --initTime 2017-04-22T07:54:02 --startdatetime 2017-04-22T08:00:17 --delay 1 --endMP 204:233322 --enddatetime 2017-04-22T08:36:51 --enforcementcount 0 &gt;&gt;C:\Users\stu\Documents\GitHub\eaglep3-reporting\EC\2017-04-22-refined-times.txt</v>
      </c>
      <c r="AI47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{"issue":{"subject":"","project_id":79,"tracker_id":40,"status_id":1,"priority_id":2,"assigned_to_id":23,"start_date":"2017-04-22","description":"","custom_fields":[{"id":1,"name":"Subdivision","value":"EC"},{"id":4,"name":"Milepost","value":"23.3322"},{"id":17,"name":"Train ID","value":"135-22"},{"id":16,"name":"Locomotive ID","value":"4064"},{"id":130,"name":"Impact","value":""},{"id":150,"name":"Time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4064 --day 2017-04-22</v>
      </c>
      <c r="AN47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676</v>
      </c>
      <c r="B48" s="7">
        <v>4063</v>
      </c>
      <c r="C48" s="21" t="s">
        <v>213</v>
      </c>
      <c r="D48" s="21" t="s">
        <v>857</v>
      </c>
      <c r="E48" s="13">
        <v>42847.369270833333</v>
      </c>
      <c r="F48" s="13">
        <v>42847.372395833336</v>
      </c>
      <c r="G48" s="7">
        <v>1</v>
      </c>
      <c r="H48" s="21" t="s">
        <v>197</v>
      </c>
      <c r="I48" s="13">
        <v>42847.400833333333</v>
      </c>
      <c r="J48" s="7">
        <v>0</v>
      </c>
      <c r="K48" s="97" t="str">
        <f t="shared" si="0"/>
        <v>4063/4064</v>
      </c>
      <c r="L48" s="21" t="str">
        <f>VLOOKUP(A48,'Trips&amp;Operators'!$C$1:$G$99999,5,FALSE)</f>
        <v>DAVIS WENDY</v>
      </c>
      <c r="M48" s="6">
        <f t="shared" si="1"/>
        <v>2.8437499997380655E-2</v>
      </c>
      <c r="N48" s="7">
        <f t="shared" si="24"/>
        <v>40.949999996228144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-22T07:51:45-0600',mode:absolute,to:'2017-04-22T10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183" t="str">
        <f t="shared" si="6"/>
        <v>N</v>
      </c>
      <c r="X48" s="183">
        <f t="shared" si="25"/>
        <v>1</v>
      </c>
      <c r="Y48" s="62">
        <f t="shared" si="8"/>
        <v>23.300699999999999</v>
      </c>
      <c r="Z48" s="62">
        <f t="shared" si="9"/>
        <v>1.52E-2</v>
      </c>
      <c r="AA48" s="62">
        <f t="shared" si="10"/>
        <v>23.285499999999999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0136-22</v>
      </c>
      <c r="AE48" s="85" t="str">
        <f t="shared" si="12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48" s="82" t="str">
        <f t="shared" si="13"/>
        <v>"C:\Program Files (x86)\AstroGrep\AstroGrep.exe" /e /r /s /spath="%USERPROFILE%\AppData\Local\Temp\OnboardLogs" /stypes="app*4063*20170422*"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136-22 --locoid 4063 --swversion DE.1.0.9.0 --startMP 204:233007 --initTime 2017-04-22T08:51:45 --startdatetime 2017-04-22T08:56:15 --delay 1 --endMP 204:152 --enddatetime 2017-04-22T09:37:12 --enforcementcount 0 &gt;&gt;C:\Users\stu\Documents\GitHub\eaglep3-reporting\EC\2017-04-22-refined-times.txt</v>
      </c>
      <c r="AI48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{"issue":{"subject":"","project_id":79,"tracker_id":40,"status_id":1,"priority_id":2,"assigned_to_id":23,"start_date":"2017-04-22","description":"","custom_fields":[{"id":1,"name":"Subdivision","value":"EC"},{"id":4,"name":"Milepost","value":"0.0152"},{"id":17,"name":"Train ID","value":"136-22"},{"id":16,"name":"Locomotive ID","value":"4063"},{"id":130,"name":"Impact","value":""},{"id":150,"name":"Time of Event (Mountain Time)","value":"09:37:12"},{"id":151,"name":"Denver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4063 --day 2017-04-22</v>
      </c>
      <c r="AN48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671</v>
      </c>
      <c r="B49" s="7">
        <v>4032</v>
      </c>
      <c r="C49" s="21" t="s">
        <v>213</v>
      </c>
      <c r="D49" s="21" t="s">
        <v>477</v>
      </c>
      <c r="E49" s="13">
        <v>42847.336967592593</v>
      </c>
      <c r="F49" s="13">
        <v>42847.344039351854</v>
      </c>
      <c r="G49" s="7">
        <v>1</v>
      </c>
      <c r="H49" s="21" t="s">
        <v>451</v>
      </c>
      <c r="I49" s="13">
        <v>42847.369375000002</v>
      </c>
      <c r="J49" s="7">
        <v>0</v>
      </c>
      <c r="K49" s="97" t="str">
        <f t="shared" si="0"/>
        <v>4031/4032</v>
      </c>
      <c r="L49" s="21" t="str">
        <f>VLOOKUP(A49,'Trips&amp;Operators'!$C$1:$G$99999,5,FALSE)</f>
        <v>SANTIZO D. EDY</v>
      </c>
      <c r="M49" s="6">
        <f t="shared" si="1"/>
        <v>2.5335648148029577E-2</v>
      </c>
      <c r="N49" s="7">
        <f t="shared" si="24"/>
        <v>36.483333333162591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-22T07:05:14-0600',mode:absolute,to:'2017-04-22T09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83" t="str">
        <f t="shared" si="6"/>
        <v>N</v>
      </c>
      <c r="X49" s="183">
        <f t="shared" si="25"/>
        <v>1</v>
      </c>
      <c r="Y49" s="62">
        <f t="shared" si="8"/>
        <v>4.5100000000000001E-2</v>
      </c>
      <c r="Z49" s="62">
        <f t="shared" si="9"/>
        <v>23.331199999999999</v>
      </c>
      <c r="AA49" s="62">
        <f t="shared" si="10"/>
        <v>23.286099999999998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0137-22</v>
      </c>
      <c r="AE49" s="85" t="str">
        <f t="shared" si="12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49" s="82" t="str">
        <f t="shared" si="13"/>
        <v>"C:\Program Files (x86)\AstroGrep\AstroGrep.exe" /e /r /s /spath="%USERPROFILE%\AppData\Local\Temp\OnboardLogs" /stypes="app*4032*20170422*"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137-22 --locoid 4032 --swversion DE.1.0.9.0 --startMP 204:451 --initTime 2017-04-22T08:05:14 --startdatetime 2017-04-22T08:15:25 --delay 1 --endMP 204:233312 --enddatetime 2017-04-22T08:51:54 --enforcementcount 0 &gt;&gt;C:\Users\stu\Documents\GitHub\eaglep3-reporting\EC\2017-04-22-refined-times.txt</v>
      </c>
      <c r="AI49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{"issue":{"subject":"","project_id":79,"tracker_id":40,"status_id":1,"priority_id":2,"assigned_to_id":23,"start_date":"2017-04-22","description":"","custom_fields":[{"id":1,"name":"Subdivision","value":"EC"},{"id":4,"name":"Milepost","value":"23.3312"},{"id":17,"name":"Train ID","value":"137-22"},{"id":16,"name":"Locomotive ID","value":"4032"},{"id":130,"name":"Impact","value":""},{"id":150,"name":"Time of Event (Mountain Time)","value":"08:51:54"},{"id":151,"name":"Denver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4032 --day 2017-04-22</v>
      </c>
      <c r="AN49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678</v>
      </c>
      <c r="B50" s="7">
        <v>4031</v>
      </c>
      <c r="C50" s="21" t="s">
        <v>213</v>
      </c>
      <c r="D50" s="21" t="s">
        <v>858</v>
      </c>
      <c r="E50" s="13">
        <v>42847.370671296296</v>
      </c>
      <c r="F50" s="13">
        <v>42847.383067129631</v>
      </c>
      <c r="G50" s="7">
        <v>1</v>
      </c>
      <c r="H50" s="21" t="s">
        <v>431</v>
      </c>
      <c r="I50" s="13">
        <v>42847.409907407404</v>
      </c>
      <c r="J50" s="7">
        <v>0</v>
      </c>
      <c r="K50" s="97" t="str">
        <f t="shared" si="0"/>
        <v>4031/4032</v>
      </c>
      <c r="L50" s="21" t="str">
        <f>VLOOKUP(A50,'Trips&amp;Operators'!$C$1:$G$99999,5,FALSE)</f>
        <v>SANTIZO D. EDY</v>
      </c>
      <c r="M50" s="6">
        <f t="shared" si="1"/>
        <v>2.6840277772862464E-2</v>
      </c>
      <c r="N50" s="7">
        <f t="shared" si="24"/>
        <v>38.649999992921948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-22T07:53:46-0600',mode:absolute,to:'2017-04-22T10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83" t="str">
        <f t="shared" si="6"/>
        <v>N</v>
      </c>
      <c r="X50" s="183">
        <f t="shared" si="25"/>
        <v>1</v>
      </c>
      <c r="Y50" s="62">
        <f t="shared" si="8"/>
        <v>23.299099999999999</v>
      </c>
      <c r="Z50" s="62">
        <f t="shared" si="9"/>
        <v>1.3899999999999999E-2</v>
      </c>
      <c r="AA50" s="62">
        <f t="shared" si="10"/>
        <v>23.2852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0138-22</v>
      </c>
      <c r="AE50" s="85" t="str">
        <f t="shared" si="12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50" s="82" t="str">
        <f t="shared" si="13"/>
        <v>"C:\Program Files (x86)\AstroGrep\AstroGrep.exe" /e /r /s /spath="%USERPROFILE%\AppData\Local\Temp\OnboardLogs" /stypes="app*4031*20170422*"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138-22 --locoid 4031 --swversion DE.1.0.9.0 --startMP 204:232991 --initTime 2017-04-22T08:53:46 --startdatetime 2017-04-22T09:11:37 --delay 1 --endMP 204:139 --enddatetime 2017-04-22T09:50:16 --enforcementcount 0 &gt;&gt;C:\Users\stu\Documents\GitHub\eaglep3-reporting\EC\2017-04-22-refined-times.txt</v>
      </c>
      <c r="AI50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{"issue":{"subject":"","project_id":79,"tracker_id":40,"status_id":1,"priority_id":2,"assigned_to_id":23,"start_date":"2017-04-22","description":"","custom_fields":[{"id":1,"name":"Subdivision","value":"EC"},{"id":4,"name":"Milepost","value":"0.0139"},{"id":17,"name":"Train ID","value":"138-22"},{"id":16,"name":"Locomotive ID","value":"4031"},{"id":130,"name":"Impact","value":""},{"id":150,"name":"Time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4031 --day 2017-04-22</v>
      </c>
      <c r="AN50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593</v>
      </c>
      <c r="B51" s="7">
        <v>4056</v>
      </c>
      <c r="C51" s="21" t="s">
        <v>213</v>
      </c>
      <c r="D51" s="21" t="s">
        <v>438</v>
      </c>
      <c r="E51" s="13">
        <v>42847.349259259259</v>
      </c>
      <c r="F51" s="13">
        <v>42847.354583333334</v>
      </c>
      <c r="G51" s="7">
        <v>1</v>
      </c>
      <c r="H51" s="21" t="s">
        <v>515</v>
      </c>
      <c r="I51" s="13">
        <v>42847.379259259258</v>
      </c>
      <c r="J51" s="7">
        <v>0</v>
      </c>
      <c r="K51" s="97" t="str">
        <f t="shared" si="0"/>
        <v>4055/4056</v>
      </c>
      <c r="L51" s="21" t="str">
        <f>VLOOKUP(A51,'Trips&amp;Operators'!$C$1:$G$99999,5,FALSE)</f>
        <v>MAYBERRY BILL</v>
      </c>
      <c r="M51" s="6">
        <f t="shared" si="1"/>
        <v>2.4675925924384501E-2</v>
      </c>
      <c r="N51" s="7">
        <f t="shared" si="24"/>
        <v>35.533333331113681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-22T07:22:56-0600',mode:absolute,to:'2017-04-22T10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183" t="str">
        <f t="shared" si="6"/>
        <v>N</v>
      </c>
      <c r="X51" s="183">
        <f t="shared" si="25"/>
        <v>1</v>
      </c>
      <c r="Y51" s="62">
        <f t="shared" si="8"/>
        <v>4.6600000000000003E-2</v>
      </c>
      <c r="Z51" s="62">
        <f t="shared" si="9"/>
        <v>23.330300000000001</v>
      </c>
      <c r="AA51" s="62">
        <f t="shared" si="10"/>
        <v>23.2837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0139-22</v>
      </c>
      <c r="AE51" s="85" t="str">
        <f t="shared" si="12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51" s="82" t="str">
        <f t="shared" si="13"/>
        <v>"C:\Program Files (x86)\AstroGrep\AstroGrep.exe" /e /r /s /spath="%USERPROFILE%\AppData\Local\Temp\OnboardLogs" /stypes="app*4056*20170422*"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139-22 --locoid 4056 --swversion DE.1.0.9.0 --startMP 204:466 --initTime 2017-04-22T08:22:56 --startdatetime 2017-04-22T08:30:36 --delay 1 --endMP 204:233303 --enddatetime 2017-04-22T09:06:08 --enforcementcount 0 &gt;&gt;C:\Users\stu\Documents\GitHub\eaglep3-reporting\EC\2017-04-22-refined-times.txt</v>
      </c>
      <c r="AI51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{"issue":{"subject":"","project_id":79,"tracker_id":40,"status_id":1,"priority_id":2,"assigned_to_id":23,"start_date":"2017-04-22","description":"","custom_fields":[{"id":1,"name":"Subdivision","value":"EC"},{"id":4,"name":"Milepost","value":"23.3303"},{"id":17,"name":"Train ID","value":"139-22"},{"id":16,"name":"Locomotive ID","value":"4056"},{"id":130,"name":"Impact","value":""},{"id":150,"name":"Time of Event (Mountain Time)","value":"09:06:08"},{"id":151,"name":"Denver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4056 --day 2017-04-22</v>
      </c>
      <c r="AN51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682</v>
      </c>
      <c r="B52" s="7">
        <v>4055</v>
      </c>
      <c r="C52" s="21" t="s">
        <v>213</v>
      </c>
      <c r="D52" s="21" t="s">
        <v>481</v>
      </c>
      <c r="E52" s="13">
        <v>42847.388194444444</v>
      </c>
      <c r="F52" s="13">
        <v>42847.393495370372</v>
      </c>
      <c r="G52" s="7">
        <v>2</v>
      </c>
      <c r="H52" s="21" t="s">
        <v>426</v>
      </c>
      <c r="I52" s="13">
        <v>42847.420138888891</v>
      </c>
      <c r="J52" s="7">
        <v>0</v>
      </c>
      <c r="K52" s="97" t="str">
        <f t="shared" si="0"/>
        <v>4055/4056</v>
      </c>
      <c r="L52" s="21" t="str">
        <f>VLOOKUP(A52,'Trips&amp;Operators'!$C$1:$G$99999,5,FALSE)</f>
        <v>MAYBERRY BILL</v>
      </c>
      <c r="M52" s="6">
        <f t="shared" si="1"/>
        <v>2.6643518518540077E-2</v>
      </c>
      <c r="N52" s="7">
        <f t="shared" si="24"/>
        <v>38.366666666697711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-22T08:19:00-0600',mode:absolute,to:'2017-04-22T11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183" t="str">
        <f t="shared" si="6"/>
        <v>N</v>
      </c>
      <c r="X52" s="183">
        <f t="shared" si="25"/>
        <v>1</v>
      </c>
      <c r="Y52" s="62">
        <f t="shared" si="8"/>
        <v>23.2971</v>
      </c>
      <c r="Z52" s="62">
        <f t="shared" si="9"/>
        <v>1.49E-2</v>
      </c>
      <c r="AA52" s="62">
        <f t="shared" si="10"/>
        <v>23.2822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0140-22</v>
      </c>
      <c r="AE52" s="85" t="str">
        <f t="shared" si="12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52" s="82" t="str">
        <f t="shared" si="13"/>
        <v>"C:\Program Files (x86)\AstroGrep\AstroGrep.exe" /e /r /s /spath="%USERPROFILE%\AppData\Local\Temp\OnboardLogs" /stypes="app*4055*20170422*"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140-22 --locoid 4055 --swversion DE.1.0.9.0 --startMP 204:232971 --initTime 2017-04-22T09:19:00 --startdatetime 2017-04-22T09:26:38 --delay 2 --endMP 204:149 --enddatetime 2017-04-22T10:05:00 --enforcementcount 0 &gt;&gt;C:\Users\stu\Documents\GitHub\eaglep3-reporting\EC\2017-04-22-refined-times.txt</v>
      </c>
      <c r="AI52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{"issue":{"subject":"","project_id":79,"tracker_id":40,"status_id":1,"priority_id":2,"assigned_to_id":23,"start_date":"2017-04-22","description":"","custom_fields":[{"id":1,"name":"Subdivision","value":"EC"},{"id":4,"name":"Milepost","value":"0.0149"},{"id":17,"name":"Train ID","value":"140-22"},{"id":16,"name":"Locomotive ID","value":"4055"},{"id":130,"name":"Impact","value":""},{"id":150,"name":"Time of Event (Mountain Time)","value":"10:05:00"},{"id":151,"name":"Denver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4055 --day 2017-04-22</v>
      </c>
      <c r="AN52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594</v>
      </c>
      <c r="B53" s="7">
        <v>4022</v>
      </c>
      <c r="C53" s="21" t="s">
        <v>213</v>
      </c>
      <c r="D53" s="21" t="s">
        <v>394</v>
      </c>
      <c r="E53" s="13">
        <v>42847.360775462963</v>
      </c>
      <c r="F53" s="13">
        <v>42847.365011574075</v>
      </c>
      <c r="G53" s="7">
        <v>1</v>
      </c>
      <c r="H53" s="21" t="s">
        <v>566</v>
      </c>
      <c r="I53" s="13">
        <v>42847.391157407408</v>
      </c>
      <c r="J53" s="7">
        <v>0</v>
      </c>
      <c r="K53" s="97" t="str">
        <f t="shared" si="0"/>
        <v>4021/4022</v>
      </c>
      <c r="L53" s="21" t="str">
        <f>VLOOKUP(A53,'Trips&amp;Operators'!$C$1:$G$99999,5,FALSE)</f>
        <v>BADERTSCHER DIANE</v>
      </c>
      <c r="M53" s="6">
        <f t="shared" si="1"/>
        <v>2.6145833333430346E-2</v>
      </c>
      <c r="N53" s="7">
        <f t="shared" si="24"/>
        <v>37.650000000139698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-22T07:39:31-0600',mode:absolute,to:'2017-04-22T10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3" t="str">
        <f t="shared" si="6"/>
        <v>N</v>
      </c>
      <c r="X53" s="183">
        <f t="shared" si="25"/>
        <v>1</v>
      </c>
      <c r="Y53" s="62">
        <f t="shared" si="8"/>
        <v>4.58E-2</v>
      </c>
      <c r="Z53" s="62">
        <f t="shared" si="9"/>
        <v>23.327999999999999</v>
      </c>
      <c r="AA53" s="62">
        <f t="shared" si="10"/>
        <v>23.2822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0141-22</v>
      </c>
      <c r="AE53" s="85" t="str">
        <f t="shared" si="12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53" s="82" t="str">
        <f t="shared" si="13"/>
        <v>"C:\Program Files (x86)\AstroGrep\AstroGrep.exe" /e /r /s /spath="%USERPROFILE%\AppData\Local\Temp\OnboardLogs" /stypes="app*4022*20170422*"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141-22 --locoid 4022 --swversion DE.1.0.9.0 --startMP 204:458 --initTime 2017-04-22T08:39:31 --startdatetime 2017-04-22T08:45:37 --delay 1 --endMP 204:233280 --enddatetime 2017-04-22T09:23:16 --enforcementcount 0 &gt;&gt;C:\Users\stu\Documents\GitHub\eaglep3-reporting\EC\2017-04-22-refined-times.txt</v>
      </c>
      <c r="AI53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{"issue":{"subject":"","project_id":79,"tracker_id":40,"status_id":1,"priority_id":2,"assigned_to_id":23,"start_date":"2017-04-22","description":"","custom_fields":[{"id":1,"name":"Subdivision","value":"EC"},{"id":4,"name":"Milepost","value":"23.328"},{"id":17,"name":"Train ID","value":"141-22"},{"id":16,"name":"Locomotive ID","value":"4022"},{"id":130,"name":"Impact","value":""},{"id":150,"name":"Time of Event (Mountain Time)","value":"09:23:16"},{"id":151,"name":"Denver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4022 --day 2017-04-22</v>
      </c>
      <c r="AN53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685</v>
      </c>
      <c r="B54" s="7">
        <v>4021</v>
      </c>
      <c r="C54" s="21" t="s">
        <v>213</v>
      </c>
      <c r="D54" s="21" t="s">
        <v>859</v>
      </c>
      <c r="E54" s="13">
        <v>42847.401273148149</v>
      </c>
      <c r="F54" s="13">
        <v>42847.403761574074</v>
      </c>
      <c r="G54" s="7">
        <v>1</v>
      </c>
      <c r="H54" s="21" t="s">
        <v>518</v>
      </c>
      <c r="I54" s="13">
        <v>42847.431504629632</v>
      </c>
      <c r="J54" s="7">
        <v>0</v>
      </c>
      <c r="K54" s="97" t="str">
        <f t="shared" si="0"/>
        <v>4021/4022</v>
      </c>
      <c r="L54" s="21" t="str">
        <f>VLOOKUP(A54,'Trips&amp;Operators'!$C$1:$G$99999,5,FALSE)</f>
        <v>BADERTSCHER DIANE</v>
      </c>
      <c r="M54" s="6">
        <f t="shared" si="1"/>
        <v>2.7743055557948537E-2</v>
      </c>
      <c r="N54" s="7">
        <f t="shared" si="24"/>
        <v>39.950000003445894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-22T08:37:50-0600',mode:absolute,to:'2017-04-22T11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3" t="str">
        <f t="shared" si="6"/>
        <v>N</v>
      </c>
      <c r="X54" s="183">
        <f t="shared" si="25"/>
        <v>1</v>
      </c>
      <c r="Y54" s="62">
        <f t="shared" si="8"/>
        <v>23.2987</v>
      </c>
      <c r="Z54" s="62">
        <f t="shared" si="9"/>
        <v>1.32E-2</v>
      </c>
      <c r="AA54" s="62">
        <f t="shared" si="10"/>
        <v>23.285499999999999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0142-22</v>
      </c>
      <c r="AE54" s="85" t="str">
        <f t="shared" si="12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54" s="82" t="str">
        <f t="shared" si="13"/>
        <v>"C:\Program Files (x86)\AstroGrep\AstroGrep.exe" /e /r /s /spath="%USERPROFILE%\AppData\Local\Temp\OnboardLogs" /stypes="app*4021*20170422*"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142-22 --locoid 4021 --swversion DE.1.0.9.0 --startMP 204:232987 --initTime 2017-04-22T09:37:50 --startdatetime 2017-04-22T09:41:25 --delay 1 --endMP 204:132 --enddatetime 2017-04-22T10:21:22 --enforcementcount 0 &gt;&gt;C:\Users\stu\Documents\GitHub\eaglep3-reporting\EC\2017-04-22-refined-times.txt</v>
      </c>
      <c r="AI54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{"issue":{"subject":"","project_id":79,"tracker_id":40,"status_id":1,"priority_id":2,"assigned_to_id":23,"start_date":"2017-04-22","description":"","custom_fields":[{"id":1,"name":"Subdivision","value":"EC"},{"id":4,"name":"Milepost","value":"0.0132"},{"id":17,"name":"Train ID","value":"142-22"},{"id":16,"name":"Locomotive ID","value":"4021"},{"id":130,"name":"Impact","value":""},{"id":150,"name":"Time of Event (Mountain Time)","value":"10:21:22"},{"id":151,"name":"Denver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4021 --day 2017-04-22</v>
      </c>
      <c r="AN54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677</v>
      </c>
      <c r="B55" s="7">
        <v>4026</v>
      </c>
      <c r="C55" s="21" t="s">
        <v>213</v>
      </c>
      <c r="D55" s="21" t="s">
        <v>208</v>
      </c>
      <c r="E55" s="13">
        <v>42847.369432870371</v>
      </c>
      <c r="F55" s="13">
        <v>42847.375185185185</v>
      </c>
      <c r="G55" s="7">
        <v>1</v>
      </c>
      <c r="H55" s="21" t="s">
        <v>860</v>
      </c>
      <c r="I55" s="13">
        <v>42847.399537037039</v>
      </c>
      <c r="J55" s="7">
        <v>0</v>
      </c>
      <c r="K55" s="97" t="str">
        <f t="shared" si="0"/>
        <v>4025/4026</v>
      </c>
      <c r="L55" s="21" t="str">
        <f>VLOOKUP(A55,'Trips&amp;Operators'!$C$1:$G$99999,5,FALSE)</f>
        <v>GEBRETEKLE DAGNEW</v>
      </c>
      <c r="M55" s="6">
        <f t="shared" si="1"/>
        <v>2.4351851854589768E-2</v>
      </c>
      <c r="N55" s="7">
        <f t="shared" si="24"/>
        <v>35.066666670609266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-22T07:51:59-0600',mode:absolute,to:'2017-04-22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183" t="str">
        <f t="shared" si="6"/>
        <v>N</v>
      </c>
      <c r="X55" s="183">
        <f t="shared" si="25"/>
        <v>1</v>
      </c>
      <c r="Y55" s="62">
        <f t="shared" si="8"/>
        <v>4.53E-2</v>
      </c>
      <c r="Z55" s="62">
        <f t="shared" si="9"/>
        <v>23.3324</v>
      </c>
      <c r="AA55" s="62">
        <f t="shared" si="10"/>
        <v>23.287099999999999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0143-22</v>
      </c>
      <c r="AE55" s="85" t="str">
        <f t="shared" si="12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55" s="82" t="str">
        <f t="shared" si="13"/>
        <v>"C:\Program Files (x86)\AstroGrep\AstroGrep.exe" /e /r /s /spath="%USERPROFILE%\AppData\Local\Temp\OnboardLogs" /stypes="app*4026*20170422*"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143-22 --locoid 4026 --swversion DE.1.0.9.0 --startMP 204:453 --initTime 2017-04-22T08:51:59 --startdatetime 2017-04-22T09:00:16 --delay 1 --endMP 204:233324 --enddatetime 2017-04-22T09:35:20 --enforcementcount 0 &gt;&gt;C:\Users\stu\Documents\GitHub\eaglep3-reporting\EC\2017-04-22-refined-times.txt</v>
      </c>
      <c r="AI5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{"issue":{"subject":"","project_id":79,"tracker_id":40,"status_id":1,"priority_id":2,"assigned_to_id":23,"start_date":"2017-04-22","description":"","custom_fields":[{"id":1,"name":"Subdivision","value":"EC"},{"id":4,"name":"Milepost","value":"23.3324"},{"id":17,"name":"Train ID","value":"143-22"},{"id":16,"name":"Locomotive ID","value":"4026"},{"id":130,"name":"Impact","value":""},{"id":150,"name":"Time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4026 --day 2017-04-22</v>
      </c>
      <c r="AN5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687</v>
      </c>
      <c r="B56" s="7">
        <v>4025</v>
      </c>
      <c r="C56" s="21" t="s">
        <v>213</v>
      </c>
      <c r="D56" s="21" t="s">
        <v>565</v>
      </c>
      <c r="E56" s="13">
        <v>42847.40766203704</v>
      </c>
      <c r="F56" s="13">
        <v>42847.4140625</v>
      </c>
      <c r="G56" s="7">
        <v>1</v>
      </c>
      <c r="H56" s="21" t="s">
        <v>440</v>
      </c>
      <c r="I56" s="13">
        <v>42847.440787037034</v>
      </c>
      <c r="J56" s="7">
        <v>0</v>
      </c>
      <c r="K56" s="97" t="str">
        <f t="shared" si="0"/>
        <v>4025/4026</v>
      </c>
      <c r="L56" s="21" t="str">
        <f>VLOOKUP(A56,'Trips&amp;Operators'!$C$1:$G$99999,5,FALSE)</f>
        <v>GEBRETEKLE DAGNEW</v>
      </c>
      <c r="M56" s="6">
        <f t="shared" si="1"/>
        <v>2.6724537034169771E-2</v>
      </c>
      <c r="N56" s="7">
        <f t="shared" si="24"/>
        <v>38.48333332920447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-22T08:47:02-0600',mode:absolute,to:'2017-04-22T11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183" t="str">
        <f t="shared" si="6"/>
        <v>N</v>
      </c>
      <c r="X56" s="183">
        <f t="shared" si="25"/>
        <v>1</v>
      </c>
      <c r="Y56" s="62">
        <f t="shared" si="8"/>
        <v>23.3003</v>
      </c>
      <c r="Z56" s="62">
        <f t="shared" si="9"/>
        <v>1.5599999999999999E-2</v>
      </c>
      <c r="AA56" s="62">
        <f t="shared" si="10"/>
        <v>23.284700000000001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0144-22</v>
      </c>
      <c r="AE56" s="85" t="str">
        <f t="shared" si="12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56" s="82" t="str">
        <f t="shared" si="13"/>
        <v>"C:\Program Files (x86)\AstroGrep\AstroGrep.exe" /e /r /s /spath="%USERPROFILE%\AppData\Local\Temp\OnboardLogs" /stypes="app*4025*20170422*"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144-22 --locoid 4025 --swversion DE.1.0.9.0 --startMP 204:233003 --initTime 2017-04-22T09:47:02 --startdatetime 2017-04-22T09:56:15 --delay 1 --endMP 204:156 --enddatetime 2017-04-22T10:34:44 --enforcementcount 0 &gt;&gt;C:\Users\stu\Documents\GitHub\eaglep3-reporting\EC\2017-04-22-refined-times.txt</v>
      </c>
      <c r="AI5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{"issue":{"subject":"","project_id":79,"tracker_id":40,"status_id":1,"priority_id":2,"assigned_to_id":23,"start_date":"2017-04-22","description":"","custom_fields":[{"id":1,"name":"Subdivision","value":"EC"},{"id":4,"name":"Milepost","value":"0.0156"},{"id":17,"name":"Train ID","value":"144-22"},{"id":16,"name":"Locomotive ID","value":"4025"},{"id":130,"name":"Impact","value":""},{"id":150,"name":"Time of Event (Mountain Time)","value":"10:34:44"},{"id":151,"name":"Denver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4025 --day 2017-04-22</v>
      </c>
      <c r="AN5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681</v>
      </c>
      <c r="B57" s="7">
        <v>4042</v>
      </c>
      <c r="C57" s="21" t="s">
        <v>213</v>
      </c>
      <c r="D57" s="21" t="s">
        <v>557</v>
      </c>
      <c r="E57" s="13">
        <v>42847.384432870371</v>
      </c>
      <c r="F57" s="13">
        <v>42847.386157407411</v>
      </c>
      <c r="G57" s="7">
        <v>1</v>
      </c>
      <c r="H57" s="21" t="s">
        <v>845</v>
      </c>
      <c r="I57" s="13">
        <v>42847.410636574074</v>
      </c>
      <c r="J57" s="7">
        <v>0</v>
      </c>
      <c r="K57" s="97" t="str">
        <f t="shared" si="0"/>
        <v>4041/4042</v>
      </c>
      <c r="L57" s="21" t="str">
        <f>VLOOKUP(A57,'Trips&amp;Operators'!$C$1:$G$99999,5,FALSE)</f>
        <v>COOLAHAN JOHN</v>
      </c>
      <c r="M57" s="6">
        <f t="shared" si="1"/>
        <v>2.4479166662786156E-2</v>
      </c>
      <c r="N57" s="7">
        <f t="shared" si="24"/>
        <v>35.249999994412065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-22T08:13:35-0600',mode:absolute,to:'2017-04-22T10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83" t="str">
        <f t="shared" si="6"/>
        <v>N</v>
      </c>
      <c r="X57" s="183">
        <f t="shared" si="25"/>
        <v>1</v>
      </c>
      <c r="Y57" s="62">
        <f t="shared" si="8"/>
        <v>4.3499999999999997E-2</v>
      </c>
      <c r="Z57" s="62">
        <f t="shared" si="9"/>
        <v>23.334599999999998</v>
      </c>
      <c r="AA57" s="62">
        <f t="shared" si="10"/>
        <v>23.291099999999997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0145-22</v>
      </c>
      <c r="AE57" s="85" t="str">
        <f t="shared" si="12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57" s="82" t="str">
        <f t="shared" si="13"/>
        <v>"C:\Program Files (x86)\AstroGrep\AstroGrep.exe" /e /r /s /spath="%USERPROFILE%\AppData\Local\Temp\OnboardLogs" /stypes="app*4042*20170422*"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145-22 --locoid 4042 --swversion DE.1.0.9.0 --startMP 204:435 --initTime 2017-04-22T09:13:35 --startdatetime 2017-04-22T09:16:04 --delay 1 --endMP 204:233346 --enddatetime 2017-04-22T09:51:19 --enforcementcount 0 &gt;&gt;C:\Users\stu\Documents\GitHub\eaglep3-reporting\EC\2017-04-22-refined-times.txt</v>
      </c>
      <c r="AI57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{"issue":{"subject":"","project_id":79,"tracker_id":40,"status_id":1,"priority_id":2,"assigned_to_id":23,"start_date":"2017-04-22","description":"","custom_fields":[{"id":1,"name":"Subdivision","value":"EC"},{"id":4,"name":"Milepost","value":"23.3346"},{"id":17,"name":"Train ID","value":"145-22"},{"id":16,"name":"Locomotive ID","value":"4042"},{"id":130,"name":"Impact","value":""},{"id":150,"name":"Time of Event (Mountain Time)","value":"09:51:19"},{"id":151,"name":"Denver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4042 --day 2017-04-22</v>
      </c>
      <c r="AN57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689</v>
      </c>
      <c r="B58" s="7">
        <v>4041</v>
      </c>
      <c r="C58" s="21" t="s">
        <v>213</v>
      </c>
      <c r="D58" s="21" t="s">
        <v>861</v>
      </c>
      <c r="E58" s="13">
        <v>42847.416643518518</v>
      </c>
      <c r="F58" s="13">
        <v>42847.424525462964</v>
      </c>
      <c r="G58" s="7">
        <v>2</v>
      </c>
      <c r="H58" s="21" t="s">
        <v>381</v>
      </c>
      <c r="I58" s="13">
        <v>42847.45107638889</v>
      </c>
      <c r="J58" s="7">
        <v>0</v>
      </c>
      <c r="K58" s="97" t="str">
        <f t="shared" si="0"/>
        <v>4041/4042</v>
      </c>
      <c r="L58" s="21" t="str">
        <f>VLOOKUP(A58,'Trips&amp;Operators'!$C$1:$G$99999,5,FALSE)</f>
        <v>COOLAHAN JOHN</v>
      </c>
      <c r="M58" s="6">
        <f t="shared" si="1"/>
        <v>2.6550925926130731E-2</v>
      </c>
      <c r="N58" s="7">
        <f t="shared" si="24"/>
        <v>38.233333333628252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-22T08:59:58-0600',mode:absolute,to:'2017-04-22T11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83" t="str">
        <f t="shared" si="6"/>
        <v>N</v>
      </c>
      <c r="X58" s="183">
        <f t="shared" si="25"/>
        <v>1</v>
      </c>
      <c r="Y58" s="62">
        <f t="shared" si="8"/>
        <v>23.300999999999998</v>
      </c>
      <c r="Z58" s="62">
        <f t="shared" si="9"/>
        <v>1.41E-2</v>
      </c>
      <c r="AA58" s="62">
        <f t="shared" si="10"/>
        <v>23.286899999999999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0146-22</v>
      </c>
      <c r="AE58" s="85" t="str">
        <f t="shared" si="12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58" s="82" t="str">
        <f t="shared" si="13"/>
        <v>"C:\Program Files (x86)\AstroGrep\AstroGrep.exe" /e /r /s /spath="%USERPROFILE%\AppData\Local\Temp\OnboardLogs" /stypes="app*4041*20170422*"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146-22 --locoid 4041 --swversion DE.1.0.9.0 --startMP 204:233010 --initTime 2017-04-22T09:59:58 --startdatetime 2017-04-22T10:11:19 --delay 2 --endMP 204:141 --enddatetime 2017-04-22T10:49:33 --enforcementcount 0 &gt;&gt;C:\Users\stu\Documents\GitHub\eaglep3-reporting\EC\2017-04-22-refined-times.txt</v>
      </c>
      <c r="AI58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{"issue":{"subject":"","project_id":79,"tracker_id":40,"status_id":1,"priority_id":2,"assigned_to_id":23,"start_date":"2017-04-22","description":"","custom_fields":[{"id":1,"name":"Subdivision","value":"EC"},{"id":4,"name":"Milepost","value":"0.0141"},{"id":17,"name":"Train ID","value":"146-22"},{"id":16,"name":"Locomotive ID","value":"4041"},{"id":130,"name":"Impact","value":""},{"id":150,"name":"Time of Event (Mountain Time)","value":"10:49:33"},{"id":151,"name":"Denver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4041 --day 2017-04-22</v>
      </c>
      <c r="AN58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683</v>
      </c>
      <c r="B59" s="7">
        <v>4018</v>
      </c>
      <c r="C59" s="21" t="s">
        <v>213</v>
      </c>
      <c r="D59" s="21" t="s">
        <v>394</v>
      </c>
      <c r="E59" s="13">
        <v>42847.393252314818</v>
      </c>
      <c r="F59" s="13">
        <v>42847.396122685182</v>
      </c>
      <c r="G59" s="7">
        <v>1</v>
      </c>
      <c r="H59" s="21" t="s">
        <v>856</v>
      </c>
      <c r="I59" s="13">
        <v>42847.421620370369</v>
      </c>
      <c r="J59" s="7">
        <v>0</v>
      </c>
      <c r="K59" s="97" t="str">
        <f t="shared" si="0"/>
        <v>4017/4018</v>
      </c>
      <c r="L59" s="21" t="str">
        <f>VLOOKUP(A59,'Trips&amp;Operators'!$C$1:$G$99999,5,FALSE)</f>
        <v>MAELZER KURT</v>
      </c>
      <c r="M59" s="6">
        <f t="shared" si="1"/>
        <v>2.5497685186564922E-2</v>
      </c>
      <c r="N59" s="7">
        <f t="shared" si="24"/>
        <v>36.716666668653488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-22T08:26:17-0600',mode:absolute,to:'2017-04-22T11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183" t="str">
        <f t="shared" si="6"/>
        <v>N</v>
      </c>
      <c r="X59" s="183">
        <f t="shared" si="25"/>
        <v>1</v>
      </c>
      <c r="Y59" s="62">
        <f t="shared" si="8"/>
        <v>4.58E-2</v>
      </c>
      <c r="Z59" s="62">
        <f t="shared" si="9"/>
        <v>23.3322</v>
      </c>
      <c r="AA59" s="62">
        <f t="shared" si="10"/>
        <v>23.2864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0147-22</v>
      </c>
      <c r="AE59" s="85" t="str">
        <f t="shared" si="12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59" s="82" t="str">
        <f t="shared" si="13"/>
        <v>"C:\Program Files (x86)\AstroGrep\AstroGrep.exe" /e /r /s /spath="%USERPROFILE%\AppData\Local\Temp\OnboardLogs" /stypes="app*4018*20170422*"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147-22 --locoid 4018 --swversion DE.1.0.9.0 --startMP 204:458 --initTime 2017-04-22T09:26:17 --startdatetime 2017-04-22T09:30:25 --delay 1 --endMP 204:233322 --enddatetime 2017-04-22T10:07:08 --enforcementcount 0 &gt;&gt;C:\Users\stu\Documents\GitHub\eaglep3-reporting\EC\2017-04-22-refined-times.txt</v>
      </c>
      <c r="AI59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{"issue":{"subject":"","project_id":79,"tracker_id":40,"status_id":1,"priority_id":2,"assigned_to_id":23,"start_date":"2017-04-22","description":"","custom_fields":[{"id":1,"name":"Subdivision","value":"EC"},{"id":4,"name":"Milepost","value":"23.3322"},{"id":17,"name":"Train ID","value":"147-22"},{"id":16,"name":"Locomotive ID","value":"4018"},{"id":130,"name":"Impact","value":""},{"id":150,"name":"Time of Event (Mountain Time)","value":"10:07:08"},{"id":151,"name":"Denver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4018 --day 2017-04-22</v>
      </c>
      <c r="AN59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694</v>
      </c>
      <c r="B60" s="7">
        <v>4017</v>
      </c>
      <c r="C60" s="21" t="s">
        <v>213</v>
      </c>
      <c r="D60" s="21" t="s">
        <v>476</v>
      </c>
      <c r="E60" s="13">
        <v>42847.430127314816</v>
      </c>
      <c r="F60" s="13">
        <v>42847.434942129628</v>
      </c>
      <c r="G60" s="7">
        <v>1</v>
      </c>
      <c r="H60" s="21" t="s">
        <v>390</v>
      </c>
      <c r="I60" s="13">
        <v>42847.461585648147</v>
      </c>
      <c r="J60" s="7">
        <v>0</v>
      </c>
      <c r="K60" s="97" t="str">
        <f t="shared" si="0"/>
        <v>4017/4018</v>
      </c>
      <c r="L60" s="21" t="str">
        <f>VLOOKUP(A60,'Trips&amp;Operators'!$C$1:$G$99999,5,FALSE)</f>
        <v>MAELZER KURT</v>
      </c>
      <c r="M60" s="6">
        <f t="shared" si="1"/>
        <v>2.6643518518540077E-2</v>
      </c>
      <c r="N60" s="7">
        <f t="shared" si="24"/>
        <v>38.366666666697711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-22T09:19:23-0600',mode:absolute,to:'2017-04-22T12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183" t="str">
        <f t="shared" si="6"/>
        <v>N</v>
      </c>
      <c r="X60" s="183">
        <f t="shared" si="25"/>
        <v>1</v>
      </c>
      <c r="Y60" s="62">
        <f t="shared" si="8"/>
        <v>23.299399999999999</v>
      </c>
      <c r="Z60" s="62">
        <f t="shared" si="9"/>
        <v>1.4500000000000001E-2</v>
      </c>
      <c r="AA60" s="62">
        <f t="shared" si="10"/>
        <v>23.284899999999997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0148-22</v>
      </c>
      <c r="AE60" s="85" t="str">
        <f t="shared" si="12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60" s="82" t="str">
        <f t="shared" si="13"/>
        <v>"C:\Program Files (x86)\AstroGrep\AstroGrep.exe" /e /r /s /spath="%USERPROFILE%\AppData\Local\Temp\OnboardLogs" /stypes="app*4017*20170422*"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148-22 --locoid 4017 --swversion DE.1.0.9.0 --startMP 204:232994 --initTime 2017-04-22T10:19:23 --startdatetime 2017-04-22T10:26:19 --delay 1 --endMP 204:145 --enddatetime 2017-04-22T11:04:41 --enforcementcount 0 &gt;&gt;C:\Users\stu\Documents\GitHub\eaglep3-reporting\EC\2017-04-22-refined-times.txt</v>
      </c>
      <c r="AI60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{"issue":{"subject":"","project_id":79,"tracker_id":40,"status_id":1,"priority_id":2,"assigned_to_id":23,"start_date":"2017-04-22","description":"","custom_fields":[{"id":1,"name":"Subdivision","value":"EC"},{"id":4,"name":"Milepost","value":"0.0145"},{"id":17,"name":"Train ID","value":"148-22"},{"id":16,"name":"Locomotive ID","value":"4017"},{"id":130,"name":"Impact","value":""},{"id":150,"name":"Time of Event (Mountain Time)","value":"11:04:41"},{"id":151,"name":"Denver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4017 --day 2017-04-22</v>
      </c>
      <c r="AN60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686</v>
      </c>
      <c r="B61" s="7">
        <v>4064</v>
      </c>
      <c r="C61" s="21" t="s">
        <v>213</v>
      </c>
      <c r="D61" s="21" t="s">
        <v>438</v>
      </c>
      <c r="E61" s="13">
        <v>42847.40289351852</v>
      </c>
      <c r="F61" s="13">
        <v>42847.406504629631</v>
      </c>
      <c r="G61" s="7">
        <v>1</v>
      </c>
      <c r="H61" s="21" t="s">
        <v>439</v>
      </c>
      <c r="I61" s="13">
        <v>42847.432071759256</v>
      </c>
      <c r="J61" s="7">
        <v>0</v>
      </c>
      <c r="K61" s="97" t="str">
        <f t="shared" si="0"/>
        <v>4063/4064</v>
      </c>
      <c r="L61" s="21" t="str">
        <f>VLOOKUP(A61,'Trips&amp;Operators'!$C$1:$G$99999,5,FALSE)</f>
        <v>DAVIS WENDY</v>
      </c>
      <c r="M61" s="6">
        <f t="shared" si="1"/>
        <v>2.5567129625414964E-2</v>
      </c>
      <c r="N61" s="7">
        <f t="shared" si="24"/>
        <v>36.816666660597548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-22T08:40:10-0600',mode:absolute,to:'2017-04-22T11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183" t="str">
        <f t="shared" si="6"/>
        <v>N</v>
      </c>
      <c r="X61" s="183">
        <f t="shared" si="25"/>
        <v>1</v>
      </c>
      <c r="Y61" s="62">
        <f t="shared" si="8"/>
        <v>4.6600000000000003E-2</v>
      </c>
      <c r="Z61" s="62">
        <f t="shared" si="9"/>
        <v>23.331499999999998</v>
      </c>
      <c r="AA61" s="62">
        <f t="shared" si="10"/>
        <v>23.284899999999997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0149-22</v>
      </c>
      <c r="AE61" s="85" t="str">
        <f t="shared" si="12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61" s="82" t="str">
        <f t="shared" si="13"/>
        <v>"C:\Program Files (x86)\AstroGrep\AstroGrep.exe" /e /r /s /spath="%USERPROFILE%\AppData\Local\Temp\OnboardLogs" /stypes="app*4064*20170422*"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149-22 --locoid 4064 --swversion DE.1.0.9.0 --startMP 204:466 --initTime 2017-04-22T09:40:10 --startdatetime 2017-04-22T09:45:22 --delay 1 --endMP 204:233315 --enddatetime 2017-04-22T10:22:11 --enforcementcount 0 &gt;&gt;C:\Users\stu\Documents\GitHub\eaglep3-reporting\EC\2017-04-22-refined-times.txt</v>
      </c>
      <c r="AI61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{"issue":{"subject":"","project_id":79,"tracker_id":40,"status_id":1,"priority_id":2,"assigned_to_id":23,"start_date":"2017-04-22","description":"","custom_fields":[{"id":1,"name":"Subdivision","value":"EC"},{"id":4,"name":"Milepost","value":"23.3315"},{"id":17,"name":"Train ID","value":"149-22"},{"id":16,"name":"Locomotive ID","value":"4064"},{"id":130,"name":"Impact","value":""},{"id":150,"name":"Time of Event (Mountain Time)","value":"10:22:11"},{"id":151,"name":"Denver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4064 --day 2017-04-22</v>
      </c>
      <c r="AN61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595</v>
      </c>
      <c r="B62" s="7">
        <v>4063</v>
      </c>
      <c r="C62" s="21" t="s">
        <v>213</v>
      </c>
      <c r="D62" s="21" t="s">
        <v>862</v>
      </c>
      <c r="E62" s="13">
        <v>42847.441562499997</v>
      </c>
      <c r="F62" s="13">
        <v>42847.4453125</v>
      </c>
      <c r="G62" s="7">
        <v>1</v>
      </c>
      <c r="H62" s="21" t="s">
        <v>203</v>
      </c>
      <c r="I62" s="13">
        <v>42847.473437499997</v>
      </c>
      <c r="J62" s="7">
        <v>0</v>
      </c>
      <c r="K62" s="97" t="str">
        <f t="shared" si="0"/>
        <v>4063/4064</v>
      </c>
      <c r="L62" s="21" t="str">
        <f>VLOOKUP(A62,'Trips&amp;Operators'!$C$1:$G$99999,5,FALSE)</f>
        <v>DAVIS WENDY</v>
      </c>
      <c r="M62" s="6">
        <f t="shared" si="1"/>
        <v>2.8124999997089617E-2</v>
      </c>
      <c r="N62" s="7">
        <f t="shared" si="24"/>
        <v>40.499999995809048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-22T09:35:51-0600',mode:absolute,to:'2017-04-22T12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183" t="str">
        <f t="shared" si="6"/>
        <v>N</v>
      </c>
      <c r="X62" s="183">
        <f t="shared" si="25"/>
        <v>1</v>
      </c>
      <c r="Y62" s="62">
        <f t="shared" si="8"/>
        <v>23.3004</v>
      </c>
      <c r="Z62" s="62">
        <f t="shared" si="9"/>
        <v>1.54E-2</v>
      </c>
      <c r="AA62" s="62">
        <f t="shared" si="10"/>
        <v>23.285</v>
      </c>
      <c r="AB62" s="59" t="str">
        <f>VLOOKUP(A62,Enforcements!$C$7:$K$13,8,0)</f>
        <v>Bulletin (2)</v>
      </c>
      <c r="AC62" s="55" t="str">
        <f>VLOOKUP(A62,Enforcements!$C$7:$E$13,3,0)</f>
        <v>GRADE CROSSING</v>
      </c>
      <c r="AD62" s="56" t="str">
        <f t="shared" si="11"/>
        <v>0150-22</v>
      </c>
      <c r="AE62" s="85" t="str">
        <f t="shared" si="12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62" s="82" t="str">
        <f t="shared" si="13"/>
        <v>"C:\Program Files (x86)\AstroGrep\AstroGrep.exe" /e /r /s /spath="%USERPROFILE%\AppData\Local\Temp\OnboardLogs" /stypes="app*4063*20170422*"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150-22 --locoid 4063 --swversion DE.1.0.9.0 --startMP 204:233004 --initTime 2017-04-22T10:35:51 --startdatetime 2017-04-22T10:41:15 --delay 1 --endMP 204:154 --enddatetime 2017-04-22T11:21:45 --enforcementcount 0 &gt;&gt;C:\Users\stu\Documents\GitHub\eaglep3-reporting\EC\2017-04-22-refined-times.txt</v>
      </c>
      <c r="AI62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{"issue":{"subject":"","project_id":79,"tracker_id":40,"status_id":1,"priority_id":2,"assigned_to_id":23,"start_date":"2017-04-22","description":"","custom_fields":[{"id":1,"name":"Subdivision","value":"EC"},{"id":4,"name":"Milepost","value":"0.0154"},{"id":17,"name":"Train ID","value":"150-22"},{"id":16,"name":"Locomotive ID","value":"4063"},{"id":130,"name":"Impact","value":""},{"id":150,"name":"Time of Event (Mountain Time)","value":"11:21:45"},{"id":151,"name":"Denver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4063 --day 2017-04-22</v>
      </c>
      <c r="AN62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688</v>
      </c>
      <c r="B63" s="7">
        <v>4032</v>
      </c>
      <c r="C63" s="21" t="s">
        <v>213</v>
      </c>
      <c r="D63" s="21" t="s">
        <v>455</v>
      </c>
      <c r="E63" s="13">
        <v>42847.410787037035</v>
      </c>
      <c r="F63" s="13">
        <v>42847.416805555556</v>
      </c>
      <c r="G63" s="7">
        <v>1</v>
      </c>
      <c r="H63" s="21" t="s">
        <v>515</v>
      </c>
      <c r="I63" s="13">
        <v>42847.441562499997</v>
      </c>
      <c r="J63" s="7">
        <v>0</v>
      </c>
      <c r="K63" s="97" t="str">
        <f t="shared" si="0"/>
        <v>4031/4032</v>
      </c>
      <c r="L63" s="21" t="str">
        <f>VLOOKUP(A63,'Trips&amp;Operators'!$C$1:$G$99999,5,FALSE)</f>
        <v>SANTIZO D. EDY</v>
      </c>
      <c r="M63" s="6">
        <f t="shared" si="1"/>
        <v>2.4756944440014195E-2</v>
      </c>
      <c r="N63" s="7">
        <f t="shared" si="24"/>
        <v>35.64999999362044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-22T08:51:32-0600',mode:absolute,to:'2017-04-22T11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83" t="str">
        <f t="shared" si="6"/>
        <v>N</v>
      </c>
      <c r="X63" s="183">
        <f t="shared" si="25"/>
        <v>1</v>
      </c>
      <c r="Y63" s="62">
        <f t="shared" si="8"/>
        <v>4.3799999999999999E-2</v>
      </c>
      <c r="Z63" s="62">
        <f t="shared" si="9"/>
        <v>23.330300000000001</v>
      </c>
      <c r="AA63" s="62">
        <f t="shared" si="10"/>
        <v>23.2865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0151-22</v>
      </c>
      <c r="AE63" s="85" t="str">
        <f t="shared" si="12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63" s="82" t="str">
        <f t="shared" si="13"/>
        <v>"C:\Program Files (x86)\AstroGrep\AstroGrep.exe" /e /r /s /spath="%USERPROFILE%\AppData\Local\Temp\OnboardLogs" /stypes="app*4032*20170422*"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151-22 --locoid 4032 --swversion DE.1.0.9.0 --startMP 204:438 --initTime 2017-04-22T09:51:32 --startdatetime 2017-04-22T10:00:12 --delay 1 --endMP 204:233303 --enddatetime 2017-04-22T10:35:51 --enforcementcount 0 &gt;&gt;C:\Users\stu\Documents\GitHub\eaglep3-reporting\EC\2017-04-22-refined-times.txt</v>
      </c>
      <c r="AI63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{"issue":{"subject":"","project_id":79,"tracker_id":40,"status_id":1,"priority_id":2,"assigned_to_id":23,"start_date":"2017-04-22","description":"","custom_fields":[{"id":1,"name":"Subdivision","value":"EC"},{"id":4,"name":"Milepost","value":"23.3303"},{"id":17,"name":"Train ID","value":"151-22"},{"id":16,"name":"Locomotive ID","value":"4032"},{"id":130,"name":"Impact","value":""},{"id":150,"name":"Time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4032 --day 2017-04-22</v>
      </c>
      <c r="AN63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596</v>
      </c>
      <c r="B64" s="7">
        <v>4031</v>
      </c>
      <c r="C64" s="21" t="s">
        <v>213</v>
      </c>
      <c r="D64" s="21" t="s">
        <v>559</v>
      </c>
      <c r="E64" s="13">
        <v>42847.442499999997</v>
      </c>
      <c r="F64" s="13">
        <v>42847.455995370372</v>
      </c>
      <c r="G64" s="7">
        <v>0</v>
      </c>
      <c r="H64" s="21" t="s">
        <v>390</v>
      </c>
      <c r="I64" s="13">
        <v>42847.482708333337</v>
      </c>
      <c r="J64" s="7">
        <v>0</v>
      </c>
      <c r="K64" s="97" t="str">
        <f t="shared" si="0"/>
        <v>4031/4032</v>
      </c>
      <c r="L64" s="21" t="str">
        <f>VLOOKUP(A64,'Trips&amp;Operators'!$C$1:$G$99999,5,FALSE)</f>
        <v>SANTIZO D. EDY</v>
      </c>
      <c r="M64" s="6">
        <f t="shared" si="1"/>
        <v>2.6712962964666076E-2</v>
      </c>
      <c r="N64" s="7">
        <f t="shared" si="24"/>
        <v>38.466666669119149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-22T09:37:12-0600',mode:absolute,to:'2017-04-22T12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83" t="str">
        <f t="shared" si="6"/>
        <v>N</v>
      </c>
      <c r="X64" s="183">
        <f t="shared" si="25"/>
        <v>1</v>
      </c>
      <c r="Y64" s="62">
        <f t="shared" si="8"/>
        <v>23.2988</v>
      </c>
      <c r="Z64" s="62">
        <f t="shared" si="9"/>
        <v>1.4500000000000001E-2</v>
      </c>
      <c r="AA64" s="62">
        <f t="shared" si="10"/>
        <v>23.284299999999998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 t="shared" si="11"/>
        <v>0152-22</v>
      </c>
      <c r="AE64" s="85" t="str">
        <f t="shared" si="12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64" s="82" t="str">
        <f t="shared" si="13"/>
        <v>"C:\Program Files (x86)\AstroGrep\AstroGrep.exe" /e /r /s /spath="%USERPROFILE%\AppData\Local\Temp\OnboardLogs" /stypes="app*4031*20170422*"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152-22 --locoid 4031 --swversion DE.1.0.9.0 --startMP 204:232988 --initTime 2017-04-22T10:37:12 --startdatetime 2017-04-22T10:56:38 --delay 0 --endMP 204:145 --enddatetime 2017-04-22T11:35:06 --enforcementcount 0 &gt;&gt;C:\Users\stu\Documents\GitHub\eaglep3-reporting\EC\2017-04-22-refined-times.txt</v>
      </c>
      <c r="AI64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{"issue":{"subject":"","project_id":79,"tracker_id":40,"status_id":1,"priority_id":2,"assigned_to_id":23,"start_date":"2017-04-22","description":"","custom_fields":[{"id":1,"name":"Subdivision","value":"EC"},{"id":4,"name":"Milepost","value":"0.0145"},{"id":17,"name":"Train ID","value":"152-22"},{"id":16,"name":"Locomotive ID","value":"4031"},{"id":130,"name":"Impact","value":""},{"id":150,"name":"Time of Event (Mountain Time)","value":"11:35:06"},{"id":151,"name":"Denver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4031 --day 2017-04-22</v>
      </c>
      <c r="AN64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691</v>
      </c>
      <c r="B65" s="7">
        <v>4056</v>
      </c>
      <c r="C65" s="21" t="s">
        <v>213</v>
      </c>
      <c r="D65" s="21" t="s">
        <v>416</v>
      </c>
      <c r="E65" s="13">
        <v>42847.421400462961</v>
      </c>
      <c r="F65" s="13">
        <v>42847.427291666667</v>
      </c>
      <c r="G65" s="7">
        <v>2</v>
      </c>
      <c r="H65" s="21" t="s">
        <v>415</v>
      </c>
      <c r="I65" s="13">
        <v>42847.452106481483</v>
      </c>
      <c r="J65" s="7">
        <v>0</v>
      </c>
      <c r="K65" s="97" t="str">
        <f t="shared" si="0"/>
        <v>4055/4056</v>
      </c>
      <c r="L65" s="21" t="str">
        <f>VLOOKUP(A65,'Trips&amp;Operators'!$C$1:$G$99999,5,FALSE)</f>
        <v>DE LA ROSA ALEX</v>
      </c>
      <c r="M65" s="6">
        <f t="shared" si="1"/>
        <v>2.4814814816636499E-2</v>
      </c>
      <c r="N65" s="7">
        <f t="shared" si="24"/>
        <v>35.733333335956559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-22T09:06:49-0600',mode:absolute,to:'2017-04-22T11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183" t="str">
        <f t="shared" si="6"/>
        <v>N</v>
      </c>
      <c r="X65" s="183">
        <f t="shared" si="25"/>
        <v>1</v>
      </c>
      <c r="Y65" s="62">
        <f t="shared" si="8"/>
        <v>4.6699999999999998E-2</v>
      </c>
      <c r="Z65" s="62">
        <f t="shared" si="9"/>
        <v>23.3306</v>
      </c>
      <c r="AA65" s="62">
        <f t="shared" si="10"/>
        <v>23.283899999999999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0153-22</v>
      </c>
      <c r="AE65" s="85" t="str">
        <f t="shared" si="12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65" s="82" t="str">
        <f t="shared" si="13"/>
        <v>"C:\Program Files (x86)\AstroGrep\AstroGrep.exe" /e /r /s /spath="%USERPROFILE%\AppData\Local\Temp\OnboardLogs" /stypes="app*4056*20170422*"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153-22 --locoid 4056 --swversion DE.1.0.9.0 --startMP 204:467 --initTime 2017-04-22T10:06:49 --startdatetime 2017-04-22T10:15:18 --delay 2 --endMP 204:233306 --enddatetime 2017-04-22T10:51:02 --enforcementcount 0 &gt;&gt;C:\Users\stu\Documents\GitHub\eaglep3-reporting\EC\2017-04-22-refined-times.txt</v>
      </c>
      <c r="AI6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{"issue":{"subject":"","project_id":79,"tracker_id":40,"status_id":1,"priority_id":2,"assigned_to_id":23,"start_date":"2017-04-22","description":"","custom_fields":[{"id":1,"name":"Subdivision","value":"EC"},{"id":4,"name":"Milepost","value":"23.3306"},{"id":17,"name":"Train ID","value":"153-22"},{"id":16,"name":"Locomotive ID","value":"4056"},{"id":130,"name":"Impact","value":""},{"id":150,"name":"Time of Event (Mountain Time)","value":"10:51:02"},{"id":151,"name":"Denver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4056 --day 2017-04-22</v>
      </c>
      <c r="AN6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704</v>
      </c>
      <c r="B66" s="7">
        <v>4055</v>
      </c>
      <c r="C66" s="21" t="s">
        <v>213</v>
      </c>
      <c r="D66" s="21" t="s">
        <v>575</v>
      </c>
      <c r="E66" s="13">
        <v>42847.462997685187</v>
      </c>
      <c r="F66" s="13">
        <v>42847.466238425928</v>
      </c>
      <c r="G66" s="7">
        <v>1</v>
      </c>
      <c r="H66" s="21" t="s">
        <v>426</v>
      </c>
      <c r="I66" s="13">
        <v>42847.492407407408</v>
      </c>
      <c r="J66" s="7">
        <v>0</v>
      </c>
      <c r="K66" s="97" t="str">
        <f t="shared" si="0"/>
        <v>4055/4056</v>
      </c>
      <c r="L66" s="21" t="str">
        <f>VLOOKUP(A66,'Trips&amp;Operators'!$C$1:$G$99999,5,FALSE)</f>
        <v>DE LA ROSA ALEX</v>
      </c>
      <c r="M66" s="6">
        <f t="shared" si="1"/>
        <v>2.6168981479713693E-2</v>
      </c>
      <c r="N66" s="7">
        <f t="shared" si="24"/>
        <v>37.683333330787718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-22T10:06:43-0600',mode:absolute,to:'2017-04-22T12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183" t="str">
        <f t="shared" si="6"/>
        <v>N</v>
      </c>
      <c r="X66" s="183">
        <f t="shared" si="25"/>
        <v>1</v>
      </c>
      <c r="Y66" s="62">
        <f t="shared" si="8"/>
        <v>23.299299999999999</v>
      </c>
      <c r="Z66" s="62">
        <f t="shared" si="9"/>
        <v>1.49E-2</v>
      </c>
      <c r="AA66" s="62">
        <f t="shared" si="10"/>
        <v>23.284399999999998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0154-22</v>
      </c>
      <c r="AE66" s="85" t="str">
        <f t="shared" si="12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66" s="82" t="str">
        <f t="shared" si="13"/>
        <v>"C:\Program Files (x86)\AstroGrep\AstroGrep.exe" /e /r /s /spath="%USERPROFILE%\AppData\Local\Temp\OnboardLogs" /stypes="app*4055*20170422*"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154-22 --locoid 4055 --swversion DE.1.0.9.0 --startMP 204:232993 --initTime 2017-04-22T11:06:43 --startdatetime 2017-04-22T11:11:23 --delay 1 --endMP 204:149 --enddatetime 2017-04-22T11:49:04 --enforcementcount 0 &gt;&gt;C:\Users\stu\Documents\GitHub\eaglep3-reporting\EC\2017-04-22-refined-times.txt</v>
      </c>
      <c r="AI6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{"issue":{"subject":"","project_id":79,"tracker_id":40,"status_id":1,"priority_id":2,"assigned_to_id":23,"start_date":"2017-04-22","description":"","custom_fields":[{"id":1,"name":"Subdivision","value":"EC"},{"id":4,"name":"Milepost","value":"0.0149"},{"id":17,"name":"Train ID","value":"154-22"},{"id":16,"name":"Locomotive ID","value":"4055"},{"id":130,"name":"Impact","value":""},{"id":150,"name":"Time of Event (Mountain Time)","value":"11:49:04"},{"id":151,"name":"Denver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4055 --day 2017-04-22</v>
      </c>
      <c r="AN6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695</v>
      </c>
      <c r="B67" s="7">
        <v>4022</v>
      </c>
      <c r="C67" s="21" t="s">
        <v>213</v>
      </c>
      <c r="D67" s="21" t="s">
        <v>462</v>
      </c>
      <c r="E67" s="13">
        <v>42847.434363425928</v>
      </c>
      <c r="F67" s="13">
        <v>42847.437685185185</v>
      </c>
      <c r="G67" s="7">
        <v>1</v>
      </c>
      <c r="H67" s="21" t="s">
        <v>863</v>
      </c>
      <c r="I67" s="13">
        <v>42847.461909722224</v>
      </c>
      <c r="J67" s="7">
        <v>0</v>
      </c>
      <c r="K67" s="97" t="str">
        <f t="shared" si="0"/>
        <v>4021/4022</v>
      </c>
      <c r="L67" s="21" t="str">
        <f>VLOOKUP(A67,'Trips&amp;Operators'!$C$1:$G$99999,5,FALSE)</f>
        <v>ROMERO CHAD</v>
      </c>
      <c r="M67" s="6">
        <f t="shared" si="1"/>
        <v>2.4224537039117422E-2</v>
      </c>
      <c r="N67" s="7">
        <f t="shared" si="24"/>
        <v>34.883333336329088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-22T09:25:29-0600',mode:absolute,to:'2017-04-22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83" t="str">
        <f t="shared" si="6"/>
        <v>N</v>
      </c>
      <c r="X67" s="183">
        <f t="shared" si="25"/>
        <v>1</v>
      </c>
      <c r="Y67" s="62">
        <f t="shared" si="8"/>
        <v>4.6899999999999997E-2</v>
      </c>
      <c r="Z67" s="62">
        <f t="shared" si="9"/>
        <v>23.337199999999999</v>
      </c>
      <c r="AA67" s="62">
        <f t="shared" si="10"/>
        <v>23.290299999999998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0155-22</v>
      </c>
      <c r="AE67" s="85" t="str">
        <f t="shared" si="12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67" s="82" t="str">
        <f t="shared" si="13"/>
        <v>"C:\Program Files (x86)\AstroGrep\AstroGrep.exe" /e /r /s /spath="%USERPROFILE%\AppData\Local\Temp\OnboardLogs" /stypes="app*4022*20170422*"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155-22 --locoid 4022 --swversion DE.1.0.9.0 --startMP 204:469 --initTime 2017-04-22T10:25:29 --startdatetime 2017-04-22T10:30:16 --delay 1 --endMP 204:233372 --enddatetime 2017-04-22T11:05:09 --enforcementcount 0 &gt;&gt;C:\Users\stu\Documents\GitHub\eaglep3-reporting\EC\2017-04-22-refined-times.txt</v>
      </c>
      <c r="AI67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{"issue":{"subject":"","project_id":79,"tracker_id":40,"status_id":1,"priority_id":2,"assigned_to_id":23,"start_date":"2017-04-22","description":"","custom_fields":[{"id":1,"name":"Subdivision","value":"EC"},{"id":4,"name":"Milepost","value":"23.3372"},{"id":17,"name":"Train ID","value":"155-22"},{"id":16,"name":"Locomotive ID","value":"4022"},{"id":130,"name":"Impact","value":""},{"id":150,"name":"Time of Event (Mountain Time)","value":"11:05:09"},{"id":151,"name":"Denver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4022 --day 2017-04-22</v>
      </c>
      <c r="AN67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706</v>
      </c>
      <c r="B68" s="7">
        <v>4021</v>
      </c>
      <c r="C68" s="21" t="s">
        <v>213</v>
      </c>
      <c r="D68" s="21" t="s">
        <v>864</v>
      </c>
      <c r="E68" s="13">
        <v>42847.464131944442</v>
      </c>
      <c r="F68" s="13">
        <v>42847.476597222223</v>
      </c>
      <c r="G68" s="7">
        <v>1</v>
      </c>
      <c r="H68" s="21" t="s">
        <v>865</v>
      </c>
      <c r="I68" s="13">
        <v>42847.503472222219</v>
      </c>
      <c r="J68" s="7">
        <v>0</v>
      </c>
      <c r="K68" s="97" t="str">
        <f t="shared" si="0"/>
        <v>4021/4022</v>
      </c>
      <c r="L68" s="21" t="str">
        <f>VLOOKUP(A68,'Trips&amp;Operators'!$C$1:$G$99999,5,FALSE)</f>
        <v>ROMERO CHAD</v>
      </c>
      <c r="M68" s="6">
        <f t="shared" si="1"/>
        <v>2.6874999995925464E-2</v>
      </c>
      <c r="N68" s="7">
        <f t="shared" si="24"/>
        <v>38.699999994132668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-22T10:08:21-0600',mode:absolute,to:'2017-04-22T13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83" t="str">
        <f t="shared" si="6"/>
        <v>N</v>
      </c>
      <c r="X68" s="183">
        <f t="shared" si="25"/>
        <v>1</v>
      </c>
      <c r="Y68" s="62">
        <f t="shared" si="8"/>
        <v>23.305299999999999</v>
      </c>
      <c r="Z68" s="62">
        <f t="shared" si="9"/>
        <v>1.18E-2</v>
      </c>
      <c r="AA68" s="62">
        <f t="shared" si="10"/>
        <v>23.293499999999998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0156-22</v>
      </c>
      <c r="AE68" s="85" t="str">
        <f t="shared" si="12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68" s="82" t="str">
        <f t="shared" si="13"/>
        <v>"C:\Program Files (x86)\AstroGrep\AstroGrep.exe" /e /r /s /spath="%USERPROFILE%\AppData\Local\Temp\OnboardLogs" /stypes="app*4021*20170422*"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156-22 --locoid 4021 --swversion DE.1.0.9.0 --startMP 204:233053 --initTime 2017-04-22T11:08:21 --startdatetime 2017-04-22T11:26:18 --delay 1 --endMP 204:118 --enddatetime 2017-04-22T12:05:00 --enforcementcount 0 &gt;&gt;C:\Users\stu\Documents\GitHub\eaglep3-reporting\EC\2017-04-22-refined-times.txt</v>
      </c>
      <c r="AI68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{"issue":{"subject":"","project_id":79,"tracker_id":40,"status_id":1,"priority_id":2,"assigned_to_id":23,"start_date":"2017-04-22","description":"","custom_fields":[{"id":1,"name":"Subdivision","value":"EC"},{"id":4,"name":"Milepost","value":"0.0118"},{"id":17,"name":"Train ID","value":"156-22"},{"id":16,"name":"Locomotive ID","value":"4021"},{"id":130,"name":"Impact","value":""},{"id":150,"name":"Time of Event (Mountain Time)","value":"12:05:00"},{"id":151,"name":"Denver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4021 --day 2017-04-22</v>
      </c>
      <c r="AN68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698</v>
      </c>
      <c r="B69" s="7">
        <v>4026</v>
      </c>
      <c r="C69" s="21" t="s">
        <v>213</v>
      </c>
      <c r="D69" s="21" t="s">
        <v>438</v>
      </c>
      <c r="E69" s="13">
        <v>42847.442615740743</v>
      </c>
      <c r="F69" s="13">
        <v>42847.448101851849</v>
      </c>
      <c r="G69" s="7">
        <v>1</v>
      </c>
      <c r="H69" s="21" t="s">
        <v>833</v>
      </c>
      <c r="I69" s="13">
        <v>42847.472905092596</v>
      </c>
      <c r="J69" s="7">
        <v>0</v>
      </c>
      <c r="K69" s="97" t="str">
        <f t="shared" si="0"/>
        <v>4025/4026</v>
      </c>
      <c r="L69" s="21" t="str">
        <f>VLOOKUP(A69,'Trips&amp;Operators'!$C$1:$G$99999,5,FALSE)</f>
        <v>GEBRETEKLE DAGNEW</v>
      </c>
      <c r="M69" s="6">
        <f t="shared" si="1"/>
        <v>2.4803240747132804E-2</v>
      </c>
      <c r="N69" s="7">
        <f t="shared" si="24"/>
        <v>35.716666675871238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-22T09:37:22-0600',mode:absolute,to:'2017-04-22T12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83" t="str">
        <f t="shared" si="6"/>
        <v>N</v>
      </c>
      <c r="X69" s="183">
        <f t="shared" si="25"/>
        <v>1</v>
      </c>
      <c r="Y69" s="62">
        <f t="shared" si="8"/>
        <v>4.6600000000000003E-2</v>
      </c>
      <c r="Z69" s="62">
        <f t="shared" si="9"/>
        <v>23.3338</v>
      </c>
      <c r="AA69" s="62">
        <f t="shared" si="10"/>
        <v>23.287199999999999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0157-22</v>
      </c>
      <c r="AE69" s="85" t="str">
        <f t="shared" si="12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69" s="82" t="str">
        <f t="shared" si="13"/>
        <v>"C:\Program Files (x86)\AstroGrep\AstroGrep.exe" /e /r /s /spath="%USERPROFILE%\AppData\Local\Temp\OnboardLogs" /stypes="app*4026*20170422*"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157-22 --locoid 4026 --swversion DE.1.0.9.0 --startMP 204:466 --initTime 2017-04-22T10:37:22 --startdatetime 2017-04-22T10:45:16 --delay 1 --endMP 204:233338 --enddatetime 2017-04-22T11:20:59 --enforcementcount 0 &gt;&gt;C:\Users\stu\Documents\GitHub\eaglep3-reporting\EC\2017-04-22-refined-times.txt</v>
      </c>
      <c r="AI69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{"issue":{"subject":"","project_id":79,"tracker_id":40,"status_id":1,"priority_id":2,"assigned_to_id":23,"start_date":"2017-04-22","description":"","custom_fields":[{"id":1,"name":"Subdivision","value":"EC"},{"id":4,"name":"Milepost","value":"23.3338"},{"id":17,"name":"Train ID","value":"157-22"},{"id":16,"name":"Locomotive ID","value":"4026"},{"id":130,"name":"Impact","value":""},{"id":150,"name":"Time of Event (Mountain Time)","value":"11:20:59"},{"id":151,"name":"Denver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4026 --day 2017-04-22</v>
      </c>
      <c r="AN69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708</v>
      </c>
      <c r="B70" s="7">
        <v>4025</v>
      </c>
      <c r="C70" s="21" t="s">
        <v>213</v>
      </c>
      <c r="D70" s="21" t="s">
        <v>866</v>
      </c>
      <c r="E70" s="13">
        <v>42847.482870370368</v>
      </c>
      <c r="F70" s="13">
        <v>42847.48710648148</v>
      </c>
      <c r="G70" s="7">
        <v>1</v>
      </c>
      <c r="H70" s="21" t="s">
        <v>390</v>
      </c>
      <c r="I70" s="13">
        <v>42847.516469907408</v>
      </c>
      <c r="J70" s="7">
        <v>0</v>
      </c>
      <c r="K70" s="97" t="str">
        <f t="shared" si="0"/>
        <v>4025/4026</v>
      </c>
      <c r="L70" s="21" t="str">
        <f>VLOOKUP(A70,'Trips&amp;Operators'!$C$1:$G$99999,5,FALSE)</f>
        <v>GEBRETEKLE DAGNEW</v>
      </c>
      <c r="M70" s="6">
        <f t="shared" si="1"/>
        <v>2.9363425928750075E-2</v>
      </c>
      <c r="N70" s="7">
        <f t="shared" si="24"/>
        <v>42.283333337400109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-22T10:35:20-0600',mode:absolute,to:'2017-04-22T13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183" t="str">
        <f t="shared" si="6"/>
        <v>N</v>
      </c>
      <c r="X70" s="183">
        <f t="shared" si="25"/>
        <v>1</v>
      </c>
      <c r="Y70" s="62">
        <f t="shared" si="8"/>
        <v>23.301100000000002</v>
      </c>
      <c r="Z70" s="62">
        <f t="shared" si="9"/>
        <v>1.4500000000000001E-2</v>
      </c>
      <c r="AA70" s="62">
        <f t="shared" si="10"/>
        <v>23.2866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0158-22</v>
      </c>
      <c r="AE70" s="85" t="str">
        <f t="shared" si="12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70" s="82" t="str">
        <f t="shared" si="13"/>
        <v>"C:\Program Files (x86)\AstroGrep\AstroGrep.exe" /e /r /s /spath="%USERPROFILE%\AppData\Local\Temp\OnboardLogs" /stypes="app*4025*20170422*"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158-22 --locoid 4025 --swversion DE.1.0.9.0 --startMP 204:233011 --initTime 2017-04-22T11:35:20 --startdatetime 2017-04-22T11:41:26 --delay 1 --endMP 204:145 --enddatetime 2017-04-22T12:23:43 --enforcementcount 0 &gt;&gt;C:\Users\stu\Documents\GitHub\eaglep3-reporting\EC\2017-04-22-refined-times.txt</v>
      </c>
      <c r="AI70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{"issue":{"subject":"","project_id":79,"tracker_id":40,"status_id":1,"priority_id":2,"assigned_to_id":23,"start_date":"2017-04-22","description":"","custom_fields":[{"id":1,"name":"Subdivision","value":"EC"},{"id":4,"name":"Milepost","value":"0.0145"},{"id":17,"name":"Train ID","value":"158-22"},{"id":16,"name":"Locomotive ID","value":"4025"},{"id":130,"name":"Impact","value":""},{"id":150,"name":"Time of Event (Mountain Time)","value":"12:23:43"},{"id":151,"name":"Denver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4025 --day 2017-04-22</v>
      </c>
      <c r="AN70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700</v>
      </c>
      <c r="B71" s="7">
        <v>4042</v>
      </c>
      <c r="C71" s="21" t="s">
        <v>213</v>
      </c>
      <c r="D71" s="21" t="s">
        <v>477</v>
      </c>
      <c r="E71" s="13">
        <v>42847.453483796293</v>
      </c>
      <c r="F71" s="13">
        <v>42847.458553240744</v>
      </c>
      <c r="G71" s="7">
        <v>2</v>
      </c>
      <c r="H71" s="21" t="s">
        <v>478</v>
      </c>
      <c r="I71" s="13">
        <v>42847.483043981483</v>
      </c>
      <c r="J71" s="7">
        <v>0</v>
      </c>
      <c r="K71" s="97" t="str">
        <f t="shared" si="0"/>
        <v>4041/4042</v>
      </c>
      <c r="L71" s="21" t="str">
        <f>VLOOKUP(A71,'Trips&amp;Operators'!$C$1:$G$99999,5,FALSE)</f>
        <v>STEWART MICHAEL</v>
      </c>
      <c r="M71" s="6">
        <f t="shared" si="1"/>
        <v>2.4490740739565808E-2</v>
      </c>
      <c r="N71" s="7">
        <f t="shared" si="24"/>
        <v>35.266666664974764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-22T09:53:01-0600',mode:absolute,to:'2017-04-22T12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83" t="str">
        <f t="shared" si="6"/>
        <v>N</v>
      </c>
      <c r="X71" s="183">
        <f t="shared" si="25"/>
        <v>1</v>
      </c>
      <c r="Y71" s="62">
        <f t="shared" si="8"/>
        <v>4.5100000000000001E-2</v>
      </c>
      <c r="Z71" s="62">
        <f t="shared" si="9"/>
        <v>23.330100000000002</v>
      </c>
      <c r="AA71" s="62">
        <f t="shared" si="10"/>
        <v>23.285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0159-22</v>
      </c>
      <c r="AE71" s="85" t="str">
        <f t="shared" si="12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71" s="82" t="str">
        <f t="shared" si="13"/>
        <v>"C:\Program Files (x86)\AstroGrep\AstroGrep.exe" /e /r /s /spath="%USERPROFILE%\AppData\Local\Temp\OnboardLogs" /stypes="app*4042*20170422*"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159-22 --locoid 4042 --swversion DE.1.0.9.0 --startMP 204:451 --initTime 2017-04-22T10:53:01 --startdatetime 2017-04-22T11:00:19 --delay 2 --endMP 204:233301 --enddatetime 2017-04-22T11:35:35 --enforcementcount 0 &gt;&gt;C:\Users\stu\Documents\GitHub\eaglep3-reporting\EC\2017-04-22-refined-times.txt</v>
      </c>
      <c r="AI71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{"issue":{"subject":"","project_id":79,"tracker_id":40,"status_id":1,"priority_id":2,"assigned_to_id":23,"start_date":"2017-04-22","description":"","custom_fields":[{"id":1,"name":"Subdivision","value":"EC"},{"id":4,"name":"Milepost","value":"23.3301"},{"id":17,"name":"Train ID","value":"159-22"},{"id":16,"name":"Locomotive ID","value":"4042"},{"id":130,"name":"Impact","value":""},{"id":150,"name":"Time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4042 --day 2017-04-22</v>
      </c>
      <c r="AN71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711</v>
      </c>
      <c r="B72" s="7">
        <v>4041</v>
      </c>
      <c r="C72" s="21" t="s">
        <v>213</v>
      </c>
      <c r="D72" s="21" t="s">
        <v>481</v>
      </c>
      <c r="E72" s="13">
        <v>42847.493576388886</v>
      </c>
      <c r="F72" s="13">
        <v>42847.497418981482</v>
      </c>
      <c r="G72" s="7">
        <v>2</v>
      </c>
      <c r="H72" s="21" t="s">
        <v>426</v>
      </c>
      <c r="I72" s="13">
        <v>42847.528703703705</v>
      </c>
      <c r="J72" s="7">
        <v>0</v>
      </c>
      <c r="K72" s="97" t="str">
        <f t="shared" si="0"/>
        <v>4041/4042</v>
      </c>
      <c r="L72" s="21" t="str">
        <f>VLOOKUP(A72,'Trips&amp;Operators'!$C$1:$G$99999,5,FALSE)</f>
        <v>STEWART MICHAEL</v>
      </c>
      <c r="M72" s="6">
        <f t="shared" si="1"/>
        <v>3.1284722223063E-2</v>
      </c>
      <c r="N72" s="7">
        <f t="shared" si="24"/>
        <v>45.050000001210719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-22T10:50:45-0600',mode:absolute,to:'2017-04-22T13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83" t="str">
        <f t="shared" si="6"/>
        <v>N</v>
      </c>
      <c r="X72" s="183">
        <f t="shared" si="25"/>
        <v>1</v>
      </c>
      <c r="Y72" s="62">
        <f t="shared" si="8"/>
        <v>23.2971</v>
      </c>
      <c r="Z72" s="62">
        <f t="shared" si="9"/>
        <v>1.49E-2</v>
      </c>
      <c r="AA72" s="62">
        <f t="shared" si="10"/>
        <v>23.2822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0160-22</v>
      </c>
      <c r="AE72" s="85" t="str">
        <f t="shared" si="12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72" s="82" t="str">
        <f t="shared" si="13"/>
        <v>"C:\Program Files (x86)\AstroGrep\AstroGrep.exe" /e /r /s /spath="%USERPROFILE%\AppData\Local\Temp\OnboardLogs" /stypes="app*4041*20170422*"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160-22 --locoid 4041 --swversion DE.1.0.9.0 --startMP 204:232971 --initTime 2017-04-22T11:50:45 --startdatetime 2017-04-22T11:56:17 --delay 2 --endMP 204:149 --enddatetime 2017-04-22T12:41:20 --enforcementcount 0 &gt;&gt;C:\Users\stu\Documents\GitHub\eaglep3-reporting\EC\2017-04-22-refined-times.txt</v>
      </c>
      <c r="AI72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{"issue":{"subject":"","project_id":79,"tracker_id":40,"status_id":1,"priority_id":2,"assigned_to_id":23,"start_date":"2017-04-22","description":"","custom_fields":[{"id":1,"name":"Subdivision","value":"EC"},{"id":4,"name":"Milepost","value":"0.0149"},{"id":17,"name":"Train ID","value":"160-22"},{"id":16,"name":"Locomotive ID","value":"4041"},{"id":130,"name":"Impact","value":""},{"id":150,"name":"Time of Event (Mountain Time)","value":"12:41:20"},{"id":151,"name":"Denver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4041 --day 2017-04-22</v>
      </c>
      <c r="AN72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705</v>
      </c>
      <c r="B73" s="7">
        <v>4018</v>
      </c>
      <c r="C73" s="21" t="s">
        <v>213</v>
      </c>
      <c r="D73" s="21" t="s">
        <v>867</v>
      </c>
      <c r="E73" s="13">
        <v>42847.463159722225</v>
      </c>
      <c r="F73" s="13">
        <v>42847.468900462962</v>
      </c>
      <c r="G73" s="7">
        <v>1</v>
      </c>
      <c r="H73" s="21" t="s">
        <v>868</v>
      </c>
      <c r="I73" s="13">
        <v>42847.493726851855</v>
      </c>
      <c r="J73" s="7">
        <v>0</v>
      </c>
      <c r="K73" s="97" t="str">
        <f t="shared" si="0"/>
        <v>4017/4018</v>
      </c>
      <c r="L73" s="21" t="str">
        <f>VLOOKUP(A73,'Trips&amp;Operators'!$C$1:$G$99999,5,FALSE)</f>
        <v>DELGADO DIANAH</v>
      </c>
      <c r="M73" s="6">
        <f t="shared" si="1"/>
        <v>2.4826388893416151E-2</v>
      </c>
      <c r="N73" s="7">
        <f t="shared" si="24"/>
        <v>35.750000006519258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-22T10:06:57-0600',mode:absolute,to:'2017-04-22T12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83" t="str">
        <f t="shared" si="6"/>
        <v>N</v>
      </c>
      <c r="X73" s="183">
        <f t="shared" si="25"/>
        <v>1</v>
      </c>
      <c r="Y73" s="62">
        <f t="shared" si="8"/>
        <v>4.8899999999999999E-2</v>
      </c>
      <c r="Z73" s="62">
        <f t="shared" si="9"/>
        <v>23.334399999999999</v>
      </c>
      <c r="AA73" s="62">
        <f t="shared" si="10"/>
        <v>23.285499999999999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0161-22</v>
      </c>
      <c r="AE73" s="85" t="str">
        <f t="shared" si="12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73" s="82" t="str">
        <f t="shared" si="13"/>
        <v>"C:\Program Files (x86)\AstroGrep\AstroGrep.exe" /e /r /s /spath="%USERPROFILE%\AppData\Local\Temp\OnboardLogs" /stypes="app*4018*20170422*"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161-22 --locoid 4018 --swversion DE.1.0.9.0 --startMP 204:489 --initTime 2017-04-22T11:06:57 --startdatetime 2017-04-22T11:15:13 --delay 1 --endMP 204:233344 --enddatetime 2017-04-22T11:50:58 --enforcementcount 0 &gt;&gt;C:\Users\stu\Documents\GitHub\eaglep3-reporting\EC\2017-04-22-refined-times.txt</v>
      </c>
      <c r="AI73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{"issue":{"subject":"","project_id":79,"tracker_id":40,"status_id":1,"priority_id":2,"assigned_to_id":23,"start_date":"2017-04-22","description":"","custom_fields":[{"id":1,"name":"Subdivision","value":"EC"},{"id":4,"name":"Milepost","value":"23.3344"},{"id":17,"name":"Train ID","value":"161-22"},{"id":16,"name":"Locomotive ID","value":"4018"},{"id":130,"name":"Impact","value":""},{"id":150,"name":"Time of Event (Mountain Time)","value":"11:50:58"},{"id":151,"name":"Denver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4018 --day 2017-04-22</v>
      </c>
      <c r="AN73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712</v>
      </c>
      <c r="B74" s="7">
        <v>4017</v>
      </c>
      <c r="C74" s="21" t="s">
        <v>213</v>
      </c>
      <c r="D74" s="21" t="s">
        <v>869</v>
      </c>
      <c r="E74" s="13">
        <v>42847.496365740742</v>
      </c>
      <c r="F74" s="13">
        <v>42847.507824074077</v>
      </c>
      <c r="G74" s="7">
        <v>1</v>
      </c>
      <c r="H74" s="21" t="s">
        <v>442</v>
      </c>
      <c r="I74" s="13">
        <v>42847.534467592595</v>
      </c>
      <c r="J74" s="7">
        <v>0</v>
      </c>
      <c r="K74" s="97" t="str">
        <f t="shared" si="0"/>
        <v>4017/4018</v>
      </c>
      <c r="L74" s="21" t="str">
        <f>VLOOKUP(A74,'Trips&amp;Operators'!$C$1:$G$99999,5,FALSE)</f>
        <v>DELGADO DIANAH</v>
      </c>
      <c r="M74" s="6">
        <f t="shared" si="1"/>
        <v>2.6643518518540077E-2</v>
      </c>
      <c r="N74" s="7">
        <f t="shared" si="24"/>
        <v>38.366666666697711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-22T10:54:46-0600',mode:absolute,to:'2017-04-22T13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183" t="str">
        <f t="shared" si="6"/>
        <v>N</v>
      </c>
      <c r="X74" s="183">
        <f t="shared" si="25"/>
        <v>1</v>
      </c>
      <c r="Y74" s="62">
        <f t="shared" si="8"/>
        <v>23.302499999999998</v>
      </c>
      <c r="Z74" s="62">
        <f t="shared" si="9"/>
        <v>1.3599999999999999E-2</v>
      </c>
      <c r="AA74" s="62">
        <f t="shared" si="10"/>
        <v>23.288899999999998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0162-22</v>
      </c>
      <c r="AE74" s="85" t="str">
        <f t="shared" si="12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74" s="82" t="str">
        <f t="shared" si="13"/>
        <v>"C:\Program Files (x86)\AstroGrep\AstroGrep.exe" /e /r /s /spath="%USERPROFILE%\AppData\Local\Temp\OnboardLogs" /stypes="app*4017*20170422*"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162-22 --locoid 4017 --swversion DE.1.0.9.0 --startMP 204:233025 --initTime 2017-04-22T11:54:46 --startdatetime 2017-04-22T12:11:16 --delay 1 --endMP 204:136 --enddatetime 2017-04-22T12:49:38 --enforcementcount 0 &gt;&gt;C:\Users\stu\Documents\GitHub\eaglep3-reporting\EC\2017-04-22-refined-times.txt</v>
      </c>
      <c r="AI74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{"issue":{"subject":"","project_id":79,"tracker_id":40,"status_id":1,"priority_id":2,"assigned_to_id":23,"start_date":"2017-04-22","description":"","custom_fields":[{"id":1,"name":"Subdivision","value":"EC"},{"id":4,"name":"Milepost","value":"0.0136"},{"id":17,"name":"Train ID","value":"162-22"},{"id":16,"name":"Locomotive ID","value":"4017"},{"id":130,"name":"Impact","value":""},{"id":150,"name":"Time of Event (Mountain Time)","value":"12:49:38"},{"id":151,"name":"Denver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4017 --day 2017-04-22</v>
      </c>
      <c r="AN74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707</v>
      </c>
      <c r="B75" s="7">
        <v>4064</v>
      </c>
      <c r="C75" s="21" t="s">
        <v>213</v>
      </c>
      <c r="D75" s="21" t="s">
        <v>561</v>
      </c>
      <c r="E75" s="13">
        <v>42847.481759259259</v>
      </c>
      <c r="F75" s="13">
        <v>42847.48400462963</v>
      </c>
      <c r="G75" s="7">
        <v>1</v>
      </c>
      <c r="H75" s="21" t="s">
        <v>870</v>
      </c>
      <c r="I75" s="13">
        <v>42847.508333333331</v>
      </c>
      <c r="J75" s="7">
        <v>0</v>
      </c>
      <c r="K75" s="97" t="str">
        <f t="shared" si="0"/>
        <v>4063/4064</v>
      </c>
      <c r="L75" s="21" t="str">
        <f>VLOOKUP(A75,'Trips&amp;Operators'!$C$1:$G$99999,5,FALSE)</f>
        <v>BRUDER RICHARD</v>
      </c>
      <c r="M75" s="6">
        <f t="shared" si="1"/>
        <v>2.4328703701030463E-2</v>
      </c>
      <c r="N75" s="7">
        <f t="shared" si="24"/>
        <v>35.033333329483867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-22T10:33:44-0600',mode:absolute,to:'2017-04-22T13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183" t="str">
        <f t="shared" si="6"/>
        <v>N</v>
      </c>
      <c r="X75" s="183">
        <f t="shared" si="25"/>
        <v>1</v>
      </c>
      <c r="Y75" s="62">
        <f t="shared" si="8"/>
        <v>4.6399999999999997E-2</v>
      </c>
      <c r="Z75" s="62">
        <f t="shared" si="9"/>
        <v>23.3245</v>
      </c>
      <c r="AA75" s="62">
        <f t="shared" si="10"/>
        <v>23.278100000000002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0163-22</v>
      </c>
      <c r="AE75" s="85" t="str">
        <f t="shared" si="12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75" s="82" t="str">
        <f t="shared" si="13"/>
        <v>"C:\Program Files (x86)\AstroGrep\AstroGrep.exe" /e /r /s /spath="%USERPROFILE%\AppData\Local\Temp\OnboardLogs" /stypes="app*4064*20170422*"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163-22 --locoid 4064 --swversion DE.1.0.9.0 --startMP 204:464 --initTime 2017-04-22T11:33:44 --startdatetime 2017-04-22T11:36:58 --delay 1 --endMP 204:233245 --enddatetime 2017-04-22T12:12:00 --enforcementcount 0 &gt;&gt;C:\Users\stu\Documents\GitHub\eaglep3-reporting\EC\2017-04-22-refined-times.txt</v>
      </c>
      <c r="AI75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{"issue":{"subject":"","project_id":79,"tracker_id":40,"status_id":1,"priority_id":2,"assigned_to_id":23,"start_date":"2017-04-22","description":"","custom_fields":[{"id":1,"name":"Subdivision","value":"EC"},{"id":4,"name":"Milepost","value":"23.3245"},{"id":17,"name":"Train ID","value":"163-22"},{"id":16,"name":"Locomotive ID","value":"4064"},{"id":130,"name":"Impact","value":""},{"id":150,"name":"Time of Event (Mountain Time)","value":"12:12:00"},{"id":151,"name":"Denver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5" s="48"/>
      <c r="AL75" s="48"/>
      <c r="AM75" s="150" t="str">
        <f t="shared" si="21"/>
        <v>start /low /b %USERPROFILE%\Documents\GitHub\eaglep3\Utilities\DownloadLogsFromS3.py --loco 4064 --day 2017-04-22</v>
      </c>
      <c r="AN75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718</v>
      </c>
      <c r="B76" s="7">
        <v>4063</v>
      </c>
      <c r="C76" s="21" t="s">
        <v>213</v>
      </c>
      <c r="D76" s="21" t="s">
        <v>871</v>
      </c>
      <c r="E76" s="13">
        <v>42847.515046296299</v>
      </c>
      <c r="F76" s="13">
        <v>42847.518333333333</v>
      </c>
      <c r="G76" s="7">
        <v>2</v>
      </c>
      <c r="H76" s="21" t="s">
        <v>203</v>
      </c>
      <c r="I76" s="13">
        <v>42847.545717592591</v>
      </c>
      <c r="J76" s="7">
        <v>0</v>
      </c>
      <c r="K76" s="97" t="str">
        <f t="shared" si="0"/>
        <v>4063/4064</v>
      </c>
      <c r="L76" s="21" t="str">
        <f>VLOOKUP(A76,'Trips&amp;Operators'!$C$1:$G$99999,5,FALSE)</f>
        <v>BRUDER RICHARD</v>
      </c>
      <c r="M76" s="6">
        <f t="shared" si="1"/>
        <v>2.7384259257814847E-2</v>
      </c>
      <c r="N76" s="7">
        <f t="shared" si="24"/>
        <v>39.43333333125338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-22T11:21:40-0600',mode:absolute,to:'2017-04-22T14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6" s="183" t="str">
        <f t="shared" si="6"/>
        <v>N</v>
      </c>
      <c r="X76" s="183">
        <f t="shared" si="25"/>
        <v>1</v>
      </c>
      <c r="Y76" s="62">
        <f t="shared" si="8"/>
        <v>23.2913</v>
      </c>
      <c r="Z76" s="62">
        <f t="shared" si="9"/>
        <v>1.54E-2</v>
      </c>
      <c r="AA76" s="62">
        <f t="shared" si="10"/>
        <v>23.2759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0164-22</v>
      </c>
      <c r="AE76" s="85" t="str">
        <f t="shared" si="12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76" s="82" t="str">
        <f t="shared" si="13"/>
        <v>"C:\Program Files (x86)\AstroGrep\AstroGrep.exe" /e /r /s /spath="%USERPROFILE%\AppData\Local\Temp\OnboardLogs" /stypes="app*4063*20170422*"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164-22 --locoid 4063 --swversion DE.1.0.9.0 --startMP 204:232913 --initTime 2017-04-22T12:21:40 --startdatetime 2017-04-22T12:26:24 --delay 2 --endMP 204:154 --enddatetime 2017-04-22T13:05:50 --enforcementcount 0 &gt;&gt;C:\Users\stu\Documents\GitHub\eaglep3-reporting\EC\2017-04-22-refined-times.txt</v>
      </c>
      <c r="AI76" s="104" t="str">
        <f t="shared" si="20"/>
        <v>echo {"issue":{"subject":"","project_id":79,"tracker_id":40,"status_id":1,"priority_id":2,"assigned_to_id":23,"start_date":"2017-04-22","description":"","custom_fields":[{"id":1,"name":"Subdivision","value":"EC"},{"id":4,"name":"Milepost","value":"0.0154"},{"id":17,"name":"Train ID","value":"164-22"},{"id":16,"name":"Locomotive ID","value":"4063"},{"id":130,"name":"Impact","value":""},{"id":150,"name":"Time of Event (Mountain Time)","value":"13:05:50"},{"id":151,"name":"Denver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6" s="48"/>
      <c r="AL76" s="48"/>
      <c r="AM76" s="150" t="str">
        <f t="shared" si="21"/>
        <v>start /low /b %USERPROFILE%\Documents\GitHub\eaglep3\Utilities\DownloadLogsFromS3.py --loco 4063 --day 2017-04-22</v>
      </c>
      <c r="AN76" s="159" t="str">
        <f t="shared" si="22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710</v>
      </c>
      <c r="B77" s="7">
        <v>4032</v>
      </c>
      <c r="C77" s="21" t="s">
        <v>213</v>
      </c>
      <c r="D77" s="21" t="s">
        <v>872</v>
      </c>
      <c r="E77" s="13">
        <v>42847.485844907409</v>
      </c>
      <c r="F77" s="13">
        <v>42847.489814814813</v>
      </c>
      <c r="G77" s="7">
        <v>1</v>
      </c>
      <c r="H77" s="21" t="s">
        <v>420</v>
      </c>
      <c r="I77" s="13">
        <v>42847.516157407408</v>
      </c>
      <c r="J77" s="7">
        <v>0</v>
      </c>
      <c r="K77" s="97" t="str">
        <f t="shared" ref="K77:K140" si="26">IF(ISEVEN(B77),(B77-1)&amp;"/"&amp;B77,B77&amp;"/"&amp;(B77+1))</f>
        <v>4031/4032</v>
      </c>
      <c r="L77" s="21" t="str">
        <f>VLOOKUP(A77,'Trips&amp;Operators'!$C$1:$G$99999,5,FALSE)</f>
        <v>WHITED DUSTIN</v>
      </c>
      <c r="M77" s="6">
        <f t="shared" ref="M77:M140" si="27">I77-F77</f>
        <v>2.6342592595028691E-2</v>
      </c>
      <c r="N77" s="7">
        <f t="shared" ref="N77:N97" si="28">24*60*SUM($M77:$M77)</f>
        <v>37.933333336841315</v>
      </c>
      <c r="O77" s="7"/>
      <c r="P77" s="7"/>
      <c r="Q77" s="22"/>
      <c r="R77" s="22"/>
      <c r="S77" s="31">
        <f t="shared" ref="S77:S140" si="29">SUM(U77:U77)/IF(AG77="EC",12,1)</f>
        <v>1</v>
      </c>
      <c r="T77" s="46" t="str">
        <f t="shared" ref="T77:T140" si="30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-22T10:39:37-0600',mode:absolute,to:'2017-04-22T13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83" t="str">
        <f t="shared" ref="W77:W140" si="32">IF(AA77&lt;IF(AG77="EC",23,5.65),"Y","N")</f>
        <v>N</v>
      </c>
      <c r="X77" s="183">
        <f t="shared" si="25"/>
        <v>1</v>
      </c>
      <c r="Y77" s="62">
        <f t="shared" ref="Y77:Y140" si="33">RIGHT(D77,LEN(D77)-4)/10000</f>
        <v>4.8599999999999997E-2</v>
      </c>
      <c r="Z77" s="62">
        <f t="shared" ref="Z77:Z140" si="34">RIGHT(H77,LEN(H77)-4)/10000</f>
        <v>23.3293</v>
      </c>
      <c r="AA77" s="62">
        <f t="shared" ref="AA77:AA140" si="35">ABS(Z77-Y77)</f>
        <v>23.2807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0165-22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/stypes="app*4032*20170422*" /stext=" 18:.+((SYSTEM_STATE.+slice.+state.+changed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165-22 --locoid 4032 --swversion DE.1.0.9.0 --startMP 204:486 --initTime 2017-04-22T11:39:37 --startdatetime 2017-04-22T11:45:20 --delay 1 --endMP 204:233293 --enddatetime 2017-04-22T12:23:16 --enforcementcount 0 &gt;&gt;C:\Users\stu\Documents\GitHub\eaglep3-reporting\EC\2017-04-22-refined-times.txt</v>
      </c>
      <c r="AI77" s="104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{"issue":{"subject":"","project_id":79,"tracker_id":40,"status_id":1,"priority_id":2,"assigned_to_id":23,"start_date":"2017-04-22","description":"","custom_fields":[{"id":1,"name":"Subdivision","value":"EC"},{"id":4,"name":"Milepost","value":"23.3293"},{"id":17,"name":"Train ID","value":"165-22"},{"id":16,"name":"Locomotive ID","value":"4032"},{"id":130,"name":"Impact","value":""},{"id":150,"name":"Time of Event (Mountain Time)","value":"12:23:16"},{"id":151,"name":"Denver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0" si="42">"start /low /b "&amp;dls3logs&amp;" --loco "&amp;B77&amp;" --day "&amp;TEXT(F77,"YYYY-MM-DD")</f>
        <v>start /low /b %USERPROFILE%\Documents\GitHub\eaglep3\Utilities\DownloadLogsFromS3.py --loco 4032 --day 2017-04-22</v>
      </c>
      <c r="AN77" s="159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8" spans="1:91" s="20" customFormat="1" x14ac:dyDescent="0.25">
      <c r="A78" s="33" t="s">
        <v>722</v>
      </c>
      <c r="B78" s="7">
        <v>4031</v>
      </c>
      <c r="C78" s="21" t="s">
        <v>213</v>
      </c>
      <c r="D78" s="21" t="s">
        <v>445</v>
      </c>
      <c r="E78" s="13">
        <v>42847.523958333331</v>
      </c>
      <c r="F78" s="13">
        <v>42847.528715277775</v>
      </c>
      <c r="G78" s="7">
        <v>1</v>
      </c>
      <c r="H78" s="21" t="s">
        <v>390</v>
      </c>
      <c r="I78" s="13">
        <v>42847.555243055554</v>
      </c>
      <c r="J78" s="7">
        <v>0</v>
      </c>
      <c r="K78" s="97" t="str">
        <f t="shared" si="26"/>
        <v>4031/4032</v>
      </c>
      <c r="L78" s="21" t="str">
        <f>VLOOKUP(A78,'Trips&amp;Operators'!$C$1:$G$99999,5,FALSE)</f>
        <v>WHITED DUSTIN</v>
      </c>
      <c r="M78" s="6">
        <f t="shared" si="27"/>
        <v>2.6527777779847383E-2</v>
      </c>
      <c r="N78" s="7">
        <f t="shared" si="28"/>
        <v>38.200000002980232</v>
      </c>
      <c r="O78" s="7"/>
      <c r="P78" s="7"/>
      <c r="Q78" s="22"/>
      <c r="R78" s="22" t="s">
        <v>1010</v>
      </c>
      <c r="S78" s="31">
        <f t="shared" si="29"/>
        <v>1</v>
      </c>
      <c r="T78" s="46" t="str">
        <f t="shared" si="30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1"/>
        <v>https://d0f6bd738d7f1b3e5a7ca70fe4ff75f0.us-east-1.aws.found.io/app/kibana#/discover/Steve-Slow-Train-Analysis-(2080s-and-2083s)?_g=(refreshInterval:(display:Off,pause:!f,section:0,value:0),time:(from:'2017-04-22T11:34:30-0600',mode:absolute,to:'2017-04-22T14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83" t="str">
        <f t="shared" si="32"/>
        <v>N</v>
      </c>
      <c r="X78" s="183">
        <f t="shared" ref="X78:X109" si="44">VALUE(LEFT(AD78,4))-VALUE(LEFT(AD77,4))</f>
        <v>1</v>
      </c>
      <c r="Y78" s="62">
        <f t="shared" si="33"/>
        <v>23.3</v>
      </c>
      <c r="Z78" s="62">
        <f t="shared" si="34"/>
        <v>1.4500000000000001E-2</v>
      </c>
      <c r="AA78" s="62">
        <f t="shared" si="35"/>
        <v>23.285499999999999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0166-22</v>
      </c>
      <c r="AE78" s="85" t="str">
        <f t="shared" si="37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78" s="82" t="str">
        <f t="shared" si="38"/>
        <v>"C:\Program Files (x86)\AstroGrep\AstroGrep.exe" /e /r /s /spath="%USERPROFILE%\AppData\Local\Temp\OnboardLogs" /stypes="app*4031*20170422*" /stext=" 19:.+((SYSTEM_STATE.+slice.+state.+changed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si="40"/>
        <v>"%USERPROFILE%\Documents\GitHub\eaglep3\Utilities\RefineRTDCRunTimes.py" --tripid 166-22 --locoid 4031 --swversion DE.1.0.9.0 --startMP 204:233000 --initTime 2017-04-22T12:34:30 --startdatetime 2017-04-22T12:41:21 --delay 1 --endMP 204:145 --enddatetime 2017-04-22T13:19:33 --enforcementcount 0 &gt;&gt;C:\Users\stu\Documents\GitHub\eaglep3-reporting\EC\2017-04-22-refined-times.txt</v>
      </c>
      <c r="AI78" s="104" t="str">
        <f t="shared" si="41"/>
        <v>echo {"issue":{"subject":"Wi-MAX data drop caused momentary red fence due to signal status unknown","project_id":79,"tracker_id":40,"status_id":1,"priority_id":2,"assigned_to_id":23,"start_date":"2017-04-22","description":"http://stevetu21.github.io/eaglep3/load_kml.html?kml=http://rtdc.gmaps-snips.s3.amazonaws.com/95a28fbd-6cd9-494f-a3d3-cd370a6da220.kml","custom_fields":[{"id":1,"name":"Subdivision","value":"EC"},{"id":4,"name":"Milepost","value":"0.0145"},{"id":17,"name":"Train ID","value":"166-22"},{"id":16,"name":"Locomotive ID","value":"4031"},{"id":130,"name":"Impact","value":"Others"},{"id":150,"name":"Time of Event (Mountain Time)","value":"13:19:33"},{"id":151,"name":"Denver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78" t="s">
        <v>1008</v>
      </c>
      <c r="AK78" s="48" t="s">
        <v>136</v>
      </c>
      <c r="AL78" s="48" t="s">
        <v>137</v>
      </c>
      <c r="AM78" s="150" t="str">
        <f t="shared" si="42"/>
        <v>start /low /b %USERPROFILE%\Documents\GitHub\eaglep3\Utilities\DownloadLogsFromS3.py --loco 4031 --day 2017-04-22</v>
      </c>
      <c r="AN78" s="159" t="str">
        <f t="shared" si="43"/>
        <v>echo {"issue":{"subject":"Wi-MAX data drop caused momentary red fence due to signal status unknown","project_id":30,"tracker_id":4,"status_id":1,"priority_id":1,"assigned_to_id":10,"start_date":"2017-04-22","description":"http://stevetu21.github.io/eaglep3/load_kml.html?kml=http://rtdc.gmaps-snips.s3.amazonaws.com/95a28fbd-6cd9-494f-a3d3-cd370a6da220.kml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713</v>
      </c>
      <c r="B79" s="7">
        <v>4056</v>
      </c>
      <c r="C79" s="21" t="s">
        <v>213</v>
      </c>
      <c r="D79" s="21" t="s">
        <v>209</v>
      </c>
      <c r="E79" s="13">
        <v>42847.496469907404</v>
      </c>
      <c r="F79" s="13">
        <v>42847.500173611108</v>
      </c>
      <c r="G79" s="7">
        <v>2</v>
      </c>
      <c r="H79" s="21" t="s">
        <v>873</v>
      </c>
      <c r="I79" s="13">
        <v>42847.525914351849</v>
      </c>
      <c r="J79" s="7">
        <v>0</v>
      </c>
      <c r="K79" s="97" t="str">
        <f t="shared" si="26"/>
        <v>4055/4056</v>
      </c>
      <c r="L79" s="21" t="str">
        <f>VLOOKUP(A79,'Trips&amp;Operators'!$C$1:$G$99999,5,FALSE)</f>
        <v>LEVIN SCOTT</v>
      </c>
      <c r="M79" s="6">
        <f t="shared" si="27"/>
        <v>2.5740740740729962E-2</v>
      </c>
      <c r="N79" s="7">
        <f t="shared" si="28"/>
        <v>37.066666666651145</v>
      </c>
      <c r="O79" s="7"/>
      <c r="P79" s="7"/>
      <c r="Q79" s="22"/>
      <c r="R79" s="22"/>
      <c r="S79" s="31">
        <f t="shared" si="29"/>
        <v>1</v>
      </c>
      <c r="T79" s="46" t="str">
        <f t="shared" si="30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1"/>
        <v>https://d0f6bd738d7f1b3e5a7ca70fe4ff75f0.us-east-1.aws.found.io/app/kibana#/discover/Steve-Slow-Train-Analysis-(2080s-and-2083s)?_g=(refreshInterval:(display:Off,pause:!f,section:0,value:0),time:(from:'2017-04-22T10:54:55-0600',mode:absolute,to:'2017-04-22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183" t="str">
        <f t="shared" si="32"/>
        <v>N</v>
      </c>
      <c r="X79" s="183">
        <f t="shared" si="44"/>
        <v>1</v>
      </c>
      <c r="Y79" s="62">
        <f t="shared" si="33"/>
        <v>4.5499999999999999E-2</v>
      </c>
      <c r="Z79" s="62">
        <f t="shared" si="34"/>
        <v>23.3368</v>
      </c>
      <c r="AA79" s="62">
        <f t="shared" si="35"/>
        <v>23.2913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0167-22</v>
      </c>
      <c r="AE79" s="85" t="str">
        <f t="shared" si="37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79" s="82" t="str">
        <f t="shared" si="38"/>
        <v>"C:\Program Files (x86)\AstroGrep\AstroGrep.exe" /e /r /s /spath="%USERPROFILE%\AppData\Local\Temp\OnboardLogs" /stypes="app*4056*20170422*" /stext=" 18:.+((SYSTEM_STATE.+slice.+state.+changed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167-22 --locoid 4056 --swversion DE.1.0.9.0 --startMP 204:455 --initTime 2017-04-22T11:54:55 --startdatetime 2017-04-22T12:00:15 --delay 2 --endMP 204:233368 --enddatetime 2017-04-22T12:37:19 --enforcementcount 0 &gt;&gt;C:\Users\stu\Documents\GitHub\eaglep3-reporting\EC\2017-04-22-refined-times.txt</v>
      </c>
      <c r="AI7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{"issue":{"subject":"","project_id":79,"tracker_id":40,"status_id":1,"priority_id":2,"assigned_to_id":23,"start_date":"2017-04-22","description":"","custom_fields":[{"id":1,"name":"Subdivision","value":"EC"},{"id":4,"name":"Milepost","value":"23.3368"},{"id":17,"name":"Train ID","value":"167-22"},{"id":16,"name":"Locomotive ID","value":"4056"},{"id":130,"name":"Impact","value":""},{"id":150,"name":"Time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2"/>
        <v>start /low /b %USERPROFILE%\Documents\GitHub\eaglep3\Utilities\DownloadLogsFromS3.py --loco 4056 --day 2017-04-22</v>
      </c>
      <c r="AN79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597</v>
      </c>
      <c r="B80" s="7">
        <v>4055</v>
      </c>
      <c r="C80" s="21" t="s">
        <v>213</v>
      </c>
      <c r="D80" s="21" t="s">
        <v>874</v>
      </c>
      <c r="E80" s="13">
        <v>42847.536585648151</v>
      </c>
      <c r="F80" s="13">
        <v>42847.539143518516</v>
      </c>
      <c r="G80" s="7">
        <v>1</v>
      </c>
      <c r="H80" s="21" t="s">
        <v>851</v>
      </c>
      <c r="I80" s="13">
        <v>42847.566944444443</v>
      </c>
      <c r="J80" s="7">
        <v>0</v>
      </c>
      <c r="K80" s="97" t="str">
        <f t="shared" si="26"/>
        <v>4055/4056</v>
      </c>
      <c r="L80" s="21" t="str">
        <f>VLOOKUP(A80,'Trips&amp;Operators'!$C$1:$G$99999,5,FALSE)</f>
        <v>LEVIN SCOTT</v>
      </c>
      <c r="M80" s="6">
        <f t="shared" si="27"/>
        <v>2.7800925927294884E-2</v>
      </c>
      <c r="N80" s="7">
        <f t="shared" si="28"/>
        <v>40.033333335304633</v>
      </c>
      <c r="O80" s="7"/>
      <c r="P80" s="7"/>
      <c r="Q80" s="22"/>
      <c r="R80" s="22"/>
      <c r="S80" s="31">
        <f t="shared" si="29"/>
        <v>1</v>
      </c>
      <c r="T80" s="46" t="str">
        <f t="shared" si="30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1"/>
        <v>https://d0f6bd738d7f1b3e5a7ca70fe4ff75f0.us-east-1.aws.found.io/app/kibana#/discover/Steve-Slow-Train-Analysis-(2080s-and-2083s)?_g=(refreshInterval:(display:Off,pause:!f,section:0,value:0),time:(from:'2017-04-22T11:52:41-0600',mode:absolute,to:'2017-04-22T14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183" t="str">
        <f t="shared" si="32"/>
        <v>N</v>
      </c>
      <c r="X80" s="183">
        <f t="shared" si="44"/>
        <v>1</v>
      </c>
      <c r="Y80" s="62">
        <f t="shared" si="33"/>
        <v>23.304200000000002</v>
      </c>
      <c r="Z80" s="62">
        <f t="shared" si="34"/>
        <v>1.2500000000000001E-2</v>
      </c>
      <c r="AA80" s="62">
        <f t="shared" si="35"/>
        <v>23.291700000000002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0168-22</v>
      </c>
      <c r="AE80" s="85" t="str">
        <f t="shared" si="37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80" s="82" t="str">
        <f t="shared" si="38"/>
        <v>"C:\Program Files (x86)\AstroGrep\AstroGrep.exe" /e /r /s /spath="%USERPROFILE%\AppData\Local\Temp\OnboardLogs" /stypes="app*4055*20170422*" /stext=" 19:.+((SYSTEM_STATE.+slice.+state.+changed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168-22 --locoid 4055 --swversion DE.1.0.9.0 --startMP 204:233042 --initTime 2017-04-22T12:52:41 --startdatetime 2017-04-22T12:56:22 --delay 1 --endMP 204:125 --enddatetime 2017-04-22T13:36:24 --enforcementcount 0 &gt;&gt;C:\Users\stu\Documents\GitHub\eaglep3-reporting\EC\2017-04-22-refined-times.txt</v>
      </c>
      <c r="AI8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{"issue":{"subject":"","project_id":79,"tracker_id":40,"status_id":1,"priority_id":2,"assigned_to_id":23,"start_date":"2017-04-22","description":"","custom_fields":[{"id":1,"name":"Subdivision","value":"EC"},{"id":4,"name":"Milepost","value":"0.0125"},{"id":17,"name":"Train ID","value":"168-22"},{"id":16,"name":"Locomotive ID","value":"4055"},{"id":130,"name":"Impact","value":""},{"id":150,"name":"Time of Event (Mountain Time)","value":"13:36:24"},{"id":151,"name":"Denver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2"/>
        <v>start /low /b %USERPROFILE%\Documents\GitHub\eaglep3\Utilities\DownloadLogsFromS3.py --loco 4055 --day 2017-04-22</v>
      </c>
      <c r="AN80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716</v>
      </c>
      <c r="B81" s="7">
        <v>4022</v>
      </c>
      <c r="C81" s="21" t="s">
        <v>213</v>
      </c>
      <c r="D81" s="21" t="s">
        <v>429</v>
      </c>
      <c r="E81" s="13">
        <v>42847.507280092592</v>
      </c>
      <c r="F81" s="13">
        <v>42847.51059027778</v>
      </c>
      <c r="G81" s="7">
        <v>1</v>
      </c>
      <c r="H81" s="21" t="s">
        <v>576</v>
      </c>
      <c r="I81" s="13">
        <v>42847.535127314812</v>
      </c>
      <c r="J81" s="7">
        <v>0</v>
      </c>
      <c r="K81" s="97" t="str">
        <f t="shared" si="26"/>
        <v>4021/4022</v>
      </c>
      <c r="L81" s="21" t="str">
        <f>VLOOKUP(A81,'Trips&amp;Operators'!$C$1:$G$99999,5,FALSE)</f>
        <v>ROMERO CHAD</v>
      </c>
      <c r="M81" s="6">
        <f t="shared" si="27"/>
        <v>2.4537037032132503E-2</v>
      </c>
      <c r="N81" s="7">
        <f t="shared" si="28"/>
        <v>35.333333326270804</v>
      </c>
      <c r="O81" s="7"/>
      <c r="P81" s="7"/>
      <c r="Q81" s="22"/>
      <c r="R81" s="22"/>
      <c r="S81" s="31">
        <f t="shared" si="29"/>
        <v>1</v>
      </c>
      <c r="T81" s="46" t="str">
        <f t="shared" si="30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1"/>
        <v>https://d0f6bd738d7f1b3e5a7ca70fe4ff75f0.us-east-1.aws.found.io/app/kibana#/discover/Steve-Slow-Train-Analysis-(2080s-and-2083s)?_g=(refreshInterval:(display:Off,pause:!f,section:0,value:0),time:(from:'2017-04-22T11:10:29-0600',mode:absolute,to:'2017-04-22T13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83" t="str">
        <f t="shared" si="32"/>
        <v>N</v>
      </c>
      <c r="X81" s="183">
        <f t="shared" si="44"/>
        <v>1</v>
      </c>
      <c r="Y81" s="62">
        <f t="shared" si="33"/>
        <v>4.4200000000000003E-2</v>
      </c>
      <c r="Z81" s="62">
        <f t="shared" si="34"/>
        <v>23.337399999999999</v>
      </c>
      <c r="AA81" s="62">
        <f t="shared" si="35"/>
        <v>23.293199999999999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0169-22</v>
      </c>
      <c r="AE81" s="85" t="str">
        <f t="shared" si="37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81" s="82" t="str">
        <f t="shared" si="38"/>
        <v>"C:\Program Files (x86)\AstroGrep\AstroGrep.exe" /e /r /s /spath="%USERPROFILE%\AppData\Local\Temp\OnboardLogs" /stypes="app*4022*20170422*" /stext=" 18:.+((SYSTEM_STATE.+slice.+state.+changed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169-22 --locoid 4022 --swversion DE.1.0.9.0 --startMP 204:442 --initTime 2017-04-22T12:10:29 --startdatetime 2017-04-22T12:15:15 --delay 1 --endMP 204:233374 --enddatetime 2017-04-22T12:50:35 --enforcementcount 0 &gt;&gt;C:\Users\stu\Documents\GitHub\eaglep3-reporting\EC\2017-04-22-refined-times.txt</v>
      </c>
      <c r="AI81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{"issue":{"subject":"","project_id":79,"tracker_id":40,"status_id":1,"priority_id":2,"assigned_to_id":23,"start_date":"2017-04-22","description":"","custom_fields":[{"id":1,"name":"Subdivision","value":"EC"},{"id":4,"name":"Milepost","value":"23.3374"},{"id":17,"name":"Train ID","value":"169-22"},{"id":16,"name":"Locomotive ID","value":"4022"},{"id":130,"name":"Impact","value":""},{"id":150,"name":"Time of Event (Mountain Time)","value":"12:50:35"},{"id":151,"name":"Denver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2"/>
        <v>start /low /b %USERPROFILE%\Documents\GitHub\eaglep3\Utilities\DownloadLogsFromS3.py --loco 4022 --day 2017-04-22</v>
      </c>
      <c r="AN81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 s="33" t="s">
        <v>725</v>
      </c>
      <c r="B82" s="7">
        <v>4021</v>
      </c>
      <c r="C82" s="21" t="s">
        <v>213</v>
      </c>
      <c r="D82" s="21" t="s">
        <v>875</v>
      </c>
      <c r="E82" s="13">
        <v>42847.537164351852</v>
      </c>
      <c r="F82" s="13">
        <v>42847.549710648149</v>
      </c>
      <c r="G82" s="7">
        <v>1</v>
      </c>
      <c r="H82" s="21" t="s">
        <v>442</v>
      </c>
      <c r="I82" s="13">
        <v>42847.575196759259</v>
      </c>
      <c r="J82" s="7">
        <v>0</v>
      </c>
      <c r="K82" s="97" t="str">
        <f t="shared" si="26"/>
        <v>4021/4022</v>
      </c>
      <c r="L82" s="21" t="str">
        <f>VLOOKUP(A82,'Trips&amp;Operators'!$C$1:$G$99999,5,FALSE)</f>
        <v>ROMERO CHAD</v>
      </c>
      <c r="M82" s="6">
        <f t="shared" si="27"/>
        <v>2.548611110978527E-2</v>
      </c>
      <c r="N82" s="7">
        <f t="shared" si="28"/>
        <v>36.699999998090789</v>
      </c>
      <c r="O82" s="7"/>
      <c r="P82" s="7"/>
      <c r="Q82" s="22"/>
      <c r="R82" s="22"/>
      <c r="S82" s="31">
        <f t="shared" si="29"/>
        <v>1</v>
      </c>
      <c r="T82" s="46" t="str">
        <f t="shared" si="30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1"/>
        <v>https://d0f6bd738d7f1b3e5a7ca70fe4ff75f0.us-east-1.aws.found.io/app/kibana#/discover/Steve-Slow-Train-Analysis-(2080s-and-2083s)?_g=(refreshInterval:(display:Off,pause:!f,section:0,value:0),time:(from:'2017-04-22T11:53:31-0600',mode:absolute,to:'2017-04-22T14:48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83" t="str">
        <f t="shared" si="32"/>
        <v>N</v>
      </c>
      <c r="X82" s="183">
        <f t="shared" si="44"/>
        <v>1</v>
      </c>
      <c r="Y82" s="62">
        <f t="shared" si="33"/>
        <v>23.307600000000001</v>
      </c>
      <c r="Z82" s="62">
        <f t="shared" si="34"/>
        <v>1.3599999999999999E-2</v>
      </c>
      <c r="AA82" s="62">
        <f t="shared" si="35"/>
        <v>23.294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0170-22</v>
      </c>
      <c r="AE82" s="85" t="str">
        <f t="shared" si="37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82" s="82" t="str">
        <f t="shared" si="38"/>
        <v>"C:\Program Files (x86)\AstroGrep\AstroGrep.exe" /e /r /s /spath="%USERPROFILE%\AppData\Local\Temp\OnboardLogs" /stypes="app*4021*20170422*" /stext=" 19:.+((SYSTEM_STATE.+slice.+state.+changed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170-22 --locoid 4021 --swversion DE.1.0.9.0 --startMP 204:233076 --initTime 2017-04-22T12:53:31 --startdatetime 2017-04-22T13:11:35 --delay 1 --endMP 204:136 --enddatetime 2017-04-22T13:48:17 --enforcementcount 0 &gt;&gt;C:\Users\stu\Documents\GitHub\eaglep3-reporting\EC\2017-04-22-refined-times.txt</v>
      </c>
      <c r="AI82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{"issue":{"subject":"","project_id":79,"tracker_id":40,"status_id":1,"priority_id":2,"assigned_to_id":23,"start_date":"2017-04-22","description":"","custom_fields":[{"id":1,"name":"Subdivision","value":"EC"},{"id":4,"name":"Milepost","value":"0.0136"},{"id":17,"name":"Train ID","value":"170-22"},{"id":16,"name":"Locomotive ID","value":"4021"},{"id":130,"name":"Impact","value":""},{"id":150,"name":"Time of Event (Mountain Time)","value":"13:48:17"},{"id":151,"name":"Denver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50" t="str">
        <f t="shared" si="42"/>
        <v>start /low /b %USERPROFILE%\Documents\GitHub\eaglep3\Utilities\DownloadLogsFromS3.py --loco 4021 --day 2017-04-22</v>
      </c>
      <c r="AN82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3" spans="1:91" s="1" customFormat="1" x14ac:dyDescent="0.25">
      <c r="A83" s="33" t="s">
        <v>719</v>
      </c>
      <c r="B83" s="7">
        <v>4026</v>
      </c>
      <c r="C83" s="21" t="s">
        <v>213</v>
      </c>
      <c r="D83" s="21" t="s">
        <v>438</v>
      </c>
      <c r="E83" s="13">
        <v>42847.518958333334</v>
      </c>
      <c r="F83" s="13">
        <v>42847.520995370367</v>
      </c>
      <c r="G83" s="7">
        <v>1</v>
      </c>
      <c r="H83" s="21" t="s">
        <v>876</v>
      </c>
      <c r="I83" s="13">
        <v>42847.545289351852</v>
      </c>
      <c r="J83" s="7">
        <v>0</v>
      </c>
      <c r="K83" s="97" t="str">
        <f t="shared" si="26"/>
        <v>4025/4026</v>
      </c>
      <c r="L83" s="21" t="str">
        <f>VLOOKUP(A83,'Trips&amp;Operators'!$C$1:$G$99999,5,FALSE)</f>
        <v>LALONDE GREGORY</v>
      </c>
      <c r="M83" s="6">
        <f t="shared" si="27"/>
        <v>2.4293981485243421E-2</v>
      </c>
      <c r="N83" s="7">
        <f t="shared" si="28"/>
        <v>34.983333338750526</v>
      </c>
      <c r="O83" s="7"/>
      <c r="P83" s="7"/>
      <c r="Q83" s="22"/>
      <c r="R83" s="22"/>
      <c r="S83" s="31">
        <f t="shared" si="29"/>
        <v>1</v>
      </c>
      <c r="T83" s="46" t="str">
        <f t="shared" si="30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1"/>
        <v>https://d0f6bd738d7f1b3e5a7ca70fe4ff75f0.us-east-1.aws.found.io/app/kibana#/discover/Steve-Slow-Train-Analysis-(2080s-and-2083s)?_g=(refreshInterval:(display:Off,pause:!f,section:0,value:0),time:(from:'2017-04-22T11:27:18-0600',mode:absolute,to:'2017-04-22T14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83" t="str">
        <f t="shared" si="32"/>
        <v>N</v>
      </c>
      <c r="X83" s="183">
        <f t="shared" si="44"/>
        <v>1</v>
      </c>
      <c r="Y83" s="62">
        <f t="shared" si="33"/>
        <v>4.6600000000000003E-2</v>
      </c>
      <c r="Z83" s="62">
        <f t="shared" si="34"/>
        <v>23.336200000000002</v>
      </c>
      <c r="AA83" s="62">
        <f t="shared" si="35"/>
        <v>23.2896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0171-22</v>
      </c>
      <c r="AE83" s="85" t="str">
        <f t="shared" si="37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83" s="82" t="str">
        <f t="shared" si="38"/>
        <v>"C:\Program Files (x86)\AstroGrep\AstroGrep.exe" /e /r /s /spath="%USERPROFILE%\AppData\Local\Temp\OnboardLogs" /stypes="app*4026*20170422*" /stext=" 19:.+((SYSTEM_STATE.+slice.+state.+changed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171-22 --locoid 4026 --swversion DE.1.0.9.0 --startMP 204:466 --initTime 2017-04-22T12:27:18 --startdatetime 2017-04-22T12:30:14 --delay 1 --endMP 204:233362 --enddatetime 2017-04-22T13:05:13 --enforcementcount 0 &gt;&gt;C:\Users\stu\Documents\GitHub\eaglep3-reporting\EC\2017-04-22-refined-times.txt</v>
      </c>
      <c r="AI83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{"issue":{"subject":"","project_id":79,"tracker_id":40,"status_id":1,"priority_id":2,"assigned_to_id":23,"start_date":"2017-04-22","description":"","custom_fields":[{"id":1,"name":"Subdivision","value":"EC"},{"id":4,"name":"Milepost","value":"23.3362"},{"id":17,"name":"Train ID","value":"171-22"},{"id":16,"name":"Locomotive ID","value":"4026"},{"id":130,"name":"Impact","value":""},{"id":150,"name":"Time of Event (Mountain Time)","value":"13:05:13"},{"id":151,"name":"Denver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2"/>
        <v>start /low /b %USERPROFILE%\Documents\GitHub\eaglep3\Utilities\DownloadLogsFromS3.py --loco 4026 --day 2017-04-22</v>
      </c>
      <c r="AN83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727</v>
      </c>
      <c r="B84" s="7">
        <v>4025</v>
      </c>
      <c r="C84" s="21" t="s">
        <v>213</v>
      </c>
      <c r="D84" s="21" t="s">
        <v>574</v>
      </c>
      <c r="E84" s="13">
        <v>42847.546793981484</v>
      </c>
      <c r="F84" s="13">
        <v>42847.559884259259</v>
      </c>
      <c r="G84" s="7">
        <v>1</v>
      </c>
      <c r="H84" s="21" t="s">
        <v>426</v>
      </c>
      <c r="I84" s="13">
        <v>42847.5859375</v>
      </c>
      <c r="J84" s="7">
        <v>0</v>
      </c>
      <c r="K84" s="97" t="str">
        <f t="shared" si="26"/>
        <v>4025/4026</v>
      </c>
      <c r="L84" s="21" t="str">
        <f>VLOOKUP(A84,'Trips&amp;Operators'!$C$1:$G$99999,5,FALSE)</f>
        <v>LALONDE GREGORY</v>
      </c>
      <c r="M84" s="6">
        <f t="shared" si="27"/>
        <v>2.6053240741021E-2</v>
      </c>
      <c r="N84" s="7">
        <f t="shared" si="28"/>
        <v>37.51666666707024</v>
      </c>
      <c r="O84" s="7"/>
      <c r="P84" s="7"/>
      <c r="Q84" s="22"/>
      <c r="R84" s="22"/>
      <c r="S84" s="31">
        <f t="shared" si="29"/>
        <v>1</v>
      </c>
      <c r="T84" s="46" t="str">
        <f t="shared" si="30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1"/>
        <v>https://d0f6bd738d7f1b3e5a7ca70fe4ff75f0.us-east-1.aws.found.io/app/kibana#/discover/Steve-Slow-Train-Analysis-(2080s-and-2083s)?_g=(refreshInterval:(display:Off,pause:!f,section:0,value:0),time:(from:'2017-04-22T12:07:23-0600',mode:absolute,to:'2017-04-22T15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183" t="str">
        <f t="shared" si="32"/>
        <v>N</v>
      </c>
      <c r="X84" s="183">
        <f t="shared" si="44"/>
        <v>1</v>
      </c>
      <c r="Y84" s="62">
        <f t="shared" si="33"/>
        <v>23.305099999999999</v>
      </c>
      <c r="Z84" s="62">
        <f t="shared" si="34"/>
        <v>1.49E-2</v>
      </c>
      <c r="AA84" s="62">
        <f t="shared" si="35"/>
        <v>23.290199999999999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0172-22</v>
      </c>
      <c r="AE84" s="85" t="str">
        <f t="shared" si="37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84" s="82" t="str">
        <f t="shared" si="38"/>
        <v>"C:\Program Files (x86)\AstroGrep\AstroGrep.exe" /e /r /s /spath="%USERPROFILE%\AppData\Local\Temp\OnboardLogs" /stypes="app*4025*20170422*" /stext=" 20:.+((SYSTEM_STATE.+slice.+state.+changed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172-22 --locoid 4025 --swversion DE.1.0.9.0 --startMP 204:233051 --initTime 2017-04-22T13:07:23 --startdatetime 2017-04-22T13:26:14 --delay 1 --endMP 204:149 --enddatetime 2017-04-22T14:03:45 --enforcementcount 0 &gt;&gt;C:\Users\stu\Documents\GitHub\eaglep3-reporting\EC\2017-04-22-refined-times.txt</v>
      </c>
      <c r="AI84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{"issue":{"subject":"","project_id":79,"tracker_id":40,"status_id":1,"priority_id":2,"assigned_to_id":23,"start_date":"2017-04-22","description":"","custom_fields":[{"id":1,"name":"Subdivision","value":"EC"},{"id":4,"name":"Milepost","value":"0.0149"},{"id":17,"name":"Train ID","value":"172-22"},{"id":16,"name":"Locomotive ID","value":"4025"},{"id":130,"name":"Impact","value":""},{"id":150,"name":"Time of Event (Mountain Time)","value":"14:03:45"},{"id":151,"name":"Denver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2"/>
        <v>start /low /b %USERPROFILE%\Documents\GitHub\eaglep3\Utilities\DownloadLogsFromS3.py --loco 4025 --day 2017-04-22</v>
      </c>
      <c r="AN84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724</v>
      </c>
      <c r="B85" s="7">
        <v>4042</v>
      </c>
      <c r="C85" s="21" t="s">
        <v>213</v>
      </c>
      <c r="D85" s="21" t="s">
        <v>204</v>
      </c>
      <c r="E85" s="13">
        <v>42847.530335648145</v>
      </c>
      <c r="F85" s="13">
        <v>42847.531817129631</v>
      </c>
      <c r="G85" s="7">
        <v>1</v>
      </c>
      <c r="H85" s="21" t="s">
        <v>514</v>
      </c>
      <c r="I85" s="13">
        <v>42847.556516203702</v>
      </c>
      <c r="J85" s="7">
        <v>0</v>
      </c>
      <c r="K85" s="97" t="str">
        <f t="shared" si="26"/>
        <v>4041/4042</v>
      </c>
      <c r="L85" s="21" t="str">
        <f>VLOOKUP(A85,'Trips&amp;Operators'!$C$1:$G$99999,5,FALSE)</f>
        <v>STEWART MICHAEL</v>
      </c>
      <c r="M85" s="6">
        <f t="shared" si="27"/>
        <v>2.4699074070667848E-2</v>
      </c>
      <c r="N85" s="7">
        <f t="shared" si="28"/>
        <v>35.566666661761701</v>
      </c>
      <c r="O85" s="7"/>
      <c r="P85" s="7"/>
      <c r="Q85" s="22"/>
      <c r="R85" s="22"/>
      <c r="S85" s="31">
        <f t="shared" si="29"/>
        <v>1</v>
      </c>
      <c r="T85" s="46" t="str">
        <f t="shared" si="30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1"/>
        <v>https://d0f6bd738d7f1b3e5a7ca70fe4ff75f0.us-east-1.aws.found.io/app/kibana#/discover/Steve-Slow-Train-Analysis-(2080s-and-2083s)?_g=(refreshInterval:(display:Off,pause:!f,section:0,value:0),time:(from:'2017-04-22T11:43:41-0600',mode:absolute,to:'2017-04-22T14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183" t="str">
        <f t="shared" si="32"/>
        <v>N</v>
      </c>
      <c r="X85" s="183">
        <f t="shared" si="44"/>
        <v>1</v>
      </c>
      <c r="Y85" s="62">
        <f t="shared" si="33"/>
        <v>4.5699999999999998E-2</v>
      </c>
      <c r="Z85" s="62">
        <f t="shared" si="34"/>
        <v>23.329699999999999</v>
      </c>
      <c r="AA85" s="62">
        <f t="shared" si="35"/>
        <v>23.283999999999999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0173-22</v>
      </c>
      <c r="AE85" s="85" t="str">
        <f t="shared" si="37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85" s="82" t="str">
        <f t="shared" si="38"/>
        <v>"C:\Program Files (x86)\AstroGrep\AstroGrep.exe" /e /r /s /spath="%USERPROFILE%\AppData\Local\Temp\OnboardLogs" /stypes="app*4042*20170422*" /stext=" 19:.+((SYSTEM_STATE.+slice.+state.+changed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173-22 --locoid 4042 --swversion DE.1.0.9.0 --startMP 204:457 --initTime 2017-04-22T12:43:41 --startdatetime 2017-04-22T12:45:49 --delay 1 --endMP 204:233297 --enddatetime 2017-04-22T13:21:23 --enforcementcount 0 &gt;&gt;C:\Users\stu\Documents\GitHub\eaglep3-reporting\EC\2017-04-22-refined-times.txt</v>
      </c>
      <c r="AI85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{"issue":{"subject":"","project_id":79,"tracker_id":40,"status_id":1,"priority_id":2,"assigned_to_id":23,"start_date":"2017-04-22","description":"","custom_fields":[{"id":1,"name":"Subdivision","value":"EC"},{"id":4,"name":"Milepost","value":"23.3297"},{"id":17,"name":"Train ID","value":"173-22"},{"id":16,"name":"Locomotive ID","value":"4042"},{"id":130,"name":"Impact","value":""},{"id":150,"name":"Time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2"/>
        <v>start /low /b %USERPROFILE%\Documents\GitHub\eaglep3\Utilities\DownloadLogsFromS3.py --loco 4042 --day 2017-04-22</v>
      </c>
      <c r="AN85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599</v>
      </c>
      <c r="B86" s="7">
        <v>4041</v>
      </c>
      <c r="C86" s="21" t="s">
        <v>213</v>
      </c>
      <c r="D86" s="21" t="s">
        <v>877</v>
      </c>
      <c r="E86" s="13">
        <v>42847.566631944443</v>
      </c>
      <c r="F86" s="13">
        <v>42847.570405092592</v>
      </c>
      <c r="G86" s="7">
        <v>1</v>
      </c>
      <c r="H86" s="21" t="s">
        <v>432</v>
      </c>
      <c r="I86" s="13">
        <v>42847.597500000003</v>
      </c>
      <c r="J86" s="7">
        <v>0</v>
      </c>
      <c r="K86" s="97" t="str">
        <f t="shared" si="26"/>
        <v>4041/4042</v>
      </c>
      <c r="L86" s="21" t="str">
        <f>VLOOKUP(A86,'Trips&amp;Operators'!$C$1:$G$99999,5,FALSE)</f>
        <v>STEWART MICHAEL</v>
      </c>
      <c r="M86" s="6">
        <f t="shared" si="27"/>
        <v>2.7094907411083113E-2</v>
      </c>
      <c r="N86" s="7">
        <f t="shared" si="28"/>
        <v>39.016666671959683</v>
      </c>
      <c r="O86" s="7"/>
      <c r="P86" s="7"/>
      <c r="Q86" s="22"/>
      <c r="R86" s="22"/>
      <c r="S86" s="31">
        <f t="shared" si="29"/>
        <v>1</v>
      </c>
      <c r="T86" s="46" t="str">
        <f t="shared" si="30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1"/>
        <v>https://d0f6bd738d7f1b3e5a7ca70fe4ff75f0.us-east-1.aws.found.io/app/kibana#/discover/Steve-Slow-Train-Analysis-(2080s-and-2083s)?_g=(refreshInterval:(display:Off,pause:!f,section:0,value:0),time:(from:'2017-04-22T12:35:57-0600',mode:absolute,to:'2017-04-22T15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183" t="str">
        <f t="shared" si="32"/>
        <v>N</v>
      </c>
      <c r="X86" s="183">
        <f t="shared" si="44"/>
        <v>1</v>
      </c>
      <c r="Y86" s="62">
        <f t="shared" si="33"/>
        <v>23.2974</v>
      </c>
      <c r="Z86" s="62">
        <f t="shared" si="34"/>
        <v>1.6299999999999999E-2</v>
      </c>
      <c r="AA86" s="62">
        <f t="shared" si="35"/>
        <v>23.281099999999999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0174-22</v>
      </c>
      <c r="AE86" s="85" t="str">
        <f t="shared" si="37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86" s="82" t="str">
        <f t="shared" si="38"/>
        <v>"C:\Program Files (x86)\AstroGrep\AstroGrep.exe" /e /r /s /spath="%USERPROFILE%\AppData\Local\Temp\OnboardLogs" /stypes="app*4041*20170422*" /stext=" 20:.+((SYSTEM_STATE.+slice.+state.+changed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174-22 --locoid 4041 --swversion DE.1.0.9.0 --startMP 204:232974 --initTime 2017-04-22T13:35:57 --startdatetime 2017-04-22T13:41:23 --delay 1 --endMP 204:163 --enddatetime 2017-04-22T14:20:24 --enforcementcount 0 &gt;&gt;C:\Users\stu\Documents\GitHub\eaglep3-reporting\EC\2017-04-22-refined-times.txt</v>
      </c>
      <c r="AI86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{"issue":{"subject":"","project_id":79,"tracker_id":40,"status_id":1,"priority_id":2,"assigned_to_id":23,"start_date":"2017-04-22","description":"","custom_fields":[{"id":1,"name":"Subdivision","value":"EC"},{"id":4,"name":"Milepost","value":"0.0163"},{"id":17,"name":"Train ID","value":"174-22"},{"id":16,"name":"Locomotive ID","value":"4041"},{"id":130,"name":"Impact","value":""},{"id":150,"name":"Time of Event (Mountain Time)","value":"14:20:24"},{"id":151,"name":"Denver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2"/>
        <v>start /low /b %USERPROFILE%\Documents\GitHub\eaglep3\Utilities\DownloadLogsFromS3.py --loco 4041 --day 2017-04-22</v>
      </c>
      <c r="AN86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726</v>
      </c>
      <c r="B87" s="7">
        <v>4018</v>
      </c>
      <c r="C87" s="21" t="s">
        <v>213</v>
      </c>
      <c r="D87" s="21" t="s">
        <v>477</v>
      </c>
      <c r="E87" s="13">
        <v>42847.537777777776</v>
      </c>
      <c r="F87" s="13">
        <v>42847.541817129626</v>
      </c>
      <c r="G87" s="7">
        <v>2</v>
      </c>
      <c r="H87" s="21" t="s">
        <v>878</v>
      </c>
      <c r="I87" s="13">
        <v>42847.566446759258</v>
      </c>
      <c r="J87" s="7">
        <v>0</v>
      </c>
      <c r="K87" s="97" t="str">
        <f t="shared" si="26"/>
        <v>4017/4018</v>
      </c>
      <c r="L87" s="21" t="str">
        <f>VLOOKUP(A87,'Trips&amp;Operators'!$C$1:$G$99999,5,FALSE)</f>
        <v>DELGADO DIANAH</v>
      </c>
      <c r="M87" s="6">
        <f t="shared" si="27"/>
        <v>2.4629629631817807E-2</v>
      </c>
      <c r="N87" s="7">
        <f t="shared" si="28"/>
        <v>35.466666669817641</v>
      </c>
      <c r="O87" s="7"/>
      <c r="P87" s="7"/>
      <c r="Q87" s="22"/>
      <c r="R87" s="22"/>
      <c r="S87" s="31">
        <f t="shared" si="29"/>
        <v>1</v>
      </c>
      <c r="T87" s="46" t="str">
        <f t="shared" si="30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1"/>
        <v>https://d0f6bd738d7f1b3e5a7ca70fe4ff75f0.us-east-1.aws.found.io/app/kibana#/discover/Steve-Slow-Train-Analysis-(2080s-and-2083s)?_g=(refreshInterval:(display:Off,pause:!f,section:0,value:0),time:(from:'2017-04-22T11:54:24-0600',mode:absolute,to:'2017-04-22T14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3" t="str">
        <f t="shared" si="32"/>
        <v>N</v>
      </c>
      <c r="X87" s="183">
        <f t="shared" si="44"/>
        <v>1</v>
      </c>
      <c r="Y87" s="62">
        <f t="shared" si="33"/>
        <v>4.5100000000000001E-2</v>
      </c>
      <c r="Z87" s="62">
        <f t="shared" si="34"/>
        <v>23.339700000000001</v>
      </c>
      <c r="AA87" s="62">
        <f t="shared" si="35"/>
        <v>23.294599999999999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0175-22</v>
      </c>
      <c r="AE87" s="85" t="str">
        <f t="shared" si="37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87" s="82" t="str">
        <f t="shared" si="38"/>
        <v>"C:\Program Files (x86)\AstroGrep\AstroGrep.exe" /e /r /s /spath="%USERPROFILE%\AppData\Local\Temp\OnboardLogs" /stypes="app*4018*20170422*" /stext=" 19:.+((SYSTEM_STATE.+slice.+state.+changed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175-22 --locoid 4018 --swversion DE.1.0.9.0 --startMP 204:451 --initTime 2017-04-22T12:54:24 --startdatetime 2017-04-22T13:00:13 --delay 2 --endMP 204:233397 --enddatetime 2017-04-22T13:35:41 --enforcementcount 0 &gt;&gt;C:\Users\stu\Documents\GitHub\eaglep3-reporting\EC\2017-04-22-refined-times.txt</v>
      </c>
      <c r="AI87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{"issue":{"subject":"","project_id":79,"tracker_id":40,"status_id":1,"priority_id":2,"assigned_to_id":23,"start_date":"2017-04-22","description":"","custom_fields":[{"id":1,"name":"Subdivision","value":"EC"},{"id":4,"name":"Milepost","value":"23.3397"},{"id":17,"name":"Train ID","value":"175-22"},{"id":16,"name":"Locomotive ID","value":"4018"},{"id":130,"name":"Impact","value":""},{"id":150,"name":"Time of Event (Mountain Time)","value":"13:35:41"},{"id":151,"name":"Denver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2"/>
        <v>start /low /b %USERPROFILE%\Documents\GitHub\eaglep3\Utilities\DownloadLogsFromS3.py --loco 4018 --day 2017-04-22</v>
      </c>
      <c r="AN87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735</v>
      </c>
      <c r="B88" s="7">
        <v>4017</v>
      </c>
      <c r="C88" s="21" t="s">
        <v>213</v>
      </c>
      <c r="D88" s="21" t="s">
        <v>879</v>
      </c>
      <c r="E88" s="13">
        <v>42847.57472222222</v>
      </c>
      <c r="F88" s="13">
        <v>42847.580821759257</v>
      </c>
      <c r="G88" s="7">
        <v>2</v>
      </c>
      <c r="H88" s="21" t="s">
        <v>479</v>
      </c>
      <c r="I88" s="13">
        <v>42847.606979166667</v>
      </c>
      <c r="J88" s="7">
        <v>0</v>
      </c>
      <c r="K88" s="97" t="str">
        <f t="shared" si="26"/>
        <v>4017/4018</v>
      </c>
      <c r="L88" s="21" t="str">
        <f>VLOOKUP(A88,'Trips&amp;Operators'!$C$1:$G$99999,5,FALSE)</f>
        <v>DELGADO DIANAH</v>
      </c>
      <c r="M88" s="6">
        <f t="shared" si="27"/>
        <v>2.6157407410209998E-2</v>
      </c>
      <c r="N88" s="7">
        <f t="shared" si="28"/>
        <v>37.666666670702398</v>
      </c>
      <c r="O88" s="7"/>
      <c r="P88" s="7"/>
      <c r="Q88" s="22"/>
      <c r="R88" s="22"/>
      <c r="S88" s="31">
        <f t="shared" si="29"/>
        <v>1</v>
      </c>
      <c r="T88" s="46" t="str">
        <f t="shared" si="30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1"/>
        <v>https://d0f6bd738d7f1b3e5a7ca70fe4ff75f0.us-east-1.aws.found.io/app/kibana#/discover/Steve-Slow-Train-Analysis-(2080s-and-2083s)?_g=(refreshInterval:(display:Off,pause:!f,section:0,value:0),time:(from:'2017-04-22T12:47:36-0600',mode:absolute,to:'2017-04-22T15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3" t="str">
        <f t="shared" si="32"/>
        <v>N</v>
      </c>
      <c r="X88" s="183">
        <f t="shared" si="44"/>
        <v>1</v>
      </c>
      <c r="Y88" s="62">
        <f t="shared" si="33"/>
        <v>23.309200000000001</v>
      </c>
      <c r="Z88" s="62">
        <f t="shared" si="34"/>
        <v>1.34E-2</v>
      </c>
      <c r="AA88" s="62">
        <f t="shared" si="35"/>
        <v>23.2958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0176-22</v>
      </c>
      <c r="AE88" s="85" t="str">
        <f t="shared" si="37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88" s="82" t="str">
        <f t="shared" si="38"/>
        <v>"C:\Program Files (x86)\AstroGrep\AstroGrep.exe" /e /r /s /spath="%USERPROFILE%\AppData\Local\Temp\OnboardLogs" /stypes="app*4017*20170422*" /stext=" 20:.+((SYSTEM_STATE.+slice.+state.+changed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176-22 --locoid 4017 --swversion DE.1.0.9.0 --startMP 204:233092 --initTime 2017-04-22T13:47:36 --startdatetime 2017-04-22T13:56:23 --delay 2 --endMP 204:134 --enddatetime 2017-04-22T14:34:03 --enforcementcount 0 &gt;&gt;C:\Users\stu\Documents\GitHub\eaglep3-reporting\EC\2017-04-22-refined-times.txt</v>
      </c>
      <c r="AI88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{"issue":{"subject":"","project_id":79,"tracker_id":40,"status_id":1,"priority_id":2,"assigned_to_id":23,"start_date":"2017-04-22","description":"","custom_fields":[{"id":1,"name":"Subdivision","value":"EC"},{"id":4,"name":"Milepost","value":"0.0134"},{"id":17,"name":"Train ID","value":"176-22"},{"id":16,"name":"Locomotive ID","value":"4017"},{"id":130,"name":"Impact","value":""},{"id":150,"name":"Time of Event (Mountain Time)","value":"14:34:03"},{"id":151,"name":"Denver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2"/>
        <v>start /low /b %USERPROFILE%\Documents\GitHub\eaglep3\Utilities\DownloadLogsFromS3.py --loco 4017 --day 2017-04-22</v>
      </c>
      <c r="AN88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728</v>
      </c>
      <c r="B89" s="7">
        <v>4064</v>
      </c>
      <c r="C89" s="21" t="s">
        <v>213</v>
      </c>
      <c r="D89" s="21" t="s">
        <v>205</v>
      </c>
      <c r="E89" s="13">
        <v>42847.548032407409</v>
      </c>
      <c r="F89" s="13">
        <v>42847.55228009259</v>
      </c>
      <c r="G89" s="7">
        <v>2</v>
      </c>
      <c r="H89" s="21" t="s">
        <v>553</v>
      </c>
      <c r="I89" s="13">
        <v>42847.577048611114</v>
      </c>
      <c r="J89" s="7">
        <v>0</v>
      </c>
      <c r="K89" s="97" t="str">
        <f t="shared" si="26"/>
        <v>4063/4064</v>
      </c>
      <c r="L89" s="21" t="str">
        <f>VLOOKUP(A89,'Trips&amp;Operators'!$C$1:$G$99999,5,FALSE)</f>
        <v>BRUDER RICHARD</v>
      </c>
      <c r="M89" s="6">
        <f t="shared" si="27"/>
        <v>2.4768518524069805E-2</v>
      </c>
      <c r="N89" s="7">
        <f t="shared" si="28"/>
        <v>35.666666674660519</v>
      </c>
      <c r="O89" s="7"/>
      <c r="P89" s="7"/>
      <c r="Q89" s="22"/>
      <c r="R89" s="22"/>
      <c r="S89" s="31">
        <f t="shared" si="29"/>
        <v>1</v>
      </c>
      <c r="T89" s="46" t="str">
        <f t="shared" si="30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1"/>
        <v>https://d0f6bd738d7f1b3e5a7ca70fe4ff75f0.us-east-1.aws.found.io/app/kibana#/discover/Steve-Slow-Train-Analysis-(2080s-and-2083s)?_g=(refreshInterval:(display:Off,pause:!f,section:0,value:0),time:(from:'2017-04-22T12:09:10-0600',mode:absolute,to:'2017-04-22T14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183" t="str">
        <f t="shared" si="32"/>
        <v>N</v>
      </c>
      <c r="X89" s="183">
        <f t="shared" si="44"/>
        <v>1</v>
      </c>
      <c r="Y89" s="62">
        <f t="shared" si="33"/>
        <v>4.5999999999999999E-2</v>
      </c>
      <c r="Z89" s="62">
        <f t="shared" si="34"/>
        <v>23.331399999999999</v>
      </c>
      <c r="AA89" s="62">
        <f t="shared" si="35"/>
        <v>23.285399999999999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0177-22</v>
      </c>
      <c r="AE89" s="85" t="str">
        <f t="shared" si="37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89" s="82" t="str">
        <f t="shared" si="38"/>
        <v>"C:\Program Files (x86)\AstroGrep\AstroGrep.exe" /e /r /s /spath="%USERPROFILE%\AppData\Local\Temp\OnboardLogs" /stypes="app*4064*20170422*" /stext=" 19:.+((SYSTEM_STATE.+slice.+state.+changed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177-22 --locoid 4064 --swversion DE.1.0.9.0 --startMP 204:460 --initTime 2017-04-22T13:09:10 --startdatetime 2017-04-22T13:15:17 --delay 2 --endMP 204:233314 --enddatetime 2017-04-22T13:50:57 --enforcementcount 0 &gt;&gt;C:\Users\stu\Documents\GitHub\eaglep3-reporting\EC\2017-04-22-refined-times.txt</v>
      </c>
      <c r="AI8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{"issue":{"subject":"","project_id":79,"tracker_id":40,"status_id":1,"priority_id":2,"assigned_to_id":23,"start_date":"2017-04-22","description":"","custom_fields":[{"id":1,"name":"Subdivision","value":"EC"},{"id":4,"name":"Milepost","value":"23.3314"},{"id":17,"name":"Train ID","value":"177-22"},{"id":16,"name":"Locomotive ID","value":"4064"},{"id":130,"name":"Impact","value":""},{"id":150,"name":"Time of Event (Mountain Time)","value":"13:50:57"},{"id":151,"name":"Denver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8"/>
      <c r="AL89" s="48"/>
      <c r="AM89" s="150" t="str">
        <f t="shared" si="42"/>
        <v>start /low /b %USERPROFILE%\Documents\GitHub\eaglep3\Utilities\DownloadLogsFromS3.py --loco 4064 --day 2017-04-22</v>
      </c>
      <c r="AN89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0" spans="1:91" s="20" customFormat="1" x14ac:dyDescent="0.25">
      <c r="A90" s="33" t="s">
        <v>737</v>
      </c>
      <c r="B90" s="7">
        <v>4063</v>
      </c>
      <c r="C90" s="21" t="s">
        <v>213</v>
      </c>
      <c r="D90" s="21" t="s">
        <v>858</v>
      </c>
      <c r="E90" s="13">
        <v>42847.584513888891</v>
      </c>
      <c r="F90" s="13">
        <v>42847.591284722221</v>
      </c>
      <c r="G90" s="7">
        <v>1</v>
      </c>
      <c r="H90" s="21" t="s">
        <v>210</v>
      </c>
      <c r="I90" s="13">
        <v>42847.618055555555</v>
      </c>
      <c r="J90" s="7">
        <v>0</v>
      </c>
      <c r="K90" s="97" t="str">
        <f t="shared" si="26"/>
        <v>4063/4064</v>
      </c>
      <c r="L90" s="21" t="str">
        <f>VLOOKUP(A90,'Trips&amp;Operators'!$C$1:$G$99999,5,FALSE)</f>
        <v>BRUDER RICHARD</v>
      </c>
      <c r="M90" s="6">
        <f t="shared" si="27"/>
        <v>2.6770833334012423E-2</v>
      </c>
      <c r="N90" s="7">
        <f t="shared" si="28"/>
        <v>38.550000000977889</v>
      </c>
      <c r="O90" s="7"/>
      <c r="P90" s="7"/>
      <c r="Q90" s="22"/>
      <c r="R90" s="22"/>
      <c r="S90" s="31">
        <f t="shared" si="29"/>
        <v>1</v>
      </c>
      <c r="T90" s="46" t="str">
        <f t="shared" si="30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1"/>
        <v>https://d0f6bd738d7f1b3e5a7ca70fe4ff75f0.us-east-1.aws.found.io/app/kibana#/discover/Steve-Slow-Train-Analysis-(2080s-and-2083s)?_g=(refreshInterval:(display:Off,pause:!f,section:0,value:0),time:(from:'2017-04-22T13:01:42-0600',mode:absolute,to:'2017-04-22T15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183" t="str">
        <f t="shared" si="32"/>
        <v>N</v>
      </c>
      <c r="X90" s="183">
        <f t="shared" si="44"/>
        <v>1</v>
      </c>
      <c r="Y90" s="62">
        <f t="shared" si="33"/>
        <v>23.299099999999999</v>
      </c>
      <c r="Z90" s="62">
        <f t="shared" si="34"/>
        <v>1.47E-2</v>
      </c>
      <c r="AA90" s="62">
        <f t="shared" si="35"/>
        <v>23.284399999999998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0178-22</v>
      </c>
      <c r="AE90" s="85" t="str">
        <f t="shared" si="37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90" s="82" t="str">
        <f t="shared" si="38"/>
        <v>"C:\Program Files (x86)\AstroGrep\AstroGrep.exe" /e /r /s /spath="%USERPROFILE%\AppData\Local\Temp\OnboardLogs" /stypes="app*4063*20170422*" /stext=" 20:.+((SYSTEM_STATE.+slice.+state.+changed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178-22 --locoid 4063 --swversion DE.1.0.9.0 --startMP 204:232991 --initTime 2017-04-22T14:01:42 --startdatetime 2017-04-22T14:11:27 --delay 1 --endMP 204:147 --enddatetime 2017-04-22T14:50:00 --enforcementcount 0 &gt;&gt;C:\Users\stu\Documents\GitHub\eaglep3-reporting\EC\2017-04-22-refined-times.txt</v>
      </c>
      <c r="AI9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{"issue":{"subject":"","project_id":79,"tracker_id":40,"status_id":1,"priority_id":2,"assigned_to_id":23,"start_date":"2017-04-22","description":"","custom_fields":[{"id":1,"name":"Subdivision","value":"EC"},{"id":4,"name":"Milepost","value":"0.0147"},{"id":17,"name":"Train ID","value":"178-22"},{"id":16,"name":"Locomotive ID","value":"4063"},{"id":130,"name":"Impact","value":""},{"id":150,"name":"Time of Event (Mountain Time)","value":"14:50:00"},{"id":151,"name":"Denver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2"/>
        <v>start /low /b %USERPROFILE%\Documents\GitHub\eaglep3\Utilities\DownloadLogsFromS3.py --loco 4063 --day 2017-04-22</v>
      </c>
      <c r="AN90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730</v>
      </c>
      <c r="B91" s="7">
        <v>4032</v>
      </c>
      <c r="C91" s="21" t="s">
        <v>213</v>
      </c>
      <c r="D91" s="21" t="s">
        <v>387</v>
      </c>
      <c r="E91" s="13">
        <v>42847.557118055556</v>
      </c>
      <c r="F91" s="13">
        <v>42847.562662037039</v>
      </c>
      <c r="G91" s="7">
        <v>1</v>
      </c>
      <c r="H91" s="21" t="s">
        <v>876</v>
      </c>
      <c r="I91" s="13">
        <v>42847.587199074071</v>
      </c>
      <c r="J91" s="7">
        <v>0</v>
      </c>
      <c r="K91" s="97" t="str">
        <f t="shared" si="26"/>
        <v>4031/4032</v>
      </c>
      <c r="L91" s="21" t="str">
        <f>VLOOKUP(A91,'Trips&amp;Operators'!$C$1:$G$99999,5,FALSE)</f>
        <v>WHITED DUSTIN</v>
      </c>
      <c r="M91" s="6">
        <f t="shared" si="27"/>
        <v>2.4537037032132503E-2</v>
      </c>
      <c r="N91" s="7">
        <f t="shared" si="28"/>
        <v>35.333333326270804</v>
      </c>
      <c r="O91" s="7"/>
      <c r="P91" s="7"/>
      <c r="Q91" s="22"/>
      <c r="R91" s="22"/>
      <c r="S91" s="31">
        <f t="shared" si="29"/>
        <v>1</v>
      </c>
      <c r="T91" s="46" t="str">
        <f t="shared" si="30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1"/>
        <v>https://d0f6bd738d7f1b3e5a7ca70fe4ff75f0.us-east-1.aws.found.io/app/kibana#/discover/Steve-Slow-Train-Analysis-(2080s-and-2083s)?_g=(refreshInterval:(display:Off,pause:!f,section:0,value:0),time:(from:'2017-04-22T12:22:15-0600',mode:absolute,to:'2017-04-22T15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83" t="str">
        <f t="shared" si="32"/>
        <v>N</v>
      </c>
      <c r="X91" s="183">
        <f t="shared" si="44"/>
        <v>1</v>
      </c>
      <c r="Y91" s="62">
        <f t="shared" si="33"/>
        <v>4.4600000000000001E-2</v>
      </c>
      <c r="Z91" s="62">
        <f t="shared" si="34"/>
        <v>23.336200000000002</v>
      </c>
      <c r="AA91" s="62">
        <f t="shared" si="35"/>
        <v>23.291600000000003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0179-22</v>
      </c>
      <c r="AE91" s="85" t="str">
        <f t="shared" si="37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91" s="82" t="str">
        <f t="shared" si="38"/>
        <v>"C:\Program Files (x86)\AstroGrep\AstroGrep.exe" /e /r /s /spath="%USERPROFILE%\AppData\Local\Temp\OnboardLogs" /stypes="app*4032*20170422*" /stext=" 20:.+((SYSTEM_STATE.+slice.+state.+changed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179-22 --locoid 4032 --swversion DE.1.0.9.0 --startMP 204:446 --initTime 2017-04-22T13:22:15 --startdatetime 2017-04-22T13:30:14 --delay 1 --endMP 204:233362 --enddatetime 2017-04-22T14:05:34 --enforcementcount 0 &gt;&gt;C:\Users\stu\Documents\GitHub\eaglep3-reporting\EC\2017-04-22-refined-times.txt</v>
      </c>
      <c r="AI91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{"issue":{"subject":"","project_id":79,"tracker_id":40,"status_id":1,"priority_id":2,"assigned_to_id":23,"start_date":"2017-04-22","description":"","custom_fields":[{"id":1,"name":"Subdivision","value":"EC"},{"id":4,"name":"Milepost","value":"23.3362"},{"id":17,"name":"Train ID","value":"179-22"},{"id":16,"name":"Locomotive ID","value":"4032"},{"id":130,"name":"Impact","value":""},{"id":150,"name":"Time of Event (Mountain Time)","value":"14:05:34"},{"id":151,"name":"Denver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2"/>
        <v>start /low /b %USERPROFILE%\Documents\GitHub\eaglep3\Utilities\DownloadLogsFromS3.py --loco 4032 --day 2017-04-22</v>
      </c>
      <c r="AN91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740</v>
      </c>
      <c r="B92" s="7">
        <v>4031</v>
      </c>
      <c r="C92" s="21" t="s">
        <v>213</v>
      </c>
      <c r="D92" s="21" t="s">
        <v>880</v>
      </c>
      <c r="E92" s="13">
        <v>42847.593622685185</v>
      </c>
      <c r="F92" s="13">
        <v>42847.6016087963</v>
      </c>
      <c r="G92" s="7">
        <v>1</v>
      </c>
      <c r="H92" s="21" t="s">
        <v>881</v>
      </c>
      <c r="I92" s="13">
        <v>42847.627754629626</v>
      </c>
      <c r="J92" s="7">
        <v>0</v>
      </c>
      <c r="K92" s="97" t="str">
        <f t="shared" si="26"/>
        <v>4031/4032</v>
      </c>
      <c r="L92" s="21" t="str">
        <f>VLOOKUP(A92,'Trips&amp;Operators'!$C$1:$G$99999,5,FALSE)</f>
        <v>WHITED DUSTIN</v>
      </c>
      <c r="M92" s="6">
        <f t="shared" si="27"/>
        <v>2.6145833326154388E-2</v>
      </c>
      <c r="N92" s="7">
        <f t="shared" si="28"/>
        <v>37.649999989662319</v>
      </c>
      <c r="O92" s="7"/>
      <c r="P92" s="7"/>
      <c r="Q92" s="22"/>
      <c r="R92" s="22"/>
      <c r="S92" s="31">
        <f t="shared" si="29"/>
        <v>1</v>
      </c>
      <c r="T92" s="46" t="str">
        <f t="shared" si="30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1"/>
        <v>https://d0f6bd738d7f1b3e5a7ca70fe4ff75f0.us-east-1.aws.found.io/app/kibana#/discover/Steve-Slow-Train-Analysis-(2080s-and-2083s)?_g=(refreshInterval:(display:Off,pause:!f,section:0,value:0),time:(from:'2017-04-22T13:14:49-0600',mode:absolute,to:'2017-04-22T16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83" t="str">
        <f t="shared" si="32"/>
        <v>N</v>
      </c>
      <c r="X92" s="183">
        <f t="shared" si="44"/>
        <v>1</v>
      </c>
      <c r="Y92" s="62">
        <f t="shared" si="33"/>
        <v>23.302299999999999</v>
      </c>
      <c r="Z92" s="62">
        <f t="shared" si="34"/>
        <v>1.2999999999999999E-2</v>
      </c>
      <c r="AA92" s="62">
        <f t="shared" si="35"/>
        <v>23.289299999999997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0180-22</v>
      </c>
      <c r="AE92" s="85" t="str">
        <f t="shared" si="37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92" s="82" t="str">
        <f t="shared" si="38"/>
        <v>"C:\Program Files (x86)\AstroGrep\AstroGrep.exe" /e /r /s /spath="%USERPROFILE%\AppData\Local\Temp\OnboardLogs" /stypes="app*4031*20170422*" /stext=" 21:.+((SYSTEM_STATE.+slice.+state.+changed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180-22 --locoid 4031 --swversion DE.1.0.9.0 --startMP 204:233023 --initTime 2017-04-22T14:14:49 --startdatetime 2017-04-22T14:26:19 --delay 1 --endMP 204:130 --enddatetime 2017-04-22T15:03:58 --enforcementcount 0 &gt;&gt;C:\Users\stu\Documents\GitHub\eaglep3-reporting\EC\2017-04-22-refined-times.txt</v>
      </c>
      <c r="AI92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{"issue":{"subject":"","project_id":79,"tracker_id":40,"status_id":1,"priority_id":2,"assigned_to_id":23,"start_date":"2017-04-22","description":"","custom_fields":[{"id":1,"name":"Subdivision","value":"EC"},{"id":4,"name":"Milepost","value":"0.013"},{"id":17,"name":"Train ID","value":"180-22"},{"id":16,"name":"Locomotive ID","value":"4031"},{"id":130,"name":"Impact","value":""},{"id":150,"name":"Time of Event (Mountain Time)","value":"15:03:58"},{"id":151,"name":"Denver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2"/>
        <v>start /low /b %USERPROFILE%\Documents\GitHub\eaglep3\Utilities\DownloadLogsFromS3.py --loco 4031 --day 2017-04-22</v>
      </c>
      <c r="AN92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734</v>
      </c>
      <c r="B93" s="7">
        <v>4056</v>
      </c>
      <c r="C93" s="21" t="s">
        <v>213</v>
      </c>
      <c r="D93" s="21" t="s">
        <v>422</v>
      </c>
      <c r="E93" s="13">
        <v>42847.571377314816</v>
      </c>
      <c r="F93" s="13">
        <v>42847.573159722226</v>
      </c>
      <c r="G93" s="7">
        <v>1</v>
      </c>
      <c r="H93" s="21" t="s">
        <v>553</v>
      </c>
      <c r="I93" s="13">
        <v>42847.597754629627</v>
      </c>
      <c r="J93" s="7">
        <v>0</v>
      </c>
      <c r="K93" s="97" t="str">
        <f t="shared" si="26"/>
        <v>4055/4056</v>
      </c>
      <c r="L93" s="21" t="str">
        <f>VLOOKUP(A93,'Trips&amp;Operators'!$C$1:$G$99999,5,FALSE)</f>
        <v>LEVIN SCOTT</v>
      </c>
      <c r="M93" s="6">
        <f t="shared" si="27"/>
        <v>2.4594907401478849E-2</v>
      </c>
      <c r="N93" s="7">
        <f t="shared" si="28"/>
        <v>35.416666658129543</v>
      </c>
      <c r="O93" s="7"/>
      <c r="P93" s="7"/>
      <c r="Q93" s="22"/>
      <c r="R93" s="22"/>
      <c r="S93" s="31">
        <f t="shared" si="29"/>
        <v>1</v>
      </c>
      <c r="T93" s="46" t="str">
        <f t="shared" si="30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1"/>
        <v>https://d0f6bd738d7f1b3e5a7ca70fe4ff75f0.us-east-1.aws.found.io/app/kibana#/discover/Steve-Slow-Train-Analysis-(2080s-and-2083s)?_g=(refreshInterval:(display:Off,pause:!f,section:0,value:0),time:(from:'2017-04-22T12:42:47-0600',mode:absolute,to:'2017-04-22T15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183" t="str">
        <f t="shared" si="32"/>
        <v>N</v>
      </c>
      <c r="X93" s="183">
        <f t="shared" si="44"/>
        <v>1</v>
      </c>
      <c r="Y93" s="62">
        <f t="shared" si="33"/>
        <v>4.4699999999999997E-2</v>
      </c>
      <c r="Z93" s="62">
        <f t="shared" si="34"/>
        <v>23.331399999999999</v>
      </c>
      <c r="AA93" s="62">
        <f t="shared" si="35"/>
        <v>23.2867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0181-22</v>
      </c>
      <c r="AE93" s="85" t="str">
        <f t="shared" si="37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93" s="82" t="str">
        <f t="shared" si="38"/>
        <v>"C:\Program Files (x86)\AstroGrep\AstroGrep.exe" /e /r /s /spath="%USERPROFILE%\AppData\Local\Temp\OnboardLogs" /stypes="app*4056*20170422*" /stext=" 20:.+((SYSTEM_STATE.+slice.+state.+changed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181-22 --locoid 4056 --swversion DE.1.0.9.0 --startMP 204:447 --initTime 2017-04-22T13:42:47 --startdatetime 2017-04-22T13:45:21 --delay 1 --endMP 204:233314 --enddatetime 2017-04-22T14:20:46 --enforcementcount 0 &gt;&gt;C:\Users\stu\Documents\GitHub\eaglep3-reporting\EC\2017-04-22-refined-times.txt</v>
      </c>
      <c r="AI93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{"issue":{"subject":"","project_id":79,"tracker_id":40,"status_id":1,"priority_id":2,"assigned_to_id":23,"start_date":"2017-04-22","description":"","custom_fields":[{"id":1,"name":"Subdivision","value":"EC"},{"id":4,"name":"Milepost","value":"23.3314"},{"id":17,"name":"Train ID","value":"181-22"},{"id":16,"name":"Locomotive ID","value":"4056"},{"id":130,"name":"Impact","value":""},{"id":150,"name":"Time of Event (Mountain Time)","value":"14:20:46"},{"id":151,"name":"Denver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2"/>
        <v>start /low /b %USERPROFILE%\Documents\GitHub\eaglep3\Utilities\DownloadLogsFromS3.py --loco 4056 --day 2017-04-22</v>
      </c>
      <c r="AN93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742</v>
      </c>
      <c r="B94" s="7">
        <v>4055</v>
      </c>
      <c r="C94" s="21" t="s">
        <v>213</v>
      </c>
      <c r="D94" s="21" t="s">
        <v>476</v>
      </c>
      <c r="E94" s="13">
        <v>42847.60665509259</v>
      </c>
      <c r="F94" s="13">
        <v>42847.611979166664</v>
      </c>
      <c r="G94" s="7">
        <v>2</v>
      </c>
      <c r="H94" s="21" t="s">
        <v>479</v>
      </c>
      <c r="I94" s="13">
        <v>42847.638553240744</v>
      </c>
      <c r="J94" s="7">
        <v>0</v>
      </c>
      <c r="K94" s="97" t="str">
        <f t="shared" si="26"/>
        <v>4055/4056</v>
      </c>
      <c r="L94" s="21" t="str">
        <f>VLOOKUP(A94,'Trips&amp;Operators'!$C$1:$G$99999,5,FALSE)</f>
        <v>LEVIN SCOTT</v>
      </c>
      <c r="M94" s="6">
        <f t="shared" si="27"/>
        <v>2.6574074079690035E-2</v>
      </c>
      <c r="N94" s="7">
        <f t="shared" si="28"/>
        <v>38.266666674753651</v>
      </c>
      <c r="O94" s="7"/>
      <c r="P94" s="7"/>
      <c r="Q94" s="22"/>
      <c r="R94" s="22"/>
      <c r="S94" s="31">
        <f t="shared" si="29"/>
        <v>1</v>
      </c>
      <c r="T94" s="46" t="str">
        <f t="shared" si="30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1"/>
        <v>https://d0f6bd738d7f1b3e5a7ca70fe4ff75f0.us-east-1.aws.found.io/app/kibana#/discover/Steve-Slow-Train-Analysis-(2080s-and-2083s)?_g=(refreshInterval:(display:Off,pause:!f,section:0,value:0),time:(from:'2017-04-22T13:33:35-0600',mode:absolute,to:'2017-04-22T16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183" t="str">
        <f t="shared" si="32"/>
        <v>N</v>
      </c>
      <c r="X94" s="183">
        <f t="shared" si="44"/>
        <v>1</v>
      </c>
      <c r="Y94" s="62">
        <f t="shared" si="33"/>
        <v>23.299399999999999</v>
      </c>
      <c r="Z94" s="62">
        <f t="shared" si="34"/>
        <v>1.34E-2</v>
      </c>
      <c r="AA94" s="62">
        <f t="shared" si="35"/>
        <v>23.285999999999998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0182-22</v>
      </c>
      <c r="AE94" s="85" t="str">
        <f t="shared" si="37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94" s="82" t="str">
        <f t="shared" si="38"/>
        <v>"C:\Program Files (x86)\AstroGrep\AstroGrep.exe" /e /r /s /spath="%USERPROFILE%\AppData\Local\Temp\OnboardLogs" /stypes="app*4055*20170422*" /stext=" 21:.+((SYSTEM_STATE.+slice.+state.+changed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182-22 --locoid 4055 --swversion DE.1.0.9.0 --startMP 204:232994 --initTime 2017-04-22T14:33:35 --startdatetime 2017-04-22T14:41:15 --delay 2 --endMP 204:134 --enddatetime 2017-04-22T15:19:31 --enforcementcount 0 &gt;&gt;C:\Users\stu\Documents\GitHub\eaglep3-reporting\EC\2017-04-22-refined-times.txt</v>
      </c>
      <c r="AI94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{"issue":{"subject":"","project_id":79,"tracker_id":40,"status_id":1,"priority_id":2,"assigned_to_id":23,"start_date":"2017-04-22","description":"","custom_fields":[{"id":1,"name":"Subdivision","value":"EC"},{"id":4,"name":"Milepost","value":"0.0134"},{"id":17,"name":"Train ID","value":"182-22"},{"id":16,"name":"Locomotive ID","value":"4055"},{"id":130,"name":"Impact","value":""},{"id":150,"name":"Time of Event (Mountain Time)","value":"15:19:31"},{"id":151,"name":"Denver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2"/>
        <v>start /low /b %USERPROFILE%\Documents\GitHub\eaglep3\Utilities\DownloadLogsFromS3.py --loco 4055 --day 2017-04-22</v>
      </c>
      <c r="AN94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736</v>
      </c>
      <c r="B95" s="7">
        <v>4022</v>
      </c>
      <c r="C95" s="21" t="s">
        <v>213</v>
      </c>
      <c r="D95" s="21" t="s">
        <v>208</v>
      </c>
      <c r="E95" s="13">
        <v>42847.576481481483</v>
      </c>
      <c r="F95" s="13">
        <v>42847.583495370367</v>
      </c>
      <c r="G95" s="7">
        <v>1</v>
      </c>
      <c r="H95" s="21" t="s">
        <v>873</v>
      </c>
      <c r="I95" s="13">
        <v>42847.607638888891</v>
      </c>
      <c r="J95" s="7">
        <v>0</v>
      </c>
      <c r="K95" s="97" t="str">
        <f t="shared" si="26"/>
        <v>4021/4022</v>
      </c>
      <c r="L95" s="21" t="str">
        <f>VLOOKUP(A95,'Trips&amp;Operators'!$C$1:$G$99999,5,FALSE)</f>
        <v>ROMERO CHAD</v>
      </c>
      <c r="M95" s="6">
        <f t="shared" si="27"/>
        <v>2.4143518523487728E-2</v>
      </c>
      <c r="N95" s="7">
        <f t="shared" si="28"/>
        <v>34.766666673822328</v>
      </c>
      <c r="O95" s="7"/>
      <c r="P95" s="7"/>
      <c r="Q95" s="22"/>
      <c r="R95" s="22"/>
      <c r="S95" s="31">
        <f t="shared" si="29"/>
        <v>1</v>
      </c>
      <c r="T95" s="46" t="str">
        <f t="shared" si="30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1"/>
        <v>https://d0f6bd738d7f1b3e5a7ca70fe4ff75f0.us-east-1.aws.found.io/app/kibana#/discover/Steve-Slow-Train-Analysis-(2080s-and-2083s)?_g=(refreshInterval:(display:Off,pause:!f,section:0,value:0),time:(from:'2017-04-22T12:50:08-0600',mode:absolute,to:'2017-04-22T15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83" t="str">
        <f t="shared" si="32"/>
        <v>N</v>
      </c>
      <c r="X95" s="183">
        <f t="shared" si="44"/>
        <v>1</v>
      </c>
      <c r="Y95" s="62">
        <f t="shared" si="33"/>
        <v>4.53E-2</v>
      </c>
      <c r="Z95" s="62">
        <f t="shared" si="34"/>
        <v>23.3368</v>
      </c>
      <c r="AA95" s="62">
        <f t="shared" si="35"/>
        <v>23.291499999999999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0183-22</v>
      </c>
      <c r="AE95" s="85" t="str">
        <f t="shared" si="37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95" s="82" t="str">
        <f t="shared" si="38"/>
        <v>"C:\Program Files (x86)\AstroGrep\AstroGrep.exe" /e /r /s /spath="%USERPROFILE%\AppData\Local\Temp\OnboardLogs" /stypes="app*4022*20170422*" /stext=" 20:.+((SYSTEM_STATE.+slice.+state.+changed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183-22 --locoid 4022 --swversion DE.1.0.9.0 --startMP 204:453 --initTime 2017-04-22T13:50:08 --startdatetime 2017-04-22T14:00:14 --delay 1 --endMP 204:233368 --enddatetime 2017-04-22T14:35:00 --enforcementcount 0 &gt;&gt;C:\Users\stu\Documents\GitHub\eaglep3-reporting\EC\2017-04-22-refined-times.txt</v>
      </c>
      <c r="AI95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{"issue":{"subject":"","project_id":79,"tracker_id":40,"status_id":1,"priority_id":2,"assigned_to_id":23,"start_date":"2017-04-22","description":"","custom_fields":[{"id":1,"name":"Subdivision","value":"EC"},{"id":4,"name":"Milepost","value":"23.3368"},{"id":17,"name":"Train ID","value":"183-22"},{"id":16,"name":"Locomotive ID","value":"4022"},{"id":130,"name":"Impact","value":""},{"id":150,"name":"Time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2"/>
        <v>start /low /b %USERPROFILE%\Documents\GitHub\eaglep3\Utilities\DownloadLogsFromS3.py --loco 4022 --day 2017-04-22</v>
      </c>
      <c r="AN95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744</v>
      </c>
      <c r="B96" s="7">
        <v>4021</v>
      </c>
      <c r="C96" s="21" t="s">
        <v>213</v>
      </c>
      <c r="D96" s="21" t="s">
        <v>875</v>
      </c>
      <c r="E96" s="13">
        <v>42847.609270833331</v>
      </c>
      <c r="F96" s="13">
        <v>42847.622372685182</v>
      </c>
      <c r="G96" s="7">
        <v>1</v>
      </c>
      <c r="H96" s="21" t="s">
        <v>921</v>
      </c>
      <c r="I96" s="13">
        <v>42847.648738425924</v>
      </c>
      <c r="J96" s="7">
        <v>0</v>
      </c>
      <c r="K96" s="97" t="str">
        <f t="shared" si="26"/>
        <v>4021/4022</v>
      </c>
      <c r="L96" s="21" t="str">
        <f>VLOOKUP(A96,'Trips&amp;Operators'!$C$1:$G$99999,5,FALSE)</f>
        <v>ROMERO CHAD</v>
      </c>
      <c r="M96" s="6">
        <f t="shared" si="27"/>
        <v>2.6365740741312038E-2</v>
      </c>
      <c r="N96" s="7">
        <f t="shared" si="28"/>
        <v>37.966666667489335</v>
      </c>
      <c r="O96" s="7"/>
      <c r="P96" s="7"/>
      <c r="Q96" s="22"/>
      <c r="R96" s="22"/>
      <c r="S96" s="31">
        <f t="shared" si="29"/>
        <v>1</v>
      </c>
      <c r="T96" s="46" t="str">
        <f t="shared" si="30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1"/>
        <v>https://d0f6bd738d7f1b3e5a7ca70fe4ff75f0.us-east-1.aws.found.io/app/kibana#/discover/Steve-Slow-Train-Analysis-(2080s-and-2083s)?_g=(refreshInterval:(display:Off,pause:!f,section:0,value:0),time:(from:'2017-04-22T13:37:21-0600',mode:absolute,to:'2017-04-22T16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83" t="str">
        <f t="shared" si="32"/>
        <v>N</v>
      </c>
      <c r="X96" s="183">
        <f t="shared" si="44"/>
        <v>1</v>
      </c>
      <c r="Y96" s="62">
        <f t="shared" si="33"/>
        <v>23.307600000000001</v>
      </c>
      <c r="Z96" s="62">
        <f t="shared" si="34"/>
        <v>1.23E-2</v>
      </c>
      <c r="AA96" s="62">
        <f t="shared" si="35"/>
        <v>23.295300000000001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0184-22</v>
      </c>
      <c r="AE96" s="85" t="str">
        <f t="shared" si="37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96" s="82" t="str">
        <f t="shared" si="38"/>
        <v>"C:\Program Files (x86)\AstroGrep\AstroGrep.exe" /e /r /s /spath="%USERPROFILE%\AppData\Local\Temp\OnboardLogs" /stypes="app*4021*20170422*" /stext=" 21:.+((SYSTEM_STATE.+slice.+state.+changed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184-22 --locoid 4021 --swversion DE.1.0.9.0 --startMP 204:233076 --initTime 2017-04-22T14:37:21 --startdatetime 2017-04-22T14:56:13 --delay 1 --endMP 204:123 --enddatetime 2017-04-22T15:34:11 --enforcementcount 0 &gt;&gt;C:\Users\stu\Documents\GitHub\eaglep3-reporting\EC\2017-04-22-refined-times.txt</v>
      </c>
      <c r="AI96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{"issue":{"subject":"","project_id":79,"tracker_id":40,"status_id":1,"priority_id":2,"assigned_to_id":23,"start_date":"2017-04-22","description":"","custom_fields":[{"id":1,"name":"Subdivision","value":"EC"},{"id":4,"name":"Milepost","value":"0.0123"},{"id":17,"name":"Train ID","value":"184-22"},{"id":16,"name":"Locomotive ID","value":"4021"},{"id":130,"name":"Impact","value":""},{"id":150,"name":"Time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2"/>
        <v>start /low /b %USERPROFILE%\Documents\GitHub\eaglep3\Utilities\DownloadLogsFromS3.py --loco 4021 --day 2017-04-22</v>
      </c>
      <c r="AN96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738</v>
      </c>
      <c r="B97" s="7">
        <v>4026</v>
      </c>
      <c r="C97" s="21" t="s">
        <v>213</v>
      </c>
      <c r="D97" s="21" t="s">
        <v>429</v>
      </c>
      <c r="E97" s="13">
        <v>42847.587800925925</v>
      </c>
      <c r="F97" s="13">
        <v>42847.5940625</v>
      </c>
      <c r="G97" s="7">
        <v>1</v>
      </c>
      <c r="H97" s="21" t="s">
        <v>568</v>
      </c>
      <c r="I97" s="13">
        <v>42847.618564814817</v>
      </c>
      <c r="J97" s="7">
        <v>0</v>
      </c>
      <c r="K97" s="97" t="str">
        <f t="shared" si="26"/>
        <v>4025/4026</v>
      </c>
      <c r="L97" s="21" t="str">
        <f>VLOOKUP(A97,'Trips&amp;Operators'!$C$1:$G$99999,5,FALSE)</f>
        <v>LALONDE GREGORY</v>
      </c>
      <c r="M97" s="6">
        <f t="shared" si="27"/>
        <v>2.4502314816345461E-2</v>
      </c>
      <c r="N97" s="7">
        <f t="shared" si="28"/>
        <v>35.283333335537463</v>
      </c>
      <c r="O97" s="7"/>
      <c r="P97" s="7"/>
      <c r="Q97" s="22"/>
      <c r="R97" s="22"/>
      <c r="S97" s="31">
        <f t="shared" si="29"/>
        <v>1</v>
      </c>
      <c r="T97" s="46" t="str">
        <f t="shared" si="30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1"/>
        <v>https://d0f6bd738d7f1b3e5a7ca70fe4ff75f0.us-east-1.aws.found.io/app/kibana#/discover/Steve-Slow-Train-Analysis-(2080s-and-2083s)?_g=(refreshInterval:(display:Off,pause:!f,section:0,value:0),time:(from:'2017-04-22T13:06:26-0600',mode:absolute,to:'2017-04-22T15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183" t="str">
        <f t="shared" si="32"/>
        <v>N</v>
      </c>
      <c r="X97" s="183">
        <f t="shared" si="44"/>
        <v>1</v>
      </c>
      <c r="Y97" s="62">
        <f t="shared" si="33"/>
        <v>4.4200000000000003E-2</v>
      </c>
      <c r="Z97" s="62">
        <f t="shared" si="34"/>
        <v>23.331900000000001</v>
      </c>
      <c r="AA97" s="62">
        <f t="shared" si="35"/>
        <v>23.287700000000001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0185-22</v>
      </c>
      <c r="AE97" s="85" t="str">
        <f t="shared" si="37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97" s="82" t="str">
        <f t="shared" si="38"/>
        <v>"C:\Program Files (x86)\AstroGrep\AstroGrep.exe" /e /r /s /spath="%USERPROFILE%\AppData\Local\Temp\OnboardLogs" /stypes="app*4026*20170422*" /stext=" 20:.+((SYSTEM_STATE.+slice.+state.+changed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185-22 --locoid 4026 --swversion DE.1.0.9.0 --startMP 204:442 --initTime 2017-04-22T14:06:26 --startdatetime 2017-04-22T14:15:27 --delay 1 --endMP 204:233319 --enddatetime 2017-04-22T14:50:44 --enforcementcount 0 &gt;&gt;C:\Users\stu\Documents\GitHub\eaglep3-reporting\EC\2017-04-22-refined-times.txt</v>
      </c>
      <c r="AI97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{"issue":{"subject":"","project_id":79,"tracker_id":40,"status_id":1,"priority_id":2,"assigned_to_id":23,"start_date":"2017-04-22","description":"","custom_fields":[{"id":1,"name":"Subdivision","value":"EC"},{"id":4,"name":"Milepost","value":"23.3319"},{"id":17,"name":"Train ID","value":"185-22"},{"id":16,"name":"Locomotive ID","value":"4026"},{"id":130,"name":"Impact","value":""},{"id":150,"name":"Time of Event (Mountain Time)","value":"14:50:44"},{"id":151,"name":"Denver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2"/>
        <v>start /low /b %USERPROFILE%\Documents\GitHub\eaglep3\Utilities\DownloadLogsFromS3.py --loco 4026 --day 2017-04-22</v>
      </c>
      <c r="AN97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600</v>
      </c>
      <c r="B98" s="7">
        <v>4025</v>
      </c>
      <c r="C98" s="21" t="s">
        <v>213</v>
      </c>
      <c r="D98" s="21" t="s">
        <v>922</v>
      </c>
      <c r="E98" s="13">
        <v>42847.620011574072</v>
      </c>
      <c r="F98" s="13">
        <v>42847.632789351854</v>
      </c>
      <c r="G98" s="7">
        <v>1</v>
      </c>
      <c r="H98" s="21" t="s">
        <v>923</v>
      </c>
      <c r="I98" s="13">
        <v>42847.656087962961</v>
      </c>
      <c r="J98" s="7">
        <v>0</v>
      </c>
      <c r="K98" s="97" t="str">
        <f t="shared" si="26"/>
        <v>4025/4026</v>
      </c>
      <c r="L98" s="21" t="str">
        <f>VLOOKUP(A98,'Trips&amp;Operators'!$C$1:$G$99999,5,FALSE)</f>
        <v>LALONDE GREGORY</v>
      </c>
      <c r="M98" s="6">
        <f t="shared" si="27"/>
        <v>2.3298611107748002E-2</v>
      </c>
      <c r="N98" s="7"/>
      <c r="O98" s="7"/>
      <c r="P98" s="7">
        <f>24*60*SUM($M98:$M98)</f>
        <v>33.549999995157123</v>
      </c>
      <c r="Q98" s="22"/>
      <c r="R98" s="22" t="s">
        <v>523</v>
      </c>
      <c r="S98" s="31">
        <f t="shared" si="29"/>
        <v>1</v>
      </c>
      <c r="T98" s="46" t="str">
        <f t="shared" si="30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1"/>
        <v>https://d0f6bd738d7f1b3e5a7ca70fe4ff75f0.us-east-1.aws.found.io/app/kibana#/discover/Steve-Slow-Train-Analysis-(2080s-and-2083s)?_g=(refreshInterval:(display:Off,pause:!f,section:0,value:0),time:(from:'2017-04-22T13:52:49-0600',mode:absolute,to:'2017-04-22T16:44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183" t="str">
        <f t="shared" si="32"/>
        <v>Y</v>
      </c>
      <c r="X98" s="183">
        <f t="shared" si="44"/>
        <v>1</v>
      </c>
      <c r="Y98" s="62">
        <f t="shared" si="33"/>
        <v>23.3034</v>
      </c>
      <c r="Z98" s="62">
        <f t="shared" si="34"/>
        <v>1.4599</v>
      </c>
      <c r="AA98" s="62">
        <f t="shared" si="35"/>
        <v>21.843499999999999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0186-22</v>
      </c>
      <c r="AE98" s="85" t="str">
        <f t="shared" si="37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98" s="82" t="str">
        <f t="shared" si="38"/>
        <v>"C:\Program Files (x86)\AstroGrep\AstroGrep.exe" /e /r /s /spath="%USERPROFILE%\AppData\Local\Temp\OnboardLogs" /stypes="app*4025*20170422*" /stext=" 21:.+((SYSTEM_STATE.+slice.+state.+changed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186-22 --locoid 4025 --swversion DE.1.0.9.0 --startMP 204:233034 --initTime 2017-04-22T14:52:49 --startdatetime 2017-04-22T15:11:13 --delay 1 --endMP 204:14599 --enddatetime 2017-04-22T15:44:46 --enforcementcount 0 &gt;&gt;C:\Users\stu\Documents\GitHub\eaglep3-reporting\EC\2017-04-22-refined-times.txt</v>
      </c>
      <c r="AI98" s="104" t="str">
        <f t="shared" si="41"/>
        <v>echo {"issue":{"subject":"Wi-MAX data drop","project_id":79,"tracker_id":40,"status_id":1,"priority_id":2,"assigned_to_id":23,"start_date":"2017-04-22","description":"http://stevetu21.github.io/eaglep3/load_kml.html?kml=http://rtdc.gmaps-snips.s3.amazonaws.com/4d568044-6826-40cb-b80d-d4f384813f48.kml","custom_fields":[{"id":1,"name":"Subdivision","value":"EC"},{"id":4,"name":"Milepost","value":"1.4599"},{"id":17,"name":"Train ID","value":"186-22"},{"id":16,"name":"Locomotive ID","value":"4025"},{"id":130,"name":"Impact","value":"Enforcement"},{"id":150,"name":"Time of Event (Mountain Time)","value":"15:44:46"},{"id":151,"name":"Denver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98" t="s">
        <v>1005</v>
      </c>
      <c r="AK98" s="48" t="s">
        <v>124</v>
      </c>
      <c r="AL98" s="48" t="s">
        <v>137</v>
      </c>
      <c r="AM98" s="150" t="str">
        <f t="shared" si="42"/>
        <v>start /low /b %USERPROFILE%\Documents\GitHub\eaglep3\Utilities\DownloadLogsFromS3.py --loco 4025 --day 2017-04-22</v>
      </c>
      <c r="AN98" s="159" t="str">
        <f t="shared" si="43"/>
        <v>echo {"issue":{"subject":"Wi-MAX data drop","project_id":30,"tracker_id":4,"status_id":1,"priority_id":1,"assigned_to_id":10,"start_date":"2017-04-22","description":"http://stevetu21.github.io/eaglep3/load_kml.html?kml=http://rtdc.gmaps-snips.s3.amazonaws.com/4d568044-6826-40cb-b80d-d4f384813f48.kml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21:44:46"},{"id":29,"name":"Sharepoint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741</v>
      </c>
      <c r="B99" s="7">
        <v>4042</v>
      </c>
      <c r="C99" s="21" t="s">
        <v>213</v>
      </c>
      <c r="D99" s="21" t="s">
        <v>847</v>
      </c>
      <c r="E99" s="13">
        <v>42847.59983796296</v>
      </c>
      <c r="F99" s="13">
        <v>42847.604907407411</v>
      </c>
      <c r="G99" s="7">
        <v>1</v>
      </c>
      <c r="H99" s="21" t="s">
        <v>924</v>
      </c>
      <c r="I99" s="13">
        <v>42847.629363425927</v>
      </c>
      <c r="J99" s="7">
        <v>0</v>
      </c>
      <c r="K99" s="97" t="str">
        <f t="shared" si="26"/>
        <v>4041/4042</v>
      </c>
      <c r="L99" s="21" t="str">
        <f>VLOOKUP(A99,'Trips&amp;Operators'!$C$1:$G$99999,5,FALSE)</f>
        <v>STEWART MICHAEL</v>
      </c>
      <c r="M99" s="6">
        <f t="shared" si="27"/>
        <v>2.4456018516502809E-2</v>
      </c>
      <c r="N99" s="7">
        <f t="shared" ref="N99:N130" si="45">24*60*SUM($M99:$M99)</f>
        <v>35.216666663764045</v>
      </c>
      <c r="O99" s="7"/>
      <c r="P99" s="7"/>
      <c r="Q99" s="22"/>
      <c r="R99" s="22"/>
      <c r="S99" s="31">
        <f t="shared" si="29"/>
        <v>1</v>
      </c>
      <c r="T99" s="46" t="str">
        <f t="shared" si="30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1"/>
        <v>https://d0f6bd738d7f1b3e5a7ca70fe4ff75f0.us-east-1.aws.found.io/app/kibana#/discover/Steve-Slow-Train-Analysis-(2080s-and-2083s)?_g=(refreshInterval:(display:Off,pause:!f,section:0,value:0),time:(from:'2017-04-22T13:23:46-0600',mode:absolute,to:'2017-04-22T16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83" t="str">
        <f t="shared" si="32"/>
        <v>N</v>
      </c>
      <c r="X99" s="183">
        <f t="shared" si="44"/>
        <v>1</v>
      </c>
      <c r="Y99" s="62">
        <f t="shared" si="33"/>
        <v>4.7100000000000003E-2</v>
      </c>
      <c r="Z99" s="62">
        <f t="shared" si="34"/>
        <v>23.326599999999999</v>
      </c>
      <c r="AA99" s="62">
        <f t="shared" si="35"/>
        <v>23.279499999999999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0187-22</v>
      </c>
      <c r="AE99" s="85" t="str">
        <f t="shared" si="37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99" s="82" t="str">
        <f t="shared" si="38"/>
        <v>"C:\Program Files (x86)\AstroGrep\AstroGrep.exe" /e /r /s /spath="%USERPROFILE%\AppData\Local\Temp\OnboardLogs" /stypes="app*4042*20170422*" /stext=" 21:.+((SYSTEM_STATE.+slice.+state.+changed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187-22 --locoid 4042 --swversion DE.1.0.9.0 --startMP 204:471 --initTime 2017-04-22T14:23:46 --startdatetime 2017-04-22T14:31:04 --delay 1 --endMP 204:233266 --enddatetime 2017-04-22T15:06:17 --enforcementcount 0 &gt;&gt;C:\Users\stu\Documents\GitHub\eaglep3-reporting\EC\2017-04-22-refined-times.txt</v>
      </c>
      <c r="AI9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{"issue":{"subject":"","project_id":79,"tracker_id":40,"status_id":1,"priority_id":2,"assigned_to_id":23,"start_date":"2017-04-22","description":"","custom_fields":[{"id":1,"name":"Subdivision","value":"EC"},{"id":4,"name":"Milepost","value":"23.3266"},{"id":17,"name":"Train ID","value":"187-22"},{"id":16,"name":"Locomotive ID","value":"4042"},{"id":130,"name":"Impact","value":""},{"id":150,"name":"Time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2"/>
        <v>start /low /b %USERPROFILE%\Documents\GitHub\eaglep3\Utilities\DownloadLogsFromS3.py --loco 4042 --day 2017-04-22</v>
      </c>
      <c r="AN99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749</v>
      </c>
      <c r="B100" s="7">
        <v>4041</v>
      </c>
      <c r="C100" s="21" t="s">
        <v>213</v>
      </c>
      <c r="D100" s="21" t="s">
        <v>452</v>
      </c>
      <c r="E100" s="13">
        <v>42847.64099537037</v>
      </c>
      <c r="F100" s="13">
        <v>42847.643252314818</v>
      </c>
      <c r="G100" s="7">
        <v>1</v>
      </c>
      <c r="H100" s="21" t="s">
        <v>518</v>
      </c>
      <c r="I100" s="13">
        <v>42847.670231481483</v>
      </c>
      <c r="J100" s="7">
        <v>0</v>
      </c>
      <c r="K100" s="97" t="str">
        <f t="shared" si="26"/>
        <v>4041/4042</v>
      </c>
      <c r="L100" s="21" t="str">
        <f>VLOOKUP(A100,'Trips&amp;Operators'!$C$1:$G$99999,5,FALSE)</f>
        <v>STEWART MICHAEL</v>
      </c>
      <c r="M100" s="6">
        <f t="shared" si="27"/>
        <v>2.6979166665114462E-2</v>
      </c>
      <c r="N100" s="7">
        <f t="shared" si="45"/>
        <v>38.849999997764826</v>
      </c>
      <c r="O100" s="7"/>
      <c r="P100" s="7"/>
      <c r="Q100" s="22"/>
      <c r="R100" s="22"/>
      <c r="S100" s="31">
        <f t="shared" si="29"/>
        <v>1</v>
      </c>
      <c r="T100" s="46" t="str">
        <f t="shared" si="30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1"/>
        <v>https://d0f6bd738d7f1b3e5a7ca70fe4ff75f0.us-east-1.aws.found.io/app/kibana#/discover/Steve-Slow-Train-Analysis-(2080s-and-2083s)?_g=(refreshInterval:(display:Off,pause:!f,section:0,value:0),time:(from:'2017-04-22T14:23:02-0600',mode:absolute,to:'2017-04-22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183" t="str">
        <f t="shared" si="32"/>
        <v>N</v>
      </c>
      <c r="X100" s="183">
        <f t="shared" si="44"/>
        <v>1</v>
      </c>
      <c r="Y100" s="62">
        <f t="shared" si="33"/>
        <v>23.298400000000001</v>
      </c>
      <c r="Z100" s="62">
        <f t="shared" si="34"/>
        <v>1.32E-2</v>
      </c>
      <c r="AA100" s="62">
        <f t="shared" si="35"/>
        <v>23.2852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0188-22</v>
      </c>
      <c r="AE100" s="85" t="str">
        <f t="shared" si="37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100" s="82" t="str">
        <f t="shared" si="38"/>
        <v>"C:\Program Files (x86)\AstroGrep\AstroGrep.exe" /e /r /s /spath="%USERPROFILE%\AppData\Local\Temp\OnboardLogs" /stypes="app*4041*20170422*" /stext=" 22:.+((SYSTEM_STATE.+slice.+state.+changed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188-22 --locoid 4041 --swversion DE.1.0.9.0 --startMP 204:232984 --initTime 2017-04-22T15:23:02 --startdatetime 2017-04-22T15:26:17 --delay 1 --endMP 204:132 --enddatetime 2017-04-22T16:05:08 --enforcementcount 0 &gt;&gt;C:\Users\stu\Documents\GitHub\eaglep3-reporting\EC\2017-04-22-refined-times.txt</v>
      </c>
      <c r="AI10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{"issue":{"subject":"","project_id":79,"tracker_id":40,"status_id":1,"priority_id":2,"assigned_to_id":23,"start_date":"2017-04-22","description":"","custom_fields":[{"id":1,"name":"Subdivision","value":"EC"},{"id":4,"name":"Milepost","value":"0.0132"},{"id":17,"name":"Train ID","value":"188-22"},{"id":16,"name":"Locomotive ID","value":"4041"},{"id":130,"name":"Impact","value":""},{"id":150,"name":"Time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2"/>
        <v>start /low /b %USERPROFILE%\Documents\GitHub\eaglep3\Utilities\DownloadLogsFromS3.py --loco 4041 --day 2017-04-22</v>
      </c>
      <c r="AN100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745</v>
      </c>
      <c r="B101" s="7">
        <v>4018</v>
      </c>
      <c r="C101" s="21" t="s">
        <v>213</v>
      </c>
      <c r="D101" s="21" t="s">
        <v>209</v>
      </c>
      <c r="E101" s="13">
        <v>42847.610092592593</v>
      </c>
      <c r="F101" s="13">
        <v>42847.614733796298</v>
      </c>
      <c r="G101" s="7">
        <v>1</v>
      </c>
      <c r="H101" s="21" t="s">
        <v>863</v>
      </c>
      <c r="I101" s="13">
        <v>42847.639560185184</v>
      </c>
      <c r="J101" s="7">
        <v>0</v>
      </c>
      <c r="K101" s="97" t="str">
        <f t="shared" si="26"/>
        <v>4017/4018</v>
      </c>
      <c r="L101" s="21" t="str">
        <f>VLOOKUP(A101,'Trips&amp;Operators'!$C$1:$G$99999,5,FALSE)</f>
        <v>DELGADO DIANAH</v>
      </c>
      <c r="M101" s="6">
        <f t="shared" si="27"/>
        <v>2.4826388886140194E-2</v>
      </c>
      <c r="N101" s="7">
        <f t="shared" si="45"/>
        <v>35.749999996041879</v>
      </c>
      <c r="O101" s="7"/>
      <c r="P101" s="7"/>
      <c r="Q101" s="22"/>
      <c r="R101" s="22"/>
      <c r="S101" s="31">
        <f t="shared" si="29"/>
        <v>1</v>
      </c>
      <c r="T101" s="46" t="str">
        <f t="shared" si="30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1"/>
        <v>https://d0f6bd738d7f1b3e5a7ca70fe4ff75f0.us-east-1.aws.found.io/app/kibana#/discover/Steve-Slow-Train-Analysis-(2080s-and-2083s)?_g=(refreshInterval:(display:Off,pause:!f,section:0,value:0),time:(from:'2017-04-22T13:38:32-0600',mode:absolute,to:'2017-04-22T16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3" t="str">
        <f t="shared" si="32"/>
        <v>N</v>
      </c>
      <c r="X101" s="183">
        <f t="shared" si="44"/>
        <v>1</v>
      </c>
      <c r="Y101" s="62">
        <f t="shared" si="33"/>
        <v>4.5499999999999999E-2</v>
      </c>
      <c r="Z101" s="62">
        <f t="shared" si="34"/>
        <v>23.337199999999999</v>
      </c>
      <c r="AA101" s="62">
        <f t="shared" si="35"/>
        <v>23.291699999999999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0189-22</v>
      </c>
      <c r="AE101" s="85" t="str">
        <f t="shared" si="37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101" s="82" t="str">
        <f t="shared" si="38"/>
        <v>"C:\Program Files (x86)\AstroGrep\AstroGrep.exe" /e /r /s /spath="%USERPROFILE%\AppData\Local\Temp\OnboardLogs" /stypes="app*4018*20170422*" /stext=" 21:.+((SYSTEM_STATE.+slice.+state.+changed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189-22 --locoid 4018 --swversion DE.1.0.9.0 --startMP 204:455 --initTime 2017-04-22T14:38:32 --startdatetime 2017-04-22T14:45:13 --delay 1 --endMP 204:233372 --enddatetime 2017-04-22T15:20:58 --enforcementcount 0 &gt;&gt;C:\Users\stu\Documents\GitHub\eaglep3-reporting\EC\2017-04-22-refined-times.txt</v>
      </c>
      <c r="AI101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{"issue":{"subject":"","project_id":79,"tracker_id":40,"status_id":1,"priority_id":2,"assigned_to_id":23,"start_date":"2017-04-22","description":"","custom_fields":[{"id":1,"name":"Subdivision","value":"EC"},{"id":4,"name":"Milepost","value":"23.3372"},{"id":17,"name":"Train ID","value":"189-22"},{"id":16,"name":"Locomotive ID","value":"4018"},{"id":130,"name":"Impact","value":""},{"id":150,"name":"Time of Event (Mountain Time)","value":"15:20:58"},{"id":151,"name":"Denver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2"/>
        <v>start /low /b %USERPROFILE%\Documents\GitHub\eaglep3\Utilities\DownloadLogsFromS3.py --loco 4018 --day 2017-04-22</v>
      </c>
      <c r="AN101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751</v>
      </c>
      <c r="B102" s="7">
        <v>4017</v>
      </c>
      <c r="C102" s="21" t="s">
        <v>213</v>
      </c>
      <c r="D102" s="21" t="s">
        <v>875</v>
      </c>
      <c r="E102" s="13">
        <v>42847.648657407408</v>
      </c>
      <c r="F102" s="13">
        <v>42847.653634259259</v>
      </c>
      <c r="G102" s="7">
        <v>1</v>
      </c>
      <c r="H102" s="21" t="s">
        <v>881</v>
      </c>
      <c r="I102" s="13">
        <v>42847.679606481484</v>
      </c>
      <c r="J102" s="7">
        <v>0</v>
      </c>
      <c r="K102" s="97" t="str">
        <f t="shared" si="26"/>
        <v>4017/4018</v>
      </c>
      <c r="L102" s="21" t="str">
        <f>VLOOKUP(A102,'Trips&amp;Operators'!$C$1:$G$99999,5,FALSE)</f>
        <v>DELGADO DIANAH</v>
      </c>
      <c r="M102" s="6">
        <f t="shared" si="27"/>
        <v>2.5972222225391306E-2</v>
      </c>
      <c r="N102" s="7">
        <f t="shared" si="45"/>
        <v>37.400000004563481</v>
      </c>
      <c r="O102" s="7"/>
      <c r="P102" s="7"/>
      <c r="Q102" s="22"/>
      <c r="R102" s="22"/>
      <c r="S102" s="31">
        <f t="shared" si="29"/>
        <v>1</v>
      </c>
      <c r="T102" s="46" t="str">
        <f t="shared" si="30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1"/>
        <v>https://d0f6bd738d7f1b3e5a7ca70fe4ff75f0.us-east-1.aws.found.io/app/kibana#/discover/Steve-Slow-Train-Analysis-(2080s-and-2083s)?_g=(refreshInterval:(display:Off,pause:!f,section:0,value:0),time:(from:'2017-04-22T14:34:04-0600',mode:absolute,to:'2017-04-22T17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3" t="str">
        <f t="shared" si="32"/>
        <v>N</v>
      </c>
      <c r="X102" s="183">
        <f t="shared" si="44"/>
        <v>1</v>
      </c>
      <c r="Y102" s="62">
        <f t="shared" si="33"/>
        <v>23.307600000000001</v>
      </c>
      <c r="Z102" s="62">
        <f t="shared" si="34"/>
        <v>1.2999999999999999E-2</v>
      </c>
      <c r="AA102" s="62">
        <f t="shared" si="35"/>
        <v>23.294599999999999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0190-22</v>
      </c>
      <c r="AE102" s="85" t="str">
        <f t="shared" si="37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102" s="82" t="str">
        <f t="shared" si="38"/>
        <v>"C:\Program Files (x86)\AstroGrep\AstroGrep.exe" /e /r /s /spath="%USERPROFILE%\AppData\Local\Temp\OnboardLogs" /stypes="app*4017*20170422*" /stext=" 22:.+((SYSTEM_STATE.+slice.+state.+changed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190-22 --locoid 4017 --swversion DE.1.0.9.0 --startMP 204:233076 --initTime 2017-04-22T15:34:04 --startdatetime 2017-04-22T15:41:14 --delay 1 --endMP 204:130 --enddatetime 2017-04-22T16:18:38 --enforcementcount 0 &gt;&gt;C:\Users\stu\Documents\GitHub\eaglep3-reporting\EC\2017-04-22-refined-times.txt</v>
      </c>
      <c r="AI102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{"issue":{"subject":"","project_id":79,"tracker_id":40,"status_id":1,"priority_id":2,"assigned_to_id":23,"start_date":"2017-04-22","description":"","custom_fields":[{"id":1,"name":"Subdivision","value":"EC"},{"id":4,"name":"Milepost","value":"0.013"},{"id":17,"name":"Train ID","value":"190-22"},{"id":16,"name":"Locomotive ID","value":"4017"},{"id":130,"name":"Impact","value":""},{"id":150,"name":"Time of Event (Mountain Time)","value":"16:18:38"},{"id":151,"name":"Denver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2"/>
        <v>start /low /b %USERPROFILE%\Documents\GitHub\eaglep3\Utilities\DownloadLogsFromS3.py --loco 4017 --day 2017-04-22</v>
      </c>
      <c r="AN102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746</v>
      </c>
      <c r="B103" s="7">
        <v>4064</v>
      </c>
      <c r="C103" s="21" t="s">
        <v>213</v>
      </c>
      <c r="D103" s="21" t="s">
        <v>561</v>
      </c>
      <c r="E103" s="13">
        <v>42847.620995370373</v>
      </c>
      <c r="F103" s="13">
        <v>42847.625185185185</v>
      </c>
      <c r="G103" s="7">
        <v>1</v>
      </c>
      <c r="H103" s="21" t="s">
        <v>420</v>
      </c>
      <c r="I103" s="13">
        <v>42847.649560185186</v>
      </c>
      <c r="J103" s="7">
        <v>0</v>
      </c>
      <c r="K103" s="97" t="str">
        <f t="shared" si="26"/>
        <v>4063/4064</v>
      </c>
      <c r="L103" s="21" t="str">
        <f>VLOOKUP(A103,'Trips&amp;Operators'!$C$1:$G$99999,5,FALSE)</f>
        <v>BRUDER RICHARD</v>
      </c>
      <c r="M103" s="6">
        <f t="shared" si="27"/>
        <v>2.4375000000873115E-2</v>
      </c>
      <c r="N103" s="7">
        <f t="shared" si="45"/>
        <v>35.100000001257285</v>
      </c>
      <c r="O103" s="7"/>
      <c r="P103" s="7"/>
      <c r="Q103" s="22"/>
      <c r="R103" s="22"/>
      <c r="S103" s="31">
        <f t="shared" si="29"/>
        <v>1</v>
      </c>
      <c r="T103" s="46" t="str">
        <f t="shared" si="30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1"/>
        <v>https://d0f6bd738d7f1b3e5a7ca70fe4ff75f0.us-east-1.aws.found.io/app/kibana#/discover/Steve-Slow-Train-Analysis-(2080s-and-2083s)?_g=(refreshInterval:(display:Off,pause:!f,section:0,value:0),time:(from:'2017-04-22T13:54:14-0600',mode:absolute,to:'2017-04-22T16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183" t="str">
        <f t="shared" si="32"/>
        <v>N</v>
      </c>
      <c r="X103" s="183">
        <f t="shared" si="44"/>
        <v>1</v>
      </c>
      <c r="Y103" s="62">
        <f t="shared" si="33"/>
        <v>4.6399999999999997E-2</v>
      </c>
      <c r="Z103" s="62">
        <f t="shared" si="34"/>
        <v>23.3293</v>
      </c>
      <c r="AA103" s="62">
        <f t="shared" si="35"/>
        <v>23.282900000000001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0191-22</v>
      </c>
      <c r="AE103" s="85" t="str">
        <f t="shared" si="37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103" s="82" t="str">
        <f t="shared" si="38"/>
        <v>"C:\Program Files (x86)\AstroGrep\AstroGrep.exe" /e /r /s /spath="%USERPROFILE%\AppData\Local\Temp\OnboardLogs" /stypes="app*4064*20170422*" /stext=" 21:.+((SYSTEM_STATE.+slice.+state.+changed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191-22 --locoid 4064 --swversion DE.1.0.9.0 --startMP 204:464 --initTime 2017-04-22T14:54:14 --startdatetime 2017-04-22T15:00:16 --delay 1 --endMP 204:233293 --enddatetime 2017-04-22T15:35:22 --enforcementcount 0 &gt;&gt;C:\Users\stu\Documents\GitHub\eaglep3-reporting\EC\2017-04-22-refined-times.txt</v>
      </c>
      <c r="AI103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{"issue":{"subject":"","project_id":79,"tracker_id":40,"status_id":1,"priority_id":2,"assigned_to_id":23,"start_date":"2017-04-22","description":"","custom_fields":[{"id":1,"name":"Subdivision","value":"EC"},{"id":4,"name":"Milepost","value":"23.3293"},{"id":17,"name":"Train ID","value":"191-22"},{"id":16,"name":"Locomotive ID","value":"4064"},{"id":130,"name":"Impact","value":""},{"id":150,"name":"Time of Event (Mountain Time)","value":"15:35:22"},{"id":151,"name":"Denver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2"/>
        <v>start /low /b %USERPROFILE%\Documents\GitHub\eaglep3\Utilities\DownloadLogsFromS3.py --loco 4064 --day 2017-04-22</v>
      </c>
      <c r="AN103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754</v>
      </c>
      <c r="B104" s="7">
        <v>4063</v>
      </c>
      <c r="C104" s="21" t="s">
        <v>213</v>
      </c>
      <c r="D104" s="21" t="s">
        <v>461</v>
      </c>
      <c r="E104" s="13">
        <v>42847.658333333333</v>
      </c>
      <c r="F104" s="13">
        <v>42847.664074074077</v>
      </c>
      <c r="G104" s="7">
        <v>1</v>
      </c>
      <c r="H104" s="21" t="s">
        <v>421</v>
      </c>
      <c r="I104" s="13">
        <v>42847.690601851849</v>
      </c>
      <c r="J104" s="7">
        <v>0</v>
      </c>
      <c r="K104" s="97" t="str">
        <f t="shared" si="26"/>
        <v>4063/4064</v>
      </c>
      <c r="L104" s="21" t="str">
        <f>VLOOKUP(A104,'Trips&amp;Operators'!$C$1:$G$99999,5,FALSE)</f>
        <v>BRUDER RICHARD</v>
      </c>
      <c r="M104" s="6">
        <f t="shared" si="27"/>
        <v>2.6527777772571426E-2</v>
      </c>
      <c r="N104" s="7">
        <f t="shared" si="45"/>
        <v>38.199999992502853</v>
      </c>
      <c r="O104" s="7"/>
      <c r="P104" s="7"/>
      <c r="Q104" s="22"/>
      <c r="R104" s="22"/>
      <c r="S104" s="31">
        <f t="shared" si="29"/>
        <v>1</v>
      </c>
      <c r="T104" s="46" t="str">
        <f t="shared" si="30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1"/>
        <v>https://d0f6bd738d7f1b3e5a7ca70fe4ff75f0.us-east-1.aws.found.io/app/kibana#/discover/Steve-Slow-Train-Analysis-(2080s-and-2083s)?_g=(refreshInterval:(display:Off,pause:!f,section:0,value:0),time:(from:'2017-04-22T14:48:00-0600',mode:absolute,to:'2017-04-22T17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4" s="183" t="str">
        <f t="shared" si="32"/>
        <v>N</v>
      </c>
      <c r="X104" s="183">
        <f t="shared" si="44"/>
        <v>1</v>
      </c>
      <c r="Y104" s="62">
        <f t="shared" si="33"/>
        <v>23.297999999999998</v>
      </c>
      <c r="Z104" s="62">
        <f t="shared" si="34"/>
        <v>1.4999999999999999E-2</v>
      </c>
      <c r="AA104" s="62">
        <f t="shared" si="35"/>
        <v>23.282999999999998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0192-22</v>
      </c>
      <c r="AE104" s="85" t="str">
        <f t="shared" si="37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104" s="82" t="str">
        <f t="shared" si="38"/>
        <v>"C:\Program Files (x86)\AstroGrep\AstroGrep.exe" /e /r /s /spath="%USERPROFILE%\AppData\Local\Temp\OnboardLogs" /stypes="app*4063*20170422*" /stext=" 22:.+((SYSTEM_STATE.+slice.+state.+changed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192-22 --locoid 4063 --swversion DE.1.0.9.0 --startMP 204:232980 --initTime 2017-04-22T15:48:00 --startdatetime 2017-04-22T15:56:16 --delay 1 --endMP 204:150 --enddatetime 2017-04-22T16:34:28 --enforcementcount 0 &gt;&gt;C:\Users\stu\Documents\GitHub\eaglep3-reporting\EC\2017-04-22-refined-times.txt</v>
      </c>
      <c r="AI104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{"issue":{"subject":"","project_id":79,"tracker_id":40,"status_id":1,"priority_id":2,"assigned_to_id":23,"start_date":"2017-04-22","description":"","custom_fields":[{"id":1,"name":"Subdivision","value":"EC"},{"id":4,"name":"Milepost","value":"0.015"},{"id":17,"name":"Train ID","value":"192-22"},{"id":16,"name":"Locomotive ID","value":"4063"},{"id":130,"name":"Impact","value":""},{"id":150,"name":"Time of Event (Mountain Time)","value":"16:34:28"},{"id":151,"name":"Denver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2"/>
        <v>start /low /b %USERPROFILE%\Documents\GitHub\eaglep3\Utilities\DownloadLogsFromS3.py --loco 4063 --day 2017-04-22</v>
      </c>
      <c r="AN104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747</v>
      </c>
      <c r="B105" s="7">
        <v>4032</v>
      </c>
      <c r="C105" s="21" t="s">
        <v>213</v>
      </c>
      <c r="D105" s="21" t="s">
        <v>370</v>
      </c>
      <c r="E105" s="13">
        <v>42847.632418981484</v>
      </c>
      <c r="F105" s="13">
        <v>42847.635694444441</v>
      </c>
      <c r="G105" s="7">
        <v>1</v>
      </c>
      <c r="H105" s="21" t="s">
        <v>453</v>
      </c>
      <c r="I105" s="13">
        <v>42847.660370370373</v>
      </c>
      <c r="J105" s="7">
        <v>0</v>
      </c>
      <c r="K105" s="97" t="str">
        <f t="shared" si="26"/>
        <v>4031/4032</v>
      </c>
      <c r="L105" s="21" t="str">
        <f>VLOOKUP(A105,'Trips&amp;Operators'!$C$1:$G$99999,5,FALSE)</f>
        <v>WHITED DUSTIN</v>
      </c>
      <c r="M105" s="6">
        <f t="shared" si="27"/>
        <v>2.4675925931660458E-2</v>
      </c>
      <c r="N105" s="7">
        <f t="shared" si="45"/>
        <v>35.53333334159106</v>
      </c>
      <c r="O105" s="7"/>
      <c r="P105" s="7"/>
      <c r="Q105" s="22"/>
      <c r="R105" s="22"/>
      <c r="S105" s="31">
        <f t="shared" si="29"/>
        <v>1</v>
      </c>
      <c r="T105" s="46" t="str">
        <f t="shared" si="30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1"/>
        <v>https://d0f6bd738d7f1b3e5a7ca70fe4ff75f0.us-east-1.aws.found.io/app/kibana#/discover/Steve-Slow-Train-Analysis-(2080s-and-2083s)?_g=(refreshInterval:(display:Off,pause:!f,section:0,value:0),time:(from:'2017-04-22T14:10:41-0600',mode:absolute,to:'2017-04-22T16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183" t="str">
        <f t="shared" si="32"/>
        <v>N</v>
      </c>
      <c r="X105" s="183">
        <f t="shared" si="44"/>
        <v>1</v>
      </c>
      <c r="Y105" s="62">
        <f t="shared" si="33"/>
        <v>4.4900000000000002E-2</v>
      </c>
      <c r="Z105" s="62">
        <f t="shared" si="34"/>
        <v>23.3323</v>
      </c>
      <c r="AA105" s="62">
        <f t="shared" si="35"/>
        <v>23.287400000000002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0193-22</v>
      </c>
      <c r="AE105" s="85" t="str">
        <f t="shared" si="37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105" s="82" t="str">
        <f t="shared" si="38"/>
        <v>"C:\Program Files (x86)\AstroGrep\AstroGrep.exe" /e /r /s /spath="%USERPROFILE%\AppData\Local\Temp\OnboardLogs" /stypes="app*4032*20170422*" /stext=" 21:.+((SYSTEM_STATE.+slice.+state.+changed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193-22 --locoid 4032 --swversion DE.1.0.9.0 --startMP 204:449 --initTime 2017-04-22T15:10:41 --startdatetime 2017-04-22T15:15:24 --delay 1 --endMP 204:233323 --enddatetime 2017-04-22T15:50:56 --enforcementcount 0 &gt;&gt;C:\Users\stu\Documents\GitHub\eaglep3-reporting\EC\2017-04-22-refined-times.txt</v>
      </c>
      <c r="AI105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{"issue":{"subject":"","project_id":79,"tracker_id":40,"status_id":1,"priority_id":2,"assigned_to_id":23,"start_date":"2017-04-22","description":"","custom_fields":[{"id":1,"name":"Subdivision","value":"EC"},{"id":4,"name":"Milepost","value":"23.3323"},{"id":17,"name":"Train ID","value":"193-22"},{"id":16,"name":"Locomotive ID","value":"4032"},{"id":130,"name":"Impact","value":""},{"id":150,"name":"Time of Event (Mountain Time)","value":"15:50:56"},{"id":151,"name":"Denver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2"/>
        <v>start /low /b %USERPROFILE%\Documents\GitHub\eaglep3\Utilities\DownloadLogsFromS3.py --loco 4032 --day 2017-04-22</v>
      </c>
      <c r="AN105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756</v>
      </c>
      <c r="B106" s="7">
        <v>4031</v>
      </c>
      <c r="C106" s="21" t="s">
        <v>213</v>
      </c>
      <c r="D106" s="21" t="s">
        <v>861</v>
      </c>
      <c r="E106" s="13">
        <v>42847.668032407404</v>
      </c>
      <c r="F106" s="13">
        <v>42847.674502314818</v>
      </c>
      <c r="G106" s="7">
        <v>1</v>
      </c>
      <c r="H106" s="21" t="s">
        <v>479</v>
      </c>
      <c r="I106" s="13">
        <v>42847.700555555559</v>
      </c>
      <c r="J106" s="7">
        <v>0</v>
      </c>
      <c r="K106" s="97" t="str">
        <f t="shared" si="26"/>
        <v>4031/4032</v>
      </c>
      <c r="L106" s="21" t="str">
        <f>VLOOKUP(A106,'Trips&amp;Operators'!$C$1:$G$99999,5,FALSE)</f>
        <v>WHITED DUSTIN</v>
      </c>
      <c r="M106" s="6">
        <f t="shared" si="27"/>
        <v>2.6053240741021E-2</v>
      </c>
      <c r="N106" s="7">
        <f t="shared" si="45"/>
        <v>37.51666666707024</v>
      </c>
      <c r="O106" s="7"/>
      <c r="P106" s="7"/>
      <c r="Q106" s="22"/>
      <c r="R106" s="22"/>
      <c r="S106" s="31">
        <f t="shared" si="29"/>
        <v>1</v>
      </c>
      <c r="T106" s="46" t="str">
        <f t="shared" si="30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1"/>
        <v>https://d0f6bd738d7f1b3e5a7ca70fe4ff75f0.us-east-1.aws.found.io/app/kibana#/discover/Steve-Slow-Train-Analysis-(2080s-and-2083s)?_g=(refreshInterval:(display:Off,pause:!f,section:0,value:0),time:(from:'2017-04-22T15:01:58-0600',mode:absolute,to:'2017-04-22T17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83" t="str">
        <f t="shared" si="32"/>
        <v>N</v>
      </c>
      <c r="X106" s="183">
        <f t="shared" si="44"/>
        <v>1</v>
      </c>
      <c r="Y106" s="62">
        <f t="shared" si="33"/>
        <v>23.300999999999998</v>
      </c>
      <c r="Z106" s="62">
        <f t="shared" si="34"/>
        <v>1.34E-2</v>
      </c>
      <c r="AA106" s="62">
        <f t="shared" si="35"/>
        <v>23.287599999999998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0194-22</v>
      </c>
      <c r="AE106" s="85" t="str">
        <f t="shared" si="37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106" s="82" t="str">
        <f t="shared" si="38"/>
        <v>"C:\Program Files (x86)\AstroGrep\AstroGrep.exe" /e /r /s /spath="%USERPROFILE%\AppData\Local\Temp\OnboardLogs" /stypes="app*4031*20170422*" /stext=" 22:.+((SYSTEM_STATE.+slice.+state.+changed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194-22 --locoid 4031 --swversion DE.1.0.9.0 --startMP 204:233010 --initTime 2017-04-22T16:01:58 --startdatetime 2017-04-22T16:11:17 --delay 1 --endMP 204:134 --enddatetime 2017-04-22T16:48:48 --enforcementcount 0 &gt;&gt;C:\Users\stu\Documents\GitHub\eaglep3-reporting\EC\2017-04-22-refined-times.txt</v>
      </c>
      <c r="AI106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{"issue":{"subject":"","project_id":79,"tracker_id":40,"status_id":1,"priority_id":2,"assigned_to_id":23,"start_date":"2017-04-22","description":"","custom_fields":[{"id":1,"name":"Subdivision","value":"EC"},{"id":4,"name":"Milepost","value":"0.0134"},{"id":17,"name":"Train ID","value":"194-22"},{"id":16,"name":"Locomotive ID","value":"4031"},{"id":130,"name":"Impact","value":""},{"id":150,"name":"Time of Event (Mountain Time)","value":"16:48:48"},{"id":151,"name":"Denver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2"/>
        <v>start /low /b %USERPROFILE%\Documents\GitHub\eaglep3\Utilities\DownloadLogsFromS3.py --loco 4031 --day 2017-04-22</v>
      </c>
      <c r="AN106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3" t="s">
        <v>750</v>
      </c>
      <c r="B107" s="7">
        <v>4056</v>
      </c>
      <c r="C107" s="21" t="s">
        <v>213</v>
      </c>
      <c r="D107" s="21" t="s">
        <v>930</v>
      </c>
      <c r="E107" s="13">
        <v>42847.642546296294</v>
      </c>
      <c r="F107" s="13">
        <v>42847.646041666667</v>
      </c>
      <c r="G107" s="7">
        <v>1</v>
      </c>
      <c r="H107" s="21" t="s">
        <v>860</v>
      </c>
      <c r="I107" s="13">
        <v>42847.670601851853</v>
      </c>
      <c r="J107" s="7">
        <v>0</v>
      </c>
      <c r="K107" s="97" t="str">
        <f t="shared" si="26"/>
        <v>4055/4056</v>
      </c>
      <c r="L107" s="21" t="str">
        <f>VLOOKUP(A107,'Trips&amp;Operators'!$C$1:$G$99999,5,FALSE)</f>
        <v>LEVIN SCOTT</v>
      </c>
      <c r="M107" s="6">
        <f t="shared" si="27"/>
        <v>2.4560185185691807E-2</v>
      </c>
      <c r="N107" s="7">
        <f t="shared" si="45"/>
        <v>35.366666667396203</v>
      </c>
      <c r="O107" s="7"/>
      <c r="P107" s="7"/>
      <c r="Q107" s="22"/>
      <c r="R107" s="22"/>
      <c r="S107" s="31">
        <f t="shared" si="29"/>
        <v>1</v>
      </c>
      <c r="T107" s="46" t="str">
        <f t="shared" si="30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1"/>
        <v>https://d0f6bd738d7f1b3e5a7ca70fe4ff75f0.us-east-1.aws.found.io/app/kibana#/discover/Steve-Slow-Train-Analysis-(2080s-and-2083s)?_g=(refreshInterval:(display:Off,pause:!f,section:0,value:0),time:(from:'2017-04-22T14:25:16-0600',mode:absolute,to:'2017-04-22T17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183" t="str">
        <f t="shared" si="32"/>
        <v>N</v>
      </c>
      <c r="X107" s="183">
        <f t="shared" si="44"/>
        <v>1</v>
      </c>
      <c r="Y107" s="62">
        <f t="shared" si="33"/>
        <v>4.3099999999999999E-2</v>
      </c>
      <c r="Z107" s="62">
        <f t="shared" si="34"/>
        <v>23.3324</v>
      </c>
      <c r="AA107" s="62">
        <f t="shared" si="35"/>
        <v>23.289300000000001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0195-22</v>
      </c>
      <c r="AE107" s="85" t="str">
        <f t="shared" si="37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107" s="82" t="str">
        <f t="shared" si="38"/>
        <v>"C:\Program Files (x86)\AstroGrep\AstroGrep.exe" /e /r /s /spath="%USERPROFILE%\AppData\Local\Temp\OnboardLogs" /stypes="app*4056*20170422*" /stext=" 22:.+((SYSTEM_STATE.+slice.+state.+changed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195-22 --locoid 4056 --swversion DE.1.0.9.0 --startMP 204:431 --initTime 2017-04-22T15:25:16 --startdatetime 2017-04-22T15:30:18 --delay 1 --endMP 204:233324 --enddatetime 2017-04-22T16:05:40 --enforcementcount 0 &gt;&gt;C:\Users\stu\Documents\GitHub\eaglep3-reporting\EC\2017-04-22-refined-times.txt</v>
      </c>
      <c r="AI107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{"issue":{"subject":"","project_id":79,"tracker_id":40,"status_id":1,"priority_id":2,"assigned_to_id":23,"start_date":"2017-04-22","description":"","custom_fields":[{"id":1,"name":"Subdivision","value":"EC"},{"id":4,"name":"Milepost","value":"23.3324"},{"id":17,"name":"Train ID","value":"195-22"},{"id":16,"name":"Locomotive ID","value":"4056"},{"id":130,"name":"Impact","value":""},{"id":150,"name":"Time of Event (Mountain Time)","value":"16:05:40"},{"id":151,"name":"Denver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8"/>
      <c r="AL107" s="48"/>
      <c r="AM107" s="150" t="str">
        <f t="shared" si="42"/>
        <v>start /low /b %USERPROFILE%\Documents\GitHub\eaglep3\Utilities\DownloadLogsFromS3.py --loco 4056 --day 2017-04-22</v>
      </c>
      <c r="AN107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3" t="s">
        <v>601</v>
      </c>
      <c r="B108" s="7">
        <v>4055</v>
      </c>
      <c r="C108" s="21" t="s">
        <v>213</v>
      </c>
      <c r="D108" s="21" t="s">
        <v>931</v>
      </c>
      <c r="E108" s="13">
        <v>42847.681481481479</v>
      </c>
      <c r="F108" s="13">
        <v>42847.684895833336</v>
      </c>
      <c r="G108" s="7">
        <v>1</v>
      </c>
      <c r="H108" s="21" t="s">
        <v>932</v>
      </c>
      <c r="I108" s="13">
        <v>42847.712210648147</v>
      </c>
      <c r="J108" s="7">
        <v>0</v>
      </c>
      <c r="K108" s="97" t="str">
        <f t="shared" si="26"/>
        <v>4055/4056</v>
      </c>
      <c r="L108" s="21" t="str">
        <f>VLOOKUP(A108,'Trips&amp;Operators'!$C$1:$G$99999,5,FALSE)</f>
        <v>LEVIN SCOTT</v>
      </c>
      <c r="M108" s="6">
        <f t="shared" si="27"/>
        <v>2.7314814811688848E-2</v>
      </c>
      <c r="N108" s="7">
        <f t="shared" si="45"/>
        <v>39.333333328831941</v>
      </c>
      <c r="O108" s="7"/>
      <c r="P108" s="7"/>
      <c r="Q108" s="22"/>
      <c r="R108" s="22"/>
      <c r="S108" s="31">
        <f t="shared" si="29"/>
        <v>1</v>
      </c>
      <c r="T108" s="46" t="str">
        <f t="shared" si="30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1"/>
        <v>https://d0f6bd738d7f1b3e5a7ca70fe4ff75f0.us-east-1.aws.found.io/app/kibana#/discover/Steve-Slow-Train-Analysis-(2080s-and-2083s)?_g=(refreshInterval:(display:Off,pause:!f,section:0,value:0),time:(from:'2017-04-22T15:21:20-0600',mode:absolute,to:'2017-04-22T18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183" t="str">
        <f t="shared" si="32"/>
        <v>N</v>
      </c>
      <c r="X108" s="183">
        <f t="shared" si="44"/>
        <v>1</v>
      </c>
      <c r="Y108" s="62">
        <f t="shared" si="33"/>
        <v>23.301500000000001</v>
      </c>
      <c r="Z108" s="62">
        <f t="shared" si="34"/>
        <v>1.21E-2</v>
      </c>
      <c r="AA108" s="62">
        <f t="shared" si="35"/>
        <v>23.289400000000001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0196-22</v>
      </c>
      <c r="AE108" s="85" t="str">
        <f t="shared" si="37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108" s="82" t="str">
        <f t="shared" si="38"/>
        <v>"C:\Program Files (x86)\AstroGrep\AstroGrep.exe" /e /r /s /spath="%USERPROFILE%\AppData\Local\Temp\OnboardLogs" /stypes="app*4055*20170422*" /stext=" 23:.+((SYSTEM_STATE.+slice.+state.+changed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196-22 --locoid 4055 --swversion DE.1.0.9.0 --startMP 204:233015 --initTime 2017-04-22T16:21:20 --startdatetime 2017-04-22T16:26:15 --delay 1 --endMP 204:121 --enddatetime 2017-04-22T17:05:35 --enforcementcount 0 &gt;&gt;C:\Users\stu\Documents\GitHub\eaglep3-reporting\EC\2017-04-22-refined-times.txt</v>
      </c>
      <c r="AI108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{"issue":{"subject":"","project_id":79,"tracker_id":40,"status_id":1,"priority_id":2,"assigned_to_id":23,"start_date":"2017-04-22","description":"","custom_fields":[{"id":1,"name":"Subdivision","value":"EC"},{"id":4,"name":"Milepost","value":"0.0121"},{"id":17,"name":"Train ID","value":"196-22"},{"id":16,"name":"Locomotive ID","value":"4055"},{"id":130,"name":"Impact","value":""},{"id":150,"name":"Time of Event (Mountain Time)","value":"17:05:35"},{"id":151,"name":"Denver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2"/>
        <v>start /low /b %USERPROFILE%\Documents\GitHub\eaglep3\Utilities\DownloadLogsFromS3.py --loco 4055 --day 2017-04-22</v>
      </c>
      <c r="AN108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753</v>
      </c>
      <c r="B109" s="7">
        <v>4022</v>
      </c>
      <c r="C109" s="21" t="s">
        <v>213</v>
      </c>
      <c r="D109" s="21" t="s">
        <v>482</v>
      </c>
      <c r="E109" s="13">
        <v>42847.650960648149</v>
      </c>
      <c r="F109" s="13">
        <v>42847.656412037039</v>
      </c>
      <c r="G109" s="7">
        <v>1</v>
      </c>
      <c r="H109" s="21" t="s">
        <v>933</v>
      </c>
      <c r="I109" s="13">
        <v>42847.680983796294</v>
      </c>
      <c r="J109" s="7">
        <v>0</v>
      </c>
      <c r="K109" s="97" t="str">
        <f t="shared" si="26"/>
        <v>4021/4022</v>
      </c>
      <c r="L109" s="21" t="str">
        <f>VLOOKUP(A109,'Trips&amp;Operators'!$C$1:$G$99999,5,FALSE)</f>
        <v>ROMERO CHAD</v>
      </c>
      <c r="M109" s="6">
        <f t="shared" si="27"/>
        <v>2.4571759255195502E-2</v>
      </c>
      <c r="N109" s="7">
        <f t="shared" si="45"/>
        <v>35.383333327481523</v>
      </c>
      <c r="O109" s="7"/>
      <c r="P109" s="7"/>
      <c r="Q109" s="22"/>
      <c r="R109" s="22"/>
      <c r="S109" s="31">
        <f t="shared" si="29"/>
        <v>1</v>
      </c>
      <c r="T109" s="46" t="str">
        <f t="shared" si="30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1"/>
        <v>https://d0f6bd738d7f1b3e5a7ca70fe4ff75f0.us-east-1.aws.found.io/app/kibana#/discover/Steve-Slow-Train-Analysis-(2080s-and-2083s)?_g=(refreshInterval:(display:Off,pause:!f,section:0,value:0),time:(from:'2017-04-22T14:37:23-0600',mode:absolute,to:'2017-04-22T17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83" t="str">
        <f t="shared" si="32"/>
        <v>N</v>
      </c>
      <c r="X109" s="183">
        <f t="shared" si="44"/>
        <v>1</v>
      </c>
      <c r="Y109" s="62">
        <f t="shared" si="33"/>
        <v>4.3700000000000003E-2</v>
      </c>
      <c r="Z109" s="62">
        <f t="shared" si="34"/>
        <v>23.338699999999999</v>
      </c>
      <c r="AA109" s="62">
        <f t="shared" si="35"/>
        <v>23.294999999999998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0197-22</v>
      </c>
      <c r="AE109" s="85" t="str">
        <f t="shared" si="37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109" s="82" t="str">
        <f t="shared" si="38"/>
        <v>"C:\Program Files (x86)\AstroGrep\AstroGrep.exe" /e /r /s /spath="%USERPROFILE%\AppData\Local\Temp\OnboardLogs" /stypes="app*4022*20170422*" /stext=" 22:.+((SYSTEM_STATE.+slice.+state.+changed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197-22 --locoid 4022 --swversion DE.1.0.9.0 --startMP 204:437 --initTime 2017-04-22T15:37:23 --startdatetime 2017-04-22T15:45:14 --delay 1 --endMP 204:233387 --enddatetime 2017-04-22T16:20:37 --enforcementcount 0 &gt;&gt;C:\Users\stu\Documents\GitHub\eaglep3-reporting\EC\2017-04-22-refined-times.txt</v>
      </c>
      <c r="AI10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{"issue":{"subject":"","project_id":79,"tracker_id":40,"status_id":1,"priority_id":2,"assigned_to_id":23,"start_date":"2017-04-22","description":"","custom_fields":[{"id":1,"name":"Subdivision","value":"EC"},{"id":4,"name":"Milepost","value":"23.3387"},{"id":17,"name":"Train ID","value":"197-22"},{"id":16,"name":"Locomotive ID","value":"4022"},{"id":130,"name":"Impact","value":""},{"id":150,"name":"Time of Event (Mountain Time)","value":"16:20:37"},{"id":151,"name":"Denver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2"/>
        <v>start /low /b %USERPROFILE%\Documents\GitHub\eaglep3\Utilities\DownloadLogsFromS3.py --loco 4022 --day 2017-04-22</v>
      </c>
      <c r="AN109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759</v>
      </c>
      <c r="B110" s="7">
        <v>4021</v>
      </c>
      <c r="C110" s="21" t="s">
        <v>213</v>
      </c>
      <c r="D110" s="21" t="s">
        <v>934</v>
      </c>
      <c r="E110" s="13">
        <v>42847.682708333334</v>
      </c>
      <c r="F110" s="13">
        <v>42847.695555555554</v>
      </c>
      <c r="G110" s="7">
        <v>0</v>
      </c>
      <c r="H110" s="21" t="s">
        <v>431</v>
      </c>
      <c r="I110" s="13">
        <v>42847.720752314817</v>
      </c>
      <c r="J110" s="7">
        <v>0</v>
      </c>
      <c r="K110" s="97" t="str">
        <f t="shared" si="26"/>
        <v>4021/4022</v>
      </c>
      <c r="L110" s="21" t="str">
        <f>VLOOKUP(A110,'Trips&amp;Operators'!$C$1:$G$99999,5,FALSE)</f>
        <v>ROMERO CHAD</v>
      </c>
      <c r="M110" s="6">
        <f t="shared" si="27"/>
        <v>2.5196759263053536E-2</v>
      </c>
      <c r="N110" s="7">
        <f t="shared" si="45"/>
        <v>36.283333338797092</v>
      </c>
      <c r="O110" s="7"/>
      <c r="P110" s="7"/>
      <c r="Q110" s="22"/>
      <c r="R110" s="22"/>
      <c r="S110" s="31">
        <f t="shared" si="29"/>
        <v>1</v>
      </c>
      <c r="T110" s="46" t="str">
        <f t="shared" si="30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1"/>
        <v>https://d0f6bd738d7f1b3e5a7ca70fe4ff75f0.us-east-1.aws.found.io/app/kibana#/discover/Steve-Slow-Train-Analysis-(2080s-and-2083s)?_g=(refreshInterval:(display:Off,pause:!f,section:0,value:0),time:(from:'2017-04-22T15:23:06-0600',mode:absolute,to:'2017-04-22T18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83" t="str">
        <f t="shared" si="32"/>
        <v>N</v>
      </c>
      <c r="X110" s="183">
        <f t="shared" ref="X110:X141" si="46">VALUE(LEFT(AD110,4))-VALUE(LEFT(AD109,4))</f>
        <v>1</v>
      </c>
      <c r="Y110" s="62">
        <f t="shared" si="33"/>
        <v>23.3066</v>
      </c>
      <c r="Z110" s="62">
        <f t="shared" si="34"/>
        <v>1.3899999999999999E-2</v>
      </c>
      <c r="AA110" s="62">
        <f t="shared" si="35"/>
        <v>23.2927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0198-22</v>
      </c>
      <c r="AE110" s="85" t="str">
        <f t="shared" si="37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110" s="82" t="str">
        <f t="shared" si="38"/>
        <v>"C:\Program Files (x86)\AstroGrep\AstroGrep.exe" /e /r /s /spath="%USERPROFILE%\AppData\Local\Temp\OnboardLogs" /stypes="app*4021*20170422*" /stext=" 23:.+((SYSTEM_STATE.+slice.+state.+changed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198-22 --locoid 4021 --swversion DE.1.0.9.0 --startMP 204:233066 --initTime 2017-04-22T16:23:06 --startdatetime 2017-04-22T16:41:36 --delay 0 --endMP 204:139 --enddatetime 2017-04-22T17:17:53 --enforcementcount 0 &gt;&gt;C:\Users\stu\Documents\GitHub\eaglep3-reporting\EC\2017-04-22-refined-times.txt</v>
      </c>
      <c r="AI11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{"issue":{"subject":"","project_id":79,"tracker_id":40,"status_id":1,"priority_id":2,"assigned_to_id":23,"start_date":"2017-04-22","description":"","custom_fields":[{"id":1,"name":"Subdivision","value":"EC"},{"id":4,"name":"Milepost","value":"0.0139"},{"id":17,"name":"Train ID","value":"198-22"},{"id":16,"name":"Locomotive ID","value":"4021"},{"id":130,"name":"Impact","value":""},{"id":150,"name":"Time of Event (Mountain Time)","value":"17:17:53"},{"id":151,"name":"Denver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2"/>
        <v>start /low /b %USERPROFILE%\Documents\GitHub\eaglep3\Utilities\DownloadLogsFromS3.py --loco 4021 --day 2017-04-22</v>
      </c>
      <c r="AN110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755</v>
      </c>
      <c r="B111" s="7">
        <v>4026</v>
      </c>
      <c r="C111" s="21" t="s">
        <v>213</v>
      </c>
      <c r="D111" s="21" t="s">
        <v>423</v>
      </c>
      <c r="E111" s="13">
        <v>42847.662268518521</v>
      </c>
      <c r="F111" s="13">
        <v>42847.666875000003</v>
      </c>
      <c r="G111" s="7">
        <v>1</v>
      </c>
      <c r="H111" s="21" t="s">
        <v>935</v>
      </c>
      <c r="I111" s="13">
        <v>42847.691099537034</v>
      </c>
      <c r="J111" s="7">
        <v>0</v>
      </c>
      <c r="K111" s="97" t="str">
        <f t="shared" si="26"/>
        <v>4025/4026</v>
      </c>
      <c r="L111" s="21" t="str">
        <f>VLOOKUP(A111,'Trips&amp;Operators'!$C$1:$G$99999,5,FALSE)</f>
        <v>LALONDE GREGORY</v>
      </c>
      <c r="M111" s="6">
        <f t="shared" si="27"/>
        <v>2.4224537031841464E-2</v>
      </c>
      <c r="N111" s="7">
        <f t="shared" si="45"/>
        <v>34.883333325851709</v>
      </c>
      <c r="O111" s="7"/>
      <c r="P111" s="7"/>
      <c r="Q111" s="22"/>
      <c r="R111" s="22"/>
      <c r="S111" s="31">
        <f t="shared" si="29"/>
        <v>1</v>
      </c>
      <c r="T111" s="46" t="str">
        <f t="shared" si="30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1"/>
        <v>https://d0f6bd738d7f1b3e5a7ca70fe4ff75f0.us-east-1.aws.found.io/app/kibana#/discover/Steve-Slow-Train-Analysis-(2080s-and-2083s)?_g=(refreshInterval:(display:Off,pause:!f,section:0,value:0),time:(from:'2017-04-22T14:53:40-0600',mode:absolute,to:'2017-04-22T17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83" t="str">
        <f t="shared" si="32"/>
        <v>N</v>
      </c>
      <c r="X111" s="183">
        <f t="shared" si="46"/>
        <v>1</v>
      </c>
      <c r="Y111" s="62">
        <f t="shared" si="33"/>
        <v>4.7300000000000002E-2</v>
      </c>
      <c r="Z111" s="62">
        <f t="shared" si="34"/>
        <v>23.333600000000001</v>
      </c>
      <c r="AA111" s="62">
        <f t="shared" si="35"/>
        <v>23.286300000000001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0199-22</v>
      </c>
      <c r="AE111" s="85" t="str">
        <f t="shared" si="37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111" s="82" t="str">
        <f t="shared" si="38"/>
        <v>"C:\Program Files (x86)\AstroGrep\AstroGrep.exe" /e /r /s /spath="%USERPROFILE%\AppData\Local\Temp\OnboardLogs" /stypes="app*4026*20170422*" /stext=" 22:.+((SYSTEM_STATE.+slice.+state.+changed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199-22 --locoid 4026 --swversion DE.1.0.9.0 --startMP 204:473 --initTime 2017-04-22T15:53:40 --startdatetime 2017-04-22T16:00:18 --delay 1 --endMP 204:233336 --enddatetime 2017-04-22T16:35:11 --enforcementcount 0 &gt;&gt;C:\Users\stu\Documents\GitHub\eaglep3-reporting\EC\2017-04-22-refined-times.txt</v>
      </c>
      <c r="AI111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{"issue":{"subject":"","project_id":79,"tracker_id":40,"status_id":1,"priority_id":2,"assigned_to_id":23,"start_date":"2017-04-22","description":"","custom_fields":[{"id":1,"name":"Subdivision","value":"EC"},{"id":4,"name":"Milepost","value":"23.3336"},{"id":17,"name":"Train ID","value":"199-22"},{"id":16,"name":"Locomotive ID","value":"4026"},{"id":130,"name":"Impact","value":""},{"id":150,"name":"Time of Event (Mountain Time)","value":"16:35:11"},{"id":151,"name":"Denver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2"/>
        <v>start /low /b %USERPROFILE%\Documents\GitHub\eaglep3\Utilities\DownloadLogsFromS3.py --loco 4026 --day 2017-04-22</v>
      </c>
      <c r="AN111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761</v>
      </c>
      <c r="B112" s="7">
        <v>4025</v>
      </c>
      <c r="C112" s="21" t="s">
        <v>213</v>
      </c>
      <c r="D112" s="21" t="s">
        <v>936</v>
      </c>
      <c r="E112" s="13">
        <v>42847.692199074074</v>
      </c>
      <c r="F112" s="13">
        <v>42847.705740740741</v>
      </c>
      <c r="G112" s="7">
        <v>1</v>
      </c>
      <c r="H112" s="21" t="s">
        <v>851</v>
      </c>
      <c r="I112" s="13">
        <v>42847.731539351851</v>
      </c>
      <c r="J112" s="7">
        <v>0</v>
      </c>
      <c r="K112" s="97" t="str">
        <f t="shared" si="26"/>
        <v>4025/4026</v>
      </c>
      <c r="L112" s="21" t="str">
        <f>VLOOKUP(A112,'Trips&amp;Operators'!$C$1:$G$99999,5,FALSE)</f>
        <v>LALONDE GREGORY</v>
      </c>
      <c r="M112" s="6">
        <f t="shared" si="27"/>
        <v>2.5798611110076308E-2</v>
      </c>
      <c r="N112" s="7">
        <f t="shared" si="45"/>
        <v>37.149999998509884</v>
      </c>
      <c r="O112" s="7"/>
      <c r="P112" s="7"/>
      <c r="Q112" s="22"/>
      <c r="R112" s="22"/>
      <c r="S112" s="31">
        <f t="shared" si="29"/>
        <v>1</v>
      </c>
      <c r="T112" s="46" t="str">
        <f t="shared" si="30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1"/>
        <v>https://d0f6bd738d7f1b3e5a7ca70fe4ff75f0.us-east-1.aws.found.io/app/kibana#/discover/Steve-Slow-Train-Analysis-(2080s-and-2083s)?_g=(refreshInterval:(display:Off,pause:!f,section:0,value:0),time:(from:'2017-04-22T15:36:46-0600',mode:absolute,to:'2017-04-22T18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2" s="183" t="str">
        <f t="shared" si="32"/>
        <v>N</v>
      </c>
      <c r="X112" s="183">
        <f t="shared" si="46"/>
        <v>1</v>
      </c>
      <c r="Y112" s="62">
        <f t="shared" si="33"/>
        <v>23.303599999999999</v>
      </c>
      <c r="Z112" s="62">
        <f t="shared" si="34"/>
        <v>1.2500000000000001E-2</v>
      </c>
      <c r="AA112" s="62">
        <f t="shared" si="35"/>
        <v>23.2911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0200-22</v>
      </c>
      <c r="AE112" s="85" t="str">
        <f t="shared" si="37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112" s="82" t="str">
        <f t="shared" si="38"/>
        <v>"C:\Program Files (x86)\AstroGrep\AstroGrep.exe" /e /r /s /spath="%USERPROFILE%\AppData\Local\Temp\OnboardLogs" /stypes="app*4025*20170422*" /stext=" 23:.+((SYSTEM_STATE.+slice.+state.+changed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200-22 --locoid 4025 --swversion DE.1.0.9.0 --startMP 204:233036 --initTime 2017-04-22T16:36:46 --startdatetime 2017-04-22T16:56:16 --delay 1 --endMP 204:125 --enddatetime 2017-04-22T17:33:25 --enforcementcount 0 &gt;&gt;C:\Users\stu\Documents\GitHub\eaglep3-reporting\EC\2017-04-22-refined-times.txt</v>
      </c>
      <c r="AI112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{"issue":{"subject":"","project_id":79,"tracker_id":40,"status_id":1,"priority_id":2,"assigned_to_id":23,"start_date":"2017-04-22","description":"","custom_fields":[{"id":1,"name":"Subdivision","value":"EC"},{"id":4,"name":"Milepost","value":"0.0125"},{"id":17,"name":"Train ID","value":"200-22"},{"id":16,"name":"Locomotive ID","value":"4025"},{"id":130,"name":"Impact","value":""},{"id":150,"name":"Time of Event (Mountain Time)","value":"17:33:25"},{"id":151,"name":"Denver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2"/>
        <v>start /low /b %USERPROFILE%\Documents\GitHub\eaglep3\Utilities\DownloadLogsFromS3.py --loco 4025 --day 2017-04-22</v>
      </c>
      <c r="AN112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757</v>
      </c>
      <c r="B113" s="7">
        <v>4042</v>
      </c>
      <c r="C113" s="21" t="s">
        <v>213</v>
      </c>
      <c r="D113" s="21" t="s">
        <v>455</v>
      </c>
      <c r="E113" s="13">
        <v>42847.672638888886</v>
      </c>
      <c r="F113" s="13">
        <v>42847.677349537036</v>
      </c>
      <c r="G113" s="7">
        <v>2</v>
      </c>
      <c r="H113" s="21" t="s">
        <v>564</v>
      </c>
      <c r="I113" s="13">
        <v>42847.702118055553</v>
      </c>
      <c r="J113" s="7">
        <v>0</v>
      </c>
      <c r="K113" s="97" t="str">
        <f t="shared" si="26"/>
        <v>4041/4042</v>
      </c>
      <c r="L113" s="21" t="str">
        <f>VLOOKUP(A113,'Trips&amp;Operators'!$C$1:$G$99999,5,FALSE)</f>
        <v>STEWART MICHAEL</v>
      </c>
      <c r="M113" s="6">
        <f t="shared" si="27"/>
        <v>2.4768518516793847E-2</v>
      </c>
      <c r="N113" s="7">
        <f t="shared" si="45"/>
        <v>35.66666666418314</v>
      </c>
      <c r="O113" s="7"/>
      <c r="P113" s="7"/>
      <c r="Q113" s="22"/>
      <c r="R113" s="22"/>
      <c r="S113" s="31">
        <f t="shared" si="29"/>
        <v>1</v>
      </c>
      <c r="T113" s="46" t="str">
        <f t="shared" si="30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1"/>
        <v>https://d0f6bd738d7f1b3e5a7ca70fe4ff75f0.us-east-1.aws.found.io/app/kibana#/discover/Steve-Slow-Train-Analysis-(2080s-and-2083s)?_g=(refreshInterval:(display:Off,pause:!f,section:0,value:0),time:(from:'2017-04-22T15:08:36-0600',mode:absolute,to:'2017-04-22T17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83" t="str">
        <f t="shared" si="32"/>
        <v>N</v>
      </c>
      <c r="X113" s="183">
        <f t="shared" si="46"/>
        <v>1</v>
      </c>
      <c r="Y113" s="62">
        <f t="shared" si="33"/>
        <v>4.3799999999999999E-2</v>
      </c>
      <c r="Z113" s="62">
        <f t="shared" si="34"/>
        <v>23.3278</v>
      </c>
      <c r="AA113" s="62">
        <f t="shared" si="35"/>
        <v>23.283999999999999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0201-22</v>
      </c>
      <c r="AE113" s="85" t="str">
        <f t="shared" si="37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113" s="82" t="str">
        <f t="shared" si="38"/>
        <v>"C:\Program Files (x86)\AstroGrep\AstroGrep.exe" /e /r /s /spath="%USERPROFILE%\AppData\Local\Temp\OnboardLogs" /stypes="app*4042*20170422*" /stext=" 22:.+((SYSTEM_STATE.+slice.+state.+changed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201-22 --locoid 4042 --swversion DE.1.0.9.0 --startMP 204:438 --initTime 2017-04-22T16:08:36 --startdatetime 2017-04-22T16:15:23 --delay 2 --endMP 204:233278 --enddatetime 2017-04-22T16:51:03 --enforcementcount 0 &gt;&gt;C:\Users\stu\Documents\GitHub\eaglep3-reporting\EC\2017-04-22-refined-times.txt</v>
      </c>
      <c r="AI113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{"issue":{"subject":"","project_id":79,"tracker_id":40,"status_id":1,"priority_id":2,"assigned_to_id":23,"start_date":"2017-04-22","description":"","custom_fields":[{"id":1,"name":"Subdivision","value":"EC"},{"id":4,"name":"Milepost","value":"23.3278"},{"id":17,"name":"Train ID","value":"201-22"},{"id":16,"name":"Locomotive ID","value":"4042"},{"id":130,"name":"Impact","value":""},{"id":150,"name":"Time of Event (Mountain Time)","value":"16:51:03"},{"id":151,"name":"Denver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2"/>
        <v>start /low /b %USERPROFILE%\Documents\GitHub\eaglep3\Utilities\DownloadLogsFromS3.py --loco 4042 --day 2017-04-22</v>
      </c>
      <c r="AN113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765</v>
      </c>
      <c r="B114" s="7">
        <v>4041</v>
      </c>
      <c r="C114" s="21" t="s">
        <v>213</v>
      </c>
      <c r="D114" s="21" t="s">
        <v>877</v>
      </c>
      <c r="E114" s="13">
        <v>42847.714120370372</v>
      </c>
      <c r="F114" s="13">
        <v>42847.716354166667</v>
      </c>
      <c r="G114" s="7">
        <v>1</v>
      </c>
      <c r="H114" s="21" t="s">
        <v>440</v>
      </c>
      <c r="I114" s="13">
        <v>42847.745439814818</v>
      </c>
      <c r="J114" s="7">
        <v>0</v>
      </c>
      <c r="K114" s="97" t="str">
        <f t="shared" si="26"/>
        <v>4041/4042</v>
      </c>
      <c r="L114" s="21" t="str">
        <f>VLOOKUP(A114,'Trips&amp;Operators'!$C$1:$G$99999,5,FALSE)</f>
        <v>STEWART MICHAEL</v>
      </c>
      <c r="M114" s="6">
        <f t="shared" si="27"/>
        <v>2.9085648151522037E-2</v>
      </c>
      <c r="N114" s="7">
        <f t="shared" si="45"/>
        <v>41.883333338191733</v>
      </c>
      <c r="O114" s="7"/>
      <c r="P114" s="7"/>
      <c r="Q114" s="22"/>
      <c r="R114" s="22" t="s">
        <v>1009</v>
      </c>
      <c r="S114" s="31">
        <f t="shared" si="29"/>
        <v>1</v>
      </c>
      <c r="T114" s="46" t="str">
        <f t="shared" si="30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1"/>
        <v>https://d0f6bd738d7f1b3e5a7ca70fe4ff75f0.us-east-1.aws.found.io/app/kibana#/discover/Steve-Slow-Train-Analysis-(2080s-and-2083s)?_g=(refreshInterval:(display:Off,pause:!f,section:0,value:0),time:(from:'2017-04-22T16:08:20-0600',mode:absolute,to:'2017-04-22T18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83" t="str">
        <f t="shared" si="32"/>
        <v>N</v>
      </c>
      <c r="X114" s="183">
        <f t="shared" si="46"/>
        <v>1</v>
      </c>
      <c r="Y114" s="62">
        <f t="shared" si="33"/>
        <v>23.2974</v>
      </c>
      <c r="Z114" s="62">
        <f t="shared" si="34"/>
        <v>1.5599999999999999E-2</v>
      </c>
      <c r="AA114" s="62">
        <f t="shared" si="35"/>
        <v>23.2818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0202-22</v>
      </c>
      <c r="AE114" s="85" t="str">
        <f t="shared" si="37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114" s="82" t="str">
        <f t="shared" si="38"/>
        <v>"C:\Program Files (x86)\AstroGrep\AstroGrep.exe" /e /r /s /spath="%USERPROFILE%\AppData\Local\Temp\OnboardLogs" /stypes="app*4041*20170422*" /stext=" 23:.+((SYSTEM_STATE.+slice.+state.+changed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202-22 --locoid 4041 --swversion DE.1.0.9.0 --startMP 204:232974 --initTime 2017-04-22T17:08:20 --startdatetime 2017-04-22T17:11:33 --delay 1 --endMP 204:156 --enddatetime 2017-04-22T17:53:26 --enforcementcount 0 &gt;&gt;C:\Users\stu\Documents\GitHub\eaglep3-reporting\EC\2017-04-22-refined-times.txt</v>
      </c>
      <c r="AI114" s="104" t="str">
        <f t="shared" si="41"/>
        <v>echo {"issue":{"subject":"Minor onboard in-route failure caused momentary red fence due to signal status unknown","project_id":79,"tracker_id":40,"status_id":1,"priority_id":2,"assigned_to_id":23,"start_date":"2017-04-22","description":"","custom_fields":[{"id":1,"name":"Subdivision","value":"EC"},{"id":4,"name":"Milepost","value":"0.0156"},{"id":17,"name":"Train ID","value":"202-22"},{"id":16,"name":"Locomotive ID","value":"4041"},{"id":130,"name":"Impact","value":""},{"id":150,"name":"Time of Event (Mountain Time)","value":"17:53:26"},{"id":151,"name":"Denver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2"/>
        <v>start /low /b %USERPROFILE%\Documents\GitHub\eaglep3\Utilities\DownloadLogsFromS3.py --loco 4041 --day 2017-04-22</v>
      </c>
      <c r="AN114" s="159" t="str">
        <f t="shared" si="43"/>
        <v>echo {"issue":{"subject":"Minor onboard in-route failure caused momentary red fence due to signal status unknown","project_id":30,"tracker_id":4,"status_id":1,"priority_id":1,"assigned_to_id":10,"start_date":"2017-04-22","description":"","custom_fields":[{"id":30,"name":"Category","value":"Issue"},{"id":3,"name":"Functional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760</v>
      </c>
      <c r="B115" s="7">
        <v>4018</v>
      </c>
      <c r="C115" s="21" t="s">
        <v>213</v>
      </c>
      <c r="D115" s="21" t="s">
        <v>455</v>
      </c>
      <c r="E115" s="13">
        <v>42847.683981481481</v>
      </c>
      <c r="F115" s="13">
        <v>42847.687650462962</v>
      </c>
      <c r="G115" s="7">
        <v>1</v>
      </c>
      <c r="H115" s="21" t="s">
        <v>937</v>
      </c>
      <c r="I115" s="13">
        <v>42847.712083333332</v>
      </c>
      <c r="J115" s="7">
        <v>0</v>
      </c>
      <c r="K115" s="97" t="str">
        <f t="shared" si="26"/>
        <v>4017/4018</v>
      </c>
      <c r="L115" s="21" t="str">
        <f>VLOOKUP(A115,'Trips&amp;Operators'!$C$1:$G$99999,5,FALSE)</f>
        <v>DELGADO DIANAH</v>
      </c>
      <c r="M115" s="6">
        <f t="shared" si="27"/>
        <v>2.4432870370219462E-2</v>
      </c>
      <c r="N115" s="7">
        <f t="shared" si="45"/>
        <v>35.183333333116025</v>
      </c>
      <c r="O115" s="7"/>
      <c r="P115" s="7"/>
      <c r="Q115" s="22"/>
      <c r="R115" s="22"/>
      <c r="S115" s="31">
        <f t="shared" si="29"/>
        <v>1</v>
      </c>
      <c r="T115" s="46" t="str">
        <f t="shared" si="30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1"/>
        <v>https://d0f6bd738d7f1b3e5a7ca70fe4ff75f0.us-east-1.aws.found.io/app/kibana#/discover/Steve-Slow-Train-Analysis-(2080s-and-2083s)?_g=(refreshInterval:(display:Off,pause:!f,section:0,value:0),time:(from:'2017-04-22T15:24:56-0600',mode:absolute,to:'2017-04-22T18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3" t="str">
        <f t="shared" si="32"/>
        <v>N</v>
      </c>
      <c r="X115" s="183">
        <f t="shared" si="46"/>
        <v>1</v>
      </c>
      <c r="Y115" s="62">
        <f t="shared" si="33"/>
        <v>4.3799999999999999E-2</v>
      </c>
      <c r="Z115" s="62">
        <f t="shared" si="34"/>
        <v>23.339500000000001</v>
      </c>
      <c r="AA115" s="62">
        <f t="shared" si="35"/>
        <v>23.2957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0203-22</v>
      </c>
      <c r="AE115" s="85" t="str">
        <f t="shared" si="37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115" s="82" t="str">
        <f t="shared" si="38"/>
        <v>"C:\Program Files (x86)\AstroGrep\AstroGrep.exe" /e /r /s /spath="%USERPROFILE%\AppData\Local\Temp\OnboardLogs" /stypes="app*4018*20170422*" /stext=" 23:.+((SYSTEM_STATE.+slice.+state.+changed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203-22 --locoid 4018 --swversion DE.1.0.9.0 --startMP 204:438 --initTime 2017-04-22T16:24:56 --startdatetime 2017-04-22T16:30:13 --delay 1 --endMP 204:233395 --enddatetime 2017-04-22T17:05:24 --enforcementcount 0 &gt;&gt;C:\Users\stu\Documents\GitHub\eaglep3-reporting\EC\2017-04-22-refined-times.txt</v>
      </c>
      <c r="AI115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{"issue":{"subject":"","project_id":79,"tracker_id":40,"status_id":1,"priority_id":2,"assigned_to_id":23,"start_date":"2017-04-22","description":"","custom_fields":[{"id":1,"name":"Subdivision","value":"EC"},{"id":4,"name":"Milepost","value":"23.3395"},{"id":17,"name":"Train ID","value":"203-22"},{"id":16,"name":"Locomotive ID","value":"4018"},{"id":130,"name":"Impact","value":""},{"id":150,"name":"Time of Event (Mountain Time)","value":"17:05:24"},{"id":151,"name":"Denver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2"/>
        <v>start /low /b %USERPROFILE%\Documents\GitHub\eaglep3\Utilities\DownloadLogsFromS3.py --loco 4018 --day 2017-04-22</v>
      </c>
      <c r="AN115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767</v>
      </c>
      <c r="B116" s="7">
        <v>4017</v>
      </c>
      <c r="C116" s="21" t="s">
        <v>213</v>
      </c>
      <c r="D116" s="21" t="s">
        <v>938</v>
      </c>
      <c r="E116" s="13">
        <v>42847.720173611109</v>
      </c>
      <c r="F116" s="13">
        <v>42847.726736111108</v>
      </c>
      <c r="G116" s="7">
        <v>1</v>
      </c>
      <c r="H116" s="21" t="s">
        <v>427</v>
      </c>
      <c r="I116" s="13">
        <v>42847.752662037034</v>
      </c>
      <c r="J116" s="7">
        <v>0</v>
      </c>
      <c r="K116" s="97" t="str">
        <f t="shared" si="26"/>
        <v>4017/4018</v>
      </c>
      <c r="L116" s="21" t="str">
        <f>VLOOKUP(A116,'Trips&amp;Operators'!$C$1:$G$99999,5,FALSE)</f>
        <v>DELGADO DIANAH</v>
      </c>
      <c r="M116" s="6">
        <f t="shared" si="27"/>
        <v>2.5925925925548654E-2</v>
      </c>
      <c r="N116" s="7">
        <f t="shared" si="45"/>
        <v>37.333333332790062</v>
      </c>
      <c r="O116" s="7"/>
      <c r="P116" s="7"/>
      <c r="Q116" s="22"/>
      <c r="R116" s="22"/>
      <c r="S116" s="31">
        <f t="shared" si="29"/>
        <v>1</v>
      </c>
      <c r="T116" s="46" t="str">
        <f t="shared" si="30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1"/>
        <v>https://d0f6bd738d7f1b3e5a7ca70fe4ff75f0.us-east-1.aws.found.io/app/kibana#/discover/Steve-Slow-Train-Analysis-(2080s-and-2083s)?_g=(refreshInterval:(display:Off,pause:!f,section:0,value:0),time:(from:'2017-04-22T16:17:03-0600',mode:absolute,to:'2017-04-22T19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3" t="str">
        <f t="shared" si="32"/>
        <v>N</v>
      </c>
      <c r="X116" s="183">
        <f t="shared" si="46"/>
        <v>1</v>
      </c>
      <c r="Y116" s="62">
        <f t="shared" si="33"/>
        <v>23.306699999999999</v>
      </c>
      <c r="Z116" s="62">
        <f t="shared" si="34"/>
        <v>1.43E-2</v>
      </c>
      <c r="AA116" s="62">
        <f t="shared" si="35"/>
        <v>23.292400000000001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0204-22</v>
      </c>
      <c r="AE116" s="85" t="str">
        <f t="shared" si="37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116" s="82" t="str">
        <f t="shared" si="38"/>
        <v>"C:\Program Files (x86)\AstroGrep\AstroGrep.exe" /e /r /s /spath="%USERPROFILE%\AppData\Local\Temp\OnboardLogs" /stypes="app*4017*20170423*" /stext=" 00:.+((SYSTEM_STATE.+slice.+state.+changed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204-22 --locoid 4017 --swversion DE.1.0.9.0 --startMP 204:233067 --initTime 2017-04-22T17:17:03 --startdatetime 2017-04-22T17:26:30 --delay 1 --endMP 204:143 --enddatetime 2017-04-22T18:03:50 --enforcementcount 0 &gt;&gt;C:\Users\stu\Documents\GitHub\eaglep3-reporting\EC\2017-04-22-refined-times.txt</v>
      </c>
      <c r="AI116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{"issue":{"subject":"","project_id":79,"tracker_id":40,"status_id":1,"priority_id":2,"assigned_to_id":23,"start_date":"2017-04-22","description":"","custom_fields":[{"id":1,"name":"Subdivision","value":"EC"},{"id":4,"name":"Milepost","value":"0.0143"},{"id":17,"name":"Train ID","value":"204-22"},{"id":16,"name":"Locomotive ID","value":"4017"},{"id":130,"name":"Impact","value":""},{"id":150,"name":"Time of Event (Mountain Time)","value":"18:03:50"},{"id":151,"name":"Denver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2"/>
        <v>start /low /b %USERPROFILE%\Documents\GitHub\eaglep3\Utilities\DownloadLogsFromS3.py --loco 4017 --day 2017-04-22</v>
      </c>
      <c r="AN116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763</v>
      </c>
      <c r="B117" s="7">
        <v>4064</v>
      </c>
      <c r="C117" s="21" t="s">
        <v>213</v>
      </c>
      <c r="D117" s="21" t="s">
        <v>438</v>
      </c>
      <c r="E117" s="13">
        <v>42847.693043981482</v>
      </c>
      <c r="F117" s="13">
        <v>42847.698101851849</v>
      </c>
      <c r="G117" s="7">
        <v>1</v>
      </c>
      <c r="H117" s="21" t="s">
        <v>569</v>
      </c>
      <c r="I117" s="13">
        <v>42847.722928240742</v>
      </c>
      <c r="J117" s="7">
        <v>0</v>
      </c>
      <c r="K117" s="97" t="str">
        <f t="shared" si="26"/>
        <v>4063/4064</v>
      </c>
      <c r="L117" s="21" t="str">
        <f>VLOOKUP(A117,'Trips&amp;Operators'!$C$1:$G$99999,5,FALSE)</f>
        <v>BRUDER RICHARD</v>
      </c>
      <c r="M117" s="6">
        <f t="shared" si="27"/>
        <v>2.4826388893416151E-2</v>
      </c>
      <c r="N117" s="7">
        <f t="shared" si="45"/>
        <v>35.750000006519258</v>
      </c>
      <c r="O117" s="7"/>
      <c r="P117" s="7"/>
      <c r="Q117" s="22"/>
      <c r="R117" s="22"/>
      <c r="S117" s="31">
        <f t="shared" si="29"/>
        <v>1</v>
      </c>
      <c r="T117" s="46" t="str">
        <f t="shared" si="30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1"/>
        <v>https://d0f6bd738d7f1b3e5a7ca70fe4ff75f0.us-east-1.aws.found.io/app/kibana#/discover/Steve-Slow-Train-Analysis-(2080s-and-2083s)?_g=(refreshInterval:(display:Off,pause:!f,section:0,value:0),time:(from:'2017-04-22T15:37:59-0600',mode:absolute,to:'2017-04-22T18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7" s="183" t="str">
        <f t="shared" si="32"/>
        <v>N</v>
      </c>
      <c r="X117" s="183">
        <f t="shared" si="46"/>
        <v>1</v>
      </c>
      <c r="Y117" s="62">
        <f t="shared" si="33"/>
        <v>4.6600000000000003E-2</v>
      </c>
      <c r="Z117" s="62">
        <f t="shared" si="34"/>
        <v>23.328700000000001</v>
      </c>
      <c r="AA117" s="62">
        <f t="shared" si="35"/>
        <v>23.2821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0205-22</v>
      </c>
      <c r="AE117" s="85" t="str">
        <f t="shared" si="37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117" s="82" t="str">
        <f t="shared" si="38"/>
        <v>"C:\Program Files (x86)\AstroGrep\AstroGrep.exe" /e /r /s /spath="%USERPROFILE%\AppData\Local\Temp\OnboardLogs" /stypes="app*4064*20170422*" /stext=" 23:.+((SYSTEM_STATE.+slice.+state.+changed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205-22 --locoid 4064 --swversion DE.1.0.9.0 --startMP 204:466 --initTime 2017-04-22T16:37:59 --startdatetime 2017-04-22T16:45:16 --delay 1 --endMP 204:233287 --enddatetime 2017-04-22T17:21:01 --enforcementcount 0 &gt;&gt;C:\Users\stu\Documents\GitHub\eaglep3-reporting\EC\2017-04-22-refined-times.txt</v>
      </c>
      <c r="AI117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{"issue":{"subject":"","project_id":79,"tracker_id":40,"status_id":1,"priority_id":2,"assigned_to_id":23,"start_date":"2017-04-22","description":"","custom_fields":[{"id":1,"name":"Subdivision","value":"EC"},{"id":4,"name":"Milepost","value":"23.3287"},{"id":17,"name":"Train ID","value":"205-22"},{"id":16,"name":"Locomotive ID","value":"4064"},{"id":130,"name":"Impact","value":""},{"id":150,"name":"Time of Event (Mountain Time)","value":"17:21:01"},{"id":151,"name":"Denver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2"/>
        <v>start /low /b %USERPROFILE%\Documents\GitHub\eaglep3\Utilities\DownloadLogsFromS3.py --loco 4064 --day 2017-04-22</v>
      </c>
      <c r="AN117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770</v>
      </c>
      <c r="B118" s="7">
        <v>4063</v>
      </c>
      <c r="C118" s="21" t="s">
        <v>213</v>
      </c>
      <c r="D118" s="21" t="s">
        <v>575</v>
      </c>
      <c r="E118" s="13">
        <v>42847.731111111112</v>
      </c>
      <c r="F118" s="13">
        <v>42847.736990740741</v>
      </c>
      <c r="G118" s="7">
        <v>1</v>
      </c>
      <c r="H118" s="21" t="s">
        <v>421</v>
      </c>
      <c r="I118" s="13">
        <v>42847.763541666667</v>
      </c>
      <c r="J118" s="7">
        <v>0</v>
      </c>
      <c r="K118" s="97" t="str">
        <f t="shared" si="26"/>
        <v>4063/4064</v>
      </c>
      <c r="L118" s="21" t="str">
        <f>VLOOKUP(A118,'Trips&amp;Operators'!$C$1:$G$99999,5,FALSE)</f>
        <v>BRUDER RICHARD</v>
      </c>
      <c r="M118" s="6">
        <f t="shared" si="27"/>
        <v>2.6550925926130731E-2</v>
      </c>
      <c r="N118" s="7">
        <f t="shared" si="45"/>
        <v>38.233333333628252</v>
      </c>
      <c r="O118" s="7"/>
      <c r="P118" s="7"/>
      <c r="Q118" s="22"/>
      <c r="R118" s="22"/>
      <c r="S118" s="31">
        <f t="shared" si="29"/>
        <v>1</v>
      </c>
      <c r="T118" s="46" t="str">
        <f t="shared" si="30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1"/>
        <v>https://d0f6bd738d7f1b3e5a7ca70fe4ff75f0.us-east-1.aws.found.io/app/kibana#/discover/Steve-Slow-Train-Analysis-(2080s-and-2083s)?_g=(refreshInterval:(display:Off,pause:!f,section:0,value:0),time:(from:'2017-04-22T16:32:48-0600',mode:absolute,to:'2017-04-22T19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8" s="183" t="str">
        <f t="shared" si="32"/>
        <v>N</v>
      </c>
      <c r="X118" s="183">
        <f t="shared" si="46"/>
        <v>1</v>
      </c>
      <c r="Y118" s="62">
        <f t="shared" si="33"/>
        <v>23.299299999999999</v>
      </c>
      <c r="Z118" s="62">
        <f t="shared" si="34"/>
        <v>1.4999999999999999E-2</v>
      </c>
      <c r="AA118" s="62">
        <f t="shared" si="35"/>
        <v>23.284299999999998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0206-22</v>
      </c>
      <c r="AE118" s="85" t="str">
        <f t="shared" si="37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118" s="82" t="str">
        <f t="shared" si="38"/>
        <v>"C:\Program Files (x86)\AstroGrep\AstroGrep.exe" /e /r /s /spath="%USERPROFILE%\AppData\Local\Temp\OnboardLogs" /stypes="app*4063*20170423*" /stext=" 00:.+((SYSTEM_STATE.+slice.+state.+changed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206-22 --locoid 4063 --swversion DE.1.0.9.0 --startMP 204:232993 --initTime 2017-04-22T17:32:48 --startdatetime 2017-04-22T17:41:16 --delay 1 --endMP 204:150 --enddatetime 2017-04-22T18:19:30 --enforcementcount 0 &gt;&gt;C:\Users\stu\Documents\GitHub\eaglep3-reporting\EC\2017-04-22-refined-times.txt</v>
      </c>
      <c r="AI118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{"issue":{"subject":"","project_id":79,"tracker_id":40,"status_id":1,"priority_id":2,"assigned_to_id":23,"start_date":"2017-04-22","description":"","custom_fields":[{"id":1,"name":"Subdivision","value":"EC"},{"id":4,"name":"Milepost","value":"0.015"},{"id":17,"name":"Train ID","value":"206-22"},{"id":16,"name":"Locomotive ID","value":"4063"},{"id":130,"name":"Impact","value":""},{"id":150,"name":"Time of Event (Mountain Time)","value":"18:19:30"},{"id":151,"name":"Denver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2"/>
        <v>start /low /b %USERPROFILE%\Documents\GitHub\eaglep3\Utilities\DownloadLogsFromS3.py --loco 4063 --day 2017-04-22</v>
      </c>
      <c r="AN118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764</v>
      </c>
      <c r="B119" s="7">
        <v>4032</v>
      </c>
      <c r="C119" s="21" t="s">
        <v>213</v>
      </c>
      <c r="D119" s="21" t="s">
        <v>208</v>
      </c>
      <c r="E119" s="13">
        <v>42847.702939814815</v>
      </c>
      <c r="F119" s="13">
        <v>42847.708506944444</v>
      </c>
      <c r="G119" s="7">
        <v>1</v>
      </c>
      <c r="H119" s="21" t="s">
        <v>519</v>
      </c>
      <c r="I119" s="13">
        <v>42847.732939814814</v>
      </c>
      <c r="J119" s="7">
        <v>0</v>
      </c>
      <c r="K119" s="97" t="str">
        <f t="shared" si="26"/>
        <v>4031/4032</v>
      </c>
      <c r="L119" s="21" t="str">
        <f>VLOOKUP(A119,'Trips&amp;Operators'!$C$1:$G$99999,5,FALSE)</f>
        <v>WHITED DUSTIN</v>
      </c>
      <c r="M119" s="6">
        <f t="shared" si="27"/>
        <v>2.4432870370219462E-2</v>
      </c>
      <c r="N119" s="7">
        <f t="shared" si="45"/>
        <v>35.183333333116025</v>
      </c>
      <c r="O119" s="7"/>
      <c r="P119" s="7"/>
      <c r="Q119" s="22"/>
      <c r="R119" s="22"/>
      <c r="S119" s="31">
        <f t="shared" si="29"/>
        <v>1</v>
      </c>
      <c r="T119" s="46" t="str">
        <f t="shared" si="30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1"/>
        <v>https://d0f6bd738d7f1b3e5a7ca70fe4ff75f0.us-east-1.aws.found.io/app/kibana#/discover/Steve-Slow-Train-Analysis-(2080s-and-2083s)?_g=(refreshInterval:(display:Off,pause:!f,section:0,value:0),time:(from:'2017-04-22T15:52:14-0600',mode:absolute,to:'2017-04-22T18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183" t="str">
        <f t="shared" si="32"/>
        <v>N</v>
      </c>
      <c r="X119" s="183">
        <f t="shared" si="46"/>
        <v>1</v>
      </c>
      <c r="Y119" s="62">
        <f t="shared" si="33"/>
        <v>4.53E-2</v>
      </c>
      <c r="Z119" s="62">
        <f t="shared" si="34"/>
        <v>23.331600000000002</v>
      </c>
      <c r="AA119" s="62">
        <f t="shared" si="35"/>
        <v>23.286300000000001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0207-22</v>
      </c>
      <c r="AE119" s="85" t="str">
        <f t="shared" si="37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119" s="82" t="str">
        <f t="shared" si="38"/>
        <v>"C:\Program Files (x86)\AstroGrep\AstroGrep.exe" /e /r /s /spath="%USERPROFILE%\AppData\Local\Temp\OnboardLogs" /stypes="app*4032*20170422*" /stext=" 23:.+((SYSTEM_STATE.+slice.+state.+changed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207-22 --locoid 4032 --swversion DE.1.0.9.0 --startMP 204:453 --initTime 2017-04-22T16:52:14 --startdatetime 2017-04-22T17:00:15 --delay 1 --endMP 204:233316 --enddatetime 2017-04-22T17:35:26 --enforcementcount 0 &gt;&gt;C:\Users\stu\Documents\GitHub\eaglep3-reporting\EC\2017-04-22-refined-times.txt</v>
      </c>
      <c r="AI11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{"issue":{"subject":"","project_id":79,"tracker_id":40,"status_id":1,"priority_id":2,"assigned_to_id":23,"start_date":"2017-04-22","description":"","custom_fields":[{"id":1,"name":"Subdivision","value":"EC"},{"id":4,"name":"Milepost","value":"23.3316"},{"id":17,"name":"Train ID","value":"207-22"},{"id":16,"name":"Locomotive ID","value":"4032"},{"id":130,"name":"Impact","value":""},{"id":150,"name":"Time of Event (Mountain Time)","value":"17:35:26"},{"id":151,"name":"Denver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2"/>
        <v>start /low /b %USERPROFILE%\Documents\GitHub\eaglep3\Utilities\DownloadLogsFromS3.py --loco 4032 --day 2017-04-22</v>
      </c>
      <c r="AN119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778</v>
      </c>
      <c r="B120" s="7">
        <v>4031</v>
      </c>
      <c r="C120" s="21" t="s">
        <v>213</v>
      </c>
      <c r="D120" s="21" t="s">
        <v>939</v>
      </c>
      <c r="E120" s="13">
        <v>42847.740694444445</v>
      </c>
      <c r="F120" s="13">
        <v>42847.747384259259</v>
      </c>
      <c r="G120" s="7">
        <v>1</v>
      </c>
      <c r="H120" s="21" t="s">
        <v>442</v>
      </c>
      <c r="I120" s="13">
        <v>42847.773321759261</v>
      </c>
      <c r="J120" s="7">
        <v>0</v>
      </c>
      <c r="K120" s="97" t="str">
        <f t="shared" si="26"/>
        <v>4031/4032</v>
      </c>
      <c r="L120" s="21" t="str">
        <f>VLOOKUP(A120,'Trips&amp;Operators'!$C$1:$G$99999,5,FALSE)</f>
        <v>WHITED DUSTIN</v>
      </c>
      <c r="M120" s="6">
        <f t="shared" si="27"/>
        <v>2.5937500002328306E-2</v>
      </c>
      <c r="N120" s="7">
        <f t="shared" si="45"/>
        <v>37.350000003352761</v>
      </c>
      <c r="O120" s="7"/>
      <c r="P120" s="7"/>
      <c r="Q120" s="22"/>
      <c r="R120" s="22"/>
      <c r="S120" s="31">
        <f t="shared" si="29"/>
        <v>1</v>
      </c>
      <c r="T120" s="46" t="str">
        <f t="shared" si="30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1"/>
        <v>https://d0f6bd738d7f1b3e5a7ca70fe4ff75f0.us-east-1.aws.found.io/app/kibana#/discover/Steve-Slow-Train-Analysis-(2080s-and-2083s)?_g=(refreshInterval:(display:Off,pause:!f,section:0,value:0),time:(from:'2017-04-22T16:46:36-0600',mode:absolute,to:'2017-04-22T19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183" t="str">
        <f t="shared" si="32"/>
        <v>N</v>
      </c>
      <c r="X120" s="183">
        <f t="shared" si="46"/>
        <v>1</v>
      </c>
      <c r="Y120" s="62">
        <f t="shared" si="33"/>
        <v>23.3001</v>
      </c>
      <c r="Z120" s="62">
        <f t="shared" si="34"/>
        <v>1.3599999999999999E-2</v>
      </c>
      <c r="AA120" s="62">
        <f t="shared" si="35"/>
        <v>23.2865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0208-22</v>
      </c>
      <c r="AE120" s="85" t="str">
        <f t="shared" si="37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120" s="82" t="str">
        <f t="shared" si="38"/>
        <v>"C:\Program Files (x86)\AstroGrep\AstroGrep.exe" /e /r /s /spath="%USERPROFILE%\AppData\Local\Temp\OnboardLogs" /stypes="app*4031*20170423*" /stext=" 00:.+((SYSTEM_STATE.+slice.+state.+changed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208-22 --locoid 4031 --swversion DE.1.0.9.0 --startMP 204:233001 --initTime 2017-04-22T17:46:36 --startdatetime 2017-04-22T17:56:14 --delay 1 --endMP 204:136 --enddatetime 2017-04-22T18:33:35 --enforcementcount 0 &gt;&gt;C:\Users\stu\Documents\GitHub\eaglep3-reporting\EC\2017-04-22-refined-times.txt</v>
      </c>
      <c r="AI12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{"issue":{"subject":"","project_id":79,"tracker_id":40,"status_id":1,"priority_id":2,"assigned_to_id":23,"start_date":"2017-04-22","description":"","custom_fields":[{"id":1,"name":"Subdivision","value":"EC"},{"id":4,"name":"Milepost","value":"0.0136"},{"id":17,"name":"Train ID","value":"208-22"},{"id":16,"name":"Locomotive ID","value":"4031"},{"id":130,"name":"Impact","value":""},{"id":150,"name":"Time of Event (Mountain Time)","value":"18:33:35"},{"id":151,"name":"Denver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2"/>
        <v>start /low /b %USERPROFILE%\Documents\GitHub\eaglep3\Utilities\DownloadLogsFromS3.py --loco 4031 --day 2017-04-22</v>
      </c>
      <c r="AN120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766</v>
      </c>
      <c r="B121" s="7">
        <v>4056</v>
      </c>
      <c r="C121" s="21" t="s">
        <v>213</v>
      </c>
      <c r="D121" s="21" t="s">
        <v>940</v>
      </c>
      <c r="E121" s="13">
        <v>42847.71607638889</v>
      </c>
      <c r="F121" s="13">
        <v>42847.718935185185</v>
      </c>
      <c r="G121" s="7">
        <v>1</v>
      </c>
      <c r="H121" s="21" t="s">
        <v>941</v>
      </c>
      <c r="I121" s="13">
        <v>42847.744803240741</v>
      </c>
      <c r="J121" s="7">
        <v>0</v>
      </c>
      <c r="K121" s="97" t="str">
        <f t="shared" si="26"/>
        <v>4055/4056</v>
      </c>
      <c r="L121" s="21" t="str">
        <f>VLOOKUP(A121,'Trips&amp;Operators'!$C$1:$G$99999,5,FALSE)</f>
        <v>LEVIN SCOTT</v>
      </c>
      <c r="M121" s="6">
        <f t="shared" si="27"/>
        <v>2.5868055556202307E-2</v>
      </c>
      <c r="N121" s="7">
        <f t="shared" si="45"/>
        <v>37.250000000931323</v>
      </c>
      <c r="O121" s="7"/>
      <c r="P121" s="7"/>
      <c r="Q121" s="22"/>
      <c r="R121" s="22"/>
      <c r="S121" s="31">
        <f t="shared" si="29"/>
        <v>1</v>
      </c>
      <c r="T121" s="46" t="str">
        <f t="shared" si="30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1"/>
        <v>https://d0f6bd738d7f1b3e5a7ca70fe4ff75f0.us-east-1.aws.found.io/app/kibana#/discover/Steve-Slow-Train-Analysis-(2080s-and-2083s)?_g=(refreshInterval:(display:Off,pause:!f,section:0,value:0),time:(from:'2017-04-22T16:11:09-0600',mode:absolute,to:'2017-04-22T18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183" t="str">
        <f t="shared" si="32"/>
        <v>N</v>
      </c>
      <c r="X121" s="183">
        <f t="shared" si="46"/>
        <v>1</v>
      </c>
      <c r="Y121" s="62">
        <f t="shared" si="33"/>
        <v>4.1500000000000002E-2</v>
      </c>
      <c r="Z121" s="62">
        <f t="shared" si="34"/>
        <v>23.336099999999998</v>
      </c>
      <c r="AA121" s="62">
        <f t="shared" si="35"/>
        <v>23.294599999999999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0209-22</v>
      </c>
      <c r="AE121" s="85" t="str">
        <f t="shared" si="37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121" s="82" t="str">
        <f t="shared" si="38"/>
        <v>"C:\Program Files (x86)\AstroGrep\AstroGrep.exe" /e /r /s /spath="%USERPROFILE%\AppData\Local\Temp\OnboardLogs" /stypes="app*4056*20170422*" /stext=" 23:.+((SYSTEM_STATE.+slice.+state.+changed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209-22 --locoid 4056 --swversion DE.1.0.9.0 --startMP 204:415 --initTime 2017-04-22T17:11:09 --startdatetime 2017-04-22T17:15:16 --delay 1 --endMP 204:233361 --enddatetime 2017-04-22T17:52:31 --enforcementcount 0 &gt;&gt;C:\Users\stu\Documents\GitHub\eaglep3-reporting\EC\2017-04-22-refined-times.txt</v>
      </c>
      <c r="AI121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{"issue":{"subject":"","project_id":79,"tracker_id":40,"status_id":1,"priority_id":2,"assigned_to_id":23,"start_date":"2017-04-22","description":"","custom_fields":[{"id":1,"name":"Subdivision","value":"EC"},{"id":4,"name":"Milepost","value":"23.3361"},{"id":17,"name":"Train ID","value":"209-22"},{"id":16,"name":"Locomotive ID","value":"4056"},{"id":130,"name":"Impact","value":""},{"id":150,"name":"Time of Event (Mountain Time)","value":"17:52:31"},{"id":151,"name":"Denver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2"/>
        <v>start /low /b %USERPROFILE%\Documents\GitHub\eaglep3\Utilities\DownloadLogsFromS3.py --loco 4056 --day 2017-04-22</v>
      </c>
      <c r="AN121" s="159" t="str">
        <f t="shared" si="43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781</v>
      </c>
      <c r="B122" s="7">
        <v>4055</v>
      </c>
      <c r="C122" s="21" t="s">
        <v>213</v>
      </c>
      <c r="D122" s="21" t="s">
        <v>855</v>
      </c>
      <c r="E122" s="13">
        <v>42847.753020833334</v>
      </c>
      <c r="F122" s="13">
        <v>42847.757881944446</v>
      </c>
      <c r="G122" s="7">
        <v>1</v>
      </c>
      <c r="H122" s="21" t="s">
        <v>381</v>
      </c>
      <c r="I122" s="13">
        <v>42847.784444444442</v>
      </c>
      <c r="J122" s="7">
        <v>0</v>
      </c>
      <c r="K122" s="97" t="str">
        <f t="shared" si="26"/>
        <v>4055/4056</v>
      </c>
      <c r="L122" s="21" t="str">
        <f>VLOOKUP(A122,'Trips&amp;Operators'!$C$1:$G$99999,5,FALSE)</f>
        <v>LEVIN SCOTT</v>
      </c>
      <c r="M122" s="6">
        <f t="shared" si="27"/>
        <v>2.6562499995634425E-2</v>
      </c>
      <c r="N122" s="7">
        <f t="shared" si="45"/>
        <v>38.249999993713573</v>
      </c>
      <c r="O122" s="7"/>
      <c r="P122" s="7"/>
      <c r="Q122" s="22"/>
      <c r="R122" s="22"/>
      <c r="S122" s="31">
        <f t="shared" si="29"/>
        <v>1</v>
      </c>
      <c r="T122" s="46" t="str">
        <f t="shared" si="30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1"/>
        <v>https://d0f6bd738d7f1b3e5a7ca70fe4ff75f0.us-east-1.aws.found.io/app/kibana#/discover/Steve-Slow-Train-Analysis-(2080s-and-2083s)?_g=(refreshInterval:(display:Off,pause:!f,section:0,value:0),time:(from:'2017-04-22T17:04:21-0600',mode:absolute,to:'2017-04-22T19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183" t="str">
        <f t="shared" si="32"/>
        <v>N</v>
      </c>
      <c r="X122" s="183">
        <f t="shared" si="46"/>
        <v>1</v>
      </c>
      <c r="Y122" s="62">
        <f t="shared" si="33"/>
        <v>23.3017</v>
      </c>
      <c r="Z122" s="62">
        <f t="shared" si="34"/>
        <v>1.41E-2</v>
      </c>
      <c r="AA122" s="62">
        <f t="shared" si="35"/>
        <v>23.287600000000001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0210-22</v>
      </c>
      <c r="AE122" s="85" t="str">
        <f t="shared" si="37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122" s="82" t="str">
        <f t="shared" si="38"/>
        <v>"C:\Program Files (x86)\AstroGrep\AstroGrep.exe" /e /r /s /spath="%USERPROFILE%\AppData\Local\Temp\OnboardLogs" /stypes="app*4055*20170423*" /stext=" 00:.+((SYSTEM_STATE.+slice.+state.+changed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210-22 --locoid 4055 --swversion DE.1.0.9.0 --startMP 204:233017 --initTime 2017-04-22T18:04:21 --startdatetime 2017-04-22T18:11:21 --delay 1 --endMP 204:141 --enddatetime 2017-04-22T18:49:36 --enforcementcount 0 &gt;&gt;C:\Users\stu\Documents\GitHub\eaglep3-reporting\EC\2017-04-22-refined-times.txt</v>
      </c>
      <c r="AI122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{"issue":{"subject":"","project_id":79,"tracker_id":40,"status_id":1,"priority_id":2,"assigned_to_id":23,"start_date":"2017-04-22","description":"","custom_fields":[{"id":1,"name":"Subdivision","value":"EC"},{"id":4,"name":"Milepost","value":"0.0141"},{"id":17,"name":"Train ID","value":"210-22"},{"id":16,"name":"Locomotive ID","value":"4055"},{"id":130,"name":"Impact","value":""},{"id":150,"name":"Time of Event (Mountain Time)","value":"18:49:36"},{"id":151,"name":"Denver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2"/>
        <v>start /low /b %USERPROFILE%\Documents\GitHub\eaglep3\Utilities\DownloadLogsFromS3.py --loco 4055 --day 2017-04-22</v>
      </c>
      <c r="AN122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769</v>
      </c>
      <c r="B123" s="7">
        <v>4022</v>
      </c>
      <c r="C123" s="21" t="s">
        <v>213</v>
      </c>
      <c r="D123" s="21" t="s">
        <v>557</v>
      </c>
      <c r="E123" s="13">
        <v>42847.722303240742</v>
      </c>
      <c r="F123" s="13">
        <v>42847.729328703703</v>
      </c>
      <c r="G123" s="7">
        <v>1</v>
      </c>
      <c r="H123" s="21" t="s">
        <v>937</v>
      </c>
      <c r="I123" s="13">
        <v>42847.753229166665</v>
      </c>
      <c r="J123" s="7">
        <v>0</v>
      </c>
      <c r="K123" s="97" t="str">
        <f t="shared" si="26"/>
        <v>4021/4022</v>
      </c>
      <c r="L123" s="21" t="str">
        <f>VLOOKUP(A123,'Trips&amp;Operators'!$C$1:$G$99999,5,FALSE)</f>
        <v>ROMERO CHAD</v>
      </c>
      <c r="M123" s="6">
        <f t="shared" si="27"/>
        <v>2.3900462962046731E-2</v>
      </c>
      <c r="N123" s="7">
        <f t="shared" si="45"/>
        <v>34.416666665347293</v>
      </c>
      <c r="O123" s="7"/>
      <c r="P123" s="7"/>
      <c r="Q123" s="22"/>
      <c r="R123" s="22"/>
      <c r="S123" s="31">
        <f t="shared" si="29"/>
        <v>1</v>
      </c>
      <c r="T123" s="46" t="str">
        <f t="shared" si="30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1"/>
        <v>https://d0f6bd738d7f1b3e5a7ca70fe4ff75f0.us-east-1.aws.found.io/app/kibana#/discover/Steve-Slow-Train-Analysis-(2080s-and-2083s)?_g=(refreshInterval:(display:Off,pause:!f,section:0,value:0),time:(from:'2017-04-22T16:20:07-0600',mode:absolute,to:'2017-04-22T19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83" t="str">
        <f t="shared" si="32"/>
        <v>N</v>
      </c>
      <c r="X123" s="183">
        <f t="shared" si="46"/>
        <v>1</v>
      </c>
      <c r="Y123" s="62">
        <f t="shared" si="33"/>
        <v>4.3499999999999997E-2</v>
      </c>
      <c r="Z123" s="62">
        <f t="shared" si="34"/>
        <v>23.339500000000001</v>
      </c>
      <c r="AA123" s="62">
        <f t="shared" si="35"/>
        <v>23.295999999999999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0211-22</v>
      </c>
      <c r="AE123" s="85" t="str">
        <f t="shared" si="37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123" s="82" t="str">
        <f t="shared" si="38"/>
        <v>"C:\Program Files (x86)\AstroGrep\AstroGrep.exe" /e /r /s /spath="%USERPROFILE%\AppData\Local\Temp\OnboardLogs" /stypes="app*4022*20170423*" /stext=" 00:.+((SYSTEM_STATE.+slice.+state.+changed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211-22 --locoid 4022 --swversion DE.1.0.9.0 --startMP 204:435 --initTime 2017-04-22T17:20:07 --startdatetime 2017-04-22T17:30:14 --delay 1 --endMP 204:233395 --enddatetime 2017-04-22T18:04:39 --enforcementcount 0 &gt;&gt;C:\Users\stu\Documents\GitHub\eaglep3-reporting\EC\2017-04-22-refined-times.txt</v>
      </c>
      <c r="AI123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{"issue":{"subject":"","project_id":79,"tracker_id":40,"status_id":1,"priority_id":2,"assigned_to_id":23,"start_date":"2017-04-22","description":"","custom_fields":[{"id":1,"name":"Subdivision","value":"EC"},{"id":4,"name":"Milepost","value":"23.3395"},{"id":17,"name":"Train ID","value":"211-22"},{"id":16,"name":"Locomotive ID","value":"4022"},{"id":130,"name":"Impact","value":""},{"id":150,"name":"Time of Event (Mountain Time)","value":"18:04:39"},{"id":151,"name":"Denver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2"/>
        <v>start /low /b %USERPROFILE%\Documents\GitHub\eaglep3\Utilities\DownloadLogsFromS3.py --loco 4022 --day 2017-04-22</v>
      </c>
      <c r="AN123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783</v>
      </c>
      <c r="B124" s="7">
        <v>4021</v>
      </c>
      <c r="C124" s="21" t="s">
        <v>213</v>
      </c>
      <c r="D124" s="21" t="s">
        <v>942</v>
      </c>
      <c r="E124" s="13">
        <v>42847.755254629628</v>
      </c>
      <c r="F124" s="13">
        <v>42847.768275462964</v>
      </c>
      <c r="G124" s="7">
        <v>1</v>
      </c>
      <c r="H124" s="21" t="s">
        <v>381</v>
      </c>
      <c r="I124" s="13">
        <v>42847.793912037036</v>
      </c>
      <c r="J124" s="7">
        <v>0</v>
      </c>
      <c r="K124" s="97" t="str">
        <f t="shared" si="26"/>
        <v>4021/4022</v>
      </c>
      <c r="L124" s="21" t="str">
        <f>VLOOKUP(A124,'Trips&amp;Operators'!$C$1:$G$99999,5,FALSE)</f>
        <v>ROMERO CHAD</v>
      </c>
      <c r="M124" s="6">
        <f t="shared" si="27"/>
        <v>2.5636574071540963E-2</v>
      </c>
      <c r="N124" s="7">
        <f t="shared" si="45"/>
        <v>36.916666663018987</v>
      </c>
      <c r="O124" s="7"/>
      <c r="P124" s="7"/>
      <c r="Q124" s="22"/>
      <c r="R124" s="22"/>
      <c r="S124" s="31">
        <f t="shared" si="29"/>
        <v>1</v>
      </c>
      <c r="T124" s="46" t="str">
        <f t="shared" si="30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1"/>
        <v>https://d0f6bd738d7f1b3e5a7ca70fe4ff75f0.us-east-1.aws.found.io/app/kibana#/discover/Steve-Slow-Train-Analysis-(2080s-and-2083s)?_g=(refreshInterval:(display:Off,pause:!f,section:0,value:0),time:(from:'2017-04-22T17:07:34-0600',mode:absolute,to:'2017-04-22T20:03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83" t="str">
        <f t="shared" si="32"/>
        <v>N</v>
      </c>
      <c r="X124" s="183">
        <f t="shared" si="46"/>
        <v>1</v>
      </c>
      <c r="Y124" s="62">
        <f t="shared" si="33"/>
        <v>23.3094</v>
      </c>
      <c r="Z124" s="62">
        <f t="shared" si="34"/>
        <v>1.41E-2</v>
      </c>
      <c r="AA124" s="62">
        <f t="shared" si="35"/>
        <v>23.295300000000001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0212-22</v>
      </c>
      <c r="AE124" s="85" t="str">
        <f t="shared" si="37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124" s="82" t="str">
        <f t="shared" si="38"/>
        <v>"C:\Program Files (x86)\AstroGrep\AstroGrep.exe" /e /r /s /spath="%USERPROFILE%\AppData\Local\Temp\OnboardLogs" /stypes="app*4021*20170423*" /stext=" 01:.+((SYSTEM_STATE.+slice.+state.+changed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212-22 --locoid 4021 --swversion DE.1.0.9.0 --startMP 204:233094 --initTime 2017-04-22T18:07:34 --startdatetime 2017-04-22T18:26:19 --delay 1 --endMP 204:141 --enddatetime 2017-04-22T19:03:14 --enforcementcount 0 &gt;&gt;C:\Users\stu\Documents\GitHub\eaglep3-reporting\EC\2017-04-22-refined-times.txt</v>
      </c>
      <c r="AI124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{"issue":{"subject":"","project_id":79,"tracker_id":40,"status_id":1,"priority_id":2,"assigned_to_id":23,"start_date":"2017-04-22","description":"","custom_fields":[{"id":1,"name":"Subdivision","value":"EC"},{"id":4,"name":"Milepost","value":"0.0141"},{"id":17,"name":"Train ID","value":"212-22"},{"id":16,"name":"Locomotive ID","value":"4021"},{"id":130,"name":"Impact","value":""},{"id":150,"name":"Time of Event (Mountain Time)","value":"19:03:14"},{"id":151,"name":"Denver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2"/>
        <v>start /low /b %USERPROFILE%\Documents\GitHub\eaglep3\Utilities\DownloadLogsFromS3.py --loco 4021 --day 2017-04-22</v>
      </c>
      <c r="AN124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771</v>
      </c>
      <c r="B125" s="7">
        <v>4026</v>
      </c>
      <c r="C125" s="21" t="s">
        <v>213</v>
      </c>
      <c r="D125" s="21" t="s">
        <v>429</v>
      </c>
      <c r="E125" s="13">
        <v>42847.734039351853</v>
      </c>
      <c r="F125" s="13">
        <v>42847.740057870367</v>
      </c>
      <c r="G125" s="7">
        <v>1</v>
      </c>
      <c r="H125" s="21" t="s">
        <v>560</v>
      </c>
      <c r="I125" s="13">
        <v>42847.7659375</v>
      </c>
      <c r="J125" s="7">
        <v>0</v>
      </c>
      <c r="K125" s="97" t="str">
        <f t="shared" si="26"/>
        <v>4025/4026</v>
      </c>
      <c r="L125" s="21" t="str">
        <f>VLOOKUP(A125,'Trips&amp;Operators'!$C$1:$G$99999,5,FALSE)</f>
        <v>DAVIDSON DAVID</v>
      </c>
      <c r="M125" s="6">
        <f t="shared" si="27"/>
        <v>2.587962963298196E-2</v>
      </c>
      <c r="N125" s="7">
        <f t="shared" si="45"/>
        <v>37.266666671494022</v>
      </c>
      <c r="O125" s="7"/>
      <c r="P125" s="7"/>
      <c r="Q125" s="22"/>
      <c r="R125" s="22"/>
      <c r="S125" s="31">
        <f t="shared" si="29"/>
        <v>1</v>
      </c>
      <c r="T125" s="46" t="str">
        <f t="shared" si="30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1"/>
        <v>https://d0f6bd738d7f1b3e5a7ca70fe4ff75f0.us-east-1.aws.found.io/app/kibana#/discover/Steve-Slow-Train-Analysis-(2080s-and-2083s)?_g=(refreshInterval:(display:Off,pause:!f,section:0,value:0),time:(from:'2017-04-22T16:37:01-0600',mode:absolute,to:'2017-04-22T19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183" t="str">
        <f t="shared" si="32"/>
        <v>N</v>
      </c>
      <c r="X125" s="183">
        <f t="shared" si="46"/>
        <v>1</v>
      </c>
      <c r="Y125" s="62">
        <f t="shared" si="33"/>
        <v>4.4200000000000003E-2</v>
      </c>
      <c r="Z125" s="62">
        <f t="shared" si="34"/>
        <v>23.330400000000001</v>
      </c>
      <c r="AA125" s="62">
        <f t="shared" si="35"/>
        <v>23.286200000000001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0213-22</v>
      </c>
      <c r="AE125" s="85" t="str">
        <f t="shared" si="37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125" s="82" t="str">
        <f t="shared" si="38"/>
        <v>"C:\Program Files (x86)\AstroGrep\AstroGrep.exe" /e /r /s /spath="%USERPROFILE%\AppData\Local\Temp\OnboardLogs" /stypes="app*4026*20170423*" /stext=" 00:.+((SYSTEM_STATE.+slice.+state.+changed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213-22 --locoid 4026 --swversion DE.1.0.9.0 --startMP 204:442 --initTime 2017-04-22T17:37:01 --startdatetime 2017-04-22T17:45:41 --delay 1 --endMP 204:233304 --enddatetime 2017-04-22T18:22:57 --enforcementcount 0 &gt;&gt;C:\Users\stu\Documents\GitHub\eaglep3-reporting\EC\2017-04-22-refined-times.txt</v>
      </c>
      <c r="AI125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{"issue":{"subject":"","project_id":79,"tracker_id":40,"status_id":1,"priority_id":2,"assigned_to_id":23,"start_date":"2017-04-22","description":"","custom_fields":[{"id":1,"name":"Subdivision","value":"EC"},{"id":4,"name":"Milepost","value":"23.3304"},{"id":17,"name":"Train ID","value":"213-22"},{"id":16,"name":"Locomotive ID","value":"4026"},{"id":130,"name":"Impact","value":""},{"id":150,"name":"Time of Event (Mountain Time)","value":"18:22:57"},{"id":151,"name":"Denver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2"/>
        <v>start /low /b %USERPROFILE%\Documents\GitHub\eaglep3\Utilities\DownloadLogsFromS3.py --loco 4026 --day 2017-04-22</v>
      </c>
      <c r="AN125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786</v>
      </c>
      <c r="B126" s="7">
        <v>4025</v>
      </c>
      <c r="C126" s="21" t="s">
        <v>213</v>
      </c>
      <c r="D126" s="21" t="s">
        <v>943</v>
      </c>
      <c r="E126" s="13">
        <v>42847.769768518519</v>
      </c>
      <c r="F126" s="13">
        <v>42847.778726851851</v>
      </c>
      <c r="G126" s="7">
        <v>1</v>
      </c>
      <c r="H126" s="21" t="s">
        <v>390</v>
      </c>
      <c r="I126" s="13">
        <v>42847.806886574072</v>
      </c>
      <c r="J126" s="7">
        <v>0</v>
      </c>
      <c r="K126" s="97" t="str">
        <f t="shared" si="26"/>
        <v>4025/4026</v>
      </c>
      <c r="L126" s="21" t="str">
        <f>VLOOKUP(A126,'Trips&amp;Operators'!$C$1:$G$99999,5,FALSE)</f>
        <v>DAVIDSON DAVID</v>
      </c>
      <c r="M126" s="6">
        <f t="shared" si="27"/>
        <v>2.8159722220152617E-2</v>
      </c>
      <c r="N126" s="7">
        <f t="shared" si="45"/>
        <v>40.549999997019768</v>
      </c>
      <c r="O126" s="7"/>
      <c r="P126" s="7"/>
      <c r="Q126" s="22"/>
      <c r="R126" s="22"/>
      <c r="S126" s="31">
        <f t="shared" si="29"/>
        <v>1</v>
      </c>
      <c r="T126" s="46" t="str">
        <f t="shared" si="30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1"/>
        <v>https://d0f6bd738d7f1b3e5a7ca70fe4ff75f0.us-east-1.aws.found.io/app/kibana#/discover/Steve-Slow-Train-Analysis-(2080s-and-2083s)?_g=(refreshInterval:(display:Off,pause:!f,section:0,value:0),time:(from:'2017-04-22T17:28:28-0600',mode:absolute,to:'2017-04-22T20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6" s="183" t="str">
        <f t="shared" si="32"/>
        <v>N</v>
      </c>
      <c r="X126" s="183">
        <f t="shared" si="46"/>
        <v>1</v>
      </c>
      <c r="Y126" s="62">
        <f t="shared" si="33"/>
        <v>23.296600000000002</v>
      </c>
      <c r="Z126" s="62">
        <f t="shared" si="34"/>
        <v>1.4500000000000001E-2</v>
      </c>
      <c r="AA126" s="62">
        <f t="shared" si="35"/>
        <v>23.2821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0214-22</v>
      </c>
      <c r="AE126" s="85" t="str">
        <f t="shared" si="37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126" s="82" t="str">
        <f t="shared" si="38"/>
        <v>"C:\Program Files (x86)\AstroGrep\AstroGrep.exe" /e /r /s /spath="%USERPROFILE%\AppData\Local\Temp\OnboardLogs" /stypes="app*4025*20170423*" /stext=" 01:.+((SYSTEM_STATE.+slice.+state.+changed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214-22 --locoid 4025 --swversion DE.1.0.9.0 --startMP 204:232966 --initTime 2017-04-22T18:28:28 --startdatetime 2017-04-22T18:41:22 --delay 1 --endMP 204:145 --enddatetime 2017-04-22T19:21:55 --enforcementcount 0 &gt;&gt;C:\Users\stu\Documents\GitHub\eaglep3-reporting\EC\2017-04-22-refined-times.txt</v>
      </c>
      <c r="AI126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{"issue":{"subject":"","project_id":79,"tracker_id":40,"status_id":1,"priority_id":2,"assigned_to_id":23,"start_date":"2017-04-22","description":"","custom_fields":[{"id":1,"name":"Subdivision","value":"EC"},{"id":4,"name":"Milepost","value":"0.0145"},{"id":17,"name":"Train ID","value":"214-22"},{"id":16,"name":"Locomotive ID","value":"4025"},{"id":130,"name":"Impact","value":""},{"id":150,"name":"Time of Event (Mountain Time)","value":"19:21:55"},{"id":151,"name":"Denver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2"/>
        <v>start /low /b %USERPROFILE%\Documents\GitHub\eaglep3\Utilities\DownloadLogsFromS3.py --loco 4025 --day 2017-04-22</v>
      </c>
      <c r="AN126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779</v>
      </c>
      <c r="B127" s="7">
        <v>4042</v>
      </c>
      <c r="C127" s="21" t="s">
        <v>213</v>
      </c>
      <c r="D127" s="21" t="s">
        <v>386</v>
      </c>
      <c r="E127" s="13">
        <v>42847.747615740744</v>
      </c>
      <c r="F127" s="13">
        <v>42847.750185185185</v>
      </c>
      <c r="G127" s="7">
        <v>2</v>
      </c>
      <c r="H127" s="21" t="s">
        <v>379</v>
      </c>
      <c r="I127" s="13">
        <v>42847.774247685185</v>
      </c>
      <c r="J127" s="7">
        <v>0</v>
      </c>
      <c r="K127" s="97" t="str">
        <f t="shared" si="26"/>
        <v>4041/4042</v>
      </c>
      <c r="L127" s="21" t="str">
        <f>VLOOKUP(A127,'Trips&amp;Operators'!$C$1:$G$99999,5,FALSE)</f>
        <v>MACDONALD THOMAS</v>
      </c>
      <c r="M127" s="6">
        <f t="shared" si="27"/>
        <v>2.4062500000582077E-2</v>
      </c>
      <c r="N127" s="7">
        <f t="shared" si="45"/>
        <v>34.65000000083819</v>
      </c>
      <c r="O127" s="7"/>
      <c r="P127" s="7"/>
      <c r="Q127" s="22"/>
      <c r="R127" s="22"/>
      <c r="S127" s="31">
        <f t="shared" si="29"/>
        <v>1</v>
      </c>
      <c r="T127" s="46" t="str">
        <f t="shared" si="30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1"/>
        <v>https://d0f6bd738d7f1b3e5a7ca70fe4ff75f0.us-east-1.aws.found.io/app/kibana#/discover/Steve-Slow-Train-Analysis-(2080s-and-2083s)?_g=(refreshInterval:(display:Off,pause:!f,section:0,value:0),time:(from:'2017-04-22T16:56:34-0600',mode:absolute,to:'2017-04-22T19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83" t="str">
        <f t="shared" si="32"/>
        <v>N</v>
      </c>
      <c r="X127" s="183">
        <f t="shared" si="46"/>
        <v>1</v>
      </c>
      <c r="Y127" s="62">
        <f t="shared" si="33"/>
        <v>4.6199999999999998E-2</v>
      </c>
      <c r="Z127" s="62">
        <f t="shared" si="34"/>
        <v>23.329499999999999</v>
      </c>
      <c r="AA127" s="62">
        <f t="shared" si="35"/>
        <v>23.283300000000001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0215-22</v>
      </c>
      <c r="AE127" s="85" t="str">
        <f t="shared" si="37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127" s="82" t="str">
        <f t="shared" si="38"/>
        <v>"C:\Program Files (x86)\AstroGrep\AstroGrep.exe" /e /r /s /spath="%USERPROFILE%\AppData\Local\Temp\OnboardLogs" /stypes="app*4042*20170423*" /stext=" 00:.+((SYSTEM_STATE.+slice.+state.+changed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215-22 --locoid 4042 --swversion DE.1.0.9.0 --startMP 204:462 --initTime 2017-04-22T17:56:34 --startdatetime 2017-04-22T18:00:16 --delay 2 --endMP 204:233295 --enddatetime 2017-04-22T18:34:55 --enforcementcount 0 &gt;&gt;C:\Users\stu\Documents\GitHub\eaglep3-reporting\EC\2017-04-22-refined-times.txt</v>
      </c>
      <c r="AI127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{"issue":{"subject":"","project_id":79,"tracker_id":40,"status_id":1,"priority_id":2,"assigned_to_id":23,"start_date":"2017-04-22","description":"","custom_fields":[{"id":1,"name":"Subdivision","value":"EC"},{"id":4,"name":"Milepost","value":"23.3295"},{"id":17,"name":"Train ID","value":"215-22"},{"id":16,"name":"Locomotive ID","value":"4042"},{"id":130,"name":"Impact","value":""},{"id":150,"name":"Time of Event (Mountain Time)","value":"18:34:55"},{"id":151,"name":"Denver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2"/>
        <v>start /low /b %USERPROFILE%\Documents\GitHub\eaglep3\Utilities\DownloadLogsFromS3.py --loco 4042 --day 2017-04-22</v>
      </c>
      <c r="AN127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606</v>
      </c>
      <c r="B128" s="7">
        <v>4041</v>
      </c>
      <c r="C128" s="21" t="s">
        <v>213</v>
      </c>
      <c r="D128" s="21" t="s">
        <v>570</v>
      </c>
      <c r="E128" s="13">
        <v>42847.783310185187</v>
      </c>
      <c r="F128" s="13">
        <v>42847.7893287037</v>
      </c>
      <c r="G128" s="7">
        <v>2</v>
      </c>
      <c r="H128" s="21" t="s">
        <v>944</v>
      </c>
      <c r="I128" s="13">
        <v>42847.818819444445</v>
      </c>
      <c r="J128" s="7">
        <v>0</v>
      </c>
      <c r="K128" s="97" t="str">
        <f t="shared" si="26"/>
        <v>4041/4042</v>
      </c>
      <c r="L128" s="21" t="str">
        <f>VLOOKUP(A128,'Trips&amp;Operators'!$C$1:$G$99999,5,FALSE)</f>
        <v>MACDONALD THOMAS</v>
      </c>
      <c r="M128" s="6">
        <f t="shared" si="27"/>
        <v>2.9490740744222421E-2</v>
      </c>
      <c r="N128" s="7">
        <f t="shared" si="45"/>
        <v>42.466666671680287</v>
      </c>
      <c r="O128" s="7"/>
      <c r="P128" s="7"/>
      <c r="Q128" s="22"/>
      <c r="R128" s="22"/>
      <c r="S128" s="31">
        <f t="shared" si="29"/>
        <v>1</v>
      </c>
      <c r="T128" s="46" t="str">
        <f t="shared" si="30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1"/>
        <v>https://d0f6bd738d7f1b3e5a7ca70fe4ff75f0.us-east-1.aws.found.io/app/kibana#/discover/Steve-Slow-Train-Analysis-(2080s-and-2083s)?_g=(refreshInterval:(display:Off,pause:!f,section:0,value:0),time:(from:'2017-04-22T17:47:58-0600',mode:absolute,to:'2017-04-22T20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83" t="str">
        <f t="shared" si="32"/>
        <v>N</v>
      </c>
      <c r="X128" s="183">
        <f t="shared" si="46"/>
        <v>1</v>
      </c>
      <c r="Y128" s="62">
        <f t="shared" si="33"/>
        <v>23.299199999999999</v>
      </c>
      <c r="Z128" s="62">
        <f t="shared" si="34"/>
        <v>2.12E-2</v>
      </c>
      <c r="AA128" s="62">
        <f t="shared" si="35"/>
        <v>23.277999999999999</v>
      </c>
      <c r="AB128" s="59" t="str">
        <f>VLOOKUP(A128,Enforcements!$C$7:$K$13,8,0)</f>
        <v>Bulletin (2)</v>
      </c>
      <c r="AC128" s="55" t="str">
        <f>VLOOKUP(A128,Enforcements!$C$7:$E$13,3,0)</f>
        <v>GRADE CROSSING</v>
      </c>
      <c r="AD128" s="56" t="str">
        <f t="shared" si="36"/>
        <v>0216-22</v>
      </c>
      <c r="AE128" s="85" t="str">
        <f t="shared" si="37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128" s="82" t="str">
        <f t="shared" si="38"/>
        <v>"C:\Program Files (x86)\AstroGrep\AstroGrep.exe" /e /r /s /spath="%USERPROFILE%\AppData\Local\Temp\OnboardLogs" /stypes="app*4041*20170423*" /stext=" 01:.+((SYSTEM_STATE.+slice.+state.+changed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216-22 --locoid 4041 --swversion DE.1.0.9.0 --startMP 204:232992 --initTime 2017-04-22T18:47:58 --startdatetime 2017-04-22T18:56:38 --delay 2 --endMP 204:212 --enddatetime 2017-04-22T19:39:06 --enforcementcount 0 &gt;&gt;C:\Users\stu\Documents\GitHub\eaglep3-reporting\EC\2017-04-22-refined-times.txt</v>
      </c>
      <c r="AI128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{"issue":{"subject":"","project_id":79,"tracker_id":40,"status_id":1,"priority_id":2,"assigned_to_id":23,"start_date":"2017-04-22","description":"","custom_fields":[{"id":1,"name":"Subdivision","value":"EC"},{"id":4,"name":"Milepost","value":"0.0212"},{"id":17,"name":"Train ID","value":"216-22"},{"id":16,"name":"Locomotive ID","value":"4041"},{"id":130,"name":"Impact","value":""},{"id":150,"name":"Time of Event (Mountain Time)","value":"19:39:06"},{"id":151,"name":"Denver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2"/>
        <v>start /low /b %USERPROFILE%\Documents\GitHub\eaglep3\Utilities\DownloadLogsFromS3.py --loco 4041 --day 2017-04-22</v>
      </c>
      <c r="AN128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782</v>
      </c>
      <c r="B129" s="7">
        <v>4018</v>
      </c>
      <c r="C129" s="21" t="s">
        <v>213</v>
      </c>
      <c r="D129" s="21" t="s">
        <v>557</v>
      </c>
      <c r="E129" s="13">
        <v>42847.754467592589</v>
      </c>
      <c r="F129" s="13">
        <v>42847.760844907411</v>
      </c>
      <c r="G129" s="7">
        <v>2</v>
      </c>
      <c r="H129" s="21" t="s">
        <v>945</v>
      </c>
      <c r="I129" s="13">
        <v>42847.786400462966</v>
      </c>
      <c r="J129" s="7">
        <v>0</v>
      </c>
      <c r="K129" s="97" t="str">
        <f t="shared" si="26"/>
        <v>4017/4018</v>
      </c>
      <c r="L129" s="21" t="str">
        <f>VLOOKUP(A129,'Trips&amp;Operators'!$C$1:$G$99999,5,FALSE)</f>
        <v>STAMBAUGH JAMES</v>
      </c>
      <c r="M129" s="6">
        <f t="shared" si="27"/>
        <v>2.5555555555911269E-2</v>
      </c>
      <c r="N129" s="7">
        <f t="shared" si="45"/>
        <v>36.800000000512227</v>
      </c>
      <c r="O129" s="7"/>
      <c r="P129" s="7"/>
      <c r="Q129" s="22"/>
      <c r="R129" s="22"/>
      <c r="S129" s="31">
        <f t="shared" si="29"/>
        <v>1</v>
      </c>
      <c r="T129" s="46" t="str">
        <f t="shared" si="30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1"/>
        <v>https://d0f6bd738d7f1b3e5a7ca70fe4ff75f0.us-east-1.aws.found.io/app/kibana#/discover/Steve-Slow-Train-Analysis-(2080s-and-2083s)?_g=(refreshInterval:(display:Off,pause:!f,section:0,value:0),time:(from:'2017-04-22T17:06:26-0600',mode:absolute,to:'2017-04-22T19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3" t="str">
        <f t="shared" si="32"/>
        <v>N</v>
      </c>
      <c r="X129" s="183">
        <f t="shared" si="46"/>
        <v>1</v>
      </c>
      <c r="Y129" s="62">
        <f t="shared" si="33"/>
        <v>4.3499999999999997E-2</v>
      </c>
      <c r="Z129" s="62">
        <f t="shared" si="34"/>
        <v>23.339099999999998</v>
      </c>
      <c r="AA129" s="62">
        <f t="shared" si="35"/>
        <v>23.295599999999997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0217-22</v>
      </c>
      <c r="AE129" s="85" t="str">
        <f t="shared" si="37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129" s="82" t="str">
        <f t="shared" si="38"/>
        <v>"C:\Program Files (x86)\AstroGrep\AstroGrep.exe" /e /r /s /spath="%USERPROFILE%\AppData\Local\Temp\OnboardLogs" /stypes="app*4018*20170423*" /stext=" 00:.+((SYSTEM_STATE.+slice.+state.+changed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217-22 --locoid 4018 --swversion DE.1.0.9.0 --startMP 204:435 --initTime 2017-04-22T18:06:26 --startdatetime 2017-04-22T18:15:37 --delay 2 --endMP 204:233391 --enddatetime 2017-04-22T18:52:25 --enforcementcount 0 &gt;&gt;C:\Users\stu\Documents\GitHub\eaglep3-reporting\EC\2017-04-22-refined-times.txt</v>
      </c>
      <c r="AI12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{"issue":{"subject":"","project_id":79,"tracker_id":40,"status_id":1,"priority_id":2,"assigned_to_id":23,"start_date":"2017-04-22","description":"","custom_fields":[{"id":1,"name":"Subdivision","value":"EC"},{"id":4,"name":"Milepost","value":"23.3391"},{"id":17,"name":"Train ID","value":"217-22"},{"id":16,"name":"Locomotive ID","value":"4018"},{"id":130,"name":"Impact","value":""},{"id":150,"name":"Time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2"/>
        <v>start /low /b %USERPROFILE%\Documents\GitHub\eaglep3\Utilities\DownloadLogsFromS3.py --loco 4018 --day 2017-04-22</v>
      </c>
      <c r="AN129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790</v>
      </c>
      <c r="B130" s="7">
        <v>4017</v>
      </c>
      <c r="C130" s="21" t="s">
        <v>213</v>
      </c>
      <c r="D130" s="21" t="s">
        <v>946</v>
      </c>
      <c r="E130" s="13">
        <v>42847.796041666668</v>
      </c>
      <c r="F130" s="13">
        <v>42847.799710648149</v>
      </c>
      <c r="G130" s="7">
        <v>2</v>
      </c>
      <c r="H130" s="21" t="s">
        <v>431</v>
      </c>
      <c r="I130" s="13">
        <v>42847.825636574074</v>
      </c>
      <c r="J130" s="7">
        <v>0</v>
      </c>
      <c r="K130" s="97" t="str">
        <f t="shared" si="26"/>
        <v>4017/4018</v>
      </c>
      <c r="L130" s="21" t="str">
        <f>VLOOKUP(A130,'Trips&amp;Operators'!$C$1:$G$99999,5,FALSE)</f>
        <v>STAMBAUGH JAMES</v>
      </c>
      <c r="M130" s="6">
        <f t="shared" si="27"/>
        <v>2.5925925925548654E-2</v>
      </c>
      <c r="N130" s="7">
        <f t="shared" si="45"/>
        <v>37.333333332790062</v>
      </c>
      <c r="O130" s="7"/>
      <c r="P130" s="7"/>
      <c r="Q130" s="22"/>
      <c r="R130" s="22"/>
      <c r="S130" s="31">
        <f t="shared" si="29"/>
        <v>1</v>
      </c>
      <c r="T130" s="46" t="str">
        <f t="shared" si="30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1"/>
        <v>https://d0f6bd738d7f1b3e5a7ca70fe4ff75f0.us-east-1.aws.found.io/app/kibana#/discover/Steve-Slow-Train-Analysis-(2080s-and-2083s)?_g=(refreshInterval:(display:Off,pause:!f,section:0,value:0),time:(from:'2017-04-22T18:06:18-0600',mode:absolute,to:'2017-04-22T20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3" t="str">
        <f t="shared" si="32"/>
        <v>N</v>
      </c>
      <c r="X130" s="183">
        <f t="shared" si="46"/>
        <v>1</v>
      </c>
      <c r="Y130" s="62">
        <f t="shared" si="33"/>
        <v>23.311499999999999</v>
      </c>
      <c r="Z130" s="62">
        <f t="shared" si="34"/>
        <v>1.3899999999999999E-2</v>
      </c>
      <c r="AA130" s="62">
        <f t="shared" si="35"/>
        <v>23.297599999999999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0218-22</v>
      </c>
      <c r="AE130" s="85" t="str">
        <f t="shared" si="37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130" s="82" t="str">
        <f t="shared" si="38"/>
        <v>"C:\Program Files (x86)\AstroGrep\AstroGrep.exe" /e /r /s /spath="%USERPROFILE%\AppData\Local\Temp\OnboardLogs" /stypes="app*4017*20170423*" /stext=" 01:.+((SYSTEM_STATE.+slice.+state.+changed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218-22 --locoid 4017 --swversion DE.1.0.9.0 --startMP 204:233115 --initTime 2017-04-22T19:06:18 --startdatetime 2017-04-22T19:11:35 --delay 2 --endMP 204:139 --enddatetime 2017-04-22T19:48:55 --enforcementcount 0 &gt;&gt;C:\Users\stu\Documents\GitHub\eaglep3-reporting\EC\2017-04-22-refined-times.txt</v>
      </c>
      <c r="AI13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{"issue":{"subject":"","project_id":79,"tracker_id":40,"status_id":1,"priority_id":2,"assigned_to_id":23,"start_date":"2017-04-22","description":"","custom_fields":[{"id":1,"name":"Subdivision","value":"EC"},{"id":4,"name":"Milepost","value":"0.0139"},{"id":17,"name":"Train ID","value":"218-22"},{"id":16,"name":"Locomotive ID","value":"4017"},{"id":130,"name":"Impact","value":""},{"id":150,"name":"Time of Event (Mountain Time)","value":"19:48:55"},{"id":151,"name":"Denver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2"/>
        <v>start /low /b %USERPROFILE%\Documents\GitHub\eaglep3\Utilities\DownloadLogsFromS3.py --loco 4017 --day 2017-04-22</v>
      </c>
      <c r="AN130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784</v>
      </c>
      <c r="B131" s="7">
        <v>4064</v>
      </c>
      <c r="C131" s="21" t="s">
        <v>213</v>
      </c>
      <c r="D131" s="21" t="s">
        <v>867</v>
      </c>
      <c r="E131" s="13">
        <v>42847.765474537038</v>
      </c>
      <c r="F131" s="13">
        <v>42847.771064814813</v>
      </c>
      <c r="G131" s="7">
        <v>2</v>
      </c>
      <c r="H131" s="21" t="s">
        <v>947</v>
      </c>
      <c r="I131" s="13">
        <v>42847.796342592592</v>
      </c>
      <c r="J131" s="7">
        <v>0</v>
      </c>
      <c r="K131" s="97" t="str">
        <f t="shared" si="26"/>
        <v>4063/4064</v>
      </c>
      <c r="L131" s="21" t="str">
        <f>VLOOKUP(A131,'Trips&amp;Operators'!$C$1:$G$99999,5,FALSE)</f>
        <v>SAFIEF AEIMEN</v>
      </c>
      <c r="M131" s="6">
        <f t="shared" si="27"/>
        <v>2.527777777868323E-2</v>
      </c>
      <c r="N131" s="7">
        <f t="shared" ref="N131:N162" si="47">24*60*SUM($M131:$M131)</f>
        <v>36.400000001303852</v>
      </c>
      <c r="O131" s="7"/>
      <c r="P131" s="7"/>
      <c r="Q131" s="22"/>
      <c r="R131" s="22"/>
      <c r="S131" s="31">
        <f t="shared" si="29"/>
        <v>1</v>
      </c>
      <c r="T131" s="46" t="str">
        <f t="shared" si="30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1"/>
        <v>https://d0f6bd738d7f1b3e5a7ca70fe4ff75f0.us-east-1.aws.found.io/app/kibana#/discover/Steve-Slow-Train-Analysis-(2080s-and-2083s)?_g=(refreshInterval:(display:Off,pause:!f,section:0,value:0),time:(from:'2017-04-22T17:22:17-0600',mode:absolute,to:'2017-04-22T20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183" t="str">
        <f t="shared" si="32"/>
        <v>N</v>
      </c>
      <c r="X131" s="183">
        <f t="shared" si="46"/>
        <v>1</v>
      </c>
      <c r="Y131" s="62">
        <f t="shared" si="33"/>
        <v>4.8899999999999999E-2</v>
      </c>
      <c r="Z131" s="62">
        <f t="shared" si="34"/>
        <v>23.341200000000001</v>
      </c>
      <c r="AA131" s="62">
        <f t="shared" si="35"/>
        <v>23.292300000000001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0219-22</v>
      </c>
      <c r="AE131" s="85" t="str">
        <f t="shared" si="37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131" s="82" t="str">
        <f t="shared" si="38"/>
        <v>"C:\Program Files (x86)\AstroGrep\AstroGrep.exe" /e /r /s /spath="%USERPROFILE%\AppData\Local\Temp\OnboardLogs" /stypes="app*4064*20170423*" /stext=" 01:.+((SYSTEM_STATE.+slice.+state.+changed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219-22 --locoid 4064 --swversion DE.1.0.9.0 --startMP 204:489 --initTime 2017-04-22T18:22:17 --startdatetime 2017-04-22T18:30:20 --delay 2 --endMP 204:233412 --enddatetime 2017-04-22T19:06:44 --enforcementcount 0 &gt;&gt;C:\Users\stu\Documents\GitHub\eaglep3-reporting\EC\2017-04-22-refined-times.txt</v>
      </c>
      <c r="AI131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{"issue":{"subject":"","project_id":79,"tracker_id":40,"status_id":1,"priority_id":2,"assigned_to_id":23,"start_date":"2017-04-22","description":"","custom_fields":[{"id":1,"name":"Subdivision","value":"EC"},{"id":4,"name":"Milepost","value":"23.3412"},{"id":17,"name":"Train ID","value":"219-22"},{"id":16,"name":"Locomotive ID","value":"4064"},{"id":130,"name":"Impact","value":""},{"id":150,"name":"Time of Event (Mountain Time)","value":"19:06:44"},{"id":151,"name":"Denver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2"/>
        <v>start /low /b %USERPROFILE%\Documents\GitHub\eaglep3\Utilities\DownloadLogsFromS3.py --loco 4064 --day 2017-04-22</v>
      </c>
      <c r="AN131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791</v>
      </c>
      <c r="B132" s="7">
        <v>4063</v>
      </c>
      <c r="C132" s="21" t="s">
        <v>213</v>
      </c>
      <c r="D132" s="21" t="s">
        <v>948</v>
      </c>
      <c r="E132" s="13">
        <v>42847.800162037034</v>
      </c>
      <c r="F132" s="13">
        <v>42847.809976851851</v>
      </c>
      <c r="G132" s="7">
        <v>2</v>
      </c>
      <c r="H132" s="21" t="s">
        <v>426</v>
      </c>
      <c r="I132" s="13">
        <v>42847.837696759256</v>
      </c>
      <c r="J132" s="7">
        <v>0</v>
      </c>
      <c r="K132" s="97" t="str">
        <f t="shared" si="26"/>
        <v>4063/4064</v>
      </c>
      <c r="L132" s="21" t="str">
        <f>VLOOKUP(A132,'Trips&amp;Operators'!$C$1:$G$99999,5,FALSE)</f>
        <v>SAFIEF AEIMEN</v>
      </c>
      <c r="M132" s="6">
        <f t="shared" si="27"/>
        <v>2.7719907404389232E-2</v>
      </c>
      <c r="N132" s="7">
        <f t="shared" si="47"/>
        <v>39.916666662320495</v>
      </c>
      <c r="O132" s="7"/>
      <c r="P132" s="7"/>
      <c r="Q132" s="22"/>
      <c r="R132" s="22"/>
      <c r="S132" s="31">
        <f t="shared" si="29"/>
        <v>1</v>
      </c>
      <c r="T132" s="46" t="str">
        <f t="shared" si="30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1"/>
        <v>https://d0f6bd738d7f1b3e5a7ca70fe4ff75f0.us-east-1.aws.found.io/app/kibana#/discover/Steve-Slow-Train-Analysis-(2080s-and-2083s)?_g=(refreshInterval:(display:Off,pause:!f,section:0,value:0),time:(from:'2017-04-22T18:12:14-0600',mode:absolute,to:'2017-04-22T21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183" t="str">
        <f t="shared" si="32"/>
        <v>N</v>
      </c>
      <c r="X132" s="183">
        <f t="shared" si="46"/>
        <v>1</v>
      </c>
      <c r="Y132" s="62">
        <f t="shared" si="33"/>
        <v>23.309000000000001</v>
      </c>
      <c r="Z132" s="62">
        <f t="shared" si="34"/>
        <v>1.49E-2</v>
      </c>
      <c r="AA132" s="62">
        <f t="shared" si="35"/>
        <v>23.2941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0220-22</v>
      </c>
      <c r="AE132" s="85" t="str">
        <f t="shared" si="37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132" s="82" t="str">
        <f t="shared" si="38"/>
        <v>"C:\Program Files (x86)\AstroGrep\AstroGrep.exe" /e /r /s /spath="%USERPROFILE%\AppData\Local\Temp\OnboardLogs" /stypes="app*4063*20170423*" /stext=" 02:.+((SYSTEM_STATE.+slice.+state.+changed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220-22 --locoid 4063 --swversion DE.1.0.9.0 --startMP 204:233090 --initTime 2017-04-22T19:12:14 --startdatetime 2017-04-22T19:26:22 --delay 2 --endMP 204:149 --enddatetime 2017-04-22T20:06:17 --enforcementcount 0 &gt;&gt;C:\Users\stu\Documents\GitHub\eaglep3-reporting\EC\2017-04-22-refined-times.txt</v>
      </c>
      <c r="AI132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{"issue":{"subject":"","project_id":79,"tracker_id":40,"status_id":1,"priority_id":2,"assigned_to_id":23,"start_date":"2017-04-22","description":"","custom_fields":[{"id":1,"name":"Subdivision","value":"EC"},{"id":4,"name":"Milepost","value":"0.0149"},{"id":17,"name":"Train ID","value":"220-22"},{"id":16,"name":"Locomotive ID","value":"4063"},{"id":130,"name":"Impact","value":""},{"id":150,"name":"Time of Event (Mountain Time)","value":"20:06:17"},{"id":151,"name":"Denver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2"/>
        <v>start /low /b %USERPROFILE%\Documents\GitHub\eaglep3\Utilities\DownloadLogsFromS3.py --loco 4063 --day 2017-04-22</v>
      </c>
      <c r="AN132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788</v>
      </c>
      <c r="B133" s="7">
        <v>4056</v>
      </c>
      <c r="C133" s="21" t="s">
        <v>213</v>
      </c>
      <c r="D133" s="21" t="s">
        <v>482</v>
      </c>
      <c r="E133" s="13">
        <v>42847.787523148145</v>
      </c>
      <c r="F133" s="13">
        <v>42847.792245370372</v>
      </c>
      <c r="G133" s="7">
        <v>1</v>
      </c>
      <c r="H133" s="21" t="s">
        <v>475</v>
      </c>
      <c r="I133" s="13">
        <v>42847.817719907405</v>
      </c>
      <c r="J133" s="7">
        <v>0</v>
      </c>
      <c r="K133" s="97" t="str">
        <f t="shared" si="26"/>
        <v>4055/4056</v>
      </c>
      <c r="L133" s="21" t="str">
        <f>VLOOKUP(A133,'Trips&amp;Operators'!$C$1:$G$99999,5,FALSE)</f>
        <v>BROWN JACOB</v>
      </c>
      <c r="M133" s="6">
        <f t="shared" si="27"/>
        <v>2.5474537033005618E-2</v>
      </c>
      <c r="N133" s="7">
        <f t="shared" si="47"/>
        <v>36.683333327528089</v>
      </c>
      <c r="O133" s="7"/>
      <c r="P133" s="7"/>
      <c r="Q133" s="22"/>
      <c r="R133" s="22"/>
      <c r="S133" s="31">
        <f t="shared" si="29"/>
        <v>1</v>
      </c>
      <c r="T133" s="46" t="str">
        <f t="shared" si="30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1"/>
        <v>https://d0f6bd738d7f1b3e5a7ca70fe4ff75f0.us-east-1.aws.found.io/app/kibana#/discover/Steve-Slow-Train-Analysis-(2080s-and-2083s)?_g=(refreshInterval:(display:Off,pause:!f,section:0,value:0),time:(from:'2017-04-22T17:54:02-0600',mode:absolute,to:'2017-04-22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183" t="str">
        <f t="shared" si="32"/>
        <v>N</v>
      </c>
      <c r="X133" s="183">
        <f t="shared" si="46"/>
        <v>1</v>
      </c>
      <c r="Y133" s="62">
        <f t="shared" si="33"/>
        <v>4.3700000000000003E-2</v>
      </c>
      <c r="Z133" s="62">
        <f t="shared" si="34"/>
        <v>23.331700000000001</v>
      </c>
      <c r="AA133" s="62">
        <f t="shared" si="35"/>
        <v>23.288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0221-22</v>
      </c>
      <c r="AE133" s="85" t="str">
        <f t="shared" si="37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133" s="82" t="str">
        <f t="shared" si="38"/>
        <v>"C:\Program Files (x86)\AstroGrep\AstroGrep.exe" /e /r /s /spath="%USERPROFILE%\AppData\Local\Temp\OnboardLogs" /stypes="app*4056*20170423*" /stext=" 01:.+((SYSTEM_STATE.+slice.+state.+changed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221-22 --locoid 4056 --swversion DE.1.0.9.0 --startMP 204:437 --initTime 2017-04-22T18:54:02 --startdatetime 2017-04-22T19:00:50 --delay 1 --endMP 204:233317 --enddatetime 2017-04-22T19:37:31 --enforcementcount 0 &gt;&gt;C:\Users\stu\Documents\GitHub\eaglep3-reporting\EC\2017-04-22-refined-times.txt</v>
      </c>
      <c r="AI133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{"issue":{"subject":"","project_id":79,"tracker_id":40,"status_id":1,"priority_id":2,"assigned_to_id":23,"start_date":"2017-04-22","description":"","custom_fields":[{"id":1,"name":"Subdivision","value":"EC"},{"id":4,"name":"Milepost","value":"23.3317"},{"id":17,"name":"Train ID","value":"221-22"},{"id":16,"name":"Locomotive ID","value":"4056"},{"id":130,"name":"Impact","value":""},{"id":150,"name":"Time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2"/>
        <v>start /low /b %USERPROFILE%\Documents\GitHub\eaglep3\Utilities\DownloadLogsFromS3.py --loco 4056 --day 2017-04-22</v>
      </c>
      <c r="AN133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796</v>
      </c>
      <c r="B134" s="7">
        <v>4055</v>
      </c>
      <c r="C134" s="21" t="s">
        <v>213</v>
      </c>
      <c r="D134" s="21" t="s">
        <v>418</v>
      </c>
      <c r="E134" s="13">
        <v>42847.826122685183</v>
      </c>
      <c r="F134" s="13">
        <v>42847.830810185187</v>
      </c>
      <c r="G134" s="7">
        <v>1</v>
      </c>
      <c r="H134" s="21" t="s">
        <v>381</v>
      </c>
      <c r="I134" s="13">
        <v>42847.859710648147</v>
      </c>
      <c r="J134" s="7">
        <v>0</v>
      </c>
      <c r="K134" s="97" t="str">
        <f t="shared" si="26"/>
        <v>4055/4056</v>
      </c>
      <c r="L134" s="21" t="str">
        <f>VLOOKUP(A134,'Trips&amp;Operators'!$C$1:$G$99999,5,FALSE)</f>
        <v>BROWN JACOB</v>
      </c>
      <c r="M134" s="6">
        <f t="shared" si="27"/>
        <v>2.8900462959427387E-2</v>
      </c>
      <c r="N134" s="7">
        <f t="shared" si="47"/>
        <v>41.616666661575437</v>
      </c>
      <c r="O134" s="7"/>
      <c r="P134" s="7"/>
      <c r="Q134" s="22"/>
      <c r="R134" s="22"/>
      <c r="S134" s="31">
        <f t="shared" si="29"/>
        <v>1</v>
      </c>
      <c r="T134" s="46" t="str">
        <f t="shared" si="30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1"/>
        <v>https://d0f6bd738d7f1b3e5a7ca70fe4ff75f0.us-east-1.aws.found.io/app/kibana#/discover/Steve-Slow-Train-Analysis-(2080s-and-2083s)?_g=(refreshInterval:(display:Off,pause:!f,section:0,value:0),time:(from:'2017-04-22T18:49:37-0600',mode:absolute,to:'2017-04-22T21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183" t="str">
        <f t="shared" si="32"/>
        <v>N</v>
      </c>
      <c r="X134" s="183">
        <f t="shared" si="46"/>
        <v>1</v>
      </c>
      <c r="Y134" s="62">
        <f t="shared" si="33"/>
        <v>23.3002</v>
      </c>
      <c r="Z134" s="62">
        <f t="shared" si="34"/>
        <v>1.41E-2</v>
      </c>
      <c r="AA134" s="62">
        <f t="shared" si="35"/>
        <v>23.286100000000001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0222-22</v>
      </c>
      <c r="AE134" s="85" t="str">
        <f t="shared" si="37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134" s="82" t="str">
        <f t="shared" si="38"/>
        <v>"C:\Program Files (x86)\AstroGrep\AstroGrep.exe" /e /r /s /spath="%USERPROFILE%\AppData\Local\Temp\OnboardLogs" /stypes="app*4055*20170423*" /stext=" 02:.+((SYSTEM_STATE.+slice.+state.+changed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222-22 --locoid 4055 --swversion DE.1.0.9.0 --startMP 204:233002 --initTime 2017-04-22T19:49:37 --startdatetime 2017-04-22T19:56:22 --delay 1 --endMP 204:141 --enddatetime 2017-04-22T20:37:59 --enforcementcount 0 &gt;&gt;C:\Users\stu\Documents\GitHub\eaglep3-reporting\EC\2017-04-22-refined-times.txt</v>
      </c>
      <c r="AI134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{"issue":{"subject":"","project_id":79,"tracker_id":40,"status_id":1,"priority_id":2,"assigned_to_id":23,"start_date":"2017-04-22","description":"","custom_fields":[{"id":1,"name":"Subdivision","value":"EC"},{"id":4,"name":"Milepost","value":"0.0141"},{"id":17,"name":"Train ID","value":"222-22"},{"id":16,"name":"Locomotive ID","value":"4055"},{"id":130,"name":"Impact","value":""},{"id":150,"name":"Time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2"/>
        <v>start /low /b %USERPROFILE%\Documents\GitHub\eaglep3\Utilities\DownloadLogsFromS3.py --loco 4055 --day 2017-04-22</v>
      </c>
      <c r="AN134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793</v>
      </c>
      <c r="B135" s="7">
        <v>4026</v>
      </c>
      <c r="C135" s="21" t="s">
        <v>213</v>
      </c>
      <c r="D135" s="21" t="s">
        <v>394</v>
      </c>
      <c r="E135" s="13">
        <v>42847.808252314811</v>
      </c>
      <c r="F135" s="13">
        <v>42847.812719907408</v>
      </c>
      <c r="G135" s="7">
        <v>1</v>
      </c>
      <c r="H135" s="21" t="s">
        <v>417</v>
      </c>
      <c r="I135" s="13">
        <v>42847.840289351851</v>
      </c>
      <c r="J135" s="7">
        <v>0</v>
      </c>
      <c r="K135" s="97" t="str">
        <f t="shared" si="26"/>
        <v>4025/4026</v>
      </c>
      <c r="L135" s="21" t="str">
        <f>VLOOKUP(A135,'Trips&amp;Operators'!$C$1:$G$99999,5,FALSE)</f>
        <v>DAVIDSON DAVID</v>
      </c>
      <c r="M135" s="6">
        <f t="shared" si="27"/>
        <v>2.7569444442633539E-2</v>
      </c>
      <c r="N135" s="7">
        <f t="shared" si="47"/>
        <v>39.699999997392297</v>
      </c>
      <c r="O135" s="7"/>
      <c r="P135" s="7"/>
      <c r="Q135" s="22"/>
      <c r="R135" s="22" t="s">
        <v>1011</v>
      </c>
      <c r="S135" s="31">
        <f t="shared" si="29"/>
        <v>1</v>
      </c>
      <c r="T135" s="46" t="str">
        <f t="shared" si="30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1"/>
        <v>https://d0f6bd738d7f1b3e5a7ca70fe4ff75f0.us-east-1.aws.found.io/app/kibana#/discover/Steve-Slow-Train-Analysis-(2080s-and-2083s)?_g=(refreshInterval:(display:Off,pause:!f,section:0,value:0),time:(from:'2017-04-22T18:23:53-0600',mode:absolute,to:'2017-04-22T21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183" t="str">
        <f t="shared" si="32"/>
        <v>N</v>
      </c>
      <c r="X135" s="183">
        <f t="shared" si="46"/>
        <v>1</v>
      </c>
      <c r="Y135" s="62">
        <f t="shared" si="33"/>
        <v>4.58E-2</v>
      </c>
      <c r="Z135" s="62">
        <f t="shared" si="34"/>
        <v>23.3291</v>
      </c>
      <c r="AA135" s="62">
        <f t="shared" si="35"/>
        <v>23.283300000000001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0223-22</v>
      </c>
      <c r="AE135" s="85" t="str">
        <f t="shared" si="37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135" s="82" t="str">
        <f t="shared" si="38"/>
        <v>"C:\Program Files (x86)\AstroGrep\AstroGrep.exe" /e /r /s /spath="%USERPROFILE%\AppData\Local\Temp\OnboardLogs" /stypes="app*4026*20170423*" /stext=" 02:.+((SYSTEM_STATE.+slice.+state.+changed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223-22 --locoid 4026 --swversion DE.1.0.9.0 --startMP 204:458 --initTime 2017-04-22T19:23:53 --startdatetime 2017-04-22T19:30:19 --delay 1 --endMP 204:233291 --enddatetime 2017-04-22T20:10:01 --enforcementcount 0 &gt;&gt;C:\Users\stu\Documents\GitHub\eaglep3-reporting\EC\2017-04-22-refined-times.txt</v>
      </c>
      <c r="AI135" s="104" t="str">
        <f t="shared" si="41"/>
        <v>echo {"issue":{"subject":"No evidence of enforcement found (train was warned at CP 61st a few times before dispatcher cleared signal)","project_id":79,"tracker_id":40,"status_id":1,"priority_id":2,"assigned_to_id":23,"start_date":"2017-04-22","description":"","custom_fields":[{"id":1,"name":"Subdivision","value":"EC"},{"id":4,"name":"Milepost","value":"23.3291"},{"id":17,"name":"Train ID","value":"223-22"},{"id":16,"name":"Locomotive ID","value":"4026"},{"id":130,"name":"Impact","value":""},{"id":150,"name":"Time of Event (Mountain Time)","value":"20:10:01"},{"id":151,"name":"Denver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2"/>
        <v>start /low /b %USERPROFILE%\Documents\GitHub\eaglep3\Utilities\DownloadLogsFromS3.py --loco 4026 --day 2017-04-22</v>
      </c>
      <c r="AN135" s="159" t="str">
        <f t="shared" si="43"/>
        <v>echo {"issue":{"subject":"No evidence of enforcement found (train was warned at CP 61st a few times before dispatcher cleared signal)","project_id":30,"tracker_id":4,"status_id":1,"priority_id":1,"assigned_to_id":10,"start_date":"2017-04-23","description":"","custom_fields":[{"id":30,"name":"Category","value":"Issue"},{"id":3,"name":"Functional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608</v>
      </c>
      <c r="B136" s="7">
        <v>4025</v>
      </c>
      <c r="C136" s="21" t="s">
        <v>213</v>
      </c>
      <c r="D136" s="21" t="s">
        <v>556</v>
      </c>
      <c r="E136" s="13">
        <v>42847.84715277778</v>
      </c>
      <c r="F136" s="13">
        <v>42847.851724537039</v>
      </c>
      <c r="G136" s="7">
        <v>1</v>
      </c>
      <c r="H136" s="21" t="s">
        <v>865</v>
      </c>
      <c r="I136" s="13">
        <v>42847.881481481483</v>
      </c>
      <c r="J136" s="7">
        <v>0</v>
      </c>
      <c r="K136" s="97" t="str">
        <f t="shared" si="26"/>
        <v>4025/4026</v>
      </c>
      <c r="L136" s="21" t="str">
        <f>VLOOKUP(A136,'Trips&amp;Operators'!$C$1:$G$99999,5,FALSE)</f>
        <v>DAVIDSON DAVID</v>
      </c>
      <c r="M136" s="6">
        <f t="shared" si="27"/>
        <v>2.9756944444670808E-2</v>
      </c>
      <c r="N136" s="7">
        <f t="shared" si="47"/>
        <v>42.850000000325963</v>
      </c>
      <c r="O136" s="7"/>
      <c r="P136" s="7"/>
      <c r="Q136" s="22"/>
      <c r="R136" s="22"/>
      <c r="S136" s="31">
        <f t="shared" si="29"/>
        <v>1</v>
      </c>
      <c r="T136" s="46" t="str">
        <f t="shared" si="30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1"/>
        <v>https://d0f6bd738d7f1b3e5a7ca70fe4ff75f0.us-east-1.aws.found.io/app/kibana#/discover/Steve-Slow-Train-Analysis-(2080s-and-2083s)?_g=(refreshInterval:(display:Off,pause:!f,section:0,value:0),time:(from:'2017-04-22T19:19:54-0600',mode:absolute,to:'2017-04-22T22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183" t="str">
        <f t="shared" si="32"/>
        <v>N</v>
      </c>
      <c r="X136" s="183">
        <f t="shared" si="46"/>
        <v>1</v>
      </c>
      <c r="Y136" s="62">
        <f t="shared" si="33"/>
        <v>23.2957</v>
      </c>
      <c r="Z136" s="62">
        <f t="shared" si="34"/>
        <v>1.18E-2</v>
      </c>
      <c r="AA136" s="62">
        <f t="shared" si="35"/>
        <v>23.283899999999999</v>
      </c>
      <c r="AB136" s="59" t="str">
        <f>VLOOKUP(A136,Enforcements!$C$7:$K$13,8,0)</f>
        <v>Bulletin (2)</v>
      </c>
      <c r="AC136" s="55" t="str">
        <f>VLOOKUP(A136,Enforcements!$C$7:$E$13,3,0)</f>
        <v>GRADE CROSSING</v>
      </c>
      <c r="AD136" s="56" t="str">
        <f t="shared" si="36"/>
        <v>0224-22</v>
      </c>
      <c r="AE136" s="85" t="str">
        <f t="shared" si="37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136" s="82" t="str">
        <f t="shared" si="38"/>
        <v>"C:\Program Files (x86)\AstroGrep\AstroGrep.exe" /e /r /s /spath="%USERPROFILE%\AppData\Local\Temp\OnboardLogs" /stypes="app*4025*20170423*" /stext=" 03:.+((SYSTEM_STATE.+slice.+state.+changed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224-22 --locoid 4025 --swversion DE.1.0.9.0 --startMP 204:232957 --initTime 2017-04-22T20:19:54 --startdatetime 2017-04-22T20:26:29 --delay 1 --endMP 204:118 --enddatetime 2017-04-22T21:09:20 --enforcementcount 0 &gt;&gt;C:\Users\stu\Documents\GitHub\eaglep3-reporting\EC\2017-04-22-refined-times.txt</v>
      </c>
      <c r="AI136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{"issue":{"subject":"","project_id":79,"tracker_id":40,"status_id":1,"priority_id":2,"assigned_to_id":23,"start_date":"2017-04-22","description":"","custom_fields":[{"id":1,"name":"Subdivision","value":"EC"},{"id":4,"name":"Milepost","value":"0.0118"},{"id":17,"name":"Train ID","value":"224-22"},{"id":16,"name":"Locomotive ID","value":"4025"},{"id":130,"name":"Impact","value":""},{"id":150,"name":"Time of Event (Mountain Time)","value":"21:09:20"},{"id":151,"name":"Denver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2"/>
        <v>start /low /b %USERPROFILE%\Documents\GitHub\eaglep3\Utilities\DownloadLogsFromS3.py --loco 4025 --day 2017-04-22</v>
      </c>
      <c r="AN136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03:09:20"},{"id":29,"name":"Sharepoint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607</v>
      </c>
      <c r="B137" s="7">
        <v>4018</v>
      </c>
      <c r="C137" s="21" t="s">
        <v>213</v>
      </c>
      <c r="D137" s="21" t="s">
        <v>477</v>
      </c>
      <c r="E137" s="13">
        <v>42847.829375000001</v>
      </c>
      <c r="F137" s="13">
        <v>42847.833611111113</v>
      </c>
      <c r="G137" s="7">
        <v>1</v>
      </c>
      <c r="H137" s="21" t="s">
        <v>941</v>
      </c>
      <c r="I137" s="13">
        <v>42847.858935185184</v>
      </c>
      <c r="J137" s="7">
        <v>0</v>
      </c>
      <c r="K137" s="97" t="str">
        <f t="shared" si="26"/>
        <v>4017/4018</v>
      </c>
      <c r="L137" s="21" t="str">
        <f>VLOOKUP(A137,'Trips&amp;Operators'!$C$1:$G$99999,5,FALSE)</f>
        <v>STAMBAUGH JAMES</v>
      </c>
      <c r="M137" s="6">
        <f t="shared" si="27"/>
        <v>2.5324074071249925E-2</v>
      </c>
      <c r="N137" s="7">
        <f t="shared" si="47"/>
        <v>36.466666662599891</v>
      </c>
      <c r="O137" s="7"/>
      <c r="P137" s="7"/>
      <c r="Q137" s="22"/>
      <c r="R137" s="22"/>
      <c r="S137" s="31">
        <f t="shared" si="29"/>
        <v>1</v>
      </c>
      <c r="T137" s="46" t="str">
        <f t="shared" si="30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1"/>
        <v>https://d0f6bd738d7f1b3e5a7ca70fe4ff75f0.us-east-1.aws.found.io/app/kibana#/discover/Steve-Slow-Train-Analysis-(2080s-and-2083s)?_g=(refreshInterval:(display:Off,pause:!f,section:0,value:0),time:(from:'2017-04-22T18:54:18-0600',mode:absolute,to:'2017-04-22T21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83" t="str">
        <f t="shared" si="32"/>
        <v>N</v>
      </c>
      <c r="X137" s="183">
        <f t="shared" si="46"/>
        <v>1</v>
      </c>
      <c r="Y137" s="62">
        <f t="shared" si="33"/>
        <v>4.5100000000000001E-2</v>
      </c>
      <c r="Z137" s="62">
        <f t="shared" si="34"/>
        <v>23.336099999999998</v>
      </c>
      <c r="AA137" s="62">
        <f t="shared" si="35"/>
        <v>23.290999999999997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0225-22</v>
      </c>
      <c r="AE137" s="85" t="str">
        <f t="shared" si="37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137" s="82" t="str">
        <f t="shared" si="38"/>
        <v>"C:\Program Files (x86)\AstroGrep\AstroGrep.exe" /e /r /s /spath="%USERPROFILE%\AppData\Local\Temp\OnboardLogs" /stypes="app*4018*20170423*" /stext=" 02:.+((SYSTEM_STATE.+slice.+state.+changed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225-22 --locoid 4018 --swversion DE.1.0.9.0 --startMP 204:451 --initTime 2017-04-22T19:54:18 --startdatetime 2017-04-22T20:00:24 --delay 1 --endMP 204:233361 --enddatetime 2017-04-22T20:36:52 --enforcementcount 0 &gt;&gt;C:\Users\stu\Documents\GitHub\eaglep3-reporting\EC\2017-04-22-refined-times.txt</v>
      </c>
      <c r="AI137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{"issue":{"subject":"","project_id":79,"tracker_id":40,"status_id":1,"priority_id":2,"assigned_to_id":23,"start_date":"2017-04-22","description":"","custom_fields":[{"id":1,"name":"Subdivision","value":"EC"},{"id":4,"name":"Milepost","value":"23.3361"},{"id":17,"name":"Train ID","value":"225-22"},{"id":16,"name":"Locomotive ID","value":"4018"},{"id":130,"name":"Impact","value":""},{"id":150,"name":"Time of Event (Mountain Time)","value":"20:36:52"},{"id":151,"name":"Denver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2"/>
        <v>start /low /b %USERPROFILE%\Documents\GitHub\eaglep3\Utilities\DownloadLogsFromS3.py --loco 4018 --day 2017-04-22</v>
      </c>
      <c r="AN137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800</v>
      </c>
      <c r="B138" s="7">
        <v>4017</v>
      </c>
      <c r="C138" s="21" t="s">
        <v>213</v>
      </c>
      <c r="D138" s="21" t="s">
        <v>949</v>
      </c>
      <c r="E138" s="13">
        <v>42847.869942129626</v>
      </c>
      <c r="F138" s="13">
        <v>42847.872673611113</v>
      </c>
      <c r="G138" s="7">
        <v>1</v>
      </c>
      <c r="H138" s="21" t="s">
        <v>950</v>
      </c>
      <c r="I138" s="13">
        <v>42847.899016203701</v>
      </c>
      <c r="J138" s="7">
        <v>0</v>
      </c>
      <c r="K138" s="97" t="str">
        <f t="shared" si="26"/>
        <v>4017/4018</v>
      </c>
      <c r="L138" s="21" t="str">
        <f>VLOOKUP(A138,'Trips&amp;Operators'!$C$1:$G$99999,5,FALSE)</f>
        <v>STAMBAUGH JAMES</v>
      </c>
      <c r="M138" s="6">
        <f t="shared" si="27"/>
        <v>2.6342592587752733E-2</v>
      </c>
      <c r="N138" s="7">
        <f t="shared" si="47"/>
        <v>37.933333326363936</v>
      </c>
      <c r="O138" s="7"/>
      <c r="P138" s="7"/>
      <c r="Q138" s="22"/>
      <c r="R138" s="22"/>
      <c r="S138" s="31">
        <f t="shared" si="29"/>
        <v>1</v>
      </c>
      <c r="T138" s="46" t="str">
        <f t="shared" si="30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1"/>
        <v>https://d0f6bd738d7f1b3e5a7ca70fe4ff75f0.us-east-1.aws.found.io/app/kibana#/discover/Steve-Slow-Train-Analysis-(2080s-and-2083s)?_g=(refreshInterval:(display:Off,pause:!f,section:0,value:0),time:(from:'2017-04-22T19:52:43-0600',mode:absolute,to:'2017-04-22T22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83" t="str">
        <f t="shared" si="32"/>
        <v>N</v>
      </c>
      <c r="X138" s="183">
        <f t="shared" si="46"/>
        <v>1</v>
      </c>
      <c r="Y138" s="62">
        <f t="shared" si="33"/>
        <v>23.306799999999999</v>
      </c>
      <c r="Z138" s="62">
        <f t="shared" si="34"/>
        <v>1.1599999999999999E-2</v>
      </c>
      <c r="AA138" s="62">
        <f t="shared" si="35"/>
        <v>23.295199999999998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0226-22</v>
      </c>
      <c r="AE138" s="85" t="str">
        <f t="shared" si="37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138" s="82" t="str">
        <f t="shared" si="38"/>
        <v>"C:\Program Files (x86)\AstroGrep\AstroGrep.exe" /e /r /s /spath="%USERPROFILE%\AppData\Local\Temp\OnboardLogs" /stypes="app*4017*20170423*" /stext=" 03:.+((SYSTEM_STATE.+slice.+state.+changed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226-22 --locoid 4017 --swversion DE.1.0.9.0 --startMP 204:233068 --initTime 2017-04-22T20:52:43 --startdatetime 2017-04-22T20:56:39 --delay 1 --endMP 204:116 --enddatetime 2017-04-22T21:34:35 --enforcementcount 0 &gt;&gt;C:\Users\stu\Documents\GitHub\eaglep3-reporting\EC\2017-04-22-refined-times.txt</v>
      </c>
      <c r="AI138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{"issue":{"subject":"","project_id":79,"tracker_id":40,"status_id":1,"priority_id":2,"assigned_to_id":23,"start_date":"2017-04-22","description":"","custom_fields":[{"id":1,"name":"Subdivision","value":"EC"},{"id":4,"name":"Milepost","value":"0.0116"},{"id":17,"name":"Train ID","value":"226-22"},{"id":16,"name":"Locomotive ID","value":"4017"},{"id":130,"name":"Impact","value":""},{"id":150,"name":"Time of Event (Mountain Time)","value":"21:34:35"},{"id":151,"name":"Denver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2"/>
        <v>start /low /b %USERPROFILE%\Documents\GitHub\eaglep3\Utilities\DownloadLogsFromS3.py --loco 4017 --day 2017-04-22</v>
      </c>
      <c r="AN138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3" t="s">
        <v>798</v>
      </c>
      <c r="B139" s="7">
        <v>4064</v>
      </c>
      <c r="C139" s="21" t="s">
        <v>213</v>
      </c>
      <c r="D139" s="21" t="s">
        <v>209</v>
      </c>
      <c r="E139" s="13">
        <v>42847.849733796298</v>
      </c>
      <c r="F139" s="13">
        <v>42847.854490740741</v>
      </c>
      <c r="G139" s="7">
        <v>1</v>
      </c>
      <c r="H139" s="21" t="s">
        <v>951</v>
      </c>
      <c r="I139" s="13">
        <v>42847.880046296297</v>
      </c>
      <c r="J139" s="7">
        <v>0</v>
      </c>
      <c r="K139" s="97" t="str">
        <f t="shared" si="26"/>
        <v>4063/4064</v>
      </c>
      <c r="L139" s="21" t="str">
        <f>VLOOKUP(A139,'Trips&amp;Operators'!$C$1:$G$99999,5,FALSE)</f>
        <v>MAGEE KENYA</v>
      </c>
      <c r="M139" s="6">
        <f t="shared" si="27"/>
        <v>2.5555555555911269E-2</v>
      </c>
      <c r="N139" s="7">
        <f t="shared" si="47"/>
        <v>36.800000000512227</v>
      </c>
      <c r="O139" s="7"/>
      <c r="P139" s="7"/>
      <c r="Q139" s="22"/>
      <c r="R139" s="22"/>
      <c r="S139" s="31">
        <f t="shared" si="29"/>
        <v>1</v>
      </c>
      <c r="T139" s="46" t="str">
        <f t="shared" si="30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1"/>
        <v>https://d0f6bd738d7f1b3e5a7ca70fe4ff75f0.us-east-1.aws.found.io/app/kibana#/discover/Steve-Slow-Train-Analysis-(2080s-and-2083s)?_g=(refreshInterval:(display:Off,pause:!f,section:0,value:0),time:(from:'2017-04-22T19:23:37-0600',mode:absolute,to:'2017-04-22T22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9" s="183" t="str">
        <f t="shared" si="32"/>
        <v>N</v>
      </c>
      <c r="X139" s="183">
        <f t="shared" si="46"/>
        <v>1</v>
      </c>
      <c r="Y139" s="62">
        <f t="shared" si="33"/>
        <v>4.5499999999999999E-2</v>
      </c>
      <c r="Z139" s="62">
        <f t="shared" si="34"/>
        <v>23.342400000000001</v>
      </c>
      <c r="AA139" s="62">
        <f t="shared" si="35"/>
        <v>23.296900000000001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0227-22</v>
      </c>
      <c r="AE139" s="85" t="str">
        <f t="shared" si="37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139" s="82" t="str">
        <f t="shared" si="38"/>
        <v>"C:\Program Files (x86)\AstroGrep\AstroGrep.exe" /e /r /s /spath="%USERPROFILE%\AppData\Local\Temp\OnboardLogs" /stypes="app*4064*20170423*" /stext=" 03:.+((SYSTEM_STATE.+slice.+state.+changed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227-22 --locoid 4064 --swversion DE.1.0.9.0 --startMP 204:455 --initTime 2017-04-22T20:23:37 --startdatetime 2017-04-22T20:30:28 --delay 1 --endMP 204:233424 --enddatetime 2017-04-22T21:07:16 --enforcementcount 0 &gt;&gt;C:\Users\stu\Documents\GitHub\eaglep3-reporting\EC\2017-04-22-refined-times.txt</v>
      </c>
      <c r="AI139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{"issue":{"subject":"","project_id":79,"tracker_id":40,"status_id":1,"priority_id":2,"assigned_to_id":23,"start_date":"2017-04-22","description":"","custom_fields":[{"id":1,"name":"Subdivision","value":"EC"},{"id":4,"name":"Milepost","value":"23.3424"},{"id":17,"name":"Train ID","value":"227-22"},{"id":16,"name":"Locomotive ID","value":"4064"},{"id":130,"name":"Impact","value":""},{"id":150,"name":"Time of Event (Mountain Time)","value":"21:07:16"},{"id":151,"name":"Denver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8"/>
      <c r="AL139" s="48"/>
      <c r="AM139" s="150" t="str">
        <f t="shared" si="42"/>
        <v>start /low /b %USERPROFILE%\Documents\GitHub\eaglep3\Utilities\DownloadLogsFromS3.py --loco 4064 --day 2017-04-22</v>
      </c>
      <c r="AN139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03:07:16"},{"id":29,"name":"Sharepoint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3" t="s">
        <v>804</v>
      </c>
      <c r="B140" s="7">
        <v>4063</v>
      </c>
      <c r="C140" s="21" t="s">
        <v>213</v>
      </c>
      <c r="D140" s="21" t="s">
        <v>952</v>
      </c>
      <c r="E140" s="13">
        <v>42847.89167824074</v>
      </c>
      <c r="F140" s="13">
        <v>42847.893414351849</v>
      </c>
      <c r="G140" s="7">
        <v>1</v>
      </c>
      <c r="H140" s="21" t="s">
        <v>203</v>
      </c>
      <c r="I140" s="13">
        <v>42847.921099537038</v>
      </c>
      <c r="J140" s="7">
        <v>0</v>
      </c>
      <c r="K140" s="97" t="str">
        <f t="shared" si="26"/>
        <v>4063/4064</v>
      </c>
      <c r="L140" s="21" t="str">
        <f>VLOOKUP(A140,'Trips&amp;Operators'!$C$1:$G$99999,5,FALSE)</f>
        <v>MAGEE KENYA</v>
      </c>
      <c r="M140" s="6">
        <f t="shared" si="27"/>
        <v>2.768518518860219E-2</v>
      </c>
      <c r="N140" s="7">
        <f t="shared" si="47"/>
        <v>39.866666671587154</v>
      </c>
      <c r="O140" s="7"/>
      <c r="P140" s="7"/>
      <c r="Q140" s="22"/>
      <c r="R140" s="22"/>
      <c r="S140" s="31">
        <f t="shared" si="29"/>
        <v>1</v>
      </c>
      <c r="T140" s="46" t="str">
        <f t="shared" si="30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1"/>
        <v>https://d0f6bd738d7f1b3e5a7ca70fe4ff75f0.us-east-1.aws.found.io/app/kibana#/discover/Steve-Slow-Train-Analysis-(2080s-and-2083s)?_g=(refreshInterval:(display:Off,pause:!f,section:0,value:0),time:(from:'2017-04-22T20:24:01-0600',mode:absolute,to:'2017-04-22T23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0" s="183" t="str">
        <f t="shared" si="32"/>
        <v>N</v>
      </c>
      <c r="X140" s="183">
        <f t="shared" si="46"/>
        <v>1</v>
      </c>
      <c r="Y140" s="62">
        <f t="shared" si="33"/>
        <v>23.303999999999998</v>
      </c>
      <c r="Z140" s="62">
        <f t="shared" si="34"/>
        <v>1.54E-2</v>
      </c>
      <c r="AA140" s="62">
        <f t="shared" si="35"/>
        <v>23.288599999999999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0228-22</v>
      </c>
      <c r="AE140" s="85" t="str">
        <f t="shared" si="37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140" s="82" t="str">
        <f t="shared" si="38"/>
        <v>"C:\Program Files (x86)\AstroGrep\AstroGrep.exe" /e /r /s /spath="%USERPROFILE%\AppData\Local\Temp\OnboardLogs" /stypes="app*4063*20170423*" /stext=" 04:.+((SYSTEM_STATE.+slice.+state.+changed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0"/>
        <v>"%USERPROFILE%\Documents\GitHub\eaglep3\Utilities\RefineRTDCRunTimes.py" --tripid 228-22 --locoid 4063 --swversion DE.1.0.9.0 --startMP 204:233040 --initTime 2017-04-22T21:24:01 --startdatetime 2017-04-22T21:26:31 --delay 1 --endMP 204:154 --enddatetime 2017-04-22T22:06:23 --enforcementcount 0 &gt;&gt;C:\Users\stu\Documents\GitHub\eaglep3-reporting\EC\2017-04-22-refined-times.txt</v>
      </c>
      <c r="AI140" s="104" t="str">
        <f t="shared" si="41"/>
        <v>echo {"issue":{"subject":"","project_id":79,"tracker_id":40,"status_id":1,"priority_id":2,"assigned_to_id":23,"start_date":"2017-04-22","description":"","custom_fields":[{"id":1,"name":"Subdivision","value":"EC"},{"id":4,"name":"Milepost","value":"0.0154"},{"id":17,"name":"Train ID","value":"228-22"},{"id":16,"name":"Locomotive ID","value":"4063"},{"id":130,"name":"Impact","value":""},{"id":150,"name":"Time of Event (Mountain Time)","value":"22:06:23"},{"id":151,"name":"Denver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2"/>
        <v>start /low /b %USERPROFILE%\Documents\GitHub\eaglep3\Utilities\DownloadLogsFromS3.py --loco 4063 --day 2017-04-22</v>
      </c>
      <c r="AN140" s="159" t="str">
        <f t="shared" si="43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801</v>
      </c>
      <c r="B141" s="7">
        <v>4056</v>
      </c>
      <c r="C141" s="21" t="s">
        <v>213</v>
      </c>
      <c r="D141" s="21" t="s">
        <v>930</v>
      </c>
      <c r="E141" s="13">
        <v>42847.870787037034</v>
      </c>
      <c r="F141" s="13">
        <v>42847.875347222223</v>
      </c>
      <c r="G141" s="7">
        <v>1</v>
      </c>
      <c r="H141" s="21" t="s">
        <v>480</v>
      </c>
      <c r="I141" s="13">
        <v>42847.900787037041</v>
      </c>
      <c r="J141" s="7">
        <v>0</v>
      </c>
      <c r="K141" s="97" t="str">
        <f t="shared" ref="K141:K204" si="48">IF(ISEVEN(B141),(B141-1)&amp;"/"&amp;B141,B141&amp;"/"&amp;(B141+1))</f>
        <v>4055/4056</v>
      </c>
      <c r="L141" s="21" t="str">
        <f>VLOOKUP(A141,'Trips&amp;Operators'!$C$1:$G$99999,5,FALSE)</f>
        <v>BROWN JACOB</v>
      </c>
      <c r="M141" s="6">
        <f t="shared" ref="M141:M204" si="49">I141-F141</f>
        <v>2.5439814817218576E-2</v>
      </c>
      <c r="N141" s="7">
        <f t="shared" si="47"/>
        <v>36.633333336794749</v>
      </c>
      <c r="O141" s="7"/>
      <c r="P141" s="7"/>
      <c r="Q141" s="22"/>
      <c r="R141" s="22"/>
      <c r="S141" s="31">
        <f t="shared" ref="S141:S204" si="50">SUM(U141:U141)/IF(AG141="EC",12,1)</f>
        <v>1</v>
      </c>
      <c r="T141" s="46" t="str">
        <f t="shared" ref="T141:T204" si="51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-22T19:53:56-0600',mode:absolute,to:'2017-04-22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1" s="183" t="str">
        <f t="shared" ref="W141:W204" si="53">IF(AA141&lt;IF(AG141="EC",23,5.65),"Y","N")</f>
        <v>N</v>
      </c>
      <c r="X141" s="183">
        <f t="shared" si="46"/>
        <v>1</v>
      </c>
      <c r="Y141" s="62">
        <f t="shared" ref="Y141:Y204" si="54">RIGHT(D141,LEN(D141)-4)/10000</f>
        <v>4.3099999999999999E-2</v>
      </c>
      <c r="Z141" s="62">
        <f t="shared" ref="Z141:Z204" si="55">RIGHT(H141,LEN(H141)-4)/10000</f>
        <v>23.3325</v>
      </c>
      <c r="AA141" s="62">
        <f t="shared" ref="AA141:AA204" si="56">ABS(Z141-Y141)</f>
        <v>23.289400000000001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7">IF(LEN(A141)=6,"0"&amp;A141,A141)</f>
        <v>0229-22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/stypes="app*4056*20170423*" /stext=" 03:.+((SYSTEM_STATE.+slice.+state.+changed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ref="AH141:AH205" si="6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229-22 --locoid 4056 --swversion DE.1.0.9.0 --startMP 204:431 --initTime 2017-04-22T20:53:56 --startdatetime 2017-04-22T21:00:30 --delay 1 --endMP 204:233325 --enddatetime 2017-04-22T21:37:08 --enforcementcount 0 &gt;&gt;C:\Users\stu\Documents\GitHub\eaglep3-reporting\EC\2017-04-22-refined-times.txt</v>
      </c>
      <c r="AI141" s="104" t="str">
        <f t="shared" ref="AI141:AI205" si="6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{"issue":{"subject":"","project_id":79,"tracker_id":40,"status_id":1,"priority_id":2,"assigned_to_id":23,"start_date":"2017-04-22","description":"","custom_fields":[{"id":1,"name":"Subdivision","value":"EC"},{"id":4,"name":"Milepost","value":"23.3325"},{"id":17,"name":"Train ID","value":"229-22"},{"id":16,"name":"Locomotive ID","value":"4056"},{"id":130,"name":"Impact","value":""},{"id":150,"name":"Time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ref="AM141:AM205" si="63">"start /low /b "&amp;dls3logs&amp;" --loco "&amp;B141&amp;" --day "&amp;TEXT(F141,"YYYY-MM-DD")</f>
        <v>start /low /b %USERPROFILE%\Documents\GitHub\eaglep3\Utilities\DownloadLogsFromS3.py --loco 4056 --day 2017-04-22</v>
      </c>
      <c r="AN141" s="159" t="str">
        <f t="shared" ref="AN141:AN205" si="64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609</v>
      </c>
      <c r="B142" s="7">
        <v>4055</v>
      </c>
      <c r="C142" s="21" t="s">
        <v>213</v>
      </c>
      <c r="D142" s="21" t="s">
        <v>376</v>
      </c>
      <c r="E142" s="13">
        <v>42847.909594907411</v>
      </c>
      <c r="F142" s="13">
        <v>42847.9140625</v>
      </c>
      <c r="G142" s="7">
        <v>1</v>
      </c>
      <c r="H142" s="21" t="s">
        <v>198</v>
      </c>
      <c r="I142" s="13">
        <v>42847.943958333337</v>
      </c>
      <c r="J142" s="7">
        <v>0</v>
      </c>
      <c r="K142" s="97" t="str">
        <f t="shared" si="48"/>
        <v>4055/4056</v>
      </c>
      <c r="L142" s="21" t="str">
        <f>VLOOKUP(A142,'Trips&amp;Operators'!$C$1:$G$99999,5,FALSE)</f>
        <v>BROWN JACOB</v>
      </c>
      <c r="M142" s="6">
        <f t="shared" si="49"/>
        <v>2.9895833336922806E-2</v>
      </c>
      <c r="N142" s="7">
        <f t="shared" si="47"/>
        <v>43.05000000516884</v>
      </c>
      <c r="O142" s="7"/>
      <c r="P142" s="7"/>
      <c r="Q142" s="22"/>
      <c r="R142" s="22"/>
      <c r="S142" s="31">
        <f t="shared" si="50"/>
        <v>1</v>
      </c>
      <c r="T142" s="46" t="str">
        <f t="shared" si="51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2"/>
        <v>https://d0f6bd738d7f1b3e5a7ca70fe4ff75f0.us-east-1.aws.found.io/app/kibana#/discover/Steve-Slow-Train-Analysis-(2080s-and-2083s)?_g=(refreshInterval:(display:Off,pause:!f,section:0,value:0),time:(from:'2017-04-22T20:49:49-0600',mode:absolute,to:'2017-04-22T23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183" t="str">
        <f t="shared" si="53"/>
        <v>N</v>
      </c>
      <c r="X142" s="183">
        <f t="shared" ref="X142:X156" si="65">VALUE(LEFT(AD142,4))-VALUE(LEFT(AD141,4))</f>
        <v>1</v>
      </c>
      <c r="Y142" s="62">
        <f t="shared" si="54"/>
        <v>23.297699999999999</v>
      </c>
      <c r="Z142" s="62">
        <f t="shared" si="55"/>
        <v>1.5800000000000002E-2</v>
      </c>
      <c r="AA142" s="62">
        <f t="shared" si="56"/>
        <v>23.2819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 t="shared" si="57"/>
        <v>0230-22</v>
      </c>
      <c r="AE142" s="85" t="str">
        <f t="shared" si="58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142" s="82" t="str">
        <f t="shared" si="59"/>
        <v>"C:\Program Files (x86)\AstroGrep\AstroGrep.exe" /e /r /s /spath="%USERPROFILE%\AppData\Local\Temp\OnboardLogs" /stypes="app*4055*20170423*" /stext=" 04:.+((SYSTEM_STATE.+slice.+state.+changed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si="61"/>
        <v>"%USERPROFILE%\Documents\GitHub\eaglep3\Utilities\RefineRTDCRunTimes.py" --tripid 230-22 --locoid 4055 --swversion DE.1.0.9.0 --startMP 204:232977 --initTime 2017-04-22T21:49:49 --startdatetime 2017-04-22T21:56:15 --delay 1 --endMP 204:158 --enddatetime 2017-04-22T22:39:18 --enforcementcount 0 &gt;&gt;C:\Users\stu\Documents\GitHub\eaglep3-reporting\EC\2017-04-22-refined-times.txt</v>
      </c>
      <c r="AI142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{"issue":{"subject":"","project_id":79,"tracker_id":40,"status_id":1,"priority_id":2,"assigned_to_id":23,"start_date":"2017-04-22","description":"","custom_fields":[{"id":1,"name":"Subdivision","value":"EC"},{"id":4,"name":"Milepost","value":"0.0158"},{"id":17,"name":"Train ID","value":"230-22"},{"id":16,"name":"Locomotive ID","value":"4055"},{"id":130,"name":"Impact","value":""},{"id":150,"name":"Time of Event (Mountain Time)","value":"22:39:18"},{"id":151,"name":"Denver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63"/>
        <v>start /low /b %USERPROFILE%\Documents\GitHub\eaglep3\Utilities\DownloadLogsFromS3.py --loco 4055 --day 2017-04-22</v>
      </c>
      <c r="AN142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802</v>
      </c>
      <c r="B143" s="7">
        <v>4026</v>
      </c>
      <c r="C143" s="21" t="s">
        <v>213</v>
      </c>
      <c r="D143" s="21" t="s">
        <v>441</v>
      </c>
      <c r="E143" s="13">
        <v>42847.885752314818</v>
      </c>
      <c r="F143" s="13">
        <v>42847.896134259259</v>
      </c>
      <c r="G143" s="7">
        <v>1</v>
      </c>
      <c r="H143" s="21" t="s">
        <v>519</v>
      </c>
      <c r="I143" s="13">
        <v>42847.923356481479</v>
      </c>
      <c r="J143" s="7">
        <v>0</v>
      </c>
      <c r="K143" s="97" t="str">
        <f t="shared" si="48"/>
        <v>4025/4026</v>
      </c>
      <c r="L143" s="21" t="str">
        <f>VLOOKUP(A143,'Trips&amp;Operators'!$C$1:$G$99999,5,FALSE)</f>
        <v>DAVIDSON DAVID</v>
      </c>
      <c r="M143" s="6">
        <f t="shared" si="49"/>
        <v>2.7222222219279502E-2</v>
      </c>
      <c r="N143" s="7">
        <f t="shared" si="47"/>
        <v>39.199999995762482</v>
      </c>
      <c r="O143" s="7"/>
      <c r="P143" s="7"/>
      <c r="Q143" s="22"/>
      <c r="R143" s="22"/>
      <c r="S143" s="31">
        <f t="shared" si="50"/>
        <v>1</v>
      </c>
      <c r="T143" s="46" t="str">
        <f t="shared" si="51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2"/>
        <v>https://d0f6bd738d7f1b3e5a7ca70fe4ff75f0.us-east-1.aws.found.io/app/kibana#/discover/Steve-Slow-Train-Analysis-(2080s-and-2083s)?_g=(refreshInterval:(display:Off,pause:!f,section:0,value:0),time:(from:'2017-04-22T20:15:29-0600',mode:absolute,to:'2017-04-22T23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183" t="str">
        <f t="shared" si="53"/>
        <v>N</v>
      </c>
      <c r="X143" s="183">
        <f t="shared" si="65"/>
        <v>1</v>
      </c>
      <c r="Y143" s="62">
        <f t="shared" si="54"/>
        <v>4.4400000000000002E-2</v>
      </c>
      <c r="Z143" s="62">
        <f t="shared" si="55"/>
        <v>23.331600000000002</v>
      </c>
      <c r="AA143" s="62">
        <f t="shared" si="56"/>
        <v>23.287200000000002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0231-22</v>
      </c>
      <c r="AE143" s="85" t="str">
        <f t="shared" si="58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143" s="82" t="str">
        <f t="shared" si="59"/>
        <v>"C:\Program Files (x86)\AstroGrep\AstroGrep.exe" /e /r /s /spath="%USERPROFILE%\AppData\Local\Temp\OnboardLogs" /stypes="app*4026*20170423*" /stext=" 04:.+((SYSTEM_STATE.+slice.+state.+changed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231-22 --locoid 4026 --swversion DE.1.0.9.0 --startMP 204:444 --initTime 2017-04-22T21:15:29 --startdatetime 2017-04-22T21:30:26 --delay 1 --endMP 204:233316 --enddatetime 2017-04-22T22:09:38 --enforcementcount 0 &gt;&gt;C:\Users\stu\Documents\GitHub\eaglep3-reporting\EC\2017-04-22-refined-times.txt</v>
      </c>
      <c r="AI143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{"issue":{"subject":"","project_id":79,"tracker_id":40,"status_id":1,"priority_id":2,"assigned_to_id":23,"start_date":"2017-04-22","description":"","custom_fields":[{"id":1,"name":"Subdivision","value":"EC"},{"id":4,"name":"Milepost","value":"23.3316"},{"id":17,"name":"Train ID","value":"231-22"},{"id":16,"name":"Locomotive ID","value":"4026"},{"id":130,"name":"Impact","value":""},{"id":150,"name":"Time of Event (Mountain Time)","value":"22:09:38"},{"id":151,"name":"Denver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63"/>
        <v>start /low /b %USERPROFILE%\Documents\GitHub\eaglep3\Utilities\DownloadLogsFromS3.py --loco 4026 --day 2017-04-22</v>
      </c>
      <c r="AN143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808</v>
      </c>
      <c r="B144" s="7">
        <v>4025</v>
      </c>
      <c r="C144" s="21" t="s">
        <v>213</v>
      </c>
      <c r="D144" s="21" t="s">
        <v>517</v>
      </c>
      <c r="E144" s="13">
        <v>42847.927407407406</v>
      </c>
      <c r="F144" s="13">
        <v>42847.934918981482</v>
      </c>
      <c r="G144" s="7">
        <v>1</v>
      </c>
      <c r="H144" s="21" t="s">
        <v>391</v>
      </c>
      <c r="I144" s="13">
        <v>42847.965069444443</v>
      </c>
      <c r="J144" s="7">
        <v>0</v>
      </c>
      <c r="K144" s="97" t="str">
        <f t="shared" si="48"/>
        <v>4025/4026</v>
      </c>
      <c r="L144" s="21" t="str">
        <f>VLOOKUP(A144,'Trips&amp;Operators'!$C$1:$G$99999,5,FALSE)</f>
        <v>DAVIDSON DAVID</v>
      </c>
      <c r="M144" s="6">
        <f t="shared" si="49"/>
        <v>3.015046296059154E-2</v>
      </c>
      <c r="N144" s="7">
        <f t="shared" si="47"/>
        <v>43.416666663251817</v>
      </c>
      <c r="O144" s="7"/>
      <c r="P144" s="7"/>
      <c r="Q144" s="22"/>
      <c r="R144" s="22"/>
      <c r="S144" s="31">
        <f t="shared" si="50"/>
        <v>1</v>
      </c>
      <c r="T144" s="46" t="str">
        <f t="shared" si="51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2"/>
        <v>https://d0f6bd738d7f1b3e5a7ca70fe4ff75f0.us-east-1.aws.found.io/app/kibana#/discover/Steve-Slow-Train-Analysis-(2080s-and-2083s)?_g=(refreshInterval:(display:Off,pause:!f,section:0,value:0),time:(from:'2017-04-22T21:15:28-0600',mode:absolute,to:'2017-04-23T00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4" s="183" t="str">
        <f t="shared" si="53"/>
        <v>N</v>
      </c>
      <c r="X144" s="183">
        <f t="shared" si="65"/>
        <v>1</v>
      </c>
      <c r="Y144" s="62">
        <f t="shared" si="54"/>
        <v>23.297799999999999</v>
      </c>
      <c r="Z144" s="62">
        <f t="shared" si="55"/>
        <v>1.6E-2</v>
      </c>
      <c r="AA144" s="62">
        <f t="shared" si="56"/>
        <v>23.2818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0232-22</v>
      </c>
      <c r="AE144" s="85" t="str">
        <f t="shared" si="58"/>
        <v>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 &amp; 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</v>
      </c>
      <c r="AF144" s="82" t="str">
        <f t="shared" si="59"/>
        <v>"C:\Program Files (x86)\AstroGrep\AstroGrep.exe" /e /r /s /spath="%USERPROFILE%\AppData\Local\Temp\OnboardLogs" /stypes="app*4025*20170423*" /stext=" 05:.+((SYSTEM_STATE.+slice.+state.+changed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232-22 --locoid 4025 --swversion DE.1.0.9.0 --startMP 204:232978 --initTime 2017-04-22T22:15:28 --startdatetime 2017-04-22T22:26:17 --delay 1 --endMP 204:160 --enddatetime 2017-04-22T23:09:42 --enforcementcount 0 &gt;&gt;C:\Users\stu\Documents\GitHub\eaglep3-reporting\EC\2017-04-22-refined-times.txt</v>
      </c>
      <c r="AI144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{"issue":{"subject":"","project_id":79,"tracker_id":40,"status_id":1,"priority_id":2,"assigned_to_id":23,"start_date":"2017-04-22","description":"","custom_fields":[{"id":1,"name":"Subdivision","value":"EC"},{"id":4,"name":"Milepost","value":"0.016"},{"id":17,"name":"Train ID","value":"232-22"},{"id":16,"name":"Locomotive ID","value":"4025"},{"id":130,"name":"Impact","value":""},{"id":150,"name":"Time of Event (Mountain Time)","value":"23:09:42"},{"id":151,"name":"Denver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3"/>
        <v>start /low /b %USERPROFILE%\Documents\GitHub\eaglep3\Utilities\DownloadLogsFromS3.py --loco 4025 --day 2017-04-22</v>
      </c>
      <c r="AN144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05:09:42"},{"id":29,"name":"Sharepoint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805</v>
      </c>
      <c r="B145" s="7">
        <v>4018</v>
      </c>
      <c r="C145" s="21" t="s">
        <v>213</v>
      </c>
      <c r="D145" s="21" t="s">
        <v>953</v>
      </c>
      <c r="E145" s="13">
        <v>42847.900011574071</v>
      </c>
      <c r="F145" s="13">
        <v>42847.917164351849</v>
      </c>
      <c r="G145" s="7">
        <v>1</v>
      </c>
      <c r="H145" s="21" t="s">
        <v>573</v>
      </c>
      <c r="I145" s="13">
        <v>42847.941701388889</v>
      </c>
      <c r="J145" s="7">
        <v>0</v>
      </c>
      <c r="K145" s="97" t="str">
        <f t="shared" si="48"/>
        <v>4017/4018</v>
      </c>
      <c r="L145" s="21" t="str">
        <f>VLOOKUP(A145,'Trips&amp;Operators'!$C$1:$G$99999,5,FALSE)</f>
        <v>STAMBAUGH JAMES</v>
      </c>
      <c r="M145" s="6">
        <f t="shared" si="49"/>
        <v>2.453703703940846E-2</v>
      </c>
      <c r="N145" s="7">
        <f t="shared" si="47"/>
        <v>35.333333336748183</v>
      </c>
      <c r="O145" s="7"/>
      <c r="P145" s="7"/>
      <c r="Q145" s="22"/>
      <c r="R145" s="22"/>
      <c r="S145" s="31">
        <f t="shared" si="50"/>
        <v>1</v>
      </c>
      <c r="T145" s="46" t="str">
        <f t="shared" si="51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2"/>
        <v>https://d0f6bd738d7f1b3e5a7ca70fe4ff75f0.us-east-1.aws.found.io/app/kibana#/discover/Steve-Slow-Train-Analysis-(2080s-and-2083s)?_g=(refreshInterval:(display:Off,pause:!f,section:0,value:0),time:(from:'2017-04-22T20:36:01-0600',mode:absolute,to:'2017-04-22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83" t="str">
        <f t="shared" si="53"/>
        <v>N</v>
      </c>
      <c r="X145" s="183">
        <f t="shared" si="65"/>
        <v>1</v>
      </c>
      <c r="Y145" s="62">
        <f t="shared" si="54"/>
        <v>4.1099999999999998E-2</v>
      </c>
      <c r="Z145" s="62">
        <f t="shared" si="55"/>
        <v>23.337599999999998</v>
      </c>
      <c r="AA145" s="62">
        <f t="shared" si="56"/>
        <v>23.296499999999998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0233-22</v>
      </c>
      <c r="AE145" s="85" t="str">
        <f t="shared" si="58"/>
        <v>aws s3 cp s3://rtdc.mdm.uploadarchive.raw/RTDC4018/ "%USERPROFILE%\AppData\Local\Temp\OnboardLogs"\RTDC4018\2017-04-22 --exclude "*" --recursive --include "*20170422*" &amp; "%USERPROFILE%\Documents\GitHub\mrs-test-scripts\Headless Mode &amp; Sideloading\WalkAndUnGZ.bat" "%USERPROFILE%\AppData\Local\Temp\OnboardLogs"\RTDC4018\2017-04-22 &amp; 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</v>
      </c>
      <c r="AF145" s="82" t="str">
        <f t="shared" si="59"/>
        <v>"C:\Program Files (x86)\AstroGrep\AstroGrep.exe" /e /r /s /spath="%USERPROFILE%\AppData\Local\Temp\OnboardLogs" /stypes="app*4018*20170423*" /stext=" 04:.+((SYSTEM_STATE.+slice.+state.+changed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233-22 --locoid 4018 --swversion DE.1.0.9.0 --startMP 204:411 --initTime 2017-04-22T21:36:01 --startdatetime 2017-04-22T22:00:43 --delay 1 --endMP 204:233376 --enddatetime 2017-04-22T22:36:03 --enforcementcount 0 &gt;&gt;C:\Users\stu\Documents\GitHub\eaglep3-reporting\EC\2017-04-22-refined-times.txt</v>
      </c>
      <c r="AI145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{"issue":{"subject":"","project_id":79,"tracker_id":40,"status_id":1,"priority_id":2,"assigned_to_id":23,"start_date":"2017-04-22","description":"","custom_fields":[{"id":1,"name":"Subdivision","value":"EC"},{"id":4,"name":"Milepost","value":"23.3376"},{"id":17,"name":"Train ID","value":"233-22"},{"id":16,"name":"Locomotive ID","value":"4018"},{"id":130,"name":"Impact","value":""},{"id":150,"name":"Time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20"/>
      <c r="AK145" s="48"/>
      <c r="AL145" s="48"/>
      <c r="AM145" s="150" t="str">
        <f t="shared" si="63"/>
        <v>start /low /b %USERPROFILE%\Documents\GitHub\eaglep3\Utilities\DownloadLogsFromS3.py --loco 4018 --day 2017-04-22</v>
      </c>
      <c r="AN145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3" t="s">
        <v>811</v>
      </c>
      <c r="B146" s="7">
        <v>4017</v>
      </c>
      <c r="C146" s="21" t="s">
        <v>213</v>
      </c>
      <c r="D146" s="21" t="s">
        <v>954</v>
      </c>
      <c r="E146" s="13">
        <v>42847.950439814813</v>
      </c>
      <c r="F146" s="13">
        <v>42847.956030092595</v>
      </c>
      <c r="G146" s="7">
        <v>2</v>
      </c>
      <c r="H146" s="21" t="s">
        <v>567</v>
      </c>
      <c r="I146" s="13">
        <v>42847.981851851851</v>
      </c>
      <c r="J146" s="7">
        <v>0</v>
      </c>
      <c r="K146" s="97" t="str">
        <f t="shared" si="48"/>
        <v>4017/4018</v>
      </c>
      <c r="L146" s="21" t="str">
        <f>VLOOKUP(A146,'Trips&amp;Operators'!$C$1:$G$99999,5,FALSE)</f>
        <v>STAMBAUGH JAMES</v>
      </c>
      <c r="M146" s="6">
        <f t="shared" si="49"/>
        <v>2.5821759256359655E-2</v>
      </c>
      <c r="N146" s="7">
        <f t="shared" si="47"/>
        <v>37.183333329157904</v>
      </c>
      <c r="O146" s="7"/>
      <c r="P146" s="7"/>
      <c r="Q146" s="22"/>
      <c r="R146" s="22"/>
      <c r="S146" s="31">
        <f t="shared" si="50"/>
        <v>1</v>
      </c>
      <c r="T146" s="46" t="str">
        <f t="shared" si="51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2"/>
        <v>https://d0f6bd738d7f1b3e5a7ca70fe4ff75f0.us-east-1.aws.found.io/app/kibana#/discover/Steve-Slow-Train-Analysis-(2080s-and-2083s)?_g=(refreshInterval:(display:Off,pause:!f,section:0,value:0),time:(from:'2017-04-22T21:48:38-0600',mode:absolute,to:'2017-04-23T00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83" t="str">
        <f t="shared" si="53"/>
        <v>N</v>
      </c>
      <c r="X146" s="183">
        <f t="shared" si="65"/>
        <v>1</v>
      </c>
      <c r="Y146" s="62">
        <f t="shared" si="54"/>
        <v>23.308700000000002</v>
      </c>
      <c r="Z146" s="62">
        <f t="shared" si="55"/>
        <v>1.1900000000000001E-2</v>
      </c>
      <c r="AA146" s="62">
        <f t="shared" si="56"/>
        <v>23.296800000000001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0234-22</v>
      </c>
      <c r="AE146" s="85" t="str">
        <f t="shared" si="58"/>
        <v>aws s3 cp s3://rtdc.mdm.uploadarchive.raw/RTDC4017/ "%USERPROFILE%\AppData\Local\Temp\OnboardLogs"\RTDC4017\2017-04-22 --exclude "*" --recursive --include "*20170422*" &amp; "%USERPROFILE%\Documents\GitHub\mrs-test-scripts\Headless Mode &amp; Sideloading\WalkAndUnGZ.bat" "%USERPROFILE%\AppData\Local\Temp\OnboardLogs"\RTDC4017\2017-04-22 &amp; 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</v>
      </c>
      <c r="AF146" s="82" t="str">
        <f t="shared" si="59"/>
        <v>"C:\Program Files (x86)\AstroGrep\AstroGrep.exe" /e /r /s /spath="%USERPROFILE%\AppData\Local\Temp\OnboardLogs" /stypes="app*4017*20170423*" /stext=" 05:.+((SYSTEM_STATE.+slice.+state.+changed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234-22 --locoid 4017 --swversion DE.1.0.9.0 --startMP 204:233087 --initTime 2017-04-22T22:48:38 --startdatetime 2017-04-22T22:56:41 --delay 2 --endMP 204:119 --enddatetime 2017-04-22T23:33:52 --enforcementcount 0 &gt;&gt;C:\Users\stu\Documents\GitHub\eaglep3-reporting\EC\2017-04-22-refined-times.txt</v>
      </c>
      <c r="AI146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{"issue":{"subject":"","project_id":79,"tracker_id":40,"status_id":1,"priority_id":2,"assigned_to_id":23,"start_date":"2017-04-22","description":"","custom_fields":[{"id":1,"name":"Subdivision","value":"EC"},{"id":4,"name":"Milepost","value":"0.0119"},{"id":17,"name":"Train ID","value":"234-22"},{"id":16,"name":"Locomotive ID","value":"4017"},{"id":130,"name":"Impact","value":""},{"id":150,"name":"Time of Event (Mountain Time)","value":"23:33:52"},{"id":151,"name":"Denver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3"/>
        <v>start /low /b %USERPROFILE%\Documents\GitHub\eaglep3\Utilities\DownloadLogsFromS3.py --loco 4017 --day 2017-04-22</v>
      </c>
      <c r="AN146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05:33:52"},{"id":29,"name":"Sharepoint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809</v>
      </c>
      <c r="B147" s="7">
        <v>4064</v>
      </c>
      <c r="C147" s="21" t="s">
        <v>213</v>
      </c>
      <c r="D147" s="21" t="s">
        <v>209</v>
      </c>
      <c r="E147" s="13">
        <v>42847.935358796298</v>
      </c>
      <c r="F147" s="13">
        <v>42847.937685185185</v>
      </c>
      <c r="G147" s="7">
        <v>1</v>
      </c>
      <c r="H147" s="21" t="s">
        <v>955</v>
      </c>
      <c r="I147" s="13">
        <v>42847.962789351855</v>
      </c>
      <c r="J147" s="7">
        <v>0</v>
      </c>
      <c r="K147" s="97" t="str">
        <f t="shared" si="48"/>
        <v>4063/4064</v>
      </c>
      <c r="L147" s="21" t="str">
        <f>VLOOKUP(A147,'Trips&amp;Operators'!$C$1:$G$99999,5,FALSE)</f>
        <v>MAGEE KENYA</v>
      </c>
      <c r="M147" s="6">
        <f t="shared" si="49"/>
        <v>2.510416667064419E-2</v>
      </c>
      <c r="N147" s="7">
        <f t="shared" si="47"/>
        <v>36.150000005727634</v>
      </c>
      <c r="O147" s="7"/>
      <c r="P147" s="7"/>
      <c r="Q147" s="22"/>
      <c r="R147" s="22"/>
      <c r="S147" s="31">
        <f t="shared" si="50"/>
        <v>1</v>
      </c>
      <c r="T147" s="46" t="str">
        <f t="shared" si="51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2"/>
        <v>https://d0f6bd738d7f1b3e5a7ca70fe4ff75f0.us-east-1.aws.found.io/app/kibana#/discover/Steve-Slow-Train-Analysis-(2080s-and-2083s)?_g=(refreshInterval:(display:Off,pause:!f,section:0,value:0),time:(from:'2017-04-22T21:26:55-0600',mode:absolute,to:'2017-04-23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7" s="183" t="str">
        <f t="shared" si="53"/>
        <v>N</v>
      </c>
      <c r="X147" s="183">
        <f t="shared" si="65"/>
        <v>1</v>
      </c>
      <c r="Y147" s="62">
        <f t="shared" si="54"/>
        <v>4.5499999999999999E-2</v>
      </c>
      <c r="Z147" s="62">
        <f t="shared" si="55"/>
        <v>23.340199999999999</v>
      </c>
      <c r="AA147" s="62">
        <f t="shared" si="56"/>
        <v>23.294699999999999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0235-22</v>
      </c>
      <c r="AE147" s="85" t="str">
        <f t="shared" si="58"/>
        <v>aws s3 cp s3://rtdc.mdm.uploadarchive.raw/RTDC4064/ "%USERPROFILE%\AppData\Local\Temp\OnboardLogs"\RTDC4064\2017-04-22 --exclude "*" --recursive --include "*20170422*" &amp; "%USERPROFILE%\Documents\GitHub\mrs-test-scripts\Headless Mode &amp; Sideloading\WalkAndUnGZ.bat" "%USERPROFILE%\AppData\Local\Temp\OnboardLogs"\RTDC4064\2017-04-22 &amp; 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</v>
      </c>
      <c r="AF147" s="82" t="str">
        <f t="shared" si="59"/>
        <v>"C:\Program Files (x86)\AstroGrep\AstroGrep.exe" /e /r /s /spath="%USERPROFILE%\AppData\Local\Temp\OnboardLogs" /stypes="app*4064*20170423*" /stext=" 05:.+((SYSTEM_STATE.+slice.+state.+changed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235-22 --locoid 4064 --swversion DE.1.0.9.0 --startMP 204:455 --initTime 2017-04-22T22:26:55 --startdatetime 2017-04-22T22:30:16 --delay 1 --endMP 204:233402 --enddatetime 2017-04-22T23:06:25 --enforcementcount 0 &gt;&gt;C:\Users\stu\Documents\GitHub\eaglep3-reporting\EC\2017-04-22-refined-times.txt</v>
      </c>
      <c r="AI147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{"issue":{"subject":"","project_id":79,"tracker_id":40,"status_id":1,"priority_id":2,"assigned_to_id":23,"start_date":"2017-04-22","description":"","custom_fields":[{"id":1,"name":"Subdivision","value":"EC"},{"id":4,"name":"Milepost","value":"23.3402"},{"id":17,"name":"Train ID","value":"235-22"},{"id":16,"name":"Locomotive ID","value":"4064"},{"id":130,"name":"Impact","value":""},{"id":150,"name":"Time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3"/>
        <v>start /low /b %USERPROFILE%\Documents\GitHub\eaglep3\Utilities\DownloadLogsFromS3.py --loco 4064 --day 2017-04-22</v>
      </c>
      <c r="AN147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813</v>
      </c>
      <c r="B148" s="7">
        <v>4063</v>
      </c>
      <c r="C148" s="21" t="s">
        <v>213</v>
      </c>
      <c r="D148" s="21" t="s">
        <v>956</v>
      </c>
      <c r="E148" s="13">
        <v>42847.965729166666</v>
      </c>
      <c r="F148" s="13">
        <v>42847.9765625</v>
      </c>
      <c r="G148" s="7">
        <v>1</v>
      </c>
      <c r="H148" s="21" t="s">
        <v>463</v>
      </c>
      <c r="I148" s="13">
        <v>42848.009421296294</v>
      </c>
      <c r="J148" s="7">
        <v>0</v>
      </c>
      <c r="K148" s="97" t="str">
        <f t="shared" si="48"/>
        <v>4063/4064</v>
      </c>
      <c r="L148" s="21" t="str">
        <f>VLOOKUP(A148,'Trips&amp;Operators'!$C$1:$G$99999,5,FALSE)</f>
        <v>MAGEE KENYA</v>
      </c>
      <c r="M148" s="6">
        <f t="shared" si="49"/>
        <v>3.2858796294021886E-2</v>
      </c>
      <c r="N148" s="7">
        <f t="shared" si="47"/>
        <v>47.316666663391516</v>
      </c>
      <c r="O148" s="7"/>
      <c r="P148" s="7"/>
      <c r="Q148" s="22"/>
      <c r="R148" s="22"/>
      <c r="S148" s="31">
        <f t="shared" si="50"/>
        <v>1</v>
      </c>
      <c r="T148" s="46" t="str">
        <f t="shared" si="51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2"/>
        <v>https://d0f6bd738d7f1b3e5a7ca70fe4ff75f0.us-east-1.aws.found.io/app/kibana#/discover/Steve-Slow-Train-Analysis-(2080s-and-2083s)?_g=(refreshInterval:(display:Off,pause:!f,section:0,value:0),time:(from:'2017-04-22T22:10:39-0600',mode:absolute,to:'2017-04-23T01:13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8" s="183" t="str">
        <f t="shared" si="53"/>
        <v>N</v>
      </c>
      <c r="X148" s="183">
        <f t="shared" si="65"/>
        <v>1</v>
      </c>
      <c r="Y148" s="62">
        <f t="shared" si="54"/>
        <v>23.304300000000001</v>
      </c>
      <c r="Z148" s="62">
        <f t="shared" si="55"/>
        <v>1.6500000000000001E-2</v>
      </c>
      <c r="AA148" s="62">
        <f t="shared" si="56"/>
        <v>23.287800000000001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0236-22</v>
      </c>
      <c r="AE148" s="85" t="str">
        <f t="shared" si="58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148" s="82" t="str">
        <f t="shared" si="59"/>
        <v>"C:\Program Files (x86)\AstroGrep\AstroGrep.exe" /e /r /s /spath="%USERPROFILE%\AppData\Local\Temp\OnboardLogs" /stypes="app*4063*20170423*" /stext=" 06:.+((SYSTEM_STATE.+slice.+state.+changed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236-22 --locoid 4063 --swversion DE.1.0.9.0 --startMP 204:233043 --initTime 2017-04-22T23:10:39 --startdatetime 2017-04-22T23:26:15 --delay 1 --endMP 204:165 --enddatetime 2017-04-23T00:13:34 --enforcementcount 0 &gt;&gt;C:\Users\stu\Documents\GitHub\eaglep3-reporting\EC\2017-04-22-refined-times.txt</v>
      </c>
      <c r="AI148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{"issue":{"subject":"","project_id":79,"tracker_id":40,"status_id":1,"priority_id":2,"assigned_to_id":23,"start_date":"2017-04-23","description":"","custom_fields":[{"id":1,"name":"Subdivision","value":"EC"},{"id":4,"name":"Milepost","value":"0.0165"},{"id":17,"name":"Train ID","value":"236-22"},{"id":16,"name":"Locomotive ID","value":"4063"},{"id":130,"name":"Impact","value":""},{"id":150,"name":"Time of Event (Mountain Time)","value":"00:13:34"},{"id":151,"name":"Denver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63"/>
        <v>start /low /b %USERPROFILE%\Documents\GitHub\eaglep3\Utilities\DownloadLogsFromS3.py --loco 4063 --day 2017-04-22</v>
      </c>
      <c r="AN148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06:13:34"},{"id":29,"name":"Sharepoint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3" t="s">
        <v>812</v>
      </c>
      <c r="B149" s="7">
        <v>4056</v>
      </c>
      <c r="C149" s="21" t="s">
        <v>213</v>
      </c>
      <c r="D149" s="21" t="s">
        <v>386</v>
      </c>
      <c r="E149" s="13">
        <v>42847.958738425928</v>
      </c>
      <c r="F149" s="13">
        <v>42847.960879629631</v>
      </c>
      <c r="G149" s="7">
        <v>1</v>
      </c>
      <c r="H149" s="21" t="s">
        <v>957</v>
      </c>
      <c r="I149" s="13">
        <v>42847.985879629632</v>
      </c>
      <c r="J149" s="7">
        <v>0</v>
      </c>
      <c r="K149" s="97" t="str">
        <f t="shared" si="48"/>
        <v>4055/4056</v>
      </c>
      <c r="L149" s="21" t="str">
        <f>VLOOKUP(A149,'Trips&amp;Operators'!$C$1:$G$99999,5,FALSE)</f>
        <v>SAFIEF AEIMEN</v>
      </c>
      <c r="M149" s="6">
        <f t="shared" si="49"/>
        <v>2.5000000001455192E-2</v>
      </c>
      <c r="N149" s="7">
        <f t="shared" si="47"/>
        <v>36.000000002095476</v>
      </c>
      <c r="O149" s="7"/>
      <c r="P149" s="7"/>
      <c r="Q149" s="22"/>
      <c r="R149" s="22"/>
      <c r="S149" s="31">
        <f t="shared" si="50"/>
        <v>1</v>
      </c>
      <c r="T149" s="46" t="str">
        <f t="shared" si="51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2"/>
        <v>https://d0f6bd738d7f1b3e5a7ca70fe4ff75f0.us-east-1.aws.found.io/app/kibana#/discover/Steve-Slow-Train-Analysis-(2080s-and-2083s)?_g=(refreshInterval:(display:Off,pause:!f,section:0,value:0),time:(from:'2017-04-22T22:00:35-0600',mode:absolute,to:'2017-04-23T00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83" t="str">
        <f t="shared" si="53"/>
        <v>N</v>
      </c>
      <c r="X149" s="183">
        <f t="shared" si="65"/>
        <v>1</v>
      </c>
      <c r="Y149" s="62">
        <f t="shared" si="54"/>
        <v>4.6199999999999998E-2</v>
      </c>
      <c r="Z149" s="62">
        <f t="shared" si="55"/>
        <v>23.332899999999999</v>
      </c>
      <c r="AA149" s="62">
        <f t="shared" si="56"/>
        <v>23.2867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0237-22</v>
      </c>
      <c r="AE149" s="85" t="str">
        <f t="shared" si="58"/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AF149" s="82" t="str">
        <f t="shared" si="59"/>
        <v>"C:\Program Files (x86)\AstroGrep\AstroGrep.exe" /e /r /s /spath="%USERPROFILE%\AppData\Local\Temp\OnboardLogs" /stypes="app*4056*20170423*" /stext=" 05:.+((SYSTEM_STATE.+slice.+state.+changed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237-22 --locoid 4056 --swversion DE.1.0.9.0 --startMP 204:462 --initTime 2017-04-22T23:00:35 --startdatetime 2017-04-22T23:03:40 --delay 1 --endMP 204:233329 --enddatetime 2017-04-22T23:39:40 --enforcementcount 0 &gt;&gt;C:\Users\stu\Documents\GitHub\eaglep3-reporting\EC\2017-04-22-refined-times.txt</v>
      </c>
      <c r="AI149" s="104" t="str">
        <f t="shared" si="62"/>
        <v>echo {"issue":{"subject":"","project_id":79,"tracker_id":40,"status_id":1,"priority_id":2,"assigned_to_id":23,"start_date":"2017-04-22","description":"","custom_fields":[{"id":1,"name":"Subdivision","value":"EC"},{"id":4,"name":"Milepost","value":"23.3329"},{"id":17,"name":"Train ID","value":"237-22"},{"id":16,"name":"Locomotive ID","value":"4056"},{"id":130,"name":"Impact","value":""},{"id":150,"name":"Time of Event (Mountain Time)","value":"23:39:40"},{"id":151,"name":"Denver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3"/>
        <v>start /low /b %USERPROFILE%\Documents\GitHub\eaglep3\Utilities\DownloadLogsFromS3.py --loco 4056 --day 2017-04-22</v>
      </c>
      <c r="AN149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05:39:40"},{"id":29,"name":"Sharepoint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815</v>
      </c>
      <c r="B150" s="7">
        <v>4055</v>
      </c>
      <c r="C150" s="21" t="s">
        <v>213</v>
      </c>
      <c r="D150" s="21" t="s">
        <v>855</v>
      </c>
      <c r="E150" s="13">
        <v>42847.994247685187</v>
      </c>
      <c r="F150" s="13">
        <v>42847.997499999998</v>
      </c>
      <c r="G150" s="7">
        <v>1</v>
      </c>
      <c r="H150" s="21" t="s">
        <v>421</v>
      </c>
      <c r="I150" s="13">
        <v>42848.02548611111</v>
      </c>
      <c r="J150" s="7">
        <v>0</v>
      </c>
      <c r="K150" s="97" t="str">
        <f t="shared" si="48"/>
        <v>4055/4056</v>
      </c>
      <c r="L150" s="21" t="str">
        <f>VLOOKUP(A150,'Trips&amp;Operators'!$C$1:$G$99999,5,FALSE)</f>
        <v>SAFIEF AEIMEN</v>
      </c>
      <c r="M150" s="6">
        <f t="shared" si="49"/>
        <v>2.7986111112113576E-2</v>
      </c>
      <c r="N150" s="7">
        <f t="shared" si="47"/>
        <v>40.30000000144355</v>
      </c>
      <c r="O150" s="7"/>
      <c r="P150" s="7"/>
      <c r="Q150" s="22"/>
      <c r="R150" s="22"/>
      <c r="S150" s="31">
        <f t="shared" si="50"/>
        <v>1</v>
      </c>
      <c r="T150" s="46" t="str">
        <f t="shared" si="51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2"/>
        <v>https://d0f6bd738d7f1b3e5a7ca70fe4ff75f0.us-east-1.aws.found.io/app/kibana#/discover/Steve-Slow-Train-Analysis-(2080s-and-2083s)?_g=(refreshInterval:(display:Off,pause:!f,section:0,value:0),time:(from:'2017-04-22T22:51:43-0600',mode:absolute,to:'2017-04-23T01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83" t="str">
        <f t="shared" si="53"/>
        <v>N</v>
      </c>
      <c r="X150" s="183">
        <f t="shared" si="65"/>
        <v>1</v>
      </c>
      <c r="Y150" s="62">
        <f t="shared" si="54"/>
        <v>23.3017</v>
      </c>
      <c r="Z150" s="62">
        <f t="shared" si="55"/>
        <v>1.4999999999999999E-2</v>
      </c>
      <c r="AA150" s="62">
        <f t="shared" si="56"/>
        <v>23.2867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0238-22</v>
      </c>
      <c r="AE150" s="85" t="str">
        <f t="shared" si="58"/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AF150" s="82" t="str">
        <f t="shared" si="59"/>
        <v>"C:\Program Files (x86)\AstroGrep\AstroGrep.exe" /e /r /s /spath="%USERPROFILE%\AppData\Local\Temp\OnboardLogs" /stypes="app*4055*20170423*" /stext=" 06:.+((SYSTEM_STATE.+slice.+state.+changed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238-22 --locoid 4055 --swversion DE.1.0.9.0 --startMP 204:233017 --initTime 2017-04-22T23:51:43 --startdatetime 2017-04-22T23:56:24 --delay 1 --endMP 204:150 --enddatetime 2017-04-23T00:36:42 --enforcementcount 0 &gt;&gt;C:\Users\stu\Documents\GitHub\eaglep3-reporting\EC\2017-04-22-refined-times.txt</v>
      </c>
      <c r="AI150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{"issue":{"subject":"","project_id":79,"tracker_id":40,"status_id":1,"priority_id":2,"assigned_to_id":23,"start_date":"2017-04-23","description":"","custom_fields":[{"id":1,"name":"Subdivision","value":"EC"},{"id":4,"name":"Milepost","value":"0.015"},{"id":17,"name":"Train ID","value":"238-22"},{"id":16,"name":"Locomotive ID","value":"4055"},{"id":130,"name":"Impact","value":""},{"id":150,"name":"Time of Event (Mountain Time)","value":"00:36:42"},{"id":151,"name":"Denver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50" t="str">
        <f t="shared" si="63"/>
        <v>start /low /b %USERPROFILE%\Documents\GitHub\eaglep3\Utilities\DownloadLogsFromS3.py --loco 4055 --day 2017-04-22</v>
      </c>
      <c r="AN150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06:36:42"},{"id":29,"name":"Sharepoint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814</v>
      </c>
      <c r="B151" s="7">
        <v>4026</v>
      </c>
      <c r="C151" s="21" t="s">
        <v>213</v>
      </c>
      <c r="D151" s="21" t="s">
        <v>386</v>
      </c>
      <c r="E151" s="13">
        <v>42847.968958333331</v>
      </c>
      <c r="F151" s="13">
        <v>42847.979421296295</v>
      </c>
      <c r="G151" s="7">
        <v>1</v>
      </c>
      <c r="H151" s="21" t="s">
        <v>839</v>
      </c>
      <c r="I151" s="13">
        <v>42848.006192129629</v>
      </c>
      <c r="J151" s="7">
        <v>0</v>
      </c>
      <c r="K151" s="97" t="str">
        <f t="shared" si="48"/>
        <v>4025/4026</v>
      </c>
      <c r="L151" s="21" t="str">
        <f>VLOOKUP(A151,'Trips&amp;Operators'!$C$1:$G$99999,5,FALSE)</f>
        <v>DAVIDSON DAVID</v>
      </c>
      <c r="M151" s="6">
        <f t="shared" si="49"/>
        <v>2.6770833334012423E-2</v>
      </c>
      <c r="N151" s="7">
        <f t="shared" si="47"/>
        <v>38.550000000977889</v>
      </c>
      <c r="O151" s="7"/>
      <c r="P151" s="7"/>
      <c r="Q151" s="22"/>
      <c r="R151" s="22"/>
      <c r="S151" s="31">
        <f t="shared" si="50"/>
        <v>1</v>
      </c>
      <c r="T151" s="46" t="str">
        <f t="shared" si="51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2"/>
        <v>https://d0f6bd738d7f1b3e5a7ca70fe4ff75f0.us-east-1.aws.found.io/app/kibana#/discover/Steve-Slow-Train-Analysis-(2080s-and-2083s)?_g=(refreshInterval:(display:Off,pause:!f,section:0,value:0),time:(from:'2017-04-22T22:15:18-0600',mode:absolute,to:'2017-04-23T01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183" t="str">
        <f t="shared" si="53"/>
        <v>N</v>
      </c>
      <c r="X151" s="183">
        <f t="shared" si="65"/>
        <v>1</v>
      </c>
      <c r="Y151" s="62">
        <f t="shared" si="54"/>
        <v>4.6199999999999998E-2</v>
      </c>
      <c r="Z151" s="62">
        <f t="shared" si="55"/>
        <v>23.329799999999999</v>
      </c>
      <c r="AA151" s="62">
        <f t="shared" si="56"/>
        <v>23.2836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0239-22</v>
      </c>
      <c r="AE151" s="85" t="str">
        <f t="shared" si="58"/>
        <v>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 &amp; 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</v>
      </c>
      <c r="AF151" s="82" t="str">
        <f t="shared" si="59"/>
        <v>"C:\Program Files (x86)\AstroGrep\AstroGrep.exe" /e /r /s /spath="%USERPROFILE%\AppData\Local\Temp\OnboardLogs" /stypes="app*4026*20170423*" /stext=" 06:.+((SYSTEM_STATE.+slice.+state.+changed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239-22 --locoid 4026 --swversion DE.1.0.9.0 --startMP 204:462 --initTime 2017-04-22T23:15:18 --startdatetime 2017-04-22T23:30:22 --delay 1 --endMP 204:233298 --enddatetime 2017-04-23T00:08:55 --enforcementcount 0 &gt;&gt;C:\Users\stu\Documents\GitHub\eaglep3-reporting\EC\2017-04-22-refined-times.txt</v>
      </c>
      <c r="AI151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{"issue":{"subject":"","project_id":79,"tracker_id":40,"status_id":1,"priority_id":2,"assigned_to_id":23,"start_date":"2017-04-23","description":"","custom_fields":[{"id":1,"name":"Subdivision","value":"EC"},{"id":4,"name":"Milepost","value":"23.3298"},{"id":17,"name":"Train ID","value":"239-22"},{"id":16,"name":"Locomotive ID","value":"4026"},{"id":130,"name":"Impact","value":""},{"id":150,"name":"Time of Event (Mountain Time)","value":"00:08:55"},{"id":151,"name":"Denver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63"/>
        <v>start /low /b %USERPROFILE%\Documents\GitHub\eaglep3\Utilities\DownloadLogsFromS3.py --loco 4026 --day 2017-04-22</v>
      </c>
      <c r="AN151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06:08:55"},{"id":29,"name":"Sharepoint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817</v>
      </c>
      <c r="B152" s="7">
        <v>4025</v>
      </c>
      <c r="C152" s="21" t="s">
        <v>213</v>
      </c>
      <c r="D152" s="21" t="s">
        <v>476</v>
      </c>
      <c r="E152" s="13">
        <v>42848.008622685185</v>
      </c>
      <c r="F152" s="13">
        <v>42848.01829861111</v>
      </c>
      <c r="G152" s="7">
        <v>1</v>
      </c>
      <c r="H152" s="21" t="s">
        <v>440</v>
      </c>
      <c r="I152" s="13">
        <v>42848.047372685185</v>
      </c>
      <c r="J152" s="7">
        <v>0</v>
      </c>
      <c r="K152" s="97" t="str">
        <f t="shared" si="48"/>
        <v>4025/4026</v>
      </c>
      <c r="L152" s="21" t="str">
        <f>VLOOKUP(A152,'Trips&amp;Operators'!$C$1:$G$99999,5,FALSE)</f>
        <v>DAVIDSON DAVID</v>
      </c>
      <c r="M152" s="6">
        <f t="shared" si="49"/>
        <v>2.9074074074742384E-2</v>
      </c>
      <c r="N152" s="7">
        <f t="shared" si="47"/>
        <v>41.866666667629033</v>
      </c>
      <c r="O152" s="7"/>
      <c r="P152" s="7"/>
      <c r="Q152" s="22"/>
      <c r="R152" s="22"/>
      <c r="S152" s="31">
        <f t="shared" si="50"/>
        <v>1</v>
      </c>
      <c r="T152" s="46" t="str">
        <f t="shared" si="51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2"/>
        <v>https://d0f6bd738d7f1b3e5a7ca70fe4ff75f0.us-east-1.aws.found.io/app/kibana#/discover/Steve-Slow-Train-Analysis-(2080s-and-2083s)?_g=(refreshInterval:(display:Off,pause:!f,section:0,value:0),time:(from:'2017-04-22T23:12:25-0600',mode:absolute,to:'2017-04-23T02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183" t="str">
        <f t="shared" si="53"/>
        <v>N</v>
      </c>
      <c r="X152" s="183">
        <f t="shared" si="65"/>
        <v>1</v>
      </c>
      <c r="Y152" s="62">
        <f t="shared" si="54"/>
        <v>23.299399999999999</v>
      </c>
      <c r="Z152" s="62">
        <f t="shared" si="55"/>
        <v>1.5599999999999999E-2</v>
      </c>
      <c r="AA152" s="62">
        <f t="shared" si="56"/>
        <v>23.283799999999999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0240-22</v>
      </c>
      <c r="AE152" s="85" t="str">
        <f t="shared" si="58"/>
        <v>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 &amp; 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</v>
      </c>
      <c r="AF152" s="82" t="str">
        <f t="shared" si="59"/>
        <v>"C:\Program Files (x86)\AstroGrep\AstroGrep.exe" /e /r /s /spath="%USERPROFILE%\AppData\Local\Temp\OnboardLogs" /stypes="app*4025*20170423*" /stext=" 07:.+((SYSTEM_STATE.+slice.+state.+changed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240-22 --locoid 4025 --swversion DE.1.0.9.0 --startMP 204:232994 --initTime 2017-04-23T00:12:25 --startdatetime 2017-04-23T00:26:21 --delay 1 --endMP 204:156 --enddatetime 2017-04-23T01:08:13 --enforcementcount 0 &gt;&gt;C:\Users\stu\Documents\GitHub\eaglep3-reporting\EC\2017-04-22-refined-times.txt</v>
      </c>
      <c r="AI152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{"issue":{"subject":"","project_id":79,"tracker_id":40,"status_id":1,"priority_id":2,"assigned_to_id":23,"start_date":"2017-04-23","description":"","custom_fields":[{"id":1,"name":"Subdivision","value":"EC"},{"id":4,"name":"Milepost","value":"0.0156"},{"id":17,"name":"Train ID","value":"240-22"},{"id":16,"name":"Locomotive ID","value":"4025"},{"id":130,"name":"Impact","value":""},{"id":150,"name":"Time of Event (Mountain Time)","value":"01:08:13"},{"id":151,"name":"Denver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63"/>
        <v>start /low /b %USERPROFILE%\Documents\GitHub\eaglep3\Utilities\DownloadLogsFromS3.py --loco 4025 --day 2017-04-23</v>
      </c>
      <c r="AN152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07:08:13"},{"id":29,"name":"Sharepoint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816</v>
      </c>
      <c r="B153" s="7">
        <v>4018</v>
      </c>
      <c r="C153" s="21" t="s">
        <v>213</v>
      </c>
      <c r="D153" s="21" t="s">
        <v>930</v>
      </c>
      <c r="E153" s="13">
        <v>42847.997789351852</v>
      </c>
      <c r="F153" s="13">
        <v>42848.00037037037</v>
      </c>
      <c r="G153" s="7">
        <v>1</v>
      </c>
      <c r="H153" s="21" t="s">
        <v>937</v>
      </c>
      <c r="I153" s="13">
        <v>42848.024872685186</v>
      </c>
      <c r="J153" s="7">
        <v>0</v>
      </c>
      <c r="K153" s="97" t="str">
        <f t="shared" si="48"/>
        <v>4017/4018</v>
      </c>
      <c r="L153" s="21" t="str">
        <f>VLOOKUP(A153,'Trips&amp;Operators'!$C$1:$G$99999,5,FALSE)</f>
        <v>STAMBAUGH JAMES</v>
      </c>
      <c r="M153" s="6">
        <f t="shared" si="49"/>
        <v>2.4502314816345461E-2</v>
      </c>
      <c r="N153" s="7">
        <f t="shared" si="47"/>
        <v>35.283333335537463</v>
      </c>
      <c r="O153" s="7"/>
      <c r="P153" s="7"/>
      <c r="Q153" s="22"/>
      <c r="R153" s="22"/>
      <c r="S153" s="31">
        <f t="shared" si="50"/>
        <v>1</v>
      </c>
      <c r="T153" s="46" t="str">
        <f t="shared" si="51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2"/>
        <v>https://d0f6bd738d7f1b3e5a7ca70fe4ff75f0.us-east-1.aws.found.io/app/kibana#/discover/Steve-Slow-Train-Analysis-(2080s-and-2083s)?_g=(refreshInterval:(display:Off,pause:!f,section:0,value:0),time:(from:'2017-04-22T22:56:49-0600',mode:absolute,to:'2017-04-23T01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83" t="str">
        <f t="shared" si="53"/>
        <v>N</v>
      </c>
      <c r="X153" s="183">
        <f t="shared" si="65"/>
        <v>1</v>
      </c>
      <c r="Y153" s="62">
        <f t="shared" si="54"/>
        <v>4.3099999999999999E-2</v>
      </c>
      <c r="Z153" s="62">
        <f t="shared" si="55"/>
        <v>23.339500000000001</v>
      </c>
      <c r="AA153" s="62">
        <f t="shared" si="56"/>
        <v>23.296400000000002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0241-22</v>
      </c>
      <c r="AE153" s="85" t="str">
        <f t="shared" si="58"/>
        <v>aws s3 cp s3://rtdc.mdm.uploadarchive.raw/RTDC4018/ "%USERPROFILE%\AppData\Local\Temp\OnboardLogs"\RTDC4018\2017-04-23 --exclude "*" --recursive --include "*20170423*" &amp; "%USERPROFILE%\Documents\GitHub\mrs-test-scripts\Headless Mode &amp; Sideloading\WalkAndUnGZ.bat" "%USERPROFILE%\AppData\Local\Temp\OnboardLogs"\RTDC4018\2017-04-23 &amp; aws s3 cp s3://rtdc.mdm.uploadarchive.raw/RTDC4018/ "%USERPROFILE%\AppData\Local\Temp\OnboardLogs"\RTDC4018\2017-04-24 --exclude "*" --recursive --include "*20170424*" &amp; "%USERPROFILE%\Documents\GitHub\mrs-test-scripts\Headless Mode &amp; Sideloading\WalkAndUnGZ.bat" "%USERPROFILE%\AppData\Local\Temp\OnboardLogs"\RTDC4018\2017-04-24</v>
      </c>
      <c r="AF153" s="82" t="str">
        <f t="shared" si="59"/>
        <v>"C:\Program Files (x86)\AstroGrep\AstroGrep.exe" /e /r /s /spath="%USERPROFILE%\AppData\Local\Temp\OnboardLogs" /stypes="app*4018*20170423*" /stext=" 06:.+((SYSTEM_STATE.+slice.+state.+changed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241-22 --locoid 4018 --swversion DE.1.0.9.0 --startMP 204:431 --initTime 2017-04-22T23:56:49 --startdatetime 2017-04-23T00:00:32 --delay 1 --endMP 204:233395 --enddatetime 2017-04-23T00:35:49 --enforcementcount 0 &gt;&gt;C:\Users\stu\Documents\GitHub\eaglep3-reporting\EC\2017-04-22-refined-times.txt</v>
      </c>
      <c r="AI153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{"issue":{"subject":"","project_id":79,"tracker_id":40,"status_id":1,"priority_id":2,"assigned_to_id":23,"start_date":"2017-04-23","description":"","custom_fields":[{"id":1,"name":"Subdivision","value":"EC"},{"id":4,"name":"Milepost","value":"23.3395"},{"id":17,"name":"Train ID","value":"241-22"},{"id":16,"name":"Locomotive ID","value":"4018"},{"id":130,"name":"Impact","value":""},{"id":150,"name":"Time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3"/>
        <v>start /low /b %USERPROFILE%\Documents\GitHub\eaglep3\Utilities\DownloadLogsFromS3.py --loco 4018 --day 2017-04-23</v>
      </c>
      <c r="AN153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3" t="s">
        <v>819</v>
      </c>
      <c r="B154" s="7">
        <v>4017</v>
      </c>
      <c r="C154" s="21" t="s">
        <v>213</v>
      </c>
      <c r="D154" s="21" t="s">
        <v>958</v>
      </c>
      <c r="E154" s="13">
        <v>42848.033761574072</v>
      </c>
      <c r="F154" s="13">
        <v>42848.039560185185</v>
      </c>
      <c r="G154" s="7">
        <v>1</v>
      </c>
      <c r="H154" s="21" t="s">
        <v>431</v>
      </c>
      <c r="I154" s="13">
        <v>42848.065462962964</v>
      </c>
      <c r="J154" s="7">
        <v>0</v>
      </c>
      <c r="K154" s="97" t="str">
        <f t="shared" si="48"/>
        <v>4017/4018</v>
      </c>
      <c r="L154" s="21" t="str">
        <f>VLOOKUP(A154,'Trips&amp;Operators'!$C$1:$G$99999,5,FALSE)</f>
        <v>STAMBAUGH JAMES</v>
      </c>
      <c r="M154" s="6">
        <f t="shared" si="49"/>
        <v>2.5902777779265307E-2</v>
      </c>
      <c r="N154" s="7">
        <f t="shared" si="47"/>
        <v>37.300000002142042</v>
      </c>
      <c r="O154" s="7"/>
      <c r="P154" s="7"/>
      <c r="Q154" s="22"/>
      <c r="R154" s="22"/>
      <c r="S154" s="31">
        <f t="shared" si="50"/>
        <v>1</v>
      </c>
      <c r="T154" s="46" t="str">
        <f t="shared" si="51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2"/>
        <v>https://d0f6bd738d7f1b3e5a7ca70fe4ff75f0.us-east-1.aws.found.io/app/kibana#/discover/Steve-Slow-Train-Analysis-(2080s-and-2083s)?_g=(refreshInterval:(display:Off,pause:!f,section:0,value:0),time:(from:'2017-04-22T23:48:37-0600',mode:absolute,to:'2017-04-23T02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83" t="str">
        <f t="shared" si="53"/>
        <v>N</v>
      </c>
      <c r="X154" s="183">
        <f t="shared" si="65"/>
        <v>1</v>
      </c>
      <c r="Y154" s="62">
        <f t="shared" si="54"/>
        <v>23.307700000000001</v>
      </c>
      <c r="Z154" s="62">
        <f t="shared" si="55"/>
        <v>1.3899999999999999E-2</v>
      </c>
      <c r="AA154" s="62">
        <f t="shared" si="56"/>
        <v>23.293800000000001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0242-22</v>
      </c>
      <c r="AE154" s="85" t="str">
        <f t="shared" si="58"/>
        <v>aws s3 cp s3://rtdc.mdm.uploadarchive.raw/RTDC4017/ "%USERPROFILE%\AppData\Local\Temp\OnboardLogs"\RTDC4017\2017-04-23 --exclude "*" --recursive --include "*20170423*" &amp; "%USERPROFILE%\Documents\GitHub\mrs-test-scripts\Headless Mode &amp; Sideloading\WalkAndUnGZ.bat" "%USERPROFILE%\AppData\Local\Temp\OnboardLogs"\RTDC4017\2017-04-23 &amp; aws s3 cp s3://rtdc.mdm.uploadarchive.raw/RTDC4017/ "%USERPROFILE%\AppData\Local\Temp\OnboardLogs"\RTDC4017\2017-04-24 --exclude "*" --recursive --include "*20170424*" &amp; "%USERPROFILE%\Documents\GitHub\mrs-test-scripts\Headless Mode &amp; Sideloading\WalkAndUnGZ.bat" "%USERPROFILE%\AppData\Local\Temp\OnboardLogs"\RTDC4017\2017-04-24</v>
      </c>
      <c r="AF154" s="82" t="str">
        <f t="shared" si="59"/>
        <v>"C:\Program Files (x86)\AstroGrep\AstroGrep.exe" /e /r /s /spath="%USERPROFILE%\AppData\Local\Temp\OnboardLogs" /stypes="app*4017*20170423*" /stext=" 07:.+((SYSTEM_STATE.+slice.+state.+changed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242-22 --locoid 4017 --swversion DE.1.0.9.0 --startMP 204:233077 --initTime 2017-04-23T00:48:37 --startdatetime 2017-04-23T00:56:58 --delay 1 --endMP 204:139 --enddatetime 2017-04-23T01:34:16 --enforcementcount 0 &gt;&gt;C:\Users\stu\Documents\GitHub\eaglep3-reporting\EC\2017-04-22-refined-times.txt</v>
      </c>
      <c r="AI154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{"issue":{"subject":"","project_id":79,"tracker_id":40,"status_id":1,"priority_id":2,"assigned_to_id":23,"start_date":"2017-04-23","description":"","custom_fields":[{"id":1,"name":"Subdivision","value":"EC"},{"id":4,"name":"Milepost","value":"0.0139"},{"id":17,"name":"Train ID","value":"242-22"},{"id":16,"name":"Locomotive ID","value":"4017"},{"id":130,"name":"Impact","value":""},{"id":150,"name":"Time of Event (Mountain Time)","value":"01:34:16"},{"id":151,"name":"Denver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8"/>
      <c r="AL154" s="48"/>
      <c r="AM154" s="150" t="str">
        <f t="shared" si="63"/>
        <v>start /low /b %USERPROFILE%\Documents\GitHub\eaglep3\Utilities\DownloadLogsFromS3.py --loco 4017 --day 2017-04-23</v>
      </c>
      <c r="AN154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818</v>
      </c>
      <c r="B155" s="7">
        <v>4064</v>
      </c>
      <c r="C155" s="21" t="s">
        <v>213</v>
      </c>
      <c r="D155" s="21" t="s">
        <v>438</v>
      </c>
      <c r="E155" s="13">
        <v>42848.015462962961</v>
      </c>
      <c r="F155" s="13">
        <v>42848.021238425928</v>
      </c>
      <c r="G155" s="7">
        <v>1</v>
      </c>
      <c r="H155" s="21" t="s">
        <v>959</v>
      </c>
      <c r="I155" s="13">
        <v>42848.046898148146</v>
      </c>
      <c r="J155" s="7">
        <v>0</v>
      </c>
      <c r="K155" s="97" t="str">
        <f t="shared" si="48"/>
        <v>4063/4064</v>
      </c>
      <c r="L155" s="21" t="str">
        <f>VLOOKUP(A155,'Trips&amp;Operators'!$C$1:$G$99999,5,FALSE)</f>
        <v>MAGEE KENYA</v>
      </c>
      <c r="M155" s="6">
        <f t="shared" si="49"/>
        <v>2.565972221782431E-2</v>
      </c>
      <c r="N155" s="7">
        <f t="shared" si="47"/>
        <v>36.949999993667006</v>
      </c>
      <c r="O155" s="7"/>
      <c r="P155" s="7"/>
      <c r="Q155" s="22"/>
      <c r="R155" s="22"/>
      <c r="S155" s="31">
        <f t="shared" si="50"/>
        <v>1</v>
      </c>
      <c r="T155" s="46" t="str">
        <f t="shared" si="51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2"/>
        <v>https://d0f6bd738d7f1b3e5a7ca70fe4ff75f0.us-east-1.aws.found.io/app/kibana#/discover/Steve-Slow-Train-Analysis-(2080s-and-2083s)?_g=(refreshInterval:(display:Off,pause:!f,section:0,value:0),time:(from:'2017-04-22T23:22:16-0600',mode:absolute,to:'2017-04-23T02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5" s="183" t="str">
        <f t="shared" si="53"/>
        <v>N</v>
      </c>
      <c r="X155" s="183">
        <f t="shared" si="65"/>
        <v>1</v>
      </c>
      <c r="Y155" s="62">
        <f t="shared" si="54"/>
        <v>4.6600000000000003E-2</v>
      </c>
      <c r="Z155" s="62">
        <f t="shared" si="55"/>
        <v>23.342500000000001</v>
      </c>
      <c r="AA155" s="62">
        <f t="shared" si="56"/>
        <v>23.2959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0243-22</v>
      </c>
      <c r="AE155" s="85" t="str">
        <f t="shared" si="58"/>
        <v>aws s3 cp s3://rtdc.mdm.uploadarchive.raw/RTDC4064/ "%USERPROFILE%\AppData\Local\Temp\OnboardLogs"\RTDC4064\2017-04-23 --exclude "*" --recursive --include "*20170423*" &amp; "%USERPROFILE%\Documents\GitHub\mrs-test-scripts\Headless Mode &amp; Sideloading\WalkAndUnGZ.bat" "%USERPROFILE%\AppData\Local\Temp\OnboardLogs"\RTDC4064\2017-04-23 &amp; aws s3 cp s3://rtdc.mdm.uploadarchive.raw/RTDC4064/ "%USERPROFILE%\AppData\Local\Temp\OnboardLogs"\RTDC4064\2017-04-24 --exclude "*" --recursive --include "*20170424*" &amp; "%USERPROFILE%\Documents\GitHub\mrs-test-scripts\Headless Mode &amp; Sideloading\WalkAndUnGZ.bat" "%USERPROFILE%\AppData\Local\Temp\OnboardLogs"\RTDC4064\2017-04-24</v>
      </c>
      <c r="AF155" s="82" t="str">
        <f t="shared" si="59"/>
        <v>"C:\Program Files (x86)\AstroGrep\AstroGrep.exe" /e /r /s /spath="%USERPROFILE%\AppData\Local\Temp\OnboardLogs" /stypes="app*4064*20170423*" /stext=" 07:.+((SYSTEM_STATE.+slice.+state.+changed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243-22 --locoid 4064 --swversion DE.1.0.9.0 --startMP 204:466 --initTime 2017-04-23T00:22:16 --startdatetime 2017-04-23T00:30:35 --delay 1 --endMP 204:233425 --enddatetime 2017-04-23T01:07:32 --enforcementcount 0 &gt;&gt;C:\Users\stu\Documents\GitHub\eaglep3-reporting\EC\2017-04-22-refined-times.txt</v>
      </c>
      <c r="AI155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{"issue":{"subject":"","project_id":79,"tracker_id":40,"status_id":1,"priority_id":2,"assigned_to_id":23,"start_date":"2017-04-23","description":"","custom_fields":[{"id":1,"name":"Subdivision","value":"EC"},{"id":4,"name":"Milepost","value":"23.3425"},{"id":17,"name":"Train ID","value":"243-22"},{"id":16,"name":"Locomotive ID","value":"4064"},{"id":130,"name":"Impact","value":""},{"id":150,"name":"Time of Event (Mountain Time)","value":"01:07:32"},{"id":151,"name":"Denver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3"/>
        <v>start /low /b %USERPROFILE%\Documents\GitHub\eaglep3\Utilities\DownloadLogsFromS3.py --loco 4064 --day 2017-04-23</v>
      </c>
      <c r="AN155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07:07:32"},{"id":29,"name":"Sharepoint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3" t="s">
        <v>822</v>
      </c>
      <c r="B156" s="7">
        <v>4063</v>
      </c>
      <c r="C156" s="21" t="s">
        <v>213</v>
      </c>
      <c r="D156" s="21" t="s">
        <v>874</v>
      </c>
      <c r="E156" s="13">
        <v>42848.056192129632</v>
      </c>
      <c r="F156" s="13">
        <v>42848.060196759259</v>
      </c>
      <c r="G156" s="7">
        <v>1</v>
      </c>
      <c r="H156" s="21" t="s">
        <v>431</v>
      </c>
      <c r="I156" s="13">
        <v>42848.087592592594</v>
      </c>
      <c r="J156" s="7">
        <v>0</v>
      </c>
      <c r="K156" s="97" t="str">
        <f t="shared" si="48"/>
        <v>4063/4064</v>
      </c>
      <c r="L156" s="21" t="str">
        <f>VLOOKUP(A156,'Trips&amp;Operators'!$C$1:$G$99999,5,FALSE)</f>
        <v>MAGEE KENYA</v>
      </c>
      <c r="M156" s="6">
        <f t="shared" si="49"/>
        <v>2.7395833334594499E-2</v>
      </c>
      <c r="N156" s="7">
        <f t="shared" si="47"/>
        <v>39.450000001816079</v>
      </c>
      <c r="O156" s="7"/>
      <c r="P156" s="7"/>
      <c r="Q156" s="22"/>
      <c r="R156" s="22"/>
      <c r="S156" s="31">
        <f t="shared" si="50"/>
        <v>1</v>
      </c>
      <c r="T156" s="46" t="str">
        <f t="shared" si="51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2"/>
        <v>https://d0f6bd738d7f1b3e5a7ca70fe4ff75f0.us-east-1.aws.found.io/app/kibana#/discover/Steve-Slow-Train-Analysis-(2080s-and-2083s)?_g=(refreshInterval:(display:Off,pause:!f,section:0,value:0),time:(from:'2017-04-23T00:20:55-0600',mode:absolute,to:'2017-04-23T03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6" s="183" t="str">
        <f t="shared" si="53"/>
        <v>N</v>
      </c>
      <c r="X156" s="183">
        <f t="shared" si="65"/>
        <v>1</v>
      </c>
      <c r="Y156" s="62">
        <f t="shared" si="54"/>
        <v>23.304200000000002</v>
      </c>
      <c r="Z156" s="62">
        <f t="shared" si="55"/>
        <v>1.3899999999999999E-2</v>
      </c>
      <c r="AA156" s="62">
        <f t="shared" si="56"/>
        <v>23.290300000000002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0244-22</v>
      </c>
      <c r="AE156" s="85" t="str">
        <f t="shared" si="58"/>
        <v>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 &amp; aws s3 cp s3://rtdc.mdm.uploadarchive.raw/RTDC4063/ "%USERPROFILE%\AppData\Local\Temp\OnboardLogs"\RTDC4063\2017-04-24 --exclude "*" --recursive --include "*20170424*" &amp; "%USERPROFILE%\Documents\GitHub\mrs-test-scripts\Headless Mode &amp; Sideloading\WalkAndUnGZ.bat" "%USERPROFILE%\AppData\Local\Temp\OnboardLogs"\RTDC4063\2017-04-24</v>
      </c>
      <c r="AF156" s="82" t="str">
        <f t="shared" si="59"/>
        <v>"C:\Program Files (x86)\AstroGrep\AstroGrep.exe" /e /r /s /spath="%USERPROFILE%\AppData\Local\Temp\OnboardLogs" /stypes="app*4063*20170423*" /stext=" 08:.+((SYSTEM_STATE.+slice.+state.+changed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244-22 --locoid 4063 --swversion DE.1.0.9.0 --startMP 204:233042 --initTime 2017-04-23T01:20:55 --startdatetime 2017-04-23T01:26:41 --delay 1 --endMP 204:139 --enddatetime 2017-04-23T02:06:08 --enforcementcount 0 &gt;&gt;C:\Users\stu\Documents\GitHub\eaglep3-reporting\EC\2017-04-22-refined-times.txt</v>
      </c>
      <c r="AI156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{"issue":{"subject":"","project_id":79,"tracker_id":40,"status_id":1,"priority_id":2,"assigned_to_id":23,"start_date":"2017-04-23","description":"","custom_fields":[{"id":1,"name":"Subdivision","value":"EC"},{"id":4,"name":"Milepost","value":"0.0139"},{"id":17,"name":"Train ID","value":"244-22"},{"id":16,"name":"Locomotive ID","value":"4063"},{"id":130,"name":"Impact","value":""},{"id":150,"name":"Time of Event (Mountain Time)","value":"02:06:08"},{"id":151,"name":"Denver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63"/>
        <v>start /low /b %USERPROFILE%\Documents\GitHub\eaglep3\Utilities\DownloadLogsFromS3.py --loco 4063 --day 2017-04-23</v>
      </c>
      <c r="AN156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820</v>
      </c>
      <c r="B157" s="7">
        <v>4056</v>
      </c>
      <c r="C157" s="21" t="s">
        <v>213</v>
      </c>
      <c r="D157" s="21" t="s">
        <v>483</v>
      </c>
      <c r="E157" s="13">
        <v>42848.032777777778</v>
      </c>
      <c r="F157" s="13">
        <v>42848.041828703703</v>
      </c>
      <c r="G157" s="7">
        <v>6</v>
      </c>
      <c r="H157" s="21" t="s">
        <v>558</v>
      </c>
      <c r="I157" s="13">
        <v>42848.067187499997</v>
      </c>
      <c r="J157" s="7">
        <v>0</v>
      </c>
      <c r="K157" s="97" t="str">
        <f t="shared" si="48"/>
        <v>4055/4056</v>
      </c>
      <c r="L157" s="21" t="str">
        <f>VLOOKUP(A157,'Trips&amp;Operators'!$C$1:$G$99999,5,FALSE)</f>
        <v>BROWN JACOB</v>
      </c>
      <c r="M157" s="6">
        <f t="shared" si="49"/>
        <v>2.5358796294312924E-2</v>
      </c>
      <c r="N157" s="7">
        <f t="shared" si="47"/>
        <v>36.516666663810611</v>
      </c>
      <c r="O157" s="7"/>
      <c r="P157" s="7"/>
      <c r="Q157" s="22"/>
      <c r="R157" s="22"/>
      <c r="S157" s="31">
        <f t="shared" si="50"/>
        <v>1</v>
      </c>
      <c r="T157" s="46" t="str">
        <f t="shared" si="51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2"/>
        <v>https://d0f6bd738d7f1b3e5a7ca70fe4ff75f0.us-east-1.aws.found.io/app/kibana#/discover/Steve-Slow-Train-Analysis-(2080s-and-2083s)?_g=(refreshInterval:(display:Off,pause:!f,section:0,value:0),time:(from:'2017-04-22T23:47:12-0600',mode:absolute,to:'2017-04-23T02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7" s="183" t="str">
        <f t="shared" si="53"/>
        <v>N</v>
      </c>
      <c r="X157" s="183">
        <f t="shared" ref="X157:X163" si="66">VALUE(LEFT(AD157,4))-VALUE(LEFT(AD156,4))</f>
        <v>1</v>
      </c>
      <c r="Y157" s="62">
        <f t="shared" si="54"/>
        <v>4.24E-2</v>
      </c>
      <c r="Z157" s="62">
        <f t="shared" si="55"/>
        <v>23.327400000000001</v>
      </c>
      <c r="AA157" s="62">
        <f t="shared" si="56"/>
        <v>23.285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0245-22</v>
      </c>
      <c r="AE157" s="85" t="str">
        <f t="shared" si="58"/>
        <v>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 &amp; aws s3 cp s3://rtdc.mdm.uploadarchive.raw/RTDC4056/ "%USERPROFILE%\AppData\Local\Temp\OnboardLogs"\RTDC4056\2017-04-24 --exclude "*" --recursive --include "*20170424*" &amp; "%USERPROFILE%\Documents\GitHub\mrs-test-scripts\Headless Mode &amp; Sideloading\WalkAndUnGZ.bat" "%USERPROFILE%\AppData\Local\Temp\OnboardLogs"\RTDC4056\2017-04-24</v>
      </c>
      <c r="AF157" s="82" t="str">
        <f t="shared" si="59"/>
        <v>"C:\Program Files (x86)\AstroGrep\AstroGrep.exe" /e /r /s /spath="%USERPROFILE%\AppData\Local\Temp\OnboardLogs" /stypes="app*4056*20170423*" /stext=" 07:.+((SYSTEM_STATE.+slice.+state.+changed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245-22 --locoid 4056 --swversion DE.1.0.9.0 --startMP 204:424 --initTime 2017-04-23T00:47:12 --startdatetime 2017-04-23T01:00:14 --delay 6 --endMP 204:233274 --enddatetime 2017-04-23T01:36:45 --enforcementcount 0 &gt;&gt;C:\Users\stu\Documents\GitHub\eaglep3-reporting\EC\2017-04-22-refined-times.txt</v>
      </c>
      <c r="AI157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{"issue":{"subject":"","project_id":79,"tracker_id":40,"status_id":1,"priority_id":2,"assigned_to_id":23,"start_date":"2017-04-23","description":"","custom_fields":[{"id":1,"name":"Subdivision","value":"EC"},{"id":4,"name":"Milepost","value":"23.3274"},{"id":17,"name":"Train ID","value":"245-22"},{"id":16,"name":"Locomotive ID","value":"4056"},{"id":130,"name":"Impact","value":""},{"id":150,"name":"Time of Event (Mountain Time)","value":"01:36:45"},{"id":151,"name":"Denver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63"/>
        <v>start /low /b %USERPROFILE%\Documents\GitHub\eaglep3\Utilities\DownloadLogsFromS3.py --loco 4056 --day 2017-04-23</v>
      </c>
      <c r="AN157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07:36:45"},{"id":29,"name":"Sharepoint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824</v>
      </c>
      <c r="B158" s="7">
        <v>4055</v>
      </c>
      <c r="C158" s="21" t="s">
        <v>213</v>
      </c>
      <c r="D158" s="21" t="s">
        <v>516</v>
      </c>
      <c r="E158" s="13">
        <v>42848.073750000003</v>
      </c>
      <c r="F158" s="13">
        <v>42848.080810185187</v>
      </c>
      <c r="G158" s="7">
        <v>1</v>
      </c>
      <c r="H158" s="21" t="s">
        <v>960</v>
      </c>
      <c r="I158" s="13">
        <v>42848.107974537037</v>
      </c>
      <c r="J158" s="7">
        <v>0</v>
      </c>
      <c r="K158" s="97" t="str">
        <f t="shared" si="48"/>
        <v>4055/4056</v>
      </c>
      <c r="L158" s="21" t="str">
        <f>VLOOKUP(A158,'Trips&amp;Operators'!$C$1:$G$99999,5,FALSE)</f>
        <v>BROWN JACOB</v>
      </c>
      <c r="M158" s="6">
        <f t="shared" si="49"/>
        <v>2.7164351849933155E-2</v>
      </c>
      <c r="N158" s="7">
        <f t="shared" si="47"/>
        <v>39.116666663903743</v>
      </c>
      <c r="O158" s="7"/>
      <c r="P158" s="7"/>
      <c r="Q158" s="22"/>
      <c r="R158" s="22"/>
      <c r="S158" s="31">
        <f t="shared" si="50"/>
        <v>1</v>
      </c>
      <c r="T158" s="46" t="str">
        <f t="shared" si="51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2"/>
        <v>https://d0f6bd738d7f1b3e5a7ca70fe4ff75f0.us-east-1.aws.found.io/app/kibana#/discover/Steve-Slow-Train-Analysis-(2080s-and-2083s)?_g=(refreshInterval:(display:Off,pause:!f,section:0,value:0),time:(from:'2017-04-23T00:46:12-0600',mode:absolute,to:'2017-04-23T03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83" t="str">
        <f t="shared" si="53"/>
        <v>N</v>
      </c>
      <c r="X158" s="183">
        <f t="shared" si="66"/>
        <v>1</v>
      </c>
      <c r="Y158" s="62">
        <f t="shared" si="54"/>
        <v>23.300599999999999</v>
      </c>
      <c r="Z158" s="62">
        <f t="shared" si="55"/>
        <v>2.0899999999999998E-2</v>
      </c>
      <c r="AA158" s="62">
        <f t="shared" si="56"/>
        <v>23.279699999999998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0246-22</v>
      </c>
      <c r="AE158" s="85" t="str">
        <f t="shared" si="58"/>
        <v>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 &amp; aws s3 cp s3://rtdc.mdm.uploadarchive.raw/RTDC4055/ "%USERPROFILE%\AppData\Local\Temp\OnboardLogs"\RTDC4055\2017-04-24 --exclude "*" --recursive --include "*20170424*" &amp; "%USERPROFILE%\Documents\GitHub\mrs-test-scripts\Headless Mode &amp; Sideloading\WalkAndUnGZ.bat" "%USERPROFILE%\AppData\Local\Temp\OnboardLogs"\RTDC4055\2017-04-24</v>
      </c>
      <c r="AF158" s="82" t="str">
        <f t="shared" si="59"/>
        <v>"C:\Program Files (x86)\AstroGrep\AstroGrep.exe" /e /r /s /spath="%USERPROFILE%\AppData\Local\Temp\OnboardLogs" /stypes="app*4055*20170423*" /stext=" 08:.+((SYSTEM_STATE.+slice.+state.+changed )|(ment ac)|(multiple cpu faults)|(system.+state.+changed )|(\[timeout)|(PRM\|1\|D)|(kpr)|(kdp)|(\|lc)|(penalty))"</v>
      </c>
      <c r="AG158" s="1" t="str">
        <f t="shared" si="60"/>
        <v>EC</v>
      </c>
      <c r="AH158" s="86" t="str">
        <f t="shared" si="61"/>
        <v>"%USERPROFILE%\Documents\GitHub\eaglep3\Utilities\RefineRTDCRunTimes.py" --tripid 246-22 --locoid 4055 --swversion DE.1.0.9.0 --startMP 204:233006 --initTime 2017-04-23T01:46:12 --startdatetime 2017-04-23T01:56:22 --delay 1 --endMP 204:209 --enddatetime 2017-04-23T02:35:29 --enforcementcount 0 &gt;&gt;C:\Users\stu\Documents\GitHub\eaglep3-reporting\EC\2017-04-22-refined-times.txt</v>
      </c>
      <c r="AI158" s="104" t="str">
        <f t="shared" si="62"/>
        <v>echo {"issue":{"subject":"","project_id":79,"tracker_id":40,"status_id":1,"priority_id":2,"assigned_to_id":23,"start_date":"2017-04-23","description":"","custom_fields":[{"id":1,"name":"Subdivision","value":"EC"},{"id":4,"name":"Milepost","value":"0.0209"},{"id":17,"name":"Train ID","value":"246-22"},{"id":16,"name":"Locomotive ID","value":"4055"},{"id":130,"name":"Impact","value":""},{"id":150,"name":"Time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63"/>
        <v>start /low /b %USERPROFILE%\Documents\GitHub\eaglep3\Utilities\DownloadLogsFromS3.py --loco 4055 --day 2017-04-23</v>
      </c>
      <c r="AN158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08:35:29"},{"id":29,"name":"Sharepoint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651</v>
      </c>
      <c r="B159" s="7">
        <v>4013</v>
      </c>
      <c r="C159" s="21" t="s">
        <v>213</v>
      </c>
      <c r="D159" s="21" t="s">
        <v>882</v>
      </c>
      <c r="E159" s="13">
        <v>42847.232442129629</v>
      </c>
      <c r="F159" s="13">
        <v>42847.236701388887</v>
      </c>
      <c r="G159" s="7">
        <v>1</v>
      </c>
      <c r="H159" s="21" t="s">
        <v>883</v>
      </c>
      <c r="I159" s="13">
        <v>42847.246736111112</v>
      </c>
      <c r="J159" s="7">
        <v>0</v>
      </c>
      <c r="K159" s="97" t="str">
        <f t="shared" si="48"/>
        <v>4013/4014</v>
      </c>
      <c r="L159" s="21" t="str">
        <f>VLOOKUP(A159,'Trips&amp;Operators'!$C$1:$G$99999,5,FALSE)</f>
        <v>SHOOK JOHN</v>
      </c>
      <c r="M159" s="6">
        <f t="shared" si="49"/>
        <v>1.0034722225100268E-2</v>
      </c>
      <c r="N159" s="7">
        <f t="shared" si="47"/>
        <v>14.450000004144385</v>
      </c>
      <c r="O159" s="7"/>
      <c r="P159" s="7"/>
      <c r="Q159" s="22"/>
      <c r="R159" s="22"/>
      <c r="S159" s="31">
        <f t="shared" si="50"/>
        <v>1</v>
      </c>
      <c r="T159" s="46" t="str">
        <f t="shared" si="51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2"/>
        <v>https://d0f6bd738d7f1b3e5a7ca70fe4ff75f0.us-east-1.aws.found.io/app/kibana#/discover/Steve-Slow-Train-Analysis-(2080s-and-2083s)?_g=(refreshInterval:(display:Off,pause:!f,section:0,value:0),time:(from:'2017-04-22T04:34:43-0600',mode:absolute,to:'2017-04-22T06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83" t="str">
        <f t="shared" si="53"/>
        <v>N</v>
      </c>
      <c r="X159" s="183">
        <f t="shared" si="66"/>
        <v>1554</v>
      </c>
      <c r="Y159" s="62">
        <f t="shared" si="54"/>
        <v>5.8678999999999997</v>
      </c>
      <c r="Z159" s="62">
        <f t="shared" si="55"/>
        <v>7.5399999999999995E-2</v>
      </c>
      <c r="AA159" s="62">
        <f t="shared" si="56"/>
        <v>5.7924999999999995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1800-22</v>
      </c>
      <c r="AE159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59" s="82" t="str">
        <f t="shared" si="59"/>
        <v>"C:\Program Files (x86)\AstroGrep\AstroGrep.exe" /e /r /s /spath="%USERPROFILE%\AppData\Local\Temp\OnboardLogs" /stypes="app*4013*20170422*" /stext=" 11:.+((SYSTEM_STATE.+slice.+state.+changed )|(ment ac)|(multiple cpu faults)|(system.+state.+changed )|(\[timeout)|(PRM\|1\|D)|(kpr)|(kdp)|(\|lc)|(penalty))"</v>
      </c>
      <c r="AG159" s="1" t="str">
        <f t="shared" si="60"/>
        <v>NW</v>
      </c>
      <c r="AH159" s="86" t="str">
        <f t="shared" si="61"/>
        <v>"%USERPROFILE%\Documents\GitHub\eaglep3\Utilities\RefineRTDCRunTimes.py" --tripid 1800-22 --locoid 4013 --swversion DE.1.0.9.0 --startMP 300:58679 --initTime 2017-04-22T05:34:43 --startdatetime 2017-04-22T05:40:51 --delay 1 --endMP 204:754 --enddatetime 2017-04-22T05:55:18 --enforcementcount 0 &gt;&gt;C:\Users\stu\Documents\GitHub\eaglep3-reporting\EC\2017-04-22-refined-times.txt</v>
      </c>
      <c r="AI159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{"issue":{"subject":"","project_id":79,"tracker_id":40,"status_id":1,"priority_id":2,"assigned_to_id":23,"start_date":"2017-04-22","description":"","custom_fields":[{"id":1,"name":"Subdivision","value":"NW"},{"id":4,"name":"Milepost","value":"0.0754"},{"id":17,"name":"Train ID","value":"1800-22"},{"id":16,"name":"Locomotive ID","value":"4013"},{"id":130,"name":"Impact","value":""},{"id":150,"name":"Time of Event (Mountain Time)","value":"05:55:18"},{"id":151,"name":"Denver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3"/>
        <v>start /low /b %USERPROFILE%\Documents\GitHub\eaglep3\Utilities\DownloadLogsFromS3.py --loco 4013 --day 2017-04-22</v>
      </c>
      <c r="AN159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654</v>
      </c>
      <c r="B160" s="7">
        <v>4014</v>
      </c>
      <c r="C160" s="21" t="s">
        <v>213</v>
      </c>
      <c r="D160" s="21" t="s">
        <v>884</v>
      </c>
      <c r="E160" s="13">
        <v>42847.248391203706</v>
      </c>
      <c r="F160" s="13">
        <v>42847.264768518522</v>
      </c>
      <c r="G160" s="7">
        <v>1</v>
      </c>
      <c r="H160" s="21" t="s">
        <v>885</v>
      </c>
      <c r="I160" s="13">
        <v>42847.274074074077</v>
      </c>
      <c r="J160" s="7">
        <v>0</v>
      </c>
      <c r="K160" s="97" t="str">
        <f t="shared" si="48"/>
        <v>4013/4014</v>
      </c>
      <c r="L160" s="21" t="str">
        <f>VLOOKUP(A160,'Trips&amp;Operators'!$C$1:$G$99999,5,FALSE)</f>
        <v>SHOOK JOHN</v>
      </c>
      <c r="M160" s="6">
        <f t="shared" si="49"/>
        <v>9.3055555553291924E-3</v>
      </c>
      <c r="N160" s="7">
        <f t="shared" si="47"/>
        <v>13.399999999674037</v>
      </c>
      <c r="O160" s="7"/>
      <c r="P160" s="7"/>
      <c r="Q160" s="22"/>
      <c r="R160" s="22"/>
      <c r="S160" s="31">
        <f t="shared" si="50"/>
        <v>1</v>
      </c>
      <c r="T160" s="46" t="str">
        <f t="shared" si="51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2"/>
        <v>https://d0f6bd738d7f1b3e5a7ca70fe4ff75f0.us-east-1.aws.found.io/app/kibana#/discover/Steve-Slow-Train-Analysis-(2080s-and-2083s)?_g=(refreshInterval:(display:Off,pause:!f,section:0,value:0),time:(from:'2017-04-22T04:57:41-0600',mode:absolute,to:'2017-04-22T07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183" t="str">
        <f t="shared" si="53"/>
        <v>N</v>
      </c>
      <c r="X160" s="183">
        <f t="shared" si="66"/>
        <v>1</v>
      </c>
      <c r="Y160" s="62">
        <f t="shared" si="54"/>
        <v>0.10349999999999999</v>
      </c>
      <c r="Z160" s="62">
        <f t="shared" si="55"/>
        <v>5.8993000000000002</v>
      </c>
      <c r="AA160" s="62">
        <f t="shared" si="56"/>
        <v>5.7957999999999998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1801-22</v>
      </c>
      <c r="AE160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60" s="82" t="str">
        <f t="shared" si="59"/>
        <v>"C:\Program Files (x86)\AstroGrep\AstroGrep.exe" /e /r /s /spath="%USERPROFILE%\AppData\Local\Temp\OnboardLogs" /stypes="app*4014*20170422*" /stext=" 12:.+((SYSTEM_STATE.+slice.+state.+changed )|(ment ac)|(multiple cpu faults)|(system.+state.+changed )|(\[timeout)|(PRM\|1\|D)|(kpr)|(kdp)|(\|lc)|(penalty))"</v>
      </c>
      <c r="AG160" s="1" t="str">
        <f t="shared" si="60"/>
        <v>NW</v>
      </c>
      <c r="AH160" s="86" t="str">
        <f t="shared" si="61"/>
        <v>"%USERPROFILE%\Documents\GitHub\eaglep3\Utilities\RefineRTDCRunTimes.py" --tripid 1801-22 --locoid 4014 --swversion DE.1.0.9.0 --startMP 204:1035 --initTime 2017-04-22T05:57:41 --startdatetime 2017-04-22T06:21:16 --delay 1 --endMP 300:58993 --enddatetime 2017-04-22T06:34:40 --enforcementcount 0 &gt;&gt;C:\Users\stu\Documents\GitHub\eaglep3-reporting\EC\2017-04-22-refined-times.txt</v>
      </c>
      <c r="AI160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{"issue":{"subject":"","project_id":79,"tracker_id":40,"status_id":1,"priority_id":2,"assigned_to_id":23,"start_date":"2017-04-22","description":"","custom_fields":[{"id":1,"name":"Subdivision","value":"NW"},{"id":4,"name":"Milepost","value":"5.8993"},{"id":17,"name":"Train ID","value":"1801-22"},{"id":16,"name":"Locomotive ID","value":"4014"},{"id":130,"name":"Impact","value":""},{"id":150,"name":"Time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3"/>
        <v>start /low /b %USERPROFILE%\Documents\GitHub\eaglep3\Utilities\DownloadLogsFromS3.py --loco 4014 --day 2017-04-22</v>
      </c>
      <c r="AN160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659</v>
      </c>
      <c r="B161" s="7">
        <v>4013</v>
      </c>
      <c r="C161" s="21" t="s">
        <v>213</v>
      </c>
      <c r="D161" s="21" t="s">
        <v>886</v>
      </c>
      <c r="E161" s="13">
        <v>42847.275949074072</v>
      </c>
      <c r="F161" s="13">
        <v>42847.278310185182</v>
      </c>
      <c r="G161" s="7">
        <v>2</v>
      </c>
      <c r="H161" s="21" t="s">
        <v>887</v>
      </c>
      <c r="I161" s="13">
        <v>42847.288136574076</v>
      </c>
      <c r="J161" s="7">
        <v>0</v>
      </c>
      <c r="K161" s="97" t="str">
        <f t="shared" si="48"/>
        <v>4013/4014</v>
      </c>
      <c r="L161" s="21" t="str">
        <f>VLOOKUP(A161,'Trips&amp;Operators'!$C$1:$G$99999,5,FALSE)</f>
        <v>SHOOK JOHN</v>
      </c>
      <c r="M161" s="6">
        <f t="shared" si="49"/>
        <v>9.826388893998228E-3</v>
      </c>
      <c r="N161" s="7">
        <f t="shared" si="47"/>
        <v>14.150000007357448</v>
      </c>
      <c r="O161" s="7"/>
      <c r="P161" s="7"/>
      <c r="Q161" s="22"/>
      <c r="R161" s="22"/>
      <c r="S161" s="31">
        <f t="shared" si="50"/>
        <v>1</v>
      </c>
      <c r="T161" s="46" t="str">
        <f t="shared" si="51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2"/>
        <v>https://d0f6bd738d7f1b3e5a7ca70fe4ff75f0.us-east-1.aws.found.io/app/kibana#/discover/Steve-Slow-Train-Analysis-(2080s-and-2083s)?_g=(refreshInterval:(display:Off,pause:!f,section:0,value:0),time:(from:'2017-04-22T05:37:22-0600',mode:absolute,to:'2017-04-22T07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183" t="str">
        <f t="shared" si="53"/>
        <v>N</v>
      </c>
      <c r="X161" s="183">
        <f t="shared" si="66"/>
        <v>1</v>
      </c>
      <c r="Y161" s="62">
        <f t="shared" si="54"/>
        <v>5.8685</v>
      </c>
      <c r="Z161" s="62">
        <f t="shared" si="55"/>
        <v>7.4700000000000003E-2</v>
      </c>
      <c r="AA161" s="62">
        <f t="shared" si="56"/>
        <v>5.7938000000000001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1802-22</v>
      </c>
      <c r="AE161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61" s="82" t="str">
        <f t="shared" si="59"/>
        <v>"C:\Program Files (x86)\AstroGrep\AstroGrep.exe" /e /r /s /spath="%USERPROFILE%\AppData\Local\Temp\OnboardLogs" /stypes="app*4013*20170422*" /stext=" 12:.+((SYSTEM_STATE.+slice.+state.+changed )|(ment ac)|(multiple cpu faults)|(system.+state.+changed )|(\[timeout)|(PRM\|1\|D)|(kpr)|(kdp)|(\|lc)|(penalty))"</v>
      </c>
      <c r="AG161" s="1" t="str">
        <f t="shared" si="60"/>
        <v>NW</v>
      </c>
      <c r="AH161" s="86" t="str">
        <f t="shared" si="61"/>
        <v>"%USERPROFILE%\Documents\GitHub\eaglep3\Utilities\RefineRTDCRunTimes.py" --tripid 1802-22 --locoid 4013 --swversion DE.1.0.9.0 --startMP 300:58685 --initTime 2017-04-22T06:37:22 --startdatetime 2017-04-22T06:40:46 --delay 2 --endMP 204:747 --enddatetime 2017-04-22T06:54:55 --enforcementcount 0 &gt;&gt;C:\Users\stu\Documents\GitHub\eaglep3-reporting\EC\2017-04-22-refined-times.txt</v>
      </c>
      <c r="AI161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{"issue":{"subject":"","project_id":79,"tracker_id":40,"status_id":1,"priority_id":2,"assigned_to_id":23,"start_date":"2017-04-22","description":"","custom_fields":[{"id":1,"name":"Subdivision","value":"NW"},{"id":4,"name":"Milepost","value":"0.0747"},{"id":17,"name":"Train ID","value":"1802-22"},{"id":16,"name":"Locomotive ID","value":"4013"},{"id":130,"name":"Impact","value":""},{"id":150,"name":"Time of Event (Mountain Time)","value":"06:54:55"},{"id":151,"name":"Denver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63"/>
        <v>start /low /b %USERPROFILE%\Documents\GitHub\eaglep3\Utilities\DownloadLogsFromS3.py --loco 4013 --day 2017-04-22</v>
      </c>
      <c r="AN161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662</v>
      </c>
      <c r="B162" s="7">
        <v>4014</v>
      </c>
      <c r="C162" s="21" t="s">
        <v>213</v>
      </c>
      <c r="D162" s="21" t="s">
        <v>888</v>
      </c>
      <c r="E162" s="13">
        <v>42847.290162037039</v>
      </c>
      <c r="F162" s="13">
        <v>42847.306458333333</v>
      </c>
      <c r="G162" s="7">
        <v>1</v>
      </c>
      <c r="H162" s="21" t="s">
        <v>889</v>
      </c>
      <c r="I162" s="13">
        <v>42847.315937500003</v>
      </c>
      <c r="J162" s="7">
        <v>0</v>
      </c>
      <c r="K162" s="97" t="str">
        <f t="shared" si="48"/>
        <v>4013/4014</v>
      </c>
      <c r="L162" s="21" t="str">
        <f>VLOOKUP(A162,'Trips&amp;Operators'!$C$1:$G$99999,5,FALSE)</f>
        <v>SHOOK JOHN</v>
      </c>
      <c r="M162" s="6">
        <f t="shared" si="49"/>
        <v>9.4791666706441902E-3</v>
      </c>
      <c r="N162" s="7">
        <f t="shared" si="47"/>
        <v>13.650000005727634</v>
      </c>
      <c r="O162" s="7"/>
      <c r="P162" s="7"/>
      <c r="Q162" s="22"/>
      <c r="R162" s="22"/>
      <c r="S162" s="31">
        <f t="shared" si="50"/>
        <v>1</v>
      </c>
      <c r="T162" s="46" t="str">
        <f t="shared" si="51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2"/>
        <v>https://d0f6bd738d7f1b3e5a7ca70fe4ff75f0.us-east-1.aws.found.io/app/kibana#/discover/Steve-Slow-Train-Analysis-(2080s-and-2083s)?_g=(refreshInterval:(display:Off,pause:!f,section:0,value:0),time:(from:'2017-04-22T05:57:50-0600',mode:absolute,to:'2017-04-22T08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183" t="str">
        <f t="shared" si="53"/>
        <v>N</v>
      </c>
      <c r="X162" s="183">
        <f t="shared" si="66"/>
        <v>1</v>
      </c>
      <c r="Y162" s="62">
        <f t="shared" si="54"/>
        <v>0.10199999999999999</v>
      </c>
      <c r="Z162" s="62">
        <f t="shared" si="55"/>
        <v>5.8992000000000004</v>
      </c>
      <c r="AA162" s="62">
        <f t="shared" si="56"/>
        <v>5.7972000000000001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1803-22</v>
      </c>
      <c r="AE162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62" s="82" t="str">
        <f t="shared" si="59"/>
        <v>"C:\Program Files (x86)\AstroGrep\AstroGrep.exe" /e /r /s /spath="%USERPROFILE%\AppData\Local\Temp\OnboardLogs" /stypes="app*4014*20170422*" /stext=" 13:.+((SYSTEM_STATE.+slice.+state.+changed )|(ment ac)|(multiple cpu faults)|(system.+state.+changed )|(\[timeout)|(PRM\|1\|D)|(kpr)|(kdp)|(\|lc)|(penalty))"</v>
      </c>
      <c r="AG162" s="1" t="str">
        <f t="shared" si="60"/>
        <v>NW</v>
      </c>
      <c r="AH162" s="86" t="str">
        <f t="shared" si="61"/>
        <v>"%USERPROFILE%\Documents\GitHub\eaglep3\Utilities\RefineRTDCRunTimes.py" --tripid 1803-22 --locoid 4014 --swversion DE.1.0.9.0 --startMP 204:1020 --initTime 2017-04-22T06:57:50 --startdatetime 2017-04-22T07:21:18 --delay 1 --endMP 300:58992 --enddatetime 2017-04-22T07:34:57 --enforcementcount 0 &gt;&gt;C:\Users\stu\Documents\GitHub\eaglep3-reporting\EC\2017-04-22-refined-times.txt</v>
      </c>
      <c r="AI162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{"issue":{"subject":"","project_id":79,"tracker_id":40,"status_id":1,"priority_id":2,"assigned_to_id":23,"start_date":"2017-04-22","description":"","custom_fields":[{"id":1,"name":"Subdivision","value":"NW"},{"id":4,"name":"Milepost","value":"5.8992"},{"id":17,"name":"Train ID","value":"1803-22"},{"id":16,"name":"Locomotive ID","value":"4014"},{"id":130,"name":"Impact","value":""},{"id":150,"name":"Time of Event (Mountain Time)","value":"07:34:57"},{"id":151,"name":"Denver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3"/>
        <v>start /low /b %USERPROFILE%\Documents\GitHub\eaglep3\Utilities\DownloadLogsFromS3.py --loco 4014 --day 2017-04-22</v>
      </c>
      <c r="AN162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666</v>
      </c>
      <c r="B163" s="7">
        <v>4013</v>
      </c>
      <c r="C163" s="21" t="s">
        <v>213</v>
      </c>
      <c r="D163" s="21" t="s">
        <v>890</v>
      </c>
      <c r="E163" s="13">
        <v>42847.31759259259</v>
      </c>
      <c r="F163" s="13">
        <v>42847.319965277777</v>
      </c>
      <c r="G163" s="7">
        <v>1</v>
      </c>
      <c r="H163" s="21" t="s">
        <v>891</v>
      </c>
      <c r="I163" s="13">
        <v>42847.329780092594</v>
      </c>
      <c r="J163" s="7">
        <v>0</v>
      </c>
      <c r="K163" s="97" t="str">
        <f t="shared" si="48"/>
        <v>4013/4014</v>
      </c>
      <c r="L163" s="21" t="str">
        <f>VLOOKUP(A163,'Trips&amp;Operators'!$C$1:$G$99999,5,FALSE)</f>
        <v>SHOOK JOHN</v>
      </c>
      <c r="M163" s="6">
        <f t="shared" si="49"/>
        <v>9.8148148172185756E-3</v>
      </c>
      <c r="N163" s="7">
        <f t="shared" ref="N163:N168" si="67">24*60*SUM($M163:$M163)</f>
        <v>14.133333336794749</v>
      </c>
      <c r="O163" s="7"/>
      <c r="P163" s="7"/>
      <c r="Q163" s="22"/>
      <c r="R163" s="22"/>
      <c r="S163" s="31">
        <f t="shared" si="50"/>
        <v>1</v>
      </c>
      <c r="T163" s="46" t="str">
        <f t="shared" si="51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2"/>
        <v>https://d0f6bd738d7f1b3e5a7ca70fe4ff75f0.us-east-1.aws.found.io/app/kibana#/discover/Steve-Slow-Train-Analysis-(2080s-and-2083s)?_g=(refreshInterval:(display:Off,pause:!f,section:0,value:0),time:(from:'2017-04-22T06:37:20-0600',mode:absolute,to:'2017-04-22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183" t="str">
        <f t="shared" si="53"/>
        <v>N</v>
      </c>
      <c r="X163" s="183">
        <f t="shared" si="66"/>
        <v>1</v>
      </c>
      <c r="Y163" s="62">
        <f t="shared" si="54"/>
        <v>5.8677000000000001</v>
      </c>
      <c r="Z163" s="62">
        <f t="shared" si="55"/>
        <v>7.3800000000000004E-2</v>
      </c>
      <c r="AA163" s="62">
        <f t="shared" si="56"/>
        <v>5.7938999999999998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1804-22</v>
      </c>
      <c r="AE163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63" s="82" t="str">
        <f t="shared" si="59"/>
        <v>"C:\Program Files (x86)\AstroGrep\AstroGrep.exe" /e /r /s /spath="%USERPROFILE%\AppData\Local\Temp\OnboardLogs" /stypes="app*4013*20170422*" /stext=" 13:.+((SYSTEM_STATE.+slice.+state.+changed )|(ment ac)|(multiple cpu faults)|(system.+state.+changed )|(\[timeout)|(PRM\|1\|D)|(kpr)|(kdp)|(\|lc)|(penalty))"</v>
      </c>
      <c r="AG163" s="1" t="str">
        <f t="shared" si="60"/>
        <v>NW</v>
      </c>
      <c r="AH163" s="86" t="str">
        <f t="shared" si="61"/>
        <v>"%USERPROFILE%\Documents\GitHub\eaglep3\Utilities\RefineRTDCRunTimes.py" --tripid 1804-22 --locoid 4013 --swversion DE.1.0.9.0 --startMP 300:58677 --initTime 2017-04-22T07:37:20 --startdatetime 2017-04-22T07:40:45 --delay 1 --endMP 204:738 --enddatetime 2017-04-22T07:54:53 --enforcementcount 0 &gt;&gt;C:\Users\stu\Documents\GitHub\eaglep3-reporting\EC\2017-04-22-refined-times.txt</v>
      </c>
      <c r="AI163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{"issue":{"subject":"","project_id":79,"tracker_id":40,"status_id":1,"priority_id":2,"assigned_to_id":23,"start_date":"2017-04-22","description":"","custom_fields":[{"id":1,"name":"Subdivision","value":"NW"},{"id":4,"name":"Milepost","value":"0.0738"},{"id":17,"name":"Train ID","value":"1804-22"},{"id":16,"name":"Locomotive ID","value":"4013"},{"id":130,"name":"Impact","value":""},{"id":150,"name":"Time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3"/>
        <v>start /low /b %USERPROFILE%\Documents\GitHub\eaglep3\Utilities\DownloadLogsFromS3.py --loco 4013 --day 2017-04-22</v>
      </c>
      <c r="AN163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670</v>
      </c>
      <c r="B164" s="7">
        <v>4014</v>
      </c>
      <c r="C164" s="21" t="s">
        <v>213</v>
      </c>
      <c r="D164" s="21" t="s">
        <v>892</v>
      </c>
      <c r="E164" s="13">
        <v>42847.331631944442</v>
      </c>
      <c r="F164" s="13">
        <v>42847.348090277781</v>
      </c>
      <c r="G164" s="7">
        <v>1</v>
      </c>
      <c r="H164" s="21" t="s">
        <v>885</v>
      </c>
      <c r="I164" s="13">
        <v>42847.357465277775</v>
      </c>
      <c r="J164" s="7">
        <v>0</v>
      </c>
      <c r="K164" s="97" t="str">
        <f t="shared" si="48"/>
        <v>4013/4014</v>
      </c>
      <c r="L164" s="21" t="str">
        <f>VLOOKUP(A164,'Trips&amp;Operators'!$C$1:$G$99999,5,FALSE)</f>
        <v>SHOOK JOHN</v>
      </c>
      <c r="M164" s="6">
        <f t="shared" si="49"/>
        <v>9.3749999941792339E-3</v>
      </c>
      <c r="N164" s="7">
        <f t="shared" si="67"/>
        <v>13.499999991618097</v>
      </c>
      <c r="O164" s="7"/>
      <c r="P164" s="7"/>
      <c r="Q164" s="22"/>
      <c r="R164" s="22"/>
      <c r="S164" s="31">
        <f t="shared" si="50"/>
        <v>1</v>
      </c>
      <c r="T164" s="46" t="str">
        <f t="shared" si="51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2"/>
        <v>https://d0f6bd738d7f1b3e5a7ca70fe4ff75f0.us-east-1.aws.found.io/app/kibana#/discover/Steve-Slow-Train-Analysis-(2080s-and-2083s)?_g=(refreshInterval:(display:Off,pause:!f,section:0,value:0),time:(from:'2017-04-22T06:57:33-0600',mode:absolute,to:'2017-04-22T09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183" t="str">
        <f t="shared" si="53"/>
        <v>N</v>
      </c>
      <c r="X164" s="183">
        <f t="shared" ref="X164:X195" si="68">VALUE(LEFT(AD164,4))-VALUE(LEFT(AD163,4))</f>
        <v>1</v>
      </c>
      <c r="Y164" s="62">
        <f t="shared" si="54"/>
        <v>0.1027</v>
      </c>
      <c r="Z164" s="62">
        <f t="shared" si="55"/>
        <v>5.8993000000000002</v>
      </c>
      <c r="AA164" s="62">
        <f t="shared" si="56"/>
        <v>5.7966000000000006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1805-22</v>
      </c>
      <c r="AE164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64" s="82" t="str">
        <f t="shared" si="59"/>
        <v>"C:\Program Files (x86)\AstroGrep\AstroGrep.exe" /e /r /s /spath="%USERPROFILE%\AppData\Local\Temp\OnboardLogs" /stypes="app*4014*20170422*" /stext=" 14:.+((SYSTEM_STATE.+slice.+state.+changed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1805-22 --locoid 4014 --swversion DE.1.0.9.0 --startMP 204:1027 --initTime 2017-04-22T07:57:33 --startdatetime 2017-04-22T08:21:15 --delay 1 --endMP 300:58993 --enddatetime 2017-04-22T08:34:45 --enforcementcount 0 &gt;&gt;C:\Users\stu\Documents\GitHub\eaglep3-reporting\EC\2017-04-22-refined-times.txt</v>
      </c>
      <c r="AI164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{"issue":{"subject":"","project_id":79,"tracker_id":40,"status_id":1,"priority_id":2,"assigned_to_id":23,"start_date":"2017-04-22","description":"","custom_fields":[{"id":1,"name":"Subdivision","value":"NW"},{"id":4,"name":"Milepost","value":"5.8993"},{"id":17,"name":"Train ID","value":"1805-22"},{"id":16,"name":"Locomotive ID","value":"4014"},{"id":130,"name":"Impact","value":""},{"id":150,"name":"Time of Event (Mountain Time)","value":"08:34:45"},{"id":151,"name":"Denver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3"/>
        <v>start /low /b %USERPROFILE%\Documents\GitHub\eaglep3\Utilities\DownloadLogsFromS3.py --loco 4014 --day 2017-04-22</v>
      </c>
      <c r="AN164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675</v>
      </c>
      <c r="B165" s="7">
        <v>4013</v>
      </c>
      <c r="C165" s="21" t="s">
        <v>213</v>
      </c>
      <c r="D165" s="21" t="s">
        <v>890</v>
      </c>
      <c r="E165" s="13">
        <v>42847.359131944446</v>
      </c>
      <c r="F165" s="13">
        <v>42847.361574074072</v>
      </c>
      <c r="G165" s="7">
        <v>1</v>
      </c>
      <c r="H165" s="21" t="s">
        <v>893</v>
      </c>
      <c r="I165" s="13">
        <v>42847.371770833335</v>
      </c>
      <c r="J165" s="7">
        <v>0</v>
      </c>
      <c r="K165" s="97" t="str">
        <f t="shared" si="48"/>
        <v>4013/4014</v>
      </c>
      <c r="L165" s="21" t="str">
        <f>VLOOKUP(A165,'Trips&amp;Operators'!$C$1:$G$99999,5,FALSE)</f>
        <v>SHOOK JOHN</v>
      </c>
      <c r="M165" s="6">
        <f t="shared" si="49"/>
        <v>1.0196759263635613E-2</v>
      </c>
      <c r="N165" s="7">
        <f t="shared" si="67"/>
        <v>14.683333339635283</v>
      </c>
      <c r="O165" s="7"/>
      <c r="P165" s="7"/>
      <c r="Q165" s="22"/>
      <c r="R165" s="22"/>
      <c r="S165" s="31">
        <f t="shared" si="50"/>
        <v>1</v>
      </c>
      <c r="T165" s="46" t="str">
        <f t="shared" si="51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2"/>
        <v>https://d0f6bd738d7f1b3e5a7ca70fe4ff75f0.us-east-1.aws.found.io/app/kibana#/discover/Steve-Slow-Train-Analysis-(2080s-and-2083s)?_g=(refreshInterval:(display:Off,pause:!f,section:0,value:0),time:(from:'2017-04-22T07:37:09-0600',mode:absolute,to:'2017-04-22T09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183" t="str">
        <f t="shared" si="53"/>
        <v>N</v>
      </c>
      <c r="X165" s="183">
        <f t="shared" si="68"/>
        <v>1</v>
      </c>
      <c r="Y165" s="62">
        <f t="shared" si="54"/>
        <v>5.8677000000000001</v>
      </c>
      <c r="Z165" s="62">
        <f t="shared" si="55"/>
        <v>7.4099999999999999E-2</v>
      </c>
      <c r="AA165" s="62">
        <f t="shared" si="56"/>
        <v>5.7936000000000005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1806-22</v>
      </c>
      <c r="AE165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65" s="82" t="str">
        <f t="shared" si="59"/>
        <v>"C:\Program Files (x86)\AstroGrep\AstroGrep.exe" /e /r /s /spath="%USERPROFILE%\AppData\Local\Temp\OnboardLogs" /stypes="app*4013*20170422*" /stext=" 14:.+((SYSTEM_STATE.+slice.+state.+changed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1806-22 --locoid 4013 --swversion DE.1.0.9.0 --startMP 300:58677 --initTime 2017-04-22T08:37:09 --startdatetime 2017-04-22T08:40:40 --delay 1 --endMP 204:741 --enddatetime 2017-04-22T08:55:21 --enforcementcount 0 &gt;&gt;C:\Users\stu\Documents\GitHub\eaglep3-reporting\EC\2017-04-22-refined-times.txt</v>
      </c>
      <c r="AI165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{"issue":{"subject":"","project_id":79,"tracker_id":40,"status_id":1,"priority_id":2,"assigned_to_id":23,"start_date":"2017-04-22","description":"","custom_fields":[{"id":1,"name":"Subdivision","value":"NW"},{"id":4,"name":"Milepost","value":"0.0741"},{"id":17,"name":"Train ID","value":"1806-22"},{"id":16,"name":"Locomotive ID","value":"4013"},{"id":130,"name":"Impact","value":""},{"id":150,"name":"Time of Event (Mountain Time)","value":"08:55:21"},{"id":151,"name":"Denver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3"/>
        <v>start /low /b %USERPROFILE%\Documents\GitHub\eaglep3\Utilities\DownloadLogsFromS3.py --loco 4013 --day 2017-04-22</v>
      </c>
      <c r="AN165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14:55:21"},{"id":29,"name":"Sharepoint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679</v>
      </c>
      <c r="B166" s="7">
        <v>4014</v>
      </c>
      <c r="C166" s="21" t="s">
        <v>213</v>
      </c>
      <c r="D166" s="21" t="s">
        <v>894</v>
      </c>
      <c r="E166" s="13">
        <v>42847.374664351853</v>
      </c>
      <c r="F166" s="13">
        <v>42847.389756944445</v>
      </c>
      <c r="G166" s="7">
        <v>1</v>
      </c>
      <c r="H166" s="21" t="s">
        <v>895</v>
      </c>
      <c r="I166" s="13">
        <v>42847.399027777778</v>
      </c>
      <c r="J166" s="7">
        <v>0</v>
      </c>
      <c r="K166" s="97" t="str">
        <f t="shared" si="48"/>
        <v>4013/4014</v>
      </c>
      <c r="L166" s="21" t="str">
        <f>VLOOKUP(A166,'Trips&amp;Operators'!$C$1:$G$99999,5,FALSE)</f>
        <v>SHOOK JOHN</v>
      </c>
      <c r="M166" s="6">
        <f t="shared" si="49"/>
        <v>9.2708333322661929E-3</v>
      </c>
      <c r="N166" s="7">
        <f t="shared" si="67"/>
        <v>13.349999998463318</v>
      </c>
      <c r="O166" s="7"/>
      <c r="P166" s="7"/>
      <c r="Q166" s="22"/>
      <c r="R166" s="22"/>
      <c r="S166" s="31">
        <f t="shared" si="50"/>
        <v>1</v>
      </c>
      <c r="T166" s="46" t="str">
        <f t="shared" si="51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2"/>
        <v>https://d0f6bd738d7f1b3e5a7ca70fe4ff75f0.us-east-1.aws.found.io/app/kibana#/discover/Steve-Slow-Train-Analysis-(2080s-and-2083s)?_g=(refreshInterval:(display:Off,pause:!f,section:0,value:0),time:(from:'2017-04-22T07:59:31-0600',mode:absolute,to:'2017-04-22T10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183" t="str">
        <f t="shared" si="53"/>
        <v>N</v>
      </c>
      <c r="X166" s="183">
        <f t="shared" si="68"/>
        <v>1</v>
      </c>
      <c r="Y166" s="62">
        <f t="shared" si="54"/>
        <v>0.1014</v>
      </c>
      <c r="Z166" s="62">
        <f t="shared" si="55"/>
        <v>5.8987999999999996</v>
      </c>
      <c r="AA166" s="62">
        <f t="shared" si="56"/>
        <v>5.7973999999999997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1807-22</v>
      </c>
      <c r="AE166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66" s="82" t="str">
        <f t="shared" si="59"/>
        <v>"C:\Program Files (x86)\AstroGrep\AstroGrep.exe" /e /r /s /spath="%USERPROFILE%\AppData\Local\Temp\OnboardLogs" /stypes="app*4014*20170422*" /stext=" 15:.+((SYSTEM_STATE.+slice.+state.+changed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1807-22 --locoid 4014 --swversion DE.1.0.9.0 --startMP 204:1014 --initTime 2017-04-22T08:59:31 --startdatetime 2017-04-22T09:21:15 --delay 1 --endMP 300:58988 --enddatetime 2017-04-22T09:34:36 --enforcementcount 0 &gt;&gt;C:\Users\stu\Documents\GitHub\eaglep3-reporting\EC\2017-04-22-refined-times.txt</v>
      </c>
      <c r="AI166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{"issue":{"subject":"","project_id":79,"tracker_id":40,"status_id":1,"priority_id":2,"assigned_to_id":23,"start_date":"2017-04-22","description":"","custom_fields":[{"id":1,"name":"Subdivision","value":"NW"},{"id":4,"name":"Milepost","value":"5.8988"},{"id":17,"name":"Train ID","value":"1807-22"},{"id":16,"name":"Locomotive ID","value":"4014"},{"id":130,"name":"Impact","value":""},{"id":150,"name":"Time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3"/>
        <v>start /low /b %USERPROFILE%\Documents\GitHub\eaglep3\Utilities\DownloadLogsFromS3.py --loco 4014 --day 2017-04-22</v>
      </c>
      <c r="AN166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684</v>
      </c>
      <c r="B167" s="7">
        <v>4013</v>
      </c>
      <c r="C167" s="21" t="s">
        <v>213</v>
      </c>
      <c r="D167" s="21" t="s">
        <v>890</v>
      </c>
      <c r="E167" s="13">
        <v>42847.400578703702</v>
      </c>
      <c r="F167" s="13">
        <v>42847.402662037035</v>
      </c>
      <c r="G167" s="7">
        <v>1</v>
      </c>
      <c r="H167" s="21" t="s">
        <v>896</v>
      </c>
      <c r="I167" s="13">
        <v>42847.414085648146</v>
      </c>
      <c r="J167" s="7">
        <v>0</v>
      </c>
      <c r="K167" s="97" t="str">
        <f t="shared" si="48"/>
        <v>4013/4014</v>
      </c>
      <c r="L167" s="21" t="str">
        <f>VLOOKUP(A167,'Trips&amp;Operators'!$C$1:$G$99999,5,FALSE)</f>
        <v>SHOOK JOHN</v>
      </c>
      <c r="M167" s="6">
        <f t="shared" si="49"/>
        <v>1.1423611111240461E-2</v>
      </c>
      <c r="N167" s="7">
        <f t="shared" si="67"/>
        <v>16.450000000186265</v>
      </c>
      <c r="O167" s="7"/>
      <c r="P167" s="7"/>
      <c r="Q167" s="22"/>
      <c r="R167" s="22"/>
      <c r="S167" s="31">
        <f t="shared" si="50"/>
        <v>1</v>
      </c>
      <c r="T167" s="46" t="str">
        <f t="shared" si="51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2"/>
        <v>https://d0f6bd738d7f1b3e5a7ca70fe4ff75f0.us-east-1.aws.found.io/app/kibana#/discover/Steve-Slow-Train-Analysis-(2080s-and-2083s)?_g=(refreshInterval:(display:Off,pause:!f,section:0,value:0),time:(from:'2017-04-22T08:36:50-0600',mode:absolute,to:'2017-04-22T10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183" t="str">
        <f t="shared" si="53"/>
        <v>N</v>
      </c>
      <c r="X167" s="183">
        <f t="shared" si="68"/>
        <v>1</v>
      </c>
      <c r="Y167" s="62">
        <f t="shared" si="54"/>
        <v>5.8677000000000001</v>
      </c>
      <c r="Z167" s="62">
        <f t="shared" si="55"/>
        <v>7.3400000000000007E-2</v>
      </c>
      <c r="AA167" s="62">
        <f t="shared" si="56"/>
        <v>5.7942999999999998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1808-22</v>
      </c>
      <c r="AE167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67" s="82" t="str">
        <f t="shared" si="59"/>
        <v>"C:\Program Files (x86)\AstroGrep\AstroGrep.exe" /e /r /s /spath="%USERPROFILE%\AppData\Local\Temp\OnboardLogs" /stypes="app*4013*20170422*" /stext=" 15:.+((SYSTEM_STATE.+slice.+state.+changed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1808-22 --locoid 4013 --swversion DE.1.0.9.0 --startMP 300:58677 --initTime 2017-04-22T09:36:50 --startdatetime 2017-04-22T09:39:50 --delay 1 --endMP 204:734 --enddatetime 2017-04-22T09:56:17 --enforcementcount 0 &gt;&gt;C:\Users\stu\Documents\GitHub\eaglep3-reporting\EC\2017-04-22-refined-times.txt</v>
      </c>
      <c r="AI167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{"issue":{"subject":"","project_id":79,"tracker_id":40,"status_id":1,"priority_id":2,"assigned_to_id":23,"start_date":"2017-04-22","description":"","custom_fields":[{"id":1,"name":"Subdivision","value":"NW"},{"id":4,"name":"Milepost","value":"0.0734"},{"id":17,"name":"Train ID","value":"1808-22"},{"id":16,"name":"Locomotive ID","value":"4013"},{"id":130,"name":"Impact","value":""},{"id":150,"name":"Time of Event (Mountain Time)","value":"09:56:17"},{"id":151,"name":"Denver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3"/>
        <v>start /low /b %USERPROFILE%\Documents\GitHub\eaglep3\Utilities\DownloadLogsFromS3.py --loco 4013 --day 2017-04-22</v>
      </c>
      <c r="AN167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690</v>
      </c>
      <c r="B168" s="7">
        <v>4014</v>
      </c>
      <c r="C168" s="21" t="s">
        <v>213</v>
      </c>
      <c r="D168" s="21" t="s">
        <v>892</v>
      </c>
      <c r="E168" s="13">
        <v>42847.417268518519</v>
      </c>
      <c r="F168" s="13">
        <v>42847.431458333333</v>
      </c>
      <c r="G168" s="7">
        <v>1</v>
      </c>
      <c r="H168" s="21" t="s">
        <v>889</v>
      </c>
      <c r="I168" s="13">
        <v>42847.440844907411</v>
      </c>
      <c r="J168" s="7">
        <v>0</v>
      </c>
      <c r="K168" s="97" t="str">
        <f t="shared" si="48"/>
        <v>4013/4014</v>
      </c>
      <c r="L168" s="21" t="str">
        <f>VLOOKUP(A168,'Trips&amp;Operators'!$C$1:$G$99999,5,FALSE)</f>
        <v>SHOOK JOHN</v>
      </c>
      <c r="M168" s="6">
        <f t="shared" si="49"/>
        <v>9.3865740782348439E-3</v>
      </c>
      <c r="N168" s="7">
        <f t="shared" si="67"/>
        <v>13.516666672658175</v>
      </c>
      <c r="O168" s="7"/>
      <c r="P168" s="7"/>
      <c r="Q168" s="22"/>
      <c r="R168" s="22"/>
      <c r="S168" s="31">
        <f t="shared" si="50"/>
        <v>1</v>
      </c>
      <c r="T168" s="46" t="str">
        <f t="shared" si="51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2"/>
        <v>https://d0f6bd738d7f1b3e5a7ca70fe4ff75f0.us-east-1.aws.found.io/app/kibana#/discover/Steve-Slow-Train-Analysis-(2080s-and-2083s)?_g=(refreshInterval:(display:Off,pause:!f,section:0,value:0),time:(from:'2017-04-22T09:00:52-0600',mode:absolute,to:'2017-04-22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183" t="str">
        <f t="shared" si="53"/>
        <v>N</v>
      </c>
      <c r="X168" s="183">
        <f t="shared" si="68"/>
        <v>1</v>
      </c>
      <c r="Y168" s="62">
        <f t="shared" si="54"/>
        <v>0.1027</v>
      </c>
      <c r="Z168" s="62">
        <f t="shared" si="55"/>
        <v>5.8992000000000004</v>
      </c>
      <c r="AA168" s="62">
        <f t="shared" si="56"/>
        <v>5.7965000000000009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1809-22</v>
      </c>
      <c r="AE168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68" s="82" t="str">
        <f t="shared" si="59"/>
        <v>"C:\Program Files (x86)\AstroGrep\AstroGrep.exe" /e /r /s /spath="%USERPROFILE%\AppData\Local\Temp\OnboardLogs" /stypes="app*4014*20170422*" /stext=" 16:.+((SYSTEM_STATE.+slice.+state.+changed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1809-22 --locoid 4014 --swversion DE.1.0.9.0 --startMP 204:1027 --initTime 2017-04-22T10:00:52 --startdatetime 2017-04-22T10:21:18 --delay 1 --endMP 300:58992 --enddatetime 2017-04-22T10:34:49 --enforcementcount 0 &gt;&gt;C:\Users\stu\Documents\GitHub\eaglep3-reporting\EC\2017-04-22-refined-times.txt</v>
      </c>
      <c r="AI168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{"issue":{"subject":"","project_id":79,"tracker_id":40,"status_id":1,"priority_id":2,"assigned_to_id":23,"start_date":"2017-04-22","description":"","custom_fields":[{"id":1,"name":"Subdivision","value":"NW"},{"id":4,"name":"Milepost","value":"5.8992"},{"id":17,"name":"Train ID","value":"1809-22"},{"id":16,"name":"Locomotive ID","value":"4014"},{"id":130,"name":"Impact","value":""},{"id":150,"name":"Time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3"/>
        <v>start /low /b %USERPROFILE%\Documents\GitHub\eaglep3\Utilities\DownloadLogsFromS3.py --loco 4014 --day 2017-04-22</v>
      </c>
      <c r="AN168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699</v>
      </c>
      <c r="B169" s="7">
        <v>4013</v>
      </c>
      <c r="C169" s="21" t="s">
        <v>213</v>
      </c>
      <c r="D169" s="21" t="s">
        <v>892</v>
      </c>
      <c r="E169" s="13">
        <v>42847.417268518519</v>
      </c>
      <c r="F169" s="13">
        <v>42847.44327546296</v>
      </c>
      <c r="G169" s="7">
        <v>1</v>
      </c>
      <c r="H169" s="21" t="s">
        <v>889</v>
      </c>
      <c r="I169" s="13">
        <v>42847.443796296298</v>
      </c>
      <c r="J169" s="7">
        <v>0</v>
      </c>
      <c r="K169" s="97" t="str">
        <f t="shared" si="48"/>
        <v>4013/4014</v>
      </c>
      <c r="L169" s="21" t="str">
        <f>VLOOKUP(A169,'Trips&amp;Operators'!$C$1:$G$99999,5,FALSE)</f>
        <v>SHOOK JOHN</v>
      </c>
      <c r="M169" s="6">
        <f t="shared" si="49"/>
        <v>5.2083333866903558E-4</v>
      </c>
      <c r="N169" s="7"/>
      <c r="O169" s="7"/>
      <c r="P169" s="7">
        <f>24*60*SUM($M169:$M169)</f>
        <v>0.75000000768341124</v>
      </c>
      <c r="Q169" s="22"/>
      <c r="R169" s="22" t="s">
        <v>1004</v>
      </c>
      <c r="S169" s="31">
        <f t="shared" si="50"/>
        <v>0</v>
      </c>
      <c r="T169" s="46" t="str">
        <f t="shared" si="51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182" t="str">
        <f t="shared" si="52"/>
        <v>https://d0f6bd738d7f1b3e5a7ca70fe4ff75f0.us-east-1.aws.found.io/app/kibana#/discover/Steve-Slow-Train-Analysis-(2080s-and-2083s)?_g=(refreshInterval:(display:Off,pause:!f,section:0,value:0),time:(from:'2017-04-22T09:00:52-0600',mode:absolute,to:'2017-04-22T11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183" t="str">
        <f t="shared" si="53"/>
        <v>N</v>
      </c>
      <c r="X169" s="183">
        <f t="shared" si="68"/>
        <v>1</v>
      </c>
      <c r="Y169" s="62">
        <f t="shared" si="54"/>
        <v>0.1027</v>
      </c>
      <c r="Z169" s="62">
        <f t="shared" si="55"/>
        <v>5.8992000000000004</v>
      </c>
      <c r="AA169" s="62">
        <f t="shared" si="56"/>
        <v>5.7965000000000009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1810-22</v>
      </c>
      <c r="AE169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69" s="82" t="str">
        <f t="shared" si="59"/>
        <v>"C:\Program Files (x86)\AstroGrep\AstroGrep.exe" /e /r /s /spath="%USERPROFILE%\AppData\Local\Temp\OnboardLogs" /stypes="app*4013*20170422*" /stext=" 16:.+((SYSTEM_STATE.+slice.+state.+changed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ref="AH169" si="69">refinertdcruntimes&amp;" --tripid "&amp;A169&amp;" --locoid "&amp;B169&amp;" --swversion "&amp;C169&amp;" --startMP "&amp;D169&amp;" --initTime "&amp;TEXT(E169,"yyyy-mm-ddTHH:MM:SS")&amp;" --startdatetime "&amp;TEXT(F169,"yyyy-mm-ddTHH:MM:SS")&amp;" --delay "&amp;G169&amp;" --endMP "&amp;H169&amp;" --enddatetime "&amp;TEXT(I169,"yyyy-mm-ddTHH:MM:SS")&amp;" --enforcementcount "&amp;J169&amp;IF(outputrefinedruntimes," &gt;&gt;"&amp;RefinedRTDCRunTimesOutputFile,"")</f>
        <v>"%USERPROFILE%\Documents\GitHub\eaglep3\Utilities\RefineRTDCRunTimes.py" --tripid 1810-22 --locoid 4013 --swversion DE.1.0.9.0 --startMP 204:1027 --initTime 2017-04-22T10:00:52 --startdatetime 2017-04-22T10:38:19 --delay 1 --endMP 300:58992 --enddatetime 2017-04-22T10:39:04 --enforcementcount 0 &gt;&gt;C:\Users\stu\Documents\GitHub\eaglep3-reporting\EC\2017-04-22-refined-times.txt</v>
      </c>
      <c r="AI169" s="104" t="str">
        <f t="shared" ref="AI169" si="70">"echo {""issue"":{""subject"":"""&amp;R169&amp;""",""project_id"":79,""tracker_id"":40,""status_id"":"&amp;redmine_status&amp;",""priority_id"":"&amp;redmine_priority&amp;",""assigned_to_id"":"&amp;redmine_assignee&amp;",""start_date"":"""&amp;TEXT(I169,"YYYY-mm-dd")&amp;""",""description"":"""&amp;AJ169&amp;""",""custom_fields"":[{""id"":1,""name"":""Subdivision"",""value"":"""&amp;AG169&amp;"""},{""id"":4,""name"":""Milepost"",""value"":"""&amp;Z169&amp;"""},{""id"":17,""name"":""Train ID"",""value"":"""&amp;A169&amp;"""},{""id"":16,""name"":""Locomotive ID"",""value"":"""&amp;B169&amp;"""},{""id"":130,""name"":""Impact"",""value"":"""&amp;AK169&amp;"""},{""id"":150,""name"":""Time of Event (Mountain Time)"",""value"":"""&amp;TEXT(I169,"hh:mm:ss")&amp;"""},{""id"":151,""name"":""Denver Issue ID"",""value"":"""&amp;"""},{""id"":178,""name"":""Operational Impact"",""value"":"""&amp;redmine_op_impact&amp;"""},{""id"":179,""name"":""Denver Segment Assigned"",""value"":"""&amp;AL169&amp;"""}]}}"&amp;"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failure","project_id":79,"tracker_id":40,"status_id":1,"priority_id":2,"assigned_to_id":23,"start_date":"2017-04-22","description":"","custom_fields":[{"id":1,"name":"Subdivision","value":"NW"},{"id":4,"name":"Milepost","value":"5.8992"},{"id":17,"name":"Train ID","value":"1810-22"},{"id":16,"name":"Locomotive ID","value":"4013"},{"id":130,"name":"Impact","value":""},{"id":150,"name":"Time of Event (Mountain Time)","value":"10:39:04"},{"id":151,"name":"Denver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ref="AM169" si="71">"start /low /b "&amp;dls3logs&amp;" --loco "&amp;B169&amp;" --day "&amp;TEXT(F169,"YYYY-MM-DD")</f>
        <v>start /low /b %USERPROFILE%\Documents\GitHub\eaglep3\Utilities\DownloadLogsFromS3.py --loco 4013 --day 2017-04-22</v>
      </c>
      <c r="AN169" s="159" t="str">
        <f t="shared" ref="AN169" si="72">"echo {""issue"":{""subject"":"""&amp;R169&amp;""",""project_id"":30,""tracker_id"":4,""status_id"":"&amp;redmine_status_wcr&amp;",""priority_id"":"&amp;redmine_priority_wcr&amp;",""assigned_to_id"":"&amp;redmine_assignee_wcr&amp;",""start_date"":"""&amp;TEXT(I169-utc_offset/24,"YYYY-mm-dd")&amp;""",""description"":"""&amp;AJ169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16:39:04"},{"id":29,"name":"Sharepoint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3" t="s">
        <v>703</v>
      </c>
      <c r="B170" s="7">
        <v>4014</v>
      </c>
      <c r="C170" s="21" t="s">
        <v>213</v>
      </c>
      <c r="D170" s="21" t="s">
        <v>892</v>
      </c>
      <c r="E170" s="13">
        <v>42847.459201388891</v>
      </c>
      <c r="F170" s="13">
        <v>42847.473136574074</v>
      </c>
      <c r="G170" s="7">
        <v>1</v>
      </c>
      <c r="H170" s="21" t="s">
        <v>897</v>
      </c>
      <c r="I170" s="13">
        <v>42847.473611111112</v>
      </c>
      <c r="J170" s="7">
        <v>0</v>
      </c>
      <c r="K170" s="97" t="str">
        <f t="shared" si="48"/>
        <v>4013/4014</v>
      </c>
      <c r="L170" s="21" t="str">
        <f>VLOOKUP(A170,'Trips&amp;Operators'!$C$1:$G$99999,5,FALSE)</f>
        <v>SHOOK JOHN</v>
      </c>
      <c r="M170" s="6">
        <f t="shared" si="49"/>
        <v>4.7453703882638365E-4</v>
      </c>
      <c r="N170" s="7"/>
      <c r="O170" s="7"/>
      <c r="P170" s="7">
        <f>24*60*SUM($M170:$M170)</f>
        <v>0.68333333590999246</v>
      </c>
      <c r="Q170" s="22"/>
      <c r="R170" s="22" t="s">
        <v>1007</v>
      </c>
      <c r="S170" s="31">
        <f t="shared" si="50"/>
        <v>0</v>
      </c>
      <c r="T170" s="46" t="str">
        <f t="shared" si="51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182" t="str">
        <f t="shared" si="52"/>
        <v>https://d0f6bd738d7f1b3e5a7ca70fe4ff75f0.us-east-1.aws.found.io/app/kibana#/discover/Steve-Slow-Train-Analysis-(2080s-and-2083s)?_g=(refreshInterval:(display:Off,pause:!f,section:0,value:0),time:(from:'2017-04-22T10:01:15-0600',mode:absolute,to:'2017-04-22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83" t="str">
        <f t="shared" si="53"/>
        <v>Y</v>
      </c>
      <c r="X170" s="183">
        <f t="shared" si="68"/>
        <v>1</v>
      </c>
      <c r="Y170" s="62">
        <f t="shared" si="54"/>
        <v>0.1027</v>
      </c>
      <c r="Z170" s="62">
        <f t="shared" si="55"/>
        <v>0.1032</v>
      </c>
      <c r="AA170" s="62">
        <f t="shared" si="56"/>
        <v>5.0000000000000044E-4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1811-22</v>
      </c>
      <c r="AE170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70" s="82" t="str">
        <f t="shared" si="59"/>
        <v>"C:\Program Files (x86)\AstroGrep\AstroGrep.exe" /e /r /s /spath="%USERPROFILE%\AppData\Local\Temp\OnboardLogs" /stypes="app*4014*20170422*" /stext=" 17:.+((SYSTEM_STATE.+slice.+state.+changed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1811-22 --locoid 4014 --swversion DE.1.0.9.0 --startMP 204:1027 --initTime 2017-04-22T11:01:15 --startdatetime 2017-04-22T11:21:19 --delay 1 --endMP 204:1032 --enddatetime 2017-04-22T11:22:00 --enforcementcount 0 &gt;&gt;C:\Users\stu\Documents\GitHub\eaglep3-reporting\EC\2017-04-22-refined-times.txt</v>
      </c>
      <c r="AI170" s="104" t="str">
        <f t="shared" si="62"/>
        <v>echo {"issue":{"subject":"Class 2 test failure - BPP was at 0 PSI instead of usual ~83","project_id":79,"tracker_id":40,"status_id":1,"priority_id":2,"assigned_to_id":23,"start_date":"2017-04-22","description":"","custom_fields":[{"id":1,"name":"Subdivision","value":"NW"},{"id":4,"name":"Milepost","value":"0.1032"},{"id":17,"name":"Train ID","value":"1811-22"},{"id":16,"name":"Locomotive ID","value":"4014"},{"id":130,"name":"Impact","value":""},{"id":150,"name":"Time of Event (Mountain Time)","value":"11:22:00"},{"id":151,"name":"Denver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63"/>
        <v>start /low /b %USERPROFILE%\Documents\GitHub\eaglep3\Utilities\DownloadLogsFromS3.py --loco 4014 --day 2017-04-22</v>
      </c>
      <c r="AN170" s="159" t="str">
        <f t="shared" si="64"/>
        <v>echo {"issue":{"subject":"Class 2 test failure - BPP was at 0 PSI instead of usual ~83","project_id":30,"tracker_id":4,"status_id":1,"priority_id":1,"assigned_to_id":10,"start_date":"2017-04-22","description":"","custom_fields":[{"id":30,"name":"Category","value":"Issue"},{"id":3,"name":"Functional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1006</v>
      </c>
      <c r="B171" s="7">
        <v>4013</v>
      </c>
      <c r="C171" s="21" t="s">
        <v>213</v>
      </c>
      <c r="D171" s="21" t="s">
        <v>892</v>
      </c>
      <c r="E171" s="13">
        <v>42847.459201388891</v>
      </c>
      <c r="F171" s="13">
        <v>42847.473136574074</v>
      </c>
      <c r="G171" s="7">
        <v>1</v>
      </c>
      <c r="H171" s="21" t="s">
        <v>897</v>
      </c>
      <c r="I171" s="13">
        <v>42847.473611111112</v>
      </c>
      <c r="J171" s="7">
        <v>0</v>
      </c>
      <c r="K171" s="97" t="str">
        <f t="shared" si="48"/>
        <v>4013/4014</v>
      </c>
      <c r="L171" s="21" t="e">
        <f>VLOOKUP(A171,'Trips&amp;Operators'!$C$1:$G$99999,5,FALSE)</f>
        <v>#N/A</v>
      </c>
      <c r="M171" s="6">
        <f t="shared" si="49"/>
        <v>4.7453703882638365E-4</v>
      </c>
      <c r="N171" s="7"/>
      <c r="O171" s="7"/>
      <c r="P171" s="7">
        <f>24*60*SUM($M171:$M171)</f>
        <v>0.68333333590999246</v>
      </c>
      <c r="Q171" s="22"/>
      <c r="R171" s="22" t="s">
        <v>583</v>
      </c>
      <c r="S171" s="31">
        <f t="shared" si="50"/>
        <v>0</v>
      </c>
      <c r="T171" s="46" t="str">
        <f t="shared" si="51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82" t="str">
        <f t="shared" si="52"/>
        <v>https://d0f6bd738d7f1b3e5a7ca70fe4ff75f0.us-east-1.aws.found.io/app/kibana#/discover/Steve-Slow-Train-Analysis-(2080s-and-2083s)?_g=(refreshInterval:(display:Off,pause:!f,section:0,value:0),time:(from:'2017-04-22T10:01:15-0600',mode:absolute,to:'2017-04-22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83" t="str">
        <f t="shared" si="53"/>
        <v>Y</v>
      </c>
      <c r="X171" s="183">
        <f t="shared" si="68"/>
        <v>1</v>
      </c>
      <c r="Y171" s="62">
        <f t="shared" si="54"/>
        <v>0.1027</v>
      </c>
      <c r="Z171" s="62">
        <f t="shared" si="55"/>
        <v>0.1032</v>
      </c>
      <c r="AA171" s="62">
        <f t="shared" si="56"/>
        <v>5.0000000000000044E-4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1812-22</v>
      </c>
      <c r="AE171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71" s="82" t="str">
        <f t="shared" si="59"/>
        <v>"C:\Program Files (x86)\AstroGrep\AstroGrep.exe" /e /r /s /spath="%USERPROFILE%\AppData\Local\Temp\OnboardLogs" /stypes="app*4013*20170422*" /stext=" 17:.+((SYSTEM_STATE.+slice.+state.+changed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ref="AH171" si="73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1812-22 --locoid 4013 --swversion DE.1.0.9.0 --startMP 204:1027 --initTime 2017-04-22T11:01:15 --startdatetime 2017-04-22T11:21:19 --delay 1 --endMP 204:1032 --enddatetime 2017-04-22T11:22:00 --enforcementcount 0 &gt;&gt;C:\Users\stu\Documents\GitHub\eaglep3-reporting\EC\2017-04-22-refined-times.txt</v>
      </c>
      <c r="AI171" s="104" t="str">
        <f t="shared" ref="AI171" si="74"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outage","project_id":79,"tracker_id":40,"status_id":1,"priority_id":2,"assigned_to_id":23,"start_date":"2017-04-22","description":"","custom_fields":[{"id":1,"name":"Subdivision","value":"NW"},{"id":4,"name":"Milepost","value":"0.1032"},{"id":17,"name":"Train ID","value":"1812-22"},{"id":16,"name":"Locomotive ID","value":"4013"},{"id":130,"name":"Impact","value":""},{"id":150,"name":"Time of Event (Mountain Time)","value":"11:22:00"},{"id":151,"name":"Denver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ref="AM171" si="75">"start /low /b "&amp;dls3logs&amp;" --loco "&amp;B171&amp;" --day "&amp;TEXT(F171,"YYYY-MM-DD")</f>
        <v>start /low /b %USERPROFILE%\Documents\GitHub\eaglep3\Utilities\DownloadLogsFromS3.py --loco 4013 --day 2017-04-22</v>
      </c>
      <c r="AN171" s="159" t="str">
        <f t="shared" ref="AN171" si="76"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717</v>
      </c>
      <c r="B172" s="7">
        <v>4014</v>
      </c>
      <c r="C172" s="21" t="s">
        <v>213</v>
      </c>
      <c r="D172" s="21" t="s">
        <v>898</v>
      </c>
      <c r="E172" s="13">
        <v>42847.512743055559</v>
      </c>
      <c r="F172" s="13">
        <v>42847.515439814815</v>
      </c>
      <c r="G172" s="7">
        <v>1</v>
      </c>
      <c r="H172" s="21" t="s">
        <v>899</v>
      </c>
      <c r="I172" s="13">
        <v>42847.525034722225</v>
      </c>
      <c r="J172" s="7">
        <v>0</v>
      </c>
      <c r="K172" s="97" t="str">
        <f t="shared" si="48"/>
        <v>4013/4014</v>
      </c>
      <c r="L172" s="21" t="str">
        <f>VLOOKUP(A172,'Trips&amp;Operators'!$C$1:$G$99999,5,FALSE)</f>
        <v>SHOOK JOHN</v>
      </c>
      <c r="M172" s="6">
        <f t="shared" si="49"/>
        <v>9.5949074093368836E-3</v>
      </c>
      <c r="N172" s="7">
        <f t="shared" ref="N172:N218" si="77">24*60*SUM($M172:$M172)</f>
        <v>13.816666669445112</v>
      </c>
      <c r="O172" s="7"/>
      <c r="P172" s="7"/>
      <c r="Q172" s="22"/>
      <c r="R172" s="22"/>
      <c r="S172" s="31">
        <f t="shared" si="50"/>
        <v>1</v>
      </c>
      <c r="T172" s="46" t="str">
        <f t="shared" si="51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2"/>
        <v>https://d0f6bd738d7f1b3e5a7ca70fe4ff75f0.us-east-1.aws.found.io/app/kibana#/discover/Steve-Slow-Train-Analysis-(2080s-and-2083s)?_g=(refreshInterval:(display:Off,pause:!f,section:0,value:0),time:(from:'2017-04-22T11:18:21-0600',mode:absolute,to:'2017-04-22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83" t="str">
        <f t="shared" si="53"/>
        <v>N</v>
      </c>
      <c r="X172" s="183">
        <f t="shared" si="68"/>
        <v>1</v>
      </c>
      <c r="Y172" s="62">
        <f t="shared" si="54"/>
        <v>0.10340000000000001</v>
      </c>
      <c r="Z172" s="62">
        <f t="shared" si="55"/>
        <v>5.9005000000000001</v>
      </c>
      <c r="AA172" s="62">
        <f t="shared" si="56"/>
        <v>5.7971000000000004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1813-22</v>
      </c>
      <c r="AE172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72" s="82" t="str">
        <f t="shared" si="59"/>
        <v>"C:\Program Files (x86)\AstroGrep\AstroGrep.exe" /e /r /s /spath="%USERPROFILE%\AppData\Local\Temp\OnboardLogs" /stypes="app*4014*20170422*" /stext=" 18:.+((SYSTEM_STATE.+slice.+state.+changed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1813-22 --locoid 4014 --swversion DE.1.0.9.0 --startMP 204:1034 --initTime 2017-04-22T12:18:21 --startdatetime 2017-04-22T12:22:14 --delay 1 --endMP 300:59005 --enddatetime 2017-04-22T12:36:03 --enforcementcount 0 &gt;&gt;C:\Users\stu\Documents\GitHub\eaglep3-reporting\EC\2017-04-22-refined-times.txt</v>
      </c>
      <c r="AI172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{"issue":{"subject":"","project_id":79,"tracker_id":40,"status_id":1,"priority_id":2,"assigned_to_id":23,"start_date":"2017-04-22","description":"","custom_fields":[{"id":1,"name":"Subdivision","value":"NW"},{"id":4,"name":"Milepost","value":"5.9005"},{"id":17,"name":"Train ID","value":"1813-22"},{"id":16,"name":"Locomotive ID","value":"4014"},{"id":130,"name":"Impact","value":""},{"id":150,"name":"Time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3"/>
        <v>start /low /b %USERPROFILE%\Documents\GitHub\eaglep3\Utilities\DownloadLogsFromS3.py --loco 4014 --day 2017-04-22</v>
      </c>
      <c r="AN172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723</v>
      </c>
      <c r="B173" s="7">
        <v>4013</v>
      </c>
      <c r="C173" s="21" t="s">
        <v>213</v>
      </c>
      <c r="D173" s="21" t="s">
        <v>900</v>
      </c>
      <c r="E173" s="13">
        <v>42847.529409722221</v>
      </c>
      <c r="F173" s="13">
        <v>42847.530810185184</v>
      </c>
      <c r="G173" s="7">
        <v>1</v>
      </c>
      <c r="H173" s="21" t="s">
        <v>901</v>
      </c>
      <c r="I173" s="13">
        <v>42847.540081018517</v>
      </c>
      <c r="J173" s="7">
        <v>0</v>
      </c>
      <c r="K173" s="97" t="str">
        <f t="shared" si="48"/>
        <v>4013/4014</v>
      </c>
      <c r="L173" s="21" t="str">
        <f>VLOOKUP(A173,'Trips&amp;Operators'!$C$1:$G$99999,5,FALSE)</f>
        <v>SHOOK JOHN</v>
      </c>
      <c r="M173" s="6">
        <f t="shared" si="49"/>
        <v>9.2708333322661929E-3</v>
      </c>
      <c r="N173" s="7">
        <f t="shared" si="77"/>
        <v>13.349999998463318</v>
      </c>
      <c r="O173" s="7"/>
      <c r="P173" s="7"/>
      <c r="Q173" s="22"/>
      <c r="R173" s="22"/>
      <c r="S173" s="31">
        <f t="shared" si="50"/>
        <v>1</v>
      </c>
      <c r="T173" s="46" t="str">
        <f t="shared" si="51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2"/>
        <v>https://d0f6bd738d7f1b3e5a7ca70fe4ff75f0.us-east-1.aws.found.io/app/kibana#/discover/Steve-Slow-Train-Analysis-(2080s-and-2083s)?_g=(refreshInterval:(display:Off,pause:!f,section:0,value:0),time:(from:'2017-04-22T11:42:21-0600',mode:absolute,to:'2017-04-22T13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83" t="str">
        <f t="shared" si="53"/>
        <v>N</v>
      </c>
      <c r="X173" s="183">
        <f t="shared" si="68"/>
        <v>1</v>
      </c>
      <c r="Y173" s="62">
        <f t="shared" si="54"/>
        <v>5.8674999999999997</v>
      </c>
      <c r="Z173" s="62">
        <f t="shared" si="55"/>
        <v>7.4800000000000005E-2</v>
      </c>
      <c r="AA173" s="62">
        <f t="shared" si="56"/>
        <v>5.7927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1814-22</v>
      </c>
      <c r="AE173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73" s="82" t="str">
        <f t="shared" si="59"/>
        <v>"C:\Program Files (x86)\AstroGrep\AstroGrep.exe" /e /r /s /spath="%USERPROFILE%\AppData\Local\Temp\OnboardLogs" /stypes="app*4013*20170422*" /stext=" 18:.+((SYSTEM_STATE.+slice.+state.+changed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1814-22 --locoid 4013 --swversion DE.1.0.9.0 --startMP 300:58675 --initTime 2017-04-22T12:42:21 --startdatetime 2017-04-22T12:44:22 --delay 1 --endMP 204:748 --enddatetime 2017-04-22T12:57:43 --enforcementcount 0 &gt;&gt;C:\Users\stu\Documents\GitHub\eaglep3-reporting\EC\2017-04-22-refined-times.txt</v>
      </c>
      <c r="AI173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{"issue":{"subject":"","project_id":79,"tracker_id":40,"status_id":1,"priority_id":2,"assigned_to_id":23,"start_date":"2017-04-22","description":"","custom_fields":[{"id":1,"name":"Subdivision","value":"NW"},{"id":4,"name":"Milepost","value":"0.0748"},{"id":17,"name":"Train ID","value":"1814-22"},{"id":16,"name":"Locomotive ID","value":"4013"},{"id":130,"name":"Impact","value":""},{"id":150,"name":"Time of Event (Mountain Time)","value":"12:57:43"},{"id":151,"name":"Denver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63"/>
        <v>start /low /b %USERPROFILE%\Documents\GitHub\eaglep3\Utilities\DownloadLogsFromS3.py --loco 4013 --day 2017-04-22</v>
      </c>
      <c r="AN173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18:57:43"},{"id":29,"name":"Sharepoint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729</v>
      </c>
      <c r="B174" s="7">
        <v>4014</v>
      </c>
      <c r="C174" s="21" t="s">
        <v>213</v>
      </c>
      <c r="D174" s="21" t="s">
        <v>902</v>
      </c>
      <c r="E174" s="13">
        <v>42847.55195601852</v>
      </c>
      <c r="F174" s="13">
        <v>42847.55641203704</v>
      </c>
      <c r="G174" s="7">
        <v>3</v>
      </c>
      <c r="H174" s="21" t="s">
        <v>903</v>
      </c>
      <c r="I174" s="13">
        <v>42847.566053240742</v>
      </c>
      <c r="J174" s="7">
        <v>0</v>
      </c>
      <c r="K174" s="97" t="str">
        <f t="shared" si="48"/>
        <v>4013/4014</v>
      </c>
      <c r="L174" s="21" t="str">
        <f>VLOOKUP(A174,'Trips&amp;Operators'!$C$1:$G$99999,5,FALSE)</f>
        <v>SHOOK JOHN</v>
      </c>
      <c r="M174" s="6">
        <f t="shared" si="49"/>
        <v>9.6412037019035779E-3</v>
      </c>
      <c r="N174" s="7">
        <f t="shared" si="77"/>
        <v>13.883333330741152</v>
      </c>
      <c r="O174" s="7"/>
      <c r="P174" s="7"/>
      <c r="Q174" s="22"/>
      <c r="R174" s="22"/>
      <c r="S174" s="31">
        <f t="shared" si="50"/>
        <v>1</v>
      </c>
      <c r="T174" s="46" t="str">
        <f t="shared" si="51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2"/>
        <v>https://d0f6bd738d7f1b3e5a7ca70fe4ff75f0.us-east-1.aws.found.io/app/kibana#/discover/Steve-Slow-Train-Analysis-(2080s-and-2083s)?_g=(refreshInterval:(display:Off,pause:!f,section:0,value:0),time:(from:'2017-04-22T12:14:49-0600',mode:absolute,to:'2017-04-22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83" t="str">
        <f t="shared" si="53"/>
        <v>N</v>
      </c>
      <c r="X174" s="183">
        <f t="shared" si="68"/>
        <v>1</v>
      </c>
      <c r="Y174" s="62">
        <f t="shared" si="54"/>
        <v>0.1023</v>
      </c>
      <c r="Z174" s="62">
        <f t="shared" si="55"/>
        <v>5.8998999999999997</v>
      </c>
      <c r="AA174" s="62">
        <f t="shared" si="56"/>
        <v>5.7976000000000001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1815-22</v>
      </c>
      <c r="AE174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74" s="82" t="str">
        <f t="shared" si="59"/>
        <v>"C:\Program Files (x86)\AstroGrep\AstroGrep.exe" /e /r /s /spath="%USERPROFILE%\AppData\Local\Temp\OnboardLogs" /stypes="app*4014*20170422*" /stext=" 19:.+((SYSTEM_STATE.+slice.+state.+changed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1815-22 --locoid 4014 --swversion DE.1.0.9.0 --startMP 204:1023 --initTime 2017-04-22T13:14:49 --startdatetime 2017-04-22T13:21:14 --delay 3 --endMP 300:58999 --enddatetime 2017-04-22T13:35:07 --enforcementcount 0 &gt;&gt;C:\Users\stu\Documents\GitHub\eaglep3-reporting\EC\2017-04-22-refined-times.txt</v>
      </c>
      <c r="AI174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{"issue":{"subject":"","project_id":79,"tracker_id":40,"status_id":1,"priority_id":2,"assigned_to_id":23,"start_date":"2017-04-22","description":"","custom_fields":[{"id":1,"name":"Subdivision","value":"NW"},{"id":4,"name":"Milepost","value":"5.8999"},{"id":17,"name":"Train ID","value":"1815-22"},{"id":16,"name":"Locomotive ID","value":"4014"},{"id":130,"name":"Impact","value":""},{"id":150,"name":"Time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3"/>
        <v>start /low /b %USERPROFILE%\Documents\GitHub\eaglep3\Utilities\DownloadLogsFromS3.py --loco 4014 --day 2017-04-22</v>
      </c>
      <c r="AN174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733</v>
      </c>
      <c r="B175" s="7">
        <v>4013</v>
      </c>
      <c r="C175" s="21" t="s">
        <v>213</v>
      </c>
      <c r="D175" s="21" t="s">
        <v>890</v>
      </c>
      <c r="E175" s="13">
        <v>42847.567743055559</v>
      </c>
      <c r="F175" s="13">
        <v>42847.573541666665</v>
      </c>
      <c r="G175" s="7">
        <v>2</v>
      </c>
      <c r="H175" s="21" t="s">
        <v>582</v>
      </c>
      <c r="I175" s="13">
        <v>42847.584432870368</v>
      </c>
      <c r="J175" s="7">
        <v>0</v>
      </c>
      <c r="K175" s="97" t="str">
        <f t="shared" si="48"/>
        <v>4013/4014</v>
      </c>
      <c r="L175" s="21" t="str">
        <f>VLOOKUP(A175,'Trips&amp;Operators'!$C$1:$G$99999,5,FALSE)</f>
        <v>SHOOK JOHN</v>
      </c>
      <c r="M175" s="6">
        <f t="shared" si="49"/>
        <v>1.0891203703067731E-2</v>
      </c>
      <c r="N175" s="7">
        <f t="shared" si="77"/>
        <v>15.683333332417533</v>
      </c>
      <c r="O175" s="7"/>
      <c r="P175" s="7"/>
      <c r="Q175" s="22"/>
      <c r="R175" s="22"/>
      <c r="S175" s="31">
        <f t="shared" si="50"/>
        <v>1</v>
      </c>
      <c r="T175" s="46" t="str">
        <f t="shared" si="51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2"/>
        <v>https://d0f6bd738d7f1b3e5a7ca70fe4ff75f0.us-east-1.aws.found.io/app/kibana#/discover/Steve-Slow-Train-Analysis-(2080s-and-2083s)?_g=(refreshInterval:(display:Off,pause:!f,section:0,value:0),time:(from:'2017-04-22T12:37:33-0600',mode:absolute,to:'2017-04-22T15:01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83" t="str">
        <f t="shared" si="53"/>
        <v>N</v>
      </c>
      <c r="X175" s="183">
        <f t="shared" si="68"/>
        <v>1</v>
      </c>
      <c r="Y175" s="62">
        <f t="shared" si="54"/>
        <v>5.8677000000000001</v>
      </c>
      <c r="Z175" s="62">
        <f t="shared" si="55"/>
        <v>7.2400000000000006E-2</v>
      </c>
      <c r="AA175" s="62">
        <f t="shared" si="56"/>
        <v>5.7953000000000001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1816-22</v>
      </c>
      <c r="AE175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75" s="82" t="str">
        <f t="shared" si="59"/>
        <v>"C:\Program Files (x86)\AstroGrep\AstroGrep.exe" /e /r /s /spath="%USERPROFILE%\AppData\Local\Temp\OnboardLogs" /stypes="app*4013*20170422*" /stext=" 20:.+((SYSTEM_STATE.+slice.+state.+changed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1816-22 --locoid 4013 --swversion DE.1.0.9.0 --startMP 300:58677 --initTime 2017-04-22T13:37:33 --startdatetime 2017-04-22T13:45:54 --delay 2 --endMP 204:724 --enddatetime 2017-04-22T14:01:35 --enforcementcount 0 &gt;&gt;C:\Users\stu\Documents\GitHub\eaglep3-reporting\EC\2017-04-22-refined-times.txt</v>
      </c>
      <c r="AI175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{"issue":{"subject":"","project_id":79,"tracker_id":40,"status_id":1,"priority_id":2,"assigned_to_id":23,"start_date":"2017-04-22","description":"","custom_fields":[{"id":1,"name":"Subdivision","value":"NW"},{"id":4,"name":"Milepost","value":"0.0724"},{"id":17,"name":"Train ID","value":"1816-22"},{"id":16,"name":"Locomotive ID","value":"4013"},{"id":130,"name":"Impact","value":""},{"id":150,"name":"Time of Event (Mountain Time)","value":"14:01:35"},{"id":151,"name":"Denver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3"/>
        <v>start /low /b %USERPROFILE%\Documents\GitHub\eaglep3\Utilities\DownloadLogsFromS3.py --loco 4013 --day 2017-04-22</v>
      </c>
      <c r="AN175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20:01:35"},{"id":29,"name":"Sharepoint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739</v>
      </c>
      <c r="B176" s="7">
        <v>4014</v>
      </c>
      <c r="C176" s="21" t="s">
        <v>213</v>
      </c>
      <c r="D176" s="21" t="s">
        <v>897</v>
      </c>
      <c r="E176" s="13">
        <v>42847.591678240744</v>
      </c>
      <c r="F176" s="13">
        <v>42847.598136574074</v>
      </c>
      <c r="G176" s="7">
        <v>1</v>
      </c>
      <c r="H176" s="21" t="s">
        <v>904</v>
      </c>
      <c r="I176" s="13">
        <v>42847.607129629629</v>
      </c>
      <c r="J176" s="7">
        <v>0</v>
      </c>
      <c r="K176" s="97" t="str">
        <f t="shared" si="48"/>
        <v>4013/4014</v>
      </c>
      <c r="L176" s="21" t="str">
        <f>VLOOKUP(A176,'Trips&amp;Operators'!$C$1:$G$99999,5,FALSE)</f>
        <v>HELVIE ADAM</v>
      </c>
      <c r="M176" s="6">
        <f t="shared" si="49"/>
        <v>8.9930555550381541E-3</v>
      </c>
      <c r="N176" s="7">
        <f t="shared" si="77"/>
        <v>12.949999999254942</v>
      </c>
      <c r="O176" s="7"/>
      <c r="P176" s="7"/>
      <c r="Q176" s="22"/>
      <c r="R176" s="22"/>
      <c r="S176" s="31">
        <f t="shared" si="50"/>
        <v>1</v>
      </c>
      <c r="T176" s="46" t="str">
        <f t="shared" si="51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2"/>
        <v>https://d0f6bd738d7f1b3e5a7ca70fe4ff75f0.us-east-1.aws.found.io/app/kibana#/discover/Steve-Slow-Train-Analysis-(2080s-and-2083s)?_g=(refreshInterval:(display:Off,pause:!f,section:0,value:0),time:(from:'2017-04-22T13:12:01-0600',mode:absolute,to:'2017-04-22T15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83" t="str">
        <f t="shared" si="53"/>
        <v>N</v>
      </c>
      <c r="X176" s="183">
        <f t="shared" si="68"/>
        <v>1</v>
      </c>
      <c r="Y176" s="62">
        <f t="shared" si="54"/>
        <v>0.1032</v>
      </c>
      <c r="Z176" s="62">
        <f t="shared" si="55"/>
        <v>5.8940999999999999</v>
      </c>
      <c r="AA176" s="62">
        <f t="shared" si="56"/>
        <v>5.7908999999999997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1817-22</v>
      </c>
      <c r="AE176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76" s="82" t="str">
        <f t="shared" si="59"/>
        <v>"C:\Program Files (x86)\AstroGrep\AstroGrep.exe" /e /r /s /spath="%USERPROFILE%\AppData\Local\Temp\OnboardLogs" /stypes="app*4014*20170422*" /stext=" 20:.+((SYSTEM_STATE.+slice.+state.+changed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1817-22 --locoid 4014 --swversion DE.1.0.9.0 --startMP 204:1032 --initTime 2017-04-22T14:12:01 --startdatetime 2017-04-22T14:21:19 --delay 1 --endMP 300:58941 --enddatetime 2017-04-22T14:34:16 --enforcementcount 0 &gt;&gt;C:\Users\stu\Documents\GitHub\eaglep3-reporting\EC\2017-04-22-refined-times.txt</v>
      </c>
      <c r="AI176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{"issue":{"subject":"","project_id":79,"tracker_id":40,"status_id":1,"priority_id":2,"assigned_to_id":23,"start_date":"2017-04-22","description":"","custom_fields":[{"id":1,"name":"Subdivision","value":"NW"},{"id":4,"name":"Milepost","value":"5.8941"},{"id":17,"name":"Train ID","value":"1817-22"},{"id":16,"name":"Locomotive ID","value":"4014"},{"id":130,"name":"Impact","value":""},{"id":150,"name":"Time of Event (Mountain Time)","value":"14:34:16"},{"id":151,"name":"Denver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3"/>
        <v>start /low /b %USERPROFILE%\Documents\GitHub\eaglep3\Utilities\DownloadLogsFromS3.py --loco 4014 --day 2017-04-22</v>
      </c>
      <c r="AN176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743</v>
      </c>
      <c r="B177" s="7">
        <v>4013</v>
      </c>
      <c r="C177" s="21" t="s">
        <v>213</v>
      </c>
      <c r="D177" s="21" t="s">
        <v>444</v>
      </c>
      <c r="E177" s="13">
        <v>42847.608553240738</v>
      </c>
      <c r="F177" s="13">
        <v>42847.61209490741</v>
      </c>
      <c r="G177" s="7">
        <v>1</v>
      </c>
      <c r="H177" s="21" t="s">
        <v>555</v>
      </c>
      <c r="I177" s="13">
        <v>42847.621099537035</v>
      </c>
      <c r="J177" s="7">
        <v>0</v>
      </c>
      <c r="K177" s="97" t="str">
        <f t="shared" si="48"/>
        <v>4013/4014</v>
      </c>
      <c r="L177" s="21" t="str">
        <f>VLOOKUP(A177,'Trips&amp;Operators'!$C$1:$G$99999,5,FALSE)</f>
        <v>HELVIE ADAM</v>
      </c>
      <c r="M177" s="6">
        <f t="shared" si="49"/>
        <v>9.0046296245418489E-3</v>
      </c>
      <c r="N177" s="7">
        <f t="shared" si="77"/>
        <v>12.966666659340262</v>
      </c>
      <c r="O177" s="7"/>
      <c r="P177" s="7"/>
      <c r="Q177" s="22"/>
      <c r="R177" s="22"/>
      <c r="S177" s="31">
        <f t="shared" si="50"/>
        <v>1</v>
      </c>
      <c r="T177" s="46" t="str">
        <f t="shared" si="51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2"/>
        <v>https://d0f6bd738d7f1b3e5a7ca70fe4ff75f0.us-east-1.aws.found.io/app/kibana#/discover/Steve-Slow-Train-Analysis-(2080s-and-2083s)?_g=(refreshInterval:(display:Off,pause:!f,section:0,value:0),time:(from:'2017-04-22T13:36:19-0600',mode:absolute,to:'2017-04-22T15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83" t="str">
        <f t="shared" si="53"/>
        <v>N</v>
      </c>
      <c r="X177" s="183">
        <f t="shared" si="68"/>
        <v>1</v>
      </c>
      <c r="Y177" s="62">
        <f t="shared" si="54"/>
        <v>5.8620999999999999</v>
      </c>
      <c r="Z177" s="62">
        <f t="shared" si="55"/>
        <v>7.7499999999999999E-2</v>
      </c>
      <c r="AA177" s="62">
        <f t="shared" si="56"/>
        <v>5.7846000000000002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1818-22</v>
      </c>
      <c r="AE177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77" s="82" t="str">
        <f t="shared" si="59"/>
        <v>"C:\Program Files (x86)\AstroGrep\AstroGrep.exe" /e /r /s /spath="%USERPROFILE%\AppData\Local\Temp\OnboardLogs" /stypes="app*4013*20170422*" /stext=" 20:.+((SYSTEM_STATE.+slice.+state.+changed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1818-22 --locoid 4013 --swversion DE.1.0.9.0 --startMP 300:58621 --initTime 2017-04-22T14:36:19 --startdatetime 2017-04-22T14:41:25 --delay 1 --endMP 204:775 --enddatetime 2017-04-22T14:54:23 --enforcementcount 0 &gt;&gt;C:\Users\stu\Documents\GitHub\eaglep3-reporting\EC\2017-04-22-refined-times.txt</v>
      </c>
      <c r="AI177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{"issue":{"subject":"","project_id":79,"tracker_id":40,"status_id":1,"priority_id":2,"assigned_to_id":23,"start_date":"2017-04-22","description":"","custom_fields":[{"id":1,"name":"Subdivision","value":"NW"},{"id":4,"name":"Milepost","value":"0.0775"},{"id":17,"name":"Train ID","value":"1818-22"},{"id":16,"name":"Locomotive ID","value":"4013"},{"id":130,"name":"Impact","value":""},{"id":150,"name":"Time of Event (Mountain Time)","value":"14:54:23"},{"id":151,"name":"Denver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3"/>
        <v>start /low /b %USERPROFILE%\Documents\GitHub\eaglep3\Utilities\DownloadLogsFromS3.py --loco 4013 --day 2017-04-22</v>
      </c>
      <c r="AN177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748</v>
      </c>
      <c r="B178" s="7">
        <v>4014</v>
      </c>
      <c r="C178" s="21" t="s">
        <v>213</v>
      </c>
      <c r="D178" s="21" t="s">
        <v>905</v>
      </c>
      <c r="E178" s="13">
        <v>42847.63726851852</v>
      </c>
      <c r="F178" s="13">
        <v>42847.63989583333</v>
      </c>
      <c r="G178" s="7">
        <v>1</v>
      </c>
      <c r="H178" s="21" t="s">
        <v>906</v>
      </c>
      <c r="I178" s="13">
        <v>42847.649108796293</v>
      </c>
      <c r="J178" s="7">
        <v>0</v>
      </c>
      <c r="K178" s="97" t="str">
        <f t="shared" si="48"/>
        <v>4013/4014</v>
      </c>
      <c r="L178" s="21" t="str">
        <f>VLOOKUP(A178,'Trips&amp;Operators'!$C$1:$G$99999,5,FALSE)</f>
        <v>HELVIE ADAM</v>
      </c>
      <c r="M178" s="6">
        <f t="shared" si="49"/>
        <v>9.2129629629198462E-3</v>
      </c>
      <c r="N178" s="7">
        <f t="shared" si="77"/>
        <v>13.266666666604578</v>
      </c>
      <c r="O178" s="7"/>
      <c r="P178" s="7"/>
      <c r="Q178" s="22"/>
      <c r="R178" s="22"/>
      <c r="S178" s="31">
        <f t="shared" si="50"/>
        <v>1</v>
      </c>
      <c r="T178" s="46" t="str">
        <f t="shared" si="51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2"/>
        <v>https://d0f6bd738d7f1b3e5a7ca70fe4ff75f0.us-east-1.aws.found.io/app/kibana#/discover/Steve-Slow-Train-Analysis-(2080s-and-2083s)?_g=(refreshInterval:(display:Off,pause:!f,section:0,value:0),time:(from:'2017-04-22T14:17:40-0600',mode:absolute,to:'2017-04-22T16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83" t="str">
        <f t="shared" si="53"/>
        <v>N</v>
      </c>
      <c r="X178" s="183">
        <f t="shared" si="68"/>
        <v>1</v>
      </c>
      <c r="Y178" s="62">
        <f t="shared" si="54"/>
        <v>0.10440000000000001</v>
      </c>
      <c r="Z178" s="62">
        <f t="shared" si="55"/>
        <v>5.8929</v>
      </c>
      <c r="AA178" s="62">
        <f t="shared" si="56"/>
        <v>5.7885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1819-22</v>
      </c>
      <c r="AE178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78" s="82" t="str">
        <f t="shared" si="59"/>
        <v>"C:\Program Files (x86)\AstroGrep\AstroGrep.exe" /e /r /s /spath="%USERPROFILE%\AppData\Local\Temp\OnboardLogs" /stypes="app*4014*20170422*" /stext=" 21:.+((SYSTEM_STATE.+slice.+state.+changed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1819-22 --locoid 4014 --swversion DE.1.0.9.0 --startMP 204:1044 --initTime 2017-04-22T15:17:40 --startdatetime 2017-04-22T15:21:27 --delay 1 --endMP 300:58929 --enddatetime 2017-04-22T15:34:43 --enforcementcount 0 &gt;&gt;C:\Users\stu\Documents\GitHub\eaglep3-reporting\EC\2017-04-22-refined-times.txt</v>
      </c>
      <c r="AI178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{"issue":{"subject":"","project_id":79,"tracker_id":40,"status_id":1,"priority_id":2,"assigned_to_id":23,"start_date":"2017-04-22","description":"","custom_fields":[{"id":1,"name":"Subdivision","value":"NW"},{"id":4,"name":"Milepost","value":"5.8929"},{"id":17,"name":"Train ID","value":"1819-22"},{"id":16,"name":"Locomotive ID","value":"4014"},{"id":130,"name":"Impact","value":""},{"id":150,"name":"Time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3"/>
        <v>start /low /b %USERPROFILE%\Documents\GitHub\eaglep3\Utilities\DownloadLogsFromS3.py --loco 4014 --day 2017-04-22</v>
      </c>
      <c r="AN178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752</v>
      </c>
      <c r="B179" s="7">
        <v>4013</v>
      </c>
      <c r="C179" s="21" t="s">
        <v>213</v>
      </c>
      <c r="D179" s="21" t="s">
        <v>907</v>
      </c>
      <c r="E179" s="13">
        <v>42847.650196759256</v>
      </c>
      <c r="F179" s="13">
        <v>42847.653773148151</v>
      </c>
      <c r="G179" s="7">
        <v>1</v>
      </c>
      <c r="H179" s="21" t="s">
        <v>896</v>
      </c>
      <c r="I179" s="13">
        <v>42847.662743055553</v>
      </c>
      <c r="J179" s="7">
        <v>0</v>
      </c>
      <c r="K179" s="97" t="str">
        <f t="shared" si="48"/>
        <v>4013/4014</v>
      </c>
      <c r="L179" s="21" t="str">
        <f>VLOOKUP(A179,'Trips&amp;Operators'!$C$1:$G$99999,5,FALSE)</f>
        <v>HELVIE ADAM</v>
      </c>
      <c r="M179" s="6">
        <f t="shared" si="49"/>
        <v>8.9699074014788494E-3</v>
      </c>
      <c r="N179" s="7">
        <f t="shared" si="77"/>
        <v>12.916666658129543</v>
      </c>
      <c r="O179" s="7"/>
      <c r="P179" s="7"/>
      <c r="Q179" s="22"/>
      <c r="R179" s="22"/>
      <c r="S179" s="31">
        <f t="shared" si="50"/>
        <v>1</v>
      </c>
      <c r="T179" s="46" t="str">
        <f t="shared" si="51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2"/>
        <v>https://d0f6bd738d7f1b3e5a7ca70fe4ff75f0.us-east-1.aws.found.io/app/kibana#/discover/Steve-Slow-Train-Analysis-(2080s-and-2083s)?_g=(refreshInterval:(display:Off,pause:!f,section:0,value:0),time:(from:'2017-04-22T14:36:17-0600',mode:absolute,to:'2017-04-22T16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83" t="str">
        <f t="shared" si="53"/>
        <v>N</v>
      </c>
      <c r="X179" s="183">
        <f t="shared" si="68"/>
        <v>1</v>
      </c>
      <c r="Y179" s="62">
        <f t="shared" si="54"/>
        <v>5.8619000000000003</v>
      </c>
      <c r="Z179" s="62">
        <f t="shared" si="55"/>
        <v>7.3400000000000007E-2</v>
      </c>
      <c r="AA179" s="62">
        <f t="shared" si="56"/>
        <v>5.7885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1820-22</v>
      </c>
      <c r="AE179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79" s="82" t="str">
        <f t="shared" si="59"/>
        <v>"C:\Program Files (x86)\AstroGrep\AstroGrep.exe" /e /r /s /spath="%USERPROFILE%\AppData\Local\Temp\OnboardLogs" /stypes="app*4013*20170422*" /stext=" 21:.+((SYSTEM_STATE.+slice.+state.+changed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1820-22 --locoid 4013 --swversion DE.1.0.9.0 --startMP 300:58619 --initTime 2017-04-22T15:36:17 --startdatetime 2017-04-22T15:41:26 --delay 1 --endMP 204:734 --enddatetime 2017-04-22T15:54:21 --enforcementcount 0 &gt;&gt;C:\Users\stu\Documents\GitHub\eaglep3-reporting\EC\2017-04-22-refined-times.txt</v>
      </c>
      <c r="AI179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{"issue":{"subject":"","project_id":79,"tracker_id":40,"status_id":1,"priority_id":2,"assigned_to_id":23,"start_date":"2017-04-22","description":"","custom_fields":[{"id":1,"name":"Subdivision","value":"NW"},{"id":4,"name":"Milepost","value":"0.0734"},{"id":17,"name":"Train ID","value":"1820-22"},{"id":16,"name":"Locomotive ID","value":"4013"},{"id":130,"name":"Impact","value":""},{"id":150,"name":"Time of Event (Mountain Time)","value":"15:54:21"},{"id":151,"name":"Denver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3"/>
        <v>start /low /b %USERPROFILE%\Documents\GitHub\eaglep3\Utilities\DownloadLogsFromS3.py --loco 4013 --day 2017-04-22</v>
      </c>
      <c r="AN179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758</v>
      </c>
      <c r="B180" s="7">
        <v>4014</v>
      </c>
      <c r="C180" s="21" t="s">
        <v>213</v>
      </c>
      <c r="D180" s="21" t="s">
        <v>908</v>
      </c>
      <c r="E180" s="13">
        <v>42847.6797337963</v>
      </c>
      <c r="F180" s="13">
        <v>42847.681446759256</v>
      </c>
      <c r="G180" s="7">
        <v>1</v>
      </c>
      <c r="H180" s="21" t="s">
        <v>904</v>
      </c>
      <c r="I180" s="13">
        <v>42847.69085648148</v>
      </c>
      <c r="J180" s="7">
        <v>0</v>
      </c>
      <c r="K180" s="97" t="str">
        <f t="shared" si="48"/>
        <v>4013/4014</v>
      </c>
      <c r="L180" s="21" t="str">
        <f>VLOOKUP(A180,'Trips&amp;Operators'!$C$1:$G$99999,5,FALSE)</f>
        <v>HELVIE ADAM</v>
      </c>
      <c r="M180" s="6">
        <f t="shared" si="49"/>
        <v>9.4097222245181911E-3</v>
      </c>
      <c r="N180" s="7">
        <f t="shared" si="77"/>
        <v>13.550000003306195</v>
      </c>
      <c r="O180" s="7"/>
      <c r="P180" s="7"/>
      <c r="Q180" s="22"/>
      <c r="R180" s="22"/>
      <c r="S180" s="31">
        <f t="shared" si="50"/>
        <v>1</v>
      </c>
      <c r="T180" s="46" t="str">
        <f t="shared" si="51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2"/>
        <v>https://d0f6bd738d7f1b3e5a7ca70fe4ff75f0.us-east-1.aws.found.io/app/kibana#/discover/Steve-Slow-Train-Analysis-(2080s-and-2083s)?_g=(refreshInterval:(display:Off,pause:!f,section:0,value:0),time:(from:'2017-04-22T15:18:49-0600',mode:absolute,to:'2017-04-22T17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83" t="str">
        <f t="shared" si="53"/>
        <v>N</v>
      </c>
      <c r="X180" s="183">
        <f t="shared" si="68"/>
        <v>1</v>
      </c>
      <c r="Y180" s="62">
        <f t="shared" si="54"/>
        <v>0.1021</v>
      </c>
      <c r="Z180" s="62">
        <f t="shared" si="55"/>
        <v>5.8940999999999999</v>
      </c>
      <c r="AA180" s="62">
        <f t="shared" si="56"/>
        <v>5.7919999999999998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1821-22</v>
      </c>
      <c r="AE180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80" s="82" t="str">
        <f t="shared" si="59"/>
        <v>"C:\Program Files (x86)\AstroGrep\AstroGrep.exe" /e /r /s /spath="%USERPROFILE%\AppData\Local\Temp\OnboardLogs" /stypes="app*4014*20170422*" /stext=" 22:.+((SYSTEM_STATE.+slice.+state.+changed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1821-22 --locoid 4014 --swversion DE.1.0.9.0 --startMP 204:1021 --initTime 2017-04-22T16:18:49 --startdatetime 2017-04-22T16:21:17 --delay 1 --endMP 300:58941 --enddatetime 2017-04-22T16:34:50 --enforcementcount 0 &gt;&gt;C:\Users\stu\Documents\GitHub\eaglep3-reporting\EC\2017-04-22-refined-times.txt</v>
      </c>
      <c r="AI180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{"issue":{"subject":"","project_id":79,"tracker_id":40,"status_id":1,"priority_id":2,"assigned_to_id":23,"start_date":"2017-04-22","description":"","custom_fields":[{"id":1,"name":"Subdivision","value":"NW"},{"id":4,"name":"Milepost","value":"5.8941"},{"id":17,"name":"Train ID","value":"1821-22"},{"id":16,"name":"Locomotive ID","value":"4014"},{"id":130,"name":"Impact","value":""},{"id":150,"name":"Time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63"/>
        <v>start /low /b %USERPROFILE%\Documents\GitHub\eaglep3\Utilities\DownloadLogsFromS3.py --loco 4014 --day 2017-04-22</v>
      </c>
      <c r="AN180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3" t="s">
        <v>762</v>
      </c>
      <c r="B181" s="7">
        <v>4013</v>
      </c>
      <c r="C181" s="21" t="s">
        <v>213</v>
      </c>
      <c r="D181" s="21" t="s">
        <v>909</v>
      </c>
      <c r="E181" s="13">
        <v>42847.691921296297</v>
      </c>
      <c r="F181" s="13">
        <v>42847.694293981483</v>
      </c>
      <c r="G181" s="7">
        <v>2</v>
      </c>
      <c r="H181" s="21" t="s">
        <v>522</v>
      </c>
      <c r="I181" s="13">
        <v>42847.704282407409</v>
      </c>
      <c r="J181" s="7">
        <v>0</v>
      </c>
      <c r="K181" s="97" t="str">
        <f t="shared" si="48"/>
        <v>4013/4014</v>
      </c>
      <c r="L181" s="21" t="str">
        <f>VLOOKUP(A181,'Trips&amp;Operators'!$C$1:$G$99999,5,FALSE)</f>
        <v>HELVIE ADAM</v>
      </c>
      <c r="M181" s="6">
        <f t="shared" si="49"/>
        <v>9.9884259252576157E-3</v>
      </c>
      <c r="N181" s="7">
        <f t="shared" si="77"/>
        <v>14.383333332370967</v>
      </c>
      <c r="O181" s="7"/>
      <c r="P181" s="7"/>
      <c r="Q181" s="22"/>
      <c r="R181" s="22"/>
      <c r="S181" s="31">
        <f t="shared" si="50"/>
        <v>1</v>
      </c>
      <c r="T181" s="46" t="str">
        <f t="shared" si="51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2"/>
        <v>https://d0f6bd738d7f1b3e5a7ca70fe4ff75f0.us-east-1.aws.found.io/app/kibana#/discover/Steve-Slow-Train-Analysis-(2080s-and-2083s)?_g=(refreshInterval:(display:Off,pause:!f,section:0,value:0),time:(from:'2017-04-22T15:36:22-0600',mode:absolute,to:'2017-04-22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83" t="str">
        <f t="shared" si="53"/>
        <v>N</v>
      </c>
      <c r="X181" s="183">
        <f t="shared" si="68"/>
        <v>1</v>
      </c>
      <c r="Y181" s="62">
        <f t="shared" si="54"/>
        <v>5.8623000000000003</v>
      </c>
      <c r="Z181" s="62">
        <f t="shared" si="55"/>
        <v>7.0099999999999996E-2</v>
      </c>
      <c r="AA181" s="62">
        <f t="shared" si="56"/>
        <v>5.7922000000000002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1822-22</v>
      </c>
      <c r="AE181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81" s="82" t="str">
        <f t="shared" si="59"/>
        <v>"C:\Program Files (x86)\AstroGrep\AstroGrep.exe" /e /r /s /spath="%USERPROFILE%\AppData\Local\Temp\OnboardLogs" /stypes="app*4013*20170422*" /stext=" 22:.+((SYSTEM_STATE.+slice.+state.+changed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1822-22 --locoid 4013 --swversion DE.1.0.9.0 --startMP 300:58623 --initTime 2017-04-22T16:36:22 --startdatetime 2017-04-22T16:39:47 --delay 2 --endMP 204:701 --enddatetime 2017-04-22T16:54:10 --enforcementcount 0 &gt;&gt;C:\Users\stu\Documents\GitHub\eaglep3-reporting\EC\2017-04-22-refined-times.txt</v>
      </c>
      <c r="AI181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{"issue":{"subject":"","project_id":79,"tracker_id":40,"status_id":1,"priority_id":2,"assigned_to_id":23,"start_date":"2017-04-22","description":"","custom_fields":[{"id":1,"name":"Subdivision","value":"NW"},{"id":4,"name":"Milepost","value":"0.0701"},{"id":17,"name":"Train ID","value":"1822-22"},{"id":16,"name":"Locomotive ID","value":"4013"},{"id":130,"name":"Impact","value":""},{"id":150,"name":"Time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8"/>
      <c r="AL181" s="48"/>
      <c r="AM181" s="150" t="str">
        <f t="shared" si="63"/>
        <v>start /low /b %USERPROFILE%\Documents\GitHub\eaglep3\Utilities\DownloadLogsFromS3.py --loco 4013 --day 2017-04-22</v>
      </c>
      <c r="AN181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3" t="s">
        <v>768</v>
      </c>
      <c r="B182" s="7">
        <v>4014</v>
      </c>
      <c r="C182" s="21" t="s">
        <v>213</v>
      </c>
      <c r="D182" s="21" t="s">
        <v>910</v>
      </c>
      <c r="E182" s="13">
        <v>42847.721655092595</v>
      </c>
      <c r="F182" s="13">
        <v>42847.723078703704</v>
      </c>
      <c r="G182" s="7">
        <v>1</v>
      </c>
      <c r="H182" s="21" t="s">
        <v>485</v>
      </c>
      <c r="I182" s="13">
        <v>42847.732060185182</v>
      </c>
      <c r="J182" s="7">
        <v>0</v>
      </c>
      <c r="K182" s="97" t="str">
        <f t="shared" si="48"/>
        <v>4013/4014</v>
      </c>
      <c r="L182" s="21" t="str">
        <f>VLOOKUP(A182,'Trips&amp;Operators'!$C$1:$G$99999,5,FALSE)</f>
        <v>HELVIE ADAM</v>
      </c>
      <c r="M182" s="6">
        <f t="shared" si="49"/>
        <v>8.9814814782585017E-3</v>
      </c>
      <c r="N182" s="7">
        <f t="shared" si="77"/>
        <v>12.933333328692243</v>
      </c>
      <c r="O182" s="7"/>
      <c r="P182" s="7"/>
      <c r="Q182" s="22"/>
      <c r="R182" s="22"/>
      <c r="S182" s="31">
        <f t="shared" si="50"/>
        <v>1</v>
      </c>
      <c r="T182" s="46" t="str">
        <f t="shared" si="51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2"/>
        <v>https://d0f6bd738d7f1b3e5a7ca70fe4ff75f0.us-east-1.aws.found.io/app/kibana#/discover/Steve-Slow-Train-Analysis-(2080s-and-2083s)?_g=(refreshInterval:(display:Off,pause:!f,section:0,value:0),time:(from:'2017-04-22T16:19:11-0600',mode:absolute,to:'2017-04-22T18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83" t="str">
        <f t="shared" si="53"/>
        <v>N</v>
      </c>
      <c r="X182" s="183">
        <f t="shared" si="68"/>
        <v>1</v>
      </c>
      <c r="Y182" s="62">
        <f t="shared" si="54"/>
        <v>9.9500000000000005E-2</v>
      </c>
      <c r="Z182" s="62">
        <f t="shared" si="55"/>
        <v>5.8939000000000004</v>
      </c>
      <c r="AA182" s="62">
        <f t="shared" si="56"/>
        <v>5.7944000000000004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1823-22</v>
      </c>
      <c r="AE182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82" s="82" t="str">
        <f t="shared" si="59"/>
        <v>"C:\Program Files (x86)\AstroGrep\AstroGrep.exe" /e /r /s /spath="%USERPROFILE%\AppData\Local\Temp\OnboardLogs" /stypes="app*4014*20170422*" /stext=" 23:.+((SYSTEM_STATE.+slice.+state.+changed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1823-22 --locoid 4014 --swversion DE.1.0.9.0 --startMP 204:995 --initTime 2017-04-22T17:19:11 --startdatetime 2017-04-22T17:21:14 --delay 1 --endMP 300:58939 --enddatetime 2017-04-22T17:34:10 --enforcementcount 0 &gt;&gt;C:\Users\stu\Documents\GitHub\eaglep3-reporting\EC\2017-04-22-refined-times.txt</v>
      </c>
      <c r="AI182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{"issue":{"subject":"","project_id":79,"tracker_id":40,"status_id":1,"priority_id":2,"assigned_to_id":23,"start_date":"2017-04-22","description":"","custom_fields":[{"id":1,"name":"Subdivision","value":"NW"},{"id":4,"name":"Milepost","value":"5.8939"},{"id":17,"name":"Train ID","value":"1823-22"},{"id":16,"name":"Locomotive ID","value":"4014"},{"id":130,"name":"Impact","value":""},{"id":150,"name":"Time of Event (Mountain Time)","value":"17:34:10"},{"id":151,"name":"Denver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8"/>
      <c r="AL182" s="48"/>
      <c r="AM182" s="150" t="str">
        <f t="shared" si="63"/>
        <v>start /low /b %USERPROFILE%\Documents\GitHub\eaglep3\Utilities\DownloadLogsFromS3.py --loco 4014 --day 2017-04-22</v>
      </c>
      <c r="AN182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774</v>
      </c>
      <c r="B183" s="7">
        <v>4013</v>
      </c>
      <c r="C183" s="21" t="s">
        <v>213</v>
      </c>
      <c r="D183" s="21" t="s">
        <v>444</v>
      </c>
      <c r="E183" s="13">
        <v>42847.734502314815</v>
      </c>
      <c r="F183" s="13">
        <v>42847.735625000001</v>
      </c>
      <c r="G183" s="7">
        <v>1</v>
      </c>
      <c r="H183" s="21" t="s">
        <v>911</v>
      </c>
      <c r="I183" s="13">
        <v>42847.746041666665</v>
      </c>
      <c r="J183" s="7">
        <v>0</v>
      </c>
      <c r="K183" s="97" t="str">
        <f t="shared" si="48"/>
        <v>4013/4014</v>
      </c>
      <c r="L183" s="21" t="str">
        <f>VLOOKUP(A183,'Trips&amp;Operators'!$C$1:$G$99999,5,FALSE)</f>
        <v>HELVIE ADAM</v>
      </c>
      <c r="M183" s="6">
        <f t="shared" si="49"/>
        <v>1.0416666664241347E-2</v>
      </c>
      <c r="N183" s="7">
        <f t="shared" si="77"/>
        <v>14.99999999650754</v>
      </c>
      <c r="O183" s="7"/>
      <c r="P183" s="7"/>
      <c r="Q183" s="22"/>
      <c r="R183" s="22"/>
      <c r="S183" s="31">
        <f t="shared" si="50"/>
        <v>1</v>
      </c>
      <c r="T183" s="46" t="str">
        <f t="shared" si="51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2"/>
        <v>https://d0f6bd738d7f1b3e5a7ca70fe4ff75f0.us-east-1.aws.found.io/app/kibana#/discover/Steve-Slow-Train-Analysis-(2080s-and-2083s)?_g=(refreshInterval:(display:Off,pause:!f,section:0,value:0),time:(from:'2017-04-22T16:37:41-0600',mode:absolute,to:'2017-04-22T18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83" t="str">
        <f t="shared" si="53"/>
        <v>N</v>
      </c>
      <c r="X183" s="183">
        <f t="shared" si="68"/>
        <v>1</v>
      </c>
      <c r="Y183" s="62">
        <f t="shared" si="54"/>
        <v>5.8620999999999999</v>
      </c>
      <c r="Z183" s="62">
        <f t="shared" si="55"/>
        <v>7.6100000000000001E-2</v>
      </c>
      <c r="AA183" s="62">
        <f t="shared" si="56"/>
        <v>5.7859999999999996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1824-22</v>
      </c>
      <c r="AE183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83" s="82" t="str">
        <f t="shared" si="59"/>
        <v>"C:\Program Files (x86)\AstroGrep\AstroGrep.exe" /e /r /s /spath="%USERPROFILE%\AppData\Local\Temp\OnboardLogs" /stypes="app*4013*20170422*" /stext=" 23:.+((SYSTEM_STATE.+slice.+state.+changed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1824-22 --locoid 4013 --swversion DE.1.0.9.0 --startMP 300:58621 --initTime 2017-04-22T17:37:41 --startdatetime 2017-04-22T17:39:18 --delay 1 --endMP 204:761 --enddatetime 2017-04-22T17:54:18 --enforcementcount 0 &gt;&gt;C:\Users\stu\Documents\GitHub\eaglep3-reporting\EC\2017-04-22-refined-times.txt</v>
      </c>
      <c r="AI183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{"issue":{"subject":"","project_id":79,"tracker_id":40,"status_id":1,"priority_id":2,"assigned_to_id":23,"start_date":"2017-04-22","description":"","custom_fields":[{"id":1,"name":"Subdivision","value":"NW"},{"id":4,"name":"Milepost","value":"0.0761"},{"id":17,"name":"Train ID","value":"1824-22"},{"id":16,"name":"Locomotive ID","value":"4013"},{"id":130,"name":"Impact","value":""},{"id":150,"name":"Time of Event (Mountain Time)","value":"17:54:18"},{"id":151,"name":"Denver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3"/>
        <v>start /low /b %USERPROFILE%\Documents\GitHub\eaglep3\Utilities\DownloadLogsFromS3.py --loco 4013 --day 2017-04-22</v>
      </c>
      <c r="AN183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604</v>
      </c>
      <c r="B184" s="7">
        <v>4014</v>
      </c>
      <c r="C184" s="21" t="s">
        <v>213</v>
      </c>
      <c r="D184" s="21" t="s">
        <v>912</v>
      </c>
      <c r="E184" s="13">
        <v>42847.761597222219</v>
      </c>
      <c r="F184" s="13">
        <v>42847.764965277776</v>
      </c>
      <c r="G184" s="7">
        <v>1</v>
      </c>
      <c r="H184" s="21" t="s">
        <v>913</v>
      </c>
      <c r="I184" s="13">
        <v>42847.773831018516</v>
      </c>
      <c r="J184" s="7">
        <v>0</v>
      </c>
      <c r="K184" s="97" t="str">
        <f t="shared" si="48"/>
        <v>4013/4014</v>
      </c>
      <c r="L184" s="21" t="str">
        <f>VLOOKUP(A184,'Trips&amp;Operators'!$C$1:$G$99999,5,FALSE)</f>
        <v>HELVIE ADAM</v>
      </c>
      <c r="M184" s="6">
        <f t="shared" si="49"/>
        <v>8.8657407395658083E-3</v>
      </c>
      <c r="N184" s="7">
        <f t="shared" si="77"/>
        <v>12.766666664974764</v>
      </c>
      <c r="O184" s="7"/>
      <c r="P184" s="7"/>
      <c r="Q184" s="22"/>
      <c r="R184" s="22"/>
      <c r="S184" s="31">
        <f t="shared" si="50"/>
        <v>1</v>
      </c>
      <c r="T184" s="46" t="str">
        <f t="shared" si="51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2"/>
        <v>https://d0f6bd738d7f1b3e5a7ca70fe4ff75f0.us-east-1.aws.found.io/app/kibana#/discover/Steve-Slow-Train-Analysis-(2080s-and-2083s)?_g=(refreshInterval:(display:Off,pause:!f,section:0,value:0),time:(from:'2017-04-22T17:16:42-0600',mode:absolute,to:'2017-04-22T19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183" t="str">
        <f t="shared" si="53"/>
        <v>N</v>
      </c>
      <c r="X184" s="183">
        <f t="shared" si="68"/>
        <v>1</v>
      </c>
      <c r="Y184" s="62">
        <f t="shared" si="54"/>
        <v>0.1041</v>
      </c>
      <c r="Z184" s="62">
        <f t="shared" si="55"/>
        <v>5.8943000000000003</v>
      </c>
      <c r="AA184" s="62">
        <f t="shared" si="56"/>
        <v>5.7902000000000005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1825-22</v>
      </c>
      <c r="AE184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84" s="82" t="str">
        <f t="shared" si="59"/>
        <v>"C:\Program Files (x86)\AstroGrep\AstroGrep.exe" /e /r /s /spath="%USERPROFILE%\AppData\Local\Temp\OnboardLogs" /stypes="app*4014*20170423*" /stext=" 00:.+((SYSTEM_STATE.+slice.+state.+changed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1825-22 --locoid 4014 --swversion DE.1.0.9.0 --startMP 204:1041 --initTime 2017-04-22T18:16:42 --startdatetime 2017-04-22T18:21:33 --delay 1 --endMP 300:58943 --enddatetime 2017-04-22T18:34:19 --enforcementcount 0 &gt;&gt;C:\Users\stu\Documents\GitHub\eaglep3-reporting\EC\2017-04-22-refined-times.txt</v>
      </c>
      <c r="AI184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{"issue":{"subject":"","project_id":79,"tracker_id":40,"status_id":1,"priority_id":2,"assigned_to_id":23,"start_date":"2017-04-22","description":"","custom_fields":[{"id":1,"name":"Subdivision","value":"NW"},{"id":4,"name":"Milepost","value":"5.8943"},{"id":17,"name":"Train ID","value":"1825-22"},{"id":16,"name":"Locomotive ID","value":"4014"},{"id":130,"name":"Impact","value":""},{"id":150,"name":"Time of Event (Mountain Time)","value":"18:34:19"},{"id":151,"name":"Denver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3"/>
        <v>start /low /b %USERPROFILE%\Documents\GitHub\eaglep3\Utilities\DownloadLogsFromS3.py --loco 4014 --day 2017-04-22</v>
      </c>
      <c r="AN184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605</v>
      </c>
      <c r="B185" s="7">
        <v>4013</v>
      </c>
      <c r="C185" s="21" t="s">
        <v>213</v>
      </c>
      <c r="D185" s="21" t="s">
        <v>907</v>
      </c>
      <c r="E185" s="13">
        <v>42847.775358796294</v>
      </c>
      <c r="F185" s="13">
        <v>42847.778078703705</v>
      </c>
      <c r="G185" s="7">
        <v>1</v>
      </c>
      <c r="H185" s="21" t="s">
        <v>911</v>
      </c>
      <c r="I185" s="13">
        <v>42847.787372685183</v>
      </c>
      <c r="J185" s="7">
        <v>0</v>
      </c>
      <c r="K185" s="97" t="str">
        <f t="shared" si="48"/>
        <v>4013/4014</v>
      </c>
      <c r="L185" s="21" t="str">
        <f>VLOOKUP(A185,'Trips&amp;Operators'!$C$1:$G$99999,5,FALSE)</f>
        <v>HELVIE ADAM</v>
      </c>
      <c r="M185" s="6">
        <f t="shared" si="49"/>
        <v>9.29398147854954E-3</v>
      </c>
      <c r="N185" s="7">
        <f t="shared" si="77"/>
        <v>13.383333329111338</v>
      </c>
      <c r="O185" s="7"/>
      <c r="P185" s="7"/>
      <c r="Q185" s="22"/>
      <c r="R185" s="22"/>
      <c r="S185" s="31">
        <f t="shared" si="50"/>
        <v>1</v>
      </c>
      <c r="T185" s="46" t="str">
        <f t="shared" si="51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2"/>
        <v>https://d0f6bd738d7f1b3e5a7ca70fe4ff75f0.us-east-1.aws.found.io/app/kibana#/discover/Steve-Slow-Train-Analysis-(2080s-and-2083s)?_g=(refreshInterval:(display:Off,pause:!f,section:0,value:0),time:(from:'2017-04-22T17:36:31-0600',mode:absolute,to:'2017-04-22T19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183" t="str">
        <f t="shared" si="53"/>
        <v>N</v>
      </c>
      <c r="X185" s="183">
        <f t="shared" si="68"/>
        <v>1</v>
      </c>
      <c r="Y185" s="62">
        <f t="shared" si="54"/>
        <v>5.8619000000000003</v>
      </c>
      <c r="Z185" s="62">
        <f t="shared" si="55"/>
        <v>7.6100000000000001E-2</v>
      </c>
      <c r="AA185" s="62">
        <f t="shared" si="56"/>
        <v>5.7858000000000001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1826-22</v>
      </c>
      <c r="AE185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85" s="82" t="str">
        <f t="shared" si="59"/>
        <v>"C:\Program Files (x86)\AstroGrep\AstroGrep.exe" /e /r /s /spath="%USERPROFILE%\AppData\Local\Temp\OnboardLogs" /stypes="app*4013*20170423*" /stext=" 00:.+((SYSTEM_STATE.+slice.+state.+changed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1826-22 --locoid 4013 --swversion DE.1.0.9.0 --startMP 300:58619 --initTime 2017-04-22T18:36:31 --startdatetime 2017-04-22T18:40:26 --delay 1 --endMP 204:761 --enddatetime 2017-04-22T18:53:49 --enforcementcount 0 &gt;&gt;C:\Users\stu\Documents\GitHub\eaglep3-reporting\EC\2017-04-22-refined-times.txt</v>
      </c>
      <c r="AI185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{"issue":{"subject":"","project_id":79,"tracker_id":40,"status_id":1,"priority_id":2,"assigned_to_id":23,"start_date":"2017-04-22","description":"","custom_fields":[{"id":1,"name":"Subdivision","value":"NW"},{"id":4,"name":"Milepost","value":"0.0761"},{"id":17,"name":"Train ID","value":"1826-22"},{"id":16,"name":"Locomotive ID","value":"4013"},{"id":130,"name":"Impact","value":""},{"id":150,"name":"Time of Event (Mountain Time)","value":"18:53:49"},{"id":151,"name":"Denver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3"/>
        <v>start /low /b %USERPROFILE%\Documents\GitHub\eaglep3\Utilities\DownloadLogsFromS3.py --loco 4013 --day 2017-04-22</v>
      </c>
      <c r="AN185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792</v>
      </c>
      <c r="B186" s="7">
        <v>4014</v>
      </c>
      <c r="C186" s="21" t="s">
        <v>213</v>
      </c>
      <c r="D186" s="21" t="s">
        <v>914</v>
      </c>
      <c r="E186" s="13">
        <v>42847.804594907408</v>
      </c>
      <c r="F186" s="13">
        <v>42847.806469907409</v>
      </c>
      <c r="G186" s="7">
        <v>0</v>
      </c>
      <c r="H186" s="21" t="s">
        <v>904</v>
      </c>
      <c r="I186" s="13">
        <v>42847.815104166664</v>
      </c>
      <c r="J186" s="7">
        <v>0</v>
      </c>
      <c r="K186" s="97" t="str">
        <f t="shared" si="48"/>
        <v>4013/4014</v>
      </c>
      <c r="L186" s="21" t="str">
        <f>VLOOKUP(A186,'Trips&amp;Operators'!$C$1:$G$99999,5,FALSE)</f>
        <v>HELVIE ADAM</v>
      </c>
      <c r="M186" s="6">
        <f t="shared" si="49"/>
        <v>8.6342592549044639E-3</v>
      </c>
      <c r="N186" s="7">
        <f t="shared" si="77"/>
        <v>12.433333327062428</v>
      </c>
      <c r="O186" s="7"/>
      <c r="P186" s="7"/>
      <c r="Q186" s="22"/>
      <c r="R186" s="22"/>
      <c r="S186" s="31">
        <f t="shared" si="50"/>
        <v>1</v>
      </c>
      <c r="T186" s="46" t="str">
        <f t="shared" si="51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2"/>
        <v>https://d0f6bd738d7f1b3e5a7ca70fe4ff75f0.us-east-1.aws.found.io/app/kibana#/discover/Steve-Slow-Train-Analysis-(2080s-and-2083s)?_g=(refreshInterval:(display:Off,pause:!f,section:0,value:0),time:(from:'2017-04-22T18:18:37-0600',mode:absolute,to:'2017-04-22T20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83" t="str">
        <f t="shared" si="53"/>
        <v>N</v>
      </c>
      <c r="X186" s="183">
        <f t="shared" si="68"/>
        <v>1</v>
      </c>
      <c r="Y186" s="62">
        <f t="shared" si="54"/>
        <v>0.10299999999999999</v>
      </c>
      <c r="Z186" s="62">
        <f t="shared" si="55"/>
        <v>5.8940999999999999</v>
      </c>
      <c r="AA186" s="62">
        <f t="shared" si="56"/>
        <v>5.7911000000000001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1827-22</v>
      </c>
      <c r="AE186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86" s="82" t="str">
        <f t="shared" si="59"/>
        <v>"C:\Program Files (x86)\AstroGrep\AstroGrep.exe" /e /r /s /spath="%USERPROFILE%\AppData\Local\Temp\OnboardLogs" /stypes="app*4014*20170423*" /stext=" 01:.+((SYSTEM_STATE.+slice.+state.+changed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1827-22 --locoid 4014 --swversion DE.1.0.9.0 --startMP 204:1030 --initTime 2017-04-22T19:18:37 --startdatetime 2017-04-22T19:21:19 --delay 0 --endMP 300:58941 --enddatetime 2017-04-22T19:33:45 --enforcementcount 0 &gt;&gt;C:\Users\stu\Documents\GitHub\eaglep3-reporting\EC\2017-04-22-refined-times.txt</v>
      </c>
      <c r="AI186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{"issue":{"subject":"","project_id":79,"tracker_id":40,"status_id":1,"priority_id":2,"assigned_to_id":23,"start_date":"2017-04-22","description":"","custom_fields":[{"id":1,"name":"Subdivision","value":"NW"},{"id":4,"name":"Milepost","value":"5.8941"},{"id":17,"name":"Train ID","value":"1827-22"},{"id":16,"name":"Locomotive ID","value":"4014"},{"id":130,"name":"Impact","value":""},{"id":150,"name":"Time of Event (Mountain Time)","value":"19:33:45"},{"id":151,"name":"Denver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3"/>
        <v>start /low /b %USERPROFILE%\Documents\GitHub\eaglep3\Utilities\DownloadLogsFromS3.py --loco 4014 --day 2017-04-22</v>
      </c>
      <c r="AN186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794</v>
      </c>
      <c r="B187" s="7">
        <v>4013</v>
      </c>
      <c r="C187" s="21" t="s">
        <v>213</v>
      </c>
      <c r="D187" s="21" t="s">
        <v>430</v>
      </c>
      <c r="E187" s="13">
        <v>42847.816967592589</v>
      </c>
      <c r="F187" s="13">
        <v>42847.820335648146</v>
      </c>
      <c r="G187" s="7">
        <v>1</v>
      </c>
      <c r="H187" s="21" t="s">
        <v>581</v>
      </c>
      <c r="I187" s="13">
        <v>42847.828923611109</v>
      </c>
      <c r="J187" s="7">
        <v>0</v>
      </c>
      <c r="K187" s="97" t="str">
        <f t="shared" si="48"/>
        <v>4013/4014</v>
      </c>
      <c r="L187" s="21" t="str">
        <f>VLOOKUP(A187,'Trips&amp;Operators'!$C$1:$G$99999,5,FALSE)</f>
        <v>HELVIE ADAM</v>
      </c>
      <c r="M187" s="6">
        <f t="shared" si="49"/>
        <v>8.5879629623377696E-3</v>
      </c>
      <c r="N187" s="7">
        <f t="shared" si="77"/>
        <v>12.366666665766388</v>
      </c>
      <c r="O187" s="7"/>
      <c r="P187" s="7"/>
      <c r="Q187" s="22"/>
      <c r="R187" s="22"/>
      <c r="S187" s="31">
        <f t="shared" si="50"/>
        <v>1</v>
      </c>
      <c r="T187" s="46" t="str">
        <f t="shared" si="51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2"/>
        <v>https://d0f6bd738d7f1b3e5a7ca70fe4ff75f0.us-east-1.aws.found.io/app/kibana#/discover/Steve-Slow-Train-Analysis-(2080s-and-2083s)?_g=(refreshInterval:(display:Off,pause:!f,section:0,value:0),time:(from:'2017-04-22T18:36:26-0600',mode:absolute,to:'2017-04-22T20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83" t="str">
        <f t="shared" si="53"/>
        <v>N</v>
      </c>
      <c r="X187" s="183">
        <f t="shared" si="68"/>
        <v>1</v>
      </c>
      <c r="Y187" s="62">
        <f t="shared" si="54"/>
        <v>5.8630000000000004</v>
      </c>
      <c r="Z187" s="62">
        <f t="shared" si="55"/>
        <v>7.17E-2</v>
      </c>
      <c r="AA187" s="62">
        <f t="shared" si="56"/>
        <v>5.7913000000000006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1828-22</v>
      </c>
      <c r="AE187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87" s="82" t="str">
        <f t="shared" si="59"/>
        <v>"C:\Program Files (x86)\AstroGrep\AstroGrep.exe" /e /r /s /spath="%USERPROFILE%\AppData\Local\Temp\OnboardLogs" /stypes="app*4013*20170423*" /stext=" 01:.+((SYSTEM_STATE.+slice.+state.+changed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1828-22 --locoid 4013 --swversion DE.1.0.9.0 --startMP 300:58630 --initTime 2017-04-22T19:36:26 --startdatetime 2017-04-22T19:41:17 --delay 1 --endMP 204:717 --enddatetime 2017-04-22T19:53:39 --enforcementcount 0 &gt;&gt;C:\Users\stu\Documents\GitHub\eaglep3-reporting\EC\2017-04-22-refined-times.txt</v>
      </c>
      <c r="AI187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{"issue":{"subject":"","project_id":79,"tracker_id":40,"status_id":1,"priority_id":2,"assigned_to_id":23,"start_date":"2017-04-22","description":"","custom_fields":[{"id":1,"name":"Subdivision","value":"NW"},{"id":4,"name":"Milepost","value":"0.0717"},{"id":17,"name":"Train ID","value":"1828-22"},{"id":16,"name":"Locomotive ID","value":"4013"},{"id":130,"name":"Impact","value":""},{"id":150,"name":"Time of Event (Mountain Time)","value":"19:53:39"},{"id":151,"name":"Denver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3"/>
        <v>start /low /b %USERPROFILE%\Documents\GitHub\eaglep3\Utilities\DownloadLogsFromS3.py --loco 4013 --day 2017-04-22</v>
      </c>
      <c r="AN187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797</v>
      </c>
      <c r="B188" s="7">
        <v>4014</v>
      </c>
      <c r="C188" s="21" t="s">
        <v>213</v>
      </c>
      <c r="D188" s="21" t="s">
        <v>915</v>
      </c>
      <c r="E188" s="13">
        <v>42847.845729166664</v>
      </c>
      <c r="F188" s="13">
        <v>42847.84814814815</v>
      </c>
      <c r="G188" s="7">
        <v>1</v>
      </c>
      <c r="H188" s="21" t="s">
        <v>916</v>
      </c>
      <c r="I188" s="13">
        <v>42847.85765046296</v>
      </c>
      <c r="J188" s="7">
        <v>0</v>
      </c>
      <c r="K188" s="97" t="str">
        <f t="shared" si="48"/>
        <v>4013/4014</v>
      </c>
      <c r="L188" s="21" t="str">
        <f>VLOOKUP(A188,'Trips&amp;Operators'!$C$1:$G$99999,5,FALSE)</f>
        <v>PERKINS DARREN</v>
      </c>
      <c r="M188" s="6">
        <f t="shared" si="49"/>
        <v>9.5023148096515797E-3</v>
      </c>
      <c r="N188" s="7">
        <f t="shared" si="77"/>
        <v>13.683333325898275</v>
      </c>
      <c r="O188" s="7"/>
      <c r="P188" s="7"/>
      <c r="Q188" s="22"/>
      <c r="R188" s="22"/>
      <c r="S188" s="31">
        <f t="shared" si="50"/>
        <v>1</v>
      </c>
      <c r="T188" s="46" t="str">
        <f t="shared" si="51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2"/>
        <v>https://d0f6bd738d7f1b3e5a7ca70fe4ff75f0.us-east-1.aws.found.io/app/kibana#/discover/Steve-Slow-Train-Analysis-(2080s-and-2083s)?_g=(refreshInterval:(display:Off,pause:!f,section:0,value:0),time:(from:'2017-04-22T19:17:51-0600',mode:absolute,to:'2017-04-22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183" t="str">
        <f t="shared" si="53"/>
        <v>N</v>
      </c>
      <c r="X188" s="183">
        <f t="shared" si="68"/>
        <v>1</v>
      </c>
      <c r="Y188" s="62">
        <f t="shared" si="54"/>
        <v>0.10059999999999999</v>
      </c>
      <c r="Z188" s="62">
        <f t="shared" si="55"/>
        <v>5.8914</v>
      </c>
      <c r="AA188" s="62">
        <f t="shared" si="56"/>
        <v>5.7907999999999999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1829-22</v>
      </c>
      <c r="AE188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88" s="82" t="str">
        <f t="shared" si="59"/>
        <v>"C:\Program Files (x86)\AstroGrep\AstroGrep.exe" /e /r /s /spath="%USERPROFILE%\AppData\Local\Temp\OnboardLogs" /stypes="app*4014*20170423*" /stext=" 02:.+((SYSTEM_STATE.+slice.+state.+changed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1829-22 --locoid 4014 --swversion DE.1.0.9.0 --startMP 204:1006 --initTime 2017-04-22T20:17:51 --startdatetime 2017-04-22T20:21:20 --delay 1 --endMP 300:58914 --enddatetime 2017-04-22T20:35:01 --enforcementcount 0 &gt;&gt;C:\Users\stu\Documents\GitHub\eaglep3-reporting\EC\2017-04-22-refined-times.txt</v>
      </c>
      <c r="AI188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{"issue":{"subject":"","project_id":79,"tracker_id":40,"status_id":1,"priority_id":2,"assigned_to_id":23,"start_date":"2017-04-22","description":"","custom_fields":[{"id":1,"name":"Subdivision","value":"NW"},{"id":4,"name":"Milepost","value":"5.8914"},{"id":17,"name":"Train ID","value":"1829-22"},{"id":16,"name":"Locomotive ID","value":"4014"},{"id":130,"name":"Impact","value":""},{"id":150,"name":"Time of Event (Mountain Time)","value":"20:35:01"},{"id":151,"name":"Denver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63"/>
        <v>start /low /b %USERPROFILE%\Documents\GitHub\eaglep3\Utilities\DownloadLogsFromS3.py --loco 4014 --day 2017-04-22</v>
      </c>
      <c r="AN188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799</v>
      </c>
      <c r="B189" s="7">
        <v>4013</v>
      </c>
      <c r="C189" s="21" t="s">
        <v>213</v>
      </c>
      <c r="D189" s="21" t="s">
        <v>917</v>
      </c>
      <c r="E189" s="13">
        <v>42847.858807870369</v>
      </c>
      <c r="F189" s="13">
        <v>42847.860243055555</v>
      </c>
      <c r="G189" s="7">
        <v>1</v>
      </c>
      <c r="H189" s="21" t="s">
        <v>580</v>
      </c>
      <c r="I189" s="13">
        <v>42847.87158564815</v>
      </c>
      <c r="J189" s="7">
        <v>0</v>
      </c>
      <c r="K189" s="97" t="str">
        <f t="shared" si="48"/>
        <v>4013/4014</v>
      </c>
      <c r="L189" s="21" t="str">
        <f>VLOOKUP(A189,'Trips&amp;Operators'!$C$1:$G$99999,5,FALSE)</f>
        <v>PERKINS DARREN</v>
      </c>
      <c r="M189" s="6">
        <f t="shared" si="49"/>
        <v>1.1342592595610768E-2</v>
      </c>
      <c r="N189" s="7">
        <f t="shared" si="77"/>
        <v>16.333333337679505</v>
      </c>
      <c r="O189" s="7"/>
      <c r="P189" s="7"/>
      <c r="Q189" s="22"/>
      <c r="R189" s="22"/>
      <c r="S189" s="31">
        <f t="shared" si="50"/>
        <v>1</v>
      </c>
      <c r="T189" s="46" t="str">
        <f t="shared" si="51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2"/>
        <v>https://d0f6bd738d7f1b3e5a7ca70fe4ff75f0.us-east-1.aws.found.io/app/kibana#/discover/Steve-Slow-Train-Analysis-(2080s-and-2083s)?_g=(refreshInterval:(display:Off,pause:!f,section:0,value:0),time:(from:'2017-04-22T19:36:41-0600',mode:absolute,to:'2017-04-22T21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183" t="str">
        <f t="shared" si="53"/>
        <v>N</v>
      </c>
      <c r="X189" s="183">
        <f t="shared" si="68"/>
        <v>1</v>
      </c>
      <c r="Y189" s="62">
        <f t="shared" si="54"/>
        <v>5.8601999999999999</v>
      </c>
      <c r="Z189" s="62">
        <f t="shared" si="55"/>
        <v>7.3300000000000004E-2</v>
      </c>
      <c r="AA189" s="62">
        <f t="shared" si="56"/>
        <v>5.7869000000000002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1830-22</v>
      </c>
      <c r="AE189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89" s="82" t="str">
        <f t="shared" si="59"/>
        <v>"C:\Program Files (x86)\AstroGrep\AstroGrep.exe" /e /r /s /spath="%USERPROFILE%\AppData\Local\Temp\OnboardLogs" /stypes="app*4013*20170423*" /stext=" 02:.+((SYSTEM_STATE.+slice.+state.+changed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1830-22 --locoid 4013 --swversion DE.1.0.9.0 --startMP 300:58602 --initTime 2017-04-22T20:36:41 --startdatetime 2017-04-22T20:38:45 --delay 1 --endMP 204:733 --enddatetime 2017-04-22T20:55:05 --enforcementcount 0 &gt;&gt;C:\Users\stu\Documents\GitHub\eaglep3-reporting\EC\2017-04-22-refined-times.txt</v>
      </c>
      <c r="AI189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{"issue":{"subject":"","project_id":79,"tracker_id":40,"status_id":1,"priority_id":2,"assigned_to_id":23,"start_date":"2017-04-22","description":"","custom_fields":[{"id":1,"name":"Subdivision","value":"NW"},{"id":4,"name":"Milepost","value":"0.0733"},{"id":17,"name":"Train ID","value":"1830-22"},{"id":16,"name":"Locomotive ID","value":"4013"},{"id":130,"name":"Impact","value":""},{"id":150,"name":"Time of Event (Mountain Time)","value":"20:55:05"},{"id":151,"name":"Denver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3"/>
        <v>start /low /b %USERPROFILE%\Documents\GitHub\eaglep3\Utilities\DownloadLogsFromS3.py --loco 4013 --day 2017-04-22</v>
      </c>
      <c r="AN189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803</v>
      </c>
      <c r="B190" s="7">
        <v>4014</v>
      </c>
      <c r="C190" s="21" t="s">
        <v>213</v>
      </c>
      <c r="D190" s="21" t="s">
        <v>902</v>
      </c>
      <c r="E190" s="13">
        <v>42847.888321759259</v>
      </c>
      <c r="F190" s="13">
        <v>42847.890543981484</v>
      </c>
      <c r="G190" s="7">
        <v>1</v>
      </c>
      <c r="H190" s="21" t="s">
        <v>485</v>
      </c>
      <c r="I190" s="13">
        <v>42847.899456018517</v>
      </c>
      <c r="J190" s="7">
        <v>0</v>
      </c>
      <c r="K190" s="97" t="str">
        <f t="shared" si="48"/>
        <v>4013/4014</v>
      </c>
      <c r="L190" s="21" t="str">
        <f>VLOOKUP(A190,'Trips&amp;Operators'!$C$1:$G$99999,5,FALSE)</f>
        <v>HELVIE ADAM</v>
      </c>
      <c r="M190" s="6">
        <f t="shared" si="49"/>
        <v>8.9120370321325026E-3</v>
      </c>
      <c r="N190" s="7">
        <f t="shared" si="77"/>
        <v>12.833333326270804</v>
      </c>
      <c r="O190" s="7"/>
      <c r="P190" s="7"/>
      <c r="Q190" s="22"/>
      <c r="R190" s="22"/>
      <c r="S190" s="31">
        <f t="shared" si="50"/>
        <v>1</v>
      </c>
      <c r="T190" s="46" t="str">
        <f t="shared" si="51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2"/>
        <v>https://d0f6bd738d7f1b3e5a7ca70fe4ff75f0.us-east-1.aws.found.io/app/kibana#/discover/Steve-Slow-Train-Analysis-(2080s-and-2083s)?_g=(refreshInterval:(display:Off,pause:!f,section:0,value:0),time:(from:'2017-04-22T20:19:11-0600',mode:absolute,to:'2017-04-22T22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183" t="str">
        <f t="shared" si="53"/>
        <v>N</v>
      </c>
      <c r="X190" s="183">
        <f t="shared" si="68"/>
        <v>1</v>
      </c>
      <c r="Y190" s="62">
        <f t="shared" si="54"/>
        <v>0.1023</v>
      </c>
      <c r="Z190" s="62">
        <f t="shared" si="55"/>
        <v>5.8939000000000004</v>
      </c>
      <c r="AA190" s="62">
        <f t="shared" si="56"/>
        <v>5.7916000000000007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1831-22</v>
      </c>
      <c r="AE190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90" s="82" t="str">
        <f t="shared" si="59"/>
        <v>"C:\Program Files (x86)\AstroGrep\AstroGrep.exe" /e /r /s /spath="%USERPROFILE%\AppData\Local\Temp\OnboardLogs" /stypes="app*4014*20170423*" /stext=" 03:.+((SYSTEM_STATE.+slice.+state.+changed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1831-22 --locoid 4014 --swversion DE.1.0.9.0 --startMP 204:1023 --initTime 2017-04-22T21:19:11 --startdatetime 2017-04-22T21:22:23 --delay 1 --endMP 300:58939 --enddatetime 2017-04-22T21:35:13 --enforcementcount 0 &gt;&gt;C:\Users\stu\Documents\GitHub\eaglep3-reporting\EC\2017-04-22-refined-times.txt</v>
      </c>
      <c r="AI190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{"issue":{"subject":"","project_id":79,"tracker_id":40,"status_id":1,"priority_id":2,"assigned_to_id":23,"start_date":"2017-04-22","description":"","custom_fields":[{"id":1,"name":"Subdivision","value":"NW"},{"id":4,"name":"Milepost","value":"5.8939"},{"id":17,"name":"Train ID","value":"1831-22"},{"id":16,"name":"Locomotive ID","value":"4014"},{"id":130,"name":"Impact","value":""},{"id":150,"name":"Time of Event (Mountain Time)","value":"21:35:13"},{"id":151,"name":"Denver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3"/>
        <v>start /low /b %USERPROFILE%\Documents\GitHub\eaglep3\Utilities\DownloadLogsFromS3.py --loco 4014 --day 2017-04-22</v>
      </c>
      <c r="AN190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806</v>
      </c>
      <c r="B191" s="7">
        <v>4013</v>
      </c>
      <c r="C191" s="21" t="s">
        <v>213</v>
      </c>
      <c r="D191" s="21" t="s">
        <v>521</v>
      </c>
      <c r="E191" s="13">
        <v>42847.901238425926</v>
      </c>
      <c r="F191" s="13">
        <v>42847.903738425928</v>
      </c>
      <c r="G191" s="7">
        <v>1</v>
      </c>
      <c r="H191" s="21" t="s">
        <v>918</v>
      </c>
      <c r="I191" s="13">
        <v>42847.912222222221</v>
      </c>
      <c r="J191" s="7">
        <v>0</v>
      </c>
      <c r="K191" s="97" t="str">
        <f t="shared" si="48"/>
        <v>4013/4014</v>
      </c>
      <c r="L191" s="21" t="str">
        <f>VLOOKUP(A191,'Trips&amp;Operators'!$C$1:$G$99999,5,FALSE)</f>
        <v>HELVIE ADAM</v>
      </c>
      <c r="M191" s="6">
        <f t="shared" si="49"/>
        <v>8.4837962931487709E-3</v>
      </c>
      <c r="N191" s="7">
        <f t="shared" si="77"/>
        <v>12.21666666213423</v>
      </c>
      <c r="O191" s="7"/>
      <c r="P191" s="7"/>
      <c r="Q191" s="22"/>
      <c r="R191" s="22"/>
      <c r="S191" s="31">
        <f t="shared" si="50"/>
        <v>1</v>
      </c>
      <c r="T191" s="46" t="str">
        <f t="shared" si="51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2"/>
        <v>https://d0f6bd738d7f1b3e5a7ca70fe4ff75f0.us-east-1.aws.found.io/app/kibana#/discover/Steve-Slow-Train-Analysis-(2080s-and-2083s)?_g=(refreshInterval:(display:Off,pause:!f,section:0,value:0),time:(from:'2017-04-22T20:37:47-0600',mode:absolute,to:'2017-04-22T22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183" t="str">
        <f t="shared" si="53"/>
        <v>N</v>
      </c>
      <c r="X191" s="183">
        <f t="shared" si="68"/>
        <v>1</v>
      </c>
      <c r="Y191" s="62">
        <f t="shared" si="54"/>
        <v>5.8625999999999996</v>
      </c>
      <c r="Z191" s="62">
        <f t="shared" si="55"/>
        <v>8.0399999999999999E-2</v>
      </c>
      <c r="AA191" s="62">
        <f t="shared" si="56"/>
        <v>5.7821999999999996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1832-22</v>
      </c>
      <c r="AE191" s="85" t="str">
        <f t="shared" si="58"/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191" s="82" t="str">
        <f t="shared" si="59"/>
        <v>"C:\Program Files (x86)\AstroGrep\AstroGrep.exe" /e /r /s /spath="%USERPROFILE%\AppData\Local\Temp\OnboardLogs" /stypes="app*4013*20170423*" /stext=" 03:.+((SYSTEM_STATE.+slice.+state.+changed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1832-22 --locoid 4013 --swversion DE.1.0.9.0 --startMP 300:58626 --initTime 2017-04-22T21:37:47 --startdatetime 2017-04-22T21:41:23 --delay 1 --endMP 204:804 --enddatetime 2017-04-22T21:53:36 --enforcementcount 0 &gt;&gt;C:\Users\stu\Documents\GitHub\eaglep3-reporting\EC\2017-04-22-refined-times.txt</v>
      </c>
      <c r="AI191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{"issue":{"subject":"","project_id":79,"tracker_id":40,"status_id":1,"priority_id":2,"assigned_to_id":23,"start_date":"2017-04-22","description":"","custom_fields":[{"id":1,"name":"Subdivision","value":"NW"},{"id":4,"name":"Milepost","value":"0.0804"},{"id":17,"name":"Train ID","value":"1832-22"},{"id":16,"name":"Locomotive ID","value":"4013"},{"id":130,"name":"Impact","value":""},{"id":150,"name":"Time of Event (Mountain Time)","value":"21:53:36"},{"id":151,"name":"Denver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3"/>
        <v>start /low /b %USERPROFILE%\Documents\GitHub\eaglep3\Utilities\DownloadLogsFromS3.py --loco 4013 --day 2017-04-22</v>
      </c>
      <c r="AN191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03:53:36"},{"id":29,"name":"Sharepoint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807</v>
      </c>
      <c r="B192" s="7">
        <v>4014</v>
      </c>
      <c r="C192" s="21" t="s">
        <v>213</v>
      </c>
      <c r="D192" s="21" t="s">
        <v>919</v>
      </c>
      <c r="E192" s="13">
        <v>42847.924953703703</v>
      </c>
      <c r="F192" s="13">
        <v>42847.931458333333</v>
      </c>
      <c r="G192" s="7">
        <v>1</v>
      </c>
      <c r="H192" s="21" t="s">
        <v>920</v>
      </c>
      <c r="I192" s="13">
        <v>42847.940960648149</v>
      </c>
      <c r="J192" s="7">
        <v>0</v>
      </c>
      <c r="K192" s="97" t="str">
        <f t="shared" si="48"/>
        <v>4013/4014</v>
      </c>
      <c r="L192" s="21" t="str">
        <f>VLOOKUP(A192,'Trips&amp;Operators'!$C$1:$G$99999,5,FALSE)</f>
        <v>HELVIE ADAM</v>
      </c>
      <c r="M192" s="6">
        <f t="shared" si="49"/>
        <v>9.5023148169275373E-3</v>
      </c>
      <c r="N192" s="7">
        <f t="shared" si="77"/>
        <v>13.683333336375654</v>
      </c>
      <c r="O192" s="7"/>
      <c r="P192" s="7"/>
      <c r="Q192" s="22"/>
      <c r="R192" s="22"/>
      <c r="S192" s="31">
        <f t="shared" si="50"/>
        <v>1</v>
      </c>
      <c r="T192" s="46" t="str">
        <f t="shared" si="51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2"/>
        <v>https://d0f6bd738d7f1b3e5a7ca70fe4ff75f0.us-east-1.aws.found.io/app/kibana#/discover/Steve-Slow-Train-Analysis-(2080s-and-2083s)?_g=(refreshInterval:(display:Off,pause:!f,section:0,value:0),time:(from:'2017-04-22T21:11:56-0600',mode:absolute,to:'2017-04-22T23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183" t="str">
        <f t="shared" si="53"/>
        <v>N</v>
      </c>
      <c r="X192" s="183">
        <f t="shared" si="68"/>
        <v>1</v>
      </c>
      <c r="Y192" s="62">
        <f t="shared" si="54"/>
        <v>0.11</v>
      </c>
      <c r="Z192" s="62">
        <f t="shared" si="55"/>
        <v>5.8917999999999999</v>
      </c>
      <c r="AA192" s="62">
        <f t="shared" si="56"/>
        <v>5.7817999999999996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1833-22</v>
      </c>
      <c r="AE192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192" s="82" t="str">
        <f t="shared" si="59"/>
        <v>"C:\Program Files (x86)\AstroGrep\AstroGrep.exe" /e /r /s /spath="%USERPROFILE%\AppData\Local\Temp\OnboardLogs" /stypes="app*4014*20170423*" /stext=" 04:.+((SYSTEM_STATE.+slice.+state.+changed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1833-22 --locoid 4014 --swversion DE.1.0.9.0 --startMP 204:1100 --initTime 2017-04-22T22:11:56 --startdatetime 2017-04-22T22:21:18 --delay 1 --endMP 300:58918 --enddatetime 2017-04-22T22:34:59 --enforcementcount 0 &gt;&gt;C:\Users\stu\Documents\GitHub\eaglep3-reporting\EC\2017-04-22-refined-times.txt</v>
      </c>
      <c r="AI192" s="104" t="str">
        <f t="shared" si="62"/>
        <v>echo {"issue":{"subject":"","project_id":79,"tracker_id":40,"status_id":1,"priority_id":2,"assigned_to_id":23,"start_date":"2017-04-22","description":"","custom_fields":[{"id":1,"name":"Subdivision","value":"NW"},{"id":4,"name":"Milepost","value":"5.8918"},{"id":17,"name":"Train ID","value":"1833-22"},{"id":16,"name":"Locomotive ID","value":"4014"},{"id":130,"name":"Impact","value":""},{"id":150,"name":"Time of Event (Mountain Time)","value":"22:34:59"},{"id":151,"name":"Denver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3"/>
        <v>start /low /b %USERPROFILE%\Documents\GitHub\eaglep3\Utilities\DownloadLogsFromS3.py --loco 4014 --day 2017-04-22</v>
      </c>
      <c r="AN192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3" t="s">
        <v>620</v>
      </c>
      <c r="B193" s="7">
        <v>4021</v>
      </c>
      <c r="C193" s="21" t="s">
        <v>213</v>
      </c>
      <c r="D193" s="21" t="s">
        <v>961</v>
      </c>
      <c r="E193" s="13">
        <v>42847.120254629626</v>
      </c>
      <c r="F193" s="13">
        <v>42847.123993055553</v>
      </c>
      <c r="G193" s="7">
        <v>5</v>
      </c>
      <c r="H193" s="21" t="s">
        <v>881</v>
      </c>
      <c r="I193" s="13">
        <v>42847.129687499997</v>
      </c>
      <c r="J193" s="7">
        <v>0</v>
      </c>
      <c r="K193" s="97" t="str">
        <f t="shared" si="48"/>
        <v>4021/4022</v>
      </c>
      <c r="L193" s="21" t="str">
        <f>VLOOKUP(A193,'Trips&amp;Operators'!$C$1:$G$99999,5,FALSE)</f>
        <v>BADERTSCHER DIANE</v>
      </c>
      <c r="M193" s="6">
        <f t="shared" si="49"/>
        <v>5.694444444088731E-3</v>
      </c>
      <c r="N193" s="7">
        <f t="shared" si="77"/>
        <v>8.1999999994877726</v>
      </c>
      <c r="O193" s="7"/>
      <c r="P193" s="7"/>
      <c r="Q193" s="22"/>
      <c r="R193" s="22"/>
      <c r="S193" s="31">
        <f t="shared" si="50"/>
        <v>1</v>
      </c>
      <c r="T193" s="46" t="str">
        <f t="shared" si="51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2"/>
        <v>https://d0f6bd738d7f1b3e5a7ca70fe4ff75f0.us-east-1.aws.found.io/app/kibana#/discover/Steve-Slow-Train-Analysis-(2080s-and-2083s)?_g=(refreshInterval:(display:Off,pause:!f,section:0,value:0),time:(from:'2017-04-22T01:53:10-0600',mode:absolute,to:'2017-04-22T04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3" t="str">
        <f t="shared" si="53"/>
        <v>Y</v>
      </c>
      <c r="X193" s="183">
        <f t="shared" si="68"/>
        <v>-1531</v>
      </c>
      <c r="Y193" s="62">
        <f t="shared" si="54"/>
        <v>2.2837999999999998</v>
      </c>
      <c r="Z193" s="62">
        <f t="shared" si="55"/>
        <v>1.2999999999999999E-2</v>
      </c>
      <c r="AA193" s="62">
        <f t="shared" si="56"/>
        <v>2.2707999999999999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0302-22</v>
      </c>
      <c r="AE193" s="85" t="str">
        <f t="shared" si="58"/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AF193" s="82" t="str">
        <f t="shared" si="59"/>
        <v>"C:\Program Files (x86)\AstroGrep\AstroGrep.exe" /e /r /s /spath="%USERPROFILE%\AppData\Local\Temp\OnboardLogs" /stypes="app*4021*20170422*" /stext=" 09:.+((SYSTEM_STATE.+slice.+state.+changed )|(ment ac)|(multiple cpu faults)|(system.+state.+changed )|(\[timeout)|(PRM\|1\|D)|(kpr)|(kdp)|(\|lc)|(penalty))"</v>
      </c>
      <c r="AG193" s="1" t="str">
        <f t="shared" si="60"/>
        <v>Other</v>
      </c>
      <c r="AH193" s="86" t="str">
        <f t="shared" si="61"/>
        <v>"%USERPROFILE%\Documents\GitHub\eaglep3\Utilities\RefineRTDCRunTimes.py" --tripid 302-22 --locoid 4021 --swversion DE.1.0.9.0 --startMP 300:22838 --initTime 2017-04-22T02:53:10 --startdatetime 2017-04-22T02:58:33 --delay 5 --endMP 204:130 --enddatetime 2017-04-22T03:06:45 --enforcementcount 0 &gt;&gt;C:\Users\stu\Documents\GitHub\eaglep3-reporting\EC\2017-04-22-refined-times.txt</v>
      </c>
      <c r="AI193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{"issue":{"subject":"","project_id":79,"tracker_id":40,"status_id":1,"priority_id":2,"assigned_to_id":23,"start_date":"2017-04-22","description":"","custom_fields":[{"id":1,"name":"Subdivision","value":"Other"},{"id":4,"name":"Milepost","value":"0.013"},{"id":17,"name":"Train ID","value":"302-22"},{"id":16,"name":"Locomotive ID","value":"4021"},{"id":130,"name":"Impact","value":""},{"id":150,"name":"Time of Event (Mountain Time)","value":"03:06:45"},{"id":151,"name":"Denver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8"/>
      <c r="AL193" s="48"/>
      <c r="AM193" s="150" t="str">
        <f t="shared" si="63"/>
        <v>start /low /b %USERPROFILE%\Documents\GitHub\eaglep3\Utilities\DownloadLogsFromS3.py --loco 4021 --day 2017-04-22</v>
      </c>
      <c r="AN193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787</v>
      </c>
      <c r="B194" s="7">
        <v>4032</v>
      </c>
      <c r="C194" s="21" t="s">
        <v>213</v>
      </c>
      <c r="D194" s="21" t="s">
        <v>208</v>
      </c>
      <c r="E194" s="13">
        <v>42847.775219907409</v>
      </c>
      <c r="F194" s="13">
        <v>42847.777060185188</v>
      </c>
      <c r="G194" s="7">
        <v>1</v>
      </c>
      <c r="H194" s="21" t="s">
        <v>484</v>
      </c>
      <c r="I194" s="13">
        <v>42847.785162037035</v>
      </c>
      <c r="J194" s="7">
        <v>0</v>
      </c>
      <c r="K194" s="97" t="str">
        <f t="shared" si="48"/>
        <v>4031/4032</v>
      </c>
      <c r="L194" s="21" t="str">
        <f>VLOOKUP(A194,'Trips&amp;Operators'!$C$1:$G$99999,5,FALSE)</f>
        <v>WHITED DUSTIN</v>
      </c>
      <c r="M194" s="6">
        <f t="shared" si="49"/>
        <v>8.1018518467317335E-3</v>
      </c>
      <c r="N194" s="7">
        <f t="shared" si="77"/>
        <v>11.666666659293696</v>
      </c>
      <c r="O194" s="7"/>
      <c r="P194" s="7"/>
      <c r="Q194" s="22"/>
      <c r="R194" s="22"/>
      <c r="S194" s="31">
        <f t="shared" si="50"/>
        <v>1</v>
      </c>
      <c r="T194" s="46" t="str">
        <f t="shared" si="51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2"/>
        <v>https://d0f6bd738d7f1b3e5a7ca70fe4ff75f0.us-east-1.aws.found.io/app/kibana#/discover/Steve-Slow-Train-Analysis-(2080s-and-2083s)?_g=(refreshInterval:(display:Off,pause:!f,section:0,value:0),time:(from:'2017-04-22T17:36:19-0600',mode:absolute,to:'2017-04-22T19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83" t="str">
        <f t="shared" si="53"/>
        <v>Y</v>
      </c>
      <c r="X194" s="183">
        <f t="shared" si="68"/>
        <v>1</v>
      </c>
      <c r="Y194" s="62">
        <f t="shared" si="54"/>
        <v>4.53E-2</v>
      </c>
      <c r="Z194" s="62">
        <f t="shared" si="55"/>
        <v>2.3346</v>
      </c>
      <c r="AA194" s="62">
        <f t="shared" si="56"/>
        <v>2.2892999999999999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0303-22</v>
      </c>
      <c r="AE194" s="85" t="str">
        <f t="shared" si="58"/>
        <v>aws s3 cp s3://rtdc.mdm.uploadarchive.raw/RTDC4032/ "%USERPROFILE%\AppData\Local\Temp\OnboardLogs"\RTDC4032\2017-04-22 --exclude "*" --recursive --include "*20170422*" &amp; "%USERPROFILE%\Documents\GitHub\mrs-test-scripts\Headless Mode &amp; Sideloading\WalkAndUnGZ.bat" "%USERPROFILE%\AppData\Local\Temp\OnboardLogs"\RTDC4032\2017-04-22 &amp; 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</v>
      </c>
      <c r="AF194" s="82" t="str">
        <f t="shared" si="59"/>
        <v>"C:\Program Files (x86)\AstroGrep\AstroGrep.exe" /e /r /s /spath="%USERPROFILE%\AppData\Local\Temp\OnboardLogs" /stypes="app*4032*20170423*" /stext=" 00:.+((SYSTEM_STATE.+slice.+state.+changed )|(ment ac)|(multiple cpu faults)|(system.+state.+changed )|(\[timeout)|(PRM\|1\|D)|(kpr)|(kdp)|(\|lc)|(penalty))"</v>
      </c>
      <c r="AG194" s="1" t="str">
        <f t="shared" si="60"/>
        <v>Other</v>
      </c>
      <c r="AH194" s="86" t="str">
        <f t="shared" si="61"/>
        <v>"%USERPROFILE%\Documents\GitHub\eaglep3\Utilities\RefineRTDCRunTimes.py" --tripid 303-22 --locoid 4032 --swversion DE.1.0.9.0 --startMP 204:453 --initTime 2017-04-22T18:36:19 --startdatetime 2017-04-22T18:38:58 --delay 1 --endMP 300:23346 --enddatetime 2017-04-22T18:50:38 --enforcementcount 0 &gt;&gt;C:\Users\stu\Documents\GitHub\eaglep3-reporting\EC\2017-04-22-refined-times.txt</v>
      </c>
      <c r="AI194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{"issue":{"subject":"","project_id":79,"tracker_id":40,"status_id":1,"priority_id":2,"assigned_to_id":23,"start_date":"2017-04-22","description":"","custom_fields":[{"id":1,"name":"Subdivision","value":"Other"},{"id":4,"name":"Milepost","value":"2.3346"},{"id":17,"name":"Train ID","value":"303-22"},{"id":16,"name":"Locomotive ID","value":"4032"},{"id":130,"name":"Impact","value":""},{"id":150,"name":"Time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3"/>
        <v>start /low /b %USERPROFILE%\Documents\GitHub\eaglep3\Utilities\DownloadLogsFromS3.py --loco 4032 --day 2017-04-22</v>
      </c>
      <c r="AN194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3" t="s">
        <v>622</v>
      </c>
      <c r="B195" s="7">
        <v>4015</v>
      </c>
      <c r="C195" s="21" t="s">
        <v>213</v>
      </c>
      <c r="D195" s="21" t="s">
        <v>962</v>
      </c>
      <c r="E195" s="13">
        <v>42847.140694444446</v>
      </c>
      <c r="F195" s="13">
        <v>42847.143148148149</v>
      </c>
      <c r="G195" s="7">
        <v>3</v>
      </c>
      <c r="H195" s="21" t="s">
        <v>391</v>
      </c>
      <c r="I195" s="13">
        <v>42847.150127314817</v>
      </c>
      <c r="J195" s="7">
        <v>0</v>
      </c>
      <c r="K195" s="97" t="str">
        <f t="shared" si="48"/>
        <v>4015/4016</v>
      </c>
      <c r="L195" s="21" t="str">
        <f>VLOOKUP(A195,'Trips&amp;Operators'!$C$1:$G$99999,5,FALSE)</f>
        <v>ROBINSON KADDIBA</v>
      </c>
      <c r="M195" s="6">
        <f t="shared" si="49"/>
        <v>6.9791666683158837E-3</v>
      </c>
      <c r="N195" s="7">
        <f t="shared" si="77"/>
        <v>10.050000002374873</v>
      </c>
      <c r="O195" s="7"/>
      <c r="P195" s="7"/>
      <c r="Q195" s="22"/>
      <c r="R195" s="22"/>
      <c r="S195" s="31">
        <f t="shared" si="50"/>
        <v>1</v>
      </c>
      <c r="T195" s="46" t="str">
        <f t="shared" si="51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2"/>
        <v>https://d0f6bd738d7f1b3e5a7ca70fe4ff75f0.us-east-1.aws.found.io/app/kibana#/discover/Steve-Slow-Train-Analysis-(2080s-and-2083s)?_g=(refreshInterval:(display:Off,pause:!f,section:0,value:0),time:(from:'2017-04-22T02:22:36-0600',mode:absolute,to:'2017-04-22T04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183" t="str">
        <f t="shared" si="53"/>
        <v>Y</v>
      </c>
      <c r="X195" s="183">
        <f t="shared" si="68"/>
        <v>1</v>
      </c>
      <c r="Y195" s="62">
        <f t="shared" si="54"/>
        <v>2.3834</v>
      </c>
      <c r="Z195" s="62">
        <f t="shared" si="55"/>
        <v>1.6E-2</v>
      </c>
      <c r="AA195" s="62">
        <f t="shared" si="56"/>
        <v>2.3673999999999999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0304-22</v>
      </c>
      <c r="AE195" s="85" t="str">
        <f t="shared" si="58"/>
        <v>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 &amp; 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</v>
      </c>
      <c r="AF195" s="82" t="str">
        <f t="shared" si="59"/>
        <v>"C:\Program Files (x86)\AstroGrep\AstroGrep.exe" /e /r /s /spath="%USERPROFILE%\AppData\Local\Temp\OnboardLogs" /stypes="app*4015*20170422*" /stext=" 09:.+((SYSTEM_STATE.+slice.+state.+changed )|(ment ac)|(multiple cpu faults)|(system.+state.+changed )|(\[timeout)|(PRM\|1\|D)|(kpr)|(kdp)|(\|lc)|(penalty))"</v>
      </c>
      <c r="AG195" s="1" t="str">
        <f t="shared" si="60"/>
        <v>Other</v>
      </c>
      <c r="AH195" s="86" t="str">
        <f t="shared" si="61"/>
        <v>"%USERPROFILE%\Documents\GitHub\eaglep3\Utilities\RefineRTDCRunTimes.py" --tripid 304-22 --locoid 4015 --swversion DE.1.0.9.0 --startMP 300:23834 --initTime 2017-04-22T03:22:36 --startdatetime 2017-04-22T03:26:08 --delay 3 --endMP 204:160 --enddatetime 2017-04-22T03:36:11 --enforcementcount 0 &gt;&gt;C:\Users\stu\Documents\GitHub\eaglep3-reporting\EC\2017-04-22-refined-times.txt</v>
      </c>
      <c r="AI195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{"issue":{"subject":"","project_id":79,"tracker_id":40,"status_id":1,"priority_id":2,"assigned_to_id":23,"start_date":"2017-04-22","description":"","custom_fields":[{"id":1,"name":"Subdivision","value":"Other"},{"id":4,"name":"Milepost","value":"0.016"},{"id":17,"name":"Train ID","value":"304-22"},{"id":16,"name":"Locomotive ID","value":"4015"},{"id":130,"name":"Impact","value":""},{"id":150,"name":"Time of Event (Mountain Time)","value":"03:36:11"},{"id":151,"name":"Denver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3"/>
        <v>start /low /b %USERPROFILE%\Documents\GitHub\eaglep3\Utilities\DownloadLogsFromS3.py --loco 4015 --day 2017-04-22</v>
      </c>
      <c r="AN195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09:36:11"},{"id":29,"name":"Sharepoint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3" t="s">
        <v>789</v>
      </c>
      <c r="B196" s="7">
        <v>4022</v>
      </c>
      <c r="C196" s="21" t="s">
        <v>213</v>
      </c>
      <c r="D196" s="21" t="s">
        <v>455</v>
      </c>
      <c r="E196" s="13">
        <v>42847.795729166668</v>
      </c>
      <c r="F196" s="13">
        <v>42847.797534722224</v>
      </c>
      <c r="G196" s="7">
        <v>1</v>
      </c>
      <c r="H196" s="21" t="s">
        <v>484</v>
      </c>
      <c r="I196" s="13">
        <v>42847.803680555553</v>
      </c>
      <c r="J196" s="7">
        <v>0</v>
      </c>
      <c r="K196" s="97" t="str">
        <f t="shared" si="48"/>
        <v>4021/4022</v>
      </c>
      <c r="L196" s="21" t="str">
        <f>VLOOKUP(A196,'Trips&amp;Operators'!$C$1:$G$99999,5,FALSE)</f>
        <v>ROMERO CHAD</v>
      </c>
      <c r="M196" s="6">
        <f t="shared" si="49"/>
        <v>6.1458333293558098E-3</v>
      </c>
      <c r="N196" s="7">
        <f t="shared" si="77"/>
        <v>8.8499999942723662</v>
      </c>
      <c r="O196" s="7"/>
      <c r="P196" s="7"/>
      <c r="Q196" s="22"/>
      <c r="R196" s="22"/>
      <c r="S196" s="31">
        <f t="shared" si="50"/>
        <v>1</v>
      </c>
      <c r="T196" s="46" t="str">
        <f t="shared" si="51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2"/>
        <v>https://d0f6bd738d7f1b3e5a7ca70fe4ff75f0.us-east-1.aws.found.io/app/kibana#/discover/Steve-Slow-Train-Analysis-(2080s-and-2083s)?_g=(refreshInterval:(display:Off,pause:!f,section:0,value:0),time:(from:'2017-04-22T18:05:51-0600',mode:absolute,to:'2017-04-22T20:17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83" t="str">
        <f t="shared" si="53"/>
        <v>Y</v>
      </c>
      <c r="X196" s="183">
        <f t="shared" ref="X196:X218" si="78">VALUE(LEFT(AD196,4))-VALUE(LEFT(AD195,4))</f>
        <v>1</v>
      </c>
      <c r="Y196" s="62">
        <f t="shared" si="54"/>
        <v>4.3799999999999999E-2</v>
      </c>
      <c r="Z196" s="62">
        <f t="shared" si="55"/>
        <v>2.3346</v>
      </c>
      <c r="AA196" s="62">
        <f t="shared" si="56"/>
        <v>2.2907999999999999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0305-22</v>
      </c>
      <c r="AE196" s="85" t="str">
        <f t="shared" si="58"/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AF196" s="82" t="str">
        <f t="shared" si="59"/>
        <v>"C:\Program Files (x86)\AstroGrep\AstroGrep.exe" /e /r /s /spath="%USERPROFILE%\AppData\Local\Temp\OnboardLogs" /stypes="app*4022*20170423*" /stext=" 01:.+((SYSTEM_STATE.+slice.+state.+changed )|(ment ac)|(multiple cpu faults)|(system.+state.+changed )|(\[timeout)|(PRM\|1\|D)|(kpr)|(kdp)|(\|lc)|(penalty))"</v>
      </c>
      <c r="AG196" s="1" t="str">
        <f t="shared" si="60"/>
        <v>Other</v>
      </c>
      <c r="AH196" s="86" t="str">
        <f t="shared" si="61"/>
        <v>"%USERPROFILE%\Documents\GitHub\eaglep3\Utilities\RefineRTDCRunTimes.py" --tripid 305-22 --locoid 4022 --swversion DE.1.0.9.0 --startMP 204:438 --initTime 2017-04-22T19:05:51 --startdatetime 2017-04-22T19:08:27 --delay 1 --endMP 300:23346 --enddatetime 2017-04-22T19:17:18 --enforcementcount 0 &gt;&gt;C:\Users\stu\Documents\GitHub\eaglep3-reporting\EC\2017-04-22-refined-times.txt</v>
      </c>
      <c r="AI196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{"issue":{"subject":"","project_id":79,"tracker_id":40,"status_id":1,"priority_id":2,"assigned_to_id":23,"start_date":"2017-04-22","description":"","custom_fields":[{"id":1,"name":"Subdivision","value":"Other"},{"id":4,"name":"Milepost","value":"2.3346"},{"id":17,"name":"Train ID","value":"305-22"},{"id":16,"name":"Locomotive ID","value":"4022"},{"id":130,"name":"Impact","value":""},{"id":150,"name":"Time of Event (Mountain Time)","value":"19:17:18"},{"id":151,"name":"Denver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3"/>
        <v>start /low /b %USERPROFILE%\Documents\GitHub\eaglep3\Utilities\DownloadLogsFromS3.py --loco 4022 --day 2017-04-22</v>
      </c>
      <c r="AN196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01:17:18"},{"id":29,"name":"Sharepoint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3" t="s">
        <v>626</v>
      </c>
      <c r="B197" s="7">
        <v>4041</v>
      </c>
      <c r="C197" s="21" t="s">
        <v>213</v>
      </c>
      <c r="D197" s="21" t="s">
        <v>963</v>
      </c>
      <c r="E197" s="13">
        <v>42847.160729166666</v>
      </c>
      <c r="F197" s="13">
        <v>42847.163773148146</v>
      </c>
      <c r="G197" s="7">
        <v>4</v>
      </c>
      <c r="H197" s="21" t="s">
        <v>380</v>
      </c>
      <c r="I197" s="13">
        <v>42847.169386574074</v>
      </c>
      <c r="J197" s="7">
        <v>0</v>
      </c>
      <c r="K197" s="97" t="str">
        <f t="shared" si="48"/>
        <v>4041/4042</v>
      </c>
      <c r="L197" s="21" t="str">
        <f>VLOOKUP(A197,'Trips&amp;Operators'!$C$1:$G$99999,5,FALSE)</f>
        <v>MAELZER KURT</v>
      </c>
      <c r="M197" s="6">
        <f t="shared" si="49"/>
        <v>5.6134259284590371E-3</v>
      </c>
      <c r="N197" s="7">
        <f t="shared" si="77"/>
        <v>8.0833333369810134</v>
      </c>
      <c r="O197" s="7"/>
      <c r="P197" s="7"/>
      <c r="Q197" s="22"/>
      <c r="R197" s="22"/>
      <c r="S197" s="31">
        <f t="shared" si="50"/>
        <v>1</v>
      </c>
      <c r="T197" s="46" t="str">
        <f t="shared" si="5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2"/>
        <v>https://d0f6bd738d7f1b3e5a7ca70fe4ff75f0.us-east-1.aws.found.io/app/kibana#/discover/Steve-Slow-Train-Analysis-(2080s-and-2083s)?_g=(refreshInterval:(display:Off,pause:!f,section:0,value:0),time:(from:'2017-04-22T02:51:27-0600',mode:absolute,to:'2017-04-22T05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183" t="str">
        <f t="shared" si="53"/>
        <v>Y</v>
      </c>
      <c r="X197" s="183">
        <f t="shared" si="78"/>
        <v>1</v>
      </c>
      <c r="Y197" s="62">
        <f t="shared" si="54"/>
        <v>2.3195999999999999</v>
      </c>
      <c r="Z197" s="62">
        <f t="shared" si="55"/>
        <v>1.38E-2</v>
      </c>
      <c r="AA197" s="62">
        <f t="shared" si="56"/>
        <v>2.3058000000000001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0306-22</v>
      </c>
      <c r="AE197" s="85" t="str">
        <f t="shared" si="58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197" s="82" t="str">
        <f t="shared" si="59"/>
        <v>"C:\Program Files (x86)\AstroGrep\AstroGrep.exe" /e /r /s /spath="%USERPROFILE%\AppData\Local\Temp\OnboardLogs" /stypes="app*4041*20170422*" /stext=" 10:.+((SYSTEM_STATE.+slice.+state.+changed )|(ment ac)|(multiple cpu faults)|(system.+state.+changed )|(\[timeout)|(PRM\|1\|D)|(kpr)|(kdp)|(\|lc)|(penalty))"</v>
      </c>
      <c r="AG197" s="1" t="str">
        <f t="shared" si="60"/>
        <v>Other</v>
      </c>
      <c r="AH197" s="86" t="str">
        <f t="shared" si="61"/>
        <v>"%USERPROFILE%\Documents\GitHub\eaglep3\Utilities\RefineRTDCRunTimes.py" --tripid 306-22 --locoid 4041 --swversion DE.1.0.9.0 --startMP 300:23196 --initTime 2017-04-22T03:51:27 --startdatetime 2017-04-22T03:55:50 --delay 4 --endMP 204:138 --enddatetime 2017-04-22T04:03:55 --enforcementcount 0 &gt;&gt;C:\Users\stu\Documents\GitHub\eaglep3-reporting\EC\2017-04-22-refined-times.txt</v>
      </c>
      <c r="AI197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{"issue":{"subject":"","project_id":79,"tracker_id":40,"status_id":1,"priority_id":2,"assigned_to_id":23,"start_date":"2017-04-22","description":"","custom_fields":[{"id":1,"name":"Subdivision","value":"Other"},{"id":4,"name":"Milepost","value":"0.0138"},{"id":17,"name":"Train ID","value":"306-22"},{"id":16,"name":"Locomotive ID","value":"4041"},{"id":130,"name":"Impact","value":""},{"id":150,"name":"Time of Event (Mountain Time)","value":"04:03:55"},{"id":151,"name":"Denver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3"/>
        <v>start /low /b %USERPROFILE%\Documents\GitHub\eaglep3\Utilities\DownloadLogsFromS3.py --loco 4041 --day 2017-04-22</v>
      </c>
      <c r="AN197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10:03:55"},{"id":29,"name":"Sharepoint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3" t="s">
        <v>795</v>
      </c>
      <c r="B198" s="7">
        <v>4042</v>
      </c>
      <c r="C198" s="21" t="s">
        <v>213</v>
      </c>
      <c r="D198" s="21" t="s">
        <v>964</v>
      </c>
      <c r="E198" s="13">
        <v>42847.820868055554</v>
      </c>
      <c r="F198" s="13">
        <v>42847.830625000002</v>
      </c>
      <c r="G198" s="7">
        <v>1</v>
      </c>
      <c r="H198" s="21" t="s">
        <v>578</v>
      </c>
      <c r="I198" s="13">
        <v>42847.836736111109</v>
      </c>
      <c r="J198" s="7">
        <v>0</v>
      </c>
      <c r="K198" s="97" t="str">
        <f t="shared" si="48"/>
        <v>4041/4042</v>
      </c>
      <c r="L198" s="21" t="str">
        <f>VLOOKUP(A198,'Trips&amp;Operators'!$C$1:$G$99999,5,FALSE)</f>
        <v>LALONDE GREGORY</v>
      </c>
      <c r="M198" s="6">
        <f t="shared" si="49"/>
        <v>6.1111111062928103E-3</v>
      </c>
      <c r="N198" s="7">
        <f t="shared" si="77"/>
        <v>8.7999999930616468</v>
      </c>
      <c r="O198" s="7"/>
      <c r="P198" s="7"/>
      <c r="Q198" s="22"/>
      <c r="R198" s="22"/>
      <c r="S198" s="31">
        <f t="shared" si="50"/>
        <v>1</v>
      </c>
      <c r="T198" s="46" t="str">
        <f t="shared" si="5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2"/>
        <v>https://d0f6bd738d7f1b3e5a7ca70fe4ff75f0.us-east-1.aws.found.io/app/kibana#/discover/Steve-Slow-Train-Analysis-(2080s-and-2083s)?_g=(refreshInterval:(display:Off,pause:!f,section:0,value:0),time:(from:'2017-04-22T18:42:03-0600',mode:absolute,to:'2017-04-22T21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183" t="str">
        <f t="shared" si="53"/>
        <v>Y</v>
      </c>
      <c r="X198" s="183">
        <f t="shared" si="78"/>
        <v>1</v>
      </c>
      <c r="Y198" s="62">
        <f t="shared" si="54"/>
        <v>5.1700000000000003E-2</v>
      </c>
      <c r="Z198" s="62">
        <f t="shared" si="55"/>
        <v>2.3302</v>
      </c>
      <c r="AA198" s="62">
        <f t="shared" si="56"/>
        <v>2.2785000000000002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0307-22</v>
      </c>
      <c r="AE198" s="85" t="str">
        <f t="shared" si="58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198" s="82" t="str">
        <f t="shared" si="59"/>
        <v>"C:\Program Files (x86)\AstroGrep\AstroGrep.exe" /e /r /s /spath="%USERPROFILE%\AppData\Local\Temp\OnboardLogs" /stypes="app*4042*20170423*" /stext=" 02:.+((SYSTEM_STATE.+slice.+state.+changed )|(ment ac)|(multiple cpu faults)|(system.+state.+changed )|(\[timeout)|(PRM\|1\|D)|(kpr)|(kdp)|(\|lc)|(penalty))"</v>
      </c>
      <c r="AG198" s="1" t="str">
        <f t="shared" si="60"/>
        <v>Other</v>
      </c>
      <c r="AH198" s="86" t="str">
        <f t="shared" si="61"/>
        <v>"%USERPROFILE%\Documents\GitHub\eaglep3\Utilities\RefineRTDCRunTimes.py" --tripid 307-22 --locoid 4042 --swversion DE.1.0.9.0 --startMP 204:517 --initTime 2017-04-22T19:42:03 --startdatetime 2017-04-22T19:56:06 --delay 1 --endMP 300:23302 --enddatetime 2017-04-22T20:04:54 --enforcementcount 0 &gt;&gt;C:\Users\stu\Documents\GitHub\eaglep3-reporting\EC\2017-04-22-refined-times.txt</v>
      </c>
      <c r="AI198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{"issue":{"subject":"","project_id":79,"tracker_id":40,"status_id":1,"priority_id":2,"assigned_to_id":23,"start_date":"2017-04-22","description":"","custom_fields":[{"id":1,"name":"Subdivision","value":"Other"},{"id":4,"name":"Milepost","value":"2.3302"},{"id":17,"name":"Train ID","value":"307-22"},{"id":16,"name":"Locomotive ID","value":"4042"},{"id":130,"name":"Impact","value":""},{"id":150,"name":"Time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3"/>
        <v>start /low /b %USERPROFILE%\Documents\GitHub\eaglep3\Utilities\DownloadLogsFromS3.py --loco 4042 --day 2017-04-22</v>
      </c>
      <c r="AN198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02:04:54"},{"id":29,"name":"Sharepoint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3" t="s">
        <v>630</v>
      </c>
      <c r="B199" s="7">
        <v>4063</v>
      </c>
      <c r="C199" s="21" t="s">
        <v>213</v>
      </c>
      <c r="D199" s="21" t="s">
        <v>965</v>
      </c>
      <c r="E199" s="13">
        <v>42847.17046296296</v>
      </c>
      <c r="F199" s="13">
        <v>42847.173703703702</v>
      </c>
      <c r="G199" s="7">
        <v>4</v>
      </c>
      <c r="H199" s="21" t="s">
        <v>431</v>
      </c>
      <c r="I199" s="13">
        <v>42847.179270833331</v>
      </c>
      <c r="J199" s="7">
        <v>0</v>
      </c>
      <c r="K199" s="97" t="str">
        <f t="shared" si="48"/>
        <v>4063/4064</v>
      </c>
      <c r="L199" s="21" t="str">
        <f>VLOOKUP(A199,'Trips&amp;Operators'!$C$1:$G$99999,5,FALSE)</f>
        <v>DAVIS WENDY</v>
      </c>
      <c r="M199" s="6">
        <f t="shared" si="49"/>
        <v>5.5671296286163852E-3</v>
      </c>
      <c r="N199" s="7">
        <f t="shared" si="77"/>
        <v>8.0166666652075946</v>
      </c>
      <c r="O199" s="7"/>
      <c r="P199" s="7"/>
      <c r="Q199" s="22"/>
      <c r="R199" s="22"/>
      <c r="S199" s="31">
        <f t="shared" si="50"/>
        <v>1</v>
      </c>
      <c r="T199" s="46" t="str">
        <f t="shared" si="5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2"/>
        <v>https://d0f6bd738d7f1b3e5a7ca70fe4ff75f0.us-east-1.aws.found.io/app/kibana#/discover/Steve-Slow-Train-Analysis-(2080s-and-2083s)?_g=(refreshInterval:(display:Off,pause:!f,section:0,value:0),time:(from:'2017-04-22T03:05:28-0600',mode:absolute,to:'2017-04-22T05:18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183" t="str">
        <f t="shared" si="53"/>
        <v>Y</v>
      </c>
      <c r="X199" s="183">
        <f t="shared" si="78"/>
        <v>1</v>
      </c>
      <c r="Y199" s="62">
        <f t="shared" si="54"/>
        <v>2.3315000000000001</v>
      </c>
      <c r="Z199" s="62">
        <f t="shared" si="55"/>
        <v>1.3899999999999999E-2</v>
      </c>
      <c r="AA199" s="62">
        <f t="shared" si="56"/>
        <v>2.3176000000000001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0308-22</v>
      </c>
      <c r="AE199" s="85" t="str">
        <f t="shared" si="58"/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AF199" s="82" t="str">
        <f t="shared" si="59"/>
        <v>"C:\Program Files (x86)\AstroGrep\AstroGrep.exe" /e /r /s /spath="%USERPROFILE%\AppData\Local\Temp\OnboardLogs" /stypes="app*4063*20170422*" /stext=" 10:.+((SYSTEM_STATE.+slice.+state.+changed )|(ment ac)|(multiple cpu faults)|(system.+state.+changed )|(\[timeout)|(PRM\|1\|D)|(kpr)|(kdp)|(\|lc)|(penalty))"</v>
      </c>
      <c r="AG199" s="1" t="str">
        <f t="shared" si="60"/>
        <v>Other</v>
      </c>
      <c r="AH199" s="86" t="str">
        <f t="shared" si="61"/>
        <v>"%USERPROFILE%\Documents\GitHub\eaglep3\Utilities\RefineRTDCRunTimes.py" --tripid 308-22 --locoid 4063 --swversion DE.1.0.9.0 --startMP 300:23315 --initTime 2017-04-22T04:05:28 --startdatetime 2017-04-22T04:10:08 --delay 4 --endMP 204:139 --enddatetime 2017-04-22T04:18:09 --enforcementcount 0 &gt;&gt;C:\Users\stu\Documents\GitHub\eaglep3-reporting\EC\2017-04-22-refined-times.txt</v>
      </c>
      <c r="AI199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{"issue":{"subject":"","project_id":79,"tracker_id":40,"status_id":1,"priority_id":2,"assigned_to_id":23,"start_date":"2017-04-22","description":"","custom_fields":[{"id":1,"name":"Subdivision","value":"Other"},{"id":4,"name":"Milepost","value":"0.0139"},{"id":17,"name":"Train ID","value":"308-22"},{"id":16,"name":"Locomotive ID","value":"4063"},{"id":130,"name":"Impact","value":""},{"id":150,"name":"Time of Event (Mountain Time)","value":"04:18:09"},{"id":151,"name":"Denver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3"/>
        <v>start /low /b %USERPROFILE%\Documents\GitHub\eaglep3\Utilities\DownloadLogsFromS3.py --loco 4063 --day 2017-04-22</v>
      </c>
      <c r="AN199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10:18:09"},{"id":29,"name":"Sharepoint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3" t="s">
        <v>821</v>
      </c>
      <c r="B200" s="7">
        <v>4026</v>
      </c>
      <c r="C200" s="21" t="s">
        <v>213</v>
      </c>
      <c r="D200" s="21" t="s">
        <v>561</v>
      </c>
      <c r="E200" s="13">
        <v>42848.049155092594</v>
      </c>
      <c r="F200" s="13">
        <v>42848.050891203704</v>
      </c>
      <c r="G200" s="7">
        <v>1</v>
      </c>
      <c r="H200" s="21" t="s">
        <v>929</v>
      </c>
      <c r="I200" s="13">
        <v>42848.05972222222</v>
      </c>
      <c r="J200" s="7">
        <v>0</v>
      </c>
      <c r="K200" s="97" t="str">
        <f t="shared" si="48"/>
        <v>4025/4026</v>
      </c>
      <c r="L200" s="21" t="str">
        <f>VLOOKUP(A200,'Trips&amp;Operators'!$C$1:$G$99999,5,FALSE)</f>
        <v>DAVIDSON DAVID</v>
      </c>
      <c r="M200" s="6">
        <f t="shared" si="49"/>
        <v>8.8310185165028088E-3</v>
      </c>
      <c r="N200" s="7">
        <f t="shared" si="77"/>
        <v>12.716666663764045</v>
      </c>
      <c r="O200" s="7"/>
      <c r="P200" s="7"/>
      <c r="Q200" s="22"/>
      <c r="R200" s="22"/>
      <c r="S200" s="31">
        <f t="shared" si="50"/>
        <v>1</v>
      </c>
      <c r="T200" s="46" t="str">
        <f t="shared" si="5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2"/>
        <v>https://d0f6bd738d7f1b3e5a7ca70fe4ff75f0.us-east-1.aws.found.io/app/kibana#/discover/Steve-Slow-Train-Analysis-(2080s-and-2083s)?_g=(refreshInterval:(display:Off,pause:!f,section:0,value:0),time:(from:'2017-04-23T00:10:47-0600',mode:absolute,to:'2017-04-23T02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183" t="str">
        <f t="shared" si="53"/>
        <v>Y</v>
      </c>
      <c r="X200" s="183">
        <f t="shared" si="78"/>
        <v>1</v>
      </c>
      <c r="Y200" s="62">
        <f t="shared" si="54"/>
        <v>4.6399999999999997E-2</v>
      </c>
      <c r="Z200" s="62">
        <f t="shared" si="55"/>
        <v>2.331</v>
      </c>
      <c r="AA200" s="62">
        <f t="shared" si="56"/>
        <v>2.2846000000000002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0309-22</v>
      </c>
      <c r="AE200" s="85" t="str">
        <f t="shared" si="58"/>
        <v>aws s3 cp s3://rtdc.mdm.uploadarchive.raw/RTDC4026/ "%USERPROFILE%\AppData\Local\Temp\OnboardLogs"\RTDC4026\2017-04-23 --exclude "*" --recursive --include "*20170423*" &amp; "%USERPROFILE%\Documents\GitHub\mrs-test-scripts\Headless Mode &amp; Sideloading\WalkAndUnGZ.bat" "%USERPROFILE%\AppData\Local\Temp\OnboardLogs"\RTDC4026\2017-04-23 &amp; aws s3 cp s3://rtdc.mdm.uploadarchive.raw/RTDC4026/ "%USERPROFILE%\AppData\Local\Temp\OnboardLogs"\RTDC4026\2017-04-24 --exclude "*" --recursive --include "*20170424*" &amp; "%USERPROFILE%\Documents\GitHub\mrs-test-scripts\Headless Mode &amp; Sideloading\WalkAndUnGZ.bat" "%USERPROFILE%\AppData\Local\Temp\OnboardLogs"\RTDC4026\2017-04-24</v>
      </c>
      <c r="AF200" s="82" t="str">
        <f t="shared" si="59"/>
        <v>"C:\Program Files (x86)\AstroGrep\AstroGrep.exe" /e /r /s /spath="%USERPROFILE%\AppData\Local\Temp\OnboardLogs" /stypes="app*4026*20170423*" /stext=" 07:.+((SYSTEM_STATE.+slice.+state.+changed )|(ment ac)|(multiple cpu faults)|(system.+state.+changed )|(\[timeout)|(PRM\|1\|D)|(kpr)|(kdp)|(\|lc)|(penalty))"</v>
      </c>
      <c r="AG200" s="1" t="str">
        <f t="shared" si="60"/>
        <v>Other</v>
      </c>
      <c r="AH200" s="86" t="str">
        <f t="shared" si="61"/>
        <v>"%USERPROFILE%\Documents\GitHub\eaglep3\Utilities\RefineRTDCRunTimes.py" --tripid 309-22 --locoid 4026 --swversion DE.1.0.9.0 --startMP 204:464 --initTime 2017-04-23T01:10:47 --startdatetime 2017-04-23T01:13:17 --delay 1 --endMP 300:23310 --enddatetime 2017-04-23T01:26:00 --enforcementcount 0 &gt;&gt;C:\Users\stu\Documents\GitHub\eaglep3-reporting\EC\2017-04-22-refined-times.txt</v>
      </c>
      <c r="AI200" s="104" t="str">
        <f t="shared" si="62"/>
        <v>echo {"issue":{"subject":"","project_id":79,"tracker_id":40,"status_id":1,"priority_id":2,"assigned_to_id":23,"start_date":"2017-04-23","description":"","custom_fields":[{"id":1,"name":"Subdivision","value":"Other"},{"id":4,"name":"Milepost","value":"2.331"},{"id":17,"name":"Train ID","value":"309-22"},{"id":16,"name":"Locomotive ID","value":"4026"},{"id":130,"name":"Impact","value":""},{"id":150,"name":"Time of Event (Mountain Time)","value":"01:26:00"},{"id":151,"name":"Denver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8"/>
      <c r="AL200" s="48"/>
      <c r="AM200" s="150" t="str">
        <f t="shared" si="63"/>
        <v>start /low /b %USERPROFILE%\Documents\GitHub\eaglep3\Utilities\DownloadLogsFromS3.py --loco 4026 --day 2017-04-23</v>
      </c>
      <c r="AN200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07:26:00"},{"id":29,"name":"Sharepoint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3" t="s">
        <v>584</v>
      </c>
      <c r="B201" s="7">
        <v>4031</v>
      </c>
      <c r="C201" s="21" t="s">
        <v>213</v>
      </c>
      <c r="D201" s="21" t="s">
        <v>966</v>
      </c>
      <c r="E201" s="13">
        <v>42847.183032407411</v>
      </c>
      <c r="F201" s="13">
        <v>42847.186967592592</v>
      </c>
      <c r="G201" s="7">
        <v>5</v>
      </c>
      <c r="H201" s="21" t="s">
        <v>572</v>
      </c>
      <c r="I201" s="13">
        <v>42847.191493055558</v>
      </c>
      <c r="J201" s="7">
        <v>0</v>
      </c>
      <c r="K201" s="97" t="str">
        <f t="shared" si="48"/>
        <v>4031/4032</v>
      </c>
      <c r="L201" s="21" t="str">
        <f>VLOOKUP(A201,'Trips&amp;Operators'!$C$1:$G$99999,5,FALSE)</f>
        <v>SANTIZO D. EDY</v>
      </c>
      <c r="M201" s="6">
        <f t="shared" si="49"/>
        <v>4.5254629658302292E-3</v>
      </c>
      <c r="N201" s="7">
        <f t="shared" si="77"/>
        <v>6.5166666707955301</v>
      </c>
      <c r="O201" s="7"/>
      <c r="P201" s="7"/>
      <c r="Q201" s="22"/>
      <c r="R201" s="22"/>
      <c r="S201" s="31">
        <f t="shared" si="50"/>
        <v>1</v>
      </c>
      <c r="T201" s="46" t="str">
        <f t="shared" si="5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2"/>
        <v>https://d0f6bd738d7f1b3e5a7ca70fe4ff75f0.us-east-1.aws.found.io/app/kibana#/discover/Steve-Slow-Train-Analysis-(2080s-and-2083s)?_g=(refreshInterval:(display:Off,pause:!f,section:0,value:0),time:(from:'2017-04-22T03:23:34-0600',mode:absolute,to:'2017-04-22T05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83" t="str">
        <f t="shared" si="53"/>
        <v>Y</v>
      </c>
      <c r="X201" s="183">
        <f t="shared" si="78"/>
        <v>1</v>
      </c>
      <c r="Y201" s="62">
        <f t="shared" si="54"/>
        <v>1.9503999999999999</v>
      </c>
      <c r="Z201" s="62">
        <f t="shared" si="55"/>
        <v>1.29E-2</v>
      </c>
      <c r="AA201" s="62">
        <f t="shared" si="56"/>
        <v>1.9375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0310-22</v>
      </c>
      <c r="AE201" s="85" t="str">
        <f t="shared" si="58"/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AF201" s="82" t="str">
        <f t="shared" si="59"/>
        <v>"C:\Program Files (x86)\AstroGrep\AstroGrep.exe" /e /r /s /spath="%USERPROFILE%\AppData\Local\Temp\OnboardLogs" /stypes="app*4031*20170422*" /stext=" 10:.+((SYSTEM_STATE.+slice.+state.+changed )|(ment ac)|(multiple cpu faults)|(system.+state.+changed )|(\[timeout)|(PRM\|1\|D)|(kpr)|(kdp)|(\|lc)|(penalty))"</v>
      </c>
      <c r="AG201" s="1" t="str">
        <f t="shared" si="60"/>
        <v>Other</v>
      </c>
      <c r="AH201" s="86" t="str">
        <f t="shared" si="61"/>
        <v>"%USERPROFILE%\Documents\GitHub\eaglep3\Utilities\RefineRTDCRunTimes.py" --tripid 310-22 --locoid 4031 --swversion DE.1.0.9.0 --startMP 300:19504 --initTime 2017-04-22T04:23:34 --startdatetime 2017-04-22T04:29:14 --delay 5 --endMP 204:129 --enddatetime 2017-04-22T04:35:45 --enforcementcount 0 &gt;&gt;C:\Users\stu\Documents\GitHub\eaglep3-reporting\EC\2017-04-22-refined-times.txt</v>
      </c>
      <c r="AI201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{"issue":{"subject":"","project_id":79,"tracker_id":40,"status_id":1,"priority_id":2,"assigned_to_id":23,"start_date":"2017-04-22","description":"","custom_fields":[{"id":1,"name":"Subdivision","value":"Other"},{"id":4,"name":"Milepost","value":"0.0129"},{"id":17,"name":"Train ID","value":"310-22"},{"id":16,"name":"Locomotive ID","value":"4031"},{"id":130,"name":"Impact","value":""},{"id":150,"name":"Time of Event (Mountain Time)","value":"04:35:45"},{"id":151,"name":"Denver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3"/>
        <v>start /low /b %USERPROFILE%\Documents\GitHub\eaglep3\Utilities\DownloadLogsFromS3.py --loco 4031 --day 2017-04-22</v>
      </c>
      <c r="AN201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3" t="s">
        <v>619</v>
      </c>
      <c r="B202" s="7">
        <v>4024</v>
      </c>
      <c r="C202" s="21" t="s">
        <v>213</v>
      </c>
      <c r="D202" s="21" t="s">
        <v>423</v>
      </c>
      <c r="E202" s="13">
        <v>42847.110196759262</v>
      </c>
      <c r="F202" s="13">
        <v>42847.111585648148</v>
      </c>
      <c r="G202" s="7">
        <v>1</v>
      </c>
      <c r="H202" s="21" t="s">
        <v>484</v>
      </c>
      <c r="I202" s="13">
        <v>42847.12059027778</v>
      </c>
      <c r="J202" s="7">
        <v>0</v>
      </c>
      <c r="K202" s="97" t="str">
        <f t="shared" si="48"/>
        <v>4023/4024</v>
      </c>
      <c r="L202" s="21" t="str">
        <f>VLOOKUP(A202,'Trips&amp;Operators'!$C$1:$G$99999,5,FALSE)</f>
        <v>BROWN JACOB</v>
      </c>
      <c r="M202" s="6">
        <f t="shared" si="49"/>
        <v>9.0046296318178065E-3</v>
      </c>
      <c r="N202" s="7">
        <f t="shared" si="77"/>
        <v>12.966666669817641</v>
      </c>
      <c r="O202" s="7"/>
      <c r="P202" s="7"/>
      <c r="Q202" s="22"/>
      <c r="R202" s="22"/>
      <c r="S202" s="31">
        <f t="shared" si="50"/>
        <v>1</v>
      </c>
      <c r="T202" s="46" t="str">
        <f t="shared" si="5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2"/>
        <v>https://d0f6bd738d7f1b3e5a7ca70fe4ff75f0.us-east-1.aws.found.io/app/kibana#/discover/Steve-Slow-Train-Analysis-(2080s-and-2083s)?_g=(refreshInterval:(display:Off,pause:!f,section:0,value:0),time:(from:'2017-04-22T01:38:41-0600',mode:absolute,to:'2017-04-22T03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2" s="183" t="str">
        <f t="shared" si="53"/>
        <v>Y</v>
      </c>
      <c r="X202" s="183">
        <f t="shared" si="78"/>
        <v>5</v>
      </c>
      <c r="Y202" s="62">
        <f t="shared" si="54"/>
        <v>4.7300000000000002E-2</v>
      </c>
      <c r="Z202" s="62">
        <f t="shared" si="55"/>
        <v>2.3346</v>
      </c>
      <c r="AA202" s="62">
        <f t="shared" si="56"/>
        <v>2.2873000000000001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0315-21</v>
      </c>
      <c r="AE202" s="85" t="str">
        <f t="shared" si="58"/>
        <v>aws s3 cp s3://rtdc.mdm.uploadarchive.raw/RTDC4024/ "%USERPROFILE%\AppData\Local\Temp\OnboardLogs"\RTDC4024\2017-04-22 --exclude "*" --recursive --include "*20170422*" &amp; "%USERPROFILE%\Documents\GitHub\mrs-test-scripts\Headless Mode &amp; Sideloading\WalkAndUnGZ.bat" "%USERPROFILE%\AppData\Local\Temp\OnboardLogs"\RTDC4024\2017-04-22 &amp; aws s3 cp s3://rtdc.mdm.uploadarchive.raw/RTDC4024/ "%USERPROFILE%\AppData\Local\Temp\OnboardLogs"\RTDC4024\2017-04-23 --exclude "*" --recursive --include "*20170423*" &amp; "%USERPROFILE%\Documents\GitHub\mrs-test-scripts\Headless Mode &amp; Sideloading\WalkAndUnGZ.bat" "%USERPROFILE%\AppData\Local\Temp\OnboardLogs"\RTDC4024\2017-04-23</v>
      </c>
      <c r="AF202" s="82" t="str">
        <f t="shared" si="59"/>
        <v>"C:\Program Files (x86)\AstroGrep\AstroGrep.exe" /e /r /s /spath="%USERPROFILE%\AppData\Local\Temp\OnboardLogs" /stypes="app*4024*20170422*" /stext=" 08:.+((SYSTEM_STATE.+slice.+state.+changed )|(ment ac)|(multiple cpu faults)|(system.+state.+changed )|(\[timeout)|(PRM\|1\|D)|(kpr)|(kdp)|(\|lc)|(penalty))"</v>
      </c>
      <c r="AG202" s="1" t="str">
        <f t="shared" si="60"/>
        <v>Other</v>
      </c>
      <c r="AH202" s="86" t="str">
        <f t="shared" si="61"/>
        <v>"%USERPROFILE%\Documents\GitHub\eaglep3\Utilities\RefineRTDCRunTimes.py" --tripid 315-21 --locoid 4024 --swversion DE.1.0.9.0 --startMP 204:473 --initTime 2017-04-22T02:38:41 --startdatetime 2017-04-22T02:40:41 --delay 1 --endMP 300:23346 --enddatetime 2017-04-22T02:53:39 --enforcementcount 0 &gt;&gt;C:\Users\stu\Documents\GitHub\eaglep3-reporting\EC\2017-04-22-refined-times.txt</v>
      </c>
      <c r="AI202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{"issue":{"subject":"","project_id":79,"tracker_id":40,"status_id":1,"priority_id":2,"assigned_to_id":23,"start_date":"2017-04-22","description":"","custom_fields":[{"id":1,"name":"Subdivision","value":"Other"},{"id":4,"name":"Milepost","value":"2.3346"},{"id":17,"name":"Train ID","value":"315-21"},{"id":16,"name":"Locomotive ID","value":"4024"},{"id":130,"name":"Impact","value":""},{"id":150,"name":"Time of Event (Mountain Time)","value":"02:53:39"},{"id":151,"name":"Denver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3"/>
        <v>start /low /b %USERPROFILE%\Documents\GitHub\eaglep3\Utilities\DownloadLogsFromS3.py --loco 4024 --day 2017-04-22</v>
      </c>
      <c r="AN202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08:53:39"},{"id":29,"name":"Sharepoint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3" t="s">
        <v>826</v>
      </c>
      <c r="B203" s="7">
        <v>4056</v>
      </c>
      <c r="C203" s="21" t="s">
        <v>213</v>
      </c>
      <c r="D203" s="21" t="s">
        <v>967</v>
      </c>
      <c r="E203" s="13">
        <v>42848.111064814817</v>
      </c>
      <c r="F203" s="13">
        <v>42848.112326388888</v>
      </c>
      <c r="G203" s="7">
        <v>1</v>
      </c>
      <c r="H203" s="21" t="s">
        <v>484</v>
      </c>
      <c r="I203" s="13">
        <v>42848.121261574073</v>
      </c>
      <c r="J203" s="7">
        <v>0</v>
      </c>
      <c r="K203" s="97" t="str">
        <f t="shared" si="48"/>
        <v>4055/4056</v>
      </c>
      <c r="L203" s="21" t="str">
        <f>VLOOKUP(A203,'Trips&amp;Operators'!$C$1:$G$99999,5,FALSE)</f>
        <v>BROWN JACOB</v>
      </c>
      <c r="M203" s="6">
        <f t="shared" si="49"/>
        <v>8.9351851856918074E-3</v>
      </c>
      <c r="N203" s="7">
        <f t="shared" si="77"/>
        <v>12.866666667396203</v>
      </c>
      <c r="O203" s="7"/>
      <c r="P203" s="7"/>
      <c r="Q203" s="22"/>
      <c r="R203" s="22"/>
      <c r="S203" s="31">
        <f t="shared" si="50"/>
        <v>1</v>
      </c>
      <c r="T203" s="46" t="str">
        <f t="shared" si="51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2"/>
        <v>https://d0f6bd738d7f1b3e5a7ca70fe4ff75f0.us-east-1.aws.found.io/app/kibana#/discover/Steve-Slow-Train-Analysis-(2080s-and-2083s)?_g=(refreshInterval:(display:Off,pause:!f,section:0,value:0),time:(from:'2017-04-23T01:39:56-0600',mode:absolute,to:'2017-04-23T03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3" s="183" t="str">
        <f t="shared" si="53"/>
        <v>Y</v>
      </c>
      <c r="X203" s="183">
        <f t="shared" si="78"/>
        <v>0</v>
      </c>
      <c r="Y203" s="62">
        <f t="shared" si="54"/>
        <v>5.04E-2</v>
      </c>
      <c r="Z203" s="62">
        <f t="shared" si="55"/>
        <v>2.3346</v>
      </c>
      <c r="AA203" s="62">
        <f t="shared" si="56"/>
        <v>2.2842000000000002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0315-22</v>
      </c>
      <c r="AE203" s="85" t="str">
        <f t="shared" si="58"/>
        <v>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 &amp; aws s3 cp s3://rtdc.mdm.uploadarchive.raw/RTDC4056/ "%USERPROFILE%\AppData\Local\Temp\OnboardLogs"\RTDC4056\2017-04-24 --exclude "*" --recursive --include "*20170424*" &amp; "%USERPROFILE%\Documents\GitHub\mrs-test-scripts\Headless Mode &amp; Sideloading\WalkAndUnGZ.bat" "%USERPROFILE%\AppData\Local\Temp\OnboardLogs"\RTDC4056\2017-04-24</v>
      </c>
      <c r="AF203" s="82" t="str">
        <f t="shared" si="59"/>
        <v>"C:\Program Files (x86)\AstroGrep\AstroGrep.exe" /e /r /s /spath="%USERPROFILE%\AppData\Local\Temp\OnboardLogs" /stypes="app*4056*20170423*" /stext=" 08:.+((SYSTEM_STATE.+slice.+state.+changed )|(ment ac)|(multiple cpu faults)|(system.+state.+changed )|(\[timeout)|(PRM\|1\|D)|(kpr)|(kdp)|(\|lc)|(penalty))"</v>
      </c>
      <c r="AG203" s="1" t="str">
        <f t="shared" si="60"/>
        <v>Other</v>
      </c>
      <c r="AH203" s="86" t="str">
        <f t="shared" si="61"/>
        <v>"%USERPROFILE%\Documents\GitHub\eaglep3\Utilities\RefineRTDCRunTimes.py" --tripid 315-22 --locoid 4056 --swversion DE.1.0.9.0 --startMP 204:504 --initTime 2017-04-23T02:39:56 --startdatetime 2017-04-23T02:41:45 --delay 1 --endMP 300:23346 --enddatetime 2017-04-23T02:54:37 --enforcementcount 0 &gt;&gt;C:\Users\stu\Documents\GitHub\eaglep3-reporting\EC\2017-04-22-refined-times.txt</v>
      </c>
      <c r="AI203" s="104" t="str">
        <f t="shared" si="62"/>
        <v>echo {"issue":{"subject":"","project_id":79,"tracker_id":40,"status_id":1,"priority_id":2,"assigned_to_id":23,"start_date":"2017-04-23","description":"","custom_fields":[{"id":1,"name":"Subdivision","value":"Other"},{"id":4,"name":"Milepost","value":"2.3346"},{"id":17,"name":"Train ID","value":"315-22"},{"id":16,"name":"Locomotive ID","value":"4056"},{"id":130,"name":"Impact","value":""},{"id":150,"name":"Time of Event (Mountain Time)","value":"02:54:37"},{"id":151,"name":"Denver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3"/>
        <v>start /low /b %USERPROFILE%\Documents\GitHub\eaglep3\Utilities\DownloadLogsFromS3.py --loco 4056 --day 2017-04-23</v>
      </c>
      <c r="AN203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3" t="s">
        <v>645</v>
      </c>
      <c r="B204" s="7">
        <v>4014</v>
      </c>
      <c r="C204" s="21" t="s">
        <v>213</v>
      </c>
      <c r="D204" s="21" t="s">
        <v>925</v>
      </c>
      <c r="E204" s="13">
        <v>42847.219525462962</v>
      </c>
      <c r="F204" s="13">
        <v>42847.224583333336</v>
      </c>
      <c r="G204" s="7">
        <v>7</v>
      </c>
      <c r="H204" s="21" t="s">
        <v>895</v>
      </c>
      <c r="I204" s="13">
        <v>42847.231041666666</v>
      </c>
      <c r="J204" s="7">
        <v>0</v>
      </c>
      <c r="K204" s="97" t="str">
        <f t="shared" si="48"/>
        <v>4013/4014</v>
      </c>
      <c r="L204" s="21" t="str">
        <f>VLOOKUP(A204,'Trips&amp;Operators'!$C$1:$G$99999,5,FALSE)</f>
        <v>SHOOK JOHN</v>
      </c>
      <c r="M204" s="6">
        <f t="shared" si="49"/>
        <v>6.4583333296468481E-3</v>
      </c>
      <c r="N204" s="7">
        <f t="shared" si="77"/>
        <v>9.2999999946914613</v>
      </c>
      <c r="O204" s="7"/>
      <c r="P204" s="7"/>
      <c r="Q204" s="22"/>
      <c r="R204" s="22"/>
      <c r="S204" s="31">
        <f t="shared" si="50"/>
        <v>0</v>
      </c>
      <c r="T204" s="46" t="str">
        <f t="shared" si="51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2" t="str">
        <f t="shared" si="52"/>
        <v>https://d0f6bd738d7f1b3e5a7ca70fe4ff75f0.us-east-1.aws.found.io/app/kibana#/discover/Steve-Slow-Train-Analysis-(2080s-and-2083s)?_g=(refreshInterval:(display:Off,pause:!f,section:0,value:0),time:(from:'2017-04-22T04:16:07-0600',mode:absolute,to:'2017-04-22T06:32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4" s="183" t="str">
        <f t="shared" si="53"/>
        <v>Y</v>
      </c>
      <c r="X204" s="183">
        <f t="shared" si="78"/>
        <v>1586</v>
      </c>
      <c r="Y204" s="62">
        <f t="shared" si="54"/>
        <v>3.0104000000000002</v>
      </c>
      <c r="Z204" s="62">
        <f t="shared" si="55"/>
        <v>5.8987999999999996</v>
      </c>
      <c r="AA204" s="62">
        <f t="shared" si="56"/>
        <v>2.8883999999999994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1901-22</v>
      </c>
      <c r="AE204" s="85" t="str">
        <f t="shared" si="58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204" s="82" t="str">
        <f t="shared" si="59"/>
        <v>"C:\Program Files (x86)\AstroGrep\AstroGrep.exe" /e /r /s /spath="%USERPROFILE%\AppData\Local\Temp\OnboardLogs" /stypes="app*4014*20170422*" /stext=" 11:.+((SYSTEM_STATE.+slice.+state.+changed )|(ment ac)|(multiple cpu faults)|(system.+state.+changed )|(\[timeout)|(PRM\|1\|D)|(kpr)|(kdp)|(\|lc)|(penalty))"</v>
      </c>
      <c r="AG204" s="1" t="str">
        <f t="shared" si="60"/>
        <v>Other</v>
      </c>
      <c r="AH204" s="86" t="str">
        <f t="shared" si="61"/>
        <v>"%USERPROFILE%\Documents\GitHub\eaglep3\Utilities\RefineRTDCRunTimes.py" --tripid 1901-22 --locoid 4014 --swversion DE.1.0.9.0 --startMP 300:30104 --initTime 2017-04-22T05:16:07 --startdatetime 2017-04-22T05:23:24 --delay 7 --endMP 300:58988 --enddatetime 2017-04-22T05:32:42 --enforcementcount 0 &gt;&gt;C:\Users\stu\Documents\GitHub\eaglep3-reporting\EC\2017-04-22-refined-times.txt</v>
      </c>
      <c r="AI204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{"issue":{"subject":"","project_id":79,"tracker_id":40,"status_id":1,"priority_id":2,"assigned_to_id":23,"start_date":"2017-04-22","description":"","custom_fields":[{"id":1,"name":"Subdivision","value":"Other"},{"id":4,"name":"Milepost","value":"5.8988"},{"id":17,"name":"Train ID","value":"1901-22"},{"id":16,"name":"Locomotive ID","value":"4014"},{"id":130,"name":"Impact","value":""},{"id":150,"name":"Time of Event (Mountain Time)","value":"05:32:42"},{"id":151,"name":"Denver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63"/>
        <v>start /low /b %USERPROFILE%\Documents\GitHub\eaglep3\Utilities\DownloadLogsFromS3.py --loco 4014 --day 2017-04-22</v>
      </c>
      <c r="AN204" s="159" t="str">
        <f t="shared" si="64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11:32:42"},{"id":29,"name":"Sharepoint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3" t="s">
        <v>810</v>
      </c>
      <c r="B205" s="7">
        <v>4013</v>
      </c>
      <c r="C205" s="21" t="s">
        <v>213</v>
      </c>
      <c r="D205" s="21" t="s">
        <v>926</v>
      </c>
      <c r="E205" s="13">
        <v>42847.942025462966</v>
      </c>
      <c r="F205" s="13">
        <v>42847.950555555559</v>
      </c>
      <c r="G205" s="7">
        <v>1</v>
      </c>
      <c r="H205" s="21" t="s">
        <v>927</v>
      </c>
      <c r="I205" s="13">
        <v>42847.957650462966</v>
      </c>
      <c r="J205" s="7">
        <v>0</v>
      </c>
      <c r="K205" s="97" t="str">
        <f t="shared" ref="K205:K218" si="79">IF(ISEVEN(B205),(B205-1)&amp;"/"&amp;B205,B205&amp;"/"&amp;(B205+1))</f>
        <v>4013/4014</v>
      </c>
      <c r="L205" s="21" t="str">
        <f>VLOOKUP(A205,'Trips&amp;Operators'!$C$1:$G$99999,5,FALSE)</f>
        <v>HELVIE ADAM</v>
      </c>
      <c r="M205" s="6">
        <f t="shared" ref="M205:M218" si="80">I205-F205</f>
        <v>7.0949074070085771E-3</v>
      </c>
      <c r="N205" s="7">
        <f t="shared" si="77"/>
        <v>10.216666666092351</v>
      </c>
      <c r="O205" s="7"/>
      <c r="P205" s="7"/>
      <c r="Q205" s="22"/>
      <c r="R205" s="22"/>
      <c r="S205" s="31">
        <f t="shared" ref="S205:S218" si="81">SUM(U205:U205)/IF(AG205="EC",12,1)</f>
        <v>0</v>
      </c>
      <c r="T205" s="46" t="str">
        <f t="shared" ref="T205:T218" si="82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2" t="str">
        <f t="shared" ref="V205:V218" si="8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-22T21:36:31-0600',mode:absolute,to:'2017-04-22T23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5" s="183" t="str">
        <f t="shared" ref="W205:W218" si="84">IF(AA205&lt;IF(AG205="EC",23,5.65),"Y","N")</f>
        <v>Y</v>
      </c>
      <c r="X205" s="183">
        <f t="shared" si="78"/>
        <v>1</v>
      </c>
      <c r="Y205" s="62">
        <f t="shared" ref="Y205:Y218" si="85">RIGHT(D205,LEN(D205)-4)/10000</f>
        <v>5.8613</v>
      </c>
      <c r="Z205" s="62">
        <f t="shared" ref="Z205:Z218" si="86">RIGHT(H205,LEN(H205)-4)/10000</f>
        <v>2.1690999999999998</v>
      </c>
      <c r="AA205" s="62">
        <f t="shared" ref="AA205:AA218" si="87">ABS(Z205-Y205)</f>
        <v>3.6922000000000001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8" si="88">IF(LEN(A205)=6,"0"&amp;A205,A205)</f>
        <v>1902-22</v>
      </c>
      <c r="AE205" s="85" t="str">
        <f t="shared" ref="AE205:AE218" si="8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AF205" s="82" t="str">
        <f t="shared" ref="AF205:AF218" si="9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/stypes="app*4013*20170423*" /stext=" 04:.+((SYSTEM_STATE.+slice.+state.+changed )|(ment ac)|(multiple cpu faults)|(system.+state.+changed )|(\[timeout)|(PRM\|1\|D)|(kpr)|(kdp)|(\|lc)|(penalty))"</v>
      </c>
      <c r="AG205" s="1" t="str">
        <f t="shared" ref="AG205:AG218" si="91">IFERROR(IF(VALUE(LEFT(AD205,2))&lt;=2,"EC",IF(OR(VALUE(LEFT(AD205,2))=8,VALUE(LEFT(AD205,2))=18),"NW","Other")),"Other")</f>
        <v>Other</v>
      </c>
      <c r="AH205" s="86" t="str">
        <f t="shared" si="61"/>
        <v>"%USERPROFILE%\Documents\GitHub\eaglep3\Utilities\RefineRTDCRunTimes.py" --tripid 1902-22 --locoid 4013 --swversion DE.1.0.9.0 --startMP 300:58613 --initTime 2017-04-22T22:36:31 --startdatetime 2017-04-22T22:48:48 --delay 1 --endMP 300:21691 --enddatetime 2017-04-22T22:59:01 --enforcementcount 0 &gt;&gt;C:\Users\stu\Documents\GitHub\eaglep3-reporting\EC\2017-04-22-refined-times.txt</v>
      </c>
      <c r="AI205" s="104" t="str">
        <f t="shared" si="62"/>
        <v>echo {"issue":{"subject":"","project_id":79,"tracker_id":40,"status_id":1,"priority_id":2,"assigned_to_id":23,"start_date":"2017-04-22","description":"","custom_fields":[{"id":1,"name":"Subdivision","value":"Other"},{"id":4,"name":"Milepost","value":"2.1691"},{"id":17,"name":"Train ID","value":"1902-22"},{"id":16,"name":"Locomotive ID","value":"4013"},{"id":130,"name":"Impact","value":""},{"id":150,"name":"Time of Event (Mountain Time)","value":"22:59:01"},{"id":151,"name":"Denver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63"/>
        <v>start /low /b %USERPROFILE%\Documents\GitHub\eaglep3\Utilities\DownloadLogsFromS3.py --loco 4013 --day 2017-04-22</v>
      </c>
      <c r="AN205" s="159" t="str">
        <f t="shared" si="6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3" t="s">
        <v>810</v>
      </c>
      <c r="B206" s="7">
        <v>4014</v>
      </c>
      <c r="C206" s="21" t="s">
        <v>213</v>
      </c>
      <c r="D206" s="21" t="s">
        <v>928</v>
      </c>
      <c r="E206" s="13">
        <v>42847.949247685188</v>
      </c>
      <c r="F206" s="13">
        <v>42847.950555555559</v>
      </c>
      <c r="G206" s="7">
        <v>1</v>
      </c>
      <c r="H206" s="21" t="s">
        <v>929</v>
      </c>
      <c r="I206" s="13">
        <v>42847.957650462966</v>
      </c>
      <c r="J206" s="7">
        <v>0</v>
      </c>
      <c r="K206" s="97" t="str">
        <f t="shared" si="79"/>
        <v>4013/4014</v>
      </c>
      <c r="L206" s="21" t="str">
        <f>VLOOKUP(A206,'Trips&amp;Operators'!$C$1:$G$99999,5,FALSE)</f>
        <v>HELVIE ADAM</v>
      </c>
      <c r="M206" s="6">
        <f t="shared" si="80"/>
        <v>7.0949074070085771E-3</v>
      </c>
      <c r="N206" s="7">
        <f t="shared" si="77"/>
        <v>10.216666666092351</v>
      </c>
      <c r="O206" s="7"/>
      <c r="P206" s="7"/>
      <c r="Q206" s="22"/>
      <c r="R206" s="22"/>
      <c r="S206" s="31">
        <f t="shared" si="81"/>
        <v>0</v>
      </c>
      <c r="T206" s="46" t="str">
        <f t="shared" si="82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2" t="str">
        <f t="shared" si="83"/>
        <v>https://d0f6bd738d7f1b3e5a7ca70fe4ff75f0.us-east-1.aws.found.io/app/kibana#/discover/Steve-Slow-Train-Analysis-(2080s-and-2083s)?_g=(refreshInterval:(display:Off,pause:!f,section:0,value:0),time:(from:'2017-04-22T21:46:55-0600',mode:absolute,to:'2017-04-22T23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183" t="str">
        <f t="shared" si="84"/>
        <v>Y</v>
      </c>
      <c r="X206" s="183">
        <f t="shared" si="78"/>
        <v>0</v>
      </c>
      <c r="Y206" s="62">
        <f t="shared" si="85"/>
        <v>2.1983000000000001</v>
      </c>
      <c r="Z206" s="62">
        <f t="shared" si="86"/>
        <v>2.331</v>
      </c>
      <c r="AA206" s="62">
        <f t="shared" si="87"/>
        <v>0.13269999999999982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8"/>
        <v>1902-22</v>
      </c>
      <c r="AE206" s="85" t="str">
        <f t="shared" si="89"/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AF206" s="82" t="str">
        <f t="shared" si="90"/>
        <v>"C:\Program Files (x86)\AstroGrep\AstroGrep.exe" /e /r /s /spath="%USERPROFILE%\AppData\Local\Temp\OnboardLogs" /stypes="app*4014*20170423*" /stext=" 04:.+((SYSTEM_STATE.+slice.+state.+changed )|(ment ac)|(multiple cpu faults)|(system.+state.+changed )|(\[timeout)|(PRM\|1\|D)|(kpr)|(kdp)|(\|lc)|(penalty))"</v>
      </c>
      <c r="AG206" s="1" t="str">
        <f t="shared" si="91"/>
        <v>Other</v>
      </c>
      <c r="AH206" s="86" t="str">
        <f t="shared" ref="AH206:AH218" si="9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1902-22 --locoid 4014 --swversion DE.1.0.9.0 --startMP 300:21983 --initTime 2017-04-22T22:46:55 --startdatetime 2017-04-22T22:48:48 --delay 1 --endMP 300:23310 --enddatetime 2017-04-22T22:59:01 --enforcementcount 0 &gt;&gt;C:\Users\stu\Documents\GitHub\eaglep3-reporting\EC\2017-04-22-refined-times.txt</v>
      </c>
      <c r="AI206" s="104" t="str">
        <f t="shared" ref="AI206:AI218" si="9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{"issue":{"subject":"","project_id":79,"tracker_id":40,"status_id":1,"priority_id":2,"assigned_to_id":23,"start_date":"2017-04-22","description":"","custom_fields":[{"id":1,"name":"Subdivision","value":"Other"},{"id":4,"name":"Milepost","value":"2.331"},{"id":17,"name":"Train ID","value":"1902-22"},{"id":16,"name":"Locomotive ID","value":"4014"},{"id":130,"name":"Impact","value":""},{"id":150,"name":"Time of Event (Mountain Time)","value":"22:59:01"},{"id":151,"name":"Denver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ref="AM206:AM218" si="94">"start /low /b "&amp;dls3logs&amp;" --loco "&amp;B206&amp;" --day "&amp;TEXT(F206,"YYYY-MM-DD")</f>
        <v>start /low /b %USERPROFILE%\Documents\GitHub\eaglep3\Utilities\DownloadLogsFromS3.py --loco 4014 --day 2017-04-22</v>
      </c>
      <c r="AN206" s="159" t="str">
        <f t="shared" ref="AN206:AN218" si="9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04:59:01"},{"id":29,"name":"Sharepoint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3" t="s">
        <v>655</v>
      </c>
      <c r="B207" s="7">
        <v>4041</v>
      </c>
      <c r="C207" s="21" t="s">
        <v>213</v>
      </c>
      <c r="D207" s="21" t="s">
        <v>968</v>
      </c>
      <c r="E207" s="13">
        <v>42847.256990740738</v>
      </c>
      <c r="F207" s="13">
        <v>42847.258217592593</v>
      </c>
      <c r="G207" s="7">
        <v>1</v>
      </c>
      <c r="H207" s="21" t="s">
        <v>969</v>
      </c>
      <c r="I207" s="13">
        <v>42847.259270833332</v>
      </c>
      <c r="J207" s="7">
        <v>0</v>
      </c>
      <c r="K207" s="97" t="str">
        <f t="shared" si="79"/>
        <v>4041/4042</v>
      </c>
      <c r="L207" s="21" t="str">
        <f>VLOOKUP(A207,'Trips&amp;Operators'!$C$1:$G$99999,5,FALSE)</f>
        <v>COOLAHAN JOHN</v>
      </c>
      <c r="M207" s="6">
        <f t="shared" si="80"/>
        <v>1.0532407395658083E-3</v>
      </c>
      <c r="N207" s="7">
        <f t="shared" si="77"/>
        <v>1.516666664974764</v>
      </c>
      <c r="O207" s="7"/>
      <c r="P207" s="7"/>
      <c r="Q207" s="22"/>
      <c r="R207" s="22"/>
      <c r="S207" s="31">
        <f t="shared" si="81"/>
        <v>0</v>
      </c>
      <c r="T207" s="46" t="e">
        <f t="shared" si="82"/>
        <v>#VALUE!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83"/>
        <v>https://d0f6bd738d7f1b3e5a7ca70fe4ff75f0.us-east-1.aws.found.io/app/kibana#/discover/Steve-Slow-Train-Analysis-(2080s-and-2083s)?_g=(refreshInterval:(display:Off,pause:!f,section:0,value:0),time:(from:'2017-04-22T05:10:04-0600',mode:absolute,to:'2017-04-22T07:13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7" s="183" t="str">
        <f t="shared" si="84"/>
        <v>Y</v>
      </c>
      <c r="X207" s="183" t="e">
        <f t="shared" si="78"/>
        <v>#VALUE!</v>
      </c>
      <c r="Y207" s="62">
        <f t="shared" si="85"/>
        <v>0.32419999999999999</v>
      </c>
      <c r="Z207" s="62">
        <f t="shared" si="86"/>
        <v>0.1162</v>
      </c>
      <c r="AA207" s="62">
        <f t="shared" si="87"/>
        <v>0.20799999999999999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8"/>
        <v>51-22</v>
      </c>
      <c r="AE207" s="85" t="str">
        <f t="shared" si="89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207" s="82" t="str">
        <f t="shared" si="90"/>
        <v>"C:\Program Files (x86)\AstroGrep\AstroGrep.exe" /e /r /s /spath="%USERPROFILE%\AppData\Local\Temp\OnboardLogs" /stypes="app*4041*20170422*" /stext=" 12:.+((SYSTEM_STATE.+slice.+state.+changed )|(ment ac)|(multiple cpu faults)|(system.+state.+changed )|(\[timeout)|(PRM\|1\|D)|(kpr)|(kdp)|(\|lc)|(penalty))"</v>
      </c>
      <c r="AG207" s="1" t="str">
        <f t="shared" si="91"/>
        <v>Other</v>
      </c>
      <c r="AH207" s="86" t="str">
        <f t="shared" si="92"/>
        <v>"%USERPROFILE%\Documents\GitHub\eaglep3\Utilities\RefineRTDCRunTimes.py" --tripid 51-22 --locoid 4041 --swversion DE.1.0.9.0 --startMP 204:3242 --initTime 2017-04-22T06:10:04 --startdatetime 2017-04-22T06:11:50 --delay 1 --endMP 204:1162 --enddatetime 2017-04-22T06:13:21 --enforcementcount 0 &gt;&gt;C:\Users\stu\Documents\GitHub\eaglep3-reporting\EC\2017-04-22-refined-times.txt</v>
      </c>
      <c r="AI207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{"issue":{"subject":"","project_id":79,"tracker_id":40,"status_id":1,"priority_id":2,"assigned_to_id":23,"start_date":"2017-04-22","description":"","custom_fields":[{"id":1,"name":"Subdivision","value":"Other"},{"id":4,"name":"Milepost","value":"0.1162"},{"id":17,"name":"Train ID","value":"51-22"},{"id":16,"name":"Locomotive ID","value":"4041"},{"id":130,"name":"Impact","value":""},{"id":150,"name":"Time of Event (Mountain Time)","value":"06:13:21"},{"id":151,"name":"Denver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94"/>
        <v>start /low /b %USERPROFILE%\Documents\GitHub\eaglep3\Utilities\DownloadLogsFromS3.py --loco 4041 --day 2017-04-22</v>
      </c>
      <c r="AN207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12:13:21"},{"id":29,"name":"Sharepoint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3" t="s">
        <v>655</v>
      </c>
      <c r="B208" s="7">
        <v>4042</v>
      </c>
      <c r="C208" s="21" t="s">
        <v>213</v>
      </c>
      <c r="D208" s="21" t="s">
        <v>208</v>
      </c>
      <c r="E208" s="13">
        <v>42847.248368055552</v>
      </c>
      <c r="F208" s="13">
        <v>42847.258217592593</v>
      </c>
      <c r="G208" s="7">
        <v>2</v>
      </c>
      <c r="H208" s="21" t="s">
        <v>970</v>
      </c>
      <c r="I208" s="13">
        <v>42847.259270833332</v>
      </c>
      <c r="J208" s="7">
        <v>0</v>
      </c>
      <c r="K208" s="97" t="str">
        <f t="shared" si="79"/>
        <v>4041/4042</v>
      </c>
      <c r="L208" s="21" t="str">
        <f>VLOOKUP(A208,'Trips&amp;Operators'!$C$1:$G$99999,5,FALSE)</f>
        <v>COOLAHAN JOHN</v>
      </c>
      <c r="M208" s="6">
        <f t="shared" si="80"/>
        <v>1.0532407395658083E-3</v>
      </c>
      <c r="N208" s="7">
        <f t="shared" si="77"/>
        <v>1.516666664974764</v>
      </c>
      <c r="O208" s="7"/>
      <c r="P208" s="7"/>
      <c r="Q208" s="22"/>
      <c r="R208" s="22"/>
      <c r="S208" s="31">
        <f t="shared" si="81"/>
        <v>0</v>
      </c>
      <c r="T208" s="46" t="e">
        <f t="shared" si="82"/>
        <v>#VALUE!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 t="shared" si="83"/>
        <v>https://d0f6bd738d7f1b3e5a7ca70fe4ff75f0.us-east-1.aws.found.io/app/kibana#/discover/Steve-Slow-Train-Analysis-(2080s-and-2083s)?_g=(refreshInterval:(display:Off,pause:!f,section:0,value:0),time:(from:'2017-04-22T04:57:39-0600',mode:absolute,to:'2017-04-22T07:13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83" t="str">
        <f t="shared" si="84"/>
        <v>Y</v>
      </c>
      <c r="X208" s="183" t="e">
        <f t="shared" si="78"/>
        <v>#VALUE!</v>
      </c>
      <c r="Y208" s="62">
        <f t="shared" si="85"/>
        <v>4.53E-2</v>
      </c>
      <c r="Z208" s="62">
        <f t="shared" si="86"/>
        <v>0.35610000000000003</v>
      </c>
      <c r="AA208" s="62">
        <f t="shared" si="87"/>
        <v>0.31080000000000002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8"/>
        <v>51-22</v>
      </c>
      <c r="AE208" s="85" t="str">
        <f t="shared" si="89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208" s="82" t="str">
        <f t="shared" si="90"/>
        <v>"C:\Program Files (x86)\AstroGrep\AstroGrep.exe" /e /r /s /spath="%USERPROFILE%\AppData\Local\Temp\OnboardLogs" /stypes="app*4042*20170422*" /stext=" 12:.+((SYSTEM_STATE.+slice.+state.+changed )|(ment ac)|(multiple cpu faults)|(system.+state.+changed )|(\[timeout)|(PRM\|1\|D)|(kpr)|(kdp)|(\|lc)|(penalty))"</v>
      </c>
      <c r="AG208" s="1" t="str">
        <f t="shared" si="91"/>
        <v>Other</v>
      </c>
      <c r="AH208" s="86" t="str">
        <f t="shared" si="92"/>
        <v>"%USERPROFILE%\Documents\GitHub\eaglep3\Utilities\RefineRTDCRunTimes.py" --tripid 51-22 --locoid 4042 --swversion DE.1.0.9.0 --startMP 204:453 --initTime 2017-04-22T05:57:39 --startdatetime 2017-04-22T06:11:50 --delay 2 --endMP 204:3561 --enddatetime 2017-04-22T06:13:21 --enforcementcount 0 &gt;&gt;C:\Users\stu\Documents\GitHub\eaglep3-reporting\EC\2017-04-22-refined-times.txt</v>
      </c>
      <c r="AI208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{"issue":{"subject":"","project_id":79,"tracker_id":40,"status_id":1,"priority_id":2,"assigned_to_id":23,"start_date":"2017-04-22","description":"","custom_fields":[{"id":1,"name":"Subdivision","value":"Other"},{"id":4,"name":"Milepost","value":"0.3561"},{"id":17,"name":"Train ID","value":"51-22"},{"id":16,"name":"Locomotive ID","value":"4042"},{"id":130,"name":"Impact","value":""},{"id":150,"name":"Time of Event (Mountain Time)","value":"06:13:21"},{"id":151,"name":"Denver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94"/>
        <v>start /low /b %USERPROFILE%\Documents\GitHub\eaglep3\Utilities\DownloadLogsFromS3.py --loco 4042 --day 2017-04-22</v>
      </c>
      <c r="AN208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12:13:21"},{"id":29,"name":"Sharepoint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680</v>
      </c>
      <c r="B209" s="7">
        <v>4041</v>
      </c>
      <c r="C209" s="21" t="s">
        <v>213</v>
      </c>
      <c r="D209" s="21" t="s">
        <v>971</v>
      </c>
      <c r="E209" s="13">
        <v>42847.380555555559</v>
      </c>
      <c r="F209" s="13">
        <v>42847.382187499999</v>
      </c>
      <c r="G209" s="7">
        <v>2</v>
      </c>
      <c r="H209" s="21" t="s">
        <v>972</v>
      </c>
      <c r="I209" s="13">
        <v>42847.383379629631</v>
      </c>
      <c r="J209" s="7">
        <v>0</v>
      </c>
      <c r="K209" s="97" t="str">
        <f t="shared" si="79"/>
        <v>4041/4042</v>
      </c>
      <c r="L209" s="21" t="str">
        <f>VLOOKUP(A209,'Trips&amp;Operators'!$C$1:$G$99999,5,FALSE)</f>
        <v>COOLAHAN JOHN</v>
      </c>
      <c r="M209" s="6">
        <f t="shared" si="80"/>
        <v>1.1921296318178065E-3</v>
      </c>
      <c r="N209" s="7">
        <f t="shared" si="77"/>
        <v>1.7166666698176414</v>
      </c>
      <c r="O209" s="7"/>
      <c r="P209" s="7"/>
      <c r="Q209" s="22"/>
      <c r="R209" s="22"/>
      <c r="S209" s="31">
        <f t="shared" si="81"/>
        <v>0</v>
      </c>
      <c r="T209" s="46" t="e">
        <f t="shared" si="82"/>
        <v>#VALUE!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2" t="str">
        <f t="shared" si="83"/>
        <v>https://d0f6bd738d7f1b3e5a7ca70fe4ff75f0.us-east-1.aws.found.io/app/kibana#/discover/Steve-Slow-Train-Analysis-(2080s-and-2083s)?_g=(refreshInterval:(display:Off,pause:!f,section:0,value:0),time:(from:'2017-04-22T08:08:00-0600',mode:absolute,to:'2017-04-22T10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9" s="183" t="str">
        <f t="shared" si="84"/>
        <v>Y</v>
      </c>
      <c r="X209" s="183" t="e">
        <f t="shared" si="78"/>
        <v>#VALUE!</v>
      </c>
      <c r="Y209" s="62">
        <f t="shared" si="85"/>
        <v>0.308</v>
      </c>
      <c r="Z209" s="62">
        <f t="shared" si="86"/>
        <v>1.09E-2</v>
      </c>
      <c r="AA209" s="62">
        <f t="shared" si="87"/>
        <v>0.29709999999999998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8"/>
        <v>53-22</v>
      </c>
      <c r="AE209" s="85" t="str">
        <f t="shared" si="89"/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AF209" s="82" t="str">
        <f t="shared" si="90"/>
        <v>"C:\Program Files (x86)\AstroGrep\AstroGrep.exe" /e /r /s /spath="%USERPROFILE%\AppData\Local\Temp\OnboardLogs" /stypes="app*4041*20170422*" /stext=" 15:.+((SYSTEM_STATE.+slice.+state.+changed )|(ment ac)|(multiple cpu faults)|(system.+state.+changed )|(\[timeout)|(PRM\|1\|D)|(kpr)|(kdp)|(\|lc)|(penalty))"</v>
      </c>
      <c r="AG209" s="1" t="str">
        <f t="shared" si="91"/>
        <v>Other</v>
      </c>
      <c r="AH209" s="86" t="str">
        <f t="shared" si="92"/>
        <v>"%USERPROFILE%\Documents\GitHub\eaglep3\Utilities\RefineRTDCRunTimes.py" --tripid 53-22 --locoid 4041 --swversion DE.1.0.9.0 --startMP 204:3080 --initTime 2017-04-22T09:08:00 --startdatetime 2017-04-22T09:10:21 --delay 2 --endMP 204:109 --enddatetime 2017-04-22T09:12:04 --enforcementcount 0 &gt;&gt;C:\Users\stu\Documents\GitHub\eaglep3-reporting\EC\2017-04-22-refined-times.txt</v>
      </c>
      <c r="AI209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{"issue":{"subject":"","project_id":79,"tracker_id":40,"status_id":1,"priority_id":2,"assigned_to_id":23,"start_date":"2017-04-22","description":"","custom_fields":[{"id":1,"name":"Subdivision","value":"Other"},{"id":4,"name":"Milepost","value":"0.0109"},{"id":17,"name":"Train ID","value":"53-22"},{"id":16,"name":"Locomotive ID","value":"4041"},{"id":130,"name":"Impact","value":""},{"id":150,"name":"Time of Event (Mountain Time)","value":"09:12:04"},{"id":151,"name":"Denver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94"/>
        <v>start /low /b %USERPROFILE%\Documents\GitHub\eaglep3\Utilities\DownloadLogsFromS3.py --loco 4041 --day 2017-04-22</v>
      </c>
      <c r="AN209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680</v>
      </c>
      <c r="B210" s="7">
        <v>4042</v>
      </c>
      <c r="C210" s="21" t="s">
        <v>213</v>
      </c>
      <c r="D210" s="21" t="s">
        <v>973</v>
      </c>
      <c r="E210" s="13">
        <v>42847.377743055556</v>
      </c>
      <c r="F210" s="13">
        <v>42847.382187499999</v>
      </c>
      <c r="G210" s="7">
        <v>1</v>
      </c>
      <c r="H210" s="21" t="s">
        <v>974</v>
      </c>
      <c r="I210" s="13">
        <v>42847.383379629631</v>
      </c>
      <c r="J210" s="7">
        <v>0</v>
      </c>
      <c r="K210" s="97" t="str">
        <f t="shared" si="79"/>
        <v>4041/4042</v>
      </c>
      <c r="L210" s="21" t="str">
        <f>VLOOKUP(A210,'Trips&amp;Operators'!$C$1:$G$99999,5,FALSE)</f>
        <v>COOLAHAN JOHN</v>
      </c>
      <c r="M210" s="6">
        <f t="shared" si="80"/>
        <v>1.1921296318178065E-3</v>
      </c>
      <c r="N210" s="7">
        <f t="shared" si="77"/>
        <v>1.7166666698176414</v>
      </c>
      <c r="O210" s="7"/>
      <c r="P210" s="7"/>
      <c r="Q210" s="22"/>
      <c r="R210" s="22"/>
      <c r="S210" s="31">
        <f t="shared" si="81"/>
        <v>0</v>
      </c>
      <c r="T210" s="46" t="e">
        <f t="shared" si="82"/>
        <v>#VALUE!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83"/>
        <v>https://d0f6bd738d7f1b3e5a7ca70fe4ff75f0.us-east-1.aws.found.io/app/kibana#/discover/Steve-Slow-Train-Analysis-(2080s-and-2083s)?_g=(refreshInterval:(display:Off,pause:!f,section:0,value:0),time:(from:'2017-04-22T08:03:57-0600',mode:absolute,to:'2017-04-22T10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83" t="str">
        <f t="shared" si="84"/>
        <v>Y</v>
      </c>
      <c r="X210" s="183" t="e">
        <f t="shared" si="78"/>
        <v>#VALUE!</v>
      </c>
      <c r="Y210" s="62">
        <f t="shared" si="85"/>
        <v>0.1479</v>
      </c>
      <c r="Z210" s="62">
        <f t="shared" si="86"/>
        <v>0.34229999999999999</v>
      </c>
      <c r="AA210" s="62">
        <f t="shared" si="87"/>
        <v>0.19439999999999999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8"/>
        <v>53-22</v>
      </c>
      <c r="AE210" s="85" t="str">
        <f t="shared" si="89"/>
        <v>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 &amp; 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</v>
      </c>
      <c r="AF210" s="82" t="str">
        <f t="shared" si="90"/>
        <v>"C:\Program Files (x86)\AstroGrep\AstroGrep.exe" /e /r /s /spath="%USERPROFILE%\AppData\Local\Temp\OnboardLogs" /stypes="app*4042*20170422*" /stext=" 15:.+((SYSTEM_STATE.+slice.+state.+changed )|(ment ac)|(multiple cpu faults)|(system.+state.+changed )|(\[timeout)|(PRM\|1\|D)|(kpr)|(kdp)|(\|lc)|(penalty))"</v>
      </c>
      <c r="AG210" s="1" t="str">
        <f t="shared" si="91"/>
        <v>Other</v>
      </c>
      <c r="AH210" s="86" t="str">
        <f t="shared" si="92"/>
        <v>"%USERPROFILE%\Documents\GitHub\eaglep3\Utilities\RefineRTDCRunTimes.py" --tripid 53-22 --locoid 4042 --swversion DE.1.0.9.0 --startMP 204:1479 --initTime 2017-04-22T09:03:57 --startdatetime 2017-04-22T09:10:21 --delay 1 --endMP 204:3423 --enddatetime 2017-04-22T09:12:04 --enforcementcount 0 &gt;&gt;C:\Users\stu\Documents\GitHub\eaglep3-reporting\EC\2017-04-22-refined-times.txt</v>
      </c>
      <c r="AI210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{"issue":{"subject":"","project_id":79,"tracker_id":40,"status_id":1,"priority_id":2,"assigned_to_id":23,"start_date":"2017-04-22","description":"","custom_fields":[{"id":1,"name":"Subdivision","value":"Other"},{"id":4,"name":"Milepost","value":"0.3423"},{"id":17,"name":"Train ID","value":"53-22"},{"id":16,"name":"Locomotive ID","value":"4042"},{"id":130,"name":"Impact","value":""},{"id":150,"name":"Time of Event (Mountain Time)","value":"09:12:04"},{"id":151,"name":"Denver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94"/>
        <v>start /low /b %USERPROFILE%\Documents\GitHub\eaglep3\Utilities\DownloadLogsFromS3.py --loco 4042 --day 2017-04-22</v>
      </c>
      <c r="AN210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15:12:04"},{"id":29,"name":"Sharepoint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702</v>
      </c>
      <c r="B211" s="7">
        <v>4053</v>
      </c>
      <c r="C211" s="21" t="s">
        <v>213</v>
      </c>
      <c r="D211" s="21" t="s">
        <v>975</v>
      </c>
      <c r="E211" s="13">
        <v>42847.457812499997</v>
      </c>
      <c r="F211" s="13">
        <v>42847.462523148148</v>
      </c>
      <c r="G211" s="7">
        <v>6</v>
      </c>
      <c r="H211" s="21" t="s">
        <v>976</v>
      </c>
      <c r="I211" s="13">
        <v>42847.468182870369</v>
      </c>
      <c r="J211" s="7">
        <v>0</v>
      </c>
      <c r="K211" s="97" t="str">
        <f t="shared" si="79"/>
        <v>4053/4054</v>
      </c>
      <c r="L211" s="21" t="str">
        <f>VLOOKUP(A211,'Trips&amp;Operators'!$C$1:$G$99999,5,FALSE)</f>
        <v>WHITED DUSTIN</v>
      </c>
      <c r="M211" s="6">
        <f t="shared" si="80"/>
        <v>5.6597222210257314E-3</v>
      </c>
      <c r="N211" s="7">
        <f t="shared" si="77"/>
        <v>8.1499999982770532</v>
      </c>
      <c r="O211" s="7"/>
      <c r="P211" s="7"/>
      <c r="Q211" s="22"/>
      <c r="R211" s="22"/>
      <c r="S211" s="31">
        <f t="shared" si="81"/>
        <v>0</v>
      </c>
      <c r="T211" s="46" t="e">
        <f t="shared" si="82"/>
        <v>#VALUE!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2" t="str">
        <f t="shared" si="83"/>
        <v>https://d0f6bd738d7f1b3e5a7ca70fe4ff75f0.us-east-1.aws.found.io/app/kibana#/discover/Steve-Slow-Train-Analysis-(2080s-and-2083s)?_g=(refreshInterval:(display:Off,pause:!f,section:0,value:0),time:(from:'2017-04-22T09:59:15-0600',mode:absolute,to:'2017-04-22T12:14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83" t="str">
        <f t="shared" si="84"/>
        <v>Y</v>
      </c>
      <c r="X211" s="183" t="e">
        <f t="shared" si="78"/>
        <v>#VALUE!</v>
      </c>
      <c r="Y211" s="62">
        <f t="shared" si="85"/>
        <v>2.3521000000000001</v>
      </c>
      <c r="Z211" s="62">
        <f t="shared" si="86"/>
        <v>1.3100000000000001E-2</v>
      </c>
      <c r="AA211" s="62">
        <f t="shared" si="87"/>
        <v>2.339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8"/>
        <v>54-22</v>
      </c>
      <c r="AE211" s="85" t="str">
        <f t="shared" si="89"/>
        <v>aws s3 cp s3://rtdc.mdm.uploadarchive.raw/RTDC4053/ "%USERPROFILE%\AppData\Local\Temp\OnboardLogs"\RTDC4053\2017-04-22 --exclude "*" --recursive --include "*20170422*" &amp; "%USERPROFILE%\Documents\GitHub\mrs-test-scripts\Headless Mode &amp; Sideloading\WalkAndUnGZ.bat" "%USERPROFILE%\AppData\Local\Temp\OnboardLogs"\RTDC4053\2017-04-22 &amp; aws s3 cp s3://rtdc.mdm.uploadarchive.raw/RTDC4053/ "%USERPROFILE%\AppData\Local\Temp\OnboardLogs"\RTDC4053\2017-04-23 --exclude "*" --recursive --include "*20170423*" &amp; "%USERPROFILE%\Documents\GitHub\mrs-test-scripts\Headless Mode &amp; Sideloading\WalkAndUnGZ.bat" "%USERPROFILE%\AppData\Local\Temp\OnboardLogs"\RTDC4053\2017-04-23</v>
      </c>
      <c r="AF211" s="82" t="str">
        <f t="shared" si="90"/>
        <v>"C:\Program Files (x86)\AstroGrep\AstroGrep.exe" /e /r /s /spath="%USERPROFILE%\AppData\Local\Temp\OnboardLogs" /stypes="app*4053*20170422*" /stext=" 17:.+((SYSTEM_STATE.+slice.+state.+changed )|(ment ac)|(multiple cpu faults)|(system.+state.+changed )|(\[timeout)|(PRM\|1\|D)|(kpr)|(kdp)|(\|lc)|(penalty))"</v>
      </c>
      <c r="AG211" s="1" t="str">
        <f t="shared" si="91"/>
        <v>Other</v>
      </c>
      <c r="AH211" s="86" t="str">
        <f t="shared" si="92"/>
        <v>"%USERPROFILE%\Documents\GitHub\eaglep3\Utilities\RefineRTDCRunTimes.py" --tripid 54-22 --locoid 4053 --swversion DE.1.0.9.0 --startMP 300:23521 --initTime 2017-04-22T10:59:15 --startdatetime 2017-04-22T11:06:02 --delay 6 --endMP 204:131 --enddatetime 2017-04-22T11:14:11 --enforcementcount 0 &gt;&gt;C:\Users\stu\Documents\GitHub\eaglep3-reporting\EC\2017-04-22-refined-times.txt</v>
      </c>
      <c r="AI211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{"issue":{"subject":"","project_id":79,"tracker_id":40,"status_id":1,"priority_id":2,"assigned_to_id":23,"start_date":"2017-04-22","description":"","custom_fields":[{"id":1,"name":"Subdivision","value":"Other"},{"id":4,"name":"Milepost","value":"0.0131"},{"id":17,"name":"Train ID","value":"54-22"},{"id":16,"name":"Locomotive ID","value":"4053"},{"id":130,"name":"Impact","value":""},{"id":150,"name":"Time of Event (Mountain Time)","value":"11:14:11"},{"id":151,"name":"Denver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94"/>
        <v>start /low /b %USERPROFILE%\Documents\GitHub\eaglep3\Utilities\DownloadLogsFromS3.py --loco 4053 --day 2017-04-22</v>
      </c>
      <c r="AN211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17:14:11"},{"id":29,"name":"Sharepoint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709</v>
      </c>
      <c r="B212" s="7">
        <v>4054</v>
      </c>
      <c r="C212" s="21" t="s">
        <v>213</v>
      </c>
      <c r="D212" s="21" t="s">
        <v>483</v>
      </c>
      <c r="E212" s="13">
        <v>42847.484432870369</v>
      </c>
      <c r="F212" s="13">
        <v>42847.486122685186</v>
      </c>
      <c r="G212" s="7">
        <v>1</v>
      </c>
      <c r="H212" s="21" t="s">
        <v>977</v>
      </c>
      <c r="I212" s="13">
        <v>42847.496527777781</v>
      </c>
      <c r="J212" s="7">
        <v>0</v>
      </c>
      <c r="K212" s="97" t="str">
        <f t="shared" si="79"/>
        <v>4053/4054</v>
      </c>
      <c r="L212" s="21" t="str">
        <f>VLOOKUP(A212,'Trips&amp;Operators'!$C$1:$G$99999,5,FALSE)</f>
        <v>DAVIS WENDY</v>
      </c>
      <c r="M212" s="6">
        <f t="shared" si="80"/>
        <v>1.0405092594737653E-2</v>
      </c>
      <c r="N212" s="7">
        <f t="shared" si="77"/>
        <v>14.98333333642222</v>
      </c>
      <c r="O212" s="7"/>
      <c r="P212" s="7"/>
      <c r="Q212" s="22"/>
      <c r="R212" s="22"/>
      <c r="S212" s="31">
        <f t="shared" si="81"/>
        <v>0</v>
      </c>
      <c r="T212" s="46" t="e">
        <f t="shared" si="82"/>
        <v>#VALUE!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2" t="str">
        <f t="shared" si="83"/>
        <v>https://d0f6bd738d7f1b3e5a7ca70fe4ff75f0.us-east-1.aws.found.io/app/kibana#/discover/Steve-Slow-Train-Analysis-(2080s-and-2083s)?_g=(refreshInterval:(display:Off,pause:!f,section:0,value:0),time:(from:'2017-04-22T10:37:35-0600',mode:absolute,to:'2017-04-22T12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183" t="str">
        <f t="shared" si="84"/>
        <v>Y</v>
      </c>
      <c r="X212" s="183" t="e">
        <f t="shared" si="78"/>
        <v>#VALUE!</v>
      </c>
      <c r="Y212" s="62">
        <f t="shared" si="85"/>
        <v>4.24E-2</v>
      </c>
      <c r="Z212" s="62">
        <f t="shared" si="86"/>
        <v>2.448</v>
      </c>
      <c r="AA212" s="62">
        <f t="shared" si="87"/>
        <v>2.4055999999999997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8"/>
        <v>55-22</v>
      </c>
      <c r="AE212" s="85" t="str">
        <f t="shared" si="89"/>
        <v>aws s3 cp s3://rtdc.mdm.uploadarchive.raw/RTDC4054/ "%USERPROFILE%\AppData\Local\Temp\OnboardLogs"\RTDC4054\2017-04-22 --exclude "*" --recursive --include "*20170422*" &amp; "%USERPROFILE%\Documents\GitHub\mrs-test-scripts\Headless Mode &amp; Sideloading\WalkAndUnGZ.bat" "%USERPROFILE%\AppData\Local\Temp\OnboardLogs"\RTDC4054\2017-04-22 &amp; aws s3 cp s3://rtdc.mdm.uploadarchive.raw/RTDC4054/ "%USERPROFILE%\AppData\Local\Temp\OnboardLogs"\RTDC4054\2017-04-23 --exclude "*" --recursive --include "*20170423*" &amp; "%USERPROFILE%\Documents\GitHub\mrs-test-scripts\Headless Mode &amp; Sideloading\WalkAndUnGZ.bat" "%USERPROFILE%\AppData\Local\Temp\OnboardLogs"\RTDC4054\2017-04-23</v>
      </c>
      <c r="AF212" s="82" t="str">
        <f t="shared" si="90"/>
        <v>"C:\Program Files (x86)\AstroGrep\AstroGrep.exe" /e /r /s /spath="%USERPROFILE%\AppData\Local\Temp\OnboardLogs" /stypes="app*4054*20170422*" /stext=" 17:.+((SYSTEM_STATE.+slice.+state.+changed )|(ment ac)|(multiple cpu faults)|(system.+state.+changed )|(\[timeout)|(PRM\|1\|D)|(kpr)|(kdp)|(\|lc)|(penalty))"</v>
      </c>
      <c r="AG212" s="1" t="str">
        <f t="shared" si="91"/>
        <v>Other</v>
      </c>
      <c r="AH212" s="86" t="str">
        <f t="shared" si="92"/>
        <v>"%USERPROFILE%\Documents\GitHub\eaglep3\Utilities\RefineRTDCRunTimes.py" --tripid 55-22 --locoid 4054 --swversion DE.1.0.9.0 --startMP 204:424 --initTime 2017-04-22T11:37:35 --startdatetime 2017-04-22T11:40:01 --delay 1 --endMP 300:24480 --enddatetime 2017-04-22T11:55:00 --enforcementcount 0 &gt;&gt;C:\Users\stu\Documents\GitHub\eaglep3-reporting\EC\2017-04-22-refined-times.txt</v>
      </c>
      <c r="AI212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{"issue":{"subject":"","project_id":79,"tracker_id":40,"status_id":1,"priority_id":2,"assigned_to_id":23,"start_date":"2017-04-22","description":"","custom_fields":[{"id":1,"name":"Subdivision","value":"Other"},{"id":4,"name":"Milepost","value":"2.448"},{"id":17,"name":"Train ID","value":"55-22"},{"id":16,"name":"Locomotive ID","value":"4054"},{"id":130,"name":"Impact","value":""},{"id":150,"name":"Time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94"/>
        <v>start /low /b %USERPROFILE%\Documents\GitHub\eaglep3\Utilities\DownloadLogsFromS3.py --loco 4054 --day 2017-04-22</v>
      </c>
      <c r="AN212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17:55:00"},{"id":29,"name":"Sharepoint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598</v>
      </c>
      <c r="B213" s="7">
        <v>4044</v>
      </c>
      <c r="C213" s="21" t="s">
        <v>213</v>
      </c>
      <c r="D213" s="21" t="s">
        <v>978</v>
      </c>
      <c r="E213" s="13">
        <v>42847.576921296299</v>
      </c>
      <c r="F213" s="13">
        <v>42847.578310185185</v>
      </c>
      <c r="G213" s="7">
        <v>1</v>
      </c>
      <c r="H213" s="21" t="s">
        <v>979</v>
      </c>
      <c r="I213" s="13">
        <v>42847.578379629631</v>
      </c>
      <c r="J213" s="7">
        <v>0</v>
      </c>
      <c r="K213" s="97" t="str">
        <f t="shared" si="79"/>
        <v>4043/4044</v>
      </c>
      <c r="L213" s="21" t="str">
        <f>VLOOKUP(A213,'Trips&amp;Operators'!$C$1:$G$99999,5,FALSE)</f>
        <v>NELSON ARIANE</v>
      </c>
      <c r="M213" s="6">
        <f t="shared" si="80"/>
        <v>6.9444446125999093E-5</v>
      </c>
      <c r="N213" s="7">
        <f t="shared" si="77"/>
        <v>0.10000000242143869</v>
      </c>
      <c r="O213" s="7"/>
      <c r="P213" s="7"/>
      <c r="Q213" s="22"/>
      <c r="R213" s="22" t="s">
        <v>1012</v>
      </c>
      <c r="S213" s="31">
        <f t="shared" si="81"/>
        <v>0</v>
      </c>
      <c r="T213" s="46" t="e">
        <f t="shared" si="82"/>
        <v>#VALUE!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 t="shared" si="83"/>
        <v>https://d0f6bd738d7f1b3e5a7ca70fe4ff75f0.us-east-1.aws.found.io/app/kibana#/discover/Steve-Slow-Train-Analysis-(2080s-and-2083s)?_g=(refreshInterval:(display:Off,pause:!f,section:0,value:0),time:(from:'2017-04-22T12:50:46-0600',mode:absolute,to:'2017-04-22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3" s="183" t="str">
        <f t="shared" si="84"/>
        <v>Y</v>
      </c>
      <c r="X213" s="183" t="e">
        <f t="shared" si="78"/>
        <v>#VALUE!</v>
      </c>
      <c r="Y213" s="62">
        <f t="shared" si="85"/>
        <v>2.1985000000000001</v>
      </c>
      <c r="Z213" s="62">
        <f t="shared" si="86"/>
        <v>2.2309999999999999</v>
      </c>
      <c r="AA213" s="62">
        <f t="shared" si="87"/>
        <v>3.2499999999999751E-2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8"/>
        <v>56-22</v>
      </c>
      <c r="AE213" s="85" t="str">
        <f t="shared" si="89"/>
        <v>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 &amp; 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</v>
      </c>
      <c r="AF213" s="82" t="str">
        <f t="shared" si="90"/>
        <v>"C:\Program Files (x86)\AstroGrep\AstroGrep.exe" /e /r /s /spath="%USERPROFILE%\AppData\Local\Temp\OnboardLogs" /stypes="app*4044*20170422*" /stext=" 19:.+((SYSTEM_STATE.+slice.+state.+changed )|(ment ac)|(multiple cpu faults)|(system.+state.+changed )|(\[timeout)|(PRM\|1\|D)|(kpr)|(kdp)|(\|lc)|(penalty))"</v>
      </c>
      <c r="AG213" s="1" t="str">
        <f t="shared" si="91"/>
        <v>Other</v>
      </c>
      <c r="AH213" s="86" t="str">
        <f t="shared" si="92"/>
        <v>"%USERPROFILE%\Documents\GitHub\eaglep3\Utilities\RefineRTDCRunTimes.py" --tripid 56-22 --locoid 4044 --swversion DE.1.0.9.0 --startMP 300:21985 --initTime 2017-04-22T13:50:46 --startdatetime 2017-04-22T13:52:46 --delay 1 --endMP 300:22310 --enddatetime 2017-04-22T13:52:52 --enforcementcount 0 &gt;&gt;C:\Users\stu\Documents\GitHub\eaglep3-reporting\EC\2017-04-22-refined-times.txt</v>
      </c>
      <c r="AI213" s="104" t="str">
        <f t="shared" si="93"/>
        <v>echo {"issue":{"subject":"Unable to init at first due to Extended Onboard Wi-MAX outage","project_id":79,"tracker_id":40,"status_id":1,"priority_id":2,"assigned_to_id":23,"start_date":"2017-04-22","description":"","custom_fields":[{"id":1,"name":"Subdivision","value":"Other"},{"id":4,"name":"Milepost","value":"2.231"},{"id":17,"name":"Train ID","value":"56-22"},{"id":16,"name":"Locomotive ID","value":"4044"},{"id":130,"name":"Impact","value":""},{"id":150,"name":"Time of Event (Mountain Time)","value":"13:52:52"},{"id":151,"name":"Denver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94"/>
        <v>start /low /b %USERPROFILE%\Documents\GitHub\eaglep3\Utilities\DownloadLogsFromS3.py --loco 4044 --day 2017-04-22</v>
      </c>
      <c r="AN213" s="159" t="str">
        <f t="shared" si="95"/>
        <v>echo {"issue":{"subject":"Unable to init at first due to Extended Onboard Wi-MAX outage","project_id":30,"tracker_id":4,"status_id":1,"priority_id":1,"assigned_to_id":10,"start_date":"2017-04-22","description":"","custom_fields":[{"id":30,"name":"Category","value":"Issue"},{"id":3,"name":"Functional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598</v>
      </c>
      <c r="B214" s="7">
        <v>4044</v>
      </c>
      <c r="C214" s="21" t="s">
        <v>213</v>
      </c>
      <c r="D214" s="21" t="s">
        <v>980</v>
      </c>
      <c r="E214" s="13">
        <v>42847.560891203706</v>
      </c>
      <c r="F214" s="13">
        <v>42847.578310185185</v>
      </c>
      <c r="G214" s="7">
        <v>1</v>
      </c>
      <c r="H214" s="21" t="s">
        <v>981</v>
      </c>
      <c r="I214" s="13">
        <v>42847.578379629631</v>
      </c>
      <c r="J214" s="7">
        <v>0</v>
      </c>
      <c r="K214" s="97" t="str">
        <f t="shared" si="79"/>
        <v>4043/4044</v>
      </c>
      <c r="L214" s="21" t="str">
        <f>VLOOKUP(A214,'Trips&amp;Operators'!$C$1:$G$99999,5,FALSE)</f>
        <v>NELSON ARIANE</v>
      </c>
      <c r="M214" s="6">
        <f t="shared" si="80"/>
        <v>6.9444446125999093E-5</v>
      </c>
      <c r="N214" s="7">
        <f t="shared" si="77"/>
        <v>0.10000000242143869</v>
      </c>
      <c r="O214" s="7"/>
      <c r="P214" s="7"/>
      <c r="Q214" s="22"/>
      <c r="R214" s="22"/>
      <c r="S214" s="31">
        <f t="shared" si="81"/>
        <v>0</v>
      </c>
      <c r="T214" s="46" t="e">
        <f t="shared" si="82"/>
        <v>#VALUE!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 t="shared" si="83"/>
        <v>https://d0f6bd738d7f1b3e5a7ca70fe4ff75f0.us-east-1.aws.found.io/app/kibana#/discover/Steve-Slow-Train-Analysis-(2080s-and-2083s)?_g=(refreshInterval:(display:Off,pause:!f,section:0,value:0),time:(from:'2017-04-22T12:27:41-0600',mode:absolute,to:'2017-04-22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83" t="str">
        <f t="shared" si="84"/>
        <v>Y</v>
      </c>
      <c r="X214" s="183" t="e">
        <f t="shared" si="78"/>
        <v>#VALUE!</v>
      </c>
      <c r="Y214" s="62">
        <f t="shared" si="85"/>
        <v>2.214</v>
      </c>
      <c r="Z214" s="62">
        <f t="shared" si="86"/>
        <v>2.2492999999999999</v>
      </c>
      <c r="AA214" s="62">
        <f t="shared" si="87"/>
        <v>3.5299999999999887E-2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8"/>
        <v>56-22</v>
      </c>
      <c r="AE214" s="85" t="str">
        <f t="shared" si="89"/>
        <v>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 &amp; 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</v>
      </c>
      <c r="AF214" s="82" t="str">
        <f t="shared" si="90"/>
        <v>"C:\Program Files (x86)\AstroGrep\AstroGrep.exe" /e /r /s /spath="%USERPROFILE%\AppData\Local\Temp\OnboardLogs" /stypes="app*4044*20170422*" /stext=" 19:.+((SYSTEM_STATE.+slice.+state.+changed )|(ment ac)|(multiple cpu faults)|(system.+state.+changed )|(\[timeout)|(PRM\|1\|D)|(kpr)|(kdp)|(\|lc)|(penalty))"</v>
      </c>
      <c r="AG214" s="1" t="str">
        <f t="shared" si="91"/>
        <v>Other</v>
      </c>
      <c r="AH214" s="86" t="str">
        <f t="shared" si="92"/>
        <v>"%USERPROFILE%\Documents\GitHub\eaglep3\Utilities\RefineRTDCRunTimes.py" --tripid 56-22 --locoid 4044 --swversion DE.1.0.9.0 --startMP 300:22140 --initTime 2017-04-22T13:27:41 --startdatetime 2017-04-22T13:52:46 --delay 1 --endMP 300:22493 --enddatetime 2017-04-22T13:52:52 --enforcementcount 0 &gt;&gt;C:\Users\stu\Documents\GitHub\eaglep3-reporting\EC\2017-04-22-refined-times.txt</v>
      </c>
      <c r="AI214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{"issue":{"subject":"","project_id":79,"tracker_id":40,"status_id":1,"priority_id":2,"assigned_to_id":23,"start_date":"2017-04-22","description":"","custom_fields":[{"id":1,"name":"Subdivision","value":"Other"},{"id":4,"name":"Milepost","value":"2.2493"},{"id":17,"name":"Train ID","value":"56-22"},{"id":16,"name":"Locomotive ID","value":"4044"},{"id":130,"name":"Impact","value":""},{"id":150,"name":"Time of Event (Mountain Time)","value":"13:52:52"},{"id":151,"name":"Denver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94"/>
        <v>start /low /b %USERPROFILE%\Documents\GitHub\eaglep3\Utilities\DownloadLogsFromS3.py --loco 4044 --day 2017-04-22</v>
      </c>
      <c r="AN214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19:52:52"},{"id":29,"name":"Sharepoint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603</v>
      </c>
      <c r="B215" s="7">
        <v>4016</v>
      </c>
      <c r="C215" s="21" t="s">
        <v>213</v>
      </c>
      <c r="D215" s="21" t="s">
        <v>579</v>
      </c>
      <c r="E215" s="13">
        <v>42847.717291666668</v>
      </c>
      <c r="F215" s="13">
        <v>42847.734212962961</v>
      </c>
      <c r="G215" s="7">
        <v>2</v>
      </c>
      <c r="H215" s="21" t="s">
        <v>982</v>
      </c>
      <c r="I215" s="13">
        <v>42847.734351851854</v>
      </c>
      <c r="J215" s="7">
        <v>0</v>
      </c>
      <c r="K215" s="97" t="str">
        <f t="shared" si="79"/>
        <v>4015/4016</v>
      </c>
      <c r="L215" s="21" t="str">
        <f>VLOOKUP(A215,'Trips&amp;Operators'!$C$1:$G$99999,5,FALSE)</f>
        <v>LOPES KIMBERLY</v>
      </c>
      <c r="M215" s="6">
        <f t="shared" si="80"/>
        <v>1.3888889225199819E-4</v>
      </c>
      <c r="N215" s="7">
        <f t="shared" si="77"/>
        <v>0.20000000484287739</v>
      </c>
      <c r="O215" s="7"/>
      <c r="P215" s="7"/>
      <c r="Q215" s="22"/>
      <c r="R215" s="22"/>
      <c r="S215" s="31">
        <f t="shared" si="81"/>
        <v>0</v>
      </c>
      <c r="T215" s="46" t="e">
        <f t="shared" si="82"/>
        <v>#VALUE!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83"/>
        <v>https://d0f6bd738d7f1b3e5a7ca70fe4ff75f0.us-east-1.aws.found.io/app/kibana#/discover/Steve-Slow-Train-Analysis-(2080s-and-2083s)?_g=(refreshInterval:(display:Off,pause:!f,section:0,value:0),time:(from:'2017-04-22T16:12:54-0600',mode:absolute,to:'2017-04-22T18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183" t="str">
        <f t="shared" si="84"/>
        <v>Y</v>
      </c>
      <c r="X215" s="183" t="e">
        <f t="shared" si="78"/>
        <v>#VALUE!</v>
      </c>
      <c r="Y215" s="62">
        <f t="shared" si="85"/>
        <v>0.1464</v>
      </c>
      <c r="Z215" s="62">
        <f t="shared" si="86"/>
        <v>0.1817</v>
      </c>
      <c r="AA215" s="62">
        <f t="shared" si="87"/>
        <v>3.5299999999999998E-2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8"/>
        <v>67-22</v>
      </c>
      <c r="AE215" s="85" t="str">
        <f t="shared" si="89"/>
        <v>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 &amp; 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</v>
      </c>
      <c r="AF215" s="82" t="str">
        <f t="shared" si="90"/>
        <v>"C:\Program Files (x86)\AstroGrep\AstroGrep.exe" /e /r /s /spath="%USERPROFILE%\AppData\Local\Temp\OnboardLogs" /stypes="app*4016*20170422*" /stext=" 23:.+((SYSTEM_STATE.+slice.+state.+changed )|(ment ac)|(multiple cpu faults)|(system.+state.+changed )|(\[timeout)|(PRM\|1\|D)|(kpr)|(kdp)|(\|lc)|(penalty))"</v>
      </c>
      <c r="AG215" s="1" t="str">
        <f t="shared" si="91"/>
        <v>Other</v>
      </c>
      <c r="AH215" s="86" t="str">
        <f t="shared" si="92"/>
        <v>"%USERPROFILE%\Documents\GitHub\eaglep3\Utilities\RefineRTDCRunTimes.py" --tripid 67-22 --locoid 4016 --swversion DE.1.0.9.0 --startMP 204:1464 --initTime 2017-04-22T17:12:54 --startdatetime 2017-04-22T17:37:16 --delay 2 --endMP 204:1817 --enddatetime 2017-04-22T17:37:28 --enforcementcount 0 &gt;&gt;C:\Users\stu\Documents\GitHub\eaglep3-reporting\EC\2017-04-22-refined-times.txt</v>
      </c>
      <c r="AI215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{"issue":{"subject":"","project_id":79,"tracker_id":40,"status_id":1,"priority_id":2,"assigned_to_id":23,"start_date":"2017-04-22","description":"","custom_fields":[{"id":1,"name":"Subdivision","value":"Other"},{"id":4,"name":"Milepost","value":"0.1817"},{"id":17,"name":"Train ID","value":"67-22"},{"id":16,"name":"Locomotive ID","value":"4016"},{"id":130,"name":"Impact","value":""},{"id":150,"name":"Time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94"/>
        <v>start /low /b %USERPROFILE%\Documents\GitHub\eaglep3\Utilities\DownloadLogsFromS3.py --loco 4016 --day 2017-04-22</v>
      </c>
      <c r="AN215" s="159" t="str">
        <f t="shared" si="95"/>
        <v>echo {"issue":{"subject":"","project_id":30,"tracker_id":4,"status_id":1,"priority_id":1,"assigned_to_id":10,"start_date":"2017-04-22","description":"","custom_fields":[{"id":30,"name":"Category","value":"Issue"},{"id":3,"name":"Functional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UTC","value":"2017-04-22 23:37:28"},{"id":29,"name":"Sharepoint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775</v>
      </c>
      <c r="B216" s="7">
        <v>4029</v>
      </c>
      <c r="C216" s="21" t="s">
        <v>213</v>
      </c>
      <c r="D216" s="21" t="s">
        <v>983</v>
      </c>
      <c r="E216" s="13">
        <v>42847.741284722222</v>
      </c>
      <c r="F216" s="13">
        <v>42847.744189814817</v>
      </c>
      <c r="G216" s="7">
        <v>4</v>
      </c>
      <c r="H216" s="21" t="s">
        <v>984</v>
      </c>
      <c r="I216" s="13">
        <v>42847.754965277774</v>
      </c>
      <c r="J216" s="7">
        <v>0</v>
      </c>
      <c r="K216" s="97" t="str">
        <f t="shared" si="79"/>
        <v>4029/4030</v>
      </c>
      <c r="L216" s="21" t="str">
        <f>VLOOKUP(A216,'Trips&amp;Operators'!$C$1:$G$99999,5,FALSE)</f>
        <v>SAFIEF AEIMEN</v>
      </c>
      <c r="M216" s="6">
        <f t="shared" si="80"/>
        <v>1.077546295709908E-2</v>
      </c>
      <c r="N216" s="7">
        <f t="shared" si="77"/>
        <v>15.516666658222675</v>
      </c>
      <c r="O216" s="7"/>
      <c r="P216" s="7"/>
      <c r="Q216" s="22"/>
      <c r="R216" s="22"/>
      <c r="S216" s="31">
        <f t="shared" si="81"/>
        <v>0</v>
      </c>
      <c r="T216" s="46" t="e">
        <f t="shared" si="82"/>
        <v>#VALUE!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 t="shared" si="83"/>
        <v>https://d0f6bd738d7f1b3e5a7ca70fe4ff75f0.us-east-1.aws.found.io/app/kibana#/discover/Steve-Slow-Train-Analysis-(2080s-and-2083s)?_g=(refreshInterval:(display:Off,pause:!f,section:0,value:0),time:(from:'2017-04-22T16:47:27-0600',mode:absolute,to:'2017-04-22T19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6" s="183" t="str">
        <f t="shared" si="84"/>
        <v>Y</v>
      </c>
      <c r="X216" s="183" t="e">
        <f t="shared" si="78"/>
        <v>#VALUE!</v>
      </c>
      <c r="Y216" s="62">
        <f t="shared" si="85"/>
        <v>2.3422999999999998</v>
      </c>
      <c r="Z216" s="62">
        <f t="shared" si="86"/>
        <v>9.9400000000000002E-2</v>
      </c>
      <c r="AA216" s="62">
        <f t="shared" si="87"/>
        <v>2.2428999999999997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8"/>
        <v>70-22</v>
      </c>
      <c r="AE216" s="85" t="str">
        <f t="shared" si="89"/>
        <v>aws s3 cp s3://rtdc.mdm.uploadarchive.raw/RTDC4029/ "%USERPROFILE%\AppData\Local\Temp\OnboardLogs"\RTDC4029\2017-04-22 --exclude "*" --recursive --include "*20170422*" &amp; "%USERPROFILE%\Documents\GitHub\mrs-test-scripts\Headless Mode &amp; Sideloading\WalkAndUnGZ.bat" "%USERPROFILE%\AppData\Local\Temp\OnboardLogs"\RTDC4029\2017-04-22 &amp; aws s3 cp s3://rtdc.mdm.uploadarchive.raw/RTDC4029/ "%USERPROFILE%\AppData\Local\Temp\OnboardLogs"\RTDC4029\2017-04-23 --exclude "*" --recursive --include "*20170423*" &amp; "%USERPROFILE%\Documents\GitHub\mrs-test-scripts\Headless Mode &amp; Sideloading\WalkAndUnGZ.bat" "%USERPROFILE%\AppData\Local\Temp\OnboardLogs"\RTDC4029\2017-04-23</v>
      </c>
      <c r="AF216" s="82" t="str">
        <f t="shared" si="90"/>
        <v>"C:\Program Files (x86)\AstroGrep\AstroGrep.exe" /e /r /s /spath="%USERPROFILE%\AppData\Local\Temp\OnboardLogs" /stypes="app*4029*20170423*" /stext=" 00:.+((SYSTEM_STATE.+slice.+state.+changed )|(ment ac)|(multiple cpu faults)|(system.+state.+changed )|(\[timeout)|(PRM\|1\|D)|(kpr)|(kdp)|(\|lc)|(penalty))"</v>
      </c>
      <c r="AG216" s="1" t="str">
        <f t="shared" si="91"/>
        <v>Other</v>
      </c>
      <c r="AH216" s="86" t="str">
        <f t="shared" si="92"/>
        <v>"%USERPROFILE%\Documents\GitHub\eaglep3\Utilities\RefineRTDCRunTimes.py" --tripid 70-22 --locoid 4029 --swversion DE.1.0.9.0 --startMP 300:23423 --initTime 2017-04-22T17:47:27 --startdatetime 2017-04-22T17:51:38 --delay 4 --endMP 204:994 --enddatetime 2017-04-22T18:07:09 --enforcementcount 0 &gt;&gt;C:\Users\stu\Documents\GitHub\eaglep3-reporting\EC\2017-04-22-refined-times.txt</v>
      </c>
      <c r="AI216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{"issue":{"subject":"","project_id":79,"tracker_id":40,"status_id":1,"priority_id":2,"assigned_to_id":23,"start_date":"2017-04-22","description":"","custom_fields":[{"id":1,"name":"Subdivision","value":"Other"},{"id":4,"name":"Milepost","value":"0.0994"},{"id":17,"name":"Train ID","value":"70-22"},{"id":16,"name":"Locomotive ID","value":"4029"},{"id":130,"name":"Impact","value":""},{"id":150,"name":"Time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94"/>
        <v>start /low /b %USERPROFILE%\Documents\GitHub\eaglep3\Utilities\DownloadLogsFromS3.py --loco 4029 --day 2017-04-22</v>
      </c>
      <c r="AN216" s="159" t="str">
        <f t="shared" si="95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785</v>
      </c>
      <c r="B217" s="7">
        <v>4054</v>
      </c>
      <c r="C217" s="21" t="s">
        <v>213</v>
      </c>
      <c r="D217" s="21" t="s">
        <v>477</v>
      </c>
      <c r="E217" s="13">
        <v>42847.768541666665</v>
      </c>
      <c r="F217" s="13">
        <v>42847.771180555559</v>
      </c>
      <c r="G217" s="7">
        <v>2</v>
      </c>
      <c r="H217" s="21" t="s">
        <v>985</v>
      </c>
      <c r="I217" s="13">
        <v>42847.777719907404</v>
      </c>
      <c r="J217" s="7">
        <v>0</v>
      </c>
      <c r="K217" s="97" t="str">
        <f t="shared" si="79"/>
        <v>4053/4054</v>
      </c>
      <c r="L217" s="21" t="str">
        <f>VLOOKUP(A217,'Trips&amp;Operators'!$C$1:$G$99999,5,FALSE)</f>
        <v>BRUDER RICHARD</v>
      </c>
      <c r="M217" s="6">
        <f t="shared" si="80"/>
        <v>6.539351845276542E-3</v>
      </c>
      <c r="N217" s="7">
        <f t="shared" si="77"/>
        <v>9.4166666571982205</v>
      </c>
      <c r="O217" s="7"/>
      <c r="P217" s="7"/>
      <c r="Q217" s="22"/>
      <c r="R217" s="22"/>
      <c r="S217" s="31">
        <f t="shared" si="81"/>
        <v>0</v>
      </c>
      <c r="T217" s="46" t="e">
        <f t="shared" si="82"/>
        <v>#VALUE!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83"/>
        <v>https://d0f6bd738d7f1b3e5a7ca70fe4ff75f0.us-east-1.aws.found.io/app/kibana#/discover/Steve-Slow-Train-Analysis-(2080s-and-2083s)?_g=(refreshInterval:(display:Off,pause:!f,section:0,value:0),time:(from:'2017-04-22T17:26:42-0600',mode:absolute,to:'2017-04-22T19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7" s="183" t="str">
        <f t="shared" si="84"/>
        <v>Y</v>
      </c>
      <c r="X217" s="183" t="e">
        <f t="shared" si="78"/>
        <v>#VALUE!</v>
      </c>
      <c r="Y217" s="62">
        <f t="shared" si="85"/>
        <v>4.5100000000000001E-2</v>
      </c>
      <c r="Z217" s="62">
        <f t="shared" si="86"/>
        <v>2.3319999999999999</v>
      </c>
      <c r="AA217" s="62">
        <f t="shared" si="87"/>
        <v>2.2868999999999997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8"/>
        <v>77-22</v>
      </c>
      <c r="AE217" s="85" t="str">
        <f t="shared" si="89"/>
        <v>aws s3 cp s3://rtdc.mdm.uploadarchive.raw/RTDC4054/ "%USERPROFILE%\AppData\Local\Temp\OnboardLogs"\RTDC4054\2017-04-22 --exclude "*" --recursive --include "*20170422*" &amp; "%USERPROFILE%\Documents\GitHub\mrs-test-scripts\Headless Mode &amp; Sideloading\WalkAndUnGZ.bat" "%USERPROFILE%\AppData\Local\Temp\OnboardLogs"\RTDC4054\2017-04-22 &amp; aws s3 cp s3://rtdc.mdm.uploadarchive.raw/RTDC4054/ "%USERPROFILE%\AppData\Local\Temp\OnboardLogs"\RTDC4054\2017-04-23 --exclude "*" --recursive --include "*20170423*" &amp; "%USERPROFILE%\Documents\GitHub\mrs-test-scripts\Headless Mode &amp; Sideloading\WalkAndUnGZ.bat" "%USERPROFILE%\AppData\Local\Temp\OnboardLogs"\RTDC4054\2017-04-23</v>
      </c>
      <c r="AF217" s="82" t="str">
        <f t="shared" si="90"/>
        <v>"C:\Program Files (x86)\AstroGrep\AstroGrep.exe" /e /r /s /spath="%USERPROFILE%\AppData\Local\Temp\OnboardLogs" /stypes="app*4054*20170423*" /stext=" 00:.+((SYSTEM_STATE.+slice.+state.+changed )|(ment ac)|(multiple cpu faults)|(system.+state.+changed )|(\[timeout)|(PRM\|1\|D)|(kpr)|(kdp)|(\|lc)|(penalty))"</v>
      </c>
      <c r="AG217" s="1" t="str">
        <f t="shared" si="91"/>
        <v>Other</v>
      </c>
      <c r="AH217" s="86" t="str">
        <f t="shared" si="92"/>
        <v>"%USERPROFILE%\Documents\GitHub\eaglep3\Utilities\RefineRTDCRunTimes.py" --tripid 77-22 --locoid 4054 --swversion DE.1.0.9.0 --startMP 204:451 --initTime 2017-04-22T18:26:42 --startdatetime 2017-04-22T18:30:30 --delay 2 --endMP 300:23320 --enddatetime 2017-04-22T18:39:55 --enforcementcount 0 &gt;&gt;C:\Users\stu\Documents\GitHub\eaglep3-reporting\EC\2017-04-22-refined-times.txt</v>
      </c>
      <c r="AI217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{"issue":{"subject":"","project_id":79,"tracker_id":40,"status_id":1,"priority_id":2,"assigned_to_id":23,"start_date":"2017-04-22","description":"","custom_fields":[{"id":1,"name":"Subdivision","value":"Other"},{"id":4,"name":"Milepost","value":"2.332"},{"id":17,"name":"Train ID","value":"77-22"},{"id":16,"name":"Locomotive ID","value":"4054"},{"id":130,"name":"Impact","value":""},{"id":150,"name":"Time of Event (Mountain Time)","value":"18:39:55"},{"id":151,"name":"Denver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94"/>
        <v>start /low /b %USERPROFILE%\Documents\GitHub\eaglep3\Utilities\DownloadLogsFromS3.py --loco 4054 --day 2017-04-22</v>
      </c>
      <c r="AN217" s="159" t="str">
        <f t="shared" si="95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780</v>
      </c>
      <c r="B218" s="7">
        <v>4053</v>
      </c>
      <c r="C218" s="21" t="s">
        <v>213</v>
      </c>
      <c r="D218" s="21" t="s">
        <v>986</v>
      </c>
      <c r="E218" s="13">
        <v>42847.75372685185</v>
      </c>
      <c r="F218" s="13">
        <v>42847.754594907405</v>
      </c>
      <c r="G218" s="7">
        <v>0</v>
      </c>
      <c r="H218" s="21" t="s">
        <v>987</v>
      </c>
      <c r="I218" s="13">
        <v>42847.759930555556</v>
      </c>
      <c r="J218" s="7">
        <v>0</v>
      </c>
      <c r="K218" s="97" t="str">
        <f t="shared" si="79"/>
        <v>4053/4054</v>
      </c>
      <c r="L218" s="21" t="str">
        <f>VLOOKUP(A218,'Trips&amp;Operators'!$C$1:$G$99999,5,FALSE)</f>
        <v>MAGEE KENYA</v>
      </c>
      <c r="M218" s="6">
        <f t="shared" si="80"/>
        <v>5.3356481512309983E-3</v>
      </c>
      <c r="N218" s="7">
        <f t="shared" si="77"/>
        <v>7.6833333377726376</v>
      </c>
      <c r="O218" s="7"/>
      <c r="P218" s="7"/>
      <c r="Q218" s="22"/>
      <c r="R218" s="22"/>
      <c r="S218" s="31">
        <f t="shared" si="81"/>
        <v>0</v>
      </c>
      <c r="T218" s="46" t="e">
        <f t="shared" si="82"/>
        <v>#VALUE!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83"/>
        <v>https://d0f6bd738d7f1b3e5a7ca70fe4ff75f0.us-east-1.aws.found.io/app/kibana#/discover/Steve-Slow-Train-Analysis-(2080s-and-2083s)?_g=(refreshInterval:(display:Off,pause:!f,section:0,value:0),time:(from:'2017-04-22T17:05:22-0600',mode:absolute,to:'2017-04-22T19:14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183" t="str">
        <f t="shared" si="84"/>
        <v>Y</v>
      </c>
      <c r="X218" s="183" t="e">
        <f t="shared" si="78"/>
        <v>#VALUE!</v>
      </c>
      <c r="Y218" s="62">
        <f t="shared" si="85"/>
        <v>2.3271000000000002</v>
      </c>
      <c r="Z218" s="62">
        <f t="shared" si="86"/>
        <v>1.4E-2</v>
      </c>
      <c r="AA218" s="62">
        <f t="shared" si="87"/>
        <v>2.3131000000000004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8"/>
        <v>78-22</v>
      </c>
      <c r="AE218" s="85" t="str">
        <f t="shared" si="89"/>
        <v>aws s3 cp s3://rtdc.mdm.uploadarchive.raw/RTDC4053/ "%USERPROFILE%\AppData\Local\Temp\OnboardLogs"\RTDC4053\2017-04-22 --exclude "*" --recursive --include "*20170422*" &amp; "%USERPROFILE%\Documents\GitHub\mrs-test-scripts\Headless Mode &amp; Sideloading\WalkAndUnGZ.bat" "%USERPROFILE%\AppData\Local\Temp\OnboardLogs"\RTDC4053\2017-04-22 &amp; aws s3 cp s3://rtdc.mdm.uploadarchive.raw/RTDC4053/ "%USERPROFILE%\AppData\Local\Temp\OnboardLogs"\RTDC4053\2017-04-23 --exclude "*" --recursive --include "*20170423*" &amp; "%USERPROFILE%\Documents\GitHub\mrs-test-scripts\Headless Mode &amp; Sideloading\WalkAndUnGZ.bat" "%USERPROFILE%\AppData\Local\Temp\OnboardLogs"\RTDC4053\2017-04-23</v>
      </c>
      <c r="AF218" s="82" t="str">
        <f t="shared" si="90"/>
        <v>"C:\Program Files (x86)\AstroGrep\AstroGrep.exe" /e /r /s /spath="%USERPROFILE%\AppData\Local\Temp\OnboardLogs" /stypes="app*4053*20170423*" /stext=" 00:.+((SYSTEM_STATE.+slice.+state.+changed )|(ment ac)|(multiple cpu faults)|(system.+state.+changed )|(\[timeout)|(PRM\|1\|D)|(kpr)|(kdp)|(\|lc)|(penalty))"</v>
      </c>
      <c r="AG218" s="1" t="str">
        <f t="shared" si="91"/>
        <v>Other</v>
      </c>
      <c r="AH218" s="86" t="str">
        <f t="shared" si="92"/>
        <v>"%USERPROFILE%\Documents\GitHub\eaglep3\Utilities\RefineRTDCRunTimes.py" --tripid 78-22 --locoid 4053 --swversion DE.1.0.9.0 --startMP 300:23271 --initTime 2017-04-22T18:05:22 --startdatetime 2017-04-22T18:06:37 --delay 0 --endMP 204:140 --enddatetime 2017-04-22T18:14:18 --enforcementcount 0 &gt;&gt;C:\Users\stu\Documents\GitHub\eaglep3-reporting\EC\2017-04-22-refined-times.txt</v>
      </c>
      <c r="AI218" s="104" t="str">
        <f t="shared" si="93"/>
        <v>echo {"issue":{"subject":"","project_id":79,"tracker_id":40,"status_id":1,"priority_id":2,"assigned_to_id":23,"start_date":"2017-04-22","description":"","custom_fields":[{"id":1,"name":"Subdivision","value":"Other"},{"id":4,"name":"Milepost","value":"0.014"},{"id":17,"name":"Train ID","value":"78-22"},{"id":16,"name":"Locomotive ID","value":"4053"},{"id":130,"name":"Impact","value":""},{"id":150,"name":"Time of Event (Mountain Time)","value":"18:14:18"},{"id":151,"name":"Denver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94"/>
        <v>start /low /b %USERPROFILE%\Documents\GitHub\eaglep3\Utilities\DownloadLogsFromS3.py --loco 4053 --day 2017-04-22</v>
      </c>
      <c r="AN218" s="159" t="str">
        <f t="shared" si="95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00:14:18"},{"id":29,"name":"Sharepoint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56">
    <sortState ref="A13:AG256">
      <sortCondition ref="AG13:AG218"/>
      <sortCondition ref="AD13:AD218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18">
    <cfRule type="cellIs" dxfId="10" priority="374" operator="equal">
      <formula>"Y"</formula>
    </cfRule>
  </conditionalFormatting>
  <conditionalFormatting sqref="X263:X1048576 X13:X218">
    <cfRule type="cellIs" dxfId="9" priority="357" operator="greaterThan">
      <formula>1</formula>
    </cfRule>
  </conditionalFormatting>
  <conditionalFormatting sqref="X263:X1048576 X12:X218">
    <cfRule type="cellIs" dxfId="8" priority="354" operator="equal">
      <formula>0</formula>
    </cfRule>
  </conditionalFormatting>
  <conditionalFormatting sqref="A13:S218">
    <cfRule type="expression" dxfId="7" priority="348" stopIfTrue="1">
      <formula>$P13&gt;0</formula>
    </cfRule>
    <cfRule type="expression" dxfId="6" priority="349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3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P11" sqref="P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21" customWidth="1"/>
    <col min="5" max="5" width="17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193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193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COUNTIF($O$7:$O$294,"=Y")</f>
        <v>1</v>
      </c>
      <c r="P2" s="118"/>
      <c r="R2" s="83"/>
      <c r="S2" s="90"/>
      <c r="T2" s="80"/>
      <c r="V2" s="44"/>
      <c r="Z2" s="193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COUNTA($O$7:$O$294)-O2</f>
        <v>26</v>
      </c>
      <c r="P3" s="118"/>
      <c r="R3" s="83"/>
      <c r="S3" s="90"/>
      <c r="T3" s="80"/>
      <c r="V3" s="44"/>
      <c r="Z3" s="193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193"/>
      <c r="AC4" s="124"/>
      <c r="AE4" s="150"/>
    </row>
    <row r="5" spans="1:32" s="10" customFormat="1" ht="15" customHeight="1" x14ac:dyDescent="0.25">
      <c r="A5" s="199" t="str">
        <f>"Eagle P3 Braking Events - "&amp;TEXT(Variables!$A$2,"YYYY-mm-dd")</f>
        <v>Eagle P3 Braking Events - 2017-04-22</v>
      </c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194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42847.296898148146</v>
      </c>
      <c r="B7" s="30" t="s">
        <v>446</v>
      </c>
      <c r="C7" s="30" t="s">
        <v>588</v>
      </c>
      <c r="D7" s="30" t="s">
        <v>49</v>
      </c>
      <c r="E7" s="30" t="s">
        <v>191</v>
      </c>
      <c r="F7" s="43">
        <v>440</v>
      </c>
      <c r="G7" s="43">
        <v>534</v>
      </c>
      <c r="H7" s="43">
        <v>48870</v>
      </c>
      <c r="I7" s="43">
        <v>47541</v>
      </c>
      <c r="J7" s="30" t="s">
        <v>192</v>
      </c>
      <c r="K7" s="43">
        <v>48048</v>
      </c>
      <c r="L7" s="139" t="s">
        <v>51</v>
      </c>
      <c r="M7" s="140">
        <f t="shared" ref="M7:M33" si="0">CONVERT((I7-K7)/10000,"mi","ft")*IF(L7="Increasing Mileposts (1)",-1,1)</f>
        <v>-267.69600000000003</v>
      </c>
      <c r="N7" s="141" t="str">
        <f>VLOOKUP(C7,'Trips&amp;Operators'!$C$1:$G$99999,5,FALSE)</f>
        <v>ROBINSON KADDIBA</v>
      </c>
      <c r="O7" s="190" t="s">
        <v>184</v>
      </c>
      <c r="P7" s="142" t="s">
        <v>456</v>
      </c>
      <c r="Q7" s="30"/>
      <c r="R7" s="89" t="str">
        <f>IF(VLOOKUP(C7,'Train Runs'!$A$13:$AE$9932,1,1)=C7,VLOOKUP(C7,'Train Runs'!$A$13:$AE$9932,31,1),NA())</f>
        <v>aws s3 cp s3://rtdc.mdm.uploadarchive.raw/RTDC4015/ "%USERPROFILE%\AppData\Local\Temp\OnboardLogs"\RTDC4015\2017-04-22 --exclude "*" --recursive --include "*20170422*" &amp; "%USERPROFILE%\Documents\GitHub\mrs-test-scripts\Headless Mode &amp; Sideloading\WalkAndUnGZ.bat" "%USERPROFILE%\AppData\Local\Temp\OnboardLogs"\RTDC4015\2017-04-22 &amp; 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</v>
      </c>
      <c r="S7" s="92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-04-22T05:37:45-0600',mode:absolute,to:'2017-04-22T08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7" s="94" t="str">
        <f t="shared" ref="T7:T3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/stypes="*4015*201704221*" /stext=" 13:.+((SYSTEM_STATE.+slice.+state.+changed )|(ment ac)|(multiple cpu faults)|(system.+state.+changed )|(\[timeout)|(PRM\|1\|D)|(kpr)|(kdp)|(\|lc)|(penalty))"</v>
      </c>
      <c r="U7" s="9" t="str">
        <f t="shared" ref="U7:U33" si="2">MID(B7,13,4)</f>
        <v>4015</v>
      </c>
      <c r="V7" s="32">
        <f t="shared" ref="V7:V33" si="3">A7-utc_offset/24</f>
        <v>42847.546898148146</v>
      </c>
      <c r="W7" s="46" t="str">
        <f t="shared" ref="W7:W3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3" si="5">IF(AND(E7="TRACK WARRANT AUTHORITY",G7&lt;10),"OMIT","KEEP")</f>
        <v>KEEP</v>
      </c>
      <c r="Y7" s="104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arrival","project_id":79,"tracker_id":40,"status_id":1,"priority_id":2,"assigned_to_id":23,"start_date":"2017-04-22","description":"","custom_fields":[{"id":1,"name":"Subdivision","value":"EC"},{"id":4,"name":"Milepost","value":"4.8048"},{"id":17,"name":"Train ID","value":"118-22"},{"id":16,"name":"Locomotive ID","value":"4015"},{"id":130,"name":"Impact","value":""},{"id":150,"name":"Time of Event (Mountain Time)","value":"07:07:32"},{"id":151,"name":"Denver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95"/>
      <c r="AA7" s="48"/>
      <c r="AB7" s="48"/>
      <c r="AC7" s="123" t="str">
        <f t="shared" ref="AC7:AC33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"%USERPROFILE%\AppData\Local\Temp\OnboardLogs"\RTDC4015\*4015*201704221*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"%USERPROFILE%\AppData\Local\Temp\OnboardLogs"\RTDC4015\*4015*201704221* &gt;&gt; 2017-04-22-SliceDisagreementCheck.txt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4015 --day 2017-04-22</v>
      </c>
    </row>
    <row r="8" spans="1:32" s="1" customFormat="1" x14ac:dyDescent="0.25">
      <c r="A8" s="32">
        <v>42847.463101851848</v>
      </c>
      <c r="B8" s="30" t="s">
        <v>589</v>
      </c>
      <c r="C8" s="30" t="s">
        <v>595</v>
      </c>
      <c r="D8" s="30" t="s">
        <v>49</v>
      </c>
      <c r="E8" s="30" t="s">
        <v>191</v>
      </c>
      <c r="F8" s="43">
        <v>410</v>
      </c>
      <c r="G8" s="43">
        <v>470</v>
      </c>
      <c r="H8" s="43">
        <v>59811</v>
      </c>
      <c r="I8" s="43">
        <v>58235</v>
      </c>
      <c r="J8" s="30" t="s">
        <v>192</v>
      </c>
      <c r="K8" s="43">
        <v>58904</v>
      </c>
      <c r="L8" s="139" t="s">
        <v>51</v>
      </c>
      <c r="M8" s="140">
        <f t="shared" si="0"/>
        <v>-353.23200000000003</v>
      </c>
      <c r="N8" s="141" t="str">
        <f>VLOOKUP(C8,'Trips&amp;Operators'!$C$1:$G$99999,5,FALSE)</f>
        <v>DAVIS WENDY</v>
      </c>
      <c r="O8" s="190" t="s">
        <v>184</v>
      </c>
      <c r="P8" s="142" t="s">
        <v>456</v>
      </c>
      <c r="Q8" s="30"/>
      <c r="R8" s="89" t="str">
        <f>IF(VLOOKUP(C8,'Train Runs'!$A$13:$AE$9932,1,1)=C8,VLOOKUP(C8,'Train Runs'!$A$13:$AE$9932,31,1),NA())</f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S8" s="92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-04-22T09:35:51-0600',mode:absolute,to:'2017-04-22T12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8" s="94" t="str">
        <f t="shared" si="1"/>
        <v>"C:\Program Files (x86)\AstroGrep\AstroGrep.exe" /e /r /s /spath="%USERPROFILE%\AppData\Local\Temp\OnboardLogs" /stypes="*4063*201704221*" /stext=" 17:.+((SYSTEM_STATE.+slice.+state.+changed )|(ment ac)|(multiple cpu faults)|(system.+state.+changed )|(\[timeout)|(PRM\|1\|D)|(kpr)|(kdp)|(\|lc)|(penalty))"</v>
      </c>
      <c r="U8" s="9" t="str">
        <f t="shared" si="2"/>
        <v>4063</v>
      </c>
      <c r="V8" s="32">
        <f t="shared" si="3"/>
        <v>42847.713101851848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arrival","project_id":79,"tracker_id":40,"status_id":1,"priority_id":2,"assigned_to_id":23,"start_date":"2017-04-22","description":"","custom_fields":[{"id":1,"name":"Subdivision","value":"EC"},{"id":4,"name":"Milepost","value":"5.8904"},{"id":17,"name":"Train ID","value":"150-22"},{"id":16,"name":"Locomotive ID","value":"4063"},{"id":130,"name":"Impact","value":""},{"id":150,"name":"Time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95"/>
      <c r="AA8" s="48"/>
      <c r="AB8" s="48"/>
      <c r="AC8" s="123" t="str">
        <f t="shared" si="7"/>
        <v>grep -hSE -A400 "Enforcement Action" "%USERPROFILE%\AppData\Local\Temp\OnboardLogs"\RTDC4063\*4063*201704221*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"%USERPROFILE%\AppData\Local\Temp\OnboardLogs"\RTDC4063\*4063*201704221* &gt;&gt; 2017-04-22-SliceDisagreementCheck.txt</v>
      </c>
      <c r="AE8" s="153" t="str">
        <f t="shared" ref="AE8:AE33" si="9">"start /low /b "&amp;dls3logs&amp;" --loco "&amp;U8&amp;" --day "&amp;TEXT(V8,"YYYY-MM-DD")</f>
        <v>start /low /b %USERPROFILE%\Documents\GitHub\eaglep3\Utilities\DownloadLogsFromS3.py --loco 4063 --day 2017-04-22</v>
      </c>
    </row>
    <row r="9" spans="1:32" s="1" customFormat="1" x14ac:dyDescent="0.25">
      <c r="A9" s="32">
        <v>42847.807557870372</v>
      </c>
      <c r="B9" s="30" t="s">
        <v>395</v>
      </c>
      <c r="C9" s="30" t="s">
        <v>606</v>
      </c>
      <c r="D9" s="30" t="s">
        <v>49</v>
      </c>
      <c r="E9" s="30" t="s">
        <v>191</v>
      </c>
      <c r="F9" s="43">
        <v>70</v>
      </c>
      <c r="G9" s="43">
        <v>128</v>
      </c>
      <c r="H9" s="43">
        <v>64027</v>
      </c>
      <c r="I9" s="43">
        <v>63906</v>
      </c>
      <c r="J9" s="30" t="s">
        <v>192</v>
      </c>
      <c r="K9" s="43">
        <v>63309</v>
      </c>
      <c r="L9" s="139" t="s">
        <v>51</v>
      </c>
      <c r="M9" s="140">
        <f t="shared" si="0"/>
        <v>315.21600000000001</v>
      </c>
      <c r="N9" s="141" t="str">
        <f>VLOOKUP(C9,'Trips&amp;Operators'!$C$1:$G$99999,5,FALSE)</f>
        <v>MACDONALD THOMAS</v>
      </c>
      <c r="O9" s="190" t="s">
        <v>184</v>
      </c>
      <c r="P9" s="142" t="s">
        <v>456</v>
      </c>
      <c r="Q9" s="30"/>
      <c r="R9" s="89" t="e">
        <f>IF(VLOOKUP(C9,'Train Runs'!$A$13:$AE$9932,1,1)=C9,VLOOKUP(C9,'Train Runs'!$A$13:$AE$9932,31,1),NA())</f>
        <v>#N/A</v>
      </c>
      <c r="S9" s="92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-04-22T17:47:58-0600',mode:absolute,to:'2017-04-22T20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94" t="str">
        <f t="shared" si="1"/>
        <v>"C:\Program Files (x86)\AstroGrep\AstroGrep.exe" /e /r /s /spath="%USERPROFILE%\AppData\Local\Temp\OnboardLogs" /stypes="*4041*201704230*" /stext=" 01:.+((SYSTEM_STATE.+slice.+state.+changed )|(ment ac)|(multiple cpu faults)|(system.+state.+changed )|(\[timeout)|(PRM\|1\|D)|(kpr)|(kdp)|(\|lc)|(penalty))"</v>
      </c>
      <c r="U9" s="9" t="str">
        <f t="shared" si="2"/>
        <v>4041</v>
      </c>
      <c r="V9" s="32">
        <f t="shared" si="3"/>
        <v>42848.057557870372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arrival","project_id":79,"tracker_id":40,"status_id":1,"priority_id":2,"assigned_to_id":23,"start_date":"2017-04-22","description":"","custom_fields":[{"id":1,"name":"Subdivision","value":"EC"},{"id":4,"name":"Milepost","value":"6.3309"},{"id":17,"name":"Train ID","value":"216-22"},{"id":16,"name":"Locomotive ID","value":"4041"},{"id":130,"name":"Impact","value":""},{"id":150,"name":"Time of Event (Mountain Time)","value":"19:22:53"},{"id":151,"name":"Denver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95"/>
      <c r="AA9" s="48"/>
      <c r="AB9" s="48"/>
      <c r="AC9" s="123" t="str">
        <f t="shared" si="7"/>
        <v>grep -hSE -A400 "Enforcement Action" "%USERPROFILE%\AppData\Local\Temp\OnboardLogs"\RTDC4041\*4041*201704230*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"%USERPROFILE%\AppData\Local\Temp\OnboardLogs"\RTDC4041\*4041*201704230* &gt;&gt; 2017-04-22-SliceDisagreementCheck.txt</v>
      </c>
      <c r="AE9" s="153" t="str">
        <f t="shared" si="9"/>
        <v>start /low /b %USERPROFILE%\Documents\GitHub\eaglep3\Utilities\DownloadLogsFromS3.py --loco 4041 --day 2017-04-23</v>
      </c>
    </row>
    <row r="10" spans="1:32" s="1" customFormat="1" x14ac:dyDescent="0.25">
      <c r="A10" s="32">
        <v>42847.927743055552</v>
      </c>
      <c r="B10" s="30" t="s">
        <v>591</v>
      </c>
      <c r="C10" s="30" t="s">
        <v>609</v>
      </c>
      <c r="D10" s="30" t="s">
        <v>49</v>
      </c>
      <c r="E10" s="30" t="s">
        <v>191</v>
      </c>
      <c r="F10" s="43">
        <v>0</v>
      </c>
      <c r="G10" s="43">
        <v>432</v>
      </c>
      <c r="H10" s="43">
        <v>109575</v>
      </c>
      <c r="I10" s="43">
        <v>108370</v>
      </c>
      <c r="J10" s="30" t="s">
        <v>192</v>
      </c>
      <c r="K10" s="43">
        <v>109135</v>
      </c>
      <c r="L10" s="139" t="s">
        <v>51</v>
      </c>
      <c r="M10" s="140">
        <f t="shared" si="0"/>
        <v>-403.92</v>
      </c>
      <c r="N10" s="141" t="str">
        <f>VLOOKUP(C10,'Trips&amp;Operators'!$C$1:$G$99999,5,FALSE)</f>
        <v>BROWN JACOB</v>
      </c>
      <c r="O10" s="190" t="s">
        <v>184</v>
      </c>
      <c r="P10" s="142" t="s">
        <v>456</v>
      </c>
      <c r="Q10" s="30"/>
      <c r="R10" s="89" t="e">
        <f>IF(VLOOKUP(C10,'Train Runs'!$A$13:$AE$9932,1,1)=C10,VLOOKUP(C10,'Train Runs'!$A$13:$AE$9932,31,1),NA())</f>
        <v>#N/A</v>
      </c>
      <c r="S10" s="92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-04-22T20:49:49-0600',mode:absolute,to:'2017-04-22T23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0" s="94" t="str">
        <f t="shared" si="1"/>
        <v>"C:\Program Files (x86)\AstroGrep\AstroGrep.exe" /e /r /s /spath="%USERPROFILE%\AppData\Local\Temp\OnboardLogs" /stypes="*4055*201704230*" /stext=" 04:.+((SYSTEM_STATE.+slice.+state.+changed )|(ment ac)|(multiple cpu faults)|(system.+state.+changed )|(\[timeout)|(PRM\|1\|D)|(kpr)|(kdp)|(\|lc)|(penalty))"</v>
      </c>
      <c r="U10" s="9" t="str">
        <f t="shared" si="2"/>
        <v>4055</v>
      </c>
      <c r="V10" s="32">
        <f t="shared" si="3"/>
        <v>42848.177743055552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arrival","project_id":79,"tracker_id":40,"status_id":1,"priority_id":2,"assigned_to_id":23,"start_date":"2017-04-22","description":"","custom_fields":[{"id":1,"name":"Subdivision","value":"EC"},{"id":4,"name":"Milepost","value":"10.9135"},{"id":17,"name":"Train ID","value":"230-22"},{"id":16,"name":"Locomotive ID","value":"4055"},{"id":130,"name":"Impact","value":""},{"id":150,"name":"Time of Event (Mountain Time)","value":"22:15:57"},{"id":151,"name":"Denver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95"/>
      <c r="AA10" s="48"/>
      <c r="AB10" s="48"/>
      <c r="AC10" s="123" t="str">
        <f t="shared" si="7"/>
        <v>grep -hSE -A400 "Enforcement Action" "%USERPROFILE%\AppData\Local\Temp\OnboardLogs"\RTDC4055\*4055*201704230*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"%USERPROFILE%\AppData\Local\Temp\OnboardLogs"\RTDC4055\*4055*201704230* &gt;&gt; 2017-04-22-SliceDisagreementCheck.txt</v>
      </c>
      <c r="AE10" s="153" t="str">
        <f t="shared" si="9"/>
        <v>start /low /b %USERPROFILE%\Documents\GitHub\eaglep3\Utilities\DownloadLogsFromS3.py --loco 4055 --day 2017-04-23</v>
      </c>
    </row>
    <row r="11" spans="1:32" s="1" customFormat="1" x14ac:dyDescent="0.25">
      <c r="A11" s="32">
        <v>42847.864305555559</v>
      </c>
      <c r="B11" s="30" t="s">
        <v>434</v>
      </c>
      <c r="C11" s="30" t="s">
        <v>608</v>
      </c>
      <c r="D11" s="30" t="s">
        <v>49</v>
      </c>
      <c r="E11" s="30" t="s">
        <v>191</v>
      </c>
      <c r="F11" s="43">
        <v>260</v>
      </c>
      <c r="G11" s="43">
        <v>343</v>
      </c>
      <c r="H11" s="43">
        <v>109653</v>
      </c>
      <c r="I11" s="43">
        <v>109017</v>
      </c>
      <c r="J11" s="30" t="s">
        <v>192</v>
      </c>
      <c r="K11" s="43">
        <v>109135</v>
      </c>
      <c r="L11" s="139" t="s">
        <v>51</v>
      </c>
      <c r="M11" s="140">
        <f t="shared" si="0"/>
        <v>-62.304000000000002</v>
      </c>
      <c r="N11" s="141" t="str">
        <f>VLOOKUP(C11,'Trips&amp;Operators'!$C$1:$G$99999,5,FALSE)</f>
        <v>DAVIDSON DAVID</v>
      </c>
      <c r="O11" s="190" t="s">
        <v>184</v>
      </c>
      <c r="P11" s="142" t="s">
        <v>456</v>
      </c>
      <c r="Q11" s="30"/>
      <c r="R11" s="89" t="e">
        <f>IF(VLOOKUP(C11,'Train Runs'!$A$13:$AE$9932,1,1)=C11,VLOOKUP(C11,'Train Runs'!$A$13:$AE$9932,31,1),NA())</f>
        <v>#N/A</v>
      </c>
      <c r="S11" s="92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-04-22T19:19:54-0600',mode:absolute,to:'2017-04-22T22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1" s="94" t="str">
        <f t="shared" si="1"/>
        <v>"C:\Program Files (x86)\AstroGrep\AstroGrep.exe" /e /r /s /spath="%USERPROFILE%\AppData\Local\Temp\OnboardLogs" /stypes="*4025*201704230*" /stext=" 02:.+((SYSTEM_STATE.+slice.+state.+changed )|(ment ac)|(multiple cpu faults)|(system.+state.+changed )|(\[timeout)|(PRM\|1\|D)|(kpr)|(kdp)|(\|lc)|(penalty))"</v>
      </c>
      <c r="U11" s="9" t="str">
        <f t="shared" si="2"/>
        <v>4025</v>
      </c>
      <c r="V11" s="32">
        <f t="shared" si="3"/>
        <v>42848.114305555559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arrival","project_id":79,"tracker_id":40,"status_id":1,"priority_id":2,"assigned_to_id":23,"start_date":"2017-04-22","description":"","custom_fields":[{"id":1,"name":"Subdivision","value":"EC"},{"id":4,"name":"Milepost","value":"10.9135"},{"id":17,"name":"Train ID","value":"224-22"},{"id":16,"name":"Locomotive ID","value":"4025"},{"id":130,"name":"Impact","value":""},{"id":150,"name":"Time of Event (Mountain Time)","value":"20:44:36"},{"id":151,"name":"Denver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95"/>
      <c r="AA11" s="48"/>
      <c r="AB11" s="48"/>
      <c r="AC11" s="123" t="str">
        <f t="shared" si="7"/>
        <v>grep -hSE -A400 "Enforcement Action" "%USERPROFILE%\AppData\Local\Temp\OnboardLogs"\RTDC4025\*4025*201704230*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"%USERPROFILE%\AppData\Local\Temp\OnboardLogs"\RTDC4025\*4025*201704230* &gt;&gt; 2017-04-22-SliceDisagreementCheck.txt</v>
      </c>
      <c r="AE11" s="153" t="str">
        <f t="shared" si="9"/>
        <v>start /low /b %USERPROFILE%\Documents\GitHub\eaglep3\Utilities\DownloadLogsFromS3.py --loco 4025 --day 2017-04-23</v>
      </c>
    </row>
    <row r="12" spans="1:32" s="1" customFormat="1" x14ac:dyDescent="0.25">
      <c r="A12" s="32">
        <v>42847.467673611114</v>
      </c>
      <c r="B12" s="30" t="s">
        <v>356</v>
      </c>
      <c r="C12" s="30" t="s">
        <v>596</v>
      </c>
      <c r="D12" s="30" t="s">
        <v>98</v>
      </c>
      <c r="E12" s="30" t="s">
        <v>191</v>
      </c>
      <c r="F12" s="43">
        <v>360</v>
      </c>
      <c r="G12" s="43">
        <v>422</v>
      </c>
      <c r="H12" s="43">
        <v>108994</v>
      </c>
      <c r="I12" s="43">
        <v>107749</v>
      </c>
      <c r="J12" s="30" t="s">
        <v>192</v>
      </c>
      <c r="K12" s="43">
        <v>109135</v>
      </c>
      <c r="L12" s="139" t="s">
        <v>51</v>
      </c>
      <c r="M12" s="140">
        <f t="shared" si="0"/>
        <v>-731.80799999999999</v>
      </c>
      <c r="N12" s="141" t="str">
        <f>VLOOKUP(C12,'Trips&amp;Operators'!$C$1:$G$99999,5,FALSE)</f>
        <v>SANTIZO D. EDY</v>
      </c>
      <c r="O12" s="190" t="s">
        <v>184</v>
      </c>
      <c r="P12" s="142" t="s">
        <v>456</v>
      </c>
      <c r="Q12" s="30"/>
      <c r="R12" s="89" t="str">
        <f>IF(VLOOKUP(C12,'Train Runs'!$A$13:$AE$9932,1,1)=C12,VLOOKUP(C12,'Train Runs'!$A$13:$AE$9932,31,1),NA())</f>
        <v>aws s3 cp s3://rtdc.mdm.uploadarchive.raw/RTDC4031/ "%USERPROFILE%\AppData\Local\Temp\OnboardLogs"\RTDC4031\2017-04-22 --exclude "*" --recursive --include "*20170422*" &amp; "%USERPROFILE%\Documents\GitHub\mrs-test-scripts\Headless Mode &amp; Sideloading\WalkAndUnGZ.bat" "%USERPROFILE%\AppData\Local\Temp\OnboardLogs"\RTDC4031\2017-04-22 &amp; 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</v>
      </c>
      <c r="S12" s="92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-04-22T09:37:12-0600',mode:absolute,to:'2017-04-22T12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94" t="str">
        <f t="shared" si="1"/>
        <v>"C:\Program Files (x86)\AstroGrep\AstroGrep.exe" /e /r /s /spath="%USERPROFILE%\AppData\Local\Temp\OnboardLogs" /stypes="*4031*201704221*" /stext=" 17:.+((SYSTEM_STATE.+slice.+state.+changed )|(ment ac)|(multiple cpu faults)|(system.+state.+changed )|(\[timeout)|(PRM\|1\|D)|(kpr)|(kdp)|(\|lc)|(penalty))"</v>
      </c>
      <c r="U12" s="9" t="str">
        <f t="shared" si="2"/>
        <v>4031</v>
      </c>
      <c r="V12" s="32">
        <f t="shared" si="3"/>
        <v>42847.717673611114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arrival","project_id":79,"tracker_id":40,"status_id":1,"priority_id":2,"assigned_to_id":23,"start_date":"2017-04-22","description":"","custom_fields":[{"id":1,"name":"Subdivision","value":"EC"},{"id":4,"name":"Milepost","value":"10.9135"},{"id":17,"name":"Train ID","value":"152-22"},{"id":16,"name":"Locomotive ID","value":"4031"},{"id":130,"name":"Impact","value":""},{"id":150,"name":"Time of Event (Mountain Time)","value":"11:13:27"},{"id":151,"name":"Denver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95"/>
      <c r="AA12" s="48"/>
      <c r="AB12" s="48"/>
      <c r="AC12" s="123" t="str">
        <f t="shared" si="7"/>
        <v>grep -hSE -A400 "Enforcement Action" "%USERPROFILE%\AppData\Local\Temp\OnboardLogs"\RTDC4031\*4031*201704221*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"%USERPROFILE%\AppData\Local\Temp\OnboardLogs"\RTDC4031\*4031*201704221* &gt;&gt; 2017-04-22-SliceDisagreementCheck.txt</v>
      </c>
      <c r="AE12" s="153" t="str">
        <f t="shared" si="9"/>
        <v>start /low /b %USERPROFILE%\Documents\GitHub\eaglep3\Utilities\DownloadLogsFromS3.py --loco 4031 --day 2017-04-22</v>
      </c>
    </row>
    <row r="13" spans="1:32" s="1" customFormat="1" x14ac:dyDescent="0.25">
      <c r="A13" s="32">
        <v>42847.802499999998</v>
      </c>
      <c r="B13" s="30" t="s">
        <v>395</v>
      </c>
      <c r="C13" s="30" t="s">
        <v>606</v>
      </c>
      <c r="D13" s="30" t="s">
        <v>49</v>
      </c>
      <c r="E13" s="30" t="s">
        <v>191</v>
      </c>
      <c r="F13" s="43">
        <v>410</v>
      </c>
      <c r="G13" s="43">
        <v>462</v>
      </c>
      <c r="H13" s="43">
        <v>110200</v>
      </c>
      <c r="I13" s="43">
        <v>108956</v>
      </c>
      <c r="J13" s="30" t="s">
        <v>192</v>
      </c>
      <c r="K13" s="43">
        <v>109135</v>
      </c>
      <c r="L13" s="139" t="s">
        <v>51</v>
      </c>
      <c r="M13" s="140">
        <f t="shared" si="0"/>
        <v>-94.512</v>
      </c>
      <c r="N13" s="141" t="str">
        <f>VLOOKUP(C13,'Trips&amp;Operators'!$C$1:$G$99999,5,FALSE)</f>
        <v>MACDONALD THOMAS</v>
      </c>
      <c r="O13" s="190" t="s">
        <v>184</v>
      </c>
      <c r="P13" s="142" t="s">
        <v>456</v>
      </c>
      <c r="Q13" s="30"/>
      <c r="R13" s="89" t="e">
        <f>IF(VLOOKUP(C13,'Train Runs'!$A$13:$AE$9932,1,1)=C13,VLOOKUP(C13,'Train Runs'!$A$13:$AE$9932,31,1),NA())</f>
        <v>#N/A</v>
      </c>
      <c r="S13" s="92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-04-22T17:47:58-0600',mode:absolute,to:'2017-04-22T20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94" t="str">
        <f t="shared" si="1"/>
        <v>"C:\Program Files (x86)\AstroGrep\AstroGrep.exe" /e /r /s /spath="%USERPROFILE%\AppData\Local\Temp\OnboardLogs" /stypes="*4041*201704230*" /stext=" 01:.+((SYSTEM_STATE.+slice.+state.+changed )|(ment ac)|(multiple cpu faults)|(system.+state.+changed )|(\[timeout)|(PRM\|1\|D)|(kpr)|(kdp)|(\|lc)|(penalty))"</v>
      </c>
      <c r="U13" s="9" t="str">
        <f t="shared" si="2"/>
        <v>4041</v>
      </c>
      <c r="V13" s="32">
        <f t="shared" si="3"/>
        <v>42848.052499999998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arrival","project_id":79,"tracker_id":40,"status_id":1,"priority_id":2,"assigned_to_id":23,"start_date":"2017-04-22","description":"","custom_fields":[{"id":1,"name":"Subdivision","value":"EC"},{"id":4,"name":"Milepost","value":"10.9135"},{"id":17,"name":"Train ID","value":"216-22"},{"id":16,"name":"Locomotive ID","value":"4041"},{"id":130,"name":"Impact","value":""},{"id":150,"name":"Time of Event (Mountain Time)","value":"19:15:36"},{"id":151,"name":"Denver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95"/>
      <c r="AA13" s="48"/>
      <c r="AB13" s="48"/>
      <c r="AC13" s="123" t="str">
        <f t="shared" si="7"/>
        <v>grep -hSE -A400 "Enforcement Action" "%USERPROFILE%\AppData\Local\Temp\OnboardLogs"\RTDC4041\*4041*201704230*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"%USERPROFILE%\AppData\Local\Temp\OnboardLogs"\RTDC4041\*4041*201704230* &gt;&gt; 2017-04-22-SliceDisagreementCheck.txt</v>
      </c>
      <c r="AE13" s="153" t="str">
        <f t="shared" si="9"/>
        <v>start /low /b %USERPROFILE%\Documents\GitHub\eaglep3\Utilities\DownloadLogsFromS3.py --loco 4041 --day 2017-04-23</v>
      </c>
    </row>
    <row r="14" spans="1:32" x14ac:dyDescent="0.25">
      <c r="A14" s="32">
        <v>42847.28398148148</v>
      </c>
      <c r="B14" s="30" t="s">
        <v>585</v>
      </c>
      <c r="C14" s="30" t="s">
        <v>586</v>
      </c>
      <c r="D14" s="30" t="s">
        <v>49</v>
      </c>
      <c r="E14" s="30" t="s">
        <v>211</v>
      </c>
      <c r="F14" s="43">
        <v>400</v>
      </c>
      <c r="G14" s="43">
        <v>531</v>
      </c>
      <c r="H14" s="43">
        <v>17266</v>
      </c>
      <c r="I14" s="43">
        <v>18048</v>
      </c>
      <c r="J14" s="30" t="s">
        <v>212</v>
      </c>
      <c r="K14" s="43">
        <v>17867</v>
      </c>
      <c r="L14" s="139" t="s">
        <v>50</v>
      </c>
      <c r="M14" s="140">
        <f t="shared" si="0"/>
        <v>-95.567999999999998</v>
      </c>
      <c r="N14" s="141" t="str">
        <f>VLOOKUP(C14,'Trips&amp;Operators'!$C$1:$G$99999,5,FALSE)</f>
        <v>MAYBERRY BILL</v>
      </c>
      <c r="O14" s="190" t="s">
        <v>184</v>
      </c>
      <c r="P14" s="142"/>
      <c r="Q14" s="30"/>
      <c r="R14" s="89" t="str">
        <f>IF(VLOOKUP(C14,'Train Runs'!$A$13:$AE$9932,1,1)=C14,VLOOKUP(C14,'Train Runs'!$A$13:$AE$9932,31,1),NA())</f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S14" s="92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-04-22T05:38:09-0600',mode:absolute,to:'2017-04-22T08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4" s="94" t="str">
        <f t="shared" si="1"/>
        <v>"C:\Program Files (x86)\AstroGrep\AstroGrep.exe" /e /r /s /spath="%USERPROFILE%\AppData\Local\Temp\OnboardLogs" /stypes="*4056*201704221*" /stext=" 12:.+((SYSTEM_STATE.+slice.+state.+changed )|(ment ac)|(multiple cpu faults)|(system.+state.+changed )|(\[timeout)|(PRM\|1\|D)|(kpr)|(kdp)|(\|lc)|(penalty))"</v>
      </c>
      <c r="U14" s="9" t="str">
        <f t="shared" si="2"/>
        <v>4056</v>
      </c>
      <c r="V14" s="32">
        <f t="shared" si="3"/>
        <v>42847.53398148148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{"issue":{"subject":"","project_id":79,"tracker_id":40,"status_id":1,"priority_id":2,"assigned_to_id":23,"start_date":"2017-04-22","description":"","custom_fields":[{"id":1,"name":"Subdivision","value":"EC"},{"id":4,"name":"Milepost","value":"1.7867"},{"id":17,"name":"Train ID","value":"125-22"},{"id":16,"name":"Locomotive ID","value":"4056"},{"id":130,"name":"Impact","value":""},{"id":150,"name":"Time of Event (Mountain Time)","value":"06:48:56"},{"id":151,"name":"Denver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95"/>
      <c r="AA14" s="48"/>
      <c r="AB14" s="48"/>
      <c r="AC14" s="123" t="str">
        <f t="shared" si="7"/>
        <v>grep -hSE -A400 "Enforcement Action" "%USERPROFILE%\AppData\Local\Temp\OnboardLogs"\RTDC4056\*4056*201704221*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"%USERPROFILE%\AppData\Local\Temp\OnboardLogs"\RTDC4056\*4056*201704221* &gt;&gt; 2017-04-22-SliceDisagreementCheck.txt</v>
      </c>
      <c r="AE14" s="153" t="str">
        <f t="shared" si="9"/>
        <v>start /low /b %USERPROFILE%\Documents\GitHub\eaglep3\Utilities\DownloadLogsFromS3.py --loco 4056 --day 2017-04-22</v>
      </c>
      <c r="AF14" s="1"/>
    </row>
    <row r="15" spans="1:32" x14ac:dyDescent="0.25">
      <c r="A15" s="32">
        <v>42847.368796296294</v>
      </c>
      <c r="B15" s="30" t="s">
        <v>585</v>
      </c>
      <c r="C15" s="30" t="s">
        <v>593</v>
      </c>
      <c r="D15" s="30" t="s">
        <v>49</v>
      </c>
      <c r="E15" s="30" t="s">
        <v>211</v>
      </c>
      <c r="F15" s="43">
        <v>400</v>
      </c>
      <c r="G15" s="43">
        <v>550</v>
      </c>
      <c r="H15" s="43">
        <v>115838</v>
      </c>
      <c r="I15" s="43">
        <v>117298</v>
      </c>
      <c r="J15" s="30" t="s">
        <v>212</v>
      </c>
      <c r="K15" s="43">
        <v>116838</v>
      </c>
      <c r="L15" s="139" t="s">
        <v>50</v>
      </c>
      <c r="M15" s="140">
        <f t="shared" si="0"/>
        <v>-242.88</v>
      </c>
      <c r="N15" s="141" t="str">
        <f>VLOOKUP(C15,'Trips&amp;Operators'!$C$1:$G$99999,5,FALSE)</f>
        <v>MAYBERRY BILL</v>
      </c>
      <c r="O15" s="190" t="s">
        <v>184</v>
      </c>
      <c r="P15" s="142"/>
      <c r="Q15" s="30"/>
      <c r="R15" s="89" t="str">
        <f>IF(VLOOKUP(C15,'Train Runs'!$A$13:$AE$9932,1,1)=C15,VLOOKUP(C15,'Train Runs'!$A$13:$AE$9932,31,1),NA())</f>
        <v>aws s3 cp s3://rtdc.mdm.uploadarchive.raw/RTDC4056/ "%USERPROFILE%\AppData\Local\Temp\OnboardLogs"\RTDC4056\2017-04-22 --exclude "*" --recursive --include "*20170422*" &amp; "%USERPROFILE%\Documents\GitHub\mrs-test-scripts\Headless Mode &amp; Sideloading\WalkAndUnGZ.bat" "%USERPROFILE%\AppData\Local\Temp\OnboardLogs"\RTDC4056\2017-04-22 &amp; 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</v>
      </c>
      <c r="S15" s="92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-04-22T07:22:56-0600',mode:absolute,to:'2017-04-22T10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5" s="94" t="str">
        <f t="shared" si="1"/>
        <v>"C:\Program Files (x86)\AstroGrep\AstroGrep.exe" /e /r /s /spath="%USERPROFILE%\AppData\Local\Temp\OnboardLogs" /stypes="*4056*201704221*" /stext=" 14:.+((SYSTEM_STATE.+slice.+state.+changed )|(ment ac)|(multiple cpu faults)|(system.+state.+changed )|(\[timeout)|(PRM\|1\|D)|(kpr)|(kdp)|(\|lc)|(penalty))"</v>
      </c>
      <c r="U15" s="9" t="str">
        <f t="shared" si="2"/>
        <v>4056</v>
      </c>
      <c r="V15" s="32">
        <f t="shared" si="3"/>
        <v>42847.618796296294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{"issue":{"subject":"","project_id":79,"tracker_id":40,"status_id":1,"priority_id":2,"assigned_to_id":23,"start_date":"2017-04-22","description":"","custom_fields":[{"id":1,"name":"Subdivision","value":"EC"},{"id":4,"name":"Milepost","value":"11.6838"},{"id":17,"name":"Train ID","value":"139-22"},{"id":16,"name":"Locomotive ID","value":"4056"},{"id":130,"name":"Impact","value":""},{"id":150,"name":"Time of Event (Mountain Time)","value":"08:51:04"},{"id":151,"name":"Denver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95"/>
      <c r="AA15" s="48"/>
      <c r="AB15" s="48"/>
      <c r="AC15" s="123" t="str">
        <f t="shared" si="7"/>
        <v>grep -hSE -A400 "Enforcement Action" "%USERPROFILE%\AppData\Local\Temp\OnboardLogs"\RTDC4056\*4056*201704221*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"%USERPROFILE%\AppData\Local\Temp\OnboardLogs"\RTDC4056\*4056*201704221* &gt;&gt; 2017-04-22-SliceDisagreementCheck.txt</v>
      </c>
      <c r="AE15" s="153" t="str">
        <f t="shared" si="9"/>
        <v>start /low /b %USERPROFILE%\Documents\GitHub\eaglep3\Utilities\DownloadLogsFromS3.py --loco 4056 --day 2017-04-22</v>
      </c>
      <c r="AF15" s="1"/>
    </row>
    <row r="16" spans="1:32" x14ac:dyDescent="0.25">
      <c r="A16" s="32">
        <v>42847.581053240741</v>
      </c>
      <c r="B16" s="30" t="s">
        <v>395</v>
      </c>
      <c r="C16" s="30" t="s">
        <v>599</v>
      </c>
      <c r="D16" s="30" t="s">
        <v>49</v>
      </c>
      <c r="E16" s="30" t="s">
        <v>211</v>
      </c>
      <c r="F16" s="43">
        <v>400</v>
      </c>
      <c r="G16" s="43">
        <v>535</v>
      </c>
      <c r="H16" s="43">
        <v>121666</v>
      </c>
      <c r="I16" s="43">
        <v>119657</v>
      </c>
      <c r="J16" s="30" t="s">
        <v>212</v>
      </c>
      <c r="K16" s="43">
        <v>119716</v>
      </c>
      <c r="L16" s="139" t="s">
        <v>51</v>
      </c>
      <c r="M16" s="140">
        <f t="shared" si="0"/>
        <v>-31.152000000000001</v>
      </c>
      <c r="N16" s="141" t="str">
        <f>VLOOKUP(C16,'Trips&amp;Operators'!$C$1:$G$99999,5,FALSE)</f>
        <v>STEWART MICHAEL</v>
      </c>
      <c r="O16" s="190" t="s">
        <v>184</v>
      </c>
      <c r="P16" s="142"/>
      <c r="Q16" s="30"/>
      <c r="R16" s="89" t="str">
        <f>IF(VLOOKUP(C16,'Train Runs'!$A$13:$AE$9932,1,1)=C16,VLOOKUP(C16,'Train Runs'!$A$13:$AE$9932,31,1),NA())</f>
        <v>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 &amp; 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</v>
      </c>
      <c r="S16" s="92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-04-22T12:35:57-0600',mode:absolute,to:'2017-04-22T15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94" t="str">
        <f t="shared" si="1"/>
        <v>"C:\Program Files (x86)\AstroGrep\AstroGrep.exe" /e /r /s /spath="%USERPROFILE%\AppData\Local\Temp\OnboardLogs" /stypes="*4041*201704221*" /stext=" 19:.+((SYSTEM_STATE.+slice.+state.+changed )|(ment ac)|(multiple cpu faults)|(system.+state.+changed )|(\[timeout)|(PRM\|1\|D)|(kpr)|(kdp)|(\|lc)|(penalty))"</v>
      </c>
      <c r="U16" s="9" t="str">
        <f t="shared" si="2"/>
        <v>4041</v>
      </c>
      <c r="V16" s="32">
        <f t="shared" si="3"/>
        <v>42847.831053240741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{"issue":{"subject":"","project_id":79,"tracker_id":40,"status_id":1,"priority_id":2,"assigned_to_id":23,"start_date":"2017-04-22","description":"","custom_fields":[{"id":1,"name":"Subdivision","value":"EC"},{"id":4,"name":"Milepost","value":"11.9716"},{"id":17,"name":"Train ID","value":"174-22"},{"id":16,"name":"Locomotive ID","value":"4041"},{"id":130,"name":"Impact","value":""},{"id":150,"name":"Time of Event (Mountain Time)","value":"13:56:43"},{"id":151,"name":"Denver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95"/>
      <c r="AA16" s="48"/>
      <c r="AB16" s="48"/>
      <c r="AC16" s="123" t="str">
        <f t="shared" si="7"/>
        <v>grep -hSE -A400 "Enforcement Action" "%USERPROFILE%\AppData\Local\Temp\OnboardLogs"\RTDC4041\*4041*201704221*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"%USERPROFILE%\AppData\Local\Temp\OnboardLogs"\RTDC4041\*4041*201704221* &gt;&gt; 2017-04-22-SliceDisagreementCheck.txt</v>
      </c>
      <c r="AE16" s="153" t="str">
        <f t="shared" si="9"/>
        <v>start /low /b %USERPROFILE%\Documents\GitHub\eaglep3\Utilities\DownloadLogsFromS3.py --loco 4041 --day 2017-04-22</v>
      </c>
      <c r="AF16" s="1"/>
    </row>
    <row r="17" spans="1:32" x14ac:dyDescent="0.25">
      <c r="A17" s="32">
        <v>42847.385601851849</v>
      </c>
      <c r="B17" s="30" t="s">
        <v>359</v>
      </c>
      <c r="C17" s="30" t="s">
        <v>594</v>
      </c>
      <c r="D17" s="30" t="s">
        <v>49</v>
      </c>
      <c r="E17" s="30" t="s">
        <v>211</v>
      </c>
      <c r="F17" s="43">
        <v>600</v>
      </c>
      <c r="G17" s="43">
        <v>663</v>
      </c>
      <c r="H17" s="43">
        <v>182499</v>
      </c>
      <c r="I17" s="43">
        <v>185155</v>
      </c>
      <c r="J17" s="30" t="s">
        <v>212</v>
      </c>
      <c r="K17" s="43">
        <v>183829</v>
      </c>
      <c r="L17" s="139" t="s">
        <v>50</v>
      </c>
      <c r="M17" s="140">
        <f t="shared" si="0"/>
        <v>-700.12800000000004</v>
      </c>
      <c r="N17" s="141" t="str">
        <f>VLOOKUP(C17,'Trips&amp;Operators'!$C$1:$G$99999,5,FALSE)</f>
        <v>BADERTSCHER DIANE</v>
      </c>
      <c r="O17" s="190" t="s">
        <v>184</v>
      </c>
      <c r="P17" s="142"/>
      <c r="Q17" s="30"/>
      <c r="R17" s="89" t="str">
        <f>IF(VLOOKUP(C17,'Train Runs'!$A$13:$AE$9932,1,1)=C17,VLOOKUP(C17,'Train Runs'!$A$13:$AE$9932,31,1),NA())</f>
        <v>aws s3 cp s3://rtdc.mdm.uploadarchive.raw/RTDC4022/ "%USERPROFILE%\AppData\Local\Temp\OnboardLogs"\RTDC4022\2017-04-22 --exclude "*" --recursive --include "*20170422*" &amp; "%USERPROFILE%\Documents\GitHub\mrs-test-scripts\Headless Mode &amp; Sideloading\WalkAndUnGZ.bat" "%USERPROFILE%\AppData\Local\Temp\OnboardLogs"\RTDC4022\2017-04-22 &amp; 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</v>
      </c>
      <c r="S17" s="92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-04-22T07:39:31-0600',mode:absolute,to:'2017-04-22T10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94" t="str">
        <f t="shared" si="1"/>
        <v>"C:\Program Files (x86)\AstroGrep\AstroGrep.exe" /e /r /s /spath="%USERPROFILE%\AppData\Local\Temp\OnboardLogs" /stypes="*4022*201704221*" /stext=" 15:.+((SYSTEM_STATE.+slice.+state.+changed )|(ment ac)|(multiple cpu faults)|(system.+state.+changed )|(\[timeout)|(PRM\|1\|D)|(kpr)|(kdp)|(\|lc)|(penalty))"</v>
      </c>
      <c r="U17" s="9" t="str">
        <f t="shared" si="2"/>
        <v>4022</v>
      </c>
      <c r="V17" s="32">
        <f t="shared" si="3"/>
        <v>42847.635601851849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{"issue":{"subject":"","project_id":79,"tracker_id":40,"status_id":1,"priority_id":2,"assigned_to_id":23,"start_date":"2017-04-22","description":"","custom_fields":[{"id":1,"name":"Subdivision","value":"EC"},{"id":4,"name":"Milepost","value":"18.3829"},{"id":17,"name":"Train ID","value":"141-22"},{"id":16,"name":"Locomotive ID","value":"4022"},{"id":130,"name":"Impact","value":""},{"id":150,"name":"Time of Event (Mountain Time)","value":"09:15:16"},{"id":151,"name":"Denver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95"/>
      <c r="AA17" s="48"/>
      <c r="AB17" s="48"/>
      <c r="AC17" s="123" t="str">
        <f t="shared" si="7"/>
        <v>grep -hSE -A400 "Enforcement Action" "%USERPROFILE%\AppData\Local\Temp\OnboardLogs"\RTDC4022\*4022*201704221*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"%USERPROFILE%\AppData\Local\Temp\OnboardLogs"\RTDC4022\*4022*201704221* &gt;&gt; 2017-04-22-SliceDisagreementCheck.txt</v>
      </c>
      <c r="AE17" s="153" t="str">
        <f t="shared" si="9"/>
        <v>start /low /b %USERPROFILE%\Documents\GitHub\eaglep3\Utilities\DownloadLogsFromS3.py --loco 4022 --day 2017-04-22</v>
      </c>
      <c r="AF17" s="1"/>
    </row>
    <row r="18" spans="1:32" x14ac:dyDescent="0.25">
      <c r="A18" s="32">
        <v>42847.545185185183</v>
      </c>
      <c r="B18" s="30" t="s">
        <v>591</v>
      </c>
      <c r="C18" s="30" t="s">
        <v>597</v>
      </c>
      <c r="D18" s="30" t="s">
        <v>98</v>
      </c>
      <c r="E18" s="30" t="s">
        <v>211</v>
      </c>
      <c r="F18" s="43">
        <v>700</v>
      </c>
      <c r="G18" s="43">
        <v>751</v>
      </c>
      <c r="H18" s="43">
        <v>176135</v>
      </c>
      <c r="I18" s="43">
        <v>172835</v>
      </c>
      <c r="J18" s="30" t="s">
        <v>212</v>
      </c>
      <c r="K18" s="43">
        <v>183829</v>
      </c>
      <c r="L18" s="139" t="s">
        <v>51</v>
      </c>
      <c r="M18" s="140">
        <f t="shared" si="0"/>
        <v>-5804.8320000000003</v>
      </c>
      <c r="N18" s="141" t="str">
        <f>VLOOKUP(C18,'Trips&amp;Operators'!$C$1:$G$99999,5,FALSE)</f>
        <v>LEVIN SCOTT</v>
      </c>
      <c r="O18" s="190" t="s">
        <v>184</v>
      </c>
      <c r="P18" s="142"/>
      <c r="Q18" s="30"/>
      <c r="R18" s="89" t="str">
        <f>IF(VLOOKUP(C18,'Train Runs'!$A$13:$AE$9932,1,1)=C18,VLOOKUP(C18,'Train Runs'!$A$13:$AE$9932,31,1),NA())</f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S18" s="92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-04-22T11:52:41-0600',mode:absolute,to:'2017-04-22T14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8" s="94" t="str">
        <f t="shared" si="1"/>
        <v>"C:\Program Files (x86)\AstroGrep\AstroGrep.exe" /e /r /s /spath="%USERPROFILE%\AppData\Local\Temp\OnboardLogs" /stypes="*4055*201704221*" /stext=" 19:.+((SYSTEM_STATE.+slice.+state.+changed )|(ment ac)|(multiple cpu faults)|(system.+state.+changed )|(\[timeout)|(PRM\|1\|D)|(kpr)|(kdp)|(\|lc)|(penalty))"</v>
      </c>
      <c r="U18" s="9" t="str">
        <f t="shared" si="2"/>
        <v>4055</v>
      </c>
      <c r="V18" s="32">
        <f t="shared" si="3"/>
        <v>42847.795185185183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{"issue":{"subject":"","project_id":79,"tracker_id":40,"status_id":1,"priority_id":2,"assigned_to_id":23,"start_date":"2017-04-22","description":"","custom_fields":[{"id":1,"name":"Subdivision","value":"EC"},{"id":4,"name":"Milepost","value":"18.3829"},{"id":17,"name":"Train ID","value":"168-22"},{"id":16,"name":"Locomotive ID","value":"4055"},{"id":130,"name":"Impact","value":""},{"id":150,"name":"Time of Event (Mountain Time)","value":"13:05:04"},{"id":151,"name":"Denver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95"/>
      <c r="AA18" s="48"/>
      <c r="AB18" s="48"/>
      <c r="AC18" s="123" t="str">
        <f t="shared" si="7"/>
        <v>grep -hSE -A400 "Enforcement Action" "%USERPROFILE%\AppData\Local\Temp\OnboardLogs"\RTDC4055\*4055*201704221*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"%USERPROFILE%\AppData\Local\Temp\OnboardLogs"\RTDC4055\*4055*201704221* &gt;&gt; 2017-04-22-SliceDisagreementCheck.txt</v>
      </c>
      <c r="AE18" s="153" t="str">
        <f t="shared" si="9"/>
        <v>start /low /b %USERPROFILE%\Documents\GitHub\eaglep3\Utilities\DownloadLogsFromS3.py --loco 4055 --day 2017-04-22</v>
      </c>
      <c r="AF18" s="1"/>
    </row>
    <row r="19" spans="1:32" x14ac:dyDescent="0.25">
      <c r="A19" s="32">
        <v>42847.689988425926</v>
      </c>
      <c r="B19" s="30" t="s">
        <v>591</v>
      </c>
      <c r="C19" s="30" t="s">
        <v>601</v>
      </c>
      <c r="D19" s="30" t="s">
        <v>98</v>
      </c>
      <c r="E19" s="30" t="s">
        <v>211</v>
      </c>
      <c r="F19" s="43">
        <v>600</v>
      </c>
      <c r="G19" s="43">
        <v>651</v>
      </c>
      <c r="H19" s="43">
        <v>183944</v>
      </c>
      <c r="I19" s="43">
        <v>180710</v>
      </c>
      <c r="J19" s="30" t="s">
        <v>212</v>
      </c>
      <c r="K19" s="43">
        <v>190834</v>
      </c>
      <c r="L19" s="139" t="s">
        <v>51</v>
      </c>
      <c r="M19" s="140">
        <f t="shared" si="0"/>
        <v>-5345.4719999999998</v>
      </c>
      <c r="N19" s="141" t="str">
        <f>VLOOKUP(C19,'Trips&amp;Operators'!$C$1:$G$99999,5,FALSE)</f>
        <v>LEVIN SCOTT</v>
      </c>
      <c r="O19" s="190" t="s">
        <v>184</v>
      </c>
      <c r="P19" s="142"/>
      <c r="Q19" s="30"/>
      <c r="R19" s="89" t="e">
        <f>IF(VLOOKUP(C19,'Train Runs'!$A$13:$AE$9932,1,1)=C19,VLOOKUP(C19,'Train Runs'!$A$13:$AE$9932,31,1),NA())</f>
        <v>#N/A</v>
      </c>
      <c r="S19" s="92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-04-22T15:21:20-0600',mode:absolute,to:'2017-04-22T18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9" s="94" t="str">
        <f t="shared" si="1"/>
        <v>"C:\Program Files (x86)\AstroGrep\AstroGrep.exe" /e /r /s /spath="%USERPROFILE%\AppData\Local\Temp\OnboardLogs" /stypes="*4055*201704222*" /stext=" 22:.+((SYSTEM_STATE.+slice.+state.+changed )|(ment ac)|(multiple cpu faults)|(system.+state.+changed )|(\[timeout)|(PRM\|1\|D)|(kpr)|(kdp)|(\|lc)|(penalty))"</v>
      </c>
      <c r="U19" s="9" t="str">
        <f t="shared" si="2"/>
        <v>4055</v>
      </c>
      <c r="V19" s="32">
        <f t="shared" si="3"/>
        <v>42847.939988425926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{"issue":{"subject":"","project_id":79,"tracker_id":40,"status_id":1,"priority_id":2,"assigned_to_id":23,"start_date":"2017-04-22","description":"","custom_fields":[{"id":1,"name":"Subdivision","value":"EC"},{"id":4,"name":"Milepost","value":"19.0834"},{"id":17,"name":"Train ID","value":"196-22"},{"id":16,"name":"Locomotive ID","value":"4055"},{"id":130,"name":"Impact","value":""},{"id":150,"name":"Time of Event (Mountain Time)","value":"16:33:35"},{"id":151,"name":"Denver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95"/>
      <c r="AA19" s="48"/>
      <c r="AB19" s="48"/>
      <c r="AC19" s="123" t="str">
        <f t="shared" si="7"/>
        <v>grep -hSE -A400 "Enforcement Action" "%USERPROFILE%\AppData\Local\Temp\OnboardLogs"\RTDC4055\*4055*201704222*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"%USERPROFILE%\AppData\Local\Temp\OnboardLogs"\RTDC4055\*4055*201704222* &gt;&gt; 2017-04-22-SliceDisagreementCheck.txt</v>
      </c>
      <c r="AE19" s="153" t="str">
        <f t="shared" si="9"/>
        <v>start /low /b %USERPROFILE%\Documents\GitHub\eaglep3\Utilities\DownloadLogsFromS3.py --loco 4055 --day 2017-04-22</v>
      </c>
      <c r="AF19" s="1"/>
    </row>
    <row r="20" spans="1:32" x14ac:dyDescent="0.25">
      <c r="A20" s="32">
        <v>42847.301030092596</v>
      </c>
      <c r="B20" s="30" t="s">
        <v>589</v>
      </c>
      <c r="C20" s="30" t="s">
        <v>590</v>
      </c>
      <c r="D20" s="30" t="s">
        <v>98</v>
      </c>
      <c r="E20" s="30" t="s">
        <v>211</v>
      </c>
      <c r="F20" s="43">
        <v>350</v>
      </c>
      <c r="G20" s="43">
        <v>401</v>
      </c>
      <c r="H20" s="43">
        <v>225600</v>
      </c>
      <c r="I20" s="43">
        <v>224229</v>
      </c>
      <c r="J20" s="30" t="s">
        <v>212</v>
      </c>
      <c r="K20" s="43">
        <v>232107</v>
      </c>
      <c r="L20" s="139" t="s">
        <v>51</v>
      </c>
      <c r="M20" s="140">
        <f t="shared" si="0"/>
        <v>-4159.5839999999998</v>
      </c>
      <c r="N20" s="141" t="str">
        <f>VLOOKUP(C20,'Trips&amp;Operators'!$C$1:$G$99999,5,FALSE)</f>
        <v>DAVIS WENDY</v>
      </c>
      <c r="O20" s="190" t="s">
        <v>184</v>
      </c>
      <c r="P20" s="142"/>
      <c r="Q20" s="30"/>
      <c r="R20" s="89" t="str">
        <f>IF(VLOOKUP(C20,'Train Runs'!$A$13:$AE$9932,1,1)=C20,VLOOKUP(C20,'Train Runs'!$A$13:$AE$9932,31,1),NA())</f>
        <v>aws s3 cp s3://rtdc.mdm.uploadarchive.raw/RTDC4063/ "%USERPROFILE%\AppData\Local\Temp\OnboardLogs"\RTDC4063\2017-04-22 --exclude "*" --recursive --include "*20170422*" &amp; "%USERPROFILE%\Documents\GitHub\mrs-test-scripts\Headless Mode &amp; Sideloading\WalkAndUnGZ.bat" "%USERPROFILE%\AppData\Local\Temp\OnboardLogs"\RTDC4063\2017-04-22 &amp; aws s3 cp s3://rtdc.mdm.uploadarchive.raw/RTDC4063/ "%USERPROFILE%\AppData\Local\Temp\OnboardLogs"\RTDC4063\2017-04-23 --exclude "*" --recursive --include "*20170423*" &amp; "%USERPROFILE%\Documents\GitHub\mrs-test-scripts\Headless Mode &amp; Sideloading\WalkAndUnGZ.bat" "%USERPROFILE%\AppData\Local\Temp\OnboardLogs"\RTDC4063\2017-04-23</v>
      </c>
      <c r="S20" s="92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-04-22T06:03:55-0600',mode:absolute,to:'2017-04-22T08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94" t="str">
        <f t="shared" si="1"/>
        <v>"C:\Program Files (x86)\AstroGrep\AstroGrep.exe" /e /r /s /spath="%USERPROFILE%\AppData\Local\Temp\OnboardLogs" /stypes="*4063*201704221*" /stext=" 13:.+((SYSTEM_STATE.+slice.+state.+changed )|(ment ac)|(multiple cpu faults)|(system.+state.+changed )|(\[timeout)|(PRM\|1\|D)|(kpr)|(kdp)|(\|lc)|(penalty))"</v>
      </c>
      <c r="U20" s="9" t="str">
        <f t="shared" si="2"/>
        <v>4063</v>
      </c>
      <c r="V20" s="32">
        <f t="shared" si="3"/>
        <v>42847.551030092596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{"issue":{"subject":"","project_id":79,"tracker_id":40,"status_id":1,"priority_id":2,"assigned_to_id":23,"start_date":"2017-04-22","description":"","custom_fields":[{"id":1,"name":"Subdivision","value":"EC"},{"id":4,"name":"Milepost","value":"23.2107"},{"id":17,"name":"Train ID","value":"122-22"},{"id":16,"name":"Locomotive ID","value":"4063"},{"id":130,"name":"Impact","value":""},{"id":150,"name":"Time of Event (Mountain Time)","value":"07:13:29"},{"id":151,"name":"Denver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95"/>
      <c r="AA20" s="48"/>
      <c r="AB20" s="48"/>
      <c r="AC20" s="123" t="str">
        <f t="shared" si="7"/>
        <v>grep -hSE -A400 "Enforcement Action" "%USERPROFILE%\AppData\Local\Temp\OnboardLogs"\RTDC4063\*4063*201704221*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"%USERPROFILE%\AppData\Local\Temp\OnboardLogs"\RTDC4063\*4063*201704221* &gt;&gt; 2017-04-22-SliceDisagreementCheck.txt</v>
      </c>
      <c r="AE20" s="153" t="str">
        <f t="shared" si="9"/>
        <v>start /low /b %USERPROFILE%\Documents\GitHub\eaglep3\Utilities\DownloadLogsFromS3.py --loco 4063 --day 2017-04-22</v>
      </c>
      <c r="AF20" s="1"/>
    </row>
    <row r="21" spans="1:32" x14ac:dyDescent="0.25">
      <c r="A21" s="32">
        <v>42847.656087962961</v>
      </c>
      <c r="B21" s="30" t="s">
        <v>434</v>
      </c>
      <c r="C21" s="30" t="s">
        <v>600</v>
      </c>
      <c r="D21" s="30" t="s">
        <v>49</v>
      </c>
      <c r="E21" s="30" t="s">
        <v>447</v>
      </c>
      <c r="F21" s="43">
        <v>0</v>
      </c>
      <c r="G21" s="43">
        <v>410</v>
      </c>
      <c r="H21" s="43">
        <v>17475</v>
      </c>
      <c r="I21" s="43">
        <v>14573</v>
      </c>
      <c r="J21" s="30" t="s">
        <v>448</v>
      </c>
      <c r="K21" s="43">
        <v>17100</v>
      </c>
      <c r="L21" s="139" t="s">
        <v>51</v>
      </c>
      <c r="M21" s="140">
        <f t="shared" si="0"/>
        <v>-1334.2559999999999</v>
      </c>
      <c r="N21" s="141" t="str">
        <f>VLOOKUP(C21,'Trips&amp;Operators'!$C$1:$G$99999,5,FALSE)</f>
        <v>LALONDE GREGORY</v>
      </c>
      <c r="O21" s="190" t="s">
        <v>436</v>
      </c>
      <c r="P21" s="142" t="s">
        <v>523</v>
      </c>
      <c r="Q21" s="30"/>
      <c r="R21" s="89" t="e">
        <f>IF(VLOOKUP(C21,'Train Runs'!$A$13:$AE$9932,1,1)=C21,VLOOKUP(C21,'Train Runs'!$A$13:$AE$9932,31,1),NA())</f>
        <v>#N/A</v>
      </c>
      <c r="S21" s="92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-04-22T13:52:49-0600',mode:absolute,to:'2017-04-22T16:44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94" t="str">
        <f t="shared" si="1"/>
        <v>"C:\Program Files (x86)\AstroGrep\AstroGrep.exe" /e /r /s /spath="%USERPROFILE%\AppData\Local\Temp\OnboardLogs" /stypes="*4025*201704222*" /stext=" 21:.+((SYSTEM_STATE.+slice.+state.+changed )|(ment ac)|(multiple cpu faults)|(system.+state.+changed )|(\[timeout)|(PRM\|1\|D)|(kpr)|(kdp)|(\|lc)|(penalty))"</v>
      </c>
      <c r="U21" s="9" t="str">
        <f t="shared" si="2"/>
        <v>4025</v>
      </c>
      <c r="V21" s="32">
        <f t="shared" si="3"/>
        <v>42847.906087962961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{"issue":{"subject":"Wi-MAX data drop","project_id":79,"tracker_id":40,"status_id":1,"priority_id":2,"assigned_to_id":23,"start_date":"2017-04-22","description":"http://stevetu21.github.io/eaglep3/load_kml.html?kml=http://rtdc.gmaps-snips.s3.amazonaws.com/4d568044-6826-40cb-b80d-d4f384813f48.kml","custom_fields":[{"id":1,"name":"Subdivision","value":"EC"},{"id":4,"name":"Milepost","value":"1.71"},{"id":17,"name":"Train ID","value":"186-22"},{"id":16,"name":"Locomotive ID","value":"4025"},{"id":130,"name":"Impact","value":"Enforcement"},{"id":150,"name":"Time of Event (Mountain Time)","value":"15:44:46"},{"id":151,"name":"Denver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20" t="s">
        <v>1005</v>
      </c>
      <c r="AA21" s="48" t="s">
        <v>124</v>
      </c>
      <c r="AB21" s="48" t="s">
        <v>137</v>
      </c>
      <c r="AC21" s="123" t="str">
        <f t="shared" si="7"/>
        <v>grep -hSE -A400 "Enforcement Action" "%USERPROFILE%\AppData\Local\Temp\OnboardLogs"\RTDC4025\*4025*201704222*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"%USERPROFILE%\AppData\Local\Temp\OnboardLogs"\RTDC4025\*4025*201704222* &gt;&gt; 2017-04-22-SliceDisagreementCheck.txt</v>
      </c>
      <c r="AE21" s="153" t="str">
        <f t="shared" si="9"/>
        <v>start /low /b %USERPROFILE%\Documents\GitHub\eaglep3\Utilities\DownloadLogsFromS3.py --loco 4025 --day 2017-04-22</v>
      </c>
      <c r="AF21" s="1"/>
    </row>
    <row r="22" spans="1:32" x14ac:dyDescent="0.25">
      <c r="A22" s="32">
        <v>42847.285439814812</v>
      </c>
      <c r="B22" s="30" t="s">
        <v>358</v>
      </c>
      <c r="C22" s="30" t="s">
        <v>587</v>
      </c>
      <c r="D22" s="30" t="s">
        <v>49</v>
      </c>
      <c r="E22" s="30" t="s">
        <v>185</v>
      </c>
      <c r="F22" s="43">
        <v>0</v>
      </c>
      <c r="G22" s="43">
        <v>80</v>
      </c>
      <c r="H22" s="43">
        <v>293</v>
      </c>
      <c r="I22" s="43">
        <v>196</v>
      </c>
      <c r="J22" s="30" t="s">
        <v>186</v>
      </c>
      <c r="K22" s="43">
        <v>1</v>
      </c>
      <c r="L22" s="139" t="s">
        <v>51</v>
      </c>
      <c r="M22" s="140">
        <f t="shared" si="0"/>
        <v>102.96</v>
      </c>
      <c r="N22" s="141" t="str">
        <f>VLOOKUP(C22,'Trips&amp;Operators'!$C$1:$G$99999,5,FALSE)</f>
        <v>BADERTSCHER DIANE</v>
      </c>
      <c r="O22" s="190" t="s">
        <v>184</v>
      </c>
      <c r="P22" s="142"/>
      <c r="Q22" s="30"/>
      <c r="R22" s="89" t="str">
        <f>IF(VLOOKUP(C22,'Train Runs'!$A$13:$AE$9932,1,1)=C22,VLOOKUP(C22,'Train Runs'!$A$13:$AE$9932,31,1),NA())</f>
        <v>aws s3 cp s3://rtdc.mdm.uploadarchive.raw/RTDC4021/ "%USERPROFILE%\AppData\Local\Temp\OnboardLogs"\RTDC4021\2017-04-22 --exclude "*" --recursive --include "*20170422*" &amp; "%USERPROFILE%\Documents\GitHub\mrs-test-scripts\Headless Mode &amp; Sideloading\WalkAndUnGZ.bat" "%USERPROFILE%\AppData\Local\Temp\OnboardLogs"\RTDC4021\2017-04-22 &amp; 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</v>
      </c>
      <c r="S22" s="92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-04-22T05:00:25-0600',mode:absolute,to:'2017-04-22T07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2" s="94" t="str">
        <f t="shared" si="1"/>
        <v>"C:\Program Files (x86)\AstroGrep\AstroGrep.exe" /e /r /s /spath="%USERPROFILE%\AppData\Local\Temp\OnboardLogs" /stypes="*4021*201704221*" /stext=" 12:.+((SYSTEM_STATE.+slice.+state.+changed )|(ment ac)|(multiple cpu faults)|(system.+state.+changed )|(\[timeout)|(PRM\|1\|D)|(kpr)|(kdp)|(\|lc)|(penalty))"</v>
      </c>
      <c r="U22" s="9" t="str">
        <f t="shared" si="2"/>
        <v>4021</v>
      </c>
      <c r="V22" s="32">
        <f t="shared" si="3"/>
        <v>42847.535439814812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{"issue":{"subject":"","project_id":79,"tracker_id":40,"status_id":1,"priority_id":2,"assigned_to_id":23,"start_date":"2017-04-22","description":"","custom_fields":[{"id":1,"name":"Subdivision","value":"EC"},{"id":4,"name":"Milepost","value":"0.0001"},{"id":17,"name":"Train ID","value":"114-22"},{"id":16,"name":"Locomotive ID","value":"4021"},{"id":130,"name":"Impact","value":""},{"id":150,"name":"Time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95"/>
      <c r="AA22" s="48"/>
      <c r="AB22" s="48"/>
      <c r="AC22" s="123" t="str">
        <f t="shared" si="7"/>
        <v>grep -hSE -A400 "Enforcement Action" "%USERPROFILE%\AppData\Local\Temp\OnboardLogs"\RTDC4021\*4021*201704221*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"%USERPROFILE%\AppData\Local\Temp\OnboardLogs"\RTDC4021\*4021*201704221* &gt;&gt; 2017-04-22-SliceDisagreementCheck.txt</v>
      </c>
      <c r="AE22" s="153" t="str">
        <f t="shared" si="9"/>
        <v>start /low /b %USERPROFILE%\Documents\GitHub\eaglep3\Utilities\DownloadLogsFromS3.py --loco 4021 --day 2017-04-22</v>
      </c>
      <c r="AF22" s="1"/>
    </row>
    <row r="23" spans="1:32" x14ac:dyDescent="0.25">
      <c r="A23" s="32">
        <v>42847.347256944442</v>
      </c>
      <c r="B23" s="30" t="s">
        <v>591</v>
      </c>
      <c r="C23" s="30" t="s">
        <v>592</v>
      </c>
      <c r="D23" s="30" t="s">
        <v>49</v>
      </c>
      <c r="E23" s="30" t="s">
        <v>185</v>
      </c>
      <c r="F23" s="43">
        <v>0</v>
      </c>
      <c r="G23" s="43">
        <v>64</v>
      </c>
      <c r="H23" s="43">
        <v>216</v>
      </c>
      <c r="I23" s="43">
        <v>134</v>
      </c>
      <c r="J23" s="30" t="s">
        <v>186</v>
      </c>
      <c r="K23" s="43">
        <v>1</v>
      </c>
      <c r="L23" s="139" t="s">
        <v>51</v>
      </c>
      <c r="M23" s="140">
        <f t="shared" si="0"/>
        <v>70.224000000000004</v>
      </c>
      <c r="N23" s="141" t="str">
        <f>VLOOKUP(C23,'Trips&amp;Operators'!$C$1:$G$99999,5,FALSE)</f>
        <v>MAYBERRY BILL</v>
      </c>
      <c r="O23" s="190" t="s">
        <v>184</v>
      </c>
      <c r="P23" s="142"/>
      <c r="Q23" s="30"/>
      <c r="R23" s="89" t="str">
        <f>IF(VLOOKUP(C23,'Train Runs'!$A$13:$AE$9932,1,1)=C23,VLOOKUP(C23,'Train Runs'!$A$13:$AE$9932,31,1),NA())</f>
        <v>aws s3 cp s3://rtdc.mdm.uploadarchive.raw/RTDC4055/ "%USERPROFILE%\AppData\Local\Temp\OnboardLogs"\RTDC4055\2017-04-22 --exclude "*" --recursive --include "*20170422*" &amp; "%USERPROFILE%\Documents\GitHub\mrs-test-scripts\Headless Mode &amp; Sideloading\WalkAndUnGZ.bat" "%USERPROFILE%\AppData\Local\Temp\OnboardLogs"\RTDC4055\2017-04-22 &amp; aws s3 cp s3://rtdc.mdm.uploadarchive.raw/RTDC4055/ "%USERPROFILE%\AppData\Local\Temp\OnboardLogs"\RTDC4055\2017-04-23 --exclude "*" --recursive --include "*20170423*" &amp; "%USERPROFILE%\Documents\GitHub\mrs-test-scripts\Headless Mode &amp; Sideloading\WalkAndUnGZ.bat" "%USERPROFILE%\AppData\Local\Temp\OnboardLogs"\RTDC4055\2017-04-23</v>
      </c>
      <c r="S23" s="92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-04-22T06:31:21-0600',mode:absolute,to:'2017-04-22T09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3" s="94" t="str">
        <f t="shared" si="1"/>
        <v>"C:\Program Files (x86)\AstroGrep\AstroGrep.exe" /e /r /s /spath="%USERPROFILE%\AppData\Local\Temp\OnboardLogs" /stypes="*4055*201704221*" /stext=" 14:.+((SYSTEM_STATE.+slice.+state.+changed )|(ment ac)|(multiple cpu faults)|(system.+state.+changed )|(\[timeout)|(PRM\|1\|D)|(kpr)|(kdp)|(\|lc)|(penalty))"</v>
      </c>
      <c r="U23" s="9" t="str">
        <f t="shared" si="2"/>
        <v>4055</v>
      </c>
      <c r="V23" s="32">
        <f t="shared" si="3"/>
        <v>42847.597256944442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{"issue":{"subject":"","project_id":79,"tracker_id":40,"status_id":1,"priority_id":2,"assigned_to_id":23,"start_date":"2017-04-22","description":"","custom_fields":[{"id":1,"name":"Subdivision","value":"EC"},{"id":4,"name":"Milepost","value":"0.0001"},{"id":17,"name":"Train ID","value":"126-22"},{"id":16,"name":"Locomotive ID","value":"4055"},{"id":130,"name":"Impact","value":""},{"id":150,"name":"Time of Event (Mountain Time)","value":"08:20:03"},{"id":151,"name":"Denver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95"/>
      <c r="AA23" s="48"/>
      <c r="AB23" s="48"/>
      <c r="AC23" s="123" t="str">
        <f t="shared" si="7"/>
        <v>grep -hSE -A400 "Enforcement Action" "%USERPROFILE%\AppData\Local\Temp\OnboardLogs"\RTDC4055\*4055*201704221*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"%USERPROFILE%\AppData\Local\Temp\OnboardLogs"\RTDC4055\*4055*201704221* &gt;&gt; 2017-04-22-SliceDisagreementCheck.txt</v>
      </c>
      <c r="AE23" s="153" t="str">
        <f t="shared" si="9"/>
        <v>start /low /b %USERPROFILE%\Documents\GitHub\eaglep3\Utilities\DownloadLogsFromS3.py --loco 4055 --day 2017-04-22</v>
      </c>
      <c r="AF23" s="1"/>
    </row>
    <row r="24" spans="1:32" x14ac:dyDescent="0.25">
      <c r="A24" s="32">
        <v>42847.818819444445</v>
      </c>
      <c r="B24" s="30" t="s">
        <v>395</v>
      </c>
      <c r="C24" s="30" t="s">
        <v>606</v>
      </c>
      <c r="D24" s="30" t="s">
        <v>49</v>
      </c>
      <c r="E24" s="30" t="s">
        <v>185</v>
      </c>
      <c r="F24" s="43">
        <v>0</v>
      </c>
      <c r="G24" s="43">
        <v>71</v>
      </c>
      <c r="H24" s="43">
        <v>254</v>
      </c>
      <c r="I24" s="43">
        <v>185</v>
      </c>
      <c r="J24" s="30" t="s">
        <v>186</v>
      </c>
      <c r="K24" s="43">
        <v>1</v>
      </c>
      <c r="L24" s="139" t="s">
        <v>51</v>
      </c>
      <c r="M24" s="140">
        <f t="shared" si="0"/>
        <v>97.152000000000001</v>
      </c>
      <c r="N24" s="141" t="str">
        <f>VLOOKUP(C24,'Trips&amp;Operators'!$C$1:$G$99999,5,FALSE)</f>
        <v>MACDONALD THOMAS</v>
      </c>
      <c r="O24" s="190" t="s">
        <v>184</v>
      </c>
      <c r="P24" s="142"/>
      <c r="Q24" s="30"/>
      <c r="R24" s="89" t="e">
        <f>IF(VLOOKUP(C24,'Train Runs'!$A$13:$AE$9932,1,1)=C24,VLOOKUP(C24,'Train Runs'!$A$13:$AE$9932,31,1),NA())</f>
        <v>#N/A</v>
      </c>
      <c r="S24" s="92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-04-22T17:47:58-0600',mode:absolute,to:'2017-04-22T20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94" t="str">
        <f t="shared" si="1"/>
        <v>"C:\Program Files (x86)\AstroGrep\AstroGrep.exe" /e /r /s /spath="%USERPROFILE%\AppData\Local\Temp\OnboardLogs" /stypes="*4041*201704230*" /stext=" 01:.+((SYSTEM_STATE.+slice.+state.+changed )|(ment ac)|(multiple cpu faults)|(system.+state.+changed )|(\[timeout)|(PRM\|1\|D)|(kpr)|(kdp)|(\|lc)|(penalty))"</v>
      </c>
      <c r="U24" s="9" t="str">
        <f t="shared" si="2"/>
        <v>4041</v>
      </c>
      <c r="V24" s="32">
        <f t="shared" si="3"/>
        <v>42848.068819444445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{"issue":{"subject":"","project_id":79,"tracker_id":40,"status_id":1,"priority_id":2,"assigned_to_id":23,"start_date":"2017-04-22","description":"","custom_fields":[{"id":1,"name":"Subdivision","value":"EC"},{"id":4,"name":"Milepost","value":"0.0001"},{"id":17,"name":"Train ID","value":"216-22"},{"id":16,"name":"Locomotive ID","value":"4041"},{"id":130,"name":"Impact","value":""},{"id":150,"name":"Time of Event (Mountain Time)","value":"19:39:06"},{"id":151,"name":"Denver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95"/>
      <c r="AA24" s="48"/>
      <c r="AB24" s="48"/>
      <c r="AC24" s="123" t="str">
        <f t="shared" si="7"/>
        <v>grep -hSE -A400 "Enforcement Action" "%USERPROFILE%\AppData\Local\Temp\OnboardLogs"\RTDC4041\*4041*201704230*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"%USERPROFILE%\AppData\Local\Temp\OnboardLogs"\RTDC4041\*4041*201704230* &gt;&gt; 2017-04-22-SliceDisagreementCheck.txt</v>
      </c>
      <c r="AE24" s="153" t="str">
        <f t="shared" si="9"/>
        <v>start /low /b %USERPROFILE%\Documents\GitHub\eaglep3\Utilities\DownloadLogsFromS3.py --loco 4041 --day 2017-04-23</v>
      </c>
      <c r="AF24" s="1"/>
    </row>
    <row r="25" spans="1:32" x14ac:dyDescent="0.25">
      <c r="A25" s="32">
        <v>42847.858946759261</v>
      </c>
      <c r="B25" s="30" t="s">
        <v>488</v>
      </c>
      <c r="C25" s="30" t="s">
        <v>607</v>
      </c>
      <c r="D25" s="30" t="s">
        <v>49</v>
      </c>
      <c r="E25" s="30" t="s">
        <v>185</v>
      </c>
      <c r="F25" s="43">
        <v>0</v>
      </c>
      <c r="G25" s="43">
        <v>146</v>
      </c>
      <c r="H25" s="43">
        <v>233027</v>
      </c>
      <c r="I25" s="43">
        <v>233227</v>
      </c>
      <c r="J25" s="30" t="s">
        <v>186</v>
      </c>
      <c r="K25" s="43">
        <v>233491</v>
      </c>
      <c r="L25" s="139" t="s">
        <v>50</v>
      </c>
      <c r="M25" s="140">
        <f t="shared" si="0"/>
        <v>139.392</v>
      </c>
      <c r="N25" s="141" t="str">
        <f>VLOOKUP(C25,'Trips&amp;Operators'!$C$1:$G$99999,5,FALSE)</f>
        <v>STAMBAUGH JAMES</v>
      </c>
      <c r="O25" s="190" t="s">
        <v>184</v>
      </c>
      <c r="P25" s="142"/>
      <c r="Q25" s="30"/>
      <c r="R25" s="89" t="e">
        <f>IF(VLOOKUP(C25,'Train Runs'!$A$13:$AE$9932,1,1)=C25,VLOOKUP(C25,'Train Runs'!$A$13:$AE$9932,31,1),NA())</f>
        <v>#N/A</v>
      </c>
      <c r="S25" s="92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-04-22T18:54:18-0600',mode:absolute,to:'2017-04-22T21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5" s="94" t="str">
        <f t="shared" si="1"/>
        <v>"C:\Program Files (x86)\AstroGrep\AstroGrep.exe" /e /r /s /spath="%USERPROFILE%\AppData\Local\Temp\OnboardLogs" /stypes="*4018*201704230*" /stext=" 02:.+((SYSTEM_STATE.+slice.+state.+changed )|(ment ac)|(multiple cpu faults)|(system.+state.+changed )|(\[timeout)|(PRM\|1\|D)|(kpr)|(kdp)|(\|lc)|(penalty))"</v>
      </c>
      <c r="U25" s="9" t="str">
        <f t="shared" si="2"/>
        <v>4018</v>
      </c>
      <c r="V25" s="32">
        <f t="shared" si="3"/>
        <v>42848.108946759261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{"issue":{"subject":"","project_id":79,"tracker_id":40,"status_id":1,"priority_id":2,"assigned_to_id":23,"start_date":"2017-04-22","description":"","custom_fields":[{"id":1,"name":"Subdivision","value":"EC"},{"id":4,"name":"Milepost","value":"23.3491"},{"id":17,"name":"Train ID","value":"225-22"},{"id":16,"name":"Locomotive ID","value":"4018"},{"id":130,"name":"Impact","value":""},{"id":150,"name":"Time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95"/>
      <c r="AA25" s="48"/>
      <c r="AB25" s="48"/>
      <c r="AC25" s="123" t="str">
        <f t="shared" si="7"/>
        <v>grep -hSE -A400 "Enforcement Action" "%USERPROFILE%\AppData\Local\Temp\OnboardLogs"\RTDC4018\*4018*201704230*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"%USERPROFILE%\AppData\Local\Temp\OnboardLogs"\RTDC4018\*4018*201704230* &gt;&gt; 2017-04-22-SliceDisagreementCheck.txt</v>
      </c>
      <c r="AE25" s="153" t="str">
        <f t="shared" si="9"/>
        <v>start /low /b %USERPROFILE%\Documents\GitHub\eaglep3\Utilities\DownloadLogsFromS3.py --loco 4018 --day 2017-04-23</v>
      </c>
      <c r="AF25" s="1"/>
    </row>
    <row r="26" spans="1:32" x14ac:dyDescent="0.25">
      <c r="A26" s="32">
        <v>42847.859444444446</v>
      </c>
      <c r="B26" s="30" t="s">
        <v>488</v>
      </c>
      <c r="C26" s="30" t="s">
        <v>607</v>
      </c>
      <c r="D26" s="30" t="s">
        <v>49</v>
      </c>
      <c r="E26" s="30" t="s">
        <v>185</v>
      </c>
      <c r="F26" s="43">
        <v>0</v>
      </c>
      <c r="G26" s="43">
        <v>48</v>
      </c>
      <c r="H26" s="43">
        <v>233363</v>
      </c>
      <c r="I26" s="43">
        <v>233393</v>
      </c>
      <c r="J26" s="30" t="s">
        <v>186</v>
      </c>
      <c r="K26" s="43">
        <v>233491</v>
      </c>
      <c r="L26" s="139" t="s">
        <v>50</v>
      </c>
      <c r="M26" s="140">
        <f t="shared" si="0"/>
        <v>51.744</v>
      </c>
      <c r="N26" s="141" t="str">
        <f>VLOOKUP(C26,'Trips&amp;Operators'!$C$1:$G$99999,5,FALSE)</f>
        <v>STAMBAUGH JAMES</v>
      </c>
      <c r="O26" s="190" t="s">
        <v>184</v>
      </c>
      <c r="P26" s="142"/>
      <c r="Q26" s="30"/>
      <c r="R26" s="89" t="e">
        <f>IF(VLOOKUP(C26,'Train Runs'!$A$13:$AE$9932,1,1)=C26,VLOOKUP(C26,'Train Runs'!$A$13:$AE$9932,31,1),NA())</f>
        <v>#N/A</v>
      </c>
      <c r="S26" s="92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-04-22T18:54:18-0600',mode:absolute,to:'2017-04-22T21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6" s="94" t="str">
        <f t="shared" si="1"/>
        <v>"C:\Program Files (x86)\AstroGrep\AstroGrep.exe" /e /r /s /spath="%USERPROFILE%\AppData\Local\Temp\OnboardLogs" /stypes="*4018*201704230*" /stext=" 02:.+((SYSTEM_STATE.+slice.+state.+changed )|(ment ac)|(multiple cpu faults)|(system.+state.+changed )|(\[timeout)|(PRM\|1\|D)|(kpr)|(kdp)|(\|lc)|(penalty))"</v>
      </c>
      <c r="U26" s="9" t="str">
        <f t="shared" si="2"/>
        <v>4018</v>
      </c>
      <c r="V26" s="32">
        <f t="shared" si="3"/>
        <v>42848.109444444446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{"issue":{"subject":"","project_id":79,"tracker_id":40,"status_id":1,"priority_id":2,"assigned_to_id":23,"start_date":"2017-04-22","description":"","custom_fields":[{"id":1,"name":"Subdivision","value":"EC"},{"id":4,"name":"Milepost","value":"23.3491"},{"id":17,"name":"Train ID","value":"225-22"},{"id":16,"name":"Locomotive ID","value":"4018"},{"id":130,"name":"Impact","value":""},{"id":150,"name":"Time of Event (Mountain Time)","value":"20:37:36"},{"id":151,"name":"Denver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95"/>
      <c r="AA26" s="48"/>
      <c r="AB26" s="48"/>
      <c r="AC26" s="123" t="str">
        <f t="shared" si="7"/>
        <v>grep -hSE -A400 "Enforcement Action" "%USERPROFILE%\AppData\Local\Temp\OnboardLogs"\RTDC4018\*4018*201704230*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"%USERPROFILE%\AppData\Local\Temp\OnboardLogs"\RTDC4018\*4018*201704230* &gt;&gt; 2017-04-22-SliceDisagreementCheck.txt</v>
      </c>
      <c r="AE26" s="153" t="str">
        <f t="shared" si="9"/>
        <v>start /low /b %USERPROFILE%\Documents\GitHub\eaglep3\Utilities\DownloadLogsFromS3.py --loco 4018 --day 2017-04-23</v>
      </c>
      <c r="AF26" s="1"/>
    </row>
    <row r="27" spans="1:32" x14ac:dyDescent="0.25">
      <c r="A27" s="32">
        <v>42847.787372685183</v>
      </c>
      <c r="B27" s="30" t="s">
        <v>378</v>
      </c>
      <c r="C27" s="30" t="s">
        <v>605</v>
      </c>
      <c r="D27" s="30" t="s">
        <v>49</v>
      </c>
      <c r="E27" s="30" t="s">
        <v>185</v>
      </c>
      <c r="F27" s="43">
        <v>0</v>
      </c>
      <c r="G27" s="43">
        <v>63</v>
      </c>
      <c r="H27" s="43">
        <v>766</v>
      </c>
      <c r="I27" s="43">
        <v>726</v>
      </c>
      <c r="J27" s="30" t="s">
        <v>186</v>
      </c>
      <c r="K27" s="43">
        <v>575</v>
      </c>
      <c r="L27" s="139" t="s">
        <v>51</v>
      </c>
      <c r="M27" s="140">
        <f t="shared" si="0"/>
        <v>79.727999999999994</v>
      </c>
      <c r="N27" s="141" t="str">
        <f>VLOOKUP(C27,'Trips&amp;Operators'!$C$1:$G$99999,5,FALSE)</f>
        <v>HELVIE ADAM</v>
      </c>
      <c r="O27" s="190" t="s">
        <v>184</v>
      </c>
      <c r="P27" s="142"/>
      <c r="Q27" s="30"/>
      <c r="R27" s="89" t="str">
        <f>IF(VLOOKUP(C27,'Train Runs'!$A$13:$AE$9932,1,1)=C27,VLOOKUP(C27,'Train Runs'!$A$13:$AE$9932,31,1),NA())</f>
        <v>aws s3 cp s3://rtdc.mdm.uploadarchive.raw/RTDC4013/ "%USERPROFILE%\AppData\Local\Temp\OnboardLogs"\RTDC4013\2017-04-22 --exclude "*" --recursive --include "*20170422*" &amp; "%USERPROFILE%\Documents\GitHub\mrs-test-scripts\Headless Mode &amp; Sideloading\WalkAndUnGZ.bat" "%USERPROFILE%\AppData\Local\Temp\OnboardLogs"\RTDC4013\2017-04-22 &amp; aws s3 cp s3://rtdc.mdm.uploadarchive.raw/RTDC4013/ "%USERPROFILE%\AppData\Local\Temp\OnboardLogs"\RTDC4013\2017-04-23 --exclude "*" --recursive --include "*20170423*" &amp; "%USERPROFILE%\Documents\GitHub\mrs-test-scripts\Headless Mode &amp; Sideloading\WalkAndUnGZ.bat" "%USERPROFILE%\AppData\Local\Temp\OnboardLogs"\RTDC4013\2017-04-23</v>
      </c>
      <c r="S27" s="92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-04-22T17:36:31-0600',mode:absolute,to:'2017-04-22T19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94" t="str">
        <f t="shared" si="1"/>
        <v>"C:\Program Files (x86)\AstroGrep\AstroGrep.exe" /e /r /s /spath="%USERPROFILE%\AppData\Local\Temp\OnboardLogs" /stypes="*4013*201704230*" /stext=" 00:.+((SYSTEM_STATE.+slice.+state.+changed )|(ment ac)|(multiple cpu faults)|(system.+state.+changed )|(\[timeout)|(PRM\|1\|D)|(kpr)|(kdp)|(\|lc)|(penalty))"</v>
      </c>
      <c r="U27" s="9" t="str">
        <f t="shared" si="2"/>
        <v>4013</v>
      </c>
      <c r="V27" s="32">
        <f t="shared" si="3"/>
        <v>42848.037372685183</v>
      </c>
      <c r="W27" s="46" t="str">
        <f t="shared" si="4"/>
        <v>NW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{"issue":{"subject":"","project_id":79,"tracker_id":40,"status_id":1,"priority_id":2,"assigned_to_id":23,"start_date":"2017-04-22","description":"","custom_fields":[{"id":1,"name":"Subdivision","value":"NW"},{"id":4,"name":"Milepost","value":"0.0575"},{"id":17,"name":"Train ID","value":"1826-22"},{"id":16,"name":"Locomotive ID","value":"4013"},{"id":130,"name":"Impact","value":""},{"id":150,"name":"Time of Event (Mountain Time)","value":"18:53:49"},{"id":151,"name":"Denver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95"/>
      <c r="AA27" s="48"/>
      <c r="AB27" s="48"/>
      <c r="AC27" s="123" t="str">
        <f t="shared" si="7"/>
        <v>grep -hSE -A400 "Enforcement Action" "%USERPROFILE%\AppData\Local\Temp\OnboardLogs"\RTDC4013\*4013*201704230*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"%USERPROFILE%\AppData\Local\Temp\OnboardLogs"\RTDC4013\*4013*201704230* &gt;&gt; 2017-04-22-SliceDisagreementCheck.txt</v>
      </c>
      <c r="AE27" s="153" t="str">
        <f t="shared" si="9"/>
        <v>start /low /b %USERPROFILE%\Documents\GitHub\eaglep3\Utilities\DownloadLogsFromS3.py --loco 4013 --day 2017-04-23</v>
      </c>
      <c r="AF27" s="1"/>
    </row>
    <row r="28" spans="1:32" x14ac:dyDescent="0.25">
      <c r="A28" s="32">
        <v>42847.773831018516</v>
      </c>
      <c r="B28" s="30" t="s">
        <v>377</v>
      </c>
      <c r="C28" s="30" t="s">
        <v>604</v>
      </c>
      <c r="D28" s="30" t="s">
        <v>49</v>
      </c>
      <c r="E28" s="30" t="s">
        <v>185</v>
      </c>
      <c r="F28" s="43">
        <v>0</v>
      </c>
      <c r="G28" s="43">
        <v>38</v>
      </c>
      <c r="H28" s="43">
        <v>58939</v>
      </c>
      <c r="I28" s="43">
        <v>58973</v>
      </c>
      <c r="J28" s="30" t="s">
        <v>186</v>
      </c>
      <c r="K28" s="43">
        <v>59048</v>
      </c>
      <c r="L28" s="139" t="s">
        <v>50</v>
      </c>
      <c r="M28" s="140">
        <f t="shared" si="0"/>
        <v>39.6</v>
      </c>
      <c r="N28" s="141" t="str">
        <f>VLOOKUP(C28,'Trips&amp;Operators'!$C$1:$G$99999,5,FALSE)</f>
        <v>HELVIE ADAM</v>
      </c>
      <c r="O28" s="190" t="s">
        <v>184</v>
      </c>
      <c r="P28" s="142"/>
      <c r="Q28" s="30"/>
      <c r="R28" s="89" t="str">
        <f>IF(VLOOKUP(C28,'Train Runs'!$A$13:$AE$9932,1,1)=C28,VLOOKUP(C28,'Train Runs'!$A$13:$AE$9932,31,1),NA())</f>
        <v>aws s3 cp s3://rtdc.mdm.uploadarchive.raw/RTDC4014/ "%USERPROFILE%\AppData\Local\Temp\OnboardLogs"\RTDC4014\2017-04-22 --exclude "*" --recursive --include "*20170422*" &amp; "%USERPROFILE%\Documents\GitHub\mrs-test-scripts\Headless Mode &amp; Sideloading\WalkAndUnGZ.bat" "%USERPROFILE%\AppData\Local\Temp\OnboardLogs"\RTDC4014\2017-04-22 &amp; aws s3 cp s3://rtdc.mdm.uploadarchive.raw/RTDC4014/ "%USERPROFILE%\AppData\Local\Temp\OnboardLogs"\RTDC4014\2017-04-23 --exclude "*" --recursive --include "*20170423*" &amp; "%USERPROFILE%\Documents\GitHub\mrs-test-scripts\Headless Mode &amp; Sideloading\WalkAndUnGZ.bat" "%USERPROFILE%\AppData\Local\Temp\OnboardLogs"\RTDC4014\2017-04-23</v>
      </c>
      <c r="S28" s="92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-04-22T17:16:42-0600',mode:absolute,to:'2017-04-22T19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8" s="94" t="str">
        <f t="shared" si="1"/>
        <v>"C:\Program Files (x86)\AstroGrep\AstroGrep.exe" /e /r /s /spath="%USERPROFILE%\AppData\Local\Temp\OnboardLogs" /stypes="*4014*201704230*" /stext=" 00:.+((SYSTEM_STATE.+slice.+state.+changed )|(ment ac)|(multiple cpu faults)|(system.+state.+changed )|(\[timeout)|(PRM\|1\|D)|(kpr)|(kdp)|(\|lc)|(penalty))"</v>
      </c>
      <c r="U28" s="9" t="str">
        <f t="shared" si="2"/>
        <v>4014</v>
      </c>
      <c r="V28" s="32">
        <f t="shared" si="3"/>
        <v>42848.023831018516</v>
      </c>
      <c r="W28" s="46" t="str">
        <f t="shared" si="4"/>
        <v>NW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{"issue":{"subject":"","project_id":79,"tracker_id":40,"status_id":1,"priority_id":2,"assigned_to_id":23,"start_date":"2017-04-22","description":"","custom_fields":[{"id":1,"name":"Subdivision","value":"NW"},{"id":4,"name":"Milepost","value":"5.9048"},{"id":17,"name":"Train ID","value":"1825-22"},{"id":16,"name":"Locomotive ID","value":"4014"},{"id":130,"name":"Impact","value":""},{"id":150,"name":"Time of Event (Mountain Time)","value":"18:34:19"},{"id":151,"name":"Denver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95"/>
      <c r="AA28" s="48"/>
      <c r="AB28" s="48"/>
      <c r="AC28" s="123" t="str">
        <f t="shared" si="7"/>
        <v>grep -hSE -A400 "Enforcement Action" "%USERPROFILE%\AppData\Local\Temp\OnboardLogs"\RTDC4014\*4014*201704230*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"%USERPROFILE%\AppData\Local\Temp\OnboardLogs"\RTDC4014\*4014*201704230* &gt;&gt; 2017-04-22-SliceDisagreementCheck.txt</v>
      </c>
      <c r="AE28" s="153" t="str">
        <f t="shared" si="9"/>
        <v>start /low /b %USERPROFILE%\Documents\GitHub\eaglep3\Utilities\DownloadLogsFromS3.py --loco 4014 --day 2017-04-23</v>
      </c>
      <c r="AF28" s="1"/>
    </row>
    <row r="29" spans="1:32" x14ac:dyDescent="0.25">
      <c r="A29" s="32">
        <v>42847.734351851854</v>
      </c>
      <c r="B29" s="30" t="s">
        <v>602</v>
      </c>
      <c r="C29" s="30" t="s">
        <v>603</v>
      </c>
      <c r="D29" s="30" t="s">
        <v>98</v>
      </c>
      <c r="E29" s="30" t="s">
        <v>457</v>
      </c>
      <c r="F29" s="43">
        <v>0</v>
      </c>
      <c r="G29" s="43">
        <v>61</v>
      </c>
      <c r="H29" s="43">
        <v>1768</v>
      </c>
      <c r="I29" s="43">
        <v>1858</v>
      </c>
      <c r="J29" s="30" t="s">
        <v>458</v>
      </c>
      <c r="K29" s="43">
        <v>1692</v>
      </c>
      <c r="L29" s="139" t="s">
        <v>50</v>
      </c>
      <c r="M29" s="140">
        <f t="shared" si="0"/>
        <v>-87.647999999999996</v>
      </c>
      <c r="N29" s="141" t="str">
        <f>VLOOKUP(C29,'Trips&amp;Operators'!$C$1:$G$99999,5,FALSE)</f>
        <v>LOPES KIMBERLY</v>
      </c>
      <c r="O29" s="190" t="s">
        <v>184</v>
      </c>
      <c r="P29" s="142"/>
      <c r="Q29" s="30"/>
      <c r="R29" s="89" t="str">
        <f>IF(VLOOKUP(C29,'Train Runs'!$A$13:$AE$9932,1,1)=C29,VLOOKUP(C29,'Train Runs'!$A$13:$AE$9932,31,1),NA())</f>
        <v>aws s3 cp s3://rtdc.mdm.uploadarchive.raw/RTDC4016/ "%USERPROFILE%\AppData\Local\Temp\OnboardLogs"\RTDC4016\2017-04-22 --exclude "*" --recursive --include "*20170422*" &amp; "%USERPROFILE%\Documents\GitHub\mrs-test-scripts\Headless Mode &amp; Sideloading\WalkAndUnGZ.bat" "%USERPROFILE%\AppData\Local\Temp\OnboardLogs"\RTDC4016\2017-04-22 &amp; 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</v>
      </c>
      <c r="S29" s="92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-04-22T16:12:54-0600',mode:absolute,to:'2017-04-22T18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94" t="str">
        <f t="shared" si="1"/>
        <v>"C:\Program Files (x86)\AstroGrep\AstroGrep.exe" /e /r /s /spath="%USERPROFILE%\AppData\Local\Temp\OnboardLogs" /stypes="*4016*201704222*" /stext=" 23:.+((SYSTEM_STATE.+slice.+state.+changed )|(ment ac)|(multiple cpu faults)|(system.+state.+changed )|(\[timeout)|(PRM\|1\|D)|(kpr)|(kdp)|(\|lc)|(penalty))"</v>
      </c>
      <c r="U29" s="9" t="str">
        <f t="shared" si="2"/>
        <v>4016</v>
      </c>
      <c r="V29" s="32">
        <f t="shared" si="3"/>
        <v>42847.984351851854</v>
      </c>
      <c r="W29" s="46" t="str">
        <f t="shared" si="4"/>
        <v>Other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{"issue":{"subject":"","project_id":79,"tracker_id":40,"status_id":1,"priority_id":2,"assigned_to_id":23,"start_date":"2017-04-22","description":"","custom_fields":[{"id":1,"name":"Subdivision","value":"Other"},{"id":4,"name":"Milepost","value":"0.1692"},{"id":17,"name":"Train ID","value":"67-22"},{"id":16,"name":"Locomotive ID","value":"4016"},{"id":130,"name":"Impact","value":""},{"id":150,"name":"Time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95"/>
      <c r="AA29" s="48"/>
      <c r="AB29" s="48"/>
      <c r="AC29" s="123" t="str">
        <f t="shared" si="7"/>
        <v>grep -hSE -A400 "Enforcement Action" "%USERPROFILE%\AppData\Local\Temp\OnboardLogs"\RTDC4016\*4016*201704222*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"%USERPROFILE%\AppData\Local\Temp\OnboardLogs"\RTDC4016\*4016*201704222* &gt;&gt; 2017-04-22-SliceDisagreementCheck.txt</v>
      </c>
      <c r="AE29" s="153" t="str">
        <f t="shared" si="9"/>
        <v>start /low /b %USERPROFILE%\Documents\GitHub\eaglep3\Utilities\DownloadLogsFromS3.py --loco 4016 --day 2017-04-22</v>
      </c>
      <c r="AF29" s="1"/>
    </row>
    <row r="30" spans="1:32" x14ac:dyDescent="0.25">
      <c r="A30" s="32">
        <v>42847.562893518516</v>
      </c>
      <c r="B30" s="30" t="s">
        <v>534</v>
      </c>
      <c r="C30" s="30" t="s">
        <v>598</v>
      </c>
      <c r="D30" s="30" t="s">
        <v>98</v>
      </c>
      <c r="E30" s="30" t="s">
        <v>457</v>
      </c>
      <c r="F30" s="43">
        <v>0</v>
      </c>
      <c r="G30" s="43">
        <v>63</v>
      </c>
      <c r="H30" s="43">
        <v>22480</v>
      </c>
      <c r="I30" s="43">
        <v>22523</v>
      </c>
      <c r="J30" s="30" t="s">
        <v>458</v>
      </c>
      <c r="K30" s="43">
        <v>22314</v>
      </c>
      <c r="L30" s="139" t="s">
        <v>50</v>
      </c>
      <c r="M30" s="140">
        <f t="shared" si="0"/>
        <v>-110.352</v>
      </c>
      <c r="N30" s="141" t="str">
        <f>VLOOKUP(C30,'Trips&amp;Operators'!$C$1:$G$99999,5,FALSE)</f>
        <v>NELSON ARIANE</v>
      </c>
      <c r="O30" s="190" t="s">
        <v>184</v>
      </c>
      <c r="P30" s="142"/>
      <c r="Q30" s="30"/>
      <c r="R30" s="89" t="str">
        <f>IF(VLOOKUP(C30,'Train Runs'!$A$13:$AE$9932,1,1)=C30,VLOOKUP(C30,'Train Runs'!$A$13:$AE$9932,31,1),NA())</f>
        <v>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 &amp; 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</v>
      </c>
      <c r="S30" s="92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-04-22T12:50:46-0600',mode:absolute,to:'2017-04-22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94" t="str">
        <f t="shared" si="1"/>
        <v>"C:\Program Files (x86)\AstroGrep\AstroGrep.exe" /e /r /s /spath="%USERPROFILE%\AppData\Local\Temp\OnboardLogs" /stypes="*4044*201704221*" /stext=" 19:.+((SYSTEM_STATE.+slice.+state.+changed )|(ment ac)|(multiple cpu faults)|(system.+state.+changed )|(\[timeout)|(PRM\|1\|D)|(kpr)|(kdp)|(\|lc)|(penalty))"</v>
      </c>
      <c r="U30" s="9" t="str">
        <f t="shared" si="2"/>
        <v>4044</v>
      </c>
      <c r="V30" s="32">
        <f t="shared" si="3"/>
        <v>42847.812893518516</v>
      </c>
      <c r="W30" s="46" t="str">
        <f t="shared" si="4"/>
        <v>Other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{"issue":{"subject":"","project_id":79,"tracker_id":40,"status_id":1,"priority_id":2,"assigned_to_id":23,"start_date":"2017-04-22","description":"","custom_fields":[{"id":1,"name":"Subdivision","value":"Other"},{"id":4,"name":"Milepost","value":"2.2314"},{"id":17,"name":"Train ID","value":"56-22"},{"id":16,"name":"Locomotive ID","value":"4044"},{"id":130,"name":"Impact","value":""},{"id":150,"name":"Time of Event (Mountain Time)","value":"13:30:34"},{"id":151,"name":"Denver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95"/>
      <c r="AA30" s="48"/>
      <c r="AB30" s="48"/>
      <c r="AC30" s="123" t="str">
        <f t="shared" si="7"/>
        <v>grep -hSE -A400 "Enforcement Action" "%USERPROFILE%\AppData\Local\Temp\OnboardLogs"\RTDC4044\*4044*201704221*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"%USERPROFILE%\AppData\Local\Temp\OnboardLogs"\RTDC4044\*4044*201704221* &gt;&gt; 2017-04-22-SliceDisagreementCheck.txt</v>
      </c>
      <c r="AE30" s="153" t="str">
        <f t="shared" si="9"/>
        <v>start /low /b %USERPROFILE%\Documents\GitHub\eaglep3\Utilities\DownloadLogsFromS3.py --loco 4044 --day 2017-04-22</v>
      </c>
      <c r="AF30" s="1"/>
    </row>
    <row r="31" spans="1:32" x14ac:dyDescent="0.25">
      <c r="A31" s="32">
        <v>42847.563576388886</v>
      </c>
      <c r="B31" s="30" t="s">
        <v>534</v>
      </c>
      <c r="C31" s="30" t="s">
        <v>598</v>
      </c>
      <c r="D31" s="30" t="s">
        <v>98</v>
      </c>
      <c r="E31" s="30" t="s">
        <v>457</v>
      </c>
      <c r="F31" s="43">
        <v>0</v>
      </c>
      <c r="G31" s="43">
        <v>63</v>
      </c>
      <c r="H31" s="43">
        <v>22480</v>
      </c>
      <c r="I31" s="43">
        <v>22525</v>
      </c>
      <c r="J31" s="30" t="s">
        <v>458</v>
      </c>
      <c r="K31" s="43">
        <v>22314</v>
      </c>
      <c r="L31" s="139" t="s">
        <v>50</v>
      </c>
      <c r="M31" s="140">
        <f t="shared" si="0"/>
        <v>-111.408</v>
      </c>
      <c r="N31" s="141" t="str">
        <f>VLOOKUP(C31,'Trips&amp;Operators'!$C$1:$G$99999,5,FALSE)</f>
        <v>NELSON ARIANE</v>
      </c>
      <c r="O31" s="190" t="s">
        <v>184</v>
      </c>
      <c r="P31" s="142"/>
      <c r="Q31" s="30"/>
      <c r="R31" s="89" t="str">
        <f>IF(VLOOKUP(C31,'Train Runs'!$A$13:$AE$9932,1,1)=C31,VLOOKUP(C31,'Train Runs'!$A$13:$AE$9932,31,1),NA())</f>
        <v>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 &amp; 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</v>
      </c>
      <c r="S31" s="92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-04-22T12:50:46-0600',mode:absolute,to:'2017-04-22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 t="shared" si="1"/>
        <v>"C:\Program Files (x86)\AstroGrep\AstroGrep.exe" /e /r /s /spath="%USERPROFILE%\AppData\Local\Temp\OnboardLogs" /stypes="*4044*201704221*" /stext=" 19:.+((SYSTEM_STATE.+slice.+state.+changed )|(ment ac)|(multiple cpu faults)|(system.+state.+changed )|(\[timeout)|(PRM\|1\|D)|(kpr)|(kdp)|(\|lc)|(penalty))"</v>
      </c>
      <c r="U31" s="9" t="str">
        <f t="shared" si="2"/>
        <v>4044</v>
      </c>
      <c r="V31" s="32">
        <f t="shared" si="3"/>
        <v>42847.813576388886</v>
      </c>
      <c r="W31" s="46" t="str">
        <f t="shared" si="4"/>
        <v>Other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{"issue":{"subject":"","project_id":79,"tracker_id":40,"status_id":1,"priority_id":2,"assigned_to_id":23,"start_date":"2017-04-22","description":"","custom_fields":[{"id":1,"name":"Subdivision","value":"Other"},{"id":4,"name":"Milepost","value":"2.2314"},{"id":17,"name":"Train ID","value":"56-22"},{"id":16,"name":"Locomotive ID","value":"4044"},{"id":130,"name":"Impact","value":""},{"id":150,"name":"Time of Event (Mountain Time)","value":"13:31:33"},{"id":151,"name":"Denver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95"/>
      <c r="AA31" s="48"/>
      <c r="AB31" s="48"/>
      <c r="AC31" s="123" t="str">
        <f t="shared" si="7"/>
        <v>grep -hSE -A400 "Enforcement Action" "%USERPROFILE%\AppData\Local\Temp\OnboardLogs"\RTDC4044\*4044*201704221*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"%USERPROFILE%\AppData\Local\Temp\OnboardLogs"\RTDC4044\*4044*201704221* &gt;&gt; 2017-04-22-SliceDisagreementCheck.txt</v>
      </c>
      <c r="AE31" s="153" t="str">
        <f t="shared" si="9"/>
        <v>start /low /b %USERPROFILE%\Documents\GitHub\eaglep3\Utilities\DownloadLogsFromS3.py --loco 4044 --day 2017-04-22</v>
      </c>
      <c r="AF31" s="1"/>
    </row>
    <row r="32" spans="1:32" x14ac:dyDescent="0.25">
      <c r="A32" s="32">
        <v>42847.5783912037</v>
      </c>
      <c r="B32" s="30" t="s">
        <v>534</v>
      </c>
      <c r="C32" s="30" t="s">
        <v>598</v>
      </c>
      <c r="D32" s="30" t="s">
        <v>98</v>
      </c>
      <c r="E32" s="30" t="s">
        <v>457</v>
      </c>
      <c r="F32" s="43">
        <v>0</v>
      </c>
      <c r="G32" s="43">
        <v>6</v>
      </c>
      <c r="H32" s="43">
        <v>22344</v>
      </c>
      <c r="I32" s="43">
        <v>22342</v>
      </c>
      <c r="J32" s="30" t="s">
        <v>458</v>
      </c>
      <c r="K32" s="43">
        <v>22314</v>
      </c>
      <c r="L32" s="139" t="s">
        <v>50</v>
      </c>
      <c r="M32" s="140">
        <f t="shared" si="0"/>
        <v>-14.784000000000001</v>
      </c>
      <c r="N32" s="141" t="str">
        <f>VLOOKUP(C32,'Trips&amp;Operators'!$C$1:$G$99999,5,FALSE)</f>
        <v>NELSON ARIANE</v>
      </c>
      <c r="O32" s="190" t="s">
        <v>184</v>
      </c>
      <c r="P32" s="142"/>
      <c r="Q32" s="30"/>
      <c r="R32" s="89" t="str">
        <f>IF(VLOOKUP(C32,'Train Runs'!$A$13:$AE$9932,1,1)=C32,VLOOKUP(C32,'Train Runs'!$A$13:$AE$9932,31,1),NA())</f>
        <v>aws s3 cp s3://rtdc.mdm.uploadarchive.raw/RTDC4044/ "%USERPROFILE%\AppData\Local\Temp\OnboardLogs"\RTDC4044\2017-04-22 --exclude "*" --recursive --include "*20170422*" &amp; "%USERPROFILE%\Documents\GitHub\mrs-test-scripts\Headless Mode &amp; Sideloading\WalkAndUnGZ.bat" "%USERPROFILE%\AppData\Local\Temp\OnboardLogs"\RTDC4044\2017-04-22 &amp; 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</v>
      </c>
      <c r="S32" s="92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-04-22T12:50:46-0600',mode:absolute,to:'2017-04-22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94" t="str">
        <f t="shared" si="1"/>
        <v>"C:\Program Files (x86)\AstroGrep\AstroGrep.exe" /e /r /s /spath="%USERPROFILE%\AppData\Local\Temp\OnboardLogs" /stypes="*4044*201704221*" /stext=" 19:.+((SYSTEM_STATE.+slice.+state.+changed )|(ment ac)|(multiple cpu faults)|(system.+state.+changed )|(\[timeout)|(PRM\|1\|D)|(kpr)|(kdp)|(\|lc)|(penalty))"</v>
      </c>
      <c r="U32" s="9" t="str">
        <f t="shared" si="2"/>
        <v>4044</v>
      </c>
      <c r="V32" s="32">
        <f t="shared" si="3"/>
        <v>42847.8283912037</v>
      </c>
      <c r="W32" s="46" t="str">
        <f t="shared" si="4"/>
        <v>Other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{"issue":{"subject":"","project_id":79,"tracker_id":40,"status_id":1,"priority_id":2,"assigned_to_id":23,"start_date":"2017-04-22","description":"","custom_fields":[{"id":1,"name":"Subdivision","value":"Other"},{"id":4,"name":"Milepost","value":"2.2314"},{"id":17,"name":"Train ID","value":"56-22"},{"id":16,"name":"Locomotive ID","value":"4044"},{"id":130,"name":"Impact","value":""},{"id":150,"name":"Time of Event (Mountain Time)","value":"13:52:53"},{"id":151,"name":"Denver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95"/>
      <c r="AA32" s="48"/>
      <c r="AB32" s="48"/>
      <c r="AC32" s="123" t="str">
        <f t="shared" si="7"/>
        <v>grep -hSE -A400 "Enforcement Action" "%USERPROFILE%\AppData\Local\Temp\OnboardLogs"\RTDC4044\*4044*201704221*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"%USERPROFILE%\AppData\Local\Temp\OnboardLogs"\RTDC4044\*4044*201704221* &gt;&gt; 2017-04-22-SliceDisagreementCheck.txt</v>
      </c>
      <c r="AE32" s="153" t="str">
        <f t="shared" si="9"/>
        <v>start /low /b %USERPROFILE%\Documents\GitHub\eaglep3\Utilities\DownloadLogsFromS3.py --loco 4044 --day 2017-04-22</v>
      </c>
      <c r="AF32" s="1"/>
    </row>
    <row r="33" spans="1:32" x14ac:dyDescent="0.25">
      <c r="A33" s="32">
        <v>42847.191493055558</v>
      </c>
      <c r="B33" s="30" t="s">
        <v>356</v>
      </c>
      <c r="C33" s="30" t="s">
        <v>584</v>
      </c>
      <c r="D33" s="30" t="s">
        <v>49</v>
      </c>
      <c r="E33" s="30" t="s">
        <v>185</v>
      </c>
      <c r="F33" s="43">
        <v>0</v>
      </c>
      <c r="G33" s="43">
        <v>34</v>
      </c>
      <c r="H33" s="43">
        <v>116</v>
      </c>
      <c r="I33" s="43">
        <v>98</v>
      </c>
      <c r="J33" s="30" t="s">
        <v>186</v>
      </c>
      <c r="K33" s="43">
        <v>1</v>
      </c>
      <c r="L33" s="139" t="s">
        <v>51</v>
      </c>
      <c r="M33" s="140">
        <f t="shared" si="0"/>
        <v>51.216000000000001</v>
      </c>
      <c r="N33" s="141" t="str">
        <f>VLOOKUP(C33,'Trips&amp;Operators'!$C$1:$G$99999,5,FALSE)</f>
        <v>SANTIZO D. EDY</v>
      </c>
      <c r="O33" s="190" t="s">
        <v>184</v>
      </c>
      <c r="P33" s="142"/>
      <c r="Q33" s="30"/>
      <c r="R33" s="89" t="e">
        <f>IF(VLOOKUP(C33,'Train Runs'!$A$13:$AE$9932,1,1)=C33,VLOOKUP(C33,'Train Runs'!$A$13:$AE$9932,31,1),NA())</f>
        <v>#N/A</v>
      </c>
      <c r="S33" s="92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-04-22T03:23:34-0600',mode:absolute,to:'2017-04-22T05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94" t="str">
        <f t="shared" si="1"/>
        <v>"C:\Program Files (x86)\AstroGrep\AstroGrep.exe" /e /r /s /spath="%USERPROFILE%\AppData\Local\Temp\OnboardLogs" /stypes="*4031*201704221*" /stext=" 10:.+((SYSTEM_STATE.+slice.+state.+changed )|(ment ac)|(multiple cpu faults)|(system.+state.+changed )|(\[timeout)|(PRM\|1\|D)|(kpr)|(kdp)|(\|lc)|(penalty))"</v>
      </c>
      <c r="U33" s="9" t="str">
        <f t="shared" si="2"/>
        <v>4031</v>
      </c>
      <c r="V33" s="32">
        <f t="shared" si="3"/>
        <v>42847.441493055558</v>
      </c>
      <c r="W33" s="46" t="str">
        <f t="shared" si="4"/>
        <v>Other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{"issue":{"subject":"","project_id":79,"tracker_id":40,"status_id":1,"priority_id":2,"assigned_to_id":23,"start_date":"2017-04-22","description":"","custom_fields":[{"id":1,"name":"Subdivision","value":"Other"},{"id":4,"name":"Milepost","value":"0.0001"},{"id":17,"name":"Train ID","value":"310-22"},{"id":16,"name":"Locomotive ID","value":"4031"},{"id":130,"name":"Impact","value":""},{"id":150,"name":"Time of Event (Mountain Time)","value":"04:35:45"},{"id":151,"name":"Denver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95"/>
      <c r="AA33" s="48"/>
      <c r="AB33" s="48"/>
      <c r="AC33" s="123" t="str">
        <f t="shared" si="7"/>
        <v>grep -hSE -A400 "Enforcement Action" "%USERPROFILE%\AppData\Local\Temp\OnboardLogs"\RTDC4031\*4031*201704221*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"%USERPROFILE%\AppData\Local\Temp\OnboardLogs"\RTDC4031\*4031*201704221* &gt;&gt; 2017-04-22-SliceDisagreementCheck.txt</v>
      </c>
      <c r="AE33" s="153" t="str">
        <f t="shared" si="9"/>
        <v>start /low /b %USERPROFILE%\Documents\GitHub\eaglep3\Utilities\DownloadLogsFromS3.py --loco 4031 --day 2017-04-22</v>
      </c>
      <c r="AF33" s="1"/>
    </row>
    <row r="34" spans="1:32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33"/>
      <sortCondition ref="E7:E33"/>
      <sortCondition ref="K7:K33"/>
      <sortCondition ref="F7:F3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3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3">
    <cfRule type="expression" dxfId="1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I3" sqref="I3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00" t="str">
        <f>"Trips that did not appear in PTC Data "&amp;TEXT(Variables!$A$2,"YYYY-mm-dd")</f>
        <v>Trips that did not appear in PTC Data 2017-04-22</v>
      </c>
      <c r="C1" s="200"/>
      <c r="D1" s="200"/>
      <c r="E1" s="200"/>
      <c r="F1" s="200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1810</v>
      </c>
      <c r="B3" s="43" t="str">
        <f>A3&amp;"-"&amp;IF(DAY(Variables!$A$2)&lt;10,0,"")&amp;DAY(Variables!$A$2)</f>
        <v>1810-22</v>
      </c>
      <c r="C3" s="143"/>
      <c r="D3" s="161"/>
      <c r="E3" s="30"/>
      <c r="F3" s="21" t="str">
        <f>VLOOKUP(B3,'Trips&amp;Operators'!$C$2:$E$10000,3,FALSE)</f>
        <v>SHOOK</v>
      </c>
      <c r="G3" s="21" t="str">
        <f>VLOOKUP(B3,'Trips&amp;Operators'!$C$1:$F$10000,4,FALSE)</f>
        <v>JOHN</v>
      </c>
      <c r="H3" s="29" t="str">
        <f>VLOOKUP(B3,'Trips&amp;Operators'!$C$1:$H$10000,5,FALSE)</f>
        <v>SHOOK JOHN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221810-22%22)),sort:!(Time.ISO8601,asc))</v>
      </c>
      <c r="J3" s="30" t="str">
        <f>VLOOKUP(B3,'Train Runs'!$A$13:$A$99929,1,FALSE)</f>
        <v>1810-22</v>
      </c>
    </row>
    <row r="4" spans="1:10" x14ac:dyDescent="0.25">
      <c r="A4" s="181">
        <v>1812</v>
      </c>
      <c r="B4" s="43" t="str">
        <f>A4&amp;"-"&amp;IF(DAY(Variables!$A$2)&lt;10,0,"")&amp;DAY(Variables!$A$2)</f>
        <v>1812-22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221812-22%22)),sort:!(Time.ISO8601,asc))</v>
      </c>
      <c r="J4" s="30" t="str">
        <f>VLOOKUP(B4,'Train Runs'!$A$13:$A$99929,1,FALSE)</f>
        <v>1812-22</v>
      </c>
    </row>
    <row r="5" spans="1:10" x14ac:dyDescent="0.25">
      <c r="A5" s="181"/>
      <c r="B5" s="43" t="str">
        <f>A5&amp;"-"&amp;IF(DAY(Variables!$A$2)&lt;10,0,"")&amp;DAY(Variables!$A$2)</f>
        <v>-22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Runs'!$A$13:$A$99929,1,FALSE)</f>
        <v>#N/A</v>
      </c>
    </row>
    <row r="6" spans="1:10" x14ac:dyDescent="0.25">
      <c r="A6" s="181"/>
      <c r="B6" s="43" t="str">
        <f>A6&amp;"-"&amp;IF(DAY(Variables!$A$2)&lt;10,0,"")&amp;DAY(Variables!$A$2)</f>
        <v>-22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Runs'!$A$13:$A$99929,1,FALSE)</f>
        <v>#N/A</v>
      </c>
    </row>
    <row r="7" spans="1:10" x14ac:dyDescent="0.25">
      <c r="A7" s="181"/>
      <c r="B7" s="43" t="str">
        <f>A7&amp;"-"&amp;IF(DAY(Variables!$A$2)&lt;10,0,"")&amp;DAY(Variables!$A$2)</f>
        <v>-22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Runs'!$A$13:$A$99929,1,FALSE)</f>
        <v>#N/A</v>
      </c>
    </row>
    <row r="8" spans="1:10" x14ac:dyDescent="0.25">
      <c r="A8" s="181"/>
      <c r="B8" s="43" t="str">
        <f>A8&amp;"-"&amp;IF(DAY(Variables!$A$2)&lt;10,0,"")&amp;DAY(Variables!$A$2)</f>
        <v>-22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Runs'!$A$13:$A$99929,1,FALSE)</f>
        <v>#N/A</v>
      </c>
    </row>
    <row r="9" spans="1:10" x14ac:dyDescent="0.25">
      <c r="A9" s="181"/>
      <c r="B9" s="43" t="str">
        <f>A9&amp;"-"&amp;IF(DAY(Variables!$A$2)&lt;10,0,"")&amp;DAY(Variables!$A$2)</f>
        <v>-22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Runs'!$A$13:$A$99929,1,FALSE)</f>
        <v>#N/A</v>
      </c>
    </row>
    <row r="10" spans="1:10" x14ac:dyDescent="0.25">
      <c r="A10" s="181"/>
      <c r="B10" s="43" t="str">
        <f>A10&amp;"-"&amp;IF(DAY(Variables!$A$2)&lt;10,0,"")&amp;DAY(Variables!$A$2)</f>
        <v>-22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Runs'!$A$13:$A$99929,1,FALSE)</f>
        <v>#N/A</v>
      </c>
    </row>
    <row r="11" spans="1:10" x14ac:dyDescent="0.25">
      <c r="A11" s="181"/>
      <c r="B11" s="43" t="str">
        <f>A11&amp;"-"&amp;IF(DAY(Variables!$A$2)&lt;10,0,"")&amp;DAY(Variables!$A$2)</f>
        <v>-22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Runs'!$A$13:$A$99929,1,FALSE)</f>
        <v>#N/A</v>
      </c>
    </row>
    <row r="12" spans="1:10" x14ac:dyDescent="0.25">
      <c r="A12" s="181"/>
      <c r="B12" s="43" t="str">
        <f>A12&amp;"-"&amp;IF(DAY(Variables!$A$2)&lt;10,0,"")&amp;DAY(Variables!$A$2)</f>
        <v>-22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Runs'!$A$13:$A$99929,1,FALSE)</f>
        <v>#N/A</v>
      </c>
    </row>
    <row r="13" spans="1:10" x14ac:dyDescent="0.25">
      <c r="A13" s="181"/>
      <c r="B13" s="43" t="str">
        <f>A13&amp;"-"&amp;IF(DAY(Variables!$A$2)&lt;10,0,"")&amp;DAY(Variables!$A$2)</f>
        <v>-22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Runs'!$A$13:$A$99929,1,FALSE)</f>
        <v>#N/A</v>
      </c>
    </row>
    <row r="14" spans="1:10" x14ac:dyDescent="0.25">
      <c r="A14" s="181"/>
      <c r="B14" s="43" t="str">
        <f>A14&amp;"-"&amp;IF(DAY(Variables!$A$2)&lt;10,0,"")&amp;DAY(Variables!$A$2)</f>
        <v>-22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Runs'!$A$13:$A$99929,1,FALSE)</f>
        <v>#N/A</v>
      </c>
    </row>
    <row r="15" spans="1:10" x14ac:dyDescent="0.25">
      <c r="A15" s="181"/>
      <c r="B15" s="43" t="str">
        <f>A15&amp;"-"&amp;IF(DAY(Variables!$A$2)&lt;10,0,"")&amp;DAY(Variables!$A$2)</f>
        <v>-22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Runs'!$A$13:$A$99929,1,FALSE)</f>
        <v>#N/A</v>
      </c>
    </row>
    <row r="16" spans="1:10" x14ac:dyDescent="0.25">
      <c r="A16" s="181"/>
      <c r="B16" s="43" t="str">
        <f>A16&amp;"-"&amp;IF(DAY(Variables!$A$2)&lt;10,0,"")&amp;DAY(Variables!$A$2)</f>
        <v>-22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Runs'!$A$13:$A$99929,1,FALSE)</f>
        <v>#N/A</v>
      </c>
    </row>
    <row r="17" spans="1:10" x14ac:dyDescent="0.25">
      <c r="A17" s="181"/>
      <c r="B17" s="43" t="str">
        <f>A17&amp;"-"&amp;IF(DAY(Variables!$A$2)&lt;10,0,"")&amp;DAY(Variables!$A$2)</f>
        <v>-22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Runs'!$A$13:$A$99929,1,FALSE)</f>
        <v>#N/A</v>
      </c>
    </row>
    <row r="18" spans="1:10" x14ac:dyDescent="0.25">
      <c r="A18" s="181"/>
      <c r="B18" s="43" t="str">
        <f>A18&amp;"-"&amp;IF(DAY(Variables!$A$2)&lt;10,0,"")&amp;DAY(Variables!$A$2)</f>
        <v>-22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Runs'!$A$13:$A$99929,1,FALSE)</f>
        <v>#N/A</v>
      </c>
    </row>
    <row r="19" spans="1:10" x14ac:dyDescent="0.25">
      <c r="A19" s="181"/>
      <c r="B19" s="43" t="str">
        <f>A19&amp;"-"&amp;IF(DAY(Variables!$A$2)&lt;10,0,"")&amp;DAY(Variables!$A$2)</f>
        <v>-22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Runs'!$A$13:$A$99929,1,FALSE)</f>
        <v>#N/A</v>
      </c>
    </row>
    <row r="20" spans="1:10" x14ac:dyDescent="0.25">
      <c r="A20" s="181"/>
      <c r="B20" s="43" t="str">
        <f>A20&amp;"-"&amp;IF(DAY(Variables!$A$2)&lt;10,0,"")&amp;DAY(Variables!$A$2)</f>
        <v>-22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Runs'!$A$13:$A$99929,1,FALSE)</f>
        <v>#N/A</v>
      </c>
    </row>
    <row r="21" spans="1:10" x14ac:dyDescent="0.25">
      <c r="A21" s="181"/>
      <c r="B21" s="43" t="str">
        <f>A21&amp;"-"&amp;IF(DAY(Variables!$A$2)&lt;10,0,"")&amp;DAY(Variables!$A$2)</f>
        <v>-22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Runs'!$A$13:$A$99929,1,FALSE)</f>
        <v>#N/A</v>
      </c>
    </row>
    <row r="22" spans="1:10" x14ac:dyDescent="0.25">
      <c r="A22" s="181"/>
      <c r="B22" s="43" t="str">
        <f>A22&amp;"-"&amp;IF(DAY(Variables!$A$2)&lt;10,0,"")&amp;DAY(Variables!$A$2)</f>
        <v>-22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Runs'!$A$13:$A$99929,1,FALSE)</f>
        <v>#N/A</v>
      </c>
    </row>
    <row r="23" spans="1:10" x14ac:dyDescent="0.25">
      <c r="A23" s="181"/>
      <c r="B23" s="43" t="str">
        <f>A23&amp;"-"&amp;IF(DAY(Variables!$A$2)&lt;10,0,"")&amp;DAY(Variables!$A$2)</f>
        <v>-22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Runs'!$A$13:$A$99929,1,FALSE)</f>
        <v>#N/A</v>
      </c>
    </row>
    <row r="24" spans="1:10" x14ac:dyDescent="0.25">
      <c r="A24" s="181"/>
      <c r="B24" s="43" t="str">
        <f>A24&amp;"-"&amp;IF(DAY(Variables!$A$2)&lt;10,0,"")&amp;DAY(Variables!$A$2)</f>
        <v>-22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Runs'!$A$13:$A$99929,1,FALSE)</f>
        <v>#N/A</v>
      </c>
    </row>
    <row r="25" spans="1:10" x14ac:dyDescent="0.25">
      <c r="A25" s="181"/>
      <c r="B25" s="43" t="str">
        <f>A25&amp;"-"&amp;IF(DAY(Variables!$A$2)&lt;10,0,"")&amp;DAY(Variables!$A$2)</f>
        <v>-22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Runs'!$A$13:$A$99929,1,FALSE)</f>
        <v>#N/A</v>
      </c>
    </row>
    <row r="26" spans="1:10" x14ac:dyDescent="0.25">
      <c r="A26" s="181"/>
      <c r="B26" s="43" t="str">
        <f>A26&amp;"-"&amp;IF(DAY(Variables!$A$2)&lt;10,0,"")&amp;DAY(Variables!$A$2)</f>
        <v>-22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Runs'!$A$13:$A$99929,1,FALSE)</f>
        <v>#N/A</v>
      </c>
    </row>
    <row r="27" spans="1:10" x14ac:dyDescent="0.25">
      <c r="A27" s="181"/>
      <c r="B27" s="43" t="str">
        <f>A27&amp;"-"&amp;IF(DAY(Variables!$A$2)&lt;10,0,"")&amp;DAY(Variables!$A$2)</f>
        <v>-22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Runs'!$A$13:$A$99929,1,FALSE)</f>
        <v>#N/A</v>
      </c>
    </row>
    <row r="28" spans="1:10" x14ac:dyDescent="0.25">
      <c r="A28" s="181"/>
      <c r="B28" s="43" t="str">
        <f>A28&amp;"-"&amp;IF(DAY(Variables!$A$2)&lt;10,0,"")&amp;DAY(Variables!$A$2)</f>
        <v>-22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Runs'!$A$13:$A$99929,1,FALSE)</f>
        <v>#N/A</v>
      </c>
    </row>
    <row r="29" spans="1:10" x14ac:dyDescent="0.25">
      <c r="A29" s="181"/>
      <c r="B29" s="43" t="str">
        <f>A29&amp;"-"&amp;IF(DAY(Variables!$A$2)&lt;10,0,"")&amp;DAY(Variables!$A$2)</f>
        <v>-22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Runs'!$A$13:$A$99929,1,FALSE)</f>
        <v>#N/A</v>
      </c>
    </row>
    <row r="30" spans="1:10" x14ac:dyDescent="0.25">
      <c r="A30" s="181"/>
      <c r="B30" s="43" t="str">
        <f>A30&amp;"-"&amp;IF(DAY(Variables!$A$2)&lt;10,0,"")&amp;DAY(Variables!$A$2)</f>
        <v>-22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Runs'!$A$13:$A$99929,1,FALSE)</f>
        <v>#N/A</v>
      </c>
    </row>
    <row r="31" spans="1:10" x14ac:dyDescent="0.25">
      <c r="A31" s="181"/>
      <c r="B31" s="43" t="str">
        <f>A31&amp;"-"&amp;IF(DAY(Variables!$A$2)&lt;10,0,"")&amp;DAY(Variables!$A$2)</f>
        <v>-22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0" t="e">
        <f>VLOOKUP(B31,'Train Runs'!$A$13:$A$99929,1,FALSE)</f>
        <v>#N/A</v>
      </c>
    </row>
    <row r="32" spans="1:10" x14ac:dyDescent="0.25">
      <c r="A32" s="181"/>
      <c r="B32" s="43" t="str">
        <f>A32&amp;"-"&amp;IF(DAY(Variables!$A$2)&lt;10,0,"")&amp;DAY(Variables!$A$2)</f>
        <v>-22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0" t="e">
        <f>VLOOKUP(B32,'Train Runs'!$A$13:$A$99929,1,FALSE)</f>
        <v>#N/A</v>
      </c>
    </row>
    <row r="33" spans="1:10" x14ac:dyDescent="0.25">
      <c r="A33" s="181"/>
      <c r="B33" s="43" t="str">
        <f>A33&amp;"-"&amp;IF(DAY(Variables!$A$2)&lt;10,0,"")&amp;DAY(Variables!$A$2)</f>
        <v>-22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0" t="e">
        <f>VLOOKUP(B33,'Train Runs'!$A$13:$A$99929,1,FALSE)</f>
        <v>#N/A</v>
      </c>
    </row>
    <row r="34" spans="1:10" x14ac:dyDescent="0.25">
      <c r="A34" s="181"/>
      <c r="B34" s="43" t="str">
        <f>A34&amp;"-"&amp;IF(DAY(Variables!$A$2)&lt;10,0,"")&amp;DAY(Variables!$A$2)</f>
        <v>-22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0" t="e">
        <f>VLOOKUP(B34,'Train Runs'!$A$13:$A$99929,1,FALSE)</f>
        <v>#N/A</v>
      </c>
    </row>
    <row r="35" spans="1:10" x14ac:dyDescent="0.25">
      <c r="A35" s="181"/>
      <c r="B35" s="43" t="str">
        <f>A35&amp;"-"&amp;IF(DAY(Variables!$A$2)&lt;10,0,"")&amp;DAY(Variables!$A$2)</f>
        <v>-22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0" t="e">
        <f>VLOOKUP(B35,'Train Runs'!$A$13:$A$99929,1,FALSE)</f>
        <v>#N/A</v>
      </c>
    </row>
    <row r="36" spans="1:10" x14ac:dyDescent="0.25">
      <c r="A36" s="181"/>
      <c r="B36" s="43" t="str">
        <f>A36&amp;"-"&amp;IF(DAY(Variables!$A$2)&lt;10,0,"")&amp;DAY(Variables!$A$2)</f>
        <v>-22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0" t="e">
        <f>VLOOKUP(B36,'Train Runs'!$A$13:$A$99929,1,FALSE)</f>
        <v>#N/A</v>
      </c>
    </row>
    <row r="37" spans="1:10" x14ac:dyDescent="0.25">
      <c r="A37" s="181"/>
      <c r="B37" s="43" t="str">
        <f>A37&amp;"-"&amp;IF(DAY(Variables!$A$2)&lt;10,0,"")&amp;DAY(Variables!$A$2)</f>
        <v>-22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0" t="e">
        <f>VLOOKUP(B37,'Train Runs'!$A$13:$A$99929,1,FALSE)</f>
        <v>#N/A</v>
      </c>
    </row>
    <row r="38" spans="1:10" x14ac:dyDescent="0.25">
      <c r="A38" s="181"/>
      <c r="B38" s="43" t="str">
        <f>A38&amp;"-"&amp;IF(DAY(Variables!$A$2)&lt;10,0,"")&amp;DAY(Variables!$A$2)</f>
        <v>-22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0" t="e">
        <f>VLOOKUP(B38,'Train Runs'!$A$13:$A$99929,1,FALSE)</f>
        <v>#N/A</v>
      </c>
    </row>
    <row r="39" spans="1:10" x14ac:dyDescent="0.25">
      <c r="A39" s="181"/>
      <c r="B39" s="43" t="str">
        <f>A39&amp;"-"&amp;IF(DAY(Variables!$A$2)&lt;10,0,"")&amp;DAY(Variables!$A$2)</f>
        <v>-22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0" t="e">
        <f>VLOOKUP(B39,'Train Runs'!$A$13:$A$99929,1,FALSE)</f>
        <v>#N/A</v>
      </c>
    </row>
    <row r="40" spans="1:10" x14ac:dyDescent="0.25">
      <c r="A40" s="181"/>
      <c r="B40" s="43" t="str">
        <f>A40&amp;"-"&amp;IF(DAY(Variables!$A$2)&lt;10,0,"")&amp;DAY(Variables!$A$2)</f>
        <v>-22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0" t="e">
        <f>VLOOKUP(B40,'Train Runs'!$A$13:$A$99929,1,FALSE)</f>
        <v>#N/A</v>
      </c>
    </row>
    <row r="41" spans="1:10" x14ac:dyDescent="0.25">
      <c r="A41" s="181"/>
      <c r="B41" s="43" t="str">
        <f>A41&amp;"-"&amp;IF(DAY(Variables!$A$2)&lt;10,0,"")&amp;DAY(Variables!$A$2)</f>
        <v>-22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0" t="e">
        <f>VLOOKUP(B41,'Train Runs'!$A$13:$A$99929,1,FALSE)</f>
        <v>#N/A</v>
      </c>
    </row>
    <row r="42" spans="1:10" x14ac:dyDescent="0.25">
      <c r="A42" s="181"/>
      <c r="B42" s="43" t="str">
        <f>A42&amp;"-"&amp;IF(DAY(Variables!$A$2)&lt;10,0,"")&amp;DAY(Variables!$A$2)</f>
        <v>-22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0" t="e">
        <f>VLOOKUP(B42,'Train Runs'!$A$13:$A$99929,1,FALSE)</f>
        <v>#N/A</v>
      </c>
    </row>
    <row r="43" spans="1:10" x14ac:dyDescent="0.25">
      <c r="A43" s="181"/>
      <c r="B43" s="43" t="str">
        <f>A43&amp;"-"&amp;IF(DAY(Variables!$A$2)&lt;10,0,"")&amp;DAY(Variables!$A$2)</f>
        <v>-22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0" t="e">
        <f>VLOOKUP(B43,'Train Runs'!$A$13:$A$99929,1,FALSE)</f>
        <v>#N/A</v>
      </c>
    </row>
    <row r="44" spans="1:10" x14ac:dyDescent="0.25">
      <c r="A44" s="181"/>
      <c r="B44" s="43" t="str">
        <f>A44&amp;"-"&amp;IF(DAY(Variables!$A$2)&lt;10,0,"")&amp;DAY(Variables!$A$2)</f>
        <v>-22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0" t="e">
        <f>VLOOKUP(B44,'Train Runs'!$A$13:$A$99929,1,FALSE)</f>
        <v>#N/A</v>
      </c>
    </row>
    <row r="45" spans="1:10" x14ac:dyDescent="0.25">
      <c r="A45" s="181"/>
      <c r="B45" s="43" t="str">
        <f>A45&amp;"-"&amp;IF(DAY(Variables!$A$2)&lt;10,0,"")&amp;DAY(Variables!$A$2)</f>
        <v>-22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0" t="e">
        <f>VLOOKUP(B45,'Train Runs'!$A$13:$A$99929,1,FALSE)</f>
        <v>#N/A</v>
      </c>
    </row>
    <row r="46" spans="1:10" x14ac:dyDescent="0.25">
      <c r="A46" s="181"/>
      <c r="B46" s="43" t="str">
        <f>A46&amp;"-"&amp;IF(DAY(Variables!$A$2)&lt;10,0,"")&amp;DAY(Variables!$A$2)</f>
        <v>-22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0" t="e">
        <f>VLOOKUP(B46,'Train Runs'!$A$13:$A$99929,1,FALSE)</f>
        <v>#N/A</v>
      </c>
    </row>
    <row r="47" spans="1:10" x14ac:dyDescent="0.25">
      <c r="A47" s="181"/>
      <c r="B47" s="43" t="str">
        <f>A47&amp;"-"&amp;IF(DAY(Variables!$A$2)&lt;10,0,"")&amp;DAY(Variables!$A$2)</f>
        <v>-22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0" t="e">
        <f>VLOOKUP(B47,'Train Runs'!$A$13:$A$99929,1,FALSE)</f>
        <v>#N/A</v>
      </c>
    </row>
    <row r="48" spans="1:10" x14ac:dyDescent="0.25">
      <c r="A48" s="181"/>
      <c r="B48" s="43" t="str">
        <f>A48&amp;"-"&amp;IF(DAY(Variables!$A$2)&lt;10,0,"")&amp;DAY(Variables!$A$2)</f>
        <v>-22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0" t="e">
        <f>VLOOKUP(B48,'Train Runs'!$A$13:$A$99929,1,FALSE)</f>
        <v>#N/A</v>
      </c>
    </row>
    <row r="49" spans="1:10" x14ac:dyDescent="0.25">
      <c r="A49" s="181"/>
      <c r="B49" s="43" t="str">
        <f>A49&amp;"-"&amp;IF(DAY(Variables!$A$2)&lt;10,0,"")&amp;DAY(Variables!$A$2)</f>
        <v>-22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0" t="e">
        <f>VLOOKUP(B49,'Train Runs'!$A$13:$A$99929,1,FALSE)</f>
        <v>#N/A</v>
      </c>
    </row>
    <row r="50" spans="1:10" x14ac:dyDescent="0.25">
      <c r="A50" s="181"/>
      <c r="B50" s="43" t="str">
        <f>A50&amp;"-"&amp;IF(DAY(Variables!$A$2)&lt;10,0,"")&amp;DAY(Variables!$A$2)</f>
        <v>-22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0" t="e">
        <f>VLOOKUP(B50,'Train Runs'!$A$13:$A$99929,1,FALSE)</f>
        <v>#N/A</v>
      </c>
    </row>
    <row r="51" spans="1:10" x14ac:dyDescent="0.25">
      <c r="A51" s="181"/>
      <c r="B51" s="43" t="str">
        <f>A51&amp;"-"&amp;IF(DAY(Variables!$A$2)&lt;10,0,"")&amp;DAY(Variables!$A$2)</f>
        <v>-22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0" t="e">
        <f>VLOOKUP(B51,'Train Runs'!$A$13:$A$99929,1,FALSE)</f>
        <v>#N/A</v>
      </c>
    </row>
    <row r="52" spans="1:10" x14ac:dyDescent="0.25">
      <c r="A52" s="181"/>
      <c r="B52" s="43" t="str">
        <f>A52&amp;"-"&amp;IF(DAY(Variables!$A$2)&lt;10,0,"")&amp;DAY(Variables!$A$2)</f>
        <v>-22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0" t="e">
        <f>VLOOKUP(B52,'Train Runs'!$A$13:$A$99929,1,FALSE)</f>
        <v>#N/A</v>
      </c>
    </row>
    <row r="53" spans="1:10" x14ac:dyDescent="0.25">
      <c r="A53" s="181"/>
      <c r="B53" s="43" t="str">
        <f>A53&amp;"-"&amp;IF(DAY(Variables!$A$2)&lt;10,0,"")&amp;DAY(Variables!$A$2)</f>
        <v>-22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0" t="e">
        <f>VLOOKUP(B53,'Train Runs'!$A$13:$A$99929,1,FALSE)</f>
        <v>#N/A</v>
      </c>
    </row>
    <row r="54" spans="1:10" x14ac:dyDescent="0.25">
      <c r="A54" s="181"/>
      <c r="B54" s="43" t="str">
        <f>A54&amp;"-"&amp;IF(DAY(Variables!$A$2)&lt;10,0,"")&amp;DAY(Variables!$A$2)</f>
        <v>-22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0" t="e">
        <f>VLOOKUP(B54,'Train Runs'!$A$13:$A$99929,1,FALSE)</f>
        <v>#N/A</v>
      </c>
    </row>
    <row r="55" spans="1:10" x14ac:dyDescent="0.25">
      <c r="A55" s="181"/>
      <c r="B55" s="43" t="str">
        <f>A55&amp;"-"&amp;IF(DAY(Variables!$A$2)&lt;10,0,"")&amp;DAY(Variables!$A$2)</f>
        <v>-22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0" t="e">
        <f>VLOOKUP(B55,'Train Runs'!$A$13:$A$99929,1,FALSE)</f>
        <v>#N/A</v>
      </c>
    </row>
    <row r="56" spans="1:10" x14ac:dyDescent="0.25">
      <c r="A56" s="181"/>
      <c r="B56" s="43" t="str">
        <f>A56&amp;"-"&amp;IF(DAY(Variables!$A$2)&lt;10,0,"")&amp;DAY(Variables!$A$2)</f>
        <v>-22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0" t="e">
        <f>VLOOKUP(B56,'Train Runs'!$A$13:$A$99929,1,FALSE)</f>
        <v>#N/A</v>
      </c>
    </row>
    <row r="57" spans="1:10" x14ac:dyDescent="0.25">
      <c r="A57" s="181"/>
      <c r="B57" s="43" t="str">
        <f>A57&amp;"-"&amp;IF(DAY(Variables!$A$2)&lt;10,0,"")&amp;DAY(Variables!$A$2)</f>
        <v>-22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0" t="e">
        <f>VLOOKUP(B57,'Train Runs'!$A$13:$A$99929,1,FALSE)</f>
        <v>#N/A</v>
      </c>
    </row>
    <row r="58" spans="1:10" x14ac:dyDescent="0.25">
      <c r="A58" s="181"/>
      <c r="B58" s="43" t="str">
        <f>A58&amp;"-"&amp;IF(DAY(Variables!$A$2)&lt;10,0,"")&amp;DAY(Variables!$A$2)</f>
        <v>-22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0" t="e">
        <f>VLOOKUP(B58,'Train Runs'!$A$13:$A$99929,1,FALSE)</f>
        <v>#N/A</v>
      </c>
    </row>
    <row r="59" spans="1:10" x14ac:dyDescent="0.25">
      <c r="A59" s="181"/>
      <c r="B59" s="43" t="str">
        <f>A59&amp;"-"&amp;IF(DAY(Variables!$A$2)&lt;10,0,"")&amp;DAY(Variables!$A$2)</f>
        <v>-22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0" t="e">
        <f>VLOOKUP(B59,'Train Runs'!$A$13:$A$99929,1,FALSE)</f>
        <v>#N/A</v>
      </c>
    </row>
    <row r="60" spans="1:10" x14ac:dyDescent="0.25">
      <c r="A60" s="181"/>
      <c r="B60" s="43" t="str">
        <f>A60&amp;"-"&amp;IF(DAY(Variables!$A$2)&lt;10,0,"")&amp;DAY(Variables!$A$2)</f>
        <v>-22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0" t="e">
        <f>VLOOKUP(B60,'Train Runs'!$A$13:$A$99929,1,FALSE)</f>
        <v>#N/A</v>
      </c>
    </row>
    <row r="61" spans="1:10" x14ac:dyDescent="0.25">
      <c r="A61" s="181"/>
      <c r="B61" s="43" t="str">
        <f>A61&amp;"-"&amp;IF(DAY(Variables!$A$2)&lt;10,0,"")&amp;DAY(Variables!$A$2)</f>
        <v>-22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0" t="e">
        <f>VLOOKUP(B61,'Train Runs'!$A$13:$A$99929,1,FALSE)</f>
        <v>#N/A</v>
      </c>
    </row>
    <row r="62" spans="1:10" x14ac:dyDescent="0.25">
      <c r="A62" s="181"/>
      <c r="B62" s="43" t="str">
        <f>A62&amp;"-"&amp;IF(DAY(Variables!$A$2)&lt;10,0,"")&amp;DAY(Variables!$A$2)</f>
        <v>-22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0" t="e">
        <f>VLOOKUP(B62,'Train Runs'!$A$13:$A$99929,1,FALSE)</f>
        <v>#N/A</v>
      </c>
    </row>
    <row r="63" spans="1:10" x14ac:dyDescent="0.25">
      <c r="A63" s="181"/>
      <c r="B63" s="43" t="str">
        <f>A63&amp;"-"&amp;IF(DAY(Variables!$A$2)&lt;10,0,"")&amp;DAY(Variables!$A$2)</f>
        <v>-22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0" t="e">
        <f>VLOOKUP(B63,'Train Runs'!$A$13:$A$99929,1,FALSE)</f>
        <v>#N/A</v>
      </c>
    </row>
    <row r="64" spans="1:10" x14ac:dyDescent="0.25">
      <c r="A64" s="181"/>
      <c r="B64" s="43" t="str">
        <f>A64&amp;"-"&amp;IF(DAY(Variables!$A$2)&lt;10,0,"")&amp;DAY(Variables!$A$2)</f>
        <v>-22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0" t="e">
        <f>VLOOKUP(B64,'Train Runs'!$A$13:$A$99929,1,FALSE)</f>
        <v>#N/A</v>
      </c>
    </row>
    <row r="65" spans="1:10" x14ac:dyDescent="0.25">
      <c r="A65" s="181"/>
      <c r="B65" s="43" t="str">
        <f>A65&amp;"-"&amp;IF(DAY(Variables!$A$2)&lt;10,0,"")&amp;DAY(Variables!$A$2)</f>
        <v>-22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0" t="e">
        <f>VLOOKUP(B65,'Train Runs'!$A$13:$A$99929,1,FALSE)</f>
        <v>#N/A</v>
      </c>
    </row>
    <row r="66" spans="1:10" x14ac:dyDescent="0.25">
      <c r="A66" s="181"/>
      <c r="B66" s="43" t="str">
        <f>A66&amp;"-"&amp;IF(DAY(Variables!$A$2)&lt;10,0,"")&amp;DAY(Variables!$A$2)</f>
        <v>-22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0" t="e">
        <f>VLOOKUP(B66,'Train Runs'!$A$13:$A$99929,1,FALSE)</f>
        <v>#N/A</v>
      </c>
    </row>
    <row r="67" spans="1:10" x14ac:dyDescent="0.25">
      <c r="A67" s="181"/>
      <c r="B67" s="43" t="str">
        <f>A67&amp;"-"&amp;IF(DAY(Variables!$A$2)&lt;10,0,"")&amp;DAY(Variables!$A$2)</f>
        <v>-22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0" t="e">
        <f>VLOOKUP(B67,'Train Runs'!$A$13:$A$99929,1,FALSE)</f>
        <v>#N/A</v>
      </c>
    </row>
    <row r="68" spans="1:10" x14ac:dyDescent="0.25">
      <c r="A68" s="181"/>
      <c r="B68" s="43" t="str">
        <f>A68&amp;"-"&amp;IF(DAY(Variables!$A$2)&lt;10,0,"")&amp;DAY(Variables!$A$2)</f>
        <v>-22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8" s="30" t="e">
        <f>VLOOKUP(B68,'Train Runs'!$A$13:$A$99929,1,FALSE)</f>
        <v>#N/A</v>
      </c>
    </row>
    <row r="69" spans="1:10" x14ac:dyDescent="0.25">
      <c r="A69" s="181"/>
      <c r="B69" s="43" t="str">
        <f>A69&amp;"-"&amp;IF(DAY(Variables!$A$2)&lt;10,0,"")&amp;DAY(Variables!$A$2)</f>
        <v>-22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9" s="30" t="e">
        <f>VLOOKUP(B69,'Train Runs'!$A$13:$A$99929,1,FALSE)</f>
        <v>#N/A</v>
      </c>
    </row>
    <row r="70" spans="1:10" x14ac:dyDescent="0.25">
      <c r="A70" s="181"/>
      <c r="B70" s="43" t="str">
        <f>A70&amp;"-"&amp;IF(DAY(Variables!$A$2)&lt;10,0,"")&amp;DAY(Variables!$A$2)</f>
        <v>-22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0" s="30" t="e">
        <f>VLOOKUP(B70,'Train Runs'!$A$13:$A$99929,1,FALSE)</f>
        <v>#N/A</v>
      </c>
    </row>
    <row r="71" spans="1:10" x14ac:dyDescent="0.25">
      <c r="A71" s="181"/>
      <c r="B71" s="43" t="str">
        <f>A71&amp;"-"&amp;IF(DAY(Variables!$A$2)&lt;10,0,"")&amp;DAY(Variables!$A$2)</f>
        <v>-22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1" s="30" t="e">
        <f>VLOOKUP(B71,'Train Runs'!$A$13:$A$99929,1,FALSE)</f>
        <v>#N/A</v>
      </c>
    </row>
    <row r="72" spans="1:10" x14ac:dyDescent="0.25">
      <c r="A72" s="181"/>
      <c r="B72" s="43" t="str">
        <f>A72&amp;"-"&amp;IF(DAY(Variables!$A$2)&lt;10,0,"")&amp;DAY(Variables!$A$2)</f>
        <v>-22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2" s="30" t="e">
        <f>VLOOKUP(B72,'Train Runs'!$A$13:$A$99929,1,FALSE)</f>
        <v>#N/A</v>
      </c>
    </row>
    <row r="73" spans="1:10" x14ac:dyDescent="0.25">
      <c r="A73" s="181"/>
      <c r="B73" s="43" t="str">
        <f>A73&amp;"-"&amp;IF(DAY(Variables!$A$2)&lt;10,0,"")&amp;DAY(Variables!$A$2)</f>
        <v>-22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3" s="30" t="e">
        <f>VLOOKUP(B73,'Train Runs'!$A$13:$A$99929,1,FALSE)</f>
        <v>#N/A</v>
      </c>
    </row>
    <row r="74" spans="1:10" x14ac:dyDescent="0.25">
      <c r="A74" s="181"/>
      <c r="B74" s="43" t="str">
        <f>A74&amp;"-"&amp;IF(DAY(Variables!$A$2)&lt;10,0,"")&amp;DAY(Variables!$A$2)</f>
        <v>-22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4" s="30" t="e">
        <f>VLOOKUP(B74,'Train Runs'!$A$13:$A$99929,1,FALSE)</f>
        <v>#N/A</v>
      </c>
    </row>
    <row r="75" spans="1:10" x14ac:dyDescent="0.25">
      <c r="A75" s="181"/>
      <c r="B75" s="43" t="str">
        <f>A75&amp;"-"&amp;IF(DAY(Variables!$A$2)&lt;10,0,"")&amp;DAY(Variables!$A$2)</f>
        <v>-22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5" s="30" t="e">
        <f>VLOOKUP(B75,'Train Runs'!$A$13:$A$99929,1,FALSE)</f>
        <v>#N/A</v>
      </c>
    </row>
    <row r="76" spans="1:10" x14ac:dyDescent="0.25">
      <c r="A76" s="181"/>
      <c r="B76" s="43" t="str">
        <f>A76&amp;"-"&amp;IF(DAY(Variables!$A$2)&lt;10,0,"")&amp;DAY(Variables!$A$2)</f>
        <v>-22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6" s="30" t="e">
        <f>VLOOKUP(B76,'Train Runs'!$A$13:$A$99929,1,FALSE)</f>
        <v>#N/A</v>
      </c>
    </row>
    <row r="77" spans="1:10" x14ac:dyDescent="0.25">
      <c r="A77" s="181"/>
      <c r="B77" s="43" t="str">
        <f>A77&amp;"-"&amp;IF(DAY(Variables!$A$2)&lt;10,0,"")&amp;DAY(Variables!$A$2)</f>
        <v>-22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7" s="30" t="e">
        <f>VLOOKUP(B77,'Train Runs'!$A$13:$A$99929,1,FALSE)</f>
        <v>#N/A</v>
      </c>
    </row>
    <row r="78" spans="1:10" x14ac:dyDescent="0.25">
      <c r="A78" s="181"/>
      <c r="B78" s="43" t="str">
        <f>A78&amp;"-"&amp;IF(DAY(Variables!$A$2)&lt;10,0,"")&amp;DAY(Variables!$A$2)</f>
        <v>-22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8" s="30" t="e">
        <f>VLOOKUP(B78,'Train Runs'!$A$13:$A$99929,1,FALSE)</f>
        <v>#N/A</v>
      </c>
    </row>
    <row r="79" spans="1:10" x14ac:dyDescent="0.25">
      <c r="A79" s="181"/>
      <c r="B79" s="43" t="str">
        <f>A79&amp;"-"&amp;IF(DAY(Variables!$A$2)&lt;10,0,"")&amp;DAY(Variables!$A$2)</f>
        <v>-22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9" s="30" t="e">
        <f>VLOOKUP(B79,'Train Runs'!$A$13:$A$99929,1,FALSE)</f>
        <v>#N/A</v>
      </c>
    </row>
    <row r="80" spans="1:10" x14ac:dyDescent="0.25">
      <c r="A80" s="181"/>
      <c r="B80" s="43" t="str">
        <f>A80&amp;"-"&amp;IF(DAY(Variables!$A$2)&lt;10,0,"")&amp;DAY(Variables!$A$2)</f>
        <v>-22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0" s="30" t="e">
        <f>VLOOKUP(B80,'Train Runs'!$A$13:$A$99929,1,FALSE)</f>
        <v>#N/A</v>
      </c>
    </row>
    <row r="81" spans="1:10" x14ac:dyDescent="0.25">
      <c r="A81" s="181"/>
      <c r="B81" s="43" t="str">
        <f>A81&amp;"-"&amp;IF(DAY(Variables!$A$2)&lt;10,0,"")&amp;DAY(Variables!$A$2)</f>
        <v>-22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1" s="30" t="e">
        <f>VLOOKUP(B81,'Train Runs'!$A$13:$A$99929,1,FALSE)</f>
        <v>#N/A</v>
      </c>
    </row>
    <row r="82" spans="1:10" x14ac:dyDescent="0.25">
      <c r="A82" s="181"/>
      <c r="B82" s="43" t="str">
        <f>A82&amp;"-"&amp;IF(DAY(Variables!$A$2)&lt;10,0,"")&amp;DAY(Variables!$A$2)</f>
        <v>-22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2" s="30" t="e">
        <f>VLOOKUP(B82,'Train Runs'!$A$13:$A$99929,1,FALSE)</f>
        <v>#N/A</v>
      </c>
    </row>
    <row r="83" spans="1:10" x14ac:dyDescent="0.25">
      <c r="A83" s="181"/>
      <c r="B83" s="43" t="str">
        <f>A83&amp;"-"&amp;IF(DAY(Variables!$A$2)&lt;10,0,"")&amp;DAY(Variables!$A$2)</f>
        <v>-22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3" s="30" t="e">
        <f>VLOOKUP(B83,'Train Runs'!$A$13:$A$99929,1,FALSE)</f>
        <v>#N/A</v>
      </c>
    </row>
    <row r="84" spans="1:10" x14ac:dyDescent="0.25">
      <c r="A84" s="181"/>
      <c r="B84" s="43" t="str">
        <f>A84&amp;"-"&amp;IF(DAY(Variables!$A$2)&lt;10,0,"")&amp;DAY(Variables!$A$2)</f>
        <v>-22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4" s="30" t="e">
        <f>VLOOKUP(B84,'Train Runs'!$A$13:$A$99929,1,FALSE)</f>
        <v>#N/A</v>
      </c>
    </row>
    <row r="85" spans="1:10" x14ac:dyDescent="0.25">
      <c r="A85" s="181"/>
      <c r="B85" s="43" t="str">
        <f>A85&amp;"-"&amp;IF(DAY(Variables!$A$2)&lt;10,0,"")&amp;DAY(Variables!$A$2)</f>
        <v>-22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5" s="30" t="e">
        <f>VLOOKUP(B85,'Train Runs'!$A$13:$A$99929,1,FALSE)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42847.036539351851</v>
      </c>
      <c r="B2" s="20" t="s">
        <v>450</v>
      </c>
      <c r="C2" s="20" t="s">
        <v>610</v>
      </c>
      <c r="D2" s="146">
        <v>2270000</v>
      </c>
      <c r="E2" s="20" t="s">
        <v>206</v>
      </c>
      <c r="F2" s="20" t="s">
        <v>207</v>
      </c>
      <c r="G2" s="8" t="str">
        <f>E2&amp;" "&amp;F2</f>
        <v>BROWN JACOB</v>
      </c>
    </row>
    <row r="3" spans="1:7" x14ac:dyDescent="0.25">
      <c r="A3" s="8">
        <v>42847.036678240744</v>
      </c>
      <c r="B3" s="20" t="s">
        <v>397</v>
      </c>
      <c r="C3" s="20" t="s">
        <v>611</v>
      </c>
      <c r="D3" s="146">
        <v>2000000</v>
      </c>
      <c r="E3" s="20" t="s">
        <v>355</v>
      </c>
      <c r="F3" s="20" t="s">
        <v>193</v>
      </c>
      <c r="G3" s="8" t="str">
        <f t="shared" ref="G3:G66" si="0">E3&amp;" "&amp;F3</f>
        <v>STAMBAUGH JAMES</v>
      </c>
    </row>
    <row r="4" spans="1:7" x14ac:dyDescent="0.25">
      <c r="A4" s="8">
        <v>42847.047048611108</v>
      </c>
      <c r="B4" s="20" t="s">
        <v>534</v>
      </c>
      <c r="C4" s="20" t="s">
        <v>612</v>
      </c>
      <c r="D4" s="146">
        <v>1740000</v>
      </c>
      <c r="E4" s="20" t="s">
        <v>374</v>
      </c>
      <c r="F4" s="20" t="s">
        <v>375</v>
      </c>
      <c r="G4" s="8" t="str">
        <f t="shared" si="0"/>
        <v>STORY SAMANTHA</v>
      </c>
    </row>
    <row r="5" spans="1:7" x14ac:dyDescent="0.25">
      <c r="A5" s="8">
        <v>42847.050983796296</v>
      </c>
      <c r="B5" s="20" t="s">
        <v>459</v>
      </c>
      <c r="C5" s="20" t="s">
        <v>613</v>
      </c>
      <c r="D5" s="146">
        <v>2610000</v>
      </c>
      <c r="E5" s="20" t="s">
        <v>614</v>
      </c>
      <c r="F5" s="20" t="s">
        <v>615</v>
      </c>
      <c r="G5" s="8" t="str">
        <f t="shared" si="0"/>
        <v>MAGEE KENYA</v>
      </c>
    </row>
    <row r="6" spans="1:7" x14ac:dyDescent="0.25">
      <c r="A6" s="8">
        <v>42847.067164351851</v>
      </c>
      <c r="B6" s="20" t="s">
        <v>396</v>
      </c>
      <c r="C6" s="20" t="s">
        <v>616</v>
      </c>
      <c r="D6" s="146">
        <v>2000000</v>
      </c>
      <c r="E6" s="20" t="s">
        <v>355</v>
      </c>
      <c r="F6" s="20" t="s">
        <v>193</v>
      </c>
      <c r="G6" s="8" t="str">
        <f t="shared" si="0"/>
        <v>STAMBAUGH JAMES</v>
      </c>
    </row>
    <row r="7" spans="1:7" x14ac:dyDescent="0.25">
      <c r="A7" s="8">
        <v>42847.074548611112</v>
      </c>
      <c r="B7" s="20" t="s">
        <v>449</v>
      </c>
      <c r="C7" s="20" t="s">
        <v>617</v>
      </c>
      <c r="D7" s="146">
        <v>2270000</v>
      </c>
      <c r="E7" s="20" t="s">
        <v>206</v>
      </c>
      <c r="F7" s="20" t="s">
        <v>207</v>
      </c>
      <c r="G7" s="8" t="str">
        <f t="shared" si="0"/>
        <v>BROWN JACOB</v>
      </c>
    </row>
    <row r="8" spans="1:7" x14ac:dyDescent="0.25">
      <c r="A8" s="8">
        <v>42847.090914351851</v>
      </c>
      <c r="B8" s="20" t="s">
        <v>524</v>
      </c>
      <c r="C8" s="20" t="s">
        <v>618</v>
      </c>
      <c r="D8" s="146">
        <v>2610000</v>
      </c>
      <c r="E8" s="20" t="s">
        <v>614</v>
      </c>
      <c r="F8" s="20" t="s">
        <v>615</v>
      </c>
      <c r="G8" s="8" t="str">
        <f t="shared" si="0"/>
        <v>MAGEE KENYA</v>
      </c>
    </row>
    <row r="9" spans="1:7" ht="15.75" thickBot="1" x14ac:dyDescent="0.3">
      <c r="A9" s="24">
        <v>42847.110578703701</v>
      </c>
      <c r="B9" s="20" t="s">
        <v>450</v>
      </c>
      <c r="C9" s="20" t="s">
        <v>619</v>
      </c>
      <c r="D9" s="146">
        <v>2270000</v>
      </c>
      <c r="E9" s="20" t="s">
        <v>206</v>
      </c>
      <c r="F9" s="20" t="s">
        <v>207</v>
      </c>
      <c r="G9" s="8" t="str">
        <f t="shared" si="0"/>
        <v>BROWN JACOB</v>
      </c>
    </row>
    <row r="10" spans="1:7" x14ac:dyDescent="0.25">
      <c r="A10" s="8">
        <v>42847.120833333334</v>
      </c>
      <c r="B10" s="20" t="s">
        <v>358</v>
      </c>
      <c r="C10" s="20" t="s">
        <v>620</v>
      </c>
      <c r="D10" s="146">
        <v>2550000</v>
      </c>
      <c r="E10" s="20" t="s">
        <v>491</v>
      </c>
      <c r="F10" s="20" t="s">
        <v>492</v>
      </c>
      <c r="G10" s="8" t="str">
        <f t="shared" si="0"/>
        <v>BADERTSCHER DIANE</v>
      </c>
    </row>
    <row r="11" spans="1:7" x14ac:dyDescent="0.25">
      <c r="A11" s="8">
        <v>42847.132662037038</v>
      </c>
      <c r="B11" s="20" t="s">
        <v>585</v>
      </c>
      <c r="C11" s="20" t="s">
        <v>621</v>
      </c>
      <c r="D11" s="146">
        <v>2550000</v>
      </c>
      <c r="E11" s="20" t="s">
        <v>491</v>
      </c>
      <c r="F11" s="20" t="s">
        <v>492</v>
      </c>
      <c r="G11" s="8" t="str">
        <f t="shared" si="0"/>
        <v>BADERTSCHER DIANE</v>
      </c>
    </row>
    <row r="12" spans="1:7" x14ac:dyDescent="0.25">
      <c r="A12" s="8">
        <v>42847.141180555554</v>
      </c>
      <c r="B12" s="20" t="s">
        <v>446</v>
      </c>
      <c r="C12" s="20" t="s">
        <v>622</v>
      </c>
      <c r="D12" s="146">
        <v>2140000</v>
      </c>
      <c r="E12" s="20" t="s">
        <v>623</v>
      </c>
      <c r="F12" s="20" t="s">
        <v>624</v>
      </c>
      <c r="G12" s="8" t="str">
        <f t="shared" si="0"/>
        <v>ROBINSON KADDIBA</v>
      </c>
    </row>
    <row r="13" spans="1:7" x14ac:dyDescent="0.25">
      <c r="A13" s="8">
        <v>42847.154918981483</v>
      </c>
      <c r="B13" s="20" t="s">
        <v>433</v>
      </c>
      <c r="C13" s="20" t="s">
        <v>625</v>
      </c>
      <c r="D13" s="146">
        <v>2140000</v>
      </c>
      <c r="E13" s="20" t="s">
        <v>623</v>
      </c>
      <c r="F13" s="20" t="s">
        <v>624</v>
      </c>
      <c r="G13" s="8" t="str">
        <f t="shared" si="0"/>
        <v>ROBINSON KADDIBA</v>
      </c>
    </row>
    <row r="14" spans="1:7" x14ac:dyDescent="0.25">
      <c r="A14" s="8">
        <v>42847.161365740743</v>
      </c>
      <c r="B14" s="20" t="s">
        <v>395</v>
      </c>
      <c r="C14" s="20" t="s">
        <v>626</v>
      </c>
      <c r="D14" s="146">
        <v>2010000</v>
      </c>
      <c r="E14" s="20" t="s">
        <v>627</v>
      </c>
      <c r="F14" s="20" t="s">
        <v>628</v>
      </c>
      <c r="G14" s="8" t="str">
        <f t="shared" si="0"/>
        <v>MAELZER KURT</v>
      </c>
    </row>
    <row r="15" spans="1:7" x14ac:dyDescent="0.25">
      <c r="A15" s="8">
        <v>42847.168969907405</v>
      </c>
      <c r="B15" s="20" t="s">
        <v>358</v>
      </c>
      <c r="C15" s="20" t="s">
        <v>629</v>
      </c>
      <c r="D15" s="146">
        <v>2550000</v>
      </c>
      <c r="E15" s="20" t="s">
        <v>491</v>
      </c>
      <c r="F15" s="20" t="s">
        <v>492</v>
      </c>
      <c r="G15" s="8" t="str">
        <f t="shared" si="0"/>
        <v>BADERTSCHER DIANE</v>
      </c>
    </row>
    <row r="16" spans="1:7" x14ac:dyDescent="0.25">
      <c r="A16" s="8">
        <v>42847.170972222222</v>
      </c>
      <c r="B16" s="20" t="s">
        <v>589</v>
      </c>
      <c r="C16" s="20" t="s">
        <v>630</v>
      </c>
      <c r="D16" s="146">
        <v>1990000</v>
      </c>
      <c r="E16" s="20" t="s">
        <v>631</v>
      </c>
      <c r="F16" s="20" t="s">
        <v>632</v>
      </c>
      <c r="G16" s="8" t="str">
        <f t="shared" si="0"/>
        <v>DAVIS WENDY</v>
      </c>
    </row>
    <row r="17" spans="1:7" x14ac:dyDescent="0.25">
      <c r="A17" s="8">
        <v>42847.171481481484</v>
      </c>
      <c r="B17" s="20" t="s">
        <v>358</v>
      </c>
      <c r="C17" s="20" t="s">
        <v>629</v>
      </c>
      <c r="D17" s="146">
        <v>2550000</v>
      </c>
      <c r="E17" s="20" t="s">
        <v>491</v>
      </c>
      <c r="F17" s="20" t="s">
        <v>492</v>
      </c>
      <c r="G17" s="8" t="str">
        <f t="shared" si="0"/>
        <v>BADERTSCHER DIANE</v>
      </c>
    </row>
    <row r="18" spans="1:7" x14ac:dyDescent="0.25">
      <c r="A18" s="8">
        <v>42847.171956018516</v>
      </c>
      <c r="B18" s="20" t="s">
        <v>488</v>
      </c>
      <c r="C18" s="20" t="s">
        <v>633</v>
      </c>
      <c r="D18" s="146">
        <v>2010000</v>
      </c>
      <c r="E18" s="20" t="s">
        <v>627</v>
      </c>
      <c r="F18" s="20" t="s">
        <v>628</v>
      </c>
      <c r="G18" s="8" t="str">
        <f t="shared" si="0"/>
        <v>MAELZER KURT</v>
      </c>
    </row>
    <row r="19" spans="1:7" x14ac:dyDescent="0.25">
      <c r="A19" s="8">
        <v>42847.172523148147</v>
      </c>
      <c r="B19" s="20" t="s">
        <v>358</v>
      </c>
      <c r="C19" s="20" t="s">
        <v>629</v>
      </c>
      <c r="D19" s="146">
        <v>2550000</v>
      </c>
      <c r="E19" s="20" t="s">
        <v>491</v>
      </c>
      <c r="F19" s="20" t="s">
        <v>492</v>
      </c>
      <c r="G19" s="8" t="str">
        <f t="shared" si="0"/>
        <v>BADERTSCHER DIANE</v>
      </c>
    </row>
    <row r="20" spans="1:7" x14ac:dyDescent="0.25">
      <c r="A20" s="8">
        <v>42847.181689814817</v>
      </c>
      <c r="B20" s="20" t="s">
        <v>634</v>
      </c>
      <c r="C20" s="20" t="s">
        <v>635</v>
      </c>
      <c r="D20" s="146">
        <v>1990000</v>
      </c>
      <c r="E20" s="20" t="s">
        <v>631</v>
      </c>
      <c r="F20" s="20" t="s">
        <v>632</v>
      </c>
      <c r="G20" s="8" t="str">
        <f t="shared" si="0"/>
        <v>DAVIS WENDY</v>
      </c>
    </row>
    <row r="21" spans="1:7" x14ac:dyDescent="0.25">
      <c r="A21" s="8">
        <v>42847.183564814812</v>
      </c>
      <c r="B21" s="20" t="s">
        <v>356</v>
      </c>
      <c r="C21" s="20" t="s">
        <v>584</v>
      </c>
      <c r="D21" s="146">
        <v>1360000</v>
      </c>
      <c r="E21" s="20" t="s">
        <v>636</v>
      </c>
      <c r="F21" s="20" t="s">
        <v>637</v>
      </c>
      <c r="G21" s="8" t="str">
        <f t="shared" si="0"/>
        <v>SANTIZO D. EDY</v>
      </c>
    </row>
    <row r="22" spans="1:7" x14ac:dyDescent="0.25">
      <c r="A22" s="26">
        <v>42847.18886574074</v>
      </c>
      <c r="B22" s="20" t="s">
        <v>446</v>
      </c>
      <c r="C22" s="20" t="s">
        <v>638</v>
      </c>
      <c r="D22" s="146">
        <v>2140000</v>
      </c>
      <c r="E22" s="20" t="s">
        <v>623</v>
      </c>
      <c r="F22" s="20" t="s">
        <v>624</v>
      </c>
      <c r="G22" s="8" t="str">
        <f t="shared" si="0"/>
        <v>ROBINSON KADDIBA</v>
      </c>
    </row>
    <row r="23" spans="1:7" x14ac:dyDescent="0.25">
      <c r="A23" s="8">
        <v>42847.194340277776</v>
      </c>
      <c r="B23" s="20" t="s">
        <v>489</v>
      </c>
      <c r="C23" s="20" t="s">
        <v>639</v>
      </c>
      <c r="D23" s="146">
        <v>1360000</v>
      </c>
      <c r="E23" s="20" t="s">
        <v>636</v>
      </c>
      <c r="F23" s="20" t="s">
        <v>637</v>
      </c>
      <c r="G23" s="8" t="str">
        <f t="shared" si="0"/>
        <v>SANTIZO D. EDY</v>
      </c>
    </row>
    <row r="24" spans="1:7" x14ac:dyDescent="0.25">
      <c r="A24" s="8">
        <v>42847.20521990741</v>
      </c>
      <c r="B24" s="20" t="s">
        <v>585</v>
      </c>
      <c r="C24" s="20" t="s">
        <v>640</v>
      </c>
      <c r="D24" s="146">
        <v>1520000</v>
      </c>
      <c r="E24" s="20" t="s">
        <v>641</v>
      </c>
      <c r="F24" s="20" t="s">
        <v>642</v>
      </c>
      <c r="G24" s="8" t="str">
        <f t="shared" si="0"/>
        <v>MAYBERRY BILL</v>
      </c>
    </row>
    <row r="25" spans="1:7" x14ac:dyDescent="0.25">
      <c r="A25" s="8">
        <v>42847.209965277776</v>
      </c>
      <c r="B25" s="20" t="s">
        <v>359</v>
      </c>
      <c r="C25" s="20" t="s">
        <v>643</v>
      </c>
      <c r="D25" s="146">
        <v>2550000</v>
      </c>
      <c r="E25" s="20" t="s">
        <v>491</v>
      </c>
      <c r="F25" s="20" t="s">
        <v>492</v>
      </c>
      <c r="G25" s="8" t="str">
        <f t="shared" si="0"/>
        <v>BADERTSCHER DIANE</v>
      </c>
    </row>
    <row r="26" spans="1:7" x14ac:dyDescent="0.25">
      <c r="A26" s="8">
        <v>42847.210335648146</v>
      </c>
      <c r="B26" s="20" t="s">
        <v>395</v>
      </c>
      <c r="C26" s="20" t="s">
        <v>644</v>
      </c>
      <c r="D26" s="146">
        <v>2010000</v>
      </c>
      <c r="E26" s="20" t="s">
        <v>627</v>
      </c>
      <c r="F26" s="20" t="s">
        <v>628</v>
      </c>
      <c r="G26" s="8" t="str">
        <f t="shared" si="0"/>
        <v>MAELZER KURT</v>
      </c>
    </row>
    <row r="27" spans="1:7" x14ac:dyDescent="0.25">
      <c r="A27" s="8">
        <v>42847.210972222223</v>
      </c>
      <c r="B27" s="20" t="s">
        <v>395</v>
      </c>
      <c r="C27" s="20" t="s">
        <v>644</v>
      </c>
      <c r="D27" s="146">
        <v>2010000</v>
      </c>
      <c r="E27" s="20" t="s">
        <v>627</v>
      </c>
      <c r="F27" s="20" t="s">
        <v>628</v>
      </c>
      <c r="G27" s="8" t="str">
        <f t="shared" si="0"/>
        <v>MAELZER KURT</v>
      </c>
    </row>
    <row r="28" spans="1:7" x14ac:dyDescent="0.25">
      <c r="A28" s="8">
        <v>42847.21125</v>
      </c>
      <c r="B28" s="20" t="s">
        <v>359</v>
      </c>
      <c r="C28" s="20" t="s">
        <v>643</v>
      </c>
      <c r="D28" s="146">
        <v>2550000</v>
      </c>
      <c r="E28" s="20" t="s">
        <v>491</v>
      </c>
      <c r="F28" s="20" t="s">
        <v>492</v>
      </c>
      <c r="G28" s="8" t="str">
        <f t="shared" si="0"/>
        <v>BADERTSCHER DIANE</v>
      </c>
    </row>
    <row r="29" spans="1:7" x14ac:dyDescent="0.25">
      <c r="A29" s="8">
        <v>42847.212384259263</v>
      </c>
      <c r="B29" s="20" t="s">
        <v>395</v>
      </c>
      <c r="C29" s="20" t="s">
        <v>644</v>
      </c>
      <c r="D29" s="146">
        <v>2010000</v>
      </c>
      <c r="E29" s="20" t="s">
        <v>627</v>
      </c>
      <c r="F29" s="20" t="s">
        <v>628</v>
      </c>
      <c r="G29" s="8" t="str">
        <f t="shared" si="0"/>
        <v>MAELZER KURT</v>
      </c>
    </row>
    <row r="30" spans="1:7" x14ac:dyDescent="0.25">
      <c r="A30" s="8">
        <v>42847.220046296294</v>
      </c>
      <c r="B30" s="20" t="s">
        <v>377</v>
      </c>
      <c r="C30" s="20" t="s">
        <v>645</v>
      </c>
      <c r="D30" s="146">
        <v>2020000</v>
      </c>
      <c r="E30" s="20" t="s">
        <v>646</v>
      </c>
      <c r="F30" s="20" t="s">
        <v>527</v>
      </c>
      <c r="G30" s="8" t="str">
        <f t="shared" si="0"/>
        <v>SHOOK JOHN</v>
      </c>
    </row>
    <row r="31" spans="1:7" x14ac:dyDescent="0.25">
      <c r="A31" s="8">
        <v>42847.224386574075</v>
      </c>
      <c r="B31" s="20" t="s">
        <v>589</v>
      </c>
      <c r="C31" s="20" t="s">
        <v>647</v>
      </c>
      <c r="D31" s="146">
        <v>1990000</v>
      </c>
      <c r="E31" s="20" t="s">
        <v>631</v>
      </c>
      <c r="F31" s="20" t="s">
        <v>632</v>
      </c>
      <c r="G31" s="8" t="str">
        <f t="shared" si="0"/>
        <v>DAVIS WENDY</v>
      </c>
    </row>
    <row r="32" spans="1:7" x14ac:dyDescent="0.25">
      <c r="A32" s="8">
        <v>42847.225763888891</v>
      </c>
      <c r="B32" s="20" t="s">
        <v>356</v>
      </c>
      <c r="C32" s="20" t="s">
        <v>648</v>
      </c>
      <c r="D32" s="146">
        <v>1360000</v>
      </c>
      <c r="E32" s="20" t="s">
        <v>636</v>
      </c>
      <c r="F32" s="20" t="s">
        <v>637</v>
      </c>
      <c r="G32" s="8" t="str">
        <f t="shared" si="0"/>
        <v>SANTIZO D. EDY</v>
      </c>
    </row>
    <row r="33" spans="1:7" x14ac:dyDescent="0.25">
      <c r="A33" s="8">
        <v>42847.226388888892</v>
      </c>
      <c r="B33" s="20" t="s">
        <v>433</v>
      </c>
      <c r="C33" s="20" t="s">
        <v>649</v>
      </c>
      <c r="D33" s="146">
        <v>1100000</v>
      </c>
      <c r="E33" s="20" t="s">
        <v>493</v>
      </c>
      <c r="F33" s="20" t="s">
        <v>494</v>
      </c>
      <c r="G33" s="8" t="str">
        <f t="shared" si="0"/>
        <v>GEBRETEKLE DAGNEW</v>
      </c>
    </row>
    <row r="34" spans="1:7" x14ac:dyDescent="0.25">
      <c r="A34" s="8">
        <v>42847.229363425926</v>
      </c>
      <c r="B34" s="20" t="s">
        <v>602</v>
      </c>
      <c r="C34" s="20" t="s">
        <v>650</v>
      </c>
      <c r="D34" s="146">
        <v>2140000</v>
      </c>
      <c r="E34" s="20" t="s">
        <v>623</v>
      </c>
      <c r="F34" s="20" t="s">
        <v>624</v>
      </c>
      <c r="G34" s="8" t="str">
        <f t="shared" si="0"/>
        <v>ROBINSON KADDIBA</v>
      </c>
    </row>
    <row r="35" spans="1:7" x14ac:dyDescent="0.25">
      <c r="A35" s="8">
        <v>42847.232951388891</v>
      </c>
      <c r="B35" s="20" t="s">
        <v>378</v>
      </c>
      <c r="C35" s="20" t="s">
        <v>651</v>
      </c>
      <c r="D35" s="146">
        <v>2020000</v>
      </c>
      <c r="E35" s="20" t="s">
        <v>646</v>
      </c>
      <c r="F35" s="20" t="s">
        <v>527</v>
      </c>
      <c r="G35" s="8" t="str">
        <f t="shared" si="0"/>
        <v>SHOOK JOHN</v>
      </c>
    </row>
    <row r="36" spans="1:7" x14ac:dyDescent="0.25">
      <c r="A36" s="8">
        <v>42847.245740740742</v>
      </c>
      <c r="B36" s="20" t="s">
        <v>591</v>
      </c>
      <c r="C36" s="20" t="s">
        <v>652</v>
      </c>
      <c r="D36" s="146">
        <v>1520000</v>
      </c>
      <c r="E36" s="20" t="s">
        <v>641</v>
      </c>
      <c r="F36" s="20" t="s">
        <v>642</v>
      </c>
      <c r="G36" s="8" t="str">
        <f t="shared" si="0"/>
        <v>MAYBERRY BILL</v>
      </c>
    </row>
    <row r="37" spans="1:7" x14ac:dyDescent="0.25">
      <c r="A37" s="8">
        <v>42847.247789351852</v>
      </c>
      <c r="B37" s="20" t="s">
        <v>488</v>
      </c>
      <c r="C37" s="20" t="s">
        <v>653</v>
      </c>
      <c r="D37" s="146">
        <v>2010000</v>
      </c>
      <c r="E37" s="20" t="s">
        <v>627</v>
      </c>
      <c r="F37" s="20" t="s">
        <v>628</v>
      </c>
      <c r="G37" s="8" t="str">
        <f t="shared" si="0"/>
        <v>MAELZER KURT</v>
      </c>
    </row>
    <row r="38" spans="1:7" x14ac:dyDescent="0.25">
      <c r="A38" s="8">
        <v>42847.248726851853</v>
      </c>
      <c r="B38" s="20" t="s">
        <v>377</v>
      </c>
      <c r="C38" s="20" t="s">
        <v>654</v>
      </c>
      <c r="D38" s="146">
        <v>2020000</v>
      </c>
      <c r="E38" s="20" t="s">
        <v>646</v>
      </c>
      <c r="F38" s="20" t="s">
        <v>527</v>
      </c>
      <c r="G38" s="8" t="str">
        <f t="shared" si="0"/>
        <v>SHOOK JOHN</v>
      </c>
    </row>
    <row r="39" spans="1:7" x14ac:dyDescent="0.25">
      <c r="A39" s="8">
        <v>42847.249872685185</v>
      </c>
      <c r="B39" s="20" t="s">
        <v>398</v>
      </c>
      <c r="C39" s="20" t="s">
        <v>655</v>
      </c>
      <c r="D39" s="146">
        <v>1290000</v>
      </c>
      <c r="E39" s="20" t="s">
        <v>526</v>
      </c>
      <c r="F39" s="20" t="s">
        <v>527</v>
      </c>
      <c r="G39" s="8" t="str">
        <f t="shared" si="0"/>
        <v>COOLAHAN JOHN</v>
      </c>
    </row>
    <row r="40" spans="1:7" x14ac:dyDescent="0.25">
      <c r="A40" s="8">
        <v>42847.250787037039</v>
      </c>
      <c r="B40" s="25" t="s">
        <v>358</v>
      </c>
      <c r="C40" s="20" t="s">
        <v>587</v>
      </c>
      <c r="D40" s="146">
        <v>2550000</v>
      </c>
      <c r="E40" s="20" t="s">
        <v>491</v>
      </c>
      <c r="F40" s="20" t="s">
        <v>492</v>
      </c>
      <c r="G40" s="8" t="str">
        <f t="shared" si="0"/>
        <v>BADERTSCHER DIANE</v>
      </c>
    </row>
    <row r="41" spans="1:7" x14ac:dyDescent="0.25">
      <c r="A41" s="8">
        <v>42847.257407407407</v>
      </c>
      <c r="B41" s="20" t="s">
        <v>634</v>
      </c>
      <c r="C41" s="20" t="s">
        <v>656</v>
      </c>
      <c r="D41" s="146">
        <v>1990000</v>
      </c>
      <c r="E41" s="20" t="s">
        <v>631</v>
      </c>
      <c r="F41" s="20" t="s">
        <v>632</v>
      </c>
      <c r="G41" s="8" t="str">
        <f t="shared" si="0"/>
        <v>DAVIS WENDY</v>
      </c>
    </row>
    <row r="42" spans="1:7" x14ac:dyDescent="0.25">
      <c r="A42" s="8">
        <v>42847.257453703707</v>
      </c>
      <c r="B42" s="20" t="s">
        <v>395</v>
      </c>
      <c r="C42" s="20" t="s">
        <v>655</v>
      </c>
      <c r="D42" s="146">
        <v>1290000</v>
      </c>
      <c r="E42" s="20" t="s">
        <v>526</v>
      </c>
      <c r="F42" s="20" t="s">
        <v>527</v>
      </c>
      <c r="G42" s="8" t="str">
        <f t="shared" si="0"/>
        <v>COOLAHAN JOHN</v>
      </c>
    </row>
    <row r="43" spans="1:7" x14ac:dyDescent="0.25">
      <c r="A43" s="8">
        <v>42847.264317129629</v>
      </c>
      <c r="B43" s="20" t="s">
        <v>434</v>
      </c>
      <c r="C43" s="20" t="s">
        <v>657</v>
      </c>
      <c r="D43" s="146">
        <v>1100000</v>
      </c>
      <c r="E43" s="20" t="s">
        <v>493</v>
      </c>
      <c r="F43" s="20" t="s">
        <v>494</v>
      </c>
      <c r="G43" s="8" t="str">
        <f t="shared" si="0"/>
        <v>GEBRETEKLE DAGNEW</v>
      </c>
    </row>
    <row r="44" spans="1:7" x14ac:dyDescent="0.25">
      <c r="A44" s="8">
        <v>42847.264317129629</v>
      </c>
      <c r="B44" s="20" t="s">
        <v>489</v>
      </c>
      <c r="C44" s="20" t="s">
        <v>658</v>
      </c>
      <c r="D44" s="146">
        <v>1360000</v>
      </c>
      <c r="E44" s="20" t="s">
        <v>636</v>
      </c>
      <c r="F44" s="20" t="s">
        <v>637</v>
      </c>
      <c r="G44" s="8" t="str">
        <f t="shared" si="0"/>
        <v>SANTIZO D. EDY</v>
      </c>
    </row>
    <row r="45" spans="1:7" x14ac:dyDescent="0.25">
      <c r="A45" s="8">
        <v>42847.276435185187</v>
      </c>
      <c r="B45" s="20" t="s">
        <v>378</v>
      </c>
      <c r="C45" s="20" t="s">
        <v>659</v>
      </c>
      <c r="D45" s="146">
        <v>2020000</v>
      </c>
      <c r="E45" s="20" t="s">
        <v>646</v>
      </c>
      <c r="F45" s="20" t="s">
        <v>527</v>
      </c>
      <c r="G45" s="8" t="str">
        <f t="shared" si="0"/>
        <v>SHOOK JOHN</v>
      </c>
    </row>
    <row r="46" spans="1:7" x14ac:dyDescent="0.25">
      <c r="A46" s="8">
        <v>42847.276631944442</v>
      </c>
      <c r="B46" s="20" t="s">
        <v>446</v>
      </c>
      <c r="C46" s="20" t="s">
        <v>588</v>
      </c>
      <c r="D46" s="146">
        <v>2140000</v>
      </c>
      <c r="E46" s="20" t="s">
        <v>623</v>
      </c>
      <c r="F46" s="20" t="s">
        <v>624</v>
      </c>
      <c r="G46" s="8" t="str">
        <f t="shared" si="0"/>
        <v>ROBINSON KADDIBA</v>
      </c>
    </row>
    <row r="47" spans="1:7" x14ac:dyDescent="0.25">
      <c r="A47" s="8">
        <v>42847.276979166665</v>
      </c>
      <c r="B47" s="20" t="s">
        <v>585</v>
      </c>
      <c r="C47" s="20" t="s">
        <v>586</v>
      </c>
      <c r="D47" s="146">
        <v>1520000</v>
      </c>
      <c r="E47" s="20" t="s">
        <v>641</v>
      </c>
      <c r="F47" s="20" t="s">
        <v>642</v>
      </c>
      <c r="G47" s="8" t="str">
        <f t="shared" si="0"/>
        <v>MAYBERRY BILL</v>
      </c>
    </row>
    <row r="48" spans="1:7" x14ac:dyDescent="0.25">
      <c r="A48" s="8">
        <v>42847.283449074072</v>
      </c>
      <c r="B48" s="20" t="s">
        <v>486</v>
      </c>
      <c r="C48" s="20" t="s">
        <v>660</v>
      </c>
      <c r="D48" s="146">
        <v>2010000</v>
      </c>
      <c r="E48" s="20" t="s">
        <v>627</v>
      </c>
      <c r="F48" s="20" t="s">
        <v>628</v>
      </c>
      <c r="G48" s="8" t="str">
        <f t="shared" si="0"/>
        <v>MAELZER KURT</v>
      </c>
    </row>
    <row r="49" spans="1:7" x14ac:dyDescent="0.25">
      <c r="A49" s="8">
        <v>42847.287974537037</v>
      </c>
      <c r="B49" s="20" t="s">
        <v>359</v>
      </c>
      <c r="C49" s="20" t="s">
        <v>661</v>
      </c>
      <c r="D49" s="146">
        <v>2550000</v>
      </c>
      <c r="E49" s="20" t="s">
        <v>491</v>
      </c>
      <c r="F49" s="20" t="s">
        <v>492</v>
      </c>
      <c r="G49" s="8" t="str">
        <f t="shared" si="0"/>
        <v>BADERTSCHER DIANE</v>
      </c>
    </row>
    <row r="50" spans="1:7" x14ac:dyDescent="0.25">
      <c r="A50" s="8">
        <v>42847.290486111109</v>
      </c>
      <c r="B50" s="20" t="s">
        <v>377</v>
      </c>
      <c r="C50" s="20" t="s">
        <v>662</v>
      </c>
      <c r="D50" s="146">
        <v>2020000</v>
      </c>
      <c r="E50" s="20" t="s">
        <v>646</v>
      </c>
      <c r="F50" s="20" t="s">
        <v>527</v>
      </c>
      <c r="G50" s="8" t="str">
        <f t="shared" si="0"/>
        <v>SHOOK JOHN</v>
      </c>
    </row>
    <row r="51" spans="1:7" x14ac:dyDescent="0.25">
      <c r="A51" s="8">
        <v>42847.294942129629</v>
      </c>
      <c r="B51" s="20" t="s">
        <v>589</v>
      </c>
      <c r="C51" s="20" t="s">
        <v>590</v>
      </c>
      <c r="D51" s="146">
        <v>1990000</v>
      </c>
      <c r="E51" s="20" t="s">
        <v>631</v>
      </c>
      <c r="F51" s="20" t="s">
        <v>632</v>
      </c>
      <c r="G51" s="8" t="str">
        <f t="shared" si="0"/>
        <v>DAVIS WENDY</v>
      </c>
    </row>
    <row r="52" spans="1:7" x14ac:dyDescent="0.25">
      <c r="A52" s="8">
        <v>42847.297222222223</v>
      </c>
      <c r="B52" s="20" t="s">
        <v>356</v>
      </c>
      <c r="C52" s="20" t="s">
        <v>663</v>
      </c>
      <c r="D52" s="146">
        <v>1360000</v>
      </c>
      <c r="E52" s="20" t="s">
        <v>636</v>
      </c>
      <c r="F52" s="20" t="s">
        <v>637</v>
      </c>
      <c r="G52" s="8" t="str">
        <f t="shared" si="0"/>
        <v>SANTIZO D. EDY</v>
      </c>
    </row>
    <row r="53" spans="1:7" x14ac:dyDescent="0.25">
      <c r="A53" s="8">
        <v>42847.297939814816</v>
      </c>
      <c r="B53" s="20" t="s">
        <v>433</v>
      </c>
      <c r="C53" s="20" t="s">
        <v>664</v>
      </c>
      <c r="D53" s="146">
        <v>1100000</v>
      </c>
      <c r="E53" s="20" t="s">
        <v>493</v>
      </c>
      <c r="F53" s="20" t="s">
        <v>494</v>
      </c>
      <c r="G53" s="8" t="str">
        <f t="shared" si="0"/>
        <v>GEBRETEKLE DAGNEW</v>
      </c>
    </row>
    <row r="54" spans="1:7" x14ac:dyDescent="0.25">
      <c r="A54" s="8">
        <v>42847.309317129628</v>
      </c>
      <c r="B54" s="20" t="s">
        <v>602</v>
      </c>
      <c r="C54" s="20" t="s">
        <v>665</v>
      </c>
      <c r="D54" s="146">
        <v>2140000</v>
      </c>
      <c r="E54" s="20" t="s">
        <v>623</v>
      </c>
      <c r="F54" s="20" t="s">
        <v>624</v>
      </c>
      <c r="G54" s="8" t="str">
        <f t="shared" si="0"/>
        <v>ROBINSON KADDIBA</v>
      </c>
    </row>
    <row r="55" spans="1:7" x14ac:dyDescent="0.25">
      <c r="A55" s="8">
        <v>42847.314166666663</v>
      </c>
      <c r="B55" s="20" t="s">
        <v>591</v>
      </c>
      <c r="C55" s="20" t="s">
        <v>592</v>
      </c>
      <c r="D55" s="146">
        <v>1520000</v>
      </c>
      <c r="E55" s="20" t="s">
        <v>641</v>
      </c>
      <c r="F55" s="20" t="s">
        <v>642</v>
      </c>
      <c r="G55" s="8" t="str">
        <f t="shared" si="0"/>
        <v>MAYBERRY BILL</v>
      </c>
    </row>
    <row r="56" spans="1:7" x14ac:dyDescent="0.25">
      <c r="A56" s="8">
        <v>42847.318032407406</v>
      </c>
      <c r="B56" s="20" t="s">
        <v>378</v>
      </c>
      <c r="C56" s="20" t="s">
        <v>666</v>
      </c>
      <c r="D56" s="146">
        <v>2020000</v>
      </c>
      <c r="E56" s="20" t="s">
        <v>646</v>
      </c>
      <c r="F56" s="20" t="s">
        <v>527</v>
      </c>
      <c r="G56" s="8" t="str">
        <f t="shared" si="0"/>
        <v>SHOOK JOHN</v>
      </c>
    </row>
    <row r="57" spans="1:7" x14ac:dyDescent="0.25">
      <c r="A57" s="8">
        <v>42847.3205787037</v>
      </c>
      <c r="B57" s="20" t="s">
        <v>488</v>
      </c>
      <c r="C57" s="20" t="s">
        <v>667</v>
      </c>
      <c r="D57" s="146">
        <v>2010000</v>
      </c>
      <c r="E57" s="20" t="s">
        <v>627</v>
      </c>
      <c r="F57" s="20" t="s">
        <v>628</v>
      </c>
      <c r="G57" s="8" t="str">
        <f t="shared" si="0"/>
        <v>MAELZER KURT</v>
      </c>
    </row>
    <row r="58" spans="1:7" x14ac:dyDescent="0.25">
      <c r="A58" s="8">
        <v>42847.325532407405</v>
      </c>
      <c r="B58" s="20" t="s">
        <v>358</v>
      </c>
      <c r="C58" s="20" t="s">
        <v>668</v>
      </c>
      <c r="D58" s="146">
        <v>2550000</v>
      </c>
      <c r="E58" s="20" t="s">
        <v>491</v>
      </c>
      <c r="F58" s="20" t="s">
        <v>492</v>
      </c>
      <c r="G58" s="8" t="str">
        <f t="shared" si="0"/>
        <v>BADERTSCHER DIANE</v>
      </c>
    </row>
    <row r="59" spans="1:7" x14ac:dyDescent="0.25">
      <c r="A59" s="8">
        <v>42847.329479166663</v>
      </c>
      <c r="B59" s="20" t="s">
        <v>634</v>
      </c>
      <c r="C59" s="20" t="s">
        <v>669</v>
      </c>
      <c r="D59" s="146">
        <v>1990000</v>
      </c>
      <c r="E59" s="20" t="s">
        <v>631</v>
      </c>
      <c r="F59" s="20" t="s">
        <v>632</v>
      </c>
      <c r="G59" s="8" t="str">
        <f t="shared" si="0"/>
        <v>DAVIS WENDY</v>
      </c>
    </row>
    <row r="60" spans="1:7" x14ac:dyDescent="0.25">
      <c r="A60" s="8">
        <v>42847.331979166665</v>
      </c>
      <c r="B60" s="20" t="s">
        <v>377</v>
      </c>
      <c r="C60" s="20" t="s">
        <v>670</v>
      </c>
      <c r="D60" s="146">
        <v>2020000</v>
      </c>
      <c r="E60" s="20" t="s">
        <v>646</v>
      </c>
      <c r="F60" s="20" t="s">
        <v>527</v>
      </c>
      <c r="G60" s="8" t="str">
        <f t="shared" si="0"/>
        <v>SHOOK JOHN</v>
      </c>
    </row>
    <row r="61" spans="1:7" x14ac:dyDescent="0.25">
      <c r="A61" s="8">
        <v>42847.337326388886</v>
      </c>
      <c r="B61" s="20" t="s">
        <v>489</v>
      </c>
      <c r="C61" s="20" t="s">
        <v>671</v>
      </c>
      <c r="D61" s="146">
        <v>1360000</v>
      </c>
      <c r="E61" s="20" t="s">
        <v>636</v>
      </c>
      <c r="F61" s="20" t="s">
        <v>637</v>
      </c>
      <c r="G61" s="8" t="str">
        <f t="shared" si="0"/>
        <v>SANTIZO D. EDY</v>
      </c>
    </row>
    <row r="62" spans="1:7" x14ac:dyDescent="0.25">
      <c r="A62" s="8">
        <v>42847.337673611109</v>
      </c>
      <c r="B62" s="20" t="s">
        <v>434</v>
      </c>
      <c r="C62" s="20" t="s">
        <v>672</v>
      </c>
      <c r="D62" s="146">
        <v>1100000</v>
      </c>
      <c r="E62" s="20" t="s">
        <v>493</v>
      </c>
      <c r="F62" s="20" t="s">
        <v>494</v>
      </c>
      <c r="G62" s="8" t="str">
        <f t="shared" si="0"/>
        <v>GEBRETEKLE DAGNEW</v>
      </c>
    </row>
    <row r="63" spans="1:7" x14ac:dyDescent="0.25">
      <c r="A63" s="8">
        <v>42847.348009259258</v>
      </c>
      <c r="B63" s="20" t="s">
        <v>446</v>
      </c>
      <c r="C63" s="20" t="s">
        <v>673</v>
      </c>
      <c r="D63" s="146">
        <v>2140000</v>
      </c>
      <c r="E63" s="20" t="s">
        <v>623</v>
      </c>
      <c r="F63" s="20" t="s">
        <v>624</v>
      </c>
      <c r="G63" s="8" t="str">
        <f t="shared" si="0"/>
        <v>ROBINSON KADDIBA</v>
      </c>
    </row>
    <row r="64" spans="1:7" x14ac:dyDescent="0.25">
      <c r="A64" s="26">
        <v>42847.349629629629</v>
      </c>
      <c r="B64" s="20" t="s">
        <v>585</v>
      </c>
      <c r="C64" s="20" t="s">
        <v>593</v>
      </c>
      <c r="D64" s="146">
        <v>1520000</v>
      </c>
      <c r="E64" s="20" t="s">
        <v>641</v>
      </c>
      <c r="F64" s="20" t="s">
        <v>642</v>
      </c>
      <c r="G64" s="8" t="str">
        <f t="shared" si="0"/>
        <v>MAYBERRY BILL</v>
      </c>
    </row>
    <row r="65" spans="1:7" x14ac:dyDescent="0.25">
      <c r="A65" s="8">
        <v>42847.353750000002</v>
      </c>
      <c r="B65" s="20" t="s">
        <v>486</v>
      </c>
      <c r="C65" s="20" t="s">
        <v>674</v>
      </c>
      <c r="D65" s="146">
        <v>2010000</v>
      </c>
      <c r="E65" s="20" t="s">
        <v>627</v>
      </c>
      <c r="F65" s="20" t="s">
        <v>628</v>
      </c>
      <c r="G65" s="8" t="str">
        <f t="shared" si="0"/>
        <v>MAELZER KURT</v>
      </c>
    </row>
    <row r="66" spans="1:7" x14ac:dyDescent="0.25">
      <c r="A66" s="8">
        <v>42847.359618055554</v>
      </c>
      <c r="B66" s="20" t="s">
        <v>378</v>
      </c>
      <c r="C66" s="20" t="s">
        <v>675</v>
      </c>
      <c r="D66" s="146">
        <v>2020000</v>
      </c>
      <c r="E66" s="20" t="s">
        <v>646</v>
      </c>
      <c r="F66" s="20" t="s">
        <v>527</v>
      </c>
      <c r="G66" s="8" t="str">
        <f t="shared" si="0"/>
        <v>SHOOK JOHN</v>
      </c>
    </row>
    <row r="67" spans="1:7" x14ac:dyDescent="0.25">
      <c r="A67" s="8">
        <v>42847.361111111109</v>
      </c>
      <c r="B67" s="20" t="s">
        <v>359</v>
      </c>
      <c r="C67" s="20" t="s">
        <v>594</v>
      </c>
      <c r="D67" s="146">
        <v>2550000</v>
      </c>
      <c r="E67" s="20" t="s">
        <v>491</v>
      </c>
      <c r="F67" s="20" t="s">
        <v>492</v>
      </c>
      <c r="G67" s="8" t="str">
        <f t="shared" ref="G67:G130" si="1">E67&amp;" "&amp;F67</f>
        <v>BADERTSCHER DIANE</v>
      </c>
    </row>
    <row r="68" spans="1:7" x14ac:dyDescent="0.25">
      <c r="A68" s="8">
        <v>42847.369675925926</v>
      </c>
      <c r="B68" s="20" t="s">
        <v>589</v>
      </c>
      <c r="C68" s="20" t="s">
        <v>676</v>
      </c>
      <c r="D68" s="146">
        <v>1990000</v>
      </c>
      <c r="E68" s="20" t="s">
        <v>631</v>
      </c>
      <c r="F68" s="20" t="s">
        <v>632</v>
      </c>
      <c r="G68" s="8" t="str">
        <f t="shared" si="1"/>
        <v>DAVIS WENDY</v>
      </c>
    </row>
    <row r="69" spans="1:7" x14ac:dyDescent="0.25">
      <c r="A69" s="8">
        <v>42847.369803240741</v>
      </c>
      <c r="B69" s="20" t="s">
        <v>433</v>
      </c>
      <c r="C69" s="20" t="s">
        <v>677</v>
      </c>
      <c r="D69" s="146">
        <v>1100000</v>
      </c>
      <c r="E69" s="20" t="s">
        <v>493</v>
      </c>
      <c r="F69" s="20" t="s">
        <v>494</v>
      </c>
      <c r="G69" s="8" t="str">
        <f t="shared" si="1"/>
        <v>GEBRETEKLE DAGNEW</v>
      </c>
    </row>
    <row r="70" spans="1:7" x14ac:dyDescent="0.25">
      <c r="A70" s="8">
        <v>42847.370972222219</v>
      </c>
      <c r="B70" s="20" t="s">
        <v>356</v>
      </c>
      <c r="C70" s="20" t="s">
        <v>678</v>
      </c>
      <c r="D70" s="146">
        <v>1360000</v>
      </c>
      <c r="E70" s="20" t="s">
        <v>636</v>
      </c>
      <c r="F70" s="20" t="s">
        <v>637</v>
      </c>
      <c r="G70" s="8" t="str">
        <f t="shared" si="1"/>
        <v>SANTIZO D. EDY</v>
      </c>
    </row>
    <row r="71" spans="1:7" x14ac:dyDescent="0.25">
      <c r="A71" s="8">
        <v>42847.375081018516</v>
      </c>
      <c r="B71" s="20" t="s">
        <v>377</v>
      </c>
      <c r="C71" s="20" t="s">
        <v>679</v>
      </c>
      <c r="D71" s="146">
        <v>2020000</v>
      </c>
      <c r="E71" s="20" t="s">
        <v>646</v>
      </c>
      <c r="F71" s="20" t="s">
        <v>527</v>
      </c>
      <c r="G71" s="8" t="str">
        <f t="shared" si="1"/>
        <v>SHOOK JOHN</v>
      </c>
    </row>
    <row r="72" spans="1:7" x14ac:dyDescent="0.25">
      <c r="A72" s="8">
        <v>42847.378101851849</v>
      </c>
      <c r="B72" s="20" t="s">
        <v>398</v>
      </c>
      <c r="C72" s="20" t="s">
        <v>680</v>
      </c>
      <c r="D72" s="146">
        <v>1290000</v>
      </c>
      <c r="E72" s="20" t="s">
        <v>526</v>
      </c>
      <c r="F72" s="20" t="s">
        <v>527</v>
      </c>
      <c r="G72" s="8" t="str">
        <f t="shared" si="1"/>
        <v>COOLAHAN JOHN</v>
      </c>
    </row>
    <row r="73" spans="1:7" x14ac:dyDescent="0.25">
      <c r="A73" s="8">
        <v>42847.381481481483</v>
      </c>
      <c r="B73" s="20" t="s">
        <v>395</v>
      </c>
      <c r="C73" s="20" t="s">
        <v>680</v>
      </c>
      <c r="D73" s="146">
        <v>1290000</v>
      </c>
      <c r="E73" s="20" t="s">
        <v>526</v>
      </c>
      <c r="F73" s="20" t="s">
        <v>527</v>
      </c>
      <c r="G73" s="8" t="str">
        <f t="shared" si="1"/>
        <v>COOLAHAN JOHN</v>
      </c>
    </row>
    <row r="74" spans="1:7" x14ac:dyDescent="0.25">
      <c r="A74" s="8">
        <v>42847.384895833333</v>
      </c>
      <c r="B74" s="20" t="s">
        <v>398</v>
      </c>
      <c r="C74" s="20" t="s">
        <v>681</v>
      </c>
      <c r="D74" s="146">
        <v>1290000</v>
      </c>
      <c r="E74" s="20" t="s">
        <v>526</v>
      </c>
      <c r="F74" s="20" t="s">
        <v>527</v>
      </c>
      <c r="G74" s="8" t="str">
        <f t="shared" si="1"/>
        <v>COOLAHAN JOHN</v>
      </c>
    </row>
    <row r="75" spans="1:7" x14ac:dyDescent="0.25">
      <c r="A75" s="8">
        <v>42847.388553240744</v>
      </c>
      <c r="B75" s="20" t="s">
        <v>591</v>
      </c>
      <c r="C75" s="20" t="s">
        <v>682</v>
      </c>
      <c r="D75" s="146">
        <v>1520000</v>
      </c>
      <c r="E75" s="20" t="s">
        <v>641</v>
      </c>
      <c r="F75" s="20" t="s">
        <v>642</v>
      </c>
      <c r="G75" s="8" t="str">
        <f t="shared" si="1"/>
        <v>MAYBERRY BILL</v>
      </c>
    </row>
    <row r="76" spans="1:7" x14ac:dyDescent="0.25">
      <c r="A76" s="8">
        <v>42847.393530092595</v>
      </c>
      <c r="B76" s="20" t="s">
        <v>488</v>
      </c>
      <c r="C76" s="20" t="s">
        <v>683</v>
      </c>
      <c r="D76" s="146">
        <v>2010000</v>
      </c>
      <c r="E76" s="20" t="s">
        <v>627</v>
      </c>
      <c r="F76" s="20" t="s">
        <v>628</v>
      </c>
      <c r="G76" s="8" t="str">
        <f t="shared" si="1"/>
        <v>MAELZER KURT</v>
      </c>
    </row>
    <row r="77" spans="1:7" x14ac:dyDescent="0.25">
      <c r="A77" s="8">
        <v>42847.400972222225</v>
      </c>
      <c r="B77" s="20" t="s">
        <v>378</v>
      </c>
      <c r="C77" s="20" t="s">
        <v>684</v>
      </c>
      <c r="D77" s="146">
        <v>2020000</v>
      </c>
      <c r="E77" s="20" t="s">
        <v>646</v>
      </c>
      <c r="F77" s="20" t="s">
        <v>527</v>
      </c>
      <c r="G77" s="8" t="str">
        <f t="shared" si="1"/>
        <v>SHOOK JOHN</v>
      </c>
    </row>
    <row r="78" spans="1:7" x14ac:dyDescent="0.25">
      <c r="A78" s="8">
        <v>42847.401712962965</v>
      </c>
      <c r="B78" s="20" t="s">
        <v>358</v>
      </c>
      <c r="C78" s="20" t="s">
        <v>685</v>
      </c>
      <c r="D78" s="146">
        <v>2550000</v>
      </c>
      <c r="E78" s="20" t="s">
        <v>491</v>
      </c>
      <c r="F78" s="20" t="s">
        <v>492</v>
      </c>
      <c r="G78" s="8" t="str">
        <f t="shared" si="1"/>
        <v>BADERTSCHER DIANE</v>
      </c>
    </row>
    <row r="79" spans="1:7" x14ac:dyDescent="0.25">
      <c r="A79" s="8">
        <v>42847.403194444443</v>
      </c>
      <c r="B79" s="20" t="s">
        <v>634</v>
      </c>
      <c r="C79" s="20" t="s">
        <v>686</v>
      </c>
      <c r="D79" s="146">
        <v>1990000</v>
      </c>
      <c r="E79" s="20" t="s">
        <v>631</v>
      </c>
      <c r="F79" s="20" t="s">
        <v>632</v>
      </c>
      <c r="G79" s="8" t="str">
        <f t="shared" si="1"/>
        <v>DAVIS WENDY</v>
      </c>
    </row>
    <row r="80" spans="1:7" x14ac:dyDescent="0.25">
      <c r="A80" s="8">
        <v>42847.408009259256</v>
      </c>
      <c r="B80" s="20" t="s">
        <v>434</v>
      </c>
      <c r="C80" s="20" t="s">
        <v>687</v>
      </c>
      <c r="D80" s="146">
        <v>1100000</v>
      </c>
      <c r="E80" s="20" t="s">
        <v>493</v>
      </c>
      <c r="F80" s="20" t="s">
        <v>494</v>
      </c>
      <c r="G80" s="8" t="str">
        <f t="shared" si="1"/>
        <v>GEBRETEKLE DAGNEW</v>
      </c>
    </row>
    <row r="81" spans="1:7" x14ac:dyDescent="0.25">
      <c r="A81" s="8">
        <v>42847.411203703705</v>
      </c>
      <c r="B81" s="20" t="s">
        <v>489</v>
      </c>
      <c r="C81" s="20" t="s">
        <v>688</v>
      </c>
      <c r="D81" s="146">
        <v>1360000</v>
      </c>
      <c r="E81" s="20" t="s">
        <v>636</v>
      </c>
      <c r="F81" s="20" t="s">
        <v>637</v>
      </c>
      <c r="G81" s="8" t="str">
        <f t="shared" si="1"/>
        <v>SANTIZO D. EDY</v>
      </c>
    </row>
    <row r="82" spans="1:7" x14ac:dyDescent="0.25">
      <c r="A82" s="8">
        <v>42847.417430555557</v>
      </c>
      <c r="B82" s="20" t="s">
        <v>395</v>
      </c>
      <c r="C82" s="20" t="s">
        <v>689</v>
      </c>
      <c r="D82" s="146">
        <v>1290000</v>
      </c>
      <c r="E82" s="20" t="s">
        <v>526</v>
      </c>
      <c r="F82" s="20" t="s">
        <v>527</v>
      </c>
      <c r="G82" s="8" t="str">
        <f t="shared" si="1"/>
        <v>COOLAHAN JOHN</v>
      </c>
    </row>
    <row r="83" spans="1:7" x14ac:dyDescent="0.25">
      <c r="A83" s="8">
        <v>42847.417662037034</v>
      </c>
      <c r="B83" s="20" t="s">
        <v>377</v>
      </c>
      <c r="C83" s="20" t="s">
        <v>690</v>
      </c>
      <c r="D83" s="146">
        <v>2020000</v>
      </c>
      <c r="E83" s="20" t="s">
        <v>646</v>
      </c>
      <c r="F83" s="20" t="s">
        <v>527</v>
      </c>
      <c r="G83" s="8" t="str">
        <f t="shared" si="1"/>
        <v>SHOOK JOHN</v>
      </c>
    </row>
    <row r="84" spans="1:7" x14ac:dyDescent="0.25">
      <c r="A84" s="8">
        <v>42847.4221875</v>
      </c>
      <c r="B84" s="20" t="s">
        <v>585</v>
      </c>
      <c r="C84" s="20" t="s">
        <v>691</v>
      </c>
      <c r="D84" s="146">
        <v>1780000</v>
      </c>
      <c r="E84" s="20" t="s">
        <v>692</v>
      </c>
      <c r="F84" s="20" t="s">
        <v>693</v>
      </c>
      <c r="G84" s="8" t="str">
        <f t="shared" si="1"/>
        <v>DE LA ROSA ALEX</v>
      </c>
    </row>
    <row r="85" spans="1:7" x14ac:dyDescent="0.25">
      <c r="A85" s="8">
        <v>42847.43041666667</v>
      </c>
      <c r="B85" s="20" t="s">
        <v>486</v>
      </c>
      <c r="C85" s="20" t="s">
        <v>694</v>
      </c>
      <c r="D85" s="146">
        <v>2010000</v>
      </c>
      <c r="E85" s="20" t="s">
        <v>627</v>
      </c>
      <c r="F85" s="20" t="s">
        <v>628</v>
      </c>
      <c r="G85" s="8" t="str">
        <f t="shared" si="1"/>
        <v>MAELZER KURT</v>
      </c>
    </row>
    <row r="86" spans="1:7" x14ac:dyDescent="0.25">
      <c r="A86" s="8">
        <v>42847.434791666667</v>
      </c>
      <c r="B86" s="20" t="s">
        <v>359</v>
      </c>
      <c r="C86" s="20" t="s">
        <v>695</v>
      </c>
      <c r="D86" s="146">
        <v>2470000</v>
      </c>
      <c r="E86" s="20" t="s">
        <v>696</v>
      </c>
      <c r="F86" s="20" t="s">
        <v>697</v>
      </c>
      <c r="G86" s="8" t="str">
        <f t="shared" si="1"/>
        <v>ROMERO CHAD</v>
      </c>
    </row>
    <row r="87" spans="1:7" x14ac:dyDescent="0.25">
      <c r="A87" s="8">
        <v>42847.441990740743</v>
      </c>
      <c r="B87" s="20" t="s">
        <v>589</v>
      </c>
      <c r="C87" s="20" t="s">
        <v>595</v>
      </c>
      <c r="D87" s="146">
        <v>1990000</v>
      </c>
      <c r="E87" s="20" t="s">
        <v>631</v>
      </c>
      <c r="F87" s="20" t="s">
        <v>632</v>
      </c>
      <c r="G87" s="8" t="str">
        <f t="shared" si="1"/>
        <v>DAVIS WENDY</v>
      </c>
    </row>
    <row r="88" spans="1:7" x14ac:dyDescent="0.25">
      <c r="A88" s="8">
        <v>42847.442766203705</v>
      </c>
      <c r="B88" s="20" t="s">
        <v>356</v>
      </c>
      <c r="C88" s="20" t="s">
        <v>596</v>
      </c>
      <c r="D88" s="146">
        <v>1360000</v>
      </c>
      <c r="E88" s="20" t="s">
        <v>636</v>
      </c>
      <c r="F88" s="20" t="s">
        <v>637</v>
      </c>
      <c r="G88" s="8" t="str">
        <f t="shared" si="1"/>
        <v>SANTIZO D. EDY</v>
      </c>
    </row>
    <row r="89" spans="1:7" x14ac:dyDescent="0.25">
      <c r="A89" s="8">
        <v>42847.442939814813</v>
      </c>
      <c r="B89" s="20" t="s">
        <v>433</v>
      </c>
      <c r="C89" s="20" t="s">
        <v>698</v>
      </c>
      <c r="D89" s="146">
        <v>1100000</v>
      </c>
      <c r="E89" s="20" t="s">
        <v>493</v>
      </c>
      <c r="F89" s="20" t="s">
        <v>494</v>
      </c>
      <c r="G89" s="8" t="str">
        <f t="shared" si="1"/>
        <v>GEBRETEKLE DAGNEW</v>
      </c>
    </row>
    <row r="90" spans="1:7" x14ac:dyDescent="0.25">
      <c r="A90" s="8">
        <v>42847.44327546296</v>
      </c>
      <c r="B90" s="20" t="s">
        <v>378</v>
      </c>
      <c r="C90" s="20" t="s">
        <v>699</v>
      </c>
      <c r="D90" s="146">
        <v>2020000</v>
      </c>
      <c r="E90" s="20" t="s">
        <v>646</v>
      </c>
      <c r="F90" s="20" t="s">
        <v>527</v>
      </c>
      <c r="G90" s="8" t="str">
        <f t="shared" si="1"/>
        <v>SHOOK JOHN</v>
      </c>
    </row>
    <row r="91" spans="1:7" x14ac:dyDescent="0.25">
      <c r="A91" s="8">
        <v>42847.454560185186</v>
      </c>
      <c r="B91" s="20" t="s">
        <v>398</v>
      </c>
      <c r="C91" s="20" t="s">
        <v>700</v>
      </c>
      <c r="D91" s="146">
        <v>880000</v>
      </c>
      <c r="E91" s="20" t="s">
        <v>701</v>
      </c>
      <c r="F91" s="20" t="s">
        <v>196</v>
      </c>
      <c r="G91" s="8" t="str">
        <f t="shared" si="1"/>
        <v>STEWART MICHAEL</v>
      </c>
    </row>
    <row r="92" spans="1:7" x14ac:dyDescent="0.25">
      <c r="A92" s="8">
        <v>42847.458391203705</v>
      </c>
      <c r="B92" s="20" t="s">
        <v>401</v>
      </c>
      <c r="C92" s="20" t="s">
        <v>702</v>
      </c>
      <c r="D92" s="146">
        <v>2480000</v>
      </c>
      <c r="E92" s="20" t="s">
        <v>528</v>
      </c>
      <c r="F92" s="20" t="s">
        <v>529</v>
      </c>
      <c r="G92" s="8" t="str">
        <f t="shared" si="1"/>
        <v>WHITED DUSTIN</v>
      </c>
    </row>
    <row r="93" spans="1:7" x14ac:dyDescent="0.25">
      <c r="A93" s="8">
        <v>42847.459560185183</v>
      </c>
      <c r="B93" s="20" t="s">
        <v>377</v>
      </c>
      <c r="C93" s="20" t="s">
        <v>703</v>
      </c>
      <c r="D93" s="146">
        <v>2020000</v>
      </c>
      <c r="E93" s="20" t="s">
        <v>646</v>
      </c>
      <c r="F93" s="20" t="s">
        <v>527</v>
      </c>
      <c r="G93" s="8" t="str">
        <f t="shared" si="1"/>
        <v>SHOOK JOHN</v>
      </c>
    </row>
    <row r="94" spans="1:7" x14ac:dyDescent="0.25">
      <c r="A94" s="8">
        <v>42847.463449074072</v>
      </c>
      <c r="B94" s="20" t="s">
        <v>591</v>
      </c>
      <c r="C94" s="20" t="s">
        <v>704</v>
      </c>
      <c r="D94" s="146">
        <v>1780000</v>
      </c>
      <c r="E94" s="20" t="s">
        <v>692</v>
      </c>
      <c r="F94" s="20" t="s">
        <v>693</v>
      </c>
      <c r="G94" s="8" t="str">
        <f t="shared" si="1"/>
        <v>DE LA ROSA ALEX</v>
      </c>
    </row>
    <row r="95" spans="1:7" x14ac:dyDescent="0.25">
      <c r="A95" s="8">
        <v>42847.463634259257</v>
      </c>
      <c r="B95" s="20" t="s">
        <v>488</v>
      </c>
      <c r="C95" s="20" t="s">
        <v>705</v>
      </c>
      <c r="D95" s="146">
        <v>2370000</v>
      </c>
      <c r="E95" s="20" t="s">
        <v>497</v>
      </c>
      <c r="F95" s="20" t="s">
        <v>498</v>
      </c>
      <c r="G95" s="8" t="str">
        <f t="shared" si="1"/>
        <v>DELGADO DIANAH</v>
      </c>
    </row>
    <row r="96" spans="1:7" x14ac:dyDescent="0.25">
      <c r="A96" s="8">
        <v>42847.464537037034</v>
      </c>
      <c r="B96" s="20" t="s">
        <v>358</v>
      </c>
      <c r="C96" s="20" t="s">
        <v>706</v>
      </c>
      <c r="D96" s="146">
        <v>2470000</v>
      </c>
      <c r="E96" s="20" t="s">
        <v>696</v>
      </c>
      <c r="F96" s="20" t="s">
        <v>697</v>
      </c>
      <c r="G96" s="8" t="str">
        <f t="shared" si="1"/>
        <v>ROMERO CHAD</v>
      </c>
    </row>
    <row r="97" spans="1:7" x14ac:dyDescent="0.25">
      <c r="A97" s="8">
        <v>42847.48238425926</v>
      </c>
      <c r="B97" s="20" t="s">
        <v>634</v>
      </c>
      <c r="C97" s="20" t="s">
        <v>707</v>
      </c>
      <c r="D97" s="146">
        <v>1770000</v>
      </c>
      <c r="E97" s="20" t="s">
        <v>501</v>
      </c>
      <c r="F97" s="20" t="s">
        <v>502</v>
      </c>
      <c r="G97" s="8" t="str">
        <f t="shared" si="1"/>
        <v>BRUDER RICHARD</v>
      </c>
    </row>
    <row r="98" spans="1:7" x14ac:dyDescent="0.25">
      <c r="A98" s="8">
        <v>42847.483194444445</v>
      </c>
      <c r="B98" s="20" t="s">
        <v>434</v>
      </c>
      <c r="C98" s="20" t="s">
        <v>708</v>
      </c>
      <c r="D98" s="146">
        <v>1100000</v>
      </c>
      <c r="E98" s="20" t="s">
        <v>493</v>
      </c>
      <c r="F98" s="20" t="s">
        <v>494</v>
      </c>
      <c r="G98" s="8" t="str">
        <f t="shared" si="1"/>
        <v>GEBRETEKLE DAGNEW</v>
      </c>
    </row>
    <row r="99" spans="1:7" x14ac:dyDescent="0.25">
      <c r="A99" s="8">
        <v>42847.484918981485</v>
      </c>
      <c r="B99" s="20" t="s">
        <v>419</v>
      </c>
      <c r="C99" s="20" t="s">
        <v>709</v>
      </c>
      <c r="D99" s="146">
        <v>1990000</v>
      </c>
      <c r="E99" s="20" t="s">
        <v>631</v>
      </c>
      <c r="F99" s="20" t="s">
        <v>632</v>
      </c>
      <c r="G99" s="8" t="str">
        <f t="shared" si="1"/>
        <v>DAVIS WENDY</v>
      </c>
    </row>
    <row r="100" spans="1:7" x14ac:dyDescent="0.25">
      <c r="A100" s="8">
        <v>42847.486400462964</v>
      </c>
      <c r="B100" s="20" t="s">
        <v>489</v>
      </c>
      <c r="C100" s="20" t="s">
        <v>710</v>
      </c>
      <c r="D100" s="146">
        <v>2480000</v>
      </c>
      <c r="E100" s="20" t="s">
        <v>528</v>
      </c>
      <c r="F100" s="20" t="s">
        <v>529</v>
      </c>
      <c r="G100" s="8" t="str">
        <f t="shared" si="1"/>
        <v>WHITED DUSTIN</v>
      </c>
    </row>
    <row r="101" spans="1:7" x14ac:dyDescent="0.25">
      <c r="A101" s="8">
        <v>42847.494687500002</v>
      </c>
      <c r="B101" s="20" t="s">
        <v>395</v>
      </c>
      <c r="C101" s="20" t="s">
        <v>711</v>
      </c>
      <c r="D101" s="146">
        <v>880000</v>
      </c>
      <c r="E101" s="20" t="s">
        <v>701</v>
      </c>
      <c r="F101" s="20" t="s">
        <v>196</v>
      </c>
      <c r="G101" s="8" t="str">
        <f t="shared" si="1"/>
        <v>STEWART MICHAEL</v>
      </c>
    </row>
    <row r="102" spans="1:7" x14ac:dyDescent="0.25">
      <c r="A102" s="8">
        <v>42847.496932870374</v>
      </c>
      <c r="B102" s="20" t="s">
        <v>486</v>
      </c>
      <c r="C102" s="20" t="s">
        <v>712</v>
      </c>
      <c r="D102" s="146">
        <v>2370000</v>
      </c>
      <c r="E102" s="20" t="s">
        <v>497</v>
      </c>
      <c r="F102" s="20" t="s">
        <v>498</v>
      </c>
      <c r="G102" s="8" t="str">
        <f t="shared" si="1"/>
        <v>DELGADO DIANAH</v>
      </c>
    </row>
    <row r="103" spans="1:7" x14ac:dyDescent="0.25">
      <c r="A103" s="8">
        <v>42847.497361111113</v>
      </c>
      <c r="B103" s="20" t="s">
        <v>585</v>
      </c>
      <c r="C103" s="20" t="s">
        <v>713</v>
      </c>
      <c r="D103" s="146">
        <v>1300000</v>
      </c>
      <c r="E103" s="20" t="s">
        <v>714</v>
      </c>
      <c r="F103" s="20" t="s">
        <v>715</v>
      </c>
      <c r="G103" s="8" t="str">
        <f t="shared" si="1"/>
        <v>LEVIN SCOTT</v>
      </c>
    </row>
    <row r="104" spans="1:7" x14ac:dyDescent="0.25">
      <c r="A104" s="8">
        <v>42847.507789351854</v>
      </c>
      <c r="B104" s="20" t="s">
        <v>359</v>
      </c>
      <c r="C104" s="20" t="s">
        <v>716</v>
      </c>
      <c r="D104" s="146">
        <v>2470000</v>
      </c>
      <c r="E104" s="20" t="s">
        <v>696</v>
      </c>
      <c r="F104" s="20" t="s">
        <v>697</v>
      </c>
      <c r="G104" s="8" t="str">
        <f t="shared" si="1"/>
        <v>ROMERO CHAD</v>
      </c>
    </row>
    <row r="105" spans="1:7" x14ac:dyDescent="0.25">
      <c r="A105" s="8">
        <v>42847.513055555559</v>
      </c>
      <c r="B105" s="20" t="s">
        <v>377</v>
      </c>
      <c r="C105" s="20" t="s">
        <v>717</v>
      </c>
      <c r="D105" s="146">
        <v>2020000</v>
      </c>
      <c r="E105" s="20" t="s">
        <v>646</v>
      </c>
      <c r="F105" s="20" t="s">
        <v>527</v>
      </c>
      <c r="G105" s="8" t="str">
        <f t="shared" si="1"/>
        <v>SHOOK JOHN</v>
      </c>
    </row>
    <row r="106" spans="1:7" x14ac:dyDescent="0.25">
      <c r="A106" s="8">
        <v>42847.515902777777</v>
      </c>
      <c r="B106" s="20" t="s">
        <v>589</v>
      </c>
      <c r="C106" s="20" t="s">
        <v>718</v>
      </c>
      <c r="D106" s="146">
        <v>1770000</v>
      </c>
      <c r="E106" s="20" t="s">
        <v>501</v>
      </c>
      <c r="F106" s="20" t="s">
        <v>502</v>
      </c>
      <c r="G106" s="8" t="str">
        <f t="shared" si="1"/>
        <v>BRUDER RICHARD</v>
      </c>
    </row>
    <row r="107" spans="1:7" x14ac:dyDescent="0.25">
      <c r="A107" s="8">
        <v>42847.519490740742</v>
      </c>
      <c r="B107" s="20" t="s">
        <v>433</v>
      </c>
      <c r="C107" s="20" t="s">
        <v>719</v>
      </c>
      <c r="D107" s="146">
        <v>2530000</v>
      </c>
      <c r="E107" s="20" t="s">
        <v>720</v>
      </c>
      <c r="F107" s="20" t="s">
        <v>721</v>
      </c>
      <c r="G107" s="8" t="str">
        <f t="shared" si="1"/>
        <v>LALONDE GREGORY</v>
      </c>
    </row>
    <row r="108" spans="1:7" x14ac:dyDescent="0.25">
      <c r="A108" s="8">
        <v>42847.524675925924</v>
      </c>
      <c r="B108" s="20" t="s">
        <v>356</v>
      </c>
      <c r="C108" s="20" t="s">
        <v>722</v>
      </c>
      <c r="D108" s="146">
        <v>2480000</v>
      </c>
      <c r="E108" s="20" t="s">
        <v>528</v>
      </c>
      <c r="F108" s="20" t="s">
        <v>529</v>
      </c>
      <c r="G108" s="8" t="str">
        <f t="shared" si="1"/>
        <v>WHITED DUSTIN</v>
      </c>
    </row>
    <row r="109" spans="1:7" x14ac:dyDescent="0.25">
      <c r="A109" s="8">
        <v>42847.52684027778</v>
      </c>
      <c r="B109" s="20" t="s">
        <v>378</v>
      </c>
      <c r="C109" s="20" t="s">
        <v>723</v>
      </c>
      <c r="D109" s="146">
        <v>2020000</v>
      </c>
      <c r="E109" s="20" t="s">
        <v>646</v>
      </c>
      <c r="F109" s="20" t="s">
        <v>527</v>
      </c>
      <c r="G109" s="8" t="str">
        <f t="shared" si="1"/>
        <v>SHOOK JOHN</v>
      </c>
    </row>
    <row r="110" spans="1:7" x14ac:dyDescent="0.25">
      <c r="A110" s="8">
        <v>42847.529768518521</v>
      </c>
      <c r="B110" s="20" t="s">
        <v>378</v>
      </c>
      <c r="C110" s="20" t="s">
        <v>723</v>
      </c>
      <c r="D110" s="146">
        <v>2020000</v>
      </c>
      <c r="E110" s="20" t="s">
        <v>646</v>
      </c>
      <c r="F110" s="20" t="s">
        <v>527</v>
      </c>
      <c r="G110" s="8" t="str">
        <f t="shared" si="1"/>
        <v>SHOOK JOHN</v>
      </c>
    </row>
    <row r="111" spans="1:7" x14ac:dyDescent="0.25">
      <c r="A111" s="8">
        <v>42847.530787037038</v>
      </c>
      <c r="B111" s="20" t="s">
        <v>398</v>
      </c>
      <c r="C111" s="20" t="s">
        <v>724</v>
      </c>
      <c r="D111" s="146">
        <v>880000</v>
      </c>
      <c r="E111" s="20" t="s">
        <v>701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42847.53701388889</v>
      </c>
      <c r="B112" s="20" t="s">
        <v>591</v>
      </c>
      <c r="C112" s="20" t="s">
        <v>597</v>
      </c>
      <c r="D112" s="146">
        <v>1300000</v>
      </c>
      <c r="E112" s="20" t="s">
        <v>714</v>
      </c>
      <c r="F112" s="20" t="s">
        <v>715</v>
      </c>
      <c r="G112" s="8" t="str">
        <f t="shared" si="1"/>
        <v>LEVIN SCOTT</v>
      </c>
    </row>
    <row r="113" spans="1:7" x14ac:dyDescent="0.25">
      <c r="A113" s="8">
        <v>42847.537488425929</v>
      </c>
      <c r="B113" s="20" t="s">
        <v>358</v>
      </c>
      <c r="C113" s="20" t="s">
        <v>725</v>
      </c>
      <c r="D113" s="146">
        <v>2470000</v>
      </c>
      <c r="E113" s="20" t="s">
        <v>696</v>
      </c>
      <c r="F113" s="20" t="s">
        <v>697</v>
      </c>
      <c r="G113" s="8" t="str">
        <f t="shared" si="1"/>
        <v>ROMERO CHAD</v>
      </c>
    </row>
    <row r="114" spans="1:7" x14ac:dyDescent="0.25">
      <c r="A114" s="8">
        <v>42847.538541666669</v>
      </c>
      <c r="B114" s="20" t="s">
        <v>488</v>
      </c>
      <c r="C114" s="20" t="s">
        <v>726</v>
      </c>
      <c r="D114" s="146">
        <v>2370000</v>
      </c>
      <c r="E114" s="20" t="s">
        <v>497</v>
      </c>
      <c r="F114" s="20" t="s">
        <v>498</v>
      </c>
      <c r="G114" s="8" t="str">
        <f t="shared" si="1"/>
        <v>DELGADO DIANAH</v>
      </c>
    </row>
    <row r="115" spans="1:7" x14ac:dyDescent="0.25">
      <c r="A115" s="8">
        <v>42847.54724537037</v>
      </c>
      <c r="B115" s="20" t="s">
        <v>434</v>
      </c>
      <c r="C115" s="20" t="s">
        <v>727</v>
      </c>
      <c r="D115" s="146">
        <v>2530000</v>
      </c>
      <c r="E115" s="20" t="s">
        <v>720</v>
      </c>
      <c r="F115" s="20" t="s">
        <v>721</v>
      </c>
      <c r="G115" s="8" t="str">
        <f t="shared" si="1"/>
        <v>LALONDE GREGORY</v>
      </c>
    </row>
    <row r="116" spans="1:7" x14ac:dyDescent="0.25">
      <c r="A116" s="8">
        <v>42847.548900462964</v>
      </c>
      <c r="B116" s="20" t="s">
        <v>634</v>
      </c>
      <c r="C116" s="20" t="s">
        <v>728</v>
      </c>
      <c r="D116" s="146">
        <v>1770000</v>
      </c>
      <c r="E116" s="20" t="s">
        <v>501</v>
      </c>
      <c r="F116" s="20" t="s">
        <v>502</v>
      </c>
      <c r="G116" s="8" t="str">
        <f t="shared" si="1"/>
        <v>BRUDER RICHARD</v>
      </c>
    </row>
    <row r="117" spans="1:7" x14ac:dyDescent="0.25">
      <c r="A117" s="8">
        <v>42847.552731481483</v>
      </c>
      <c r="B117" s="20" t="s">
        <v>377</v>
      </c>
      <c r="C117" s="20" t="s">
        <v>729</v>
      </c>
      <c r="D117" s="146">
        <v>2020000</v>
      </c>
      <c r="E117" s="20" t="s">
        <v>646</v>
      </c>
      <c r="F117" s="20" t="s">
        <v>527</v>
      </c>
      <c r="G117" s="8" t="str">
        <f t="shared" si="1"/>
        <v>SHOOK JOHN</v>
      </c>
    </row>
    <row r="118" spans="1:7" x14ac:dyDescent="0.25">
      <c r="A118" s="8">
        <v>42847.557685185187</v>
      </c>
      <c r="B118" s="20" t="s">
        <v>489</v>
      </c>
      <c r="C118" s="20" t="s">
        <v>730</v>
      </c>
      <c r="D118" s="146">
        <v>2480000</v>
      </c>
      <c r="E118" s="20" t="s">
        <v>528</v>
      </c>
      <c r="F118" s="20" t="s">
        <v>529</v>
      </c>
      <c r="G118" s="8" t="str">
        <f t="shared" si="1"/>
        <v>WHITED DUSTIN</v>
      </c>
    </row>
    <row r="119" spans="1:7" x14ac:dyDescent="0.25">
      <c r="A119" s="8">
        <v>42847.56145833333</v>
      </c>
      <c r="B119" s="20" t="s">
        <v>534</v>
      </c>
      <c r="C119" s="20" t="s">
        <v>598</v>
      </c>
      <c r="D119" s="146">
        <v>2450000</v>
      </c>
      <c r="E119" s="20" t="s">
        <v>731</v>
      </c>
      <c r="F119" s="20" t="s">
        <v>732</v>
      </c>
      <c r="G119" s="8" t="str">
        <f t="shared" si="1"/>
        <v>NELSON ARIANE</v>
      </c>
    </row>
    <row r="120" spans="1:7" x14ac:dyDescent="0.25">
      <c r="A120" s="8">
        <v>42847.567430555559</v>
      </c>
      <c r="B120" s="20" t="s">
        <v>395</v>
      </c>
      <c r="C120" s="20" t="s">
        <v>599</v>
      </c>
      <c r="D120" s="146">
        <v>880000</v>
      </c>
      <c r="E120" s="20" t="s">
        <v>701</v>
      </c>
      <c r="F120" s="20" t="s">
        <v>196</v>
      </c>
      <c r="G120" s="8" t="str">
        <f t="shared" si="1"/>
        <v>STEWART MICHAEL</v>
      </c>
    </row>
    <row r="121" spans="1:7" x14ac:dyDescent="0.25">
      <c r="A121" s="8">
        <v>42847.56863425926</v>
      </c>
      <c r="B121" s="20" t="s">
        <v>378</v>
      </c>
      <c r="C121" s="20" t="s">
        <v>733</v>
      </c>
      <c r="D121" s="146">
        <v>2020000</v>
      </c>
      <c r="E121" s="20" t="s">
        <v>646</v>
      </c>
      <c r="F121" s="20" t="s">
        <v>527</v>
      </c>
      <c r="G121" s="8" t="str">
        <f t="shared" si="1"/>
        <v>SHOOK JOHN</v>
      </c>
    </row>
    <row r="122" spans="1:7" x14ac:dyDescent="0.25">
      <c r="A122" s="8">
        <v>42847.571736111109</v>
      </c>
      <c r="B122" s="25" t="s">
        <v>585</v>
      </c>
      <c r="C122" s="20" t="s">
        <v>734</v>
      </c>
      <c r="D122" s="146">
        <v>1300000</v>
      </c>
      <c r="E122" s="20" t="s">
        <v>714</v>
      </c>
      <c r="F122" s="20" t="s">
        <v>715</v>
      </c>
      <c r="G122" s="8" t="str">
        <f t="shared" si="1"/>
        <v>LEVIN SCOTT</v>
      </c>
    </row>
    <row r="123" spans="1:7" x14ac:dyDescent="0.25">
      <c r="A123" s="8">
        <v>42847.575624999998</v>
      </c>
      <c r="B123" s="20" t="s">
        <v>486</v>
      </c>
      <c r="C123" s="20" t="s">
        <v>735</v>
      </c>
      <c r="D123" s="146">
        <v>2370000</v>
      </c>
      <c r="E123" s="20" t="s">
        <v>497</v>
      </c>
      <c r="F123" s="20" t="s">
        <v>498</v>
      </c>
      <c r="G123" s="8" t="str">
        <f t="shared" si="1"/>
        <v>DELGADO DIANAH</v>
      </c>
    </row>
    <row r="124" spans="1:7" x14ac:dyDescent="0.25">
      <c r="A124" s="8">
        <v>42847.577002314814</v>
      </c>
      <c r="B124" s="20" t="s">
        <v>359</v>
      </c>
      <c r="C124" s="20" t="s">
        <v>736</v>
      </c>
      <c r="D124" s="146">
        <v>2470000</v>
      </c>
      <c r="E124" s="20" t="s">
        <v>696</v>
      </c>
      <c r="F124" s="20" t="s">
        <v>697</v>
      </c>
      <c r="G124" s="8" t="str">
        <f t="shared" si="1"/>
        <v>ROMERO CHAD</v>
      </c>
    </row>
    <row r="125" spans="1:7" x14ac:dyDescent="0.25">
      <c r="A125" s="8">
        <v>42847.577233796299</v>
      </c>
      <c r="B125" s="20" t="s">
        <v>534</v>
      </c>
      <c r="C125" s="20" t="s">
        <v>598</v>
      </c>
      <c r="D125" s="146">
        <v>2450000</v>
      </c>
      <c r="E125" s="20" t="s">
        <v>731</v>
      </c>
      <c r="F125" s="20" t="s">
        <v>732</v>
      </c>
      <c r="G125" s="8" t="str">
        <f t="shared" si="1"/>
        <v>NELSON ARIANE</v>
      </c>
    </row>
    <row r="126" spans="1:7" x14ac:dyDescent="0.25">
      <c r="A126" s="8">
        <v>42847.585046296299</v>
      </c>
      <c r="B126" s="20" t="s">
        <v>589</v>
      </c>
      <c r="C126" s="20" t="s">
        <v>737</v>
      </c>
      <c r="D126" s="146">
        <v>1770000</v>
      </c>
      <c r="E126" s="20" t="s">
        <v>501</v>
      </c>
      <c r="F126" s="20" t="s">
        <v>502</v>
      </c>
      <c r="G126" s="8" t="str">
        <f t="shared" si="1"/>
        <v>BRUDER RICHARD</v>
      </c>
    </row>
    <row r="127" spans="1:7" x14ac:dyDescent="0.25">
      <c r="A127" s="8">
        <v>42847.588078703702</v>
      </c>
      <c r="B127" s="20" t="s">
        <v>433</v>
      </c>
      <c r="C127" s="20" t="s">
        <v>738</v>
      </c>
      <c r="D127" s="146">
        <v>2530000</v>
      </c>
      <c r="E127" s="20" t="s">
        <v>720</v>
      </c>
      <c r="F127" s="20" t="s">
        <v>721</v>
      </c>
      <c r="G127" s="8" t="str">
        <f t="shared" si="1"/>
        <v>LALONDE GREGORY</v>
      </c>
    </row>
    <row r="128" spans="1:7" x14ac:dyDescent="0.25">
      <c r="A128" s="8">
        <v>42847.592152777775</v>
      </c>
      <c r="B128" s="20" t="s">
        <v>377</v>
      </c>
      <c r="C128" s="20" t="s">
        <v>739</v>
      </c>
      <c r="D128" s="146">
        <v>1540000</v>
      </c>
      <c r="E128" s="20" t="s">
        <v>495</v>
      </c>
      <c r="F128" s="20" t="s">
        <v>496</v>
      </c>
      <c r="G128" s="8" t="str">
        <f t="shared" si="1"/>
        <v>HELVIE ADAM</v>
      </c>
    </row>
    <row r="129" spans="1:7" x14ac:dyDescent="0.25">
      <c r="A129" s="8">
        <v>42847.593993055554</v>
      </c>
      <c r="B129" s="20" t="s">
        <v>356</v>
      </c>
      <c r="C129" s="20" t="s">
        <v>740</v>
      </c>
      <c r="D129" s="146">
        <v>2480000</v>
      </c>
      <c r="E129" s="20" t="s">
        <v>528</v>
      </c>
      <c r="F129" s="20" t="s">
        <v>529</v>
      </c>
      <c r="G129" s="8" t="str">
        <f t="shared" si="1"/>
        <v>WHITED DUSTIN</v>
      </c>
    </row>
    <row r="130" spans="1:7" x14ac:dyDescent="0.25">
      <c r="A130" s="8">
        <v>42847.600613425922</v>
      </c>
      <c r="B130" s="20" t="s">
        <v>398</v>
      </c>
      <c r="C130" s="20" t="s">
        <v>741</v>
      </c>
      <c r="D130" s="146">
        <v>880000</v>
      </c>
      <c r="E130" s="20" t="s">
        <v>701</v>
      </c>
      <c r="F130" s="20" t="s">
        <v>196</v>
      </c>
      <c r="G130" s="8" t="str">
        <f t="shared" si="1"/>
        <v>STEWART MICHAEL</v>
      </c>
    </row>
    <row r="131" spans="1:7" x14ac:dyDescent="0.25">
      <c r="A131" s="8">
        <v>42847.607615740744</v>
      </c>
      <c r="B131" s="20" t="s">
        <v>591</v>
      </c>
      <c r="C131" s="20" t="s">
        <v>742</v>
      </c>
      <c r="D131" s="146">
        <v>1300000</v>
      </c>
      <c r="E131" s="20" t="s">
        <v>714</v>
      </c>
      <c r="F131" s="20" t="s">
        <v>715</v>
      </c>
      <c r="G131" s="8" t="str">
        <f t="shared" ref="G131:G194" si="2">E131&amp;" "&amp;F131</f>
        <v>LEVIN SCOTT</v>
      </c>
    </row>
    <row r="132" spans="1:7" x14ac:dyDescent="0.25">
      <c r="A132" s="8">
        <v>42847.609085648146</v>
      </c>
      <c r="B132" s="20" t="s">
        <v>378</v>
      </c>
      <c r="C132" s="20" t="s">
        <v>743</v>
      </c>
      <c r="D132" s="146">
        <v>1540000</v>
      </c>
      <c r="E132" s="20" t="s">
        <v>495</v>
      </c>
      <c r="F132" s="20" t="s">
        <v>496</v>
      </c>
      <c r="G132" s="8" t="str">
        <f t="shared" si="2"/>
        <v>HELVIE ADAM</v>
      </c>
    </row>
    <row r="133" spans="1:7" x14ac:dyDescent="0.25">
      <c r="A133" s="8">
        <v>42847.609780092593</v>
      </c>
      <c r="B133" s="20" t="s">
        <v>358</v>
      </c>
      <c r="C133" s="20" t="s">
        <v>744</v>
      </c>
      <c r="D133" s="146">
        <v>2470000</v>
      </c>
      <c r="E133" s="20" t="s">
        <v>696</v>
      </c>
      <c r="F133" s="20" t="s">
        <v>697</v>
      </c>
      <c r="G133" s="8" t="str">
        <f t="shared" si="2"/>
        <v>ROMERO CHAD</v>
      </c>
    </row>
    <row r="134" spans="1:7" x14ac:dyDescent="0.25">
      <c r="A134" s="8">
        <v>42847.610462962963</v>
      </c>
      <c r="B134" s="20" t="s">
        <v>488</v>
      </c>
      <c r="C134" s="20" t="s">
        <v>745</v>
      </c>
      <c r="D134" s="146">
        <v>2370000</v>
      </c>
      <c r="E134" s="20" t="s">
        <v>497</v>
      </c>
      <c r="F134" s="20" t="s">
        <v>498</v>
      </c>
      <c r="G134" s="8" t="str">
        <f t="shared" si="2"/>
        <v>DELGADO DIANAH</v>
      </c>
    </row>
    <row r="135" spans="1:7" x14ac:dyDescent="0.25">
      <c r="A135" s="8">
        <v>42847.620289351849</v>
      </c>
      <c r="B135" s="20" t="s">
        <v>434</v>
      </c>
      <c r="C135" s="20" t="s">
        <v>600</v>
      </c>
      <c r="D135" s="146">
        <v>2530000</v>
      </c>
      <c r="E135" s="20" t="s">
        <v>720</v>
      </c>
      <c r="F135" s="20" t="s">
        <v>721</v>
      </c>
      <c r="G135" s="8" t="str">
        <f t="shared" si="2"/>
        <v>LALONDE GREGORY</v>
      </c>
    </row>
    <row r="136" spans="1:7" x14ac:dyDescent="0.25">
      <c r="A136" s="8">
        <v>42847.621388888889</v>
      </c>
      <c r="B136" s="20" t="s">
        <v>634</v>
      </c>
      <c r="C136" s="20" t="s">
        <v>746</v>
      </c>
      <c r="D136" s="146">
        <v>1770000</v>
      </c>
      <c r="E136" s="20" t="s">
        <v>501</v>
      </c>
      <c r="F136" s="20" t="s">
        <v>502</v>
      </c>
      <c r="G136" s="8" t="str">
        <f t="shared" si="2"/>
        <v>BRUDER RICHARD</v>
      </c>
    </row>
    <row r="137" spans="1:7" x14ac:dyDescent="0.25">
      <c r="A137" s="8">
        <v>42847.632789351854</v>
      </c>
      <c r="B137" s="20" t="s">
        <v>489</v>
      </c>
      <c r="C137" s="20" t="s">
        <v>747</v>
      </c>
      <c r="D137" s="146">
        <v>2480000</v>
      </c>
      <c r="E137" s="20" t="s">
        <v>528</v>
      </c>
      <c r="F137" s="20" t="s">
        <v>529</v>
      </c>
      <c r="G137" s="8" t="str">
        <f t="shared" si="2"/>
        <v>WHITED DUSTIN</v>
      </c>
    </row>
    <row r="138" spans="1:7" x14ac:dyDescent="0.25">
      <c r="A138" s="8">
        <v>42847.637708333335</v>
      </c>
      <c r="B138" s="20" t="s">
        <v>377</v>
      </c>
      <c r="C138" s="20" t="s">
        <v>748</v>
      </c>
      <c r="D138" s="146">
        <v>1540000</v>
      </c>
      <c r="E138" s="20" t="s">
        <v>495</v>
      </c>
      <c r="F138" s="20" t="s">
        <v>496</v>
      </c>
      <c r="G138" s="8" t="str">
        <f t="shared" si="2"/>
        <v>HELVIE ADAM</v>
      </c>
    </row>
    <row r="139" spans="1:7" x14ac:dyDescent="0.25">
      <c r="A139" s="8">
        <v>42847.64167824074</v>
      </c>
      <c r="B139" s="20" t="s">
        <v>395</v>
      </c>
      <c r="C139" s="20" t="s">
        <v>749</v>
      </c>
      <c r="D139" s="146">
        <v>880000</v>
      </c>
      <c r="E139" s="20" t="s">
        <v>701</v>
      </c>
      <c r="F139" s="20" t="s">
        <v>196</v>
      </c>
      <c r="G139" s="8" t="str">
        <f t="shared" si="2"/>
        <v>STEWART MICHAEL</v>
      </c>
    </row>
    <row r="140" spans="1:7" x14ac:dyDescent="0.25">
      <c r="A140" s="8">
        <v>42847.643043981479</v>
      </c>
      <c r="B140" s="20" t="s">
        <v>585</v>
      </c>
      <c r="C140" s="20" t="s">
        <v>750</v>
      </c>
      <c r="D140" s="146">
        <v>1300000</v>
      </c>
      <c r="E140" s="20" t="s">
        <v>714</v>
      </c>
      <c r="F140" s="20" t="s">
        <v>715</v>
      </c>
      <c r="G140" s="8" t="str">
        <f t="shared" si="2"/>
        <v>LEVIN SCOTT</v>
      </c>
    </row>
    <row r="141" spans="1:7" x14ac:dyDescent="0.25">
      <c r="A141" s="8">
        <v>42847.649143518516</v>
      </c>
      <c r="B141" s="20" t="s">
        <v>486</v>
      </c>
      <c r="C141" s="20" t="s">
        <v>751</v>
      </c>
      <c r="D141" s="146">
        <v>2370000</v>
      </c>
      <c r="E141" s="20" t="s">
        <v>497</v>
      </c>
      <c r="F141" s="20" t="s">
        <v>498</v>
      </c>
      <c r="G141" s="8" t="str">
        <f t="shared" si="2"/>
        <v>DELGADO DIANAH</v>
      </c>
    </row>
    <row r="142" spans="1:7" x14ac:dyDescent="0.25">
      <c r="A142" s="8">
        <v>42847.650671296295</v>
      </c>
      <c r="B142" s="20" t="s">
        <v>378</v>
      </c>
      <c r="C142" s="20" t="s">
        <v>752</v>
      </c>
      <c r="D142" s="146">
        <v>1540000</v>
      </c>
      <c r="E142" s="20" t="s">
        <v>495</v>
      </c>
      <c r="F142" s="20" t="s">
        <v>496</v>
      </c>
      <c r="G142" s="8" t="str">
        <f t="shared" si="2"/>
        <v>HELVIE ADAM</v>
      </c>
    </row>
    <row r="143" spans="1:7" x14ac:dyDescent="0.25">
      <c r="A143" s="8">
        <v>42847.651631944442</v>
      </c>
      <c r="B143" s="20" t="s">
        <v>359</v>
      </c>
      <c r="C143" s="20" t="s">
        <v>753</v>
      </c>
      <c r="D143" s="146">
        <v>2470000</v>
      </c>
      <c r="E143" s="20" t="s">
        <v>696</v>
      </c>
      <c r="F143" s="20" t="s">
        <v>697</v>
      </c>
      <c r="G143" s="8" t="str">
        <f t="shared" si="2"/>
        <v>ROMERO CHAD</v>
      </c>
    </row>
    <row r="144" spans="1:7" x14ac:dyDescent="0.25">
      <c r="A144" s="8">
        <v>42847.658738425926</v>
      </c>
      <c r="B144" s="20" t="s">
        <v>589</v>
      </c>
      <c r="C144" s="20" t="s">
        <v>754</v>
      </c>
      <c r="D144" s="146">
        <v>1770000</v>
      </c>
      <c r="E144" s="20" t="s">
        <v>501</v>
      </c>
      <c r="F144" s="20" t="s">
        <v>502</v>
      </c>
      <c r="G144" s="8" t="str">
        <f t="shared" si="2"/>
        <v>BRUDER RICHARD</v>
      </c>
    </row>
    <row r="145" spans="1:7" x14ac:dyDescent="0.25">
      <c r="A145" s="8">
        <v>42847.662569444445</v>
      </c>
      <c r="B145" s="20" t="s">
        <v>433</v>
      </c>
      <c r="C145" s="20" t="s">
        <v>755</v>
      </c>
      <c r="D145" s="146">
        <v>2530000</v>
      </c>
      <c r="E145" s="20" t="s">
        <v>720</v>
      </c>
      <c r="F145" s="20" t="s">
        <v>721</v>
      </c>
      <c r="G145" s="8" t="str">
        <f t="shared" si="2"/>
        <v>LALONDE GREGORY</v>
      </c>
    </row>
    <row r="146" spans="1:7" x14ac:dyDescent="0.25">
      <c r="A146" s="8">
        <v>42847.668414351851</v>
      </c>
      <c r="B146" s="20" t="s">
        <v>356</v>
      </c>
      <c r="C146" s="20" t="s">
        <v>756</v>
      </c>
      <c r="D146" s="146">
        <v>2480000</v>
      </c>
      <c r="E146" s="20" t="s">
        <v>528</v>
      </c>
      <c r="F146" s="20" t="s">
        <v>529</v>
      </c>
      <c r="G146" s="8" t="str">
        <f t="shared" si="2"/>
        <v>WHITED DUSTIN</v>
      </c>
    </row>
    <row r="147" spans="1:7" x14ac:dyDescent="0.25">
      <c r="A147" s="8">
        <v>42847.673472222225</v>
      </c>
      <c r="B147" s="20" t="s">
        <v>398</v>
      </c>
      <c r="C147" s="20" t="s">
        <v>757</v>
      </c>
      <c r="D147" s="146">
        <v>880000</v>
      </c>
      <c r="E147" s="20" t="s">
        <v>701</v>
      </c>
      <c r="F147" s="20" t="s">
        <v>196</v>
      </c>
      <c r="G147" s="8" t="str">
        <f t="shared" si="2"/>
        <v>STEWART MICHAEL</v>
      </c>
    </row>
    <row r="148" spans="1:7" x14ac:dyDescent="0.25">
      <c r="A148" s="8">
        <v>42847.68005787037</v>
      </c>
      <c r="B148" s="20" t="s">
        <v>377</v>
      </c>
      <c r="C148" s="20" t="s">
        <v>758</v>
      </c>
      <c r="D148" s="146">
        <v>1540000</v>
      </c>
      <c r="E148" s="20" t="s">
        <v>495</v>
      </c>
      <c r="F148" s="20" t="s">
        <v>496</v>
      </c>
      <c r="G148" s="8" t="str">
        <f t="shared" si="2"/>
        <v>HELVIE ADAM</v>
      </c>
    </row>
    <row r="149" spans="1:7" x14ac:dyDescent="0.25">
      <c r="A149" s="8">
        <v>42847.681886574072</v>
      </c>
      <c r="B149" s="20" t="s">
        <v>591</v>
      </c>
      <c r="C149" s="20" t="s">
        <v>601</v>
      </c>
      <c r="D149" s="146">
        <v>1300000</v>
      </c>
      <c r="E149" s="20" t="s">
        <v>714</v>
      </c>
      <c r="F149" s="20" t="s">
        <v>715</v>
      </c>
      <c r="G149" s="8" t="str">
        <f t="shared" si="2"/>
        <v>LEVIN SCOTT</v>
      </c>
    </row>
    <row r="150" spans="1:7" x14ac:dyDescent="0.25">
      <c r="A150" s="8">
        <v>42847.683009259257</v>
      </c>
      <c r="B150" s="20" t="s">
        <v>358</v>
      </c>
      <c r="C150" s="20" t="s">
        <v>759</v>
      </c>
      <c r="D150" s="146">
        <v>2470000</v>
      </c>
      <c r="E150" s="20" t="s">
        <v>696</v>
      </c>
      <c r="F150" s="20" t="s">
        <v>697</v>
      </c>
      <c r="G150" s="8" t="str">
        <f t="shared" si="2"/>
        <v>ROMERO CHAD</v>
      </c>
    </row>
    <row r="151" spans="1:7" x14ac:dyDescent="0.25">
      <c r="A151" s="8">
        <v>42847.684363425928</v>
      </c>
      <c r="B151" s="20" t="s">
        <v>488</v>
      </c>
      <c r="C151" s="20" t="s">
        <v>760</v>
      </c>
      <c r="D151" s="146">
        <v>2370000</v>
      </c>
      <c r="E151" s="20" t="s">
        <v>497</v>
      </c>
      <c r="F151" s="20" t="s">
        <v>498</v>
      </c>
      <c r="G151" s="8" t="str">
        <f t="shared" si="2"/>
        <v>DELGADO DIANAH</v>
      </c>
    </row>
    <row r="152" spans="1:7" x14ac:dyDescent="0.25">
      <c r="A152" s="8">
        <v>42847.692465277774</v>
      </c>
      <c r="B152" s="20" t="s">
        <v>434</v>
      </c>
      <c r="C152" s="20" t="s">
        <v>761</v>
      </c>
      <c r="D152" s="146">
        <v>2530000</v>
      </c>
      <c r="E152" s="20" t="s">
        <v>720</v>
      </c>
      <c r="F152" s="20" t="s">
        <v>721</v>
      </c>
      <c r="G152" s="8" t="str">
        <f t="shared" si="2"/>
        <v>LALONDE GREGORY</v>
      </c>
    </row>
    <row r="153" spans="1:7" x14ac:dyDescent="0.25">
      <c r="A153" s="8">
        <v>42847.693101851852</v>
      </c>
      <c r="B153" s="20" t="s">
        <v>378</v>
      </c>
      <c r="C153" s="20" t="s">
        <v>762</v>
      </c>
      <c r="D153" s="146">
        <v>1540000</v>
      </c>
      <c r="E153" s="20" t="s">
        <v>495</v>
      </c>
      <c r="F153" s="20" t="s">
        <v>496</v>
      </c>
      <c r="G153" s="8" t="str">
        <f t="shared" si="2"/>
        <v>HELVIE ADAM</v>
      </c>
    </row>
    <row r="154" spans="1:7" x14ac:dyDescent="0.25">
      <c r="A154" s="8">
        <v>42847.693437499998</v>
      </c>
      <c r="B154" s="20" t="s">
        <v>634</v>
      </c>
      <c r="C154" s="20" t="s">
        <v>763</v>
      </c>
      <c r="D154" s="146">
        <v>1770000</v>
      </c>
      <c r="E154" s="20" t="s">
        <v>501</v>
      </c>
      <c r="F154" s="20" t="s">
        <v>502</v>
      </c>
      <c r="G154" s="8" t="str">
        <f t="shared" si="2"/>
        <v>BRUDER RICHARD</v>
      </c>
    </row>
    <row r="155" spans="1:7" x14ac:dyDescent="0.25">
      <c r="A155" s="8">
        <v>42847.703229166669</v>
      </c>
      <c r="B155" s="20" t="s">
        <v>489</v>
      </c>
      <c r="C155" s="20" t="s">
        <v>764</v>
      </c>
      <c r="D155" s="146">
        <v>2480000</v>
      </c>
      <c r="E155" s="20" t="s">
        <v>528</v>
      </c>
      <c r="F155" s="20" t="s">
        <v>529</v>
      </c>
      <c r="G155" s="8" t="str">
        <f t="shared" si="2"/>
        <v>WHITED DUSTIN</v>
      </c>
    </row>
    <row r="156" spans="1:7" x14ac:dyDescent="0.25">
      <c r="A156" s="8">
        <v>42847.714814814812</v>
      </c>
      <c r="B156" s="20" t="s">
        <v>395</v>
      </c>
      <c r="C156" s="20" t="s">
        <v>765</v>
      </c>
      <c r="D156" s="146">
        <v>880000</v>
      </c>
      <c r="E156" s="20" t="s">
        <v>701</v>
      </c>
      <c r="F156" s="20" t="s">
        <v>196</v>
      </c>
      <c r="G156" s="8" t="str">
        <f t="shared" si="2"/>
        <v>STEWART MICHAEL</v>
      </c>
    </row>
    <row r="157" spans="1:7" x14ac:dyDescent="0.25">
      <c r="A157" s="8">
        <v>42847.716516203705</v>
      </c>
      <c r="B157" s="20" t="s">
        <v>585</v>
      </c>
      <c r="C157" s="20" t="s">
        <v>766</v>
      </c>
      <c r="D157" s="146">
        <v>1300000</v>
      </c>
      <c r="E157" s="20" t="s">
        <v>714</v>
      </c>
      <c r="F157" s="20" t="s">
        <v>715</v>
      </c>
      <c r="G157" s="8" t="str">
        <f t="shared" si="2"/>
        <v>LEVIN SCOTT</v>
      </c>
    </row>
    <row r="158" spans="1:7" x14ac:dyDescent="0.25">
      <c r="A158" s="8">
        <v>42847.71769675926</v>
      </c>
      <c r="B158" s="20" t="s">
        <v>602</v>
      </c>
      <c r="C158" s="20" t="s">
        <v>603</v>
      </c>
      <c r="D158" s="146">
        <v>2440000</v>
      </c>
      <c r="E158" s="20" t="s">
        <v>499</v>
      </c>
      <c r="F158" s="20" t="s">
        <v>500</v>
      </c>
      <c r="G158" s="8" t="str">
        <f t="shared" si="2"/>
        <v>LOPES KIMBERLY</v>
      </c>
    </row>
    <row r="159" spans="1:7" x14ac:dyDescent="0.25">
      <c r="A159" s="8">
        <v>42847.720914351848</v>
      </c>
      <c r="B159" s="20" t="s">
        <v>486</v>
      </c>
      <c r="C159" s="20" t="s">
        <v>767</v>
      </c>
      <c r="D159" s="146">
        <v>2370000</v>
      </c>
      <c r="E159" s="20" t="s">
        <v>497</v>
      </c>
      <c r="F159" s="20" t="s">
        <v>498</v>
      </c>
      <c r="G159" s="8" t="str">
        <f t="shared" si="2"/>
        <v>DELGADO DIANAH</v>
      </c>
    </row>
    <row r="160" spans="1:7" x14ac:dyDescent="0.25">
      <c r="A160" s="8">
        <v>42847.721967592595</v>
      </c>
      <c r="B160" s="20" t="s">
        <v>377</v>
      </c>
      <c r="C160" s="20" t="s">
        <v>768</v>
      </c>
      <c r="D160" s="146">
        <v>1540000</v>
      </c>
      <c r="E160" s="20" t="s">
        <v>495</v>
      </c>
      <c r="F160" s="20" t="s">
        <v>496</v>
      </c>
      <c r="G160" s="8" t="str">
        <f t="shared" si="2"/>
        <v>HELVIE ADAM</v>
      </c>
    </row>
    <row r="161" spans="1:7" x14ac:dyDescent="0.25">
      <c r="A161" s="8">
        <v>42847.722893518519</v>
      </c>
      <c r="B161" s="20" t="s">
        <v>359</v>
      </c>
      <c r="C161" s="20" t="s">
        <v>769</v>
      </c>
      <c r="D161" s="146">
        <v>2470000</v>
      </c>
      <c r="E161" s="20" t="s">
        <v>696</v>
      </c>
      <c r="F161" s="20" t="s">
        <v>697</v>
      </c>
      <c r="G161" s="8" t="str">
        <f t="shared" si="2"/>
        <v>ROMERO CHAD</v>
      </c>
    </row>
    <row r="162" spans="1:7" x14ac:dyDescent="0.25">
      <c r="A162" s="8">
        <v>42847.731423611112</v>
      </c>
      <c r="B162" s="20" t="s">
        <v>589</v>
      </c>
      <c r="C162" s="20" t="s">
        <v>770</v>
      </c>
      <c r="D162" s="146">
        <v>1770000</v>
      </c>
      <c r="E162" s="20" t="s">
        <v>501</v>
      </c>
      <c r="F162" s="20" t="s">
        <v>502</v>
      </c>
      <c r="G162" s="8" t="str">
        <f t="shared" si="2"/>
        <v>BRUDER RICHARD</v>
      </c>
    </row>
    <row r="163" spans="1:7" x14ac:dyDescent="0.25">
      <c r="A163" s="8">
        <v>42847.7346412037</v>
      </c>
      <c r="B163" s="20" t="s">
        <v>433</v>
      </c>
      <c r="C163" s="20" t="s">
        <v>771</v>
      </c>
      <c r="D163" s="146">
        <v>2600000</v>
      </c>
      <c r="E163" s="20" t="s">
        <v>772</v>
      </c>
      <c r="F163" s="20" t="s">
        <v>773</v>
      </c>
      <c r="G163" s="8" t="str">
        <f t="shared" si="2"/>
        <v>DAVIDSON DAVID</v>
      </c>
    </row>
    <row r="164" spans="1:7" x14ac:dyDescent="0.25">
      <c r="A164" s="8">
        <v>42847.734814814816</v>
      </c>
      <c r="B164" s="20" t="s">
        <v>378</v>
      </c>
      <c r="C164" s="20" t="s">
        <v>774</v>
      </c>
      <c r="D164" s="146">
        <v>1540000</v>
      </c>
      <c r="E164" s="20" t="s">
        <v>495</v>
      </c>
      <c r="F164" s="20" t="s">
        <v>496</v>
      </c>
      <c r="G164" s="8" t="str">
        <f t="shared" si="2"/>
        <v>HELVIE ADAM</v>
      </c>
    </row>
    <row r="165" spans="1:7" x14ac:dyDescent="0.25">
      <c r="A165" s="8">
        <v>42847.740659722222</v>
      </c>
      <c r="B165" s="20" t="s">
        <v>362</v>
      </c>
      <c r="C165" s="20" t="s">
        <v>775</v>
      </c>
      <c r="D165" s="146">
        <v>2630000</v>
      </c>
      <c r="E165" s="20" t="s">
        <v>776</v>
      </c>
      <c r="F165" s="20" t="s">
        <v>777</v>
      </c>
      <c r="G165" s="8" t="str">
        <f t="shared" si="2"/>
        <v>SAFIEF AEIMEN</v>
      </c>
    </row>
    <row r="166" spans="1:7" x14ac:dyDescent="0.25">
      <c r="A166" s="8">
        <v>42847.74114583333</v>
      </c>
      <c r="B166" s="20" t="s">
        <v>356</v>
      </c>
      <c r="C166" s="20" t="s">
        <v>778</v>
      </c>
      <c r="D166" s="146">
        <v>2480000</v>
      </c>
      <c r="E166" s="20" t="s">
        <v>528</v>
      </c>
      <c r="F166" s="20" t="s">
        <v>529</v>
      </c>
      <c r="G166" s="8" t="str">
        <f t="shared" si="2"/>
        <v>WHITED DUSTIN</v>
      </c>
    </row>
    <row r="167" spans="1:7" x14ac:dyDescent="0.25">
      <c r="A167" s="8">
        <v>42847.7419212963</v>
      </c>
      <c r="B167" s="20" t="s">
        <v>362</v>
      </c>
      <c r="C167" s="20" t="s">
        <v>775</v>
      </c>
      <c r="D167" s="146">
        <v>2630000</v>
      </c>
      <c r="E167" s="20" t="s">
        <v>776</v>
      </c>
      <c r="F167" s="20" t="s">
        <v>777</v>
      </c>
      <c r="G167" s="8" t="str">
        <f t="shared" si="2"/>
        <v>SAFIEF AEIMEN</v>
      </c>
    </row>
    <row r="168" spans="1:7" x14ac:dyDescent="0.25">
      <c r="A168" s="8">
        <v>42847.749120370368</v>
      </c>
      <c r="B168" s="20" t="s">
        <v>398</v>
      </c>
      <c r="C168" s="20" t="s">
        <v>779</v>
      </c>
      <c r="D168" s="146">
        <v>2560000</v>
      </c>
      <c r="E168" s="20" t="s">
        <v>530</v>
      </c>
      <c r="F168" s="20" t="s">
        <v>531</v>
      </c>
      <c r="G168" s="8" t="str">
        <f t="shared" si="2"/>
        <v>MACDONALD THOMAS</v>
      </c>
    </row>
    <row r="169" spans="1:7" x14ac:dyDescent="0.25">
      <c r="A169" s="8">
        <v>42847.749201388891</v>
      </c>
      <c r="B169" s="20" t="s">
        <v>401</v>
      </c>
      <c r="C169" s="20" t="s">
        <v>780</v>
      </c>
      <c r="D169" s="146">
        <v>2610000</v>
      </c>
      <c r="E169" s="20" t="s">
        <v>614</v>
      </c>
      <c r="F169" s="20" t="s">
        <v>615</v>
      </c>
      <c r="G169" s="8" t="str">
        <f t="shared" si="2"/>
        <v>MAGEE KENYA</v>
      </c>
    </row>
    <row r="170" spans="1:7" x14ac:dyDescent="0.25">
      <c r="A170" s="8">
        <v>42847.750497685185</v>
      </c>
      <c r="B170" s="20" t="s">
        <v>401</v>
      </c>
      <c r="C170" s="20" t="s">
        <v>780</v>
      </c>
      <c r="D170" s="146">
        <v>2610000</v>
      </c>
      <c r="E170" s="20" t="s">
        <v>614</v>
      </c>
      <c r="F170" s="20" t="s">
        <v>615</v>
      </c>
      <c r="G170" s="8" t="str">
        <f t="shared" si="2"/>
        <v>MAGEE KENYA</v>
      </c>
    </row>
    <row r="171" spans="1:7" x14ac:dyDescent="0.25">
      <c r="A171" s="8">
        <v>42847.75105324074</v>
      </c>
      <c r="B171" s="20" t="s">
        <v>401</v>
      </c>
      <c r="C171" s="20" t="s">
        <v>780</v>
      </c>
      <c r="D171" s="146">
        <v>2610000</v>
      </c>
      <c r="E171" s="20" t="s">
        <v>614</v>
      </c>
      <c r="F171" s="20" t="s">
        <v>615</v>
      </c>
      <c r="G171" s="8" t="str">
        <f t="shared" si="2"/>
        <v>MAGEE KENYA</v>
      </c>
    </row>
    <row r="172" spans="1:7" x14ac:dyDescent="0.25">
      <c r="A172" s="8">
        <v>42847.753020833334</v>
      </c>
      <c r="B172" s="20" t="s">
        <v>401</v>
      </c>
      <c r="C172" s="20" t="s">
        <v>780</v>
      </c>
      <c r="D172" s="146">
        <v>2610000</v>
      </c>
      <c r="E172" s="20" t="s">
        <v>614</v>
      </c>
      <c r="F172" s="20" t="s">
        <v>615</v>
      </c>
      <c r="G172" s="8" t="str">
        <f t="shared" si="2"/>
        <v>MAGEE KENYA</v>
      </c>
    </row>
    <row r="173" spans="1:7" x14ac:dyDescent="0.25">
      <c r="A173" s="8">
        <v>42847.753622685188</v>
      </c>
      <c r="B173" s="20" t="s">
        <v>591</v>
      </c>
      <c r="C173" s="20" t="s">
        <v>781</v>
      </c>
      <c r="D173" s="146">
        <v>1300000</v>
      </c>
      <c r="E173" s="20" t="s">
        <v>714</v>
      </c>
      <c r="F173" s="20" t="s">
        <v>715</v>
      </c>
      <c r="G173" s="8" t="str">
        <f t="shared" si="2"/>
        <v>LEVIN SCOTT</v>
      </c>
    </row>
    <row r="174" spans="1:7" x14ac:dyDescent="0.25">
      <c r="A174" s="8">
        <v>42847.75403935185</v>
      </c>
      <c r="B174" s="20" t="s">
        <v>401</v>
      </c>
      <c r="C174" s="20" t="s">
        <v>780</v>
      </c>
      <c r="D174" s="146">
        <v>2610000</v>
      </c>
      <c r="E174" s="20" t="s">
        <v>614</v>
      </c>
      <c r="F174" s="20" t="s">
        <v>615</v>
      </c>
      <c r="G174" s="8" t="str">
        <f t="shared" si="2"/>
        <v>MAGEE KENYA</v>
      </c>
    </row>
    <row r="175" spans="1:7" x14ac:dyDescent="0.25">
      <c r="A175" s="8">
        <v>42847.754942129628</v>
      </c>
      <c r="B175" s="20" t="s">
        <v>488</v>
      </c>
      <c r="C175" s="20" t="s">
        <v>782</v>
      </c>
      <c r="D175" s="146">
        <v>2000000</v>
      </c>
      <c r="E175" s="20" t="s">
        <v>355</v>
      </c>
      <c r="F175" s="20" t="s">
        <v>193</v>
      </c>
      <c r="G175" s="8" t="str">
        <f t="shared" si="2"/>
        <v>STAMBAUGH JAMES</v>
      </c>
    </row>
    <row r="176" spans="1:7" x14ac:dyDescent="0.25">
      <c r="A176" s="8">
        <v>42847.755833333336</v>
      </c>
      <c r="B176" s="20" t="s">
        <v>358</v>
      </c>
      <c r="C176" s="20" t="s">
        <v>783</v>
      </c>
      <c r="D176" s="146">
        <v>2470000</v>
      </c>
      <c r="E176" s="20" t="s">
        <v>696</v>
      </c>
      <c r="F176" s="20" t="s">
        <v>697</v>
      </c>
      <c r="G176" s="8" t="str">
        <f t="shared" si="2"/>
        <v>ROMERO CHAD</v>
      </c>
    </row>
    <row r="177" spans="1:7" x14ac:dyDescent="0.25">
      <c r="A177" s="8">
        <v>42847.761967592596</v>
      </c>
      <c r="B177" s="20" t="s">
        <v>377</v>
      </c>
      <c r="C177" s="20" t="s">
        <v>604</v>
      </c>
      <c r="D177" s="146">
        <v>1540000</v>
      </c>
      <c r="E177" s="20" t="s">
        <v>495</v>
      </c>
      <c r="F177" s="20" t="s">
        <v>496</v>
      </c>
      <c r="G177" s="8" t="str">
        <f t="shared" si="2"/>
        <v>HELVIE ADAM</v>
      </c>
    </row>
    <row r="178" spans="1:7" x14ac:dyDescent="0.25">
      <c r="A178" s="8">
        <v>42847.766979166663</v>
      </c>
      <c r="B178" s="20" t="s">
        <v>634</v>
      </c>
      <c r="C178" s="20" t="s">
        <v>784</v>
      </c>
      <c r="D178" s="146">
        <v>2630000</v>
      </c>
      <c r="E178" s="20" t="s">
        <v>776</v>
      </c>
      <c r="F178" s="20" t="s">
        <v>777</v>
      </c>
      <c r="G178" s="8" t="str">
        <f t="shared" si="2"/>
        <v>SAFIEF AEIMEN</v>
      </c>
    </row>
    <row r="179" spans="1:7" x14ac:dyDescent="0.25">
      <c r="A179" s="8">
        <v>42847.769803240742</v>
      </c>
      <c r="B179" s="20" t="s">
        <v>419</v>
      </c>
      <c r="C179" s="20" t="s">
        <v>785</v>
      </c>
      <c r="D179" s="146">
        <v>1770000</v>
      </c>
      <c r="E179" s="20" t="s">
        <v>501</v>
      </c>
      <c r="F179" s="20" t="s">
        <v>502</v>
      </c>
      <c r="G179" s="8" t="str">
        <f t="shared" si="2"/>
        <v>BRUDER RICHARD</v>
      </c>
    </row>
    <row r="180" spans="1:7" x14ac:dyDescent="0.25">
      <c r="A180" s="8">
        <v>42847.770497685182</v>
      </c>
      <c r="B180" s="20" t="s">
        <v>434</v>
      </c>
      <c r="C180" s="20" t="s">
        <v>786</v>
      </c>
      <c r="D180" s="146">
        <v>2600000</v>
      </c>
      <c r="E180" s="20" t="s">
        <v>772</v>
      </c>
      <c r="F180" s="20" t="s">
        <v>773</v>
      </c>
      <c r="G180" s="8" t="str">
        <f t="shared" si="2"/>
        <v>DAVIDSON DAVID</v>
      </c>
    </row>
    <row r="181" spans="1:7" x14ac:dyDescent="0.25">
      <c r="A181" s="8">
        <v>42847.775555555556</v>
      </c>
      <c r="B181" s="20" t="s">
        <v>489</v>
      </c>
      <c r="C181" s="20" t="s">
        <v>787</v>
      </c>
      <c r="D181" s="146">
        <v>2480000</v>
      </c>
      <c r="E181" s="20" t="s">
        <v>528</v>
      </c>
      <c r="F181" s="20" t="s">
        <v>529</v>
      </c>
      <c r="G181" s="8" t="str">
        <f t="shared" si="2"/>
        <v>WHITED DUSTIN</v>
      </c>
    </row>
    <row r="182" spans="1:7" x14ac:dyDescent="0.25">
      <c r="A182" s="8">
        <v>42847.776145833333</v>
      </c>
      <c r="B182" s="20" t="s">
        <v>378</v>
      </c>
      <c r="C182" s="20" t="s">
        <v>605</v>
      </c>
      <c r="D182" s="146">
        <v>1540000</v>
      </c>
      <c r="E182" s="20" t="s">
        <v>495</v>
      </c>
      <c r="F182" s="20" t="s">
        <v>496</v>
      </c>
      <c r="G182" s="8" t="str">
        <f t="shared" si="2"/>
        <v>HELVIE ADAM</v>
      </c>
    </row>
    <row r="183" spans="1:7" x14ac:dyDescent="0.25">
      <c r="A183" s="8">
        <v>42847.784224537034</v>
      </c>
      <c r="B183" s="20" t="s">
        <v>395</v>
      </c>
      <c r="C183" s="20" t="s">
        <v>606</v>
      </c>
      <c r="D183" s="146">
        <v>2560000</v>
      </c>
      <c r="E183" s="20" t="s">
        <v>530</v>
      </c>
      <c r="F183" s="20" t="s">
        <v>531</v>
      </c>
      <c r="G183" s="8" t="str">
        <f t="shared" si="2"/>
        <v>MACDONALD THOMAS</v>
      </c>
    </row>
    <row r="184" spans="1:7" x14ac:dyDescent="0.25">
      <c r="A184" s="8">
        <v>42847.787939814814</v>
      </c>
      <c r="B184" s="20" t="s">
        <v>585</v>
      </c>
      <c r="C184" s="20" t="s">
        <v>788</v>
      </c>
      <c r="D184" s="146">
        <v>2270000</v>
      </c>
      <c r="E184" s="20" t="s">
        <v>206</v>
      </c>
      <c r="F184" s="20" t="s">
        <v>207</v>
      </c>
      <c r="G184" s="8" t="str">
        <f t="shared" si="2"/>
        <v>BROWN JACOB</v>
      </c>
    </row>
    <row r="185" spans="1:7" x14ac:dyDescent="0.25">
      <c r="A185" s="8">
        <v>42847.796226851853</v>
      </c>
      <c r="B185" s="20" t="s">
        <v>359</v>
      </c>
      <c r="C185" s="20" t="s">
        <v>789</v>
      </c>
      <c r="D185" s="146">
        <v>2470000</v>
      </c>
      <c r="E185" s="20" t="s">
        <v>696</v>
      </c>
      <c r="F185" s="20" t="s">
        <v>697</v>
      </c>
      <c r="G185" s="8" t="str">
        <f t="shared" si="2"/>
        <v>ROMERO CHAD</v>
      </c>
    </row>
    <row r="186" spans="1:7" x14ac:dyDescent="0.25">
      <c r="A186" s="8">
        <v>42847.796481481484</v>
      </c>
      <c r="B186" s="20" t="s">
        <v>486</v>
      </c>
      <c r="C186" s="20" t="s">
        <v>790</v>
      </c>
      <c r="D186" s="146">
        <v>2000000</v>
      </c>
      <c r="E186" s="20" t="s">
        <v>355</v>
      </c>
      <c r="F186" s="20" t="s">
        <v>193</v>
      </c>
      <c r="G186" s="8" t="str">
        <f t="shared" si="2"/>
        <v>STAMBAUGH JAMES</v>
      </c>
    </row>
    <row r="187" spans="1:7" x14ac:dyDescent="0.25">
      <c r="A187" s="8">
        <v>42847.800902777781</v>
      </c>
      <c r="B187" s="20" t="s">
        <v>589</v>
      </c>
      <c r="C187" s="20" t="s">
        <v>791</v>
      </c>
      <c r="D187" s="146">
        <v>2630000</v>
      </c>
      <c r="E187" s="20" t="s">
        <v>776</v>
      </c>
      <c r="F187" s="20" t="s">
        <v>777</v>
      </c>
      <c r="G187" s="8" t="str">
        <f t="shared" si="2"/>
        <v>SAFIEF AEIMEN</v>
      </c>
    </row>
    <row r="188" spans="1:7" x14ac:dyDescent="0.25">
      <c r="A188" s="8">
        <v>42847.804907407408</v>
      </c>
      <c r="B188" s="20" t="s">
        <v>377</v>
      </c>
      <c r="C188" s="20" t="s">
        <v>792</v>
      </c>
      <c r="D188" s="146">
        <v>1540000</v>
      </c>
      <c r="E188" s="20" t="s">
        <v>495</v>
      </c>
      <c r="F188" s="20" t="s">
        <v>496</v>
      </c>
      <c r="G188" s="8" t="str">
        <f t="shared" si="2"/>
        <v>HELVIE ADAM</v>
      </c>
    </row>
    <row r="189" spans="1:7" x14ac:dyDescent="0.25">
      <c r="A189" s="8">
        <v>42847.808749999997</v>
      </c>
      <c r="B189" s="20" t="s">
        <v>433</v>
      </c>
      <c r="C189" s="20" t="s">
        <v>793</v>
      </c>
      <c r="D189" s="146">
        <v>2600000</v>
      </c>
      <c r="E189" s="20" t="s">
        <v>772</v>
      </c>
      <c r="F189" s="20" t="s">
        <v>773</v>
      </c>
      <c r="G189" s="8" t="str">
        <f t="shared" si="2"/>
        <v>DAVIDSON DAVID</v>
      </c>
    </row>
    <row r="190" spans="1:7" x14ac:dyDescent="0.25">
      <c r="A190" s="8">
        <v>42847.817303240743</v>
      </c>
      <c r="B190" s="20" t="s">
        <v>378</v>
      </c>
      <c r="C190" s="20" t="s">
        <v>794</v>
      </c>
      <c r="D190" s="146">
        <v>1540000</v>
      </c>
      <c r="E190" s="20" t="s">
        <v>495</v>
      </c>
      <c r="F190" s="20" t="s">
        <v>496</v>
      </c>
      <c r="G190" s="8" t="str">
        <f t="shared" si="2"/>
        <v>HELVIE ADAM</v>
      </c>
    </row>
    <row r="191" spans="1:7" x14ac:dyDescent="0.25">
      <c r="A191" s="8">
        <v>42847.821273148147</v>
      </c>
      <c r="B191" s="20" t="s">
        <v>398</v>
      </c>
      <c r="C191" s="20" t="s">
        <v>795</v>
      </c>
      <c r="D191" s="146">
        <v>2530000</v>
      </c>
      <c r="E191" s="20" t="s">
        <v>720</v>
      </c>
      <c r="F191" s="20" t="s">
        <v>721</v>
      </c>
      <c r="G191" s="8" t="str">
        <f t="shared" si="2"/>
        <v>LALONDE GREGORY</v>
      </c>
    </row>
    <row r="192" spans="1:7" x14ac:dyDescent="0.25">
      <c r="A192" s="8">
        <v>42847.826631944445</v>
      </c>
      <c r="B192" s="20" t="s">
        <v>591</v>
      </c>
      <c r="C192" s="20" t="s">
        <v>796</v>
      </c>
      <c r="D192" s="146">
        <v>2270000</v>
      </c>
      <c r="E192" s="20" t="s">
        <v>206</v>
      </c>
      <c r="F192" s="20" t="s">
        <v>207</v>
      </c>
      <c r="G192" s="8" t="str">
        <f t="shared" si="2"/>
        <v>BROWN JACOB</v>
      </c>
    </row>
    <row r="193" spans="1:7" x14ac:dyDescent="0.25">
      <c r="A193" s="8">
        <v>42847.829780092594</v>
      </c>
      <c r="B193" s="20" t="s">
        <v>488</v>
      </c>
      <c r="C193" s="20" t="s">
        <v>607</v>
      </c>
      <c r="D193" s="146">
        <v>2000000</v>
      </c>
      <c r="E193" s="20" t="s">
        <v>355</v>
      </c>
      <c r="F193" s="20" t="s">
        <v>193</v>
      </c>
      <c r="G193" s="8" t="str">
        <f t="shared" si="2"/>
        <v>STAMBAUGH JAMES</v>
      </c>
    </row>
    <row r="194" spans="1:7" x14ac:dyDescent="0.25">
      <c r="A194" s="8">
        <v>42847.846319444441</v>
      </c>
      <c r="B194" s="20" t="s">
        <v>377</v>
      </c>
      <c r="C194" s="20" t="s">
        <v>797</v>
      </c>
      <c r="D194" s="146">
        <v>2620000</v>
      </c>
      <c r="E194" s="20" t="s">
        <v>532</v>
      </c>
      <c r="F194" s="20" t="s">
        <v>533</v>
      </c>
      <c r="G194" s="8" t="str">
        <f t="shared" si="2"/>
        <v>PERKINS DARREN</v>
      </c>
    </row>
    <row r="195" spans="1:7" x14ac:dyDescent="0.25">
      <c r="A195" s="8">
        <v>42847.847546296296</v>
      </c>
      <c r="B195" s="20" t="s">
        <v>434</v>
      </c>
      <c r="C195" s="20" t="s">
        <v>608</v>
      </c>
      <c r="D195" s="146">
        <v>2600000</v>
      </c>
      <c r="E195" s="20" t="s">
        <v>772</v>
      </c>
      <c r="F195" s="20" t="s">
        <v>773</v>
      </c>
      <c r="G195" s="8" t="str">
        <f t="shared" ref="G195:G258" si="3">E195&amp;" "&amp;F195</f>
        <v>DAVIDSON DAVID</v>
      </c>
    </row>
    <row r="196" spans="1:7" x14ac:dyDescent="0.25">
      <c r="A196" s="8">
        <v>42847.850347222222</v>
      </c>
      <c r="B196" s="20" t="s">
        <v>634</v>
      </c>
      <c r="C196" s="20" t="s">
        <v>798</v>
      </c>
      <c r="D196" s="146">
        <v>2610000</v>
      </c>
      <c r="E196" s="20" t="s">
        <v>614</v>
      </c>
      <c r="F196" s="20" t="s">
        <v>615</v>
      </c>
      <c r="G196" s="8" t="str">
        <f t="shared" si="3"/>
        <v>MAGEE KENYA</v>
      </c>
    </row>
    <row r="197" spans="1:7" x14ac:dyDescent="0.25">
      <c r="A197" s="8">
        <v>42847.859282407408</v>
      </c>
      <c r="B197" s="20" t="s">
        <v>378</v>
      </c>
      <c r="C197" s="20" t="s">
        <v>799</v>
      </c>
      <c r="D197" s="146">
        <v>2620000</v>
      </c>
      <c r="E197" s="20" t="s">
        <v>532</v>
      </c>
      <c r="F197" s="20" t="s">
        <v>533</v>
      </c>
      <c r="G197" s="8" t="str">
        <f t="shared" si="3"/>
        <v>PERKINS DARREN</v>
      </c>
    </row>
    <row r="198" spans="1:7" x14ac:dyDescent="0.25">
      <c r="A198" s="8">
        <v>42847.870208333334</v>
      </c>
      <c r="B198" s="20" t="s">
        <v>486</v>
      </c>
      <c r="C198" s="20" t="s">
        <v>800</v>
      </c>
      <c r="D198" s="146">
        <v>2000000</v>
      </c>
      <c r="E198" s="20" t="s">
        <v>355</v>
      </c>
      <c r="F198" s="20" t="s">
        <v>193</v>
      </c>
      <c r="G198" s="8" t="str">
        <f t="shared" si="3"/>
        <v>STAMBAUGH JAMES</v>
      </c>
    </row>
    <row r="199" spans="1:7" x14ac:dyDescent="0.25">
      <c r="A199" s="8">
        <v>42847.871354166666</v>
      </c>
      <c r="B199" s="20" t="s">
        <v>585</v>
      </c>
      <c r="C199" s="20" t="s">
        <v>801</v>
      </c>
      <c r="D199" s="146">
        <v>2270000</v>
      </c>
      <c r="E199" s="20" t="s">
        <v>206</v>
      </c>
      <c r="F199" s="20" t="s">
        <v>207</v>
      </c>
      <c r="G199" s="8" t="str">
        <f t="shared" si="3"/>
        <v>BROWN JACOB</v>
      </c>
    </row>
    <row r="200" spans="1:7" x14ac:dyDescent="0.25">
      <c r="A200" s="8">
        <v>42847.886134259257</v>
      </c>
      <c r="B200" s="20" t="s">
        <v>433</v>
      </c>
      <c r="C200" s="20" t="s">
        <v>802</v>
      </c>
      <c r="D200" s="146">
        <v>2600000</v>
      </c>
      <c r="E200" s="20" t="s">
        <v>772</v>
      </c>
      <c r="F200" s="20" t="s">
        <v>773</v>
      </c>
      <c r="G200" s="8" t="str">
        <f t="shared" si="3"/>
        <v>DAVIDSON DAVID</v>
      </c>
    </row>
    <row r="201" spans="1:7" x14ac:dyDescent="0.25">
      <c r="A201" s="8">
        <v>42847.888726851852</v>
      </c>
      <c r="B201" s="20" t="s">
        <v>377</v>
      </c>
      <c r="C201" s="20" t="s">
        <v>803</v>
      </c>
      <c r="D201" s="146">
        <v>1540000</v>
      </c>
      <c r="E201" s="20" t="s">
        <v>495</v>
      </c>
      <c r="F201" s="20" t="s">
        <v>496</v>
      </c>
      <c r="G201" s="8" t="str">
        <f t="shared" si="3"/>
        <v>HELVIE ADAM</v>
      </c>
    </row>
    <row r="202" spans="1:7" x14ac:dyDescent="0.25">
      <c r="A202" s="26">
        <v>42847.89230324074</v>
      </c>
      <c r="B202" s="20" t="s">
        <v>589</v>
      </c>
      <c r="C202" s="20" t="s">
        <v>804</v>
      </c>
      <c r="D202" s="146">
        <v>2610000</v>
      </c>
      <c r="E202" s="20" t="s">
        <v>614</v>
      </c>
      <c r="F202" s="20" t="s">
        <v>615</v>
      </c>
      <c r="G202" s="8" t="str">
        <f t="shared" si="3"/>
        <v>MAGEE KENYA</v>
      </c>
    </row>
    <row r="203" spans="1:7" x14ac:dyDescent="0.25">
      <c r="A203" s="8">
        <v>42847.900324074071</v>
      </c>
      <c r="B203" s="20" t="s">
        <v>488</v>
      </c>
      <c r="C203" s="20" t="s">
        <v>805</v>
      </c>
      <c r="D203" s="146">
        <v>2000000</v>
      </c>
      <c r="E203" s="20" t="s">
        <v>355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42847.90179398148</v>
      </c>
      <c r="B204" s="20" t="s">
        <v>378</v>
      </c>
      <c r="C204" s="20" t="s">
        <v>806</v>
      </c>
      <c r="D204" s="146">
        <v>1540000</v>
      </c>
      <c r="E204" s="20" t="s">
        <v>495</v>
      </c>
      <c r="F204" s="20" t="s">
        <v>496</v>
      </c>
      <c r="G204" s="8" t="str">
        <f t="shared" si="3"/>
        <v>HELVIE ADAM</v>
      </c>
    </row>
    <row r="205" spans="1:7" x14ac:dyDescent="0.25">
      <c r="A205" s="8">
        <v>42847.910069444442</v>
      </c>
      <c r="B205" s="20" t="s">
        <v>591</v>
      </c>
      <c r="C205" s="20" t="s">
        <v>609</v>
      </c>
      <c r="D205" s="146">
        <v>2270000</v>
      </c>
      <c r="E205" s="20" t="s">
        <v>206</v>
      </c>
      <c r="F205" s="20" t="s">
        <v>207</v>
      </c>
      <c r="G205" s="8" t="str">
        <f t="shared" si="3"/>
        <v>BROWN JACOB</v>
      </c>
    </row>
    <row r="206" spans="1:7" x14ac:dyDescent="0.25">
      <c r="A206" s="8">
        <v>42847.925428240742</v>
      </c>
      <c r="B206" s="20" t="s">
        <v>377</v>
      </c>
      <c r="C206" s="20" t="s">
        <v>807</v>
      </c>
      <c r="D206" s="146">
        <v>1540000</v>
      </c>
      <c r="E206" s="20" t="s">
        <v>495</v>
      </c>
      <c r="F206" s="20" t="s">
        <v>496</v>
      </c>
      <c r="G206" s="8" t="str">
        <f t="shared" si="3"/>
        <v>HELVIE ADAM</v>
      </c>
    </row>
    <row r="207" spans="1:7" x14ac:dyDescent="0.25">
      <c r="A207" s="8">
        <v>42847.927893518521</v>
      </c>
      <c r="B207" s="20" t="s">
        <v>434</v>
      </c>
      <c r="C207" s="20" t="s">
        <v>808</v>
      </c>
      <c r="D207" s="146">
        <v>2600000</v>
      </c>
      <c r="E207" s="20" t="s">
        <v>772</v>
      </c>
      <c r="F207" s="20" t="s">
        <v>773</v>
      </c>
      <c r="G207" s="8" t="str">
        <f t="shared" si="3"/>
        <v>DAVIDSON DAVID</v>
      </c>
    </row>
    <row r="208" spans="1:7" x14ac:dyDescent="0.25">
      <c r="A208" s="8">
        <v>42847.935729166667</v>
      </c>
      <c r="B208" s="20" t="s">
        <v>634</v>
      </c>
      <c r="C208" s="20" t="s">
        <v>809</v>
      </c>
      <c r="D208" s="146">
        <v>2610000</v>
      </c>
      <c r="E208" s="20" t="s">
        <v>614</v>
      </c>
      <c r="F208" s="20" t="s">
        <v>615</v>
      </c>
      <c r="G208" s="8" t="str">
        <f t="shared" si="3"/>
        <v>MAGEE KENYA</v>
      </c>
    </row>
    <row r="209" spans="1:7" x14ac:dyDescent="0.25">
      <c r="A209" s="8">
        <v>42847.942303240743</v>
      </c>
      <c r="B209" s="20" t="s">
        <v>378</v>
      </c>
      <c r="C209" s="20" t="s">
        <v>810</v>
      </c>
      <c r="D209" s="146">
        <v>1540000</v>
      </c>
      <c r="E209" s="20" t="s">
        <v>495</v>
      </c>
      <c r="F209" s="20" t="s">
        <v>496</v>
      </c>
      <c r="G209" s="8" t="str">
        <f t="shared" si="3"/>
        <v>HELVIE ADAM</v>
      </c>
    </row>
    <row r="210" spans="1:7" x14ac:dyDescent="0.25">
      <c r="A210" s="8">
        <v>42847.949641203704</v>
      </c>
      <c r="B210" s="20" t="s">
        <v>377</v>
      </c>
      <c r="C210" s="20" t="s">
        <v>810</v>
      </c>
      <c r="D210" s="146">
        <v>1540000</v>
      </c>
      <c r="E210" s="20" t="s">
        <v>495</v>
      </c>
      <c r="F210" s="20" t="s">
        <v>496</v>
      </c>
      <c r="G210" s="8" t="str">
        <f t="shared" si="3"/>
        <v>HELVIE ADAM</v>
      </c>
    </row>
    <row r="211" spans="1:7" x14ac:dyDescent="0.25">
      <c r="A211" s="8">
        <v>42847.951574074075</v>
      </c>
      <c r="B211" s="20" t="s">
        <v>486</v>
      </c>
      <c r="C211" s="20" t="s">
        <v>811</v>
      </c>
      <c r="D211" s="146">
        <v>2000000</v>
      </c>
      <c r="E211" s="20" t="s">
        <v>355</v>
      </c>
      <c r="F211" s="20" t="s">
        <v>193</v>
      </c>
      <c r="G211" s="8" t="str">
        <f t="shared" si="3"/>
        <v>STAMBAUGH JAMES</v>
      </c>
    </row>
    <row r="212" spans="1:7" x14ac:dyDescent="0.25">
      <c r="A212" s="8">
        <v>42847.959456018521</v>
      </c>
      <c r="B212" s="20" t="s">
        <v>585</v>
      </c>
      <c r="C212" s="20" t="s">
        <v>812</v>
      </c>
      <c r="D212" s="146">
        <v>2630000</v>
      </c>
      <c r="E212" s="20" t="s">
        <v>776</v>
      </c>
      <c r="F212" s="20" t="s">
        <v>777</v>
      </c>
      <c r="G212" s="8" t="str">
        <f t="shared" si="3"/>
        <v>SAFIEF AEIMEN</v>
      </c>
    </row>
    <row r="213" spans="1:7" x14ac:dyDescent="0.25">
      <c r="A213" s="8">
        <v>42847.966122685182</v>
      </c>
      <c r="B213" s="20" t="s">
        <v>589</v>
      </c>
      <c r="C213" s="20" t="s">
        <v>813</v>
      </c>
      <c r="D213" s="146">
        <v>2610000</v>
      </c>
      <c r="E213" s="20" t="s">
        <v>614</v>
      </c>
      <c r="F213" s="20" t="s">
        <v>615</v>
      </c>
      <c r="G213" s="8" t="str">
        <f t="shared" si="3"/>
        <v>MAGEE KENYA</v>
      </c>
    </row>
    <row r="214" spans="1:7" x14ac:dyDescent="0.25">
      <c r="A214" s="8">
        <v>42847.969537037039</v>
      </c>
      <c r="B214" s="20" t="s">
        <v>433</v>
      </c>
      <c r="C214" s="20" t="s">
        <v>814</v>
      </c>
      <c r="D214" s="146">
        <v>2600000</v>
      </c>
      <c r="E214" s="20" t="s">
        <v>772</v>
      </c>
      <c r="F214" s="20" t="s">
        <v>773</v>
      </c>
      <c r="G214" s="8" t="str">
        <f t="shared" si="3"/>
        <v>DAVIDSON DAVID</v>
      </c>
    </row>
    <row r="215" spans="1:7" x14ac:dyDescent="0.25">
      <c r="A215" s="8">
        <v>42847.99486111111</v>
      </c>
      <c r="B215" s="20" t="s">
        <v>591</v>
      </c>
      <c r="C215" s="20" t="s">
        <v>815</v>
      </c>
      <c r="D215" s="146">
        <v>2630000</v>
      </c>
      <c r="E215" s="20" t="s">
        <v>776</v>
      </c>
      <c r="F215" s="20" t="s">
        <v>777</v>
      </c>
      <c r="G215" s="8" t="str">
        <f t="shared" si="3"/>
        <v>SAFIEF AEIMEN</v>
      </c>
    </row>
    <row r="216" spans="1:7" x14ac:dyDescent="0.25">
      <c r="A216" s="8">
        <v>42847.998101851852</v>
      </c>
      <c r="B216" s="20" t="s">
        <v>488</v>
      </c>
      <c r="C216" s="20" t="s">
        <v>816</v>
      </c>
      <c r="D216" s="146">
        <v>2000000</v>
      </c>
      <c r="E216" s="20" t="s">
        <v>355</v>
      </c>
      <c r="F216" s="20" t="s">
        <v>193</v>
      </c>
      <c r="G216" s="8" t="str">
        <f t="shared" si="3"/>
        <v>STAMBAUGH JAMES</v>
      </c>
    </row>
    <row r="217" spans="1:7" x14ac:dyDescent="0.25">
      <c r="A217" s="8">
        <v>42848.009062500001</v>
      </c>
      <c r="B217" s="20" t="s">
        <v>434</v>
      </c>
      <c r="C217" s="20" t="s">
        <v>817</v>
      </c>
      <c r="D217" s="146">
        <v>2600000</v>
      </c>
      <c r="E217" s="20" t="s">
        <v>772</v>
      </c>
      <c r="F217" s="20" t="s">
        <v>773</v>
      </c>
      <c r="G217" s="8" t="str">
        <f t="shared" si="3"/>
        <v>DAVIDSON DAVID</v>
      </c>
    </row>
    <row r="218" spans="1:7" x14ac:dyDescent="0.25">
      <c r="A218" s="8">
        <v>42848.016087962962</v>
      </c>
      <c r="B218" s="20" t="s">
        <v>634</v>
      </c>
      <c r="C218" s="20" t="s">
        <v>818</v>
      </c>
      <c r="D218" s="146">
        <v>2610000</v>
      </c>
      <c r="E218" s="20" t="s">
        <v>614</v>
      </c>
      <c r="F218" s="20" t="s">
        <v>615</v>
      </c>
      <c r="G218" s="8" t="str">
        <f t="shared" si="3"/>
        <v>MAGEE KENYA</v>
      </c>
    </row>
    <row r="219" spans="1:7" x14ac:dyDescent="0.25">
      <c r="A219" s="8">
        <v>42848.034074074072</v>
      </c>
      <c r="B219" s="20" t="s">
        <v>486</v>
      </c>
      <c r="C219" s="20" t="s">
        <v>819</v>
      </c>
      <c r="D219" s="146">
        <v>2000000</v>
      </c>
      <c r="E219" s="20" t="s">
        <v>355</v>
      </c>
      <c r="F219" s="20" t="s">
        <v>193</v>
      </c>
      <c r="G219" s="8" t="str">
        <f t="shared" si="3"/>
        <v>STAMBAUGH JAMES</v>
      </c>
    </row>
    <row r="220" spans="1:7" x14ac:dyDescent="0.25">
      <c r="A220" s="8">
        <v>42848.034108796295</v>
      </c>
      <c r="B220" s="20" t="s">
        <v>585</v>
      </c>
      <c r="C220" s="20" t="s">
        <v>820</v>
      </c>
      <c r="D220" s="146">
        <v>2270000</v>
      </c>
      <c r="E220" s="20" t="s">
        <v>206</v>
      </c>
      <c r="F220" s="20" t="s">
        <v>207</v>
      </c>
      <c r="G220" s="8" t="str">
        <f t="shared" si="3"/>
        <v>BROWN JACOB</v>
      </c>
    </row>
    <row r="221" spans="1:7" x14ac:dyDescent="0.25">
      <c r="A221" s="8">
        <v>42848.049502314818</v>
      </c>
      <c r="B221" s="20" t="s">
        <v>433</v>
      </c>
      <c r="C221" s="20" t="s">
        <v>821</v>
      </c>
      <c r="D221" s="146">
        <v>2600000</v>
      </c>
      <c r="E221" s="20" t="s">
        <v>772</v>
      </c>
      <c r="F221" s="20" t="s">
        <v>773</v>
      </c>
      <c r="G221" s="8" t="str">
        <f t="shared" si="3"/>
        <v>DAVIDSON DAVID</v>
      </c>
    </row>
    <row r="222" spans="1:7" x14ac:dyDescent="0.25">
      <c r="A222" s="8">
        <v>42848.056689814817</v>
      </c>
      <c r="B222" s="20" t="s">
        <v>589</v>
      </c>
      <c r="C222" s="20" t="s">
        <v>822</v>
      </c>
      <c r="D222" s="146">
        <v>2610000</v>
      </c>
      <c r="E222" s="20" t="s">
        <v>614</v>
      </c>
      <c r="F222" s="20" t="s">
        <v>615</v>
      </c>
      <c r="G222" s="8" t="str">
        <f t="shared" si="3"/>
        <v>MAGEE KENYA</v>
      </c>
    </row>
    <row r="223" spans="1:7" x14ac:dyDescent="0.25">
      <c r="A223" s="8">
        <v>42848.067083333335</v>
      </c>
      <c r="B223" s="20" t="s">
        <v>488</v>
      </c>
      <c r="C223" s="20" t="s">
        <v>823</v>
      </c>
      <c r="D223" s="146">
        <v>2000000</v>
      </c>
      <c r="E223" s="20" t="s">
        <v>355</v>
      </c>
      <c r="F223" s="20" t="s">
        <v>193</v>
      </c>
      <c r="G223" s="8" t="str">
        <f t="shared" si="3"/>
        <v>STAMBAUGH JAMES</v>
      </c>
    </row>
    <row r="224" spans="1:7" x14ac:dyDescent="0.25">
      <c r="A224" s="8">
        <v>42848.074212962965</v>
      </c>
      <c r="B224" t="s">
        <v>591</v>
      </c>
      <c r="C224" t="s">
        <v>824</v>
      </c>
      <c r="D224" s="146">
        <v>2270000</v>
      </c>
      <c r="E224" t="s">
        <v>206</v>
      </c>
      <c r="F224" s="20" t="s">
        <v>207</v>
      </c>
      <c r="G224" s="8" t="str">
        <f t="shared" si="3"/>
        <v>BROWN JACOB</v>
      </c>
    </row>
    <row r="225" spans="1:7" x14ac:dyDescent="0.25">
      <c r="A225" s="8">
        <v>42848.09003472222</v>
      </c>
      <c r="B225" t="s">
        <v>634</v>
      </c>
      <c r="C225" t="s">
        <v>825</v>
      </c>
      <c r="D225" s="146">
        <v>2610000</v>
      </c>
      <c r="E225" t="s">
        <v>614</v>
      </c>
      <c r="F225" s="20" t="s">
        <v>615</v>
      </c>
      <c r="G225" s="8" t="str">
        <f t="shared" si="3"/>
        <v>MAGEE KENYA</v>
      </c>
    </row>
    <row r="226" spans="1:7" x14ac:dyDescent="0.25">
      <c r="A226" s="8">
        <v>42848.111493055556</v>
      </c>
      <c r="B226" t="s">
        <v>585</v>
      </c>
      <c r="C226" t="s">
        <v>826</v>
      </c>
      <c r="D226" s="146">
        <v>2270000</v>
      </c>
      <c r="E226" t="s">
        <v>206</v>
      </c>
      <c r="F226" s="20" t="s">
        <v>207</v>
      </c>
      <c r="G226" s="8" t="str">
        <f t="shared" si="3"/>
        <v>BROWN JACOB</v>
      </c>
    </row>
    <row r="227" spans="1:7" x14ac:dyDescent="0.25">
      <c r="A227" s="8">
        <v>42845.931041666663</v>
      </c>
      <c r="B227" t="s">
        <v>395</v>
      </c>
      <c r="C227" t="s">
        <v>535</v>
      </c>
      <c r="D227" s="146">
        <v>1810000</v>
      </c>
      <c r="E227" t="s">
        <v>373</v>
      </c>
      <c r="F227" s="20" t="s">
        <v>193</v>
      </c>
      <c r="G227" s="8" t="str">
        <f t="shared" si="3"/>
        <v>NEWELL JAMES</v>
      </c>
    </row>
    <row r="228" spans="1:7" x14ac:dyDescent="0.25">
      <c r="A228" s="8">
        <v>42845.942743055559</v>
      </c>
      <c r="B228" t="s">
        <v>464</v>
      </c>
      <c r="C228" t="s">
        <v>536</v>
      </c>
      <c r="D228" s="146">
        <v>1740000</v>
      </c>
      <c r="E228" t="s">
        <v>374</v>
      </c>
      <c r="F228" s="20" t="s">
        <v>375</v>
      </c>
      <c r="G228" s="8" t="str">
        <f t="shared" si="3"/>
        <v>STORY SAMANTHA</v>
      </c>
    </row>
    <row r="229" spans="1:7" x14ac:dyDescent="0.25">
      <c r="A229" s="8">
        <v>42845.947071759256</v>
      </c>
      <c r="B229" t="s">
        <v>490</v>
      </c>
      <c r="C229" t="s">
        <v>537</v>
      </c>
      <c r="D229" s="146">
        <v>2560000</v>
      </c>
      <c r="E229" t="s">
        <v>530</v>
      </c>
      <c r="F229" s="20" t="s">
        <v>531</v>
      </c>
      <c r="G229" s="8" t="str">
        <f t="shared" si="3"/>
        <v>MACDONALD THOMAS</v>
      </c>
    </row>
    <row r="230" spans="1:7" x14ac:dyDescent="0.25">
      <c r="A230" s="8">
        <v>42845.949166666665</v>
      </c>
      <c r="B230" t="s">
        <v>354</v>
      </c>
      <c r="C230" t="s">
        <v>525</v>
      </c>
      <c r="D230" s="146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42845.950706018521</v>
      </c>
      <c r="B231" t="s">
        <v>403</v>
      </c>
      <c r="C231" t="s">
        <v>536</v>
      </c>
      <c r="D231" s="146">
        <v>1740000</v>
      </c>
      <c r="E231" t="s">
        <v>374</v>
      </c>
      <c r="F231" s="20" t="s">
        <v>375</v>
      </c>
      <c r="G231" s="8" t="str">
        <f t="shared" si="3"/>
        <v>STORY SAMANTHA</v>
      </c>
    </row>
    <row r="232" spans="1:7" x14ac:dyDescent="0.25">
      <c r="A232" s="8">
        <v>42845.965462962966</v>
      </c>
      <c r="B232" t="s">
        <v>398</v>
      </c>
      <c r="C232" t="s">
        <v>538</v>
      </c>
      <c r="D232" s="146">
        <v>1810000</v>
      </c>
      <c r="E232" t="s">
        <v>373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42845.974074074074</v>
      </c>
      <c r="B233" t="s">
        <v>488</v>
      </c>
      <c r="C233" t="s">
        <v>539</v>
      </c>
      <c r="D233" s="146">
        <v>2540000</v>
      </c>
      <c r="E233" t="s">
        <v>503</v>
      </c>
      <c r="F233" s="20" t="s">
        <v>504</v>
      </c>
      <c r="G233" s="8" t="str">
        <f t="shared" si="3"/>
        <v>MCREYNOLDS KYLE</v>
      </c>
    </row>
    <row r="234" spans="1:7" x14ac:dyDescent="0.25">
      <c r="A234" s="8">
        <v>42845.975717592592</v>
      </c>
      <c r="B234" t="s">
        <v>434</v>
      </c>
      <c r="C234" t="s">
        <v>540</v>
      </c>
      <c r="D234" s="146">
        <v>2730000</v>
      </c>
      <c r="E234" t="s">
        <v>469</v>
      </c>
      <c r="F234" s="20" t="s">
        <v>470</v>
      </c>
      <c r="G234" s="8" t="str">
        <f t="shared" si="3"/>
        <v>YANG JAN</v>
      </c>
    </row>
    <row r="235" spans="1:7" x14ac:dyDescent="0.25">
      <c r="A235" s="8">
        <v>42845.993125000001</v>
      </c>
      <c r="B235" t="s">
        <v>353</v>
      </c>
      <c r="C235" t="s">
        <v>541</v>
      </c>
      <c r="D235" s="146">
        <v>2270000</v>
      </c>
      <c r="E235" t="s">
        <v>206</v>
      </c>
      <c r="F235" s="20" t="s">
        <v>207</v>
      </c>
      <c r="G235" s="8" t="str">
        <f t="shared" si="3"/>
        <v>BROWN JACOB</v>
      </c>
    </row>
    <row r="236" spans="1:7" x14ac:dyDescent="0.25">
      <c r="A236" s="8">
        <v>42845.996018518519</v>
      </c>
      <c r="B236" t="s">
        <v>487</v>
      </c>
      <c r="C236" t="s">
        <v>542</v>
      </c>
      <c r="D236" s="146">
        <v>2560000</v>
      </c>
      <c r="E236" t="s">
        <v>530</v>
      </c>
      <c r="F236" s="20" t="s">
        <v>531</v>
      </c>
      <c r="G236" s="8" t="str">
        <f t="shared" si="3"/>
        <v>MACDONALD THOMAS</v>
      </c>
    </row>
    <row r="237" spans="1:7" x14ac:dyDescent="0.25">
      <c r="A237" s="8">
        <v>42846.015127314815</v>
      </c>
      <c r="B237" t="s">
        <v>395</v>
      </c>
      <c r="C237" t="s">
        <v>543</v>
      </c>
      <c r="D237" s="146">
        <v>1810000</v>
      </c>
      <c r="E237" t="s">
        <v>373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42846.016134259262</v>
      </c>
      <c r="B238" t="s">
        <v>433</v>
      </c>
      <c r="C238" t="s">
        <v>544</v>
      </c>
      <c r="D238" s="146">
        <v>2730000</v>
      </c>
      <c r="E238" t="s">
        <v>469</v>
      </c>
      <c r="F238" s="20" t="s">
        <v>470</v>
      </c>
      <c r="G238" s="8" t="str">
        <f t="shared" si="3"/>
        <v>YANG JAN</v>
      </c>
    </row>
    <row r="239" spans="1:7" x14ac:dyDescent="0.25">
      <c r="A239" s="8">
        <v>42846.02920138889</v>
      </c>
      <c r="B239" t="s">
        <v>490</v>
      </c>
      <c r="C239" t="s">
        <v>545</v>
      </c>
      <c r="D239" s="146">
        <v>2560000</v>
      </c>
      <c r="E239" t="s">
        <v>530</v>
      </c>
      <c r="F239" s="20" t="s">
        <v>531</v>
      </c>
      <c r="G239" s="8" t="str">
        <f t="shared" si="3"/>
        <v>MACDONALD THOMAS</v>
      </c>
    </row>
    <row r="240" spans="1:7" x14ac:dyDescent="0.25">
      <c r="A240" s="8">
        <v>42846.038831018515</v>
      </c>
      <c r="B240" t="s">
        <v>354</v>
      </c>
      <c r="C240" t="s">
        <v>546</v>
      </c>
      <c r="D240" s="146">
        <v>2270000</v>
      </c>
      <c r="E240" t="s">
        <v>206</v>
      </c>
      <c r="F240" s="20" t="s">
        <v>207</v>
      </c>
      <c r="G240" s="8" t="str">
        <f t="shared" si="3"/>
        <v>BROWN JACOB</v>
      </c>
    </row>
    <row r="241" spans="1:7" x14ac:dyDescent="0.25">
      <c r="A241" s="8">
        <v>42846.052951388891</v>
      </c>
      <c r="B241" t="s">
        <v>398</v>
      </c>
      <c r="C241" t="s">
        <v>547</v>
      </c>
      <c r="D241" s="146">
        <v>1810000</v>
      </c>
      <c r="E241" t="s">
        <v>373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42846.055810185186</v>
      </c>
      <c r="B242" t="s">
        <v>434</v>
      </c>
      <c r="C242" t="s">
        <v>548</v>
      </c>
      <c r="D242" s="146">
        <v>2730000</v>
      </c>
      <c r="E242" t="s">
        <v>469</v>
      </c>
      <c r="F242" s="20" t="s">
        <v>470</v>
      </c>
      <c r="G242" s="8" t="str">
        <f t="shared" si="3"/>
        <v>YANG JAN</v>
      </c>
    </row>
    <row r="243" spans="1:7" x14ac:dyDescent="0.25">
      <c r="A243" s="8">
        <v>42846.072175925925</v>
      </c>
      <c r="B243" t="s">
        <v>353</v>
      </c>
      <c r="C243" t="s">
        <v>549</v>
      </c>
      <c r="D243" s="146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42846.090555555558</v>
      </c>
      <c r="B244" t="s">
        <v>433</v>
      </c>
      <c r="C244" t="s">
        <v>550</v>
      </c>
      <c r="D244" s="146">
        <v>2730000</v>
      </c>
      <c r="E244" t="s">
        <v>469</v>
      </c>
      <c r="F244" s="20" t="s">
        <v>470</v>
      </c>
      <c r="G244" s="8" t="str">
        <f t="shared" si="3"/>
        <v>YANG JAN</v>
      </c>
    </row>
    <row r="245" spans="1:7" x14ac:dyDescent="0.25">
      <c r="A245" s="8">
        <v>42846.11414351852</v>
      </c>
      <c r="B245" t="s">
        <v>446</v>
      </c>
      <c r="C245" t="s">
        <v>551</v>
      </c>
      <c r="D245" s="146">
        <v>2550000</v>
      </c>
      <c r="E245" t="s">
        <v>491</v>
      </c>
      <c r="F245" s="20" t="s">
        <v>492</v>
      </c>
      <c r="G245" s="8" t="str">
        <f t="shared" si="3"/>
        <v>BADERTSCHER DIANE</v>
      </c>
    </row>
    <row r="246" spans="1:7" x14ac:dyDescent="0.25">
      <c r="A246" s="8">
        <v>42845.028541666667</v>
      </c>
      <c r="B246" t="s">
        <v>419</v>
      </c>
      <c r="C246" t="s">
        <v>505</v>
      </c>
      <c r="D246" s="146">
        <v>2150000</v>
      </c>
      <c r="E246" t="s">
        <v>351</v>
      </c>
      <c r="F246" s="20" t="s">
        <v>352</v>
      </c>
      <c r="G246" s="8" t="str">
        <f t="shared" si="3"/>
        <v>SWANSON BRYCE</v>
      </c>
    </row>
    <row r="247" spans="1:7" x14ac:dyDescent="0.25">
      <c r="A247" s="8">
        <v>42845.035798611112</v>
      </c>
      <c r="B247" t="s">
        <v>397</v>
      </c>
      <c r="C247" t="s">
        <v>506</v>
      </c>
      <c r="D247" s="146">
        <v>2270000</v>
      </c>
      <c r="E247" t="s">
        <v>206</v>
      </c>
      <c r="F247" s="20" t="s">
        <v>207</v>
      </c>
      <c r="G247" s="8" t="str">
        <f t="shared" si="3"/>
        <v>BROWN JACOB</v>
      </c>
    </row>
    <row r="248" spans="1:7" x14ac:dyDescent="0.25">
      <c r="A248" s="8">
        <v>42845.047743055555</v>
      </c>
      <c r="B248" t="s">
        <v>489</v>
      </c>
      <c r="C248" t="s">
        <v>507</v>
      </c>
      <c r="D248" s="146">
        <v>1740000</v>
      </c>
      <c r="E248" t="s">
        <v>374</v>
      </c>
      <c r="F248" s="20" t="s">
        <v>375</v>
      </c>
      <c r="G248" s="8" t="str">
        <f t="shared" si="3"/>
        <v>STORY SAMANTHA</v>
      </c>
    </row>
    <row r="249" spans="1:7" x14ac:dyDescent="0.25">
      <c r="A249" s="8">
        <v>42845.056550925925</v>
      </c>
      <c r="B249" t="s">
        <v>378</v>
      </c>
      <c r="C249" t="s">
        <v>508</v>
      </c>
      <c r="D249" s="146">
        <v>1810000</v>
      </c>
      <c r="E249" t="s">
        <v>373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42845.068842592591</v>
      </c>
      <c r="B250" t="s">
        <v>396</v>
      </c>
      <c r="C250" t="s">
        <v>509</v>
      </c>
      <c r="D250" s="146">
        <v>2270000</v>
      </c>
      <c r="E250" t="s">
        <v>206</v>
      </c>
      <c r="F250" s="20" t="s">
        <v>207</v>
      </c>
      <c r="G250" s="8" t="str">
        <f t="shared" si="3"/>
        <v>BROWN JACOB</v>
      </c>
    </row>
    <row r="251" spans="1:7" x14ac:dyDescent="0.25">
      <c r="A251" s="8">
        <v>42845.089733796296</v>
      </c>
      <c r="B251" t="s">
        <v>377</v>
      </c>
      <c r="C251" t="s">
        <v>510</v>
      </c>
      <c r="D251" s="146">
        <v>1810000</v>
      </c>
      <c r="E251" t="s">
        <v>373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449</v>
      </c>
      <c r="C252" t="s">
        <v>466</v>
      </c>
      <c r="D252" s="146">
        <v>2730000</v>
      </c>
      <c r="E252" t="s">
        <v>469</v>
      </c>
      <c r="F252" s="20" t="s">
        <v>470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424</v>
      </c>
      <c r="C253" t="s">
        <v>472</v>
      </c>
      <c r="D253" s="146">
        <v>1740000</v>
      </c>
      <c r="E253" t="s">
        <v>374</v>
      </c>
      <c r="F253" s="20" t="s">
        <v>375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450</v>
      </c>
      <c r="C254" t="s">
        <v>471</v>
      </c>
      <c r="D254" s="146">
        <v>2730000</v>
      </c>
      <c r="E254" t="s">
        <v>469</v>
      </c>
      <c r="F254" s="20" t="s">
        <v>470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395</v>
      </c>
      <c r="C255" t="s">
        <v>473</v>
      </c>
      <c r="D255" s="146">
        <v>1800000</v>
      </c>
      <c r="E255" t="s">
        <v>371</v>
      </c>
      <c r="F255" s="20" t="s">
        <v>372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449</v>
      </c>
      <c r="C256" t="s">
        <v>466</v>
      </c>
      <c r="D256" s="146">
        <v>2730000</v>
      </c>
      <c r="E256" t="s">
        <v>469</v>
      </c>
      <c r="F256" s="20" t="s">
        <v>470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357</v>
      </c>
      <c r="C257" t="s">
        <v>467</v>
      </c>
      <c r="D257" s="146">
        <v>2000000</v>
      </c>
      <c r="E257" t="s">
        <v>355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465</v>
      </c>
      <c r="C258" t="s">
        <v>474</v>
      </c>
      <c r="D258" s="146">
        <v>1810000</v>
      </c>
      <c r="E258" t="s">
        <v>373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398</v>
      </c>
      <c r="C259" t="s">
        <v>369</v>
      </c>
      <c r="D259" s="146">
        <v>1800000</v>
      </c>
      <c r="E259" t="s">
        <v>371</v>
      </c>
      <c r="F259" s="20" t="s">
        <v>372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435</v>
      </c>
      <c r="C260" t="s">
        <v>363</v>
      </c>
      <c r="D260" s="146">
        <v>1740000</v>
      </c>
      <c r="E260" t="s">
        <v>374</v>
      </c>
      <c r="F260" s="20" t="s">
        <v>375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450</v>
      </c>
      <c r="C261" t="s">
        <v>471</v>
      </c>
      <c r="D261" s="146">
        <v>2730000</v>
      </c>
      <c r="E261" t="s">
        <v>469</v>
      </c>
      <c r="F261" s="20" t="s">
        <v>470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468</v>
      </c>
      <c r="C262" t="s">
        <v>364</v>
      </c>
      <c r="D262" s="146">
        <v>1810000</v>
      </c>
      <c r="E262" t="s">
        <v>373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389</v>
      </c>
      <c r="C263" t="s">
        <v>365</v>
      </c>
      <c r="D263" s="146">
        <v>2000000</v>
      </c>
      <c r="E263" t="s">
        <v>355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424</v>
      </c>
      <c r="C264" t="s">
        <v>366</v>
      </c>
      <c r="D264" s="146">
        <v>1740000</v>
      </c>
      <c r="E264" t="s">
        <v>374</v>
      </c>
      <c r="F264" s="20" t="s">
        <v>375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357</v>
      </c>
      <c r="C265" t="s">
        <v>368</v>
      </c>
      <c r="D265" s="146">
        <v>2000000</v>
      </c>
      <c r="E265" t="s">
        <v>355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358</v>
      </c>
      <c r="C266" t="s">
        <v>404</v>
      </c>
      <c r="D266" s="146">
        <v>2680000</v>
      </c>
      <c r="E266" t="s">
        <v>392</v>
      </c>
      <c r="F266" s="20" t="s">
        <v>393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359</v>
      </c>
      <c r="C267" t="s">
        <v>402</v>
      </c>
      <c r="D267" s="146">
        <v>2680000</v>
      </c>
      <c r="E267" t="s">
        <v>392</v>
      </c>
      <c r="F267" s="20" t="s">
        <v>393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385</v>
      </c>
      <c r="C268" t="s">
        <v>405</v>
      </c>
      <c r="D268" s="146">
        <v>1740000</v>
      </c>
      <c r="E268" t="s">
        <v>374</v>
      </c>
      <c r="F268" s="20" t="s">
        <v>375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378</v>
      </c>
      <c r="C269" t="s">
        <v>406</v>
      </c>
      <c r="D269" s="146">
        <v>1800000</v>
      </c>
      <c r="E269" t="s">
        <v>371</v>
      </c>
      <c r="F269" s="20" t="s">
        <v>372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358</v>
      </c>
      <c r="C270" t="s">
        <v>404</v>
      </c>
      <c r="D270" s="146">
        <v>2680000</v>
      </c>
      <c r="E270" t="s">
        <v>392</v>
      </c>
      <c r="F270" s="20" t="s">
        <v>393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359</v>
      </c>
      <c r="C271" t="s">
        <v>402</v>
      </c>
      <c r="D271" s="146">
        <v>2680000</v>
      </c>
      <c r="E271" t="s">
        <v>392</v>
      </c>
      <c r="F271" s="20" t="s">
        <v>393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357</v>
      </c>
      <c r="C272" t="s">
        <v>407</v>
      </c>
      <c r="D272" s="146">
        <v>2970000</v>
      </c>
      <c r="E272" t="s">
        <v>399</v>
      </c>
      <c r="F272" s="20" t="s">
        <v>400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358</v>
      </c>
      <c r="C273" t="s">
        <v>404</v>
      </c>
      <c r="D273" s="146">
        <v>2680000</v>
      </c>
      <c r="E273" t="s">
        <v>392</v>
      </c>
      <c r="F273" s="20" t="s">
        <v>393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359</v>
      </c>
      <c r="C274" t="s">
        <v>402</v>
      </c>
      <c r="D274" s="146">
        <v>2680000</v>
      </c>
      <c r="E274" t="s">
        <v>392</v>
      </c>
      <c r="F274" s="20" t="s">
        <v>393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397</v>
      </c>
      <c r="C275" t="s">
        <v>408</v>
      </c>
      <c r="D275" s="146">
        <v>1810000</v>
      </c>
      <c r="E275" t="s">
        <v>373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358</v>
      </c>
      <c r="C276" t="s">
        <v>404</v>
      </c>
      <c r="D276" s="146">
        <v>2680000</v>
      </c>
      <c r="E276" t="s">
        <v>392</v>
      </c>
      <c r="F276" s="20" t="s">
        <v>393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359</v>
      </c>
      <c r="C277" t="s">
        <v>402</v>
      </c>
      <c r="D277" s="146">
        <v>2680000</v>
      </c>
      <c r="E277" t="s">
        <v>392</v>
      </c>
      <c r="F277" s="20" t="s">
        <v>393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358</v>
      </c>
      <c r="C278" t="s">
        <v>404</v>
      </c>
      <c r="D278" s="146">
        <v>2680000</v>
      </c>
      <c r="E278" t="s">
        <v>392</v>
      </c>
      <c r="F278" s="20" t="s">
        <v>393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377</v>
      </c>
      <c r="C279" t="s">
        <v>409</v>
      </c>
      <c r="D279" s="146">
        <v>1800000</v>
      </c>
      <c r="E279" t="s">
        <v>371</v>
      </c>
      <c r="F279" s="20" t="s">
        <v>372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388</v>
      </c>
      <c r="C280" t="s">
        <v>410</v>
      </c>
      <c r="D280" s="146">
        <v>1740000</v>
      </c>
      <c r="E280" t="s">
        <v>374</v>
      </c>
      <c r="F280" s="20" t="s">
        <v>375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389</v>
      </c>
      <c r="C281" t="s">
        <v>411</v>
      </c>
      <c r="D281" s="146">
        <v>2970000</v>
      </c>
      <c r="E281" t="s">
        <v>399</v>
      </c>
      <c r="F281" s="20" t="s">
        <v>400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396</v>
      </c>
      <c r="C282" t="s">
        <v>412</v>
      </c>
      <c r="D282" s="146">
        <v>1810000</v>
      </c>
      <c r="E282" t="s">
        <v>373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385</v>
      </c>
      <c r="C283" t="s">
        <v>413</v>
      </c>
      <c r="D283" s="146">
        <v>1740000</v>
      </c>
      <c r="E283" t="s">
        <v>374</v>
      </c>
      <c r="F283" s="20" t="s">
        <v>375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359</v>
      </c>
      <c r="C284" t="s">
        <v>402</v>
      </c>
      <c r="D284" s="146">
        <v>2680000</v>
      </c>
      <c r="E284" t="s">
        <v>392</v>
      </c>
      <c r="F284" s="20" t="s">
        <v>393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359</v>
      </c>
      <c r="C285" t="s">
        <v>402</v>
      </c>
      <c r="D285" s="146">
        <v>2680000</v>
      </c>
      <c r="E285" t="s">
        <v>392</v>
      </c>
      <c r="F285" s="20" t="s">
        <v>393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357</v>
      </c>
      <c r="C286" t="s">
        <v>414</v>
      </c>
      <c r="D286" s="146">
        <v>2970000</v>
      </c>
      <c r="E286" t="s">
        <v>399</v>
      </c>
      <c r="F286" s="20" t="s">
        <v>400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363</v>
      </c>
      <c r="D287" s="146">
        <v>2230000</v>
      </c>
      <c r="E287" t="s">
        <v>360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356</v>
      </c>
      <c r="C288" t="s">
        <v>364</v>
      </c>
      <c r="D288" s="146">
        <v>2000000</v>
      </c>
      <c r="E288" t="s">
        <v>355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361</v>
      </c>
      <c r="C289" t="s">
        <v>365</v>
      </c>
      <c r="D289" s="146">
        <v>2150000</v>
      </c>
      <c r="E289" t="s">
        <v>351</v>
      </c>
      <c r="F289" s="20" t="s">
        <v>352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361</v>
      </c>
      <c r="C290" t="s">
        <v>365</v>
      </c>
      <c r="D290" s="146">
        <v>2150000</v>
      </c>
      <c r="E290" t="s">
        <v>351</v>
      </c>
      <c r="F290" s="20" t="s">
        <v>352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361</v>
      </c>
      <c r="C291" t="s">
        <v>365</v>
      </c>
      <c r="D291" s="146">
        <v>2150000</v>
      </c>
      <c r="E291" t="s">
        <v>351</v>
      </c>
      <c r="F291" s="20" t="s">
        <v>352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362</v>
      </c>
      <c r="C292" t="s">
        <v>366</v>
      </c>
      <c r="D292" s="146">
        <v>2230000</v>
      </c>
      <c r="E292" t="s">
        <v>360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353</v>
      </c>
      <c r="C293" t="s">
        <v>367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353</v>
      </c>
      <c r="C294" t="s">
        <v>367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353</v>
      </c>
      <c r="C295" t="s">
        <v>367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359</v>
      </c>
      <c r="C296" t="s">
        <v>368</v>
      </c>
      <c r="D296" s="146">
        <v>2150000</v>
      </c>
      <c r="E296" t="s">
        <v>351</v>
      </c>
      <c r="F296" s="20" t="s">
        <v>352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354</v>
      </c>
      <c r="C297" t="s">
        <v>369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511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40.200000000000003</v>
      </c>
      <c r="B2" s="164">
        <v>0.49</v>
      </c>
      <c r="C2" s="164">
        <v>35.69</v>
      </c>
      <c r="D2" s="8">
        <v>42847</v>
      </c>
      <c r="E2" s="164">
        <v>0.84</v>
      </c>
      <c r="F2" s="164" t="s">
        <v>425</v>
      </c>
      <c r="G2" s="164">
        <v>370.99</v>
      </c>
      <c r="H2" s="164">
        <v>2.5000000000000001E-3</v>
      </c>
      <c r="I2" s="164">
        <v>7.0000000000000007E-2</v>
      </c>
      <c r="J2" s="164" t="s">
        <v>512</v>
      </c>
      <c r="K2" s="164">
        <v>1023.8</v>
      </c>
      <c r="L2" s="164" t="s">
        <v>344</v>
      </c>
      <c r="M2" s="164">
        <v>40.200000000000003</v>
      </c>
      <c r="N2" s="164">
        <v>1492840800</v>
      </c>
      <c r="O2" s="164">
        <v>2.29</v>
      </c>
      <c r="P2" s="164">
        <v>80</v>
      </c>
      <c r="Q2" s="164">
        <v>1.92</v>
      </c>
      <c r="R2"/>
    </row>
    <row r="3" spans="1:18" x14ac:dyDescent="0.25">
      <c r="A3" s="164">
        <v>39.090000000000003</v>
      </c>
      <c r="B3" s="164">
        <v>0.45</v>
      </c>
      <c r="C3" s="164">
        <v>35.03</v>
      </c>
      <c r="D3" s="8">
        <v>42847.041666666664</v>
      </c>
      <c r="E3" s="164">
        <v>0.85</v>
      </c>
      <c r="F3" s="164" t="s">
        <v>425</v>
      </c>
      <c r="G3" s="164">
        <v>371.98</v>
      </c>
      <c r="H3" s="164">
        <v>1.1000000000000001E-3</v>
      </c>
      <c r="I3" s="164">
        <v>0.01</v>
      </c>
      <c r="J3" s="164" t="s">
        <v>512</v>
      </c>
      <c r="K3" s="164">
        <v>1023.95</v>
      </c>
      <c r="L3" s="164" t="s">
        <v>344</v>
      </c>
      <c r="M3" s="164">
        <v>39.090000000000003</v>
      </c>
      <c r="N3" s="164">
        <v>1492844400</v>
      </c>
      <c r="O3" s="164">
        <v>2.1800000000000002</v>
      </c>
      <c r="P3" s="164">
        <v>71</v>
      </c>
      <c r="Q3" s="164">
        <v>1.5</v>
      </c>
      <c r="R3"/>
    </row>
    <row r="4" spans="1:18" x14ac:dyDescent="0.25">
      <c r="A4" s="164">
        <v>40.119999999999997</v>
      </c>
      <c r="B4" s="164">
        <v>0.42</v>
      </c>
      <c r="C4" s="164">
        <v>36.32</v>
      </c>
      <c r="D4" s="8">
        <v>42847.083333333336</v>
      </c>
      <c r="E4" s="164">
        <v>0.86</v>
      </c>
      <c r="F4" s="164" t="s">
        <v>425</v>
      </c>
      <c r="G4" s="164">
        <v>372.96</v>
      </c>
      <c r="H4" s="164">
        <v>0</v>
      </c>
      <c r="I4" s="164">
        <v>0</v>
      </c>
      <c r="J4" s="164"/>
      <c r="K4" s="164">
        <v>1024.0999999999999</v>
      </c>
      <c r="L4" s="164" t="s">
        <v>344</v>
      </c>
      <c r="M4" s="164">
        <v>40.119999999999997</v>
      </c>
      <c r="N4" s="164">
        <v>1492848000</v>
      </c>
      <c r="O4" s="164">
        <v>2.27</v>
      </c>
      <c r="P4" s="164">
        <v>80</v>
      </c>
      <c r="Q4" s="164">
        <v>1.4</v>
      </c>
      <c r="R4"/>
    </row>
    <row r="5" spans="1:18" x14ac:dyDescent="0.25">
      <c r="A5" s="164">
        <v>38.799999999999997</v>
      </c>
      <c r="B5" s="164">
        <v>0.39</v>
      </c>
      <c r="C5" s="164">
        <v>35.03</v>
      </c>
      <c r="D5" s="8">
        <v>42847.125</v>
      </c>
      <c r="E5" s="164">
        <v>0.86</v>
      </c>
      <c r="F5" s="164" t="s">
        <v>425</v>
      </c>
      <c r="G5" s="164">
        <v>373.95</v>
      </c>
      <c r="H5" s="164">
        <v>2.2000000000000001E-3</v>
      </c>
      <c r="I5" s="164">
        <v>0.06</v>
      </c>
      <c r="J5" s="164" t="s">
        <v>512</v>
      </c>
      <c r="K5" s="164">
        <v>1024.24</v>
      </c>
      <c r="L5" s="164" t="s">
        <v>344</v>
      </c>
      <c r="M5" s="164">
        <v>38.799999999999997</v>
      </c>
      <c r="N5" s="164">
        <v>1492851600</v>
      </c>
      <c r="O5" s="164">
        <v>2.36</v>
      </c>
      <c r="P5" s="164">
        <v>81</v>
      </c>
      <c r="Q5" s="164">
        <v>1.4</v>
      </c>
      <c r="R5"/>
    </row>
    <row r="6" spans="1:18" x14ac:dyDescent="0.25">
      <c r="A6" s="164">
        <v>38.72</v>
      </c>
      <c r="B6" s="164">
        <v>0.39</v>
      </c>
      <c r="C6" s="164">
        <v>35.76</v>
      </c>
      <c r="D6" s="8">
        <v>42847.166666666664</v>
      </c>
      <c r="E6" s="164">
        <v>0.89</v>
      </c>
      <c r="F6" s="164" t="s">
        <v>425</v>
      </c>
      <c r="G6" s="164">
        <v>373.04</v>
      </c>
      <c r="H6" s="164">
        <v>1.2999999999999999E-3</v>
      </c>
      <c r="I6" s="164">
        <v>0.02</v>
      </c>
      <c r="J6" s="164" t="s">
        <v>512</v>
      </c>
      <c r="K6" s="164">
        <v>1024.74</v>
      </c>
      <c r="L6" s="164" t="s">
        <v>344</v>
      </c>
      <c r="M6" s="164">
        <v>38.72</v>
      </c>
      <c r="N6" s="164">
        <v>1492855200</v>
      </c>
      <c r="O6" s="164">
        <v>2.06</v>
      </c>
      <c r="P6" s="164">
        <v>83</v>
      </c>
      <c r="Q6" s="164">
        <v>1.61</v>
      </c>
      <c r="R6"/>
    </row>
    <row r="7" spans="1:18" x14ac:dyDescent="0.25">
      <c r="A7" s="164">
        <v>38.369999999999997</v>
      </c>
      <c r="B7" s="164">
        <v>0.4</v>
      </c>
      <c r="C7" s="164">
        <v>35.86</v>
      </c>
      <c r="D7" s="8">
        <v>42847.208333333336</v>
      </c>
      <c r="E7" s="164">
        <v>0.91</v>
      </c>
      <c r="F7" s="164" t="s">
        <v>827</v>
      </c>
      <c r="G7" s="164">
        <v>371.34</v>
      </c>
      <c r="H7" s="164">
        <v>3.8999999999999998E-3</v>
      </c>
      <c r="I7" s="164">
        <v>0.14000000000000001</v>
      </c>
      <c r="J7" s="164" t="s">
        <v>512</v>
      </c>
      <c r="K7" s="164">
        <v>1025.3699999999999</v>
      </c>
      <c r="L7" s="164" t="s">
        <v>828</v>
      </c>
      <c r="M7" s="164">
        <v>38.369999999999997</v>
      </c>
      <c r="N7" s="164">
        <v>1492858800</v>
      </c>
      <c r="O7" s="164">
        <v>1.94</v>
      </c>
      <c r="P7" s="164">
        <v>84</v>
      </c>
      <c r="Q7" s="164">
        <v>2.25</v>
      </c>
      <c r="R7"/>
    </row>
    <row r="8" spans="1:18" x14ac:dyDescent="0.25">
      <c r="A8" s="164">
        <v>37.49</v>
      </c>
      <c r="B8" s="164">
        <v>0.47</v>
      </c>
      <c r="C8" s="164">
        <v>35.450000000000003</v>
      </c>
      <c r="D8" s="8">
        <v>42847.25</v>
      </c>
      <c r="E8" s="164">
        <v>0.92</v>
      </c>
      <c r="F8" s="164" t="s">
        <v>512</v>
      </c>
      <c r="G8" s="164">
        <v>369.87</v>
      </c>
      <c r="H8" s="164">
        <v>5.1000000000000004E-3</v>
      </c>
      <c r="I8" s="164">
        <v>0.22</v>
      </c>
      <c r="J8" s="164" t="s">
        <v>512</v>
      </c>
      <c r="K8" s="164">
        <v>1025.76</v>
      </c>
      <c r="L8" s="164" t="s">
        <v>513</v>
      </c>
      <c r="M8" s="164">
        <v>37.49</v>
      </c>
      <c r="N8" s="164">
        <v>1492862400</v>
      </c>
      <c r="O8" s="164">
        <v>1.62</v>
      </c>
      <c r="P8" s="164">
        <v>83</v>
      </c>
      <c r="Q8" s="164">
        <v>2.59</v>
      </c>
      <c r="R8"/>
    </row>
    <row r="9" spans="1:18" x14ac:dyDescent="0.25">
      <c r="A9" s="164">
        <v>37.83</v>
      </c>
      <c r="B9" s="164">
        <v>0.62</v>
      </c>
      <c r="C9" s="164">
        <v>35.869999999999997</v>
      </c>
      <c r="D9" s="8">
        <v>42847.291666666664</v>
      </c>
      <c r="E9" s="164">
        <v>0.93</v>
      </c>
      <c r="F9" s="164" t="s">
        <v>827</v>
      </c>
      <c r="G9" s="164">
        <v>369.84</v>
      </c>
      <c r="H9" s="164">
        <v>3.8E-3</v>
      </c>
      <c r="I9" s="164">
        <v>0.14000000000000001</v>
      </c>
      <c r="J9" s="164" t="s">
        <v>512</v>
      </c>
      <c r="K9" s="164">
        <v>1025.83</v>
      </c>
      <c r="L9" s="164" t="s">
        <v>828</v>
      </c>
      <c r="M9" s="164">
        <v>37.83</v>
      </c>
      <c r="N9" s="164">
        <v>1492866000</v>
      </c>
      <c r="O9" s="164">
        <v>1.67</v>
      </c>
      <c r="P9" s="164">
        <v>78</v>
      </c>
      <c r="Q9" s="164">
        <v>1.17</v>
      </c>
      <c r="R9"/>
    </row>
    <row r="10" spans="1:18" x14ac:dyDescent="0.25">
      <c r="A10" s="164">
        <v>38.43</v>
      </c>
      <c r="B10" s="164">
        <v>0.66</v>
      </c>
      <c r="C10" s="164">
        <v>35.409999999999997</v>
      </c>
      <c r="D10" s="8">
        <v>42847.333333333336</v>
      </c>
      <c r="E10" s="164">
        <v>0.89</v>
      </c>
      <c r="F10" s="164" t="s">
        <v>827</v>
      </c>
      <c r="G10" s="164">
        <v>370.03</v>
      </c>
      <c r="H10" s="164">
        <v>4.0000000000000001E-3</v>
      </c>
      <c r="I10" s="164">
        <v>0.15</v>
      </c>
      <c r="J10" s="164" t="s">
        <v>512</v>
      </c>
      <c r="K10" s="164">
        <v>1025.69</v>
      </c>
      <c r="L10" s="164" t="s">
        <v>828</v>
      </c>
      <c r="M10" s="164">
        <v>38.43</v>
      </c>
      <c r="N10" s="164">
        <v>1492869600</v>
      </c>
      <c r="O10" s="164">
        <v>1.74</v>
      </c>
      <c r="P10" s="164">
        <v>28</v>
      </c>
      <c r="Q10" s="164">
        <v>1.53</v>
      </c>
      <c r="R10"/>
    </row>
    <row r="11" spans="1:18" x14ac:dyDescent="0.25">
      <c r="A11" s="164">
        <v>40.57</v>
      </c>
      <c r="B11" s="164">
        <v>0.68</v>
      </c>
      <c r="C11" s="164">
        <v>36.78</v>
      </c>
      <c r="D11" s="8">
        <v>42847.375</v>
      </c>
      <c r="E11" s="164">
        <v>0.86</v>
      </c>
      <c r="F11" s="164" t="s">
        <v>437</v>
      </c>
      <c r="G11" s="164">
        <v>367.76</v>
      </c>
      <c r="H11" s="164">
        <v>1.5E-3</v>
      </c>
      <c r="I11" s="164">
        <v>0.03</v>
      </c>
      <c r="J11" s="164" t="s">
        <v>512</v>
      </c>
      <c r="K11" s="164">
        <v>1025.43</v>
      </c>
      <c r="L11" s="164" t="s">
        <v>460</v>
      </c>
      <c r="M11" s="164">
        <v>40.57</v>
      </c>
      <c r="N11" s="164">
        <v>1492873200</v>
      </c>
      <c r="O11" s="164">
        <v>4.34</v>
      </c>
      <c r="P11" s="164">
        <v>60</v>
      </c>
      <c r="Q11" s="164">
        <v>1.57</v>
      </c>
      <c r="R11"/>
    </row>
    <row r="12" spans="1:18" x14ac:dyDescent="0.25">
      <c r="A12" s="164">
        <v>43.83</v>
      </c>
      <c r="B12" s="164">
        <v>0.53</v>
      </c>
      <c r="C12" s="164">
        <v>37.79</v>
      </c>
      <c r="D12" s="8">
        <v>42847.416666666664</v>
      </c>
      <c r="E12" s="164">
        <v>0.79</v>
      </c>
      <c r="F12" s="164" t="s">
        <v>437</v>
      </c>
      <c r="G12" s="164">
        <v>361</v>
      </c>
      <c r="H12" s="164">
        <v>0</v>
      </c>
      <c r="I12" s="164">
        <v>0</v>
      </c>
      <c r="J12" s="164"/>
      <c r="K12" s="164">
        <v>1025.06</v>
      </c>
      <c r="L12" s="164" t="s">
        <v>344</v>
      </c>
      <c r="M12" s="164">
        <v>43.83</v>
      </c>
      <c r="N12" s="164">
        <v>1492876800</v>
      </c>
      <c r="O12" s="164">
        <v>2.16</v>
      </c>
      <c r="P12" s="164">
        <v>34</v>
      </c>
      <c r="Q12" s="164">
        <v>1.87</v>
      </c>
      <c r="R12"/>
    </row>
    <row r="13" spans="1:18" x14ac:dyDescent="0.25">
      <c r="A13" s="164">
        <v>46.93</v>
      </c>
      <c r="B13" s="164">
        <v>0.47</v>
      </c>
      <c r="C13" s="164">
        <v>37.71</v>
      </c>
      <c r="D13" s="8">
        <v>42847.458333333336</v>
      </c>
      <c r="E13" s="164">
        <v>0.7</v>
      </c>
      <c r="F13" s="164" t="s">
        <v>437</v>
      </c>
      <c r="G13" s="164">
        <v>351.79</v>
      </c>
      <c r="H13" s="164">
        <v>0</v>
      </c>
      <c r="I13" s="164">
        <v>0</v>
      </c>
      <c r="J13" s="164"/>
      <c r="K13" s="164">
        <v>1024.58</v>
      </c>
      <c r="L13" s="164" t="s">
        <v>344</v>
      </c>
      <c r="M13" s="164">
        <v>46.93</v>
      </c>
      <c r="N13" s="164">
        <v>1492880400</v>
      </c>
      <c r="O13" s="164">
        <v>2.56</v>
      </c>
      <c r="P13" s="164">
        <v>38</v>
      </c>
      <c r="Q13" s="164">
        <v>2.04</v>
      </c>
      <c r="R13"/>
    </row>
    <row r="14" spans="1:18" x14ac:dyDescent="0.25">
      <c r="A14" s="164">
        <v>51.12</v>
      </c>
      <c r="B14" s="164">
        <v>0.41</v>
      </c>
      <c r="C14" s="164">
        <v>38.5</v>
      </c>
      <c r="D14" s="8">
        <v>42847.5</v>
      </c>
      <c r="E14" s="164">
        <v>0.62</v>
      </c>
      <c r="F14" s="164" t="s">
        <v>437</v>
      </c>
      <c r="G14" s="164">
        <v>343.59</v>
      </c>
      <c r="H14" s="164">
        <v>0</v>
      </c>
      <c r="I14" s="164">
        <v>0</v>
      </c>
      <c r="J14" s="164"/>
      <c r="K14" s="164">
        <v>1024.03</v>
      </c>
      <c r="L14" s="164" t="s">
        <v>344</v>
      </c>
      <c r="M14" s="164">
        <v>51.12</v>
      </c>
      <c r="N14" s="164">
        <v>1492884000</v>
      </c>
      <c r="O14" s="164">
        <v>5.0199999999999996</v>
      </c>
      <c r="P14" s="164">
        <v>40</v>
      </c>
      <c r="Q14" s="164">
        <v>2.46</v>
      </c>
      <c r="R14"/>
    </row>
    <row r="15" spans="1:18" x14ac:dyDescent="0.25">
      <c r="A15" s="164">
        <v>53.08</v>
      </c>
      <c r="B15" s="164">
        <v>0.36</v>
      </c>
      <c r="C15" s="164">
        <v>35.51</v>
      </c>
      <c r="D15" s="8">
        <v>42847.541666666664</v>
      </c>
      <c r="E15" s="164">
        <v>0.51</v>
      </c>
      <c r="F15" s="164" t="s">
        <v>437</v>
      </c>
      <c r="G15" s="164">
        <v>337.64</v>
      </c>
      <c r="H15" s="164">
        <v>0</v>
      </c>
      <c r="I15" s="164">
        <v>0</v>
      </c>
      <c r="J15" s="164"/>
      <c r="K15" s="164">
        <v>1023.37</v>
      </c>
      <c r="L15" s="164" t="s">
        <v>344</v>
      </c>
      <c r="M15" s="164">
        <v>53.08</v>
      </c>
      <c r="N15" s="164">
        <v>1492887600</v>
      </c>
      <c r="O15" s="164">
        <v>4.03</v>
      </c>
      <c r="P15" s="164">
        <v>50</v>
      </c>
      <c r="Q15" s="164">
        <v>2.5</v>
      </c>
      <c r="R15"/>
    </row>
    <row r="16" spans="1:18" x14ac:dyDescent="0.25">
      <c r="A16" s="164">
        <v>55.49</v>
      </c>
      <c r="B16" s="164">
        <v>0.34</v>
      </c>
      <c r="C16" s="164">
        <v>34.31</v>
      </c>
      <c r="D16" s="8">
        <v>42847.583333333336</v>
      </c>
      <c r="E16" s="164">
        <v>0.45</v>
      </c>
      <c r="F16" s="164" t="s">
        <v>437</v>
      </c>
      <c r="G16" s="164">
        <v>332.71</v>
      </c>
      <c r="H16" s="164">
        <v>0</v>
      </c>
      <c r="I16" s="164">
        <v>0</v>
      </c>
      <c r="J16" s="164"/>
      <c r="K16" s="164">
        <v>1022.61</v>
      </c>
      <c r="L16" s="164" t="s">
        <v>344</v>
      </c>
      <c r="M16" s="164">
        <v>55.49</v>
      </c>
      <c r="N16" s="164">
        <v>1492891200</v>
      </c>
      <c r="O16" s="164">
        <v>4</v>
      </c>
      <c r="P16" s="164">
        <v>79</v>
      </c>
      <c r="Q16" s="164">
        <v>2.35</v>
      </c>
      <c r="R16"/>
    </row>
    <row r="17" spans="1:18" x14ac:dyDescent="0.25">
      <c r="A17" s="164">
        <v>57.35</v>
      </c>
      <c r="B17" s="164">
        <v>0.23</v>
      </c>
      <c r="C17" s="164">
        <v>32.520000000000003</v>
      </c>
      <c r="D17" s="8">
        <v>42847.625</v>
      </c>
      <c r="E17" s="164">
        <v>0.39</v>
      </c>
      <c r="F17" s="164" t="s">
        <v>829</v>
      </c>
      <c r="G17" s="164">
        <v>328.54</v>
      </c>
      <c r="H17" s="164">
        <v>0</v>
      </c>
      <c r="I17" s="164">
        <v>0</v>
      </c>
      <c r="J17" s="164"/>
      <c r="K17" s="164">
        <v>1021.88</v>
      </c>
      <c r="L17" s="164" t="s">
        <v>830</v>
      </c>
      <c r="M17" s="164">
        <v>57.35</v>
      </c>
      <c r="N17" s="164">
        <v>1492894800</v>
      </c>
      <c r="O17" s="164">
        <v>5.21</v>
      </c>
      <c r="P17" s="164">
        <v>91</v>
      </c>
      <c r="Q17" s="164">
        <v>3.48</v>
      </c>
      <c r="R17"/>
    </row>
    <row r="18" spans="1:18" x14ac:dyDescent="0.25">
      <c r="A18" s="164">
        <v>58.62</v>
      </c>
      <c r="B18" s="164">
        <v>0.27</v>
      </c>
      <c r="C18" s="164">
        <v>31.23</v>
      </c>
      <c r="D18" s="8">
        <v>42847.666666666664</v>
      </c>
      <c r="E18" s="164">
        <v>0.35</v>
      </c>
      <c r="F18" s="164" t="s">
        <v>437</v>
      </c>
      <c r="G18" s="164">
        <v>324.97000000000003</v>
      </c>
      <c r="H18" s="164">
        <v>0</v>
      </c>
      <c r="I18" s="164">
        <v>0</v>
      </c>
      <c r="J18" s="164"/>
      <c r="K18" s="164">
        <v>1021.13</v>
      </c>
      <c r="L18" s="164" t="s">
        <v>344</v>
      </c>
      <c r="M18" s="164">
        <v>58.62</v>
      </c>
      <c r="N18" s="164">
        <v>1492898400</v>
      </c>
      <c r="O18" s="164">
        <v>5.18</v>
      </c>
      <c r="P18" s="164">
        <v>82</v>
      </c>
      <c r="Q18" s="164">
        <v>2.63</v>
      </c>
      <c r="R18"/>
    </row>
    <row r="19" spans="1:18" x14ac:dyDescent="0.25">
      <c r="A19" s="164">
        <v>59.05</v>
      </c>
      <c r="B19" s="164">
        <v>0.27</v>
      </c>
      <c r="C19" s="164">
        <v>30.17</v>
      </c>
      <c r="D19" s="8">
        <v>42847.708333333336</v>
      </c>
      <c r="E19" s="164">
        <v>0.33</v>
      </c>
      <c r="F19" s="164" t="s">
        <v>437</v>
      </c>
      <c r="G19" s="164">
        <v>322.16000000000003</v>
      </c>
      <c r="H19" s="164">
        <v>0</v>
      </c>
      <c r="I19" s="164">
        <v>0</v>
      </c>
      <c r="J19" s="164"/>
      <c r="K19" s="164">
        <v>1020.4</v>
      </c>
      <c r="L19" s="164" t="s">
        <v>344</v>
      </c>
      <c r="M19" s="164">
        <v>59.05</v>
      </c>
      <c r="N19" s="164">
        <v>1492902000</v>
      </c>
      <c r="O19" s="164">
        <v>5.5</v>
      </c>
      <c r="P19" s="164">
        <v>108</v>
      </c>
      <c r="Q19" s="164">
        <v>3.2</v>
      </c>
      <c r="R19"/>
    </row>
    <row r="20" spans="1:18" x14ac:dyDescent="0.25">
      <c r="A20" s="164">
        <v>57.7</v>
      </c>
      <c r="B20" s="164">
        <v>0.18</v>
      </c>
      <c r="C20" s="164">
        <v>28.18</v>
      </c>
      <c r="D20" s="8">
        <v>42847.75</v>
      </c>
      <c r="E20" s="164">
        <v>0.32</v>
      </c>
      <c r="F20" s="164" t="s">
        <v>829</v>
      </c>
      <c r="G20" s="164">
        <v>320.32</v>
      </c>
      <c r="H20" s="164">
        <v>0</v>
      </c>
      <c r="I20" s="164">
        <v>0</v>
      </c>
      <c r="J20" s="164"/>
      <c r="K20" s="164">
        <v>1019.96</v>
      </c>
      <c r="L20" s="164" t="s">
        <v>830</v>
      </c>
      <c r="M20" s="164">
        <v>57.7</v>
      </c>
      <c r="N20" s="164">
        <v>1492905600</v>
      </c>
      <c r="O20" s="164">
        <v>5.91</v>
      </c>
      <c r="P20" s="164">
        <v>114</v>
      </c>
      <c r="Q20" s="164">
        <v>3.39</v>
      </c>
      <c r="R20"/>
    </row>
    <row r="21" spans="1:18" x14ac:dyDescent="0.25">
      <c r="A21" s="164">
        <v>55.01</v>
      </c>
      <c r="B21" s="164">
        <v>0.09</v>
      </c>
      <c r="C21" s="164">
        <v>26.93</v>
      </c>
      <c r="D21" s="8">
        <v>42847.791666666664</v>
      </c>
      <c r="E21" s="164">
        <v>0.34</v>
      </c>
      <c r="F21" s="164" t="s">
        <v>829</v>
      </c>
      <c r="G21" s="164">
        <v>319.95</v>
      </c>
      <c r="H21" s="164">
        <v>0</v>
      </c>
      <c r="I21" s="164">
        <v>0</v>
      </c>
      <c r="J21" s="164"/>
      <c r="K21" s="164">
        <v>1019.98</v>
      </c>
      <c r="L21" s="164" t="s">
        <v>830</v>
      </c>
      <c r="M21" s="164">
        <v>55.01</v>
      </c>
      <c r="N21" s="164">
        <v>1492909200</v>
      </c>
      <c r="O21" s="164">
        <v>6.47</v>
      </c>
      <c r="P21" s="164">
        <v>113</v>
      </c>
      <c r="Q21" s="164">
        <v>4.01</v>
      </c>
      <c r="R21"/>
    </row>
    <row r="22" spans="1:18" x14ac:dyDescent="0.25">
      <c r="A22" s="164">
        <v>51.52</v>
      </c>
      <c r="B22" s="164">
        <v>0.08</v>
      </c>
      <c r="C22" s="164">
        <v>27.36</v>
      </c>
      <c r="D22" s="8">
        <v>42847.833333333336</v>
      </c>
      <c r="E22" s="164">
        <v>0.39</v>
      </c>
      <c r="F22" s="164" t="s">
        <v>831</v>
      </c>
      <c r="G22" s="164">
        <v>320.54000000000002</v>
      </c>
      <c r="H22" s="164">
        <v>0</v>
      </c>
      <c r="I22" s="164">
        <v>0</v>
      </c>
      <c r="J22" s="164"/>
      <c r="K22" s="164">
        <v>1020.41</v>
      </c>
      <c r="L22" s="164" t="s">
        <v>830</v>
      </c>
      <c r="M22" s="164">
        <v>51.52</v>
      </c>
      <c r="N22" s="164">
        <v>1492912800</v>
      </c>
      <c r="O22" s="164">
        <v>7.27</v>
      </c>
      <c r="P22" s="164">
        <v>124</v>
      </c>
      <c r="Q22" s="164">
        <v>3.97</v>
      </c>
      <c r="R22"/>
    </row>
    <row r="23" spans="1:18" x14ac:dyDescent="0.25">
      <c r="A23" s="164">
        <v>46.85</v>
      </c>
      <c r="B23" s="164">
        <v>0.06</v>
      </c>
      <c r="C23" s="164">
        <v>28.38</v>
      </c>
      <c r="D23" s="8">
        <v>42847.875</v>
      </c>
      <c r="E23" s="164">
        <v>0.46</v>
      </c>
      <c r="F23" s="164" t="s">
        <v>831</v>
      </c>
      <c r="G23" s="164">
        <v>320.82</v>
      </c>
      <c r="H23" s="164">
        <v>0</v>
      </c>
      <c r="I23" s="164">
        <v>0</v>
      </c>
      <c r="J23" s="164"/>
      <c r="K23" s="164">
        <v>1020.65</v>
      </c>
      <c r="L23" s="164" t="s">
        <v>830</v>
      </c>
      <c r="M23" s="164">
        <v>48.37</v>
      </c>
      <c r="N23" s="164">
        <v>1492916400</v>
      </c>
      <c r="O23" s="164">
        <v>8.2899999999999991</v>
      </c>
      <c r="P23" s="164">
        <v>140</v>
      </c>
      <c r="Q23" s="164">
        <v>4.17</v>
      </c>
      <c r="R23"/>
    </row>
    <row r="24" spans="1:18" x14ac:dyDescent="0.25">
      <c r="A24" s="164">
        <v>44.45</v>
      </c>
      <c r="B24" s="164">
        <v>7.0000000000000007E-2</v>
      </c>
      <c r="C24" s="164">
        <v>30.76</v>
      </c>
      <c r="D24" s="8">
        <v>42847.916666666664</v>
      </c>
      <c r="E24" s="164">
        <v>0.54</v>
      </c>
      <c r="F24" s="164" t="s">
        <v>831</v>
      </c>
      <c r="G24" s="164">
        <v>320.38</v>
      </c>
      <c r="H24" s="164">
        <v>0</v>
      </c>
      <c r="I24" s="164">
        <v>0</v>
      </c>
      <c r="J24" s="164"/>
      <c r="K24" s="164">
        <v>1020.44</v>
      </c>
      <c r="L24" s="164" t="s">
        <v>830</v>
      </c>
      <c r="M24" s="164">
        <v>46.47</v>
      </c>
      <c r="N24" s="164">
        <v>1492920000</v>
      </c>
      <c r="O24" s="164">
        <v>7.2</v>
      </c>
      <c r="P24" s="164">
        <v>166</v>
      </c>
      <c r="Q24" s="164">
        <v>4.45</v>
      </c>
      <c r="R24"/>
    </row>
    <row r="25" spans="1:18" x14ac:dyDescent="0.25">
      <c r="A25" s="164">
        <v>42.23</v>
      </c>
      <c r="B25" s="164">
        <v>0</v>
      </c>
      <c r="C25" s="164">
        <v>31.53</v>
      </c>
      <c r="D25" s="8">
        <v>42847.958333333336</v>
      </c>
      <c r="E25" s="164">
        <v>0.59</v>
      </c>
      <c r="F25" s="164" t="s">
        <v>831</v>
      </c>
      <c r="G25" s="164">
        <v>319.62</v>
      </c>
      <c r="H25" s="164">
        <v>0</v>
      </c>
      <c r="I25" s="164">
        <v>0</v>
      </c>
      <c r="J25" s="164"/>
      <c r="K25" s="164">
        <v>1019.99</v>
      </c>
      <c r="L25" s="164" t="s">
        <v>830</v>
      </c>
      <c r="M25" s="164">
        <v>44.94</v>
      </c>
      <c r="N25" s="164">
        <v>1492923600</v>
      </c>
      <c r="O25" s="164">
        <v>6.78</v>
      </c>
      <c r="P25" s="164">
        <v>171</v>
      </c>
      <c r="Q25" s="164">
        <v>5.0599999999999996</v>
      </c>
      <c r="R25"/>
    </row>
    <row r="26" spans="1:18" x14ac:dyDescent="0.25">
      <c r="A26" s="164">
        <v>40.94</v>
      </c>
      <c r="B26" s="164">
        <v>0.01</v>
      </c>
      <c r="C26" s="164">
        <v>31.21</v>
      </c>
      <c r="D26" s="8">
        <v>42848</v>
      </c>
      <c r="E26" s="164">
        <v>0.61</v>
      </c>
      <c r="F26" s="164" t="s">
        <v>831</v>
      </c>
      <c r="G26" s="164">
        <v>318.45</v>
      </c>
      <c r="H26" s="164">
        <v>0</v>
      </c>
      <c r="I26" s="164">
        <v>0</v>
      </c>
      <c r="J26" s="164"/>
      <c r="K26" s="164">
        <v>1019.49</v>
      </c>
      <c r="L26" s="164" t="s">
        <v>830</v>
      </c>
      <c r="M26" s="164">
        <v>43.96</v>
      </c>
      <c r="N26" s="164">
        <v>1492927200</v>
      </c>
      <c r="O26" s="164">
        <v>6.89</v>
      </c>
      <c r="P26" s="164">
        <v>181</v>
      </c>
      <c r="Q26" s="164">
        <v>5.28</v>
      </c>
      <c r="R26"/>
    </row>
    <row r="27" spans="1:18" x14ac:dyDescent="0.25">
      <c r="A27" s="164">
        <v>40.590000000000003</v>
      </c>
      <c r="B27" s="164">
        <v>0.01</v>
      </c>
      <c r="C27" s="164">
        <v>30.56</v>
      </c>
      <c r="D27" s="8">
        <v>42848.041666666664</v>
      </c>
      <c r="E27" s="164">
        <v>0.6</v>
      </c>
      <c r="F27" s="164" t="s">
        <v>831</v>
      </c>
      <c r="G27" s="164">
        <v>316.45999999999998</v>
      </c>
      <c r="H27" s="164">
        <v>0</v>
      </c>
      <c r="I27" s="164">
        <v>0</v>
      </c>
      <c r="J27" s="164"/>
      <c r="K27" s="164">
        <v>1019.06</v>
      </c>
      <c r="L27" s="164" t="s">
        <v>830</v>
      </c>
      <c r="M27" s="164">
        <v>43.42</v>
      </c>
      <c r="N27" s="164">
        <v>1492930800</v>
      </c>
      <c r="O27" s="164">
        <v>10</v>
      </c>
      <c r="P27" s="164">
        <v>174</v>
      </c>
      <c r="Q27" s="164">
        <v>4.8499999999999996</v>
      </c>
      <c r="R27"/>
    </row>
    <row r="28" spans="1:18" x14ac:dyDescent="0.25">
      <c r="A28" s="164">
        <v>39.64</v>
      </c>
      <c r="B28" s="164">
        <v>0.02</v>
      </c>
      <c r="C28" s="164">
        <v>29.77</v>
      </c>
      <c r="D28" s="8">
        <v>42848.083333333336</v>
      </c>
      <c r="E28" s="164">
        <v>0.6</v>
      </c>
      <c r="F28" s="164" t="s">
        <v>831</v>
      </c>
      <c r="G28" s="164">
        <v>314.45999999999998</v>
      </c>
      <c r="H28" s="164">
        <v>0</v>
      </c>
      <c r="I28" s="164">
        <v>0</v>
      </c>
      <c r="J28" s="164"/>
      <c r="K28" s="164">
        <v>1018.61</v>
      </c>
      <c r="L28" s="164" t="s">
        <v>830</v>
      </c>
      <c r="M28" s="164">
        <v>42.54</v>
      </c>
      <c r="N28" s="164">
        <v>1492934400</v>
      </c>
      <c r="O28" s="164">
        <v>7.19</v>
      </c>
      <c r="P28" s="164">
        <v>182</v>
      </c>
      <c r="Q28" s="164">
        <v>4.75</v>
      </c>
      <c r="R28"/>
    </row>
    <row r="29" spans="1:18" x14ac:dyDescent="0.25">
      <c r="A29" s="164">
        <v>39.67</v>
      </c>
      <c r="B29" s="164">
        <v>0.05</v>
      </c>
      <c r="C29" s="164">
        <v>28.33</v>
      </c>
      <c r="D29" s="8">
        <v>42848.125</v>
      </c>
      <c r="E29" s="164">
        <v>0.57999999999999996</v>
      </c>
      <c r="F29" s="164" t="s">
        <v>831</v>
      </c>
      <c r="G29" s="164">
        <v>312.45999999999998</v>
      </c>
      <c r="H29" s="164">
        <v>0</v>
      </c>
      <c r="I29" s="164">
        <v>0</v>
      </c>
      <c r="J29" s="164"/>
      <c r="K29" s="164">
        <v>1018.14</v>
      </c>
      <c r="L29" s="164" t="s">
        <v>830</v>
      </c>
      <c r="M29" s="164">
        <v>42.13</v>
      </c>
      <c r="N29" s="164">
        <v>1492938000</v>
      </c>
      <c r="O29" s="164">
        <v>5.53</v>
      </c>
      <c r="P29" s="164">
        <v>190</v>
      </c>
      <c r="Q29" s="164">
        <v>4.12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192" t="s">
        <v>346</v>
      </c>
      <c r="U1" s="192"/>
      <c r="V1" s="192"/>
      <c r="W1" s="192"/>
      <c r="X1" s="192"/>
    </row>
    <row r="2" spans="1:24" ht="15.75" thickBot="1" x14ac:dyDescent="0.3">
      <c r="A2" s="12">
        <v>42847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1" t="s">
        <v>347</v>
      </c>
      <c r="U2" s="191">
        <v>167</v>
      </c>
      <c r="V2" s="191">
        <v>168</v>
      </c>
      <c r="W2" s="191">
        <v>199</v>
      </c>
      <c r="X2" s="191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1" t="s">
        <v>348</v>
      </c>
      <c r="U3" s="191">
        <v>174</v>
      </c>
      <c r="V3" s="191">
        <v>176</v>
      </c>
      <c r="W3" s="191">
        <v>207</v>
      </c>
      <c r="X3" s="191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1" t="s">
        <v>349</v>
      </c>
      <c r="U4" s="191">
        <v>173</v>
      </c>
      <c r="V4" s="191">
        <v>175</v>
      </c>
      <c r="W4" s="191">
        <v>208</v>
      </c>
      <c r="X4" s="191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1" t="s">
        <v>350</v>
      </c>
      <c r="U5" s="191">
        <v>187</v>
      </c>
      <c r="V5" s="191">
        <v>188</v>
      </c>
      <c r="W5" s="191">
        <v>223</v>
      </c>
      <c r="X5" s="191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1"/>
      <c r="U6" s="191"/>
      <c r="V6" s="191"/>
      <c r="W6" s="191"/>
      <c r="X6" s="191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1"/>
      <c r="U7" s="191"/>
      <c r="V7" s="191"/>
      <c r="W7" s="191"/>
      <c r="X7" s="191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1"/>
      <c r="U8" s="191"/>
      <c r="V8" s="191"/>
      <c r="W8" s="191"/>
      <c r="X8" s="191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1"/>
      <c r="U9" s="191"/>
      <c r="V9" s="191"/>
      <c r="W9" s="191"/>
      <c r="X9" s="191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1"/>
      <c r="U10" s="191"/>
      <c r="V10" s="191"/>
      <c r="W10" s="191"/>
      <c r="X10" s="191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1"/>
      <c r="U11" s="191"/>
      <c r="V11" s="191"/>
      <c r="W11" s="191"/>
      <c r="X11" s="191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1"/>
      <c r="U12" s="191"/>
      <c r="V12" s="191"/>
      <c r="W12" s="191"/>
      <c r="X12" s="191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1"/>
      <c r="U13" s="191"/>
      <c r="V13" s="191"/>
      <c r="W13" s="191"/>
      <c r="X13" s="191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1"/>
      <c r="U14" s="191"/>
      <c r="V14" s="191"/>
      <c r="W14" s="191"/>
      <c r="X14" s="191"/>
    </row>
    <row r="15" spans="1:24" x14ac:dyDescent="0.25">
      <c r="C15" s="64"/>
      <c r="J15" s="156"/>
      <c r="K15" s="157"/>
      <c r="L15" s="157"/>
      <c r="T15" s="191"/>
      <c r="U15" s="191"/>
      <c r="V15" s="191"/>
      <c r="W15" s="191"/>
      <c r="X15" s="191"/>
    </row>
    <row r="16" spans="1:24" x14ac:dyDescent="0.25">
      <c r="C16" s="64"/>
      <c r="J16" s="156"/>
      <c r="K16" s="157"/>
      <c r="L16" s="157"/>
      <c r="T16" s="191"/>
      <c r="U16" s="191"/>
      <c r="V16" s="191"/>
      <c r="W16" s="191"/>
      <c r="X16" s="191"/>
    </row>
    <row r="17" spans="3:24" x14ac:dyDescent="0.25">
      <c r="C17" s="145" t="s">
        <v>188</v>
      </c>
      <c r="J17" s="156"/>
      <c r="K17" s="157"/>
      <c r="L17" s="157"/>
      <c r="T17" s="191"/>
      <c r="U17" s="191"/>
      <c r="V17" s="191"/>
      <c r="W17" s="191"/>
      <c r="X17" s="191"/>
    </row>
    <row r="18" spans="3:24" x14ac:dyDescent="0.25">
      <c r="C18" t="s">
        <v>988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1"/>
      <c r="U18" s="191"/>
      <c r="V18" s="191"/>
      <c r="W18" s="191"/>
      <c r="X18" s="191"/>
    </row>
    <row r="19" spans="3:24" x14ac:dyDescent="0.25">
      <c r="C19" t="s">
        <v>989</v>
      </c>
      <c r="J19" s="156" t="s">
        <v>86</v>
      </c>
      <c r="K19" s="157"/>
      <c r="L19" s="157"/>
      <c r="M19" s="164" t="s">
        <v>112</v>
      </c>
      <c r="T19" s="191"/>
      <c r="U19" s="191"/>
      <c r="V19" s="191"/>
      <c r="W19" s="191"/>
      <c r="X19" s="191"/>
    </row>
    <row r="20" spans="3:24" x14ac:dyDescent="0.25">
      <c r="C20" t="s">
        <v>990</v>
      </c>
      <c r="J20" s="148" t="s">
        <v>87</v>
      </c>
      <c r="M20" s="164" t="s">
        <v>345</v>
      </c>
      <c r="N20" s="164" t="s">
        <v>345</v>
      </c>
      <c r="T20" s="191"/>
      <c r="U20" s="191"/>
      <c r="V20" s="191"/>
      <c r="W20" s="191"/>
      <c r="X20" s="191"/>
    </row>
    <row r="21" spans="3:24" x14ac:dyDescent="0.25">
      <c r="C21" t="s">
        <v>991</v>
      </c>
      <c r="J21" s="148" t="s">
        <v>90</v>
      </c>
      <c r="K21" s="148" t="s">
        <v>91</v>
      </c>
      <c r="M21" s="164" t="s">
        <v>178</v>
      </c>
      <c r="T21" s="191"/>
      <c r="U21" s="191"/>
      <c r="V21" s="191"/>
      <c r="W21" s="191"/>
      <c r="X21" s="191"/>
    </row>
    <row r="22" spans="3:24" x14ac:dyDescent="0.25">
      <c r="C22" t="s">
        <v>992</v>
      </c>
      <c r="J22" s="148" t="s">
        <v>92</v>
      </c>
      <c r="K22" s="148" t="s">
        <v>93</v>
      </c>
      <c r="M22" s="164" t="s">
        <v>111</v>
      </c>
      <c r="T22" s="191"/>
      <c r="U22" s="191"/>
      <c r="V22" s="191"/>
      <c r="W22" s="191"/>
      <c r="X22" s="191"/>
    </row>
    <row r="23" spans="3:24" x14ac:dyDescent="0.25">
      <c r="C23" t="s">
        <v>993</v>
      </c>
      <c r="J23" s="158" t="s">
        <v>95</v>
      </c>
      <c r="M23" s="164" t="str">
        <f>"-06"</f>
        <v>-06</v>
      </c>
      <c r="T23" s="191"/>
      <c r="U23" s="191"/>
      <c r="V23" s="191"/>
      <c r="W23" s="191"/>
      <c r="X23" s="191"/>
    </row>
    <row r="24" spans="3:24" x14ac:dyDescent="0.25">
      <c r="C24" t="s">
        <v>994</v>
      </c>
      <c r="J24" s="148" t="s">
        <v>108</v>
      </c>
      <c r="M24" s="164" t="s">
        <v>110</v>
      </c>
      <c r="T24" s="191"/>
      <c r="U24" s="191"/>
      <c r="V24" s="191"/>
      <c r="W24" s="191"/>
      <c r="X24" s="191"/>
    </row>
    <row r="25" spans="3:24" x14ac:dyDescent="0.25">
      <c r="C25" t="s">
        <v>995</v>
      </c>
      <c r="J25" s="148" t="s">
        <v>150</v>
      </c>
      <c r="M25" s="164" t="b">
        <v>1</v>
      </c>
    </row>
    <row r="26" spans="3:24" x14ac:dyDescent="0.25">
      <c r="C26" t="s">
        <v>996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C:\Users\stu\Documents\GitHub\eaglep3-reporting\EC\2017-04-22-refined-times.txt</v>
      </c>
    </row>
    <row r="27" spans="3:24" x14ac:dyDescent="0.25">
      <c r="C27" t="s">
        <v>997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C:\Users\stu\Documents\GitHub\eaglep3-reporting\EC\2017-04-22-Enforcements.txt</v>
      </c>
    </row>
    <row r="28" spans="3:24" x14ac:dyDescent="0.25">
      <c r="C28" t="s">
        <v>998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C:\Users\stu\Documents\GitHub\eaglep3-reporting\EC\2017-04-22-Runs-refined.txt</v>
      </c>
    </row>
    <row r="29" spans="3:24" x14ac:dyDescent="0.25">
      <c r="C29" t="s">
        <v>999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C:\Users\stu\Documents\GitHub\eaglep3-reporting\EC\2017-04-22-Trips.txt</v>
      </c>
    </row>
    <row r="30" spans="3:24" x14ac:dyDescent="0.25">
      <c r="C30" t="s">
        <v>1000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C:\Users\stu\Documents\GitHub\eaglep3-reporting\EC\2017-04-22-Weather.txt</v>
      </c>
    </row>
    <row r="31" spans="3:24" x14ac:dyDescent="0.25">
      <c r="C31" t="s">
        <v>1001</v>
      </c>
      <c r="J31" s="148" t="s">
        <v>201</v>
      </c>
      <c r="M31" s="164" t="s">
        <v>202</v>
      </c>
    </row>
    <row r="32" spans="3:24" x14ac:dyDescent="0.25">
      <c r="C32" t="s">
        <v>1002</v>
      </c>
    </row>
    <row r="33" spans="3:3" x14ac:dyDescent="0.25">
      <c r="C33" t="s">
        <v>1003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198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196" t="s">
        <v>119</v>
      </c>
      <c r="J1" s="164" t="s">
        <v>383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384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197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2017-04-24T16:27:50Z</dcterms:modified>
</cp:coreProperties>
</file>