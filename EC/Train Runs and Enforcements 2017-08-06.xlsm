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Trips'!$A$2:$J$35</definedName>
    <definedName name="_xlnm._FilterDatabase" localSheetId="0" hidden="1">'Train Runs'!$A$12:$AG$258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1" i="1" l="1"/>
  <c r="N185" i="1"/>
  <c r="X164" i="1"/>
  <c r="K163" i="1"/>
  <c r="L163" i="1"/>
  <c r="M163" i="1"/>
  <c r="N163" i="1" s="1"/>
  <c r="V163" i="1"/>
  <c r="X163" i="1"/>
  <c r="AA163" i="1"/>
  <c r="AB163" i="1"/>
  <c r="AC163" i="1"/>
  <c r="AD163" i="1"/>
  <c r="T163" i="1" s="1"/>
  <c r="AE163" i="1"/>
  <c r="AF163" i="1"/>
  <c r="AH163" i="1"/>
  <c r="AM163" i="1"/>
  <c r="AN163" i="1"/>
  <c r="X157" i="1"/>
  <c r="X158" i="1"/>
  <c r="X159" i="1"/>
  <c r="X160" i="1"/>
  <c r="K48" i="1"/>
  <c r="L48" i="1"/>
  <c r="M48" i="1"/>
  <c r="N48" i="1" s="1"/>
  <c r="V48" i="1"/>
  <c r="AA48" i="1"/>
  <c r="AB48" i="1"/>
  <c r="AC48" i="1"/>
  <c r="AD48" i="1"/>
  <c r="T48" i="1" s="1"/>
  <c r="AE48" i="1"/>
  <c r="AF48" i="1"/>
  <c r="AH48" i="1"/>
  <c r="AM48" i="1"/>
  <c r="AN48" i="1"/>
  <c r="K41" i="1"/>
  <c r="L41" i="1"/>
  <c r="M41" i="1"/>
  <c r="N41" i="1" s="1"/>
  <c r="V41" i="1"/>
  <c r="AA41" i="1"/>
  <c r="AB41" i="1"/>
  <c r="AC41" i="1"/>
  <c r="AD41" i="1"/>
  <c r="T41" i="1" s="1"/>
  <c r="AE41" i="1"/>
  <c r="AF41" i="1"/>
  <c r="AH41" i="1"/>
  <c r="AM41" i="1"/>
  <c r="AN41" i="1"/>
  <c r="Z18" i="1"/>
  <c r="AA18" i="1" s="1"/>
  <c r="Y19" i="1"/>
  <c r="Z19" i="1"/>
  <c r="N17" i="1"/>
  <c r="K18" i="1"/>
  <c r="L18" i="1"/>
  <c r="M18" i="1"/>
  <c r="V18" i="1"/>
  <c r="AB18" i="1"/>
  <c r="AC18" i="1"/>
  <c r="AD18" i="1"/>
  <c r="T18" i="1" s="1"/>
  <c r="AE18" i="1"/>
  <c r="AF18" i="1"/>
  <c r="AH18" i="1"/>
  <c r="AM18" i="1"/>
  <c r="AN1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V17" i="1"/>
  <c r="Y17" i="1"/>
  <c r="AB17" i="1"/>
  <c r="AC17" i="1"/>
  <c r="AD17" i="1"/>
  <c r="X17" i="1" s="1"/>
  <c r="AE17" i="1"/>
  <c r="AF17" i="1"/>
  <c r="AH17" i="1"/>
  <c r="AM17" i="1"/>
  <c r="AN17" i="1"/>
  <c r="K19" i="1"/>
  <c r="L19" i="1"/>
  <c r="M19" i="1"/>
  <c r="N19" i="1" s="1"/>
  <c r="V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/>
  <c r="V28" i="1"/>
  <c r="Y28" i="1"/>
  <c r="AA28" i="1" s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/>
  <c r="V39" i="1"/>
  <c r="Y39" i="1"/>
  <c r="AA39" i="1" s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X40" i="1" s="1"/>
  <c r="AE40" i="1"/>
  <c r="AF40" i="1"/>
  <c r="AH40" i="1"/>
  <c r="AM40" i="1"/>
  <c r="AN40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X45" i="1" s="1"/>
  <c r="AE45" i="1"/>
  <c r="AF45" i="1"/>
  <c r="AH45" i="1"/>
  <c r="AM45" i="1"/>
  <c r="AN45" i="1"/>
  <c r="K46" i="1"/>
  <c r="L46" i="1"/>
  <c r="M46" i="1"/>
  <c r="N46" i="1" s="1"/>
  <c r="V46" i="1"/>
  <c r="X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X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R20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T68" i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S10" i="3" s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R16" i="3" s="1"/>
  <c r="AF72" i="1"/>
  <c r="AH72" i="1"/>
  <c r="AM72" i="1"/>
  <c r="AN72" i="1"/>
  <c r="K73" i="1"/>
  <c r="L73" i="1"/>
  <c r="M73" i="1"/>
  <c r="N73" i="1" s="1"/>
  <c r="T73" i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AA75" i="1" s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S18" i="3" s="1"/>
  <c r="Y93" i="1"/>
  <c r="AA93" i="1" s="1"/>
  <c r="Z93" i="1"/>
  <c r="AB93" i="1"/>
  <c r="AC93" i="1"/>
  <c r="AD93" i="1"/>
  <c r="T93" i="1" s="1"/>
  <c r="AE93" i="1"/>
  <c r="AF93" i="1"/>
  <c r="AH93" i="1"/>
  <c r="AM93" i="1"/>
  <c r="AN93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AM99" i="1"/>
  <c r="AN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0" i="1"/>
  <c r="AM100" i="1"/>
  <c r="AN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AM101" i="1"/>
  <c r="AN101" i="1"/>
  <c r="K167" i="1"/>
  <c r="L167" i="1"/>
  <c r="M167" i="1"/>
  <c r="N167" i="1"/>
  <c r="V167" i="1"/>
  <c r="Y167" i="1"/>
  <c r="Z167" i="1"/>
  <c r="AB167" i="1"/>
  <c r="AC167" i="1"/>
  <c r="AD167" i="1"/>
  <c r="AE167" i="1"/>
  <c r="AF167" i="1"/>
  <c r="AH102" i="1"/>
  <c r="AM102" i="1"/>
  <c r="AN102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103" i="1"/>
  <c r="AM103" i="1"/>
  <c r="AN103" i="1"/>
  <c r="K168" i="1"/>
  <c r="L168" i="1"/>
  <c r="M168" i="1"/>
  <c r="N168" i="1" s="1"/>
  <c r="T168" i="1"/>
  <c r="V168" i="1"/>
  <c r="Y168" i="1"/>
  <c r="Z168" i="1"/>
  <c r="AA168" i="1" s="1"/>
  <c r="AB168" i="1"/>
  <c r="AC168" i="1"/>
  <c r="AD168" i="1"/>
  <c r="AE168" i="1"/>
  <c r="AF168" i="1"/>
  <c r="AH104" i="1"/>
  <c r="AM104" i="1"/>
  <c r="AN104" i="1"/>
  <c r="K169" i="1"/>
  <c r="L169" i="1"/>
  <c r="M169" i="1"/>
  <c r="N169" i="1" s="1"/>
  <c r="T169" i="1"/>
  <c r="V169" i="1"/>
  <c r="Y169" i="1"/>
  <c r="Z169" i="1"/>
  <c r="AB169" i="1"/>
  <c r="AC169" i="1"/>
  <c r="AD169" i="1"/>
  <c r="AE169" i="1"/>
  <c r="AF169" i="1"/>
  <c r="AH105" i="1"/>
  <c r="AM105" i="1"/>
  <c r="AN10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6" i="1"/>
  <c r="AM106" i="1"/>
  <c r="AN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AM107" i="1"/>
  <c r="AN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AM108" i="1"/>
  <c r="AN10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9" i="1"/>
  <c r="AM109" i="1"/>
  <c r="AN109" i="1"/>
  <c r="K174" i="1"/>
  <c r="L174" i="1"/>
  <c r="M174" i="1"/>
  <c r="N174" i="1"/>
  <c r="V174" i="1"/>
  <c r="Y174" i="1"/>
  <c r="Z174" i="1"/>
  <c r="AB174" i="1"/>
  <c r="AC174" i="1"/>
  <c r="AD174" i="1"/>
  <c r="AE174" i="1"/>
  <c r="AF174" i="1"/>
  <c r="AH110" i="1"/>
  <c r="AM110" i="1"/>
  <c r="AN110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R27" i="3" s="1"/>
  <c r="AF175" i="1"/>
  <c r="AH111" i="1"/>
  <c r="AM111" i="1"/>
  <c r="AN111" i="1"/>
  <c r="K176" i="1"/>
  <c r="L176" i="1"/>
  <c r="M176" i="1"/>
  <c r="N176" i="1" s="1"/>
  <c r="T176" i="1"/>
  <c r="V176" i="1"/>
  <c r="Y176" i="1"/>
  <c r="Z176" i="1"/>
  <c r="AA176" i="1" s="1"/>
  <c r="AB176" i="1"/>
  <c r="AC176" i="1"/>
  <c r="AD176" i="1"/>
  <c r="AE176" i="1"/>
  <c r="AF176" i="1"/>
  <c r="AH112" i="1"/>
  <c r="AM112" i="1"/>
  <c r="AN112" i="1"/>
  <c r="K177" i="1"/>
  <c r="L177" i="1"/>
  <c r="M177" i="1"/>
  <c r="N177" i="1" s="1"/>
  <c r="T177" i="1"/>
  <c r="V177" i="1"/>
  <c r="Y177" i="1"/>
  <c r="Z177" i="1"/>
  <c r="AB177" i="1"/>
  <c r="AC177" i="1"/>
  <c r="AD177" i="1"/>
  <c r="X177" i="1" s="1"/>
  <c r="AE177" i="1"/>
  <c r="AF177" i="1"/>
  <c r="AH113" i="1"/>
  <c r="AM113" i="1"/>
  <c r="AN113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4" i="1"/>
  <c r="AM114" i="1"/>
  <c r="AN11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180" i="1"/>
  <c r="L180" i="1"/>
  <c r="M180" i="1"/>
  <c r="N180" i="1" s="1"/>
  <c r="V180" i="1"/>
  <c r="Y180" i="1"/>
  <c r="Z180" i="1"/>
  <c r="AA180" i="1"/>
  <c r="AB180" i="1"/>
  <c r="AC180" i="1"/>
  <c r="AD180" i="1"/>
  <c r="T180" i="1" s="1"/>
  <c r="AE180" i="1"/>
  <c r="AF180" i="1"/>
  <c r="AH117" i="1"/>
  <c r="AM117" i="1"/>
  <c r="AN117" i="1"/>
  <c r="K181" i="1"/>
  <c r="L181" i="1"/>
  <c r="M181" i="1"/>
  <c r="N181" i="1"/>
  <c r="V181" i="1"/>
  <c r="Y181" i="1"/>
  <c r="Z181" i="1"/>
  <c r="AB181" i="1"/>
  <c r="AC181" i="1"/>
  <c r="AD181" i="1"/>
  <c r="AE181" i="1"/>
  <c r="AF181" i="1"/>
  <c r="AH118" i="1"/>
  <c r="AM118" i="1"/>
  <c r="AN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K183" i="1"/>
  <c r="L183" i="1"/>
  <c r="M183" i="1"/>
  <c r="N183" i="1" s="1"/>
  <c r="V183" i="1"/>
  <c r="S31" i="3" s="1"/>
  <c r="Y183" i="1"/>
  <c r="Z183" i="1"/>
  <c r="AA183" i="1" s="1"/>
  <c r="AB183" i="1"/>
  <c r="AC183" i="1"/>
  <c r="AD183" i="1"/>
  <c r="T183" i="1" s="1"/>
  <c r="AE183" i="1"/>
  <c r="AF183" i="1"/>
  <c r="AH120" i="1"/>
  <c r="AM120" i="1"/>
  <c r="AN120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1" i="1"/>
  <c r="AM121" i="1"/>
  <c r="AN121" i="1"/>
  <c r="K185" i="1"/>
  <c r="L185" i="1"/>
  <c r="M185" i="1"/>
  <c r="V185" i="1"/>
  <c r="Y185" i="1"/>
  <c r="AB185" i="1"/>
  <c r="AC185" i="1"/>
  <c r="AD185" i="1"/>
  <c r="AE185" i="1"/>
  <c r="AF185" i="1"/>
  <c r="AH122" i="1"/>
  <c r="AM122" i="1"/>
  <c r="AN122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3" i="1"/>
  <c r="AM123" i="1"/>
  <c r="AN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R25" i="3" s="1"/>
  <c r="AF187" i="1"/>
  <c r="AH124" i="1"/>
  <c r="AM124" i="1"/>
  <c r="AN124" i="1"/>
  <c r="K96" i="1"/>
  <c r="L96" i="1"/>
  <c r="M96" i="1"/>
  <c r="N96" i="1" s="1"/>
  <c r="V96" i="1"/>
  <c r="X96" i="1"/>
  <c r="Y96" i="1"/>
  <c r="AA96" i="1" s="1"/>
  <c r="Z96" i="1"/>
  <c r="AB96" i="1"/>
  <c r="AC96" i="1"/>
  <c r="AD96" i="1"/>
  <c r="T96" i="1" s="1"/>
  <c r="AE96" i="1"/>
  <c r="AF96" i="1"/>
  <c r="AH125" i="1"/>
  <c r="AM125" i="1"/>
  <c r="AN12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R30" i="3" s="1"/>
  <c r="AF188" i="1"/>
  <c r="AH126" i="1"/>
  <c r="AM126" i="1"/>
  <c r="AN126" i="1"/>
  <c r="K189" i="1"/>
  <c r="L189" i="1"/>
  <c r="M189" i="1"/>
  <c r="N189" i="1" s="1"/>
  <c r="V189" i="1"/>
  <c r="S32" i="3" s="1"/>
  <c r="Y189" i="1"/>
  <c r="Z189" i="1"/>
  <c r="AB189" i="1"/>
  <c r="AC189" i="1"/>
  <c r="AD189" i="1"/>
  <c r="AE189" i="1"/>
  <c r="AF189" i="1"/>
  <c r="AH127" i="1"/>
  <c r="AM127" i="1"/>
  <c r="AN127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128" i="1"/>
  <c r="AM128" i="1"/>
  <c r="AN128" i="1"/>
  <c r="K191" i="1"/>
  <c r="L191" i="1"/>
  <c r="M191" i="1"/>
  <c r="V191" i="1"/>
  <c r="Y191" i="1"/>
  <c r="Z191" i="1"/>
  <c r="AB191" i="1"/>
  <c r="AC191" i="1"/>
  <c r="AD191" i="1"/>
  <c r="AE191" i="1"/>
  <c r="AF191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1" i="1"/>
  <c r="AM131" i="1"/>
  <c r="AN131" i="1"/>
  <c r="K99" i="1"/>
  <c r="L99" i="1"/>
  <c r="M99" i="1"/>
  <c r="N99" i="1"/>
  <c r="V99" i="1"/>
  <c r="Y99" i="1"/>
  <c r="Z99" i="1"/>
  <c r="AA99" i="1"/>
  <c r="AB99" i="1"/>
  <c r="AC99" i="1"/>
  <c r="AD99" i="1"/>
  <c r="T99" i="1" s="1"/>
  <c r="AE99" i="1"/>
  <c r="AF99" i="1"/>
  <c r="AH132" i="1"/>
  <c r="AM132" i="1"/>
  <c r="AN132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/>
  <c r="V103" i="1"/>
  <c r="Y103" i="1"/>
  <c r="Z103" i="1"/>
  <c r="AA103" i="1"/>
  <c r="AB103" i="1"/>
  <c r="AC103" i="1"/>
  <c r="AD103" i="1"/>
  <c r="T103" i="1" s="1"/>
  <c r="AE103" i="1"/>
  <c r="AF103" i="1"/>
  <c r="AH135" i="1"/>
  <c r="AM135" i="1"/>
  <c r="AN135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136" i="1"/>
  <c r="AM136" i="1"/>
  <c r="AN136" i="1"/>
  <c r="K206" i="1"/>
  <c r="L206" i="1"/>
  <c r="M206" i="1"/>
  <c r="N206" i="1" s="1"/>
  <c r="V206" i="1"/>
  <c r="X206" i="1"/>
  <c r="Y206" i="1"/>
  <c r="Z206" i="1"/>
  <c r="AB206" i="1"/>
  <c r="AC206" i="1"/>
  <c r="AD206" i="1"/>
  <c r="T206" i="1" s="1"/>
  <c r="AE206" i="1"/>
  <c r="AF206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8" i="1"/>
  <c r="AM138" i="1"/>
  <c r="AN138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R22" i="3" s="1"/>
  <c r="AF104" i="1"/>
  <c r="AH139" i="1"/>
  <c r="AM139" i="1"/>
  <c r="AN139" i="1"/>
  <c r="K105" i="1"/>
  <c r="L105" i="1"/>
  <c r="M105" i="1"/>
  <c r="N105" i="1" s="1"/>
  <c r="V105" i="1"/>
  <c r="X105" i="1"/>
  <c r="Y105" i="1"/>
  <c r="Z105" i="1"/>
  <c r="AA105" i="1"/>
  <c r="AB105" i="1"/>
  <c r="AC105" i="1"/>
  <c r="AD105" i="1"/>
  <c r="T105" i="1" s="1"/>
  <c r="AE105" i="1"/>
  <c r="AF105" i="1"/>
  <c r="AH140" i="1"/>
  <c r="AM140" i="1"/>
  <c r="AN140" i="1"/>
  <c r="K106" i="1"/>
  <c r="L106" i="1"/>
  <c r="M106" i="1"/>
  <c r="N106" i="1" s="1"/>
  <c r="T106" i="1"/>
  <c r="V106" i="1"/>
  <c r="Y106" i="1"/>
  <c r="Z106" i="1"/>
  <c r="AB106" i="1"/>
  <c r="AC106" i="1"/>
  <c r="AD106" i="1"/>
  <c r="X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2" i="1"/>
  <c r="AM142" i="1"/>
  <c r="AN142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/>
  <c r="V109" i="1"/>
  <c r="Y109" i="1"/>
  <c r="Z109" i="1"/>
  <c r="AA109" i="1"/>
  <c r="AB109" i="1"/>
  <c r="AC109" i="1"/>
  <c r="AD109" i="1"/>
  <c r="X109" i="1" s="1"/>
  <c r="AE109" i="1"/>
  <c r="AF109" i="1"/>
  <c r="AH144" i="1"/>
  <c r="AM144" i="1"/>
  <c r="AN144" i="1"/>
  <c r="K110" i="1"/>
  <c r="L110" i="1"/>
  <c r="M110" i="1"/>
  <c r="N110" i="1" s="1"/>
  <c r="T110" i="1"/>
  <c r="V110" i="1"/>
  <c r="Y110" i="1"/>
  <c r="Z110" i="1"/>
  <c r="AB110" i="1"/>
  <c r="AC110" i="1"/>
  <c r="AD110" i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7" i="1"/>
  <c r="AM147" i="1"/>
  <c r="AN147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0" i="1"/>
  <c r="AM150" i="1"/>
  <c r="AN150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S23" i="3" s="1"/>
  <c r="Y118" i="1"/>
  <c r="Z118" i="1"/>
  <c r="AB118" i="1"/>
  <c r="AC118" i="1"/>
  <c r="AD118" i="1"/>
  <c r="T118" i="1" s="1"/>
  <c r="AE118" i="1"/>
  <c r="R23" i="3" s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X121" i="1"/>
  <c r="Y121" i="1"/>
  <c r="AA121" i="1" s="1"/>
  <c r="Z121" i="1"/>
  <c r="AB121" i="1"/>
  <c r="AC121" i="1"/>
  <c r="AD121" i="1"/>
  <c r="T121" i="1" s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/>
  <c r="V124" i="1"/>
  <c r="Y124" i="1"/>
  <c r="Z124" i="1"/>
  <c r="AB124" i="1"/>
  <c r="AC124" i="1"/>
  <c r="AD124" i="1"/>
  <c r="T124" i="1" s="1"/>
  <c r="AE124" i="1"/>
  <c r="AF124" i="1"/>
  <c r="AH158" i="1"/>
  <c r="AM158" i="1"/>
  <c r="AN158" i="1"/>
  <c r="K125" i="1"/>
  <c r="L125" i="1"/>
  <c r="M125" i="1"/>
  <c r="N125" i="1" s="1"/>
  <c r="V125" i="1"/>
  <c r="Y125" i="1"/>
  <c r="Z125" i="1"/>
  <c r="AA125" i="1" s="1"/>
  <c r="AB125" i="1"/>
  <c r="AC125" i="1"/>
  <c r="AD125" i="1"/>
  <c r="X125" i="1" s="1"/>
  <c r="AE125" i="1"/>
  <c r="AF125" i="1"/>
  <c r="AH159" i="1"/>
  <c r="AM159" i="1"/>
  <c r="AN159" i="1"/>
  <c r="K126" i="1"/>
  <c r="L126" i="1"/>
  <c r="M126" i="1"/>
  <c r="N126" i="1" s="1"/>
  <c r="V126" i="1"/>
  <c r="Y126" i="1"/>
  <c r="Z126" i="1"/>
  <c r="AB126" i="1"/>
  <c r="AC126" i="1"/>
  <c r="AD126" i="1"/>
  <c r="X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/>
  <c r="V132" i="1"/>
  <c r="Y132" i="1"/>
  <c r="Z132" i="1"/>
  <c r="AA132" i="1"/>
  <c r="AB132" i="1"/>
  <c r="AC132" i="1"/>
  <c r="AD132" i="1"/>
  <c r="AE132" i="1"/>
  <c r="AF132" i="1"/>
  <c r="AH167" i="1"/>
  <c r="AM167" i="1"/>
  <c r="AN167" i="1"/>
  <c r="K133" i="1"/>
  <c r="L133" i="1"/>
  <c r="M133" i="1"/>
  <c r="N133" i="1"/>
  <c r="V133" i="1"/>
  <c r="Y133" i="1"/>
  <c r="Z133" i="1"/>
  <c r="AA133" i="1" s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T134" i="1"/>
  <c r="V134" i="1"/>
  <c r="Y134" i="1"/>
  <c r="Z134" i="1"/>
  <c r="AA134" i="1"/>
  <c r="AB134" i="1"/>
  <c r="AC134" i="1"/>
  <c r="AD134" i="1"/>
  <c r="X134" i="1" s="1"/>
  <c r="AE134" i="1"/>
  <c r="AF134" i="1"/>
  <c r="AH169" i="1"/>
  <c r="AM169" i="1"/>
  <c r="AN169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P139" i="1" s="1"/>
  <c r="V139" i="1"/>
  <c r="Y139" i="1"/>
  <c r="Z139" i="1"/>
  <c r="AA139" i="1" s="1"/>
  <c r="AB139" i="1"/>
  <c r="AC139" i="1"/>
  <c r="AD139" i="1"/>
  <c r="AE139" i="1"/>
  <c r="AF139" i="1"/>
  <c r="AH175" i="1"/>
  <c r="AM175" i="1"/>
  <c r="AN175" i="1"/>
  <c r="K140" i="1"/>
  <c r="L140" i="1"/>
  <c r="M140" i="1"/>
  <c r="N140" i="1" s="1"/>
  <c r="T140" i="1"/>
  <c r="V140" i="1"/>
  <c r="Y140" i="1"/>
  <c r="Z140" i="1"/>
  <c r="AA140" i="1"/>
  <c r="AB140" i="1"/>
  <c r="AC140" i="1"/>
  <c r="AD140" i="1"/>
  <c r="AE140" i="1"/>
  <c r="AF140" i="1"/>
  <c r="AH176" i="1"/>
  <c r="AM176" i="1"/>
  <c r="AN176" i="1"/>
  <c r="K141" i="1"/>
  <c r="L141" i="1"/>
  <c r="M141" i="1"/>
  <c r="N141" i="1"/>
  <c r="V141" i="1"/>
  <c r="Y141" i="1"/>
  <c r="Z141" i="1"/>
  <c r="AA141" i="1" s="1"/>
  <c r="AB141" i="1"/>
  <c r="AC141" i="1"/>
  <c r="AD141" i="1"/>
  <c r="X141" i="1" s="1"/>
  <c r="AE141" i="1"/>
  <c r="R15" i="3" s="1"/>
  <c r="AF141" i="1"/>
  <c r="AH177" i="1"/>
  <c r="AM177" i="1"/>
  <c r="AN177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2" i="1"/>
  <c r="AM182" i="1"/>
  <c r="AN182" i="1"/>
  <c r="K147" i="1"/>
  <c r="L147" i="1"/>
  <c r="M147" i="1"/>
  <c r="N147" i="1"/>
  <c r="V147" i="1"/>
  <c r="Y147" i="1"/>
  <c r="Z147" i="1"/>
  <c r="AB147" i="1"/>
  <c r="AC147" i="1"/>
  <c r="AD147" i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T152" i="1"/>
  <c r="V152" i="1"/>
  <c r="Y152" i="1"/>
  <c r="AA152" i="1" s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AH194" i="1"/>
  <c r="AM194" i="1"/>
  <c r="AN194" i="1"/>
  <c r="K192" i="1"/>
  <c r="L192" i="1"/>
  <c r="M192" i="1"/>
  <c r="N192" i="1" s="1"/>
  <c r="V192" i="1"/>
  <c r="Y192" i="1"/>
  <c r="Z192" i="1"/>
  <c r="AA192" i="1" s="1"/>
  <c r="AB192" i="1"/>
  <c r="AC192" i="1"/>
  <c r="AD192" i="1"/>
  <c r="AE192" i="1"/>
  <c r="AF192" i="1"/>
  <c r="AH195" i="1"/>
  <c r="AM195" i="1"/>
  <c r="AN195" i="1"/>
  <c r="K193" i="1"/>
  <c r="L193" i="1"/>
  <c r="M193" i="1"/>
  <c r="N193" i="1" s="1"/>
  <c r="V193" i="1"/>
  <c r="S35" i="3" s="1"/>
  <c r="Y193" i="1"/>
  <c r="AA193" i="1" s="1"/>
  <c r="Z193" i="1"/>
  <c r="AB193" i="1"/>
  <c r="AC193" i="1"/>
  <c r="AD193" i="1"/>
  <c r="T193" i="1" s="1"/>
  <c r="AE193" i="1"/>
  <c r="R35" i="3" s="1"/>
  <c r="AF193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X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AA201" i="1" s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AA203" i="1" s="1"/>
  <c r="Z203" i="1"/>
  <c r="AB203" i="1"/>
  <c r="AC203" i="1"/>
  <c r="AD203" i="1"/>
  <c r="T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X205" i="1" s="1"/>
  <c r="AE204" i="1"/>
  <c r="AF204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T212" i="1"/>
  <c r="V212" i="1"/>
  <c r="Y212" i="1"/>
  <c r="Z212" i="1"/>
  <c r="AB212" i="1"/>
  <c r="AC212" i="1"/>
  <c r="AD212" i="1"/>
  <c r="AE212" i="1"/>
  <c r="AF212" i="1"/>
  <c r="AH212" i="1"/>
  <c r="AM212" i="1"/>
  <c r="AN212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AA214" i="1" s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M35" i="3"/>
  <c r="U35" i="3"/>
  <c r="T35" i="3" s="1"/>
  <c r="V35" i="3"/>
  <c r="X35" i="3"/>
  <c r="AC35" i="3"/>
  <c r="M17" i="3"/>
  <c r="R17" i="3"/>
  <c r="S17" i="3"/>
  <c r="U17" i="3"/>
  <c r="V17" i="3"/>
  <c r="X17" i="3"/>
  <c r="AC17" i="3"/>
  <c r="M20" i="3"/>
  <c r="S20" i="3"/>
  <c r="U20" i="3"/>
  <c r="AC20" i="3" s="1"/>
  <c r="V20" i="3"/>
  <c r="X20" i="3"/>
  <c r="M14" i="3"/>
  <c r="R14" i="3"/>
  <c r="S14" i="3"/>
  <c r="U14" i="3"/>
  <c r="AC14" i="3" s="1"/>
  <c r="V14" i="3"/>
  <c r="X14" i="3"/>
  <c r="M16" i="3"/>
  <c r="S16" i="3"/>
  <c r="U16" i="3"/>
  <c r="T16" i="3" s="1"/>
  <c r="V16" i="3"/>
  <c r="X16" i="3"/>
  <c r="AC16" i="3"/>
  <c r="M12" i="3"/>
  <c r="R12" i="3"/>
  <c r="S12" i="3"/>
  <c r="U12" i="3"/>
  <c r="AC12" i="3" s="1"/>
  <c r="V12" i="3"/>
  <c r="X12" i="3"/>
  <c r="M10" i="3"/>
  <c r="R10" i="3"/>
  <c r="U10" i="3"/>
  <c r="AC10" i="3" s="1"/>
  <c r="V10" i="3"/>
  <c r="X10" i="3"/>
  <c r="M21" i="3"/>
  <c r="R21" i="3"/>
  <c r="S21" i="3"/>
  <c r="U21" i="3"/>
  <c r="AC21" i="3" s="1"/>
  <c r="V21" i="3"/>
  <c r="X21" i="3"/>
  <c r="M9" i="3"/>
  <c r="R9" i="3"/>
  <c r="S9" i="3"/>
  <c r="U9" i="3"/>
  <c r="T9" i="3" s="1"/>
  <c r="V9" i="3"/>
  <c r="X9" i="3"/>
  <c r="M24" i="3"/>
  <c r="R24" i="3"/>
  <c r="S24" i="3"/>
  <c r="U24" i="3"/>
  <c r="V24" i="3"/>
  <c r="X24" i="3"/>
  <c r="AC24" i="3"/>
  <c r="M27" i="3"/>
  <c r="S27" i="3"/>
  <c r="U27" i="3"/>
  <c r="AC27" i="3" s="1"/>
  <c r="V27" i="3"/>
  <c r="X27" i="3"/>
  <c r="M18" i="3"/>
  <c r="R18" i="3"/>
  <c r="U18" i="3"/>
  <c r="AC18" i="3" s="1"/>
  <c r="V18" i="3"/>
  <c r="X18" i="3"/>
  <c r="M7" i="3"/>
  <c r="R7" i="3"/>
  <c r="S7" i="3"/>
  <c r="U7" i="3"/>
  <c r="T7" i="3" s="1"/>
  <c r="V7" i="3"/>
  <c r="X7" i="3"/>
  <c r="AC7" i="3"/>
  <c r="M22" i="3"/>
  <c r="S22" i="3"/>
  <c r="U22" i="3"/>
  <c r="AD21" i="3" s="1"/>
  <c r="V22" i="3"/>
  <c r="X22" i="3"/>
  <c r="M29" i="3"/>
  <c r="R29" i="3"/>
  <c r="S29" i="3"/>
  <c r="U29" i="3"/>
  <c r="AC29" i="3" s="1"/>
  <c r="V29" i="3"/>
  <c r="X29" i="3"/>
  <c r="M11" i="3"/>
  <c r="R11" i="3"/>
  <c r="S11" i="3"/>
  <c r="T11" i="3"/>
  <c r="U11" i="3"/>
  <c r="AC11" i="3" s="1"/>
  <c r="V11" i="3"/>
  <c r="X11" i="3"/>
  <c r="M19" i="3"/>
  <c r="R19" i="3"/>
  <c r="S19" i="3"/>
  <c r="U19" i="3"/>
  <c r="T19" i="3" s="1"/>
  <c r="V19" i="3"/>
  <c r="X19" i="3"/>
  <c r="AD24" i="3"/>
  <c r="M23" i="3"/>
  <c r="U23" i="3"/>
  <c r="AD23" i="3" s="1"/>
  <c r="V23" i="3"/>
  <c r="X23" i="3"/>
  <c r="M31" i="3"/>
  <c r="R31" i="3"/>
  <c r="U31" i="3"/>
  <c r="AC31" i="3" s="1"/>
  <c r="V31" i="3"/>
  <c r="X31" i="3"/>
  <c r="M8" i="3"/>
  <c r="R8" i="3"/>
  <c r="S8" i="3"/>
  <c r="T8" i="3"/>
  <c r="U8" i="3"/>
  <c r="AC8" i="3" s="1"/>
  <c r="V8" i="3"/>
  <c r="X8" i="3"/>
  <c r="AD27" i="3"/>
  <c r="M28" i="3"/>
  <c r="R28" i="3"/>
  <c r="S28" i="3"/>
  <c r="U28" i="3"/>
  <c r="T28" i="3" s="1"/>
  <c r="V28" i="3"/>
  <c r="X28" i="3"/>
  <c r="AC28" i="3"/>
  <c r="AD28" i="3"/>
  <c r="M25" i="3"/>
  <c r="S25" i="3"/>
  <c r="U25" i="3"/>
  <c r="AD29" i="3" s="1"/>
  <c r="V25" i="3"/>
  <c r="X25" i="3"/>
  <c r="AC25" i="3"/>
  <c r="M30" i="3"/>
  <c r="S30" i="3"/>
  <c r="U30" i="3"/>
  <c r="AC30" i="3" s="1"/>
  <c r="V30" i="3"/>
  <c r="X30" i="3"/>
  <c r="M32" i="3"/>
  <c r="R32" i="3"/>
  <c r="U32" i="3"/>
  <c r="AC32" i="3" s="1"/>
  <c r="V32" i="3"/>
  <c r="X32" i="3"/>
  <c r="AD31" i="3"/>
  <c r="M13" i="3"/>
  <c r="S13" i="3"/>
  <c r="U13" i="3"/>
  <c r="T13" i="3" s="1"/>
  <c r="V13" i="3"/>
  <c r="X13" i="3"/>
  <c r="AD32" i="3"/>
  <c r="M15" i="3"/>
  <c r="S15" i="3"/>
  <c r="U15" i="3"/>
  <c r="V15" i="3"/>
  <c r="X15" i="3"/>
  <c r="M26" i="3"/>
  <c r="R26" i="3"/>
  <c r="S26" i="3"/>
  <c r="U26" i="3"/>
  <c r="AC26" i="3" s="1"/>
  <c r="V26" i="3"/>
  <c r="X26" i="3"/>
  <c r="M33" i="3"/>
  <c r="R33" i="3"/>
  <c r="S33" i="3"/>
  <c r="U33" i="3"/>
  <c r="AC33" i="3" s="1"/>
  <c r="V33" i="3"/>
  <c r="X33" i="3"/>
  <c r="AE35" i="3"/>
  <c r="AG163" i="1"/>
  <c r="AG48" i="1"/>
  <c r="AG41" i="1"/>
  <c r="AG18" i="1"/>
  <c r="AG162" i="1"/>
  <c r="AG109" i="1"/>
  <c r="AG190" i="1"/>
  <c r="AG124" i="1"/>
  <c r="AG189" i="1"/>
  <c r="AG123" i="1"/>
  <c r="AG153" i="1"/>
  <c r="AG208" i="1"/>
  <c r="AG134" i="1"/>
  <c r="AG197" i="1"/>
  <c r="AG139" i="1"/>
  <c r="AG204" i="1"/>
  <c r="AG126" i="1"/>
  <c r="AG150" i="1"/>
  <c r="AG21" i="1"/>
  <c r="AG37" i="1"/>
  <c r="AG15" i="1"/>
  <c r="AG50" i="1"/>
  <c r="AG23" i="1"/>
  <c r="AG39" i="1"/>
  <c r="AG17" i="1"/>
  <c r="AG34" i="1"/>
  <c r="AG71" i="1"/>
  <c r="AG74" i="1"/>
  <c r="AG69" i="1"/>
  <c r="AG68" i="1"/>
  <c r="AG112" i="1"/>
  <c r="AG157" i="1"/>
  <c r="AG106" i="1"/>
  <c r="AG152" i="1"/>
  <c r="AG143" i="1"/>
  <c r="AG206" i="1"/>
  <c r="AG214" i="1"/>
  <c r="AG25" i="1"/>
  <c r="AG42" i="1"/>
  <c r="AG20" i="1"/>
  <c r="AG36" i="1"/>
  <c r="AG54" i="1"/>
  <c r="AG27" i="1"/>
  <c r="AG44" i="1"/>
  <c r="AG22" i="1"/>
  <c r="AG38" i="1"/>
  <c r="AG59" i="1"/>
  <c r="AG75" i="1"/>
  <c r="AG62" i="1"/>
  <c r="AG78" i="1"/>
  <c r="AG57" i="1"/>
  <c r="AG73" i="1"/>
  <c r="AG56" i="1"/>
  <c r="AG72" i="1"/>
  <c r="AG87" i="1"/>
  <c r="AG94" i="1"/>
  <c r="AG90" i="1"/>
  <c r="AG170" i="1"/>
  <c r="AG92" i="1"/>
  <c r="AG172" i="1"/>
  <c r="AG184" i="1"/>
  <c r="AG205" i="1"/>
  <c r="AG117" i="1"/>
  <c r="AG133" i="1"/>
  <c r="AG183" i="1"/>
  <c r="AG103" i="1"/>
  <c r="AG116" i="1"/>
  <c r="AG132" i="1"/>
  <c r="AG182" i="1"/>
  <c r="AG102" i="1"/>
  <c r="AG115" i="1"/>
  <c r="AG89" i="1"/>
  <c r="AG145" i="1"/>
  <c r="AG194" i="1"/>
  <c r="AG213" i="1"/>
  <c r="AG169" i="1"/>
  <c r="AG114" i="1"/>
  <c r="AG140" i="1"/>
  <c r="AG156" i="1"/>
  <c r="AG130" i="1"/>
  <c r="AG147" i="1"/>
  <c r="AG196" i="1"/>
  <c r="AG215" i="1"/>
  <c r="AG110" i="1"/>
  <c r="AG142" i="1"/>
  <c r="AG146" i="1"/>
  <c r="AG16" i="1"/>
  <c r="AG33" i="1"/>
  <c r="AG51" i="1"/>
  <c r="AG28" i="1"/>
  <c r="AG45" i="1"/>
  <c r="AG19" i="1"/>
  <c r="AG35" i="1"/>
  <c r="AG53" i="1"/>
  <c r="AG30" i="1"/>
  <c r="AG47" i="1"/>
  <c r="AG67" i="1"/>
  <c r="AG83" i="1"/>
  <c r="AG70" i="1"/>
  <c r="AG86" i="1"/>
  <c r="AG65" i="1"/>
  <c r="AG81" i="1"/>
  <c r="AG64" i="1"/>
  <c r="AG80" i="1"/>
  <c r="AG159" i="1"/>
  <c r="AG175" i="1"/>
  <c r="AG95" i="1"/>
  <c r="AG165" i="1"/>
  <c r="AG179" i="1"/>
  <c r="AG191" i="1"/>
  <c r="AG125" i="1"/>
  <c r="AG180" i="1"/>
  <c r="AG108" i="1"/>
  <c r="AG173" i="1"/>
  <c r="AG107" i="1"/>
  <c r="AG137" i="1"/>
  <c r="AG202" i="1"/>
  <c r="AG101" i="1"/>
  <c r="AG148" i="1"/>
  <c r="AG155" i="1"/>
  <c r="AG97" i="1"/>
  <c r="AG203" i="1"/>
  <c r="AG29" i="1"/>
  <c r="AG46" i="1"/>
  <c r="AG24" i="1"/>
  <c r="AG40" i="1"/>
  <c r="AG14" i="1"/>
  <c r="AG31" i="1"/>
  <c r="AG49" i="1"/>
  <c r="AG26" i="1"/>
  <c r="AG43" i="1"/>
  <c r="AG63" i="1"/>
  <c r="AG79" i="1"/>
  <c r="AG66" i="1"/>
  <c r="AG82" i="1"/>
  <c r="AG61" i="1"/>
  <c r="AG77" i="1"/>
  <c r="AG60" i="1"/>
  <c r="AG76" i="1"/>
  <c r="AG91" i="1"/>
  <c r="AG171" i="1"/>
  <c r="AG158" i="1"/>
  <c r="AG174" i="1"/>
  <c r="AG160" i="1"/>
  <c r="AG176" i="1"/>
  <c r="AG96" i="1"/>
  <c r="AG105" i="1"/>
  <c r="AG121" i="1"/>
  <c r="AG161" i="1"/>
  <c r="AG187" i="1"/>
  <c r="AG104" i="1"/>
  <c r="AG120" i="1"/>
  <c r="AG93" i="1"/>
  <c r="AG186" i="1"/>
  <c r="AG207" i="1"/>
  <c r="AG119" i="1"/>
  <c r="AG131" i="1"/>
  <c r="AG149" i="1"/>
  <c r="AG198" i="1"/>
  <c r="AG201" i="1"/>
  <c r="AG188" i="1"/>
  <c r="AG122" i="1"/>
  <c r="AG144" i="1"/>
  <c r="AG193" i="1"/>
  <c r="AG135" i="1"/>
  <c r="AG151" i="1"/>
  <c r="AG200" i="1"/>
  <c r="AG185" i="1"/>
  <c r="AG118" i="1"/>
  <c r="AG154" i="1"/>
  <c r="AG210" i="1"/>
  <c r="AG195" i="1"/>
  <c r="AG32" i="1"/>
  <c r="AG52" i="1"/>
  <c r="AG58" i="1"/>
  <c r="AG55" i="1"/>
  <c r="AG85" i="1"/>
  <c r="AG84" i="1"/>
  <c r="AG164" i="1"/>
  <c r="AG178" i="1"/>
  <c r="AG167" i="1"/>
  <c r="AG88" i="1"/>
  <c r="AG168" i="1"/>
  <c r="AG166" i="1"/>
  <c r="AG100" i="1"/>
  <c r="AG113" i="1"/>
  <c r="AG129" i="1"/>
  <c r="AG181" i="1"/>
  <c r="AG99" i="1"/>
  <c r="AG128" i="1"/>
  <c r="AG177" i="1"/>
  <c r="AG98" i="1"/>
  <c r="AG111" i="1"/>
  <c r="AG127" i="1"/>
  <c r="AG141" i="1"/>
  <c r="AG209" i="1"/>
  <c r="AG138" i="1"/>
  <c r="AG136" i="1"/>
  <c r="AG212" i="1"/>
  <c r="AG192" i="1"/>
  <c r="AG211" i="1"/>
  <c r="AG199" i="1"/>
  <c r="W12" i="3"/>
  <c r="W25" i="3"/>
  <c r="W10" i="3"/>
  <c r="W21" i="3"/>
  <c r="W24" i="3"/>
  <c r="W15" i="3"/>
  <c r="W19" i="3"/>
  <c r="W27" i="3"/>
  <c r="W26" i="3"/>
  <c r="W16" i="3"/>
  <c r="W8" i="3"/>
  <c r="W22" i="3"/>
  <c r="W11" i="3"/>
  <c r="W13" i="3"/>
  <c r="W29" i="3"/>
  <c r="W18" i="3"/>
  <c r="W33" i="3"/>
  <c r="W9" i="3"/>
  <c r="W17" i="3"/>
  <c r="W23" i="3"/>
  <c r="W32" i="3"/>
  <c r="W20" i="3"/>
  <c r="W31" i="3"/>
  <c r="W14" i="3"/>
  <c r="W28" i="3"/>
  <c r="W7" i="3"/>
  <c r="W30" i="3"/>
  <c r="W35" i="3"/>
  <c r="AI163" i="1" l="1"/>
  <c r="U163" i="1"/>
  <c r="S163" i="1" s="1"/>
  <c r="W163" i="1"/>
  <c r="X136" i="1"/>
  <c r="R13" i="3"/>
  <c r="AE31" i="3"/>
  <c r="AC23" i="3"/>
  <c r="AC22" i="3"/>
  <c r="AA212" i="1"/>
  <c r="X209" i="1"/>
  <c r="AA148" i="1"/>
  <c r="W148" i="1" s="1"/>
  <c r="X145" i="1"/>
  <c r="AA117" i="1"/>
  <c r="AA112" i="1"/>
  <c r="AA101" i="1"/>
  <c r="W101" i="1" s="1"/>
  <c r="X84" i="1"/>
  <c r="X80" i="1"/>
  <c r="X77" i="1"/>
  <c r="X76" i="1"/>
  <c r="X75" i="1"/>
  <c r="AA60" i="1"/>
  <c r="AA56" i="1"/>
  <c r="AA53" i="1"/>
  <c r="AE27" i="3"/>
  <c r="AD17" i="3"/>
  <c r="AD16" i="3"/>
  <c r="T14" i="3"/>
  <c r="AA200" i="1"/>
  <c r="AA195" i="1"/>
  <c r="AA154" i="1"/>
  <c r="W154" i="1" s="1"/>
  <c r="X149" i="1"/>
  <c r="AA136" i="1"/>
  <c r="AA128" i="1"/>
  <c r="T126" i="1"/>
  <c r="U126" i="1" s="1"/>
  <c r="S126" i="1" s="1"/>
  <c r="X117" i="1"/>
  <c r="AA205" i="1"/>
  <c r="AA102" i="1"/>
  <c r="X191" i="1"/>
  <c r="AA191" i="1"/>
  <c r="X185" i="1"/>
  <c r="X176" i="1"/>
  <c r="AA174" i="1"/>
  <c r="W174" i="1" s="1"/>
  <c r="AA171" i="1"/>
  <c r="X168" i="1"/>
  <c r="AA161" i="1"/>
  <c r="X85" i="1"/>
  <c r="X81" i="1"/>
  <c r="AA79" i="1"/>
  <c r="X73" i="1"/>
  <c r="AA59" i="1"/>
  <c r="AA54" i="1"/>
  <c r="AA51" i="1"/>
  <c r="AA31" i="1"/>
  <c r="X18" i="1"/>
  <c r="X49" i="1"/>
  <c r="AD20" i="3"/>
  <c r="AA211" i="1"/>
  <c r="T141" i="1"/>
  <c r="U141" i="1" s="1"/>
  <c r="S141" i="1" s="1"/>
  <c r="X118" i="1"/>
  <c r="AA116" i="1"/>
  <c r="AA111" i="1"/>
  <c r="AA160" i="1"/>
  <c r="W160" i="1" s="1"/>
  <c r="AA159" i="1"/>
  <c r="X88" i="1"/>
  <c r="T84" i="1"/>
  <c r="AA77" i="1"/>
  <c r="W77" i="1" s="1"/>
  <c r="AA71" i="1"/>
  <c r="X67" i="1"/>
  <c r="X65" i="1"/>
  <c r="X29" i="1"/>
  <c r="X138" i="1"/>
  <c r="X19" i="1"/>
  <c r="X137" i="1"/>
  <c r="X48" i="1"/>
  <c r="U48" i="1"/>
  <c r="S48" i="1" s="1"/>
  <c r="AI48" i="1"/>
  <c r="W48" i="1"/>
  <c r="AI41" i="1"/>
  <c r="U41" i="1"/>
  <c r="S41" i="1" s="1"/>
  <c r="W41" i="1"/>
  <c r="X41" i="1"/>
  <c r="AI18" i="1"/>
  <c r="U18" i="1"/>
  <c r="W18" i="1"/>
  <c r="AA210" i="1"/>
  <c r="AA208" i="1"/>
  <c r="W208" i="1" s="1"/>
  <c r="AA199" i="1"/>
  <c r="AA197" i="1"/>
  <c r="AA156" i="1"/>
  <c r="AA150" i="1"/>
  <c r="T149" i="1"/>
  <c r="AA147" i="1"/>
  <c r="X133" i="1"/>
  <c r="AA124" i="1"/>
  <c r="W124" i="1" s="1"/>
  <c r="T122" i="1"/>
  <c r="AA120" i="1"/>
  <c r="AA114" i="1"/>
  <c r="X110" i="1"/>
  <c r="T97" i="1"/>
  <c r="AA187" i="1"/>
  <c r="X181" i="1"/>
  <c r="X179" i="1"/>
  <c r="AA173" i="1"/>
  <c r="X79" i="1"/>
  <c r="X72" i="1"/>
  <c r="T69" i="1"/>
  <c r="U69" i="1" s="1"/>
  <c r="S69" i="1" s="1"/>
  <c r="X63" i="1"/>
  <c r="X61" i="1"/>
  <c r="AA52" i="1"/>
  <c r="AA50" i="1"/>
  <c r="W50" i="1" s="1"/>
  <c r="AA44" i="1"/>
  <c r="T42" i="1"/>
  <c r="AA32" i="1"/>
  <c r="T29" i="1"/>
  <c r="U29" i="1" s="1"/>
  <c r="S29" i="1" s="1"/>
  <c r="AA22" i="1"/>
  <c r="T17" i="1"/>
  <c r="AA16" i="1"/>
  <c r="X15" i="1"/>
  <c r="AA130" i="1"/>
  <c r="AA127" i="1"/>
  <c r="AA115" i="1"/>
  <c r="AA113" i="1"/>
  <c r="T185" i="1"/>
  <c r="AA184" i="1"/>
  <c r="AA182" i="1"/>
  <c r="X180" i="1"/>
  <c r="AA178" i="1"/>
  <c r="AA169" i="1"/>
  <c r="AA167" i="1"/>
  <c r="AA166" i="1"/>
  <c r="W166" i="1" s="1"/>
  <c r="AA164" i="1"/>
  <c r="AA88" i="1"/>
  <c r="T88" i="1"/>
  <c r="AA87" i="1"/>
  <c r="W87" i="1" s="1"/>
  <c r="X83" i="1"/>
  <c r="AA81" i="1"/>
  <c r="X71" i="1"/>
  <c r="AA69" i="1"/>
  <c r="W69" i="1" s="1"/>
  <c r="X68" i="1"/>
  <c r="X64" i="1"/>
  <c r="AA64" i="1"/>
  <c r="AA62" i="1"/>
  <c r="W62" i="1" s="1"/>
  <c r="X59" i="1"/>
  <c r="X57" i="1"/>
  <c r="X36" i="1"/>
  <c r="AA21" i="1"/>
  <c r="W21" i="1" s="1"/>
  <c r="AA17" i="1"/>
  <c r="AA129" i="1"/>
  <c r="AA70" i="1"/>
  <c r="AA63" i="1"/>
  <c r="W63" i="1" s="1"/>
  <c r="AA58" i="1"/>
  <c r="AA49" i="1"/>
  <c r="AA37" i="1"/>
  <c r="AA35" i="1"/>
  <c r="AA15" i="1"/>
  <c r="AA100" i="1"/>
  <c r="X184" i="1"/>
  <c r="AA89" i="1"/>
  <c r="W89" i="1" s="1"/>
  <c r="X213" i="1"/>
  <c r="AA209" i="1"/>
  <c r="X202" i="1"/>
  <c r="AA198" i="1"/>
  <c r="W198" i="1" s="1"/>
  <c r="X194" i="1"/>
  <c r="AA157" i="1"/>
  <c r="X153" i="1"/>
  <c r="AA149" i="1"/>
  <c r="W149" i="1" s="1"/>
  <c r="AA146" i="1"/>
  <c r="AA215" i="1"/>
  <c r="AA204" i="1"/>
  <c r="AA196" i="1"/>
  <c r="W196" i="1" s="1"/>
  <c r="AA155" i="1"/>
  <c r="AA144" i="1"/>
  <c r="AA213" i="1"/>
  <c r="AA202" i="1"/>
  <c r="W202" i="1" s="1"/>
  <c r="AA194" i="1"/>
  <c r="AA153" i="1"/>
  <c r="AA138" i="1"/>
  <c r="X130" i="1"/>
  <c r="AA126" i="1"/>
  <c r="T125" i="1"/>
  <c r="X114" i="1"/>
  <c r="AA110" i="1"/>
  <c r="W110" i="1" s="1"/>
  <c r="T109" i="1"/>
  <c r="X101" i="1"/>
  <c r="AA97" i="1"/>
  <c r="T191" i="1"/>
  <c r="X172" i="1"/>
  <c r="X165" i="1"/>
  <c r="X92" i="1"/>
  <c r="AA65" i="1"/>
  <c r="W65" i="1" s="1"/>
  <c r="T65" i="1"/>
  <c r="T64" i="1"/>
  <c r="AA61" i="1"/>
  <c r="T61" i="1"/>
  <c r="U61" i="1" s="1"/>
  <c r="S61" i="1" s="1"/>
  <c r="T60" i="1"/>
  <c r="AA57" i="1"/>
  <c r="T57" i="1"/>
  <c r="T56" i="1"/>
  <c r="U56" i="1" s="1"/>
  <c r="S56" i="1" s="1"/>
  <c r="X54" i="1"/>
  <c r="X51" i="1"/>
  <c r="AA47" i="1"/>
  <c r="AA46" i="1"/>
  <c r="W46" i="1" s="1"/>
  <c r="T45" i="1"/>
  <c r="AA43" i="1"/>
  <c r="AA42" i="1"/>
  <c r="T40" i="1"/>
  <c r="U40" i="1" s="1"/>
  <c r="S40" i="1" s="1"/>
  <c r="T37" i="1"/>
  <c r="X32" i="1"/>
  <c r="X28" i="1"/>
  <c r="X24" i="1"/>
  <c r="X22" i="1"/>
  <c r="T20" i="1"/>
  <c r="AA19" i="1"/>
  <c r="W19" i="1" s="1"/>
  <c r="T16" i="1"/>
  <c r="U16" i="1" s="1"/>
  <c r="S16" i="1" s="1"/>
  <c r="AA145" i="1"/>
  <c r="X140" i="1"/>
  <c r="AA137" i="1"/>
  <c r="X129" i="1"/>
  <c r="AA123" i="1"/>
  <c r="AA122" i="1"/>
  <c r="X113" i="1"/>
  <c r="AA107" i="1"/>
  <c r="W107" i="1" s="1"/>
  <c r="AA106" i="1"/>
  <c r="X100" i="1"/>
  <c r="AA189" i="1"/>
  <c r="AA188" i="1"/>
  <c r="W188" i="1" s="1"/>
  <c r="AA181" i="1"/>
  <c r="AA179" i="1"/>
  <c r="AA95" i="1"/>
  <c r="AA177" i="1"/>
  <c r="W177" i="1" s="1"/>
  <c r="X169" i="1"/>
  <c r="X161" i="1"/>
  <c r="X89" i="1"/>
  <c r="T87" i="1"/>
  <c r="U87" i="1" s="1"/>
  <c r="S87" i="1" s="1"/>
  <c r="AA86" i="1"/>
  <c r="AA84" i="1"/>
  <c r="AA82" i="1"/>
  <c r="AA80" i="1"/>
  <c r="AA78" i="1"/>
  <c r="AA76" i="1"/>
  <c r="AA74" i="1"/>
  <c r="AA72" i="1"/>
  <c r="AA68" i="1"/>
  <c r="X50" i="1"/>
  <c r="X21" i="1"/>
  <c r="AA14" i="1"/>
  <c r="W14" i="1" s="1"/>
  <c r="AA143" i="1"/>
  <c r="AA135" i="1"/>
  <c r="AA119" i="1"/>
  <c r="AA118" i="1"/>
  <c r="W118" i="1" s="1"/>
  <c r="AA207" i="1"/>
  <c r="AA206" i="1"/>
  <c r="X188" i="1"/>
  <c r="AA186" i="1"/>
  <c r="AA185" i="1"/>
  <c r="AA172" i="1"/>
  <c r="AA170" i="1"/>
  <c r="AA165" i="1"/>
  <c r="W165" i="1" s="1"/>
  <c r="AA162" i="1"/>
  <c r="AA92" i="1"/>
  <c r="AA90" i="1"/>
  <c r="AA55" i="1"/>
  <c r="AA34" i="1"/>
  <c r="AA33" i="1"/>
  <c r="AA30" i="1"/>
  <c r="AA29" i="1"/>
  <c r="AA26" i="1"/>
  <c r="AA25" i="1"/>
  <c r="X173" i="1"/>
  <c r="X166" i="1"/>
  <c r="X93" i="1"/>
  <c r="AI198" i="1"/>
  <c r="U195" i="1"/>
  <c r="S195" i="1" s="1"/>
  <c r="AI182" i="1"/>
  <c r="U146" i="1"/>
  <c r="S146" i="1" s="1"/>
  <c r="AI202" i="1"/>
  <c r="U199" i="1"/>
  <c r="S199" i="1" s="1"/>
  <c r="AI186" i="1"/>
  <c r="U150" i="1"/>
  <c r="S150" i="1" s="1"/>
  <c r="AI210" i="1"/>
  <c r="U210" i="1"/>
  <c r="S210" i="1" s="1"/>
  <c r="AI194" i="1"/>
  <c r="AI214" i="1"/>
  <c r="U214" i="1"/>
  <c r="S214" i="1" s="1"/>
  <c r="AI206" i="1"/>
  <c r="U203" i="1"/>
  <c r="S203" i="1" s="1"/>
  <c r="AI190" i="1"/>
  <c r="U154" i="1"/>
  <c r="S154" i="1" s="1"/>
  <c r="AI178" i="1"/>
  <c r="U142" i="1"/>
  <c r="S142" i="1" s="1"/>
  <c r="AI170" i="1"/>
  <c r="AI160" i="1"/>
  <c r="AI153" i="1"/>
  <c r="U118" i="1"/>
  <c r="S118" i="1" s="1"/>
  <c r="AI145" i="1"/>
  <c r="U110" i="1"/>
  <c r="S110" i="1" s="1"/>
  <c r="AI137" i="1"/>
  <c r="U206" i="1"/>
  <c r="S206" i="1" s="1"/>
  <c r="AI130" i="1"/>
  <c r="U97" i="1"/>
  <c r="S97" i="1" s="1"/>
  <c r="AI122" i="1"/>
  <c r="U185" i="1"/>
  <c r="S185" i="1" s="1"/>
  <c r="AI215" i="1"/>
  <c r="AI211" i="1"/>
  <c r="AI207" i="1"/>
  <c r="AI203" i="1"/>
  <c r="AI199" i="1"/>
  <c r="AI195" i="1"/>
  <c r="AI191" i="1"/>
  <c r="AI187" i="1"/>
  <c r="AI183" i="1"/>
  <c r="AI179" i="1"/>
  <c r="AI175" i="1"/>
  <c r="AI171" i="1"/>
  <c r="AI165" i="1"/>
  <c r="U130" i="1"/>
  <c r="S130" i="1" s="1"/>
  <c r="U212" i="1"/>
  <c r="S212" i="1" s="1"/>
  <c r="AI212" i="1"/>
  <c r="U197" i="1"/>
  <c r="S197" i="1" s="1"/>
  <c r="W197" i="1"/>
  <c r="AI200" i="1"/>
  <c r="U193" i="1"/>
  <c r="S193" i="1" s="1"/>
  <c r="AI196" i="1"/>
  <c r="U156" i="1"/>
  <c r="S156" i="1" s="1"/>
  <c r="W156" i="1"/>
  <c r="AI192" i="1"/>
  <c r="U152" i="1"/>
  <c r="S152" i="1" s="1"/>
  <c r="AI188" i="1"/>
  <c r="W152" i="1"/>
  <c r="U148" i="1"/>
  <c r="S148" i="1" s="1"/>
  <c r="AI184" i="1"/>
  <c r="U144" i="1"/>
  <c r="S144" i="1" s="1"/>
  <c r="AI180" i="1"/>
  <c r="U140" i="1"/>
  <c r="S140" i="1" s="1"/>
  <c r="AI176" i="1"/>
  <c r="U136" i="1"/>
  <c r="S136" i="1" s="1"/>
  <c r="AI172" i="1"/>
  <c r="U134" i="1"/>
  <c r="S134" i="1" s="1"/>
  <c r="AI169" i="1"/>
  <c r="AI157" i="1"/>
  <c r="U122" i="1"/>
  <c r="S122" i="1" s="1"/>
  <c r="AI149" i="1"/>
  <c r="U114" i="1"/>
  <c r="S114" i="1" s="1"/>
  <c r="AI141" i="1"/>
  <c r="U106" i="1"/>
  <c r="S106" i="1" s="1"/>
  <c r="AI134" i="1"/>
  <c r="U101" i="1"/>
  <c r="S101" i="1" s="1"/>
  <c r="AI126" i="1"/>
  <c r="U188" i="1"/>
  <c r="S188" i="1" s="1"/>
  <c r="AI105" i="1"/>
  <c r="U169" i="1"/>
  <c r="S169" i="1" s="1"/>
  <c r="U138" i="1"/>
  <c r="S138" i="1" s="1"/>
  <c r="AI174" i="1"/>
  <c r="U208" i="1"/>
  <c r="S208" i="1" s="1"/>
  <c r="AI208" i="1"/>
  <c r="U201" i="1"/>
  <c r="S201" i="1" s="1"/>
  <c r="AI204" i="1"/>
  <c r="W201" i="1"/>
  <c r="U213" i="1"/>
  <c r="S213" i="1" s="1"/>
  <c r="AI213" i="1"/>
  <c r="U209" i="1"/>
  <c r="S209" i="1" s="1"/>
  <c r="AI209" i="1"/>
  <c r="U202" i="1"/>
  <c r="S202" i="1" s="1"/>
  <c r="AI205" i="1"/>
  <c r="U198" i="1"/>
  <c r="S198" i="1" s="1"/>
  <c r="AI201" i="1"/>
  <c r="U194" i="1"/>
  <c r="S194" i="1" s="1"/>
  <c r="AI197" i="1"/>
  <c r="U157" i="1"/>
  <c r="S157" i="1" s="1"/>
  <c r="AI193" i="1"/>
  <c r="U153" i="1"/>
  <c r="S153" i="1" s="1"/>
  <c r="AI189" i="1"/>
  <c r="U149" i="1"/>
  <c r="S149" i="1" s="1"/>
  <c r="AI185" i="1"/>
  <c r="U145" i="1"/>
  <c r="S145" i="1" s="1"/>
  <c r="AI181" i="1"/>
  <c r="AI177" i="1"/>
  <c r="U137" i="1"/>
  <c r="S137" i="1" s="1"/>
  <c r="AI173" i="1"/>
  <c r="AI166" i="1"/>
  <c r="AI89" i="1"/>
  <c r="U89" i="1"/>
  <c r="S89" i="1" s="1"/>
  <c r="AI161" i="1"/>
  <c r="AI154" i="1"/>
  <c r="AI150" i="1"/>
  <c r="AI146" i="1"/>
  <c r="AI142" i="1"/>
  <c r="AI138" i="1"/>
  <c r="AI131" i="1"/>
  <c r="AI127" i="1"/>
  <c r="AI123" i="1"/>
  <c r="AI119" i="1"/>
  <c r="AI113" i="1"/>
  <c r="U177" i="1"/>
  <c r="S177" i="1" s="1"/>
  <c r="AI109" i="1"/>
  <c r="U173" i="1"/>
  <c r="S173" i="1" s="1"/>
  <c r="AI93" i="1"/>
  <c r="U93" i="1"/>
  <c r="S93" i="1" s="1"/>
  <c r="AI167" i="1"/>
  <c r="U128" i="1"/>
  <c r="S128" i="1" s="1"/>
  <c r="AI162" i="1"/>
  <c r="U124" i="1"/>
  <c r="S124" i="1" s="1"/>
  <c r="AI158" i="1"/>
  <c r="U120" i="1"/>
  <c r="S120" i="1" s="1"/>
  <c r="AI155" i="1"/>
  <c r="U116" i="1"/>
  <c r="S116" i="1" s="1"/>
  <c r="AI151" i="1"/>
  <c r="U112" i="1"/>
  <c r="S112" i="1" s="1"/>
  <c r="AI147" i="1"/>
  <c r="U108" i="1"/>
  <c r="S108" i="1" s="1"/>
  <c r="AI143" i="1"/>
  <c r="U104" i="1"/>
  <c r="S104" i="1" s="1"/>
  <c r="AI139" i="1"/>
  <c r="U103" i="1"/>
  <c r="S103" i="1" s="1"/>
  <c r="AI135" i="1"/>
  <c r="U99" i="1"/>
  <c r="S99" i="1" s="1"/>
  <c r="AI132" i="1"/>
  <c r="U190" i="1"/>
  <c r="S190" i="1" s="1"/>
  <c r="AI128" i="1"/>
  <c r="U187" i="1"/>
  <c r="S187" i="1" s="1"/>
  <c r="AI124" i="1"/>
  <c r="U183" i="1"/>
  <c r="S183" i="1" s="1"/>
  <c r="AI120" i="1"/>
  <c r="AI118" i="1"/>
  <c r="U180" i="1"/>
  <c r="S180" i="1" s="1"/>
  <c r="AI117" i="1"/>
  <c r="AI97" i="1"/>
  <c r="U161" i="1"/>
  <c r="S161" i="1" s="1"/>
  <c r="U133" i="1"/>
  <c r="S133" i="1" s="1"/>
  <c r="AI168" i="1"/>
  <c r="U129" i="1"/>
  <c r="S129" i="1" s="1"/>
  <c r="AI164" i="1"/>
  <c r="U125" i="1"/>
  <c r="S125" i="1" s="1"/>
  <c r="AI159" i="1"/>
  <c r="U121" i="1"/>
  <c r="S121" i="1" s="1"/>
  <c r="AI156" i="1"/>
  <c r="U117" i="1"/>
  <c r="S117" i="1" s="1"/>
  <c r="AI152" i="1"/>
  <c r="U113" i="1"/>
  <c r="S113" i="1" s="1"/>
  <c r="AI148" i="1"/>
  <c r="U109" i="1"/>
  <c r="S109" i="1" s="1"/>
  <c r="AI144" i="1"/>
  <c r="U105" i="1"/>
  <c r="S105" i="1" s="1"/>
  <c r="AI140" i="1"/>
  <c r="U205" i="1"/>
  <c r="S205" i="1" s="1"/>
  <c r="AI136" i="1"/>
  <c r="U100" i="1"/>
  <c r="S100" i="1" s="1"/>
  <c r="AI133" i="1"/>
  <c r="U191" i="1"/>
  <c r="S191" i="1" s="1"/>
  <c r="AI129" i="1"/>
  <c r="U96" i="1"/>
  <c r="S96" i="1" s="1"/>
  <c r="AI125" i="1"/>
  <c r="U184" i="1"/>
  <c r="S184" i="1" s="1"/>
  <c r="AI121" i="1"/>
  <c r="AI101" i="1"/>
  <c r="U166" i="1"/>
  <c r="S166" i="1" s="1"/>
  <c r="AI116" i="1"/>
  <c r="U179" i="1"/>
  <c r="S179" i="1" s="1"/>
  <c r="AI112" i="1"/>
  <c r="U176" i="1"/>
  <c r="S176" i="1" s="1"/>
  <c r="AI108" i="1"/>
  <c r="U172" i="1"/>
  <c r="S172" i="1" s="1"/>
  <c r="AI104" i="1"/>
  <c r="U168" i="1"/>
  <c r="S168" i="1" s="1"/>
  <c r="AI100" i="1"/>
  <c r="U165" i="1"/>
  <c r="S165" i="1" s="1"/>
  <c r="AI96" i="1"/>
  <c r="U160" i="1"/>
  <c r="S160" i="1" s="1"/>
  <c r="AI92" i="1"/>
  <c r="U92" i="1"/>
  <c r="S92" i="1" s="1"/>
  <c r="AI88" i="1"/>
  <c r="U88" i="1"/>
  <c r="S88" i="1" s="1"/>
  <c r="AI114" i="1"/>
  <c r="AI110" i="1"/>
  <c r="AI106" i="1"/>
  <c r="AI102" i="1"/>
  <c r="AI98" i="1"/>
  <c r="AI94" i="1"/>
  <c r="AI90" i="1"/>
  <c r="U178" i="1"/>
  <c r="S178" i="1" s="1"/>
  <c r="AI115" i="1"/>
  <c r="W178" i="1"/>
  <c r="U175" i="1"/>
  <c r="S175" i="1" s="1"/>
  <c r="AI111" i="1"/>
  <c r="W175" i="1"/>
  <c r="U171" i="1"/>
  <c r="S171" i="1" s="1"/>
  <c r="AI107" i="1"/>
  <c r="W171" i="1"/>
  <c r="U94" i="1"/>
  <c r="S94" i="1" s="1"/>
  <c r="AI103" i="1"/>
  <c r="U164" i="1"/>
  <c r="S164" i="1" s="1"/>
  <c r="W164" i="1"/>
  <c r="AI99" i="1"/>
  <c r="U159" i="1"/>
  <c r="S159" i="1" s="1"/>
  <c r="AI95" i="1"/>
  <c r="W159" i="1"/>
  <c r="U91" i="1"/>
  <c r="S91" i="1" s="1"/>
  <c r="AI91" i="1"/>
  <c r="W91" i="1"/>
  <c r="AI87" i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AI85" i="1"/>
  <c r="U85" i="1"/>
  <c r="S85" i="1" s="1"/>
  <c r="AI81" i="1"/>
  <c r="U81" i="1"/>
  <c r="S81" i="1" s="1"/>
  <c r="AI77" i="1"/>
  <c r="U77" i="1"/>
  <c r="S77" i="1" s="1"/>
  <c r="AI73" i="1"/>
  <c r="U73" i="1"/>
  <c r="S73" i="1" s="1"/>
  <c r="AI69" i="1"/>
  <c r="AI65" i="1"/>
  <c r="U65" i="1"/>
  <c r="S65" i="1" s="1"/>
  <c r="AI61" i="1"/>
  <c r="AI57" i="1"/>
  <c r="U57" i="1"/>
  <c r="S57" i="1" s="1"/>
  <c r="AI55" i="1"/>
  <c r="U55" i="1"/>
  <c r="S55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83" i="1"/>
  <c r="S83" i="1" s="1"/>
  <c r="AI83" i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AI52" i="1"/>
  <c r="AI47" i="1"/>
  <c r="U47" i="1"/>
  <c r="S47" i="1" s="1"/>
  <c r="AI43" i="1"/>
  <c r="U43" i="1"/>
  <c r="S43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7" i="1"/>
  <c r="U17" i="1"/>
  <c r="U53" i="1"/>
  <c r="S53" i="1" s="1"/>
  <c r="AI53" i="1"/>
  <c r="AI49" i="1"/>
  <c r="U49" i="1"/>
  <c r="S49" i="1" s="1"/>
  <c r="AI44" i="1"/>
  <c r="U44" i="1"/>
  <c r="S44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3" i="1"/>
  <c r="U23" i="1"/>
  <c r="S23" i="1" s="1"/>
  <c r="AI19" i="1"/>
  <c r="U19" i="1"/>
  <c r="S19" i="1" s="1"/>
  <c r="AI14" i="1"/>
  <c r="U14" i="1"/>
  <c r="S14" i="1" s="1"/>
  <c r="U54" i="1"/>
  <c r="S54" i="1" s="1"/>
  <c r="AI54" i="1"/>
  <c r="U50" i="1"/>
  <c r="S50" i="1" s="1"/>
  <c r="AI50" i="1"/>
  <c r="U45" i="1"/>
  <c r="S45" i="1" s="1"/>
  <c r="AI45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5" i="1"/>
  <c r="S15" i="1" s="1"/>
  <c r="AI15" i="1"/>
  <c r="U51" i="1"/>
  <c r="S51" i="1" s="1"/>
  <c r="AI51" i="1"/>
  <c r="U46" i="1"/>
  <c r="S46" i="1" s="1"/>
  <c r="AI46" i="1"/>
  <c r="U42" i="1"/>
  <c r="S42" i="1" s="1"/>
  <c r="AI42" i="1"/>
  <c r="U37" i="1"/>
  <c r="S37" i="1" s="1"/>
  <c r="AI37" i="1"/>
  <c r="U33" i="1"/>
  <c r="S33" i="1" s="1"/>
  <c r="AI33" i="1"/>
  <c r="AI29" i="1"/>
  <c r="U25" i="1"/>
  <c r="S25" i="1" s="1"/>
  <c r="AI25" i="1"/>
  <c r="U21" i="1"/>
  <c r="S21" i="1" s="1"/>
  <c r="AI21" i="1"/>
  <c r="AI16" i="1"/>
  <c r="W193" i="1"/>
  <c r="W144" i="1"/>
  <c r="W212" i="1"/>
  <c r="W140" i="1"/>
  <c r="W139" i="1"/>
  <c r="W138" i="1"/>
  <c r="W134" i="1"/>
  <c r="W132" i="1"/>
  <c r="W128" i="1"/>
  <c r="W112" i="1"/>
  <c r="W99" i="1"/>
  <c r="W180" i="1"/>
  <c r="X201" i="1"/>
  <c r="T200" i="1"/>
  <c r="U200" i="1" s="1"/>
  <c r="S200" i="1" s="1"/>
  <c r="X200" i="1"/>
  <c r="W199" i="1"/>
  <c r="W157" i="1"/>
  <c r="W155" i="1"/>
  <c r="X152" i="1"/>
  <c r="T151" i="1"/>
  <c r="U151" i="1" s="1"/>
  <c r="S151" i="1" s="1"/>
  <c r="X151" i="1"/>
  <c r="W150" i="1"/>
  <c r="W137" i="1"/>
  <c r="W108" i="1"/>
  <c r="W190" i="1"/>
  <c r="W209" i="1"/>
  <c r="W204" i="1"/>
  <c r="W213" i="1"/>
  <c r="W194" i="1"/>
  <c r="W192" i="1"/>
  <c r="X156" i="1"/>
  <c r="T155" i="1"/>
  <c r="U155" i="1" s="1"/>
  <c r="S155" i="1" s="1"/>
  <c r="X155" i="1"/>
  <c r="W145" i="1"/>
  <c r="W143" i="1"/>
  <c r="W142" i="1"/>
  <c r="W136" i="1"/>
  <c r="W135" i="1"/>
  <c r="W129" i="1"/>
  <c r="W120" i="1"/>
  <c r="W104" i="1"/>
  <c r="W187" i="1"/>
  <c r="T215" i="1"/>
  <c r="U215" i="1" s="1"/>
  <c r="S215" i="1" s="1"/>
  <c r="X215" i="1"/>
  <c r="W214" i="1"/>
  <c r="W200" i="1"/>
  <c r="X197" i="1"/>
  <c r="T196" i="1"/>
  <c r="U196" i="1" s="1"/>
  <c r="S196" i="1" s="1"/>
  <c r="X196" i="1"/>
  <c r="W195" i="1"/>
  <c r="W153" i="1"/>
  <c r="W151" i="1"/>
  <c r="X148" i="1"/>
  <c r="T147" i="1"/>
  <c r="U147" i="1" s="1"/>
  <c r="S147" i="1" s="1"/>
  <c r="X147" i="1"/>
  <c r="W146" i="1"/>
  <c r="W133" i="1"/>
  <c r="W211" i="1"/>
  <c r="X208" i="1"/>
  <c r="T204" i="1"/>
  <c r="U204" i="1" s="1"/>
  <c r="S204" i="1" s="1"/>
  <c r="X204" i="1"/>
  <c r="W203" i="1"/>
  <c r="W215" i="1"/>
  <c r="X212" i="1"/>
  <c r="T211" i="1"/>
  <c r="U211" i="1" s="1"/>
  <c r="S211" i="1" s="1"/>
  <c r="X211" i="1"/>
  <c r="W210" i="1"/>
  <c r="X193" i="1"/>
  <c r="T192" i="1"/>
  <c r="U192" i="1" s="1"/>
  <c r="S192" i="1" s="1"/>
  <c r="X192" i="1"/>
  <c r="W147" i="1"/>
  <c r="X144" i="1"/>
  <c r="T143" i="1"/>
  <c r="U143" i="1" s="1"/>
  <c r="S143" i="1" s="1"/>
  <c r="X143" i="1"/>
  <c r="W141" i="1"/>
  <c r="W116" i="1"/>
  <c r="W103" i="1"/>
  <c r="W183" i="1"/>
  <c r="W123" i="1"/>
  <c r="W115" i="1"/>
  <c r="W102" i="1"/>
  <c r="W189" i="1"/>
  <c r="W182" i="1"/>
  <c r="W94" i="1"/>
  <c r="W162" i="1"/>
  <c r="X214" i="1"/>
  <c r="X210" i="1"/>
  <c r="X203" i="1"/>
  <c r="X199" i="1"/>
  <c r="X195" i="1"/>
  <c r="X154" i="1"/>
  <c r="X150" i="1"/>
  <c r="X146" i="1"/>
  <c r="X142" i="1"/>
  <c r="AA131" i="1"/>
  <c r="W131" i="1" s="1"/>
  <c r="T123" i="1"/>
  <c r="U123" i="1" s="1"/>
  <c r="S123" i="1" s="1"/>
  <c r="X123" i="1"/>
  <c r="W122" i="1"/>
  <c r="W121" i="1"/>
  <c r="T115" i="1"/>
  <c r="U115" i="1" s="1"/>
  <c r="S115" i="1" s="1"/>
  <c r="X115" i="1"/>
  <c r="W114" i="1"/>
  <c r="W113" i="1"/>
  <c r="T107" i="1"/>
  <c r="U107" i="1" s="1"/>
  <c r="S107" i="1" s="1"/>
  <c r="X107" i="1"/>
  <c r="W106" i="1"/>
  <c r="W105" i="1"/>
  <c r="T102" i="1"/>
  <c r="U102" i="1" s="1"/>
  <c r="S102" i="1" s="1"/>
  <c r="X102" i="1"/>
  <c r="W100" i="1"/>
  <c r="T189" i="1"/>
  <c r="U189" i="1" s="1"/>
  <c r="S189" i="1" s="1"/>
  <c r="X189" i="1"/>
  <c r="W96" i="1"/>
  <c r="T182" i="1"/>
  <c r="U182" i="1" s="1"/>
  <c r="S182" i="1" s="1"/>
  <c r="X182" i="1"/>
  <c r="W176" i="1"/>
  <c r="W173" i="1"/>
  <c r="X139" i="1"/>
  <c r="T139" i="1"/>
  <c r="U139" i="1" s="1"/>
  <c r="S139" i="1" s="1"/>
  <c r="T135" i="1"/>
  <c r="U135" i="1" s="1"/>
  <c r="S135" i="1" s="1"/>
  <c r="T131" i="1"/>
  <c r="U131" i="1" s="1"/>
  <c r="S131" i="1" s="1"/>
  <c r="X131" i="1"/>
  <c r="W127" i="1"/>
  <c r="W119" i="1"/>
  <c r="W111" i="1"/>
  <c r="W207" i="1"/>
  <c r="W98" i="1"/>
  <c r="W186" i="1"/>
  <c r="W181" i="1"/>
  <c r="W179" i="1"/>
  <c r="T174" i="1"/>
  <c r="U174" i="1" s="1"/>
  <c r="S174" i="1" s="1"/>
  <c r="X174" i="1"/>
  <c r="W93" i="1"/>
  <c r="T132" i="1"/>
  <c r="U132" i="1" s="1"/>
  <c r="S132" i="1" s="1"/>
  <c r="X132" i="1"/>
  <c r="W130" i="1"/>
  <c r="T127" i="1"/>
  <c r="U127" i="1" s="1"/>
  <c r="S127" i="1" s="1"/>
  <c r="X127" i="1"/>
  <c r="W126" i="1"/>
  <c r="W125" i="1"/>
  <c r="T119" i="1"/>
  <c r="U119" i="1" s="1"/>
  <c r="S119" i="1" s="1"/>
  <c r="X119" i="1"/>
  <c r="W117" i="1"/>
  <c r="T111" i="1"/>
  <c r="U111" i="1" s="1"/>
  <c r="S111" i="1" s="1"/>
  <c r="X111" i="1"/>
  <c r="W109" i="1"/>
  <c r="T207" i="1"/>
  <c r="U207" i="1" s="1"/>
  <c r="S207" i="1" s="1"/>
  <c r="X207" i="1"/>
  <c r="W206" i="1"/>
  <c r="W205" i="1"/>
  <c r="T98" i="1"/>
  <c r="U98" i="1" s="1"/>
  <c r="S98" i="1" s="1"/>
  <c r="X98" i="1"/>
  <c r="W97" i="1"/>
  <c r="W191" i="1"/>
  <c r="T186" i="1"/>
  <c r="U186" i="1" s="1"/>
  <c r="S186" i="1" s="1"/>
  <c r="X186" i="1"/>
  <c r="W185" i="1"/>
  <c r="W184" i="1"/>
  <c r="T95" i="1"/>
  <c r="U95" i="1" s="1"/>
  <c r="S95" i="1" s="1"/>
  <c r="X95" i="1"/>
  <c r="T158" i="1"/>
  <c r="U158" i="1" s="1"/>
  <c r="S158" i="1" s="1"/>
  <c r="T181" i="1"/>
  <c r="U181" i="1" s="1"/>
  <c r="S181" i="1" s="1"/>
  <c r="W167" i="1"/>
  <c r="T162" i="1"/>
  <c r="U162" i="1" s="1"/>
  <c r="S162" i="1" s="1"/>
  <c r="X162" i="1"/>
  <c r="W161" i="1"/>
  <c r="W86" i="1"/>
  <c r="W84" i="1"/>
  <c r="W82" i="1"/>
  <c r="W80" i="1"/>
  <c r="W78" i="1"/>
  <c r="W76" i="1"/>
  <c r="W74" i="1"/>
  <c r="W72" i="1"/>
  <c r="W70" i="1"/>
  <c r="W68" i="1"/>
  <c r="W66" i="1"/>
  <c r="W64" i="1"/>
  <c r="W60" i="1"/>
  <c r="W58" i="1"/>
  <c r="W56" i="1"/>
  <c r="W54" i="1"/>
  <c r="W170" i="1"/>
  <c r="W168" i="1"/>
  <c r="T167" i="1"/>
  <c r="U167" i="1" s="1"/>
  <c r="S167" i="1" s="1"/>
  <c r="X167" i="1"/>
  <c r="W90" i="1"/>
  <c r="W88" i="1"/>
  <c r="X128" i="1"/>
  <c r="X124" i="1"/>
  <c r="X120" i="1"/>
  <c r="X116" i="1"/>
  <c r="X112" i="1"/>
  <c r="X108" i="1"/>
  <c r="X104" i="1"/>
  <c r="X103" i="1"/>
  <c r="X99" i="1"/>
  <c r="X190" i="1"/>
  <c r="X187" i="1"/>
  <c r="X183" i="1"/>
  <c r="W95" i="1"/>
  <c r="W172" i="1"/>
  <c r="T170" i="1"/>
  <c r="U170" i="1" s="1"/>
  <c r="S170" i="1" s="1"/>
  <c r="X170" i="1"/>
  <c r="W169" i="1"/>
  <c r="W158" i="1"/>
  <c r="W92" i="1"/>
  <c r="T90" i="1"/>
  <c r="U90" i="1" s="1"/>
  <c r="S90" i="1" s="1"/>
  <c r="X90" i="1"/>
  <c r="X178" i="1"/>
  <c r="X175" i="1"/>
  <c r="X171" i="1"/>
  <c r="X94" i="1"/>
  <c r="X91" i="1"/>
  <c r="W85" i="1"/>
  <c r="W83" i="1"/>
  <c r="W81" i="1"/>
  <c r="W79" i="1"/>
  <c r="W75" i="1"/>
  <c r="W73" i="1"/>
  <c r="W71" i="1"/>
  <c r="W67" i="1"/>
  <c r="W61" i="1"/>
  <c r="W59" i="1"/>
  <c r="W57" i="1"/>
  <c r="T86" i="1"/>
  <c r="U86" i="1" s="1"/>
  <c r="S86" i="1" s="1"/>
  <c r="X86" i="1"/>
  <c r="W55" i="1"/>
  <c r="W53" i="1"/>
  <c r="T52" i="1"/>
  <c r="U52" i="1" s="1"/>
  <c r="S52" i="1" s="1"/>
  <c r="X52" i="1"/>
  <c r="W49" i="1"/>
  <c r="W47" i="1"/>
  <c r="W43" i="1"/>
  <c r="W42" i="1"/>
  <c r="W36" i="1"/>
  <c r="W15" i="1"/>
  <c r="W44" i="1"/>
  <c r="W39" i="1"/>
  <c r="W38" i="1"/>
  <c r="W37" i="1"/>
  <c r="W32" i="1"/>
  <c r="W28" i="1"/>
  <c r="W24" i="1"/>
  <c r="W35" i="1"/>
  <c r="W34" i="1"/>
  <c r="W33" i="1"/>
  <c r="W30" i="1"/>
  <c r="W29" i="1"/>
  <c r="W26" i="1"/>
  <c r="W25" i="1"/>
  <c r="X82" i="1"/>
  <c r="X78" i="1"/>
  <c r="X74" i="1"/>
  <c r="X70" i="1"/>
  <c r="X66" i="1"/>
  <c r="X62" i="1"/>
  <c r="X58" i="1"/>
  <c r="W52" i="1"/>
  <c r="W51" i="1"/>
  <c r="W45" i="1"/>
  <c r="W40" i="1"/>
  <c r="W31" i="1"/>
  <c r="W27" i="1"/>
  <c r="W23" i="1"/>
  <c r="W22" i="1"/>
  <c r="W20" i="1"/>
  <c r="W17" i="1"/>
  <c r="W16" i="1"/>
  <c r="X47" i="1"/>
  <c r="X43" i="1"/>
  <c r="X38" i="1"/>
  <c r="X34" i="1"/>
  <c r="X30" i="1"/>
  <c r="X26" i="1"/>
  <c r="X53" i="1"/>
  <c r="X44" i="1"/>
  <c r="X39" i="1"/>
  <c r="X35" i="1"/>
  <c r="X31" i="1"/>
  <c r="X27" i="1"/>
  <c r="X23" i="1"/>
  <c r="AD25" i="3"/>
  <c r="AE15" i="3"/>
  <c r="AD13" i="3"/>
  <c r="AD12" i="3"/>
  <c r="AD33" i="3"/>
  <c r="AE19" i="3"/>
  <c r="AE11" i="3"/>
  <c r="AD9" i="3"/>
  <c r="AC15" i="3"/>
  <c r="T32" i="3"/>
  <c r="AE23" i="3"/>
  <c r="AD19" i="3"/>
  <c r="T18" i="3"/>
  <c r="AD11" i="3"/>
  <c r="AD8" i="3"/>
  <c r="AD35" i="3"/>
  <c r="T33" i="3"/>
  <c r="AC13" i="3"/>
  <c r="AC19" i="3"/>
  <c r="AC9" i="3"/>
  <c r="AD15" i="3"/>
  <c r="T21" i="3"/>
  <c r="Y9" i="3"/>
  <c r="Y16" i="3"/>
  <c r="Y35" i="3"/>
  <c r="Y28" i="3"/>
  <c r="Y33" i="3"/>
  <c r="Y8" i="3"/>
  <c r="Y21" i="3"/>
  <c r="Y14" i="3"/>
  <c r="Y18" i="3"/>
  <c r="Y26" i="3"/>
  <c r="Y30" i="3"/>
  <c r="Y31" i="3"/>
  <c r="Y29" i="3"/>
  <c r="Y27" i="3"/>
  <c r="Y10" i="3"/>
  <c r="Y20" i="3"/>
  <c r="Y13" i="3"/>
  <c r="Y19" i="3"/>
  <c r="Y7" i="3"/>
  <c r="Y32" i="3"/>
  <c r="Y11" i="3"/>
  <c r="Y15" i="3"/>
  <c r="Y25" i="3"/>
  <c r="Y23" i="3"/>
  <c r="Y22" i="3"/>
  <c r="Y24" i="3"/>
  <c r="Y12" i="3"/>
  <c r="Y17" i="3"/>
  <c r="AE26" i="3"/>
  <c r="AE22" i="3"/>
  <c r="T29" i="3"/>
  <c r="AE14" i="3"/>
  <c r="T10" i="3"/>
  <c r="AE10" i="3"/>
  <c r="T20" i="3"/>
  <c r="T26" i="3"/>
  <c r="T31" i="3"/>
  <c r="AE33" i="3"/>
  <c r="T15" i="3"/>
  <c r="AD30" i="3"/>
  <c r="AE29" i="3"/>
  <c r="T25" i="3"/>
  <c r="AD26" i="3"/>
  <c r="AE25" i="3"/>
  <c r="T23" i="3"/>
  <c r="AD22" i="3"/>
  <c r="AE21" i="3"/>
  <c r="T22" i="3"/>
  <c r="AD18" i="3"/>
  <c r="AE17" i="3"/>
  <c r="T24" i="3"/>
  <c r="AD14" i="3"/>
  <c r="AE13" i="3"/>
  <c r="T12" i="3"/>
  <c r="AD10" i="3"/>
  <c r="AE9" i="3"/>
  <c r="T17" i="3"/>
  <c r="AE30" i="3"/>
  <c r="T30" i="3"/>
  <c r="AE18" i="3"/>
  <c r="T27" i="3"/>
  <c r="AE32" i="3"/>
  <c r="AE28" i="3"/>
  <c r="AE24" i="3"/>
  <c r="AE20" i="3"/>
  <c r="AE16" i="3"/>
  <c r="AE12" i="3"/>
  <c r="AE8" i="3"/>
  <c r="S34" i="3"/>
  <c r="R34" i="3"/>
  <c r="M34" i="3"/>
  <c r="U34" i="3"/>
  <c r="AC34" i="3" s="1"/>
  <c r="V34" i="3"/>
  <c r="X34" i="3"/>
  <c r="W34" i="3"/>
  <c r="S17" i="1" l="1"/>
  <c r="AE34" i="3"/>
  <c r="AD34" i="3"/>
  <c r="Y34" i="3"/>
  <c r="T34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35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17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20" i="3" s="1"/>
  <c r="G71" i="4"/>
  <c r="G72" i="4"/>
  <c r="G73" i="4"/>
  <c r="G74" i="4"/>
  <c r="G75" i="4"/>
  <c r="G76" i="4"/>
  <c r="G77" i="4"/>
  <c r="G78" i="4"/>
  <c r="G79" i="4"/>
  <c r="G80" i="4"/>
  <c r="N14" i="3" s="1"/>
  <c r="G81" i="4"/>
  <c r="G82" i="4"/>
  <c r="G83" i="4"/>
  <c r="G84" i="4"/>
  <c r="G85" i="4"/>
  <c r="G86" i="4"/>
  <c r="G87" i="4"/>
  <c r="G88" i="4"/>
  <c r="G89" i="4"/>
  <c r="N16" i="3" s="1"/>
  <c r="G90" i="4"/>
  <c r="G91" i="4"/>
  <c r="G92" i="4"/>
  <c r="N10" i="3" s="1"/>
  <c r="G93" i="4"/>
  <c r="G94" i="4"/>
  <c r="G95" i="4"/>
  <c r="N12" i="3" s="1"/>
  <c r="G96" i="4"/>
  <c r="G97" i="4"/>
  <c r="G98" i="4"/>
  <c r="G99" i="4"/>
  <c r="G100" i="4"/>
  <c r="G101" i="4"/>
  <c r="N21" i="3" s="1"/>
  <c r="G102" i="4"/>
  <c r="G103" i="4"/>
  <c r="N9" i="3" s="1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18" i="3" s="1"/>
  <c r="G125" i="4"/>
  <c r="G126" i="4"/>
  <c r="G127" i="4"/>
  <c r="G128" i="4"/>
  <c r="G129" i="4"/>
  <c r="G130" i="4"/>
  <c r="N22" i="3" s="1"/>
  <c r="G131" i="4"/>
  <c r="G132" i="4"/>
  <c r="G133" i="4"/>
  <c r="G134" i="4"/>
  <c r="N7" i="3" s="1"/>
  <c r="G135" i="4"/>
  <c r="N29" i="3" s="1"/>
  <c r="G136" i="4"/>
  <c r="N19" i="3" s="1"/>
  <c r="G137" i="4"/>
  <c r="N11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23" i="3" s="1"/>
  <c r="G151" i="4"/>
  <c r="G152" i="4"/>
  <c r="G153" i="4"/>
  <c r="G154" i="4"/>
  <c r="G155" i="4"/>
  <c r="G156" i="4"/>
  <c r="G157" i="4"/>
  <c r="G158" i="4"/>
  <c r="N34" i="3" s="1"/>
  <c r="G159" i="4"/>
  <c r="G160" i="4"/>
  <c r="G161" i="4"/>
  <c r="G162" i="4"/>
  <c r="G163" i="4"/>
  <c r="G164" i="4"/>
  <c r="G165" i="4"/>
  <c r="N8" i="3" s="1"/>
  <c r="G166" i="4"/>
  <c r="G167" i="4"/>
  <c r="G168" i="4"/>
  <c r="N31" i="3" s="1"/>
  <c r="G169" i="4"/>
  <c r="G170" i="4"/>
  <c r="G171" i="4"/>
  <c r="G172" i="4"/>
  <c r="G173" i="4"/>
  <c r="G174" i="4"/>
  <c r="G175" i="4"/>
  <c r="G176" i="4"/>
  <c r="G177" i="4"/>
  <c r="G178" i="4"/>
  <c r="N28" i="3" s="1"/>
  <c r="G179" i="4"/>
  <c r="G180" i="4"/>
  <c r="G181" i="4"/>
  <c r="G182" i="4"/>
  <c r="G183" i="4"/>
  <c r="G184" i="4"/>
  <c r="G185" i="4"/>
  <c r="G186" i="4"/>
  <c r="G187" i="4"/>
  <c r="N25" i="3" s="1"/>
  <c r="G188" i="4"/>
  <c r="N30" i="3" s="1"/>
  <c r="G189" i="4"/>
  <c r="G190" i="4"/>
  <c r="G191" i="4"/>
  <c r="G192" i="4"/>
  <c r="G193" i="4"/>
  <c r="N32" i="3" s="1"/>
  <c r="G194" i="4"/>
  <c r="G195" i="4"/>
  <c r="G196" i="4"/>
  <c r="G197" i="4"/>
  <c r="G198" i="4"/>
  <c r="G199" i="4"/>
  <c r="N26" i="3" s="1"/>
  <c r="G200" i="4"/>
  <c r="N33" i="3" s="1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7" i="3"/>
  <c r="N13" i="3"/>
  <c r="N1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B9" i="6" l="1"/>
  <c r="F8" i="6"/>
  <c r="I8" i="6"/>
  <c r="J8" i="6"/>
  <c r="G8" i="6"/>
  <c r="H8" i="6"/>
  <c r="B1" i="6"/>
  <c r="A5" i="3"/>
  <c r="B10" i="6" l="1"/>
  <c r="G9" i="6"/>
  <c r="H9" i="6"/>
  <c r="F9" i="6"/>
  <c r="I9" i="6"/>
  <c r="J9" i="6"/>
  <c r="G10" i="6" l="1"/>
  <c r="H10" i="6"/>
  <c r="I10" i="6"/>
  <c r="J10" i="6"/>
  <c r="F10" i="6"/>
  <c r="B11" i="6"/>
  <c r="H11" i="6" l="1"/>
  <c r="F11" i="6"/>
  <c r="G11" i="6"/>
  <c r="I11" i="6"/>
  <c r="J11" i="6"/>
  <c r="B12" i="6"/>
  <c r="B13" i="6" l="1"/>
  <c r="G12" i="6"/>
  <c r="H12" i="6"/>
  <c r="I12" i="6"/>
  <c r="J12" i="6"/>
  <c r="F12" i="6"/>
  <c r="B14" i="6" l="1"/>
  <c r="I13" i="6"/>
  <c r="G13" i="6"/>
  <c r="F13" i="6"/>
  <c r="H13" i="6"/>
  <c r="J13" i="6"/>
  <c r="G14" i="6" l="1"/>
  <c r="F14" i="6"/>
  <c r="H14" i="6"/>
  <c r="I14" i="6"/>
  <c r="J14" i="6"/>
  <c r="B15" i="6"/>
  <c r="H15" i="6" l="1"/>
  <c r="J15" i="6"/>
  <c r="F15" i="6"/>
  <c r="G15" i="6"/>
  <c r="I15" i="6"/>
  <c r="B16" i="6"/>
  <c r="B17" i="6" l="1"/>
  <c r="F16" i="6"/>
  <c r="G16" i="6"/>
  <c r="I16" i="6"/>
  <c r="H16" i="6"/>
  <c r="J16" i="6"/>
  <c r="F17" i="6" l="1"/>
  <c r="G17" i="6"/>
  <c r="J17" i="6"/>
  <c r="H17" i="6"/>
  <c r="I17" i="6"/>
  <c r="B18" i="6"/>
  <c r="G18" i="6" l="1"/>
  <c r="J18" i="6"/>
  <c r="F18" i="6"/>
  <c r="H18" i="6"/>
  <c r="I18" i="6"/>
  <c r="B19" i="6"/>
  <c r="B20" i="6" l="1"/>
  <c r="F19" i="6"/>
  <c r="G19" i="6"/>
  <c r="H19" i="6"/>
  <c r="I19" i="6"/>
  <c r="J19" i="6"/>
  <c r="B21" i="6" l="1"/>
  <c r="J20" i="6"/>
  <c r="F20" i="6"/>
  <c r="I20" i="6"/>
  <c r="G20" i="6"/>
  <c r="H20" i="6"/>
  <c r="B22" i="6" l="1"/>
  <c r="G21" i="6"/>
  <c r="H21" i="6"/>
  <c r="F21" i="6"/>
  <c r="I21" i="6"/>
  <c r="J21" i="6"/>
  <c r="G22" i="6" l="1"/>
  <c r="I22" i="6"/>
  <c r="J22" i="6"/>
  <c r="F22" i="6"/>
  <c r="H22" i="6"/>
  <c r="B23" i="6"/>
  <c r="B24" i="6" l="1"/>
  <c r="J23" i="6"/>
  <c r="F23" i="6"/>
  <c r="H23" i="6"/>
  <c r="G23" i="6"/>
  <c r="I23" i="6"/>
  <c r="B25" i="6" l="1"/>
  <c r="H24" i="6"/>
  <c r="F24" i="6"/>
  <c r="I24" i="6"/>
  <c r="J24" i="6"/>
  <c r="G24" i="6"/>
  <c r="B27" i="6" l="1"/>
  <c r="B26" i="6"/>
  <c r="G25" i="6"/>
  <c r="H25" i="6"/>
  <c r="F25" i="6"/>
  <c r="I25" i="6"/>
  <c r="J25" i="6"/>
  <c r="G26" i="6" l="1"/>
  <c r="H26" i="6"/>
  <c r="I26" i="6"/>
  <c r="J26" i="6"/>
  <c r="F26" i="6"/>
  <c r="H27" i="6"/>
  <c r="J27" i="6"/>
  <c r="G27" i="6"/>
  <c r="I27" i="6"/>
  <c r="F2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<sst xmlns="http://schemas.openxmlformats.org/spreadsheetml/2006/main" count="2724" uniqueCount="1038">
  <si>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</si>
  <si>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</si>
  <si>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</si>
  <si>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</si>
  <si>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</si>
  <si>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</si>
  <si>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</si>
  <si>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</si>
  <si>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</si>
  <si>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</si>
  <si>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</si>
  <si>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</si>
  <si>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</si>
  <si>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</si>
  <si>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</si>
  <si>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</si>
  <si>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</si>
  <si>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</si>
  <si>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</si>
  <si>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</si>
  <si>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</si>
  <si>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</si>
  <si>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</si>
  <si>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</si>
  <si>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</si>
  <si>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</si>
  <si>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</si>
  <si>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</si>
  <si>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</si>
  <si>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</si>
  <si>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</si>
  <si>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</si>
  <si>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</si>
  <si>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</si>
  <si>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</si>
  <si>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</si>
  <si>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</si>
  <si>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</si>
  <si>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</si>
  <si>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</si>
  <si>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</si>
  <si>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</si>
  <si>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</si>
  <si>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</si>
  <si>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</si>
  <si>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</si>
  <si>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</si>
  <si>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</si>
  <si>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</si>
  <si>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</si>
  <si>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</si>
  <si>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</si>
  <si>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</si>
  <si>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</si>
  <si>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</si>
  <si>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</si>
  <si>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</si>
  <si>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</si>
  <si>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</si>
  <si>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</si>
  <si>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</si>
  <si>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</si>
  <si>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</si>
  <si>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</si>
  <si>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</si>
  <si>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</si>
  <si>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</si>
  <si>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</si>
  <si>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</si>
  <si>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</si>
  <si>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</si>
  <si>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</si>
  <si>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</si>
  <si>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</si>
  <si>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</si>
  <si>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</si>
  <si>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</si>
  <si>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</si>
  <si>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</si>
  <si>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</si>
  <si>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</si>
  <si>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</si>
  <si>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</si>
  <si>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</si>
  <si>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</si>
  <si>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</si>
  <si>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</si>
  <si>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</si>
  <si>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</si>
  <si>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</si>
  <si>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</si>
  <si>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</si>
  <si>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</si>
  <si>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</si>
  <si>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</si>
  <si>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</si>
  <si>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</si>
  <si>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</si>
  <si>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</si>
  <si>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</si>
  <si>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</si>
  <si>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</si>
  <si>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</si>
  <si>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</si>
  <si>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</si>
  <si>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</si>
  <si>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</si>
  <si>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</si>
  <si>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</si>
  <si>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</si>
  <si>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</si>
  <si>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</si>
  <si>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</si>
  <si>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</si>
  <si>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</si>
  <si>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</si>
  <si>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</si>
  <si>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</si>
  <si>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</si>
  <si>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</si>
  <si>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</si>
  <si>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</si>
  <si>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</si>
  <si>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</si>
  <si>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</si>
  <si>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</si>
  <si>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</si>
  <si>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</si>
  <si>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</si>
  <si>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</si>
  <si>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</si>
  <si>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</si>
  <si>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</si>
  <si>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</si>
  <si>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</si>
  <si>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</si>
  <si>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</si>
  <si>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</si>
  <si>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</si>
  <si>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</si>
  <si>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</si>
  <si>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</si>
  <si>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</si>
  <si>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</si>
  <si>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</si>
  <si>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</si>
  <si>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</si>
  <si>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</si>
  <si>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</si>
  <si>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</si>
  <si>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</si>
  <si>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</si>
  <si>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</si>
  <si>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</si>
  <si>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</si>
  <si>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</si>
  <si>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</si>
  <si>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</si>
  <si>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</si>
  <si>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</si>
  <si>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</si>
  <si>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</si>
  <si>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</si>
  <si>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</si>
  <si>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</si>
  <si>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</si>
  <si>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</si>
  <si>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</si>
  <si>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</si>
  <si>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</si>
  <si>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</si>
  <si>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</si>
  <si>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</si>
  <si>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</si>
  <si>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</si>
  <si>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</si>
  <si>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</si>
  <si>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</si>
  <si>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</si>
  <si>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</si>
  <si>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</si>
  <si>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</si>
  <si>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</si>
  <si>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</si>
  <si>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</si>
  <si>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</si>
  <si>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</si>
  <si>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</si>
  <si>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</si>
  <si>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</si>
  <si>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</si>
  <si>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</si>
  <si>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</si>
  <si>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</si>
  <si>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</si>
  <si>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</si>
  <si>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</si>
  <si>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</si>
  <si>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</si>
  <si>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</si>
  <si>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</si>
  <si>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</si>
  <si>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</si>
  <si>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</si>
  <si>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</si>
  <si>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</si>
  <si>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</si>
  <si>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</si>
  <si>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</si>
  <si>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</si>
  <si>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</si>
  <si>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</si>
  <si>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</si>
  <si>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</si>
  <si>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</si>
  <si>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</si>
  <si>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</si>
  <si>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</si>
  <si>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</si>
  <si>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</si>
  <si>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</si>
  <si>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</si>
  <si>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</si>
  <si>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</si>
  <si>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</si>
  <si>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</si>
  <si>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</si>
  <si>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</si>
  <si>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</si>
  <si>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</si>
  <si>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</si>
  <si>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</si>
  <si>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</si>
  <si>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</si>
  <si>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</si>
  <si>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</si>
  <si>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</si>
  <si>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</si>
  <si>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</si>
  <si>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</si>
  <si>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</si>
  <si>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</si>
  <si>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</si>
  <si>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</si>
  <si>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</si>
  <si>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</si>
  <si>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</si>
  <si>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</si>
  <si>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</si>
  <si>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</si>
  <si>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</si>
  <si>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</si>
  <si>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</si>
  <si>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</si>
  <si>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</si>
  <si>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</si>
  <si>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</si>
  <si>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</si>
  <si>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</si>
  <si>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</si>
  <si>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</si>
  <si>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</si>
  <si>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</si>
  <si>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</si>
  <si>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</si>
  <si>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</si>
  <si>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</si>
  <si>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</si>
  <si>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</si>
  <si>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</si>
  <si>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</si>
  <si>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</si>
  <si>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</si>
  <si>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</si>
  <si>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</si>
  <si>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</si>
  <si>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</si>
  <si>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</si>
  <si>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</si>
  <si>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</si>
  <si>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</si>
  <si>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</si>
  <si>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</si>
  <si>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</si>
  <si>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</si>
  <si>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</si>
  <si>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</si>
  <si>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</si>
  <si>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</si>
  <si>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</si>
  <si>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</si>
  <si>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</si>
  <si>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</si>
  <si>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</si>
  <si>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</si>
  <si>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</si>
  <si>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</si>
  <si>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</si>
  <si>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</si>
  <si>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</si>
  <si>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</si>
  <si>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</si>
  <si>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</si>
  <si>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</si>
  <si>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</si>
  <si>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</si>
  <si>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</si>
  <si>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</si>
  <si>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</si>
  <si>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</si>
  <si>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</si>
  <si>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</si>
  <si>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</si>
  <si>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</si>
  <si>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</si>
  <si>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</si>
  <si>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</si>
  <si>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</si>
  <si>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</si>
  <si>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</si>
  <si>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</si>
  <si>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</si>
  <si>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</si>
  <si>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</si>
  <si>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</si>
  <si>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</si>
  <si>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</si>
  <si>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</si>
  <si>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</si>
  <si>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</si>
  <si>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</si>
  <si>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</si>
  <si>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</si>
  <si>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</si>
  <si>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</si>
  <si>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</si>
  <si>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</si>
  <si>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</si>
  <si>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</si>
  <si>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</si>
  <si>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</si>
  <si>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</si>
  <si>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</si>
  <si>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</si>
  <si>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</si>
  <si>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</si>
  <si>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</si>
  <si>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</si>
  <si>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</si>
  <si>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</si>
  <si>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</si>
  <si>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</si>
  <si>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</si>
  <si>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</si>
  <si>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</si>
  <si>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</si>
  <si>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</si>
  <si>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</si>
  <si>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</si>
  <si>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</si>
  <si>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</si>
  <si>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</si>
  <si>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</si>
  <si>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</si>
  <si>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</si>
  <si>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</si>
  <si>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</si>
  <si>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</si>
  <si>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</si>
  <si>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</si>
  <si>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</si>
  <si>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</si>
  <si>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</si>
  <si>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</si>
  <si>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</si>
  <si>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</si>
  <si>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</si>
  <si>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</si>
  <si>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</si>
  <si>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</si>
  <si>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</si>
  <si>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</si>
  <si>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</si>
  <si>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</si>
  <si>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</si>
  <si>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</si>
  <si>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</si>
  <si>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</si>
  <si>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</si>
  <si>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</si>
  <si>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</si>
  <si>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</si>
  <si>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</si>
  <si>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</si>
  <si>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</si>
  <si>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</si>
  <si>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</si>
  <si>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</si>
  <si>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</si>
  <si>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</si>
  <si>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</si>
  <si>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</si>
  <si>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</si>
  <si>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</si>
  <si>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</si>
  <si>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</si>
  <si>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</si>
  <si>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</si>
  <si>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</si>
  <si>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</si>
  <si>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</si>
  <si>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</si>
  <si>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</si>
  <si>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</si>
  <si>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</si>
  <si>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</si>
  <si>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</si>
  <si>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</si>
  <si>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</si>
  <si>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</si>
  <si>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</si>
  <si>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</si>
  <si>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</si>
  <si>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</si>
  <si>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</si>
  <si>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</si>
  <si>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</si>
  <si>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</si>
  <si>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</si>
  <si>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</si>
  <si>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</si>
  <si>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</si>
  <si>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</si>
  <si>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</si>
  <si>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</si>
  <si>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</si>
  <si>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</si>
  <si>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</si>
  <si>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</si>
  <si>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</si>
  <si>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</si>
  <si>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</si>
  <si>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</si>
  <si>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</si>
  <si>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</si>
  <si>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</si>
  <si>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</si>
  <si>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BRANDON</t>
  </si>
  <si>
    <t>rtdc.l.rtdc.4024:itc</t>
  </si>
  <si>
    <t>204:232998</t>
  </si>
  <si>
    <t>204:438</t>
  </si>
  <si>
    <t>rtdc.l.rtdc.4023:itc</t>
  </si>
  <si>
    <t>204:457</t>
  </si>
  <si>
    <t>204:233314</t>
  </si>
  <si>
    <t>PAGE</t>
  </si>
  <si>
    <t>MARCUS</t>
  </si>
  <si>
    <t>precipType</t>
  </si>
  <si>
    <t>rain</t>
  </si>
  <si>
    <t>204:467</t>
  </si>
  <si>
    <t>204:469</t>
  </si>
  <si>
    <t>204:473</t>
  </si>
  <si>
    <t>204:167</t>
  </si>
  <si>
    <t>300:58941</t>
  </si>
  <si>
    <t>rtdc.l.rtdc.4003:itc</t>
  </si>
  <si>
    <t>SIGNAL</t>
  </si>
  <si>
    <t>Signal based authority (5)</t>
  </si>
  <si>
    <t>rtdc.l.rtdc.4066:itc</t>
  </si>
  <si>
    <t>rtdc.l.rtdc.4004:itc</t>
  </si>
  <si>
    <t>rtdc.l.rtdc.4015:itc</t>
  </si>
  <si>
    <t>rtdc.l.rtdc.4016:itc</t>
  </si>
  <si>
    <t>RESPASS</t>
  </si>
  <si>
    <t>AARON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</si>
  <si>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</si>
  <si>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</si>
  <si>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</si>
  <si>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</si>
  <si>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</si>
  <si>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</si>
  <si>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</si>
  <si>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</si>
  <si>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</si>
  <si>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</si>
  <si>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204:433</t>
  </si>
  <si>
    <t>rtdc.l.rtdc.4029:itc</t>
  </si>
  <si>
    <t>rtdc.l.rtdc.4030:itc</t>
  </si>
  <si>
    <t>rtdc.l.rtdc.4053:itc</t>
  </si>
  <si>
    <t>rtdc.l.rtdc.4054:itc</t>
  </si>
  <si>
    <t>Clear</t>
  </si>
  <si>
    <t>204:233289</t>
  </si>
  <si>
    <t>204:475</t>
  </si>
  <si>
    <t>204:156</t>
  </si>
  <si>
    <t>204:698</t>
  </si>
  <si>
    <t>Y</t>
  </si>
  <si>
    <t>LANGERAK</t>
  </si>
  <si>
    <t>WILLIAM</t>
  </si>
  <si>
    <t>clear-night</t>
  </si>
  <si>
    <t>204:232973</t>
  </si>
  <si>
    <t>204:145</t>
  </si>
  <si>
    <t>204:233000</t>
  </si>
  <si>
    <t>204:161</t>
  </si>
  <si>
    <t>204:233319</t>
  </si>
  <si>
    <t>204:233295</t>
  </si>
  <si>
    <t>204:232975</t>
  </si>
  <si>
    <t>204:233329</t>
  </si>
  <si>
    <t>204:233312</t>
  </si>
  <si>
    <t>204:132</t>
  </si>
  <si>
    <t>300:23302</t>
  </si>
  <si>
    <t>204:694</t>
  </si>
  <si>
    <t>300:58937</t>
  </si>
  <si>
    <t>rtdc.l.rtdc.4011:itc</t>
  </si>
  <si>
    <t>rtdc.l.rtdc.4012:itc</t>
  </si>
  <si>
    <t>YANG</t>
  </si>
  <si>
    <t>JAN</t>
  </si>
  <si>
    <t>rtdc.l.rtdc.4005:itc</t>
  </si>
  <si>
    <t>rtdc.l.rtdc.4006:itc</t>
  </si>
  <si>
    <t>204:232983</t>
  </si>
  <si>
    <t>204:232969</t>
  </si>
  <si>
    <t>204:160</t>
  </si>
  <si>
    <t>204:233293</t>
  </si>
  <si>
    <t>204:233309</t>
  </si>
  <si>
    <t>204:233318</t>
  </si>
  <si>
    <t>204:232963</t>
  </si>
  <si>
    <t>204:163</t>
  </si>
  <si>
    <t>204:233315</t>
  </si>
  <si>
    <t>204:233003</t>
  </si>
  <si>
    <t>204:233004</t>
  </si>
  <si>
    <t>300:58933</t>
  </si>
  <si>
    <t>204:708</t>
  </si>
  <si>
    <t>204:685</t>
  </si>
  <si>
    <t>Wi-MAX data drop</t>
  </si>
  <si>
    <t>rtdc.l.rtdc.4065:itc</t>
  </si>
  <si>
    <t>240-02</t>
  </si>
  <si>
    <t>WENDY</t>
  </si>
  <si>
    <t>DAVID</t>
  </si>
  <si>
    <t>HOLCOMB</t>
  </si>
  <si>
    <t>KAMDEN</t>
  </si>
  <si>
    <t>rtdc.l.rtdc.4064:itc</t>
  </si>
  <si>
    <t>237-02</t>
  </si>
  <si>
    <t>234-02</t>
  </si>
  <si>
    <t>239-02</t>
  </si>
  <si>
    <t>236-02</t>
  </si>
  <si>
    <t>241-02</t>
  </si>
  <si>
    <t>238-02</t>
  </si>
  <si>
    <t>243-02</t>
  </si>
  <si>
    <t>85-02</t>
  </si>
  <si>
    <t>HAUSER</t>
  </si>
  <si>
    <t>86-02</t>
  </si>
  <si>
    <t>307-02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</si>
  <si>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</si>
  <si>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</si>
  <si>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</si>
  <si>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</si>
  <si>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</si>
  <si>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</si>
  <si>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</si>
  <si>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</si>
  <si>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</si>
  <si>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</si>
  <si>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</si>
  <si>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204:233286</t>
  </si>
  <si>
    <t>204:233307</t>
  </si>
  <si>
    <t>204:233393</t>
  </si>
  <si>
    <t>204:232987</t>
  </si>
  <si>
    <t>204:232972</t>
  </si>
  <si>
    <t>204:233278</t>
  </si>
  <si>
    <t>204:125</t>
  </si>
  <si>
    <t>204:232981</t>
  </si>
  <si>
    <t>204:233385</t>
  </si>
  <si>
    <t>204:170</t>
  </si>
  <si>
    <t>204:478</t>
  </si>
  <si>
    <t>204:978</t>
  </si>
  <si>
    <t>300:58624</t>
  </si>
  <si>
    <t>204:689</t>
  </si>
  <si>
    <t>204:976</t>
  </si>
  <si>
    <t>Early arrival</t>
  </si>
  <si>
    <t>rtdc.l.rtdc.4063:itc</t>
  </si>
  <si>
    <t>rtdc.l.rtdc.4044:itc</t>
  </si>
  <si>
    <t>rtdc.l.rtdc.4043:itc</t>
  </si>
  <si>
    <t>847-03</t>
  </si>
  <si>
    <t>232-03</t>
  </si>
  <si>
    <t>239-03</t>
  </si>
  <si>
    <t>241-03</t>
  </si>
  <si>
    <t>SULLIVAN</t>
  </si>
  <si>
    <t>PERKINS</t>
  </si>
  <si>
    <t>DARREN</t>
  </si>
  <si>
    <t>HUFFSMITH</t>
  </si>
  <si>
    <t>MONTY</t>
  </si>
  <si>
    <t>844-03</t>
  </si>
  <si>
    <t>233-03</t>
  </si>
  <si>
    <t>230-03</t>
  </si>
  <si>
    <t>235-03</t>
  </si>
  <si>
    <t>908-03</t>
  </si>
  <si>
    <t>234-03</t>
  </si>
  <si>
    <t>237-03</t>
  </si>
  <si>
    <t>236-03</t>
  </si>
  <si>
    <t>238-03</t>
  </si>
  <si>
    <t>243-03</t>
  </si>
  <si>
    <t>240-03</t>
  </si>
  <si>
    <t>307-03</t>
  </si>
  <si>
    <t>242-03</t>
  </si>
  <si>
    <t>309-03</t>
  </si>
  <si>
    <t>244-03</t>
  </si>
  <si>
    <t>311-03</t>
  </si>
  <si>
    <t>313-03</t>
  </si>
  <si>
    <t>partly-cloudy-day</t>
  </si>
  <si>
    <t>cloudy</t>
  </si>
  <si>
    <t>Overcast</t>
  </si>
  <si>
    <t>204:172</t>
  </si>
  <si>
    <t>204:232979</t>
  </si>
  <si>
    <t>204:196</t>
  </si>
  <si>
    <t>204:232971</t>
  </si>
  <si>
    <t>204:232978</t>
  </si>
  <si>
    <t>204:482</t>
  </si>
  <si>
    <t>204:232982</t>
  </si>
  <si>
    <t>204:232986</t>
  </si>
  <si>
    <t>204:477</t>
  </si>
  <si>
    <t>204:233301</t>
  </si>
  <si>
    <t>204:484</t>
  </si>
  <si>
    <t>204:233325</t>
  </si>
  <si>
    <t>204:233328</t>
  </si>
  <si>
    <t>204:233355</t>
  </si>
  <si>
    <t>204:233284</t>
  </si>
  <si>
    <t>204:233048</t>
  </si>
  <si>
    <t>204:233337</t>
  </si>
  <si>
    <t>204:233276</t>
  </si>
  <si>
    <t>204:232961</t>
  </si>
  <si>
    <t>300:23504</t>
  </si>
  <si>
    <t>204:427</t>
  </si>
  <si>
    <t>300:23306</t>
  </si>
  <si>
    <t>300:58626</t>
  </si>
  <si>
    <t>204:965</t>
  </si>
  <si>
    <t>204:967</t>
  </si>
  <si>
    <t>300:58948</t>
  </si>
  <si>
    <t>204:964</t>
  </si>
  <si>
    <t>300:58944</t>
  </si>
  <si>
    <t>204:1009</t>
  </si>
  <si>
    <t>204:1014</t>
  </si>
  <si>
    <t>302-06</t>
  </si>
  <si>
    <t>110-06</t>
  </si>
  <si>
    <t>143-06</t>
  </si>
  <si>
    <t>146-06</t>
  </si>
  <si>
    <t>159-06</t>
  </si>
  <si>
    <t>163-06</t>
  </si>
  <si>
    <t>156-06</t>
  </si>
  <si>
    <t>169-06</t>
  </si>
  <si>
    <t>164-06</t>
  </si>
  <si>
    <t>1817-06</t>
  </si>
  <si>
    <t>180-06</t>
  </si>
  <si>
    <t>rtdc.l.rtdc.4032:itc</t>
  </si>
  <si>
    <t>195-06</t>
  </si>
  <si>
    <t>191-06</t>
  </si>
  <si>
    <t>rtdc.l.rtdc.4021:itc</t>
  </si>
  <si>
    <t>1820-06</t>
  </si>
  <si>
    <t>197-06</t>
  </si>
  <si>
    <t>190-06</t>
  </si>
  <si>
    <t>205-06</t>
  </si>
  <si>
    <t>1825-06</t>
  </si>
  <si>
    <t>210-06</t>
  </si>
  <si>
    <t>1827-06</t>
  </si>
  <si>
    <t>1829-06</t>
  </si>
  <si>
    <t>1830-06</t>
  </si>
  <si>
    <t>1831-06</t>
  </si>
  <si>
    <t>228-06</t>
  </si>
  <si>
    <t>1833-06</t>
  </si>
  <si>
    <t>1902-06</t>
  </si>
  <si>
    <t>242-05</t>
  </si>
  <si>
    <t>245-05</t>
  </si>
  <si>
    <t>246-05</t>
  </si>
  <si>
    <t>300-06</t>
  </si>
  <si>
    <t>MAELZER</t>
  </si>
  <si>
    <t>KURT</t>
  </si>
  <si>
    <t>101-06</t>
  </si>
  <si>
    <t>51-06</t>
  </si>
  <si>
    <t>CHANDLER</t>
  </si>
  <si>
    <t>KELVIN</t>
  </si>
  <si>
    <t>52-06</t>
  </si>
  <si>
    <t>103-06</t>
  </si>
  <si>
    <t>304-06</t>
  </si>
  <si>
    <t>306-06</t>
  </si>
  <si>
    <t>NEWELL</t>
  </si>
  <si>
    <t>105-06</t>
  </si>
  <si>
    <t>102-06</t>
  </si>
  <si>
    <t>308-06</t>
  </si>
  <si>
    <t>GEBRETEKLE</t>
  </si>
  <si>
    <t>DAGNEW</t>
  </si>
  <si>
    <t>107-06</t>
  </si>
  <si>
    <t>104-06</t>
  </si>
  <si>
    <t>109-06</t>
  </si>
  <si>
    <t>310-06</t>
  </si>
  <si>
    <t>111-06</t>
  </si>
  <si>
    <t>113-06</t>
  </si>
  <si>
    <t>106-06</t>
  </si>
  <si>
    <t>108-06</t>
  </si>
  <si>
    <t>1901-06</t>
  </si>
  <si>
    <t>DAVIDSON</t>
  </si>
  <si>
    <t>312-06</t>
  </si>
  <si>
    <t>MACDONALD</t>
  </si>
  <si>
    <t>115-06</t>
  </si>
  <si>
    <t>1800-06</t>
  </si>
  <si>
    <t>117-06</t>
  </si>
  <si>
    <t>112-06</t>
  </si>
  <si>
    <t>114-06</t>
  </si>
  <si>
    <t>119-06</t>
  </si>
  <si>
    <t>1801-06</t>
  </si>
  <si>
    <t>121-06</t>
  </si>
  <si>
    <t>LALONDE</t>
  </si>
  <si>
    <t>GREGORY</t>
  </si>
  <si>
    <t>116-06</t>
  </si>
  <si>
    <t>123-06</t>
  </si>
  <si>
    <t>118-06</t>
  </si>
  <si>
    <t>1802-06</t>
  </si>
  <si>
    <t>125-06</t>
  </si>
  <si>
    <t>120-06</t>
  </si>
  <si>
    <t>122-06</t>
  </si>
  <si>
    <t>127-06</t>
  </si>
  <si>
    <t>1803-06</t>
  </si>
  <si>
    <t>124-06</t>
  </si>
  <si>
    <t>129-06</t>
  </si>
  <si>
    <t>131-06</t>
  </si>
  <si>
    <t>126-06</t>
  </si>
  <si>
    <t>1804-06</t>
  </si>
  <si>
    <t>133-06</t>
  </si>
  <si>
    <t>128-06</t>
  </si>
  <si>
    <t>135-06</t>
  </si>
  <si>
    <t>1805-06</t>
  </si>
  <si>
    <t>130-06</t>
  </si>
  <si>
    <t>137-06</t>
  </si>
  <si>
    <t>132-06</t>
  </si>
  <si>
    <t>139-06</t>
  </si>
  <si>
    <t>134-06</t>
  </si>
  <si>
    <t>1806-06</t>
  </si>
  <si>
    <t>141-06</t>
  </si>
  <si>
    <t>136-06</t>
  </si>
  <si>
    <t>138-06</t>
  </si>
  <si>
    <t>1807-06</t>
  </si>
  <si>
    <t>145-06</t>
  </si>
  <si>
    <t>140-06</t>
  </si>
  <si>
    <t>147-06</t>
  </si>
  <si>
    <t>142-06</t>
  </si>
  <si>
    <t>1808-06</t>
  </si>
  <si>
    <t>149-06</t>
  </si>
  <si>
    <t>144-06</t>
  </si>
  <si>
    <t>151-06</t>
  </si>
  <si>
    <t>1809-06</t>
  </si>
  <si>
    <t>153-06</t>
  </si>
  <si>
    <t>148-06</t>
  </si>
  <si>
    <t>150-06</t>
  </si>
  <si>
    <t>155-06</t>
  </si>
  <si>
    <t>1810-06</t>
  </si>
  <si>
    <t>152-06</t>
  </si>
  <si>
    <t>157-06</t>
  </si>
  <si>
    <t>ROMERO</t>
  </si>
  <si>
    <t>CHAD</t>
  </si>
  <si>
    <t>1811-06</t>
  </si>
  <si>
    <t>154-06</t>
  </si>
  <si>
    <t>161-06</t>
  </si>
  <si>
    <t>158-06</t>
  </si>
  <si>
    <t>THOMPSON</t>
  </si>
  <si>
    <t>LESTER</t>
  </si>
  <si>
    <t>1812-06</t>
  </si>
  <si>
    <t>165-06</t>
  </si>
  <si>
    <t>BRUDER</t>
  </si>
  <si>
    <t>RICHARD</t>
  </si>
  <si>
    <t>167-06</t>
  </si>
  <si>
    <t>160-06</t>
  </si>
  <si>
    <t>1813-06</t>
  </si>
  <si>
    <t>DELGADO</t>
  </si>
  <si>
    <t>DIANAH</t>
  </si>
  <si>
    <t>162-06</t>
  </si>
  <si>
    <t>171-06</t>
  </si>
  <si>
    <t>1814-06</t>
  </si>
  <si>
    <t>166-06</t>
  </si>
  <si>
    <t>173-06</t>
  </si>
  <si>
    <t>MCREYNOLDS</t>
  </si>
  <si>
    <t>KYLE</t>
  </si>
  <si>
    <t>168-06</t>
  </si>
  <si>
    <t>1815-06</t>
  </si>
  <si>
    <t>175-06</t>
  </si>
  <si>
    <t>170-06</t>
  </si>
  <si>
    <t>177-06</t>
  </si>
  <si>
    <t>172-06</t>
  </si>
  <si>
    <t>179-06</t>
  </si>
  <si>
    <t>174-06</t>
  </si>
  <si>
    <t>1816-06</t>
  </si>
  <si>
    <t>181-06</t>
  </si>
  <si>
    <t>183-06</t>
  </si>
  <si>
    <t>176-06</t>
  </si>
  <si>
    <t>178-06</t>
  </si>
  <si>
    <t>185-06</t>
  </si>
  <si>
    <t>187-06</t>
  </si>
  <si>
    <t>182-06</t>
  </si>
  <si>
    <t>1818-06</t>
  </si>
  <si>
    <t>189-06</t>
  </si>
  <si>
    <t>184-06</t>
  </si>
  <si>
    <t>186-06</t>
  </si>
  <si>
    <t>193-06</t>
  </si>
  <si>
    <t>1819-06</t>
  </si>
  <si>
    <t>188-06</t>
  </si>
  <si>
    <t>75-06</t>
  </si>
  <si>
    <t>NELSON</t>
  </si>
  <si>
    <t>ARIANE</t>
  </si>
  <si>
    <t>192-06</t>
  </si>
  <si>
    <t>199-06</t>
  </si>
  <si>
    <t>1821-06</t>
  </si>
  <si>
    <t>194-06</t>
  </si>
  <si>
    <t>BROWN</t>
  </si>
  <si>
    <t>JACOB</t>
  </si>
  <si>
    <t>201-06</t>
  </si>
  <si>
    <t>196-06</t>
  </si>
  <si>
    <t>198-06</t>
  </si>
  <si>
    <t>203-06</t>
  </si>
  <si>
    <t>1822-06</t>
  </si>
  <si>
    <t>200-06</t>
  </si>
  <si>
    <t>202-06</t>
  </si>
  <si>
    <t>207-06</t>
  </si>
  <si>
    <t>209-06</t>
  </si>
  <si>
    <t>1823-06</t>
  </si>
  <si>
    <t>rtdc.l.rtdc.4056:itc</t>
  </si>
  <si>
    <t>204-06</t>
  </si>
  <si>
    <t>211-06</t>
  </si>
  <si>
    <t>1824-06</t>
  </si>
  <si>
    <t>213-06</t>
  </si>
  <si>
    <t>206-06</t>
  </si>
  <si>
    <t>rtdc.l.rtdc.4019:itc</t>
  </si>
  <si>
    <t>70-06</t>
  </si>
  <si>
    <t>208-06</t>
  </si>
  <si>
    <t>215-06</t>
  </si>
  <si>
    <t>212-06</t>
  </si>
  <si>
    <t>217-06</t>
  </si>
  <si>
    <t>219-06</t>
  </si>
  <si>
    <t>214-06</t>
  </si>
  <si>
    <t>1826-06</t>
  </si>
  <si>
    <t>301-06</t>
  </si>
  <si>
    <t>216-06</t>
  </si>
  <si>
    <t>221-06</t>
  </si>
  <si>
    <t>MILLER</t>
  </si>
  <si>
    <t>KEVIN</t>
  </si>
  <si>
    <t>218-06</t>
  </si>
  <si>
    <t>303-06</t>
  </si>
  <si>
    <t>220-06</t>
  </si>
  <si>
    <t>223-06</t>
  </si>
  <si>
    <t>1828-06</t>
  </si>
  <si>
    <t>305-06</t>
  </si>
  <si>
    <t>222-06</t>
  </si>
  <si>
    <t>225-06</t>
  </si>
  <si>
    <t>227-06</t>
  </si>
  <si>
    <t>224-06</t>
  </si>
  <si>
    <t>229-06</t>
  </si>
  <si>
    <t>226-06</t>
  </si>
  <si>
    <t>231-06</t>
  </si>
  <si>
    <t>1832-06</t>
  </si>
  <si>
    <t>230-06</t>
  </si>
  <si>
    <t>233-06</t>
  </si>
  <si>
    <t>235-06</t>
  </si>
  <si>
    <t>232-06</t>
  </si>
  <si>
    <t>237-06</t>
  </si>
  <si>
    <t>234-06</t>
  </si>
  <si>
    <t>239-06</t>
  </si>
  <si>
    <t>236-06</t>
  </si>
  <si>
    <t>238-06</t>
  </si>
  <si>
    <t>241-06</t>
  </si>
  <si>
    <t>243-06</t>
  </si>
  <si>
    <t>240-06</t>
  </si>
  <si>
    <t>307-06</t>
  </si>
  <si>
    <t>242-06</t>
  </si>
  <si>
    <t>309-06</t>
  </si>
  <si>
    <t>244-06</t>
  </si>
  <si>
    <t>311-06</t>
  </si>
  <si>
    <t>313-06</t>
  </si>
  <si>
    <t>Drizzle</t>
  </si>
  <si>
    <t>204:750</t>
  </si>
  <si>
    <t>204:233359</t>
  </si>
  <si>
    <t>204:233040</t>
  </si>
  <si>
    <t>204:233285</t>
  </si>
  <si>
    <t>204:489</t>
  </si>
  <si>
    <t>204:232994</t>
  </si>
  <si>
    <t>204:437</t>
  </si>
  <si>
    <t>204:233317</t>
  </si>
  <si>
    <t>204:233311</t>
  </si>
  <si>
    <t>204:209</t>
  </si>
  <si>
    <t>204:407</t>
  </si>
  <si>
    <t>204:130</t>
  </si>
  <si>
    <t>204:233280</t>
  </si>
  <si>
    <t>204:233274</t>
  </si>
  <si>
    <t>204:233272</t>
  </si>
  <si>
    <t>204:232948</t>
  </si>
  <si>
    <t>204:233323</t>
  </si>
  <si>
    <t>204:233010</t>
  </si>
  <si>
    <t>204:233017</t>
  </si>
  <si>
    <t>204:515</t>
  </si>
  <si>
    <t>204:233316</t>
  </si>
  <si>
    <t>204:233336</t>
  </si>
  <si>
    <t>204:233287</t>
  </si>
  <si>
    <t>204:169</t>
  </si>
  <si>
    <t>204:233006</t>
  </si>
  <si>
    <t>204:232990</t>
  </si>
  <si>
    <t>204:233013</t>
  </si>
  <si>
    <t>204:233302</t>
  </si>
  <si>
    <t>204:233049</t>
  </si>
  <si>
    <t>204:232977</t>
  </si>
  <si>
    <t>204:480</t>
  </si>
  <si>
    <t>204:233378</t>
  </si>
  <si>
    <t>204:233057</t>
  </si>
  <si>
    <t>204:129</t>
  </si>
  <si>
    <t>204:232970</t>
  </si>
  <si>
    <t>204:232988</t>
  </si>
  <si>
    <t>204:233364</t>
  </si>
  <si>
    <t>204:233070</t>
  </si>
  <si>
    <t>204:233322</t>
  </si>
  <si>
    <t>204:233366</t>
  </si>
  <si>
    <t>204:233059</t>
  </si>
  <si>
    <t>204:232666</t>
  </si>
  <si>
    <t>204:233417</t>
  </si>
  <si>
    <t>204:233083</t>
  </si>
  <si>
    <t>204:233420</t>
  </si>
  <si>
    <t>204:233076</t>
  </si>
  <si>
    <t>204:233334</t>
  </si>
  <si>
    <t>204:233025</t>
  </si>
  <si>
    <t>204:233339</t>
  </si>
  <si>
    <t>300:58623</t>
  </si>
  <si>
    <t>300:58632</t>
  </si>
  <si>
    <t>204:680</t>
  </si>
  <si>
    <t>204:971</t>
  </si>
  <si>
    <t>300:58641</t>
  </si>
  <si>
    <t>204:957</t>
  </si>
  <si>
    <t>300:58630</t>
  </si>
  <si>
    <t>204:988</t>
  </si>
  <si>
    <t>300:58954</t>
  </si>
  <si>
    <t>204:696</t>
  </si>
  <si>
    <t>204:1000</t>
  </si>
  <si>
    <t>300:58952</t>
  </si>
  <si>
    <t>204:724</t>
  </si>
  <si>
    <t>204:1021</t>
  </si>
  <si>
    <t>204:713</t>
  </si>
  <si>
    <t>300:58982</t>
  </si>
  <si>
    <t>300:58672</t>
  </si>
  <si>
    <t>204:675</t>
  </si>
  <si>
    <t>300:58984</t>
  </si>
  <si>
    <t>300:58666</t>
  </si>
  <si>
    <t>204:106</t>
  </si>
  <si>
    <t>204:715</t>
  </si>
  <si>
    <t>300:58999</t>
  </si>
  <si>
    <t>300:58679</t>
  </si>
  <si>
    <t>300:59005</t>
  </si>
  <si>
    <t>300:58681</t>
  </si>
  <si>
    <t>204:720</t>
  </si>
  <si>
    <t>204:1006</t>
  </si>
  <si>
    <t>300:37579</t>
  </si>
  <si>
    <t>300:58677</t>
  </si>
  <si>
    <t>204:710</t>
  </si>
  <si>
    <t>204:995</t>
  </si>
  <si>
    <t>300:59001</t>
  </si>
  <si>
    <t>204:233380</t>
  </si>
  <si>
    <t>204:726</t>
  </si>
  <si>
    <t>300:58973</t>
  </si>
  <si>
    <t>300:58658</t>
  </si>
  <si>
    <t>204:703</t>
  </si>
  <si>
    <t>300:21267</t>
  </si>
  <si>
    <t>204:233072</t>
  </si>
  <si>
    <t>204:118</t>
  </si>
  <si>
    <t>204:138</t>
  </si>
  <si>
    <t>204:273</t>
  </si>
  <si>
    <t>300:30169</t>
  </si>
  <si>
    <t>300:58670</t>
  </si>
  <si>
    <t>300:21350</t>
  </si>
  <si>
    <t>300:21914</t>
  </si>
  <si>
    <t>300:22034</t>
  </si>
  <si>
    <t>204:233389</t>
  </si>
  <si>
    <t>204:233034</t>
  </si>
  <si>
    <t>204:232980</t>
  </si>
  <si>
    <t>204:178</t>
  </si>
  <si>
    <t>204:233074</t>
  </si>
  <si>
    <t>204:233416</t>
  </si>
  <si>
    <t>204:233044</t>
  </si>
  <si>
    <t>204:440</t>
  </si>
  <si>
    <t>204:233376</t>
  </si>
  <si>
    <t>204:233065</t>
  </si>
  <si>
    <t>204:604</t>
  </si>
  <si>
    <t>204:232991</t>
  </si>
  <si>
    <t>204:72</t>
  </si>
  <si>
    <t>204:233081</t>
  </si>
  <si>
    <t>204:233299</t>
  </si>
  <si>
    <t>204:424</t>
  </si>
  <si>
    <t>204:233387</t>
  </si>
  <si>
    <t>204:233121</t>
  </si>
  <si>
    <t>204:233291</t>
  </si>
  <si>
    <t>204:233346</t>
  </si>
  <si>
    <t>204:233043</t>
  </si>
  <si>
    <t>204:486</t>
  </si>
  <si>
    <t>204:233405</t>
  </si>
  <si>
    <t>204:18476</t>
  </si>
  <si>
    <t>204:181</t>
  </si>
  <si>
    <t>204:201</t>
  </si>
  <si>
    <t>204:233304</t>
  </si>
  <si>
    <t>204:401</t>
  </si>
  <si>
    <t>300:23794</t>
  </si>
  <si>
    <t>300:22978</t>
  </si>
  <si>
    <t>300:22968</t>
  </si>
  <si>
    <t>204:493</t>
  </si>
  <si>
    <t>300:23310</t>
  </si>
  <si>
    <t>300:23603</t>
  </si>
  <si>
    <t>300:25764</t>
  </si>
  <si>
    <t>204:504</t>
  </si>
  <si>
    <t>204:3499</t>
  </si>
  <si>
    <t>204:3157</t>
  </si>
  <si>
    <t>204:1158</t>
  </si>
  <si>
    <t>300:21875</t>
  </si>
  <si>
    <t>204:1854</t>
  </si>
  <si>
    <t>300:23220</t>
  </si>
  <si>
    <t>204:421</t>
  </si>
  <si>
    <t>300:24252</t>
  </si>
  <si>
    <t>300:5178</t>
  </si>
  <si>
    <t>204:664</t>
  </si>
  <si>
    <t>204:1488</t>
  </si>
  <si>
    <t>300:5433</t>
  </si>
  <si>
    <t>204:1154</t>
  </si>
  <si>
    <t>start /low /b %USERPROFILE%\Documents\GitHub\eaglep3\Utilities\DownloadLogsFromS3.py --loco 4005 --day 2017-08-06</t>
  </si>
  <si>
    <t>start /low /b %USERPROFILE%\Documents\GitHub\eaglep3\Utilities\DownloadLogsFromS3.py --loco 4040 --day 2017-08-06</t>
  </si>
  <si>
    <t>start /low /b %USERPROFILE%\Documents\GitHub\eaglep3\Utilities\DownloadLogsFromS3.py --loco 4032 --day 2017-08-06</t>
  </si>
  <si>
    <t>start /low /b %USERPROFILE%\Documents\GitHub\eaglep3\Utilities\DownloadLogsFromS3.py --loco 4031 --day 2017-08-07</t>
  </si>
  <si>
    <t>start /low /b %USERPROFILE%\Documents\GitHub\eaglep3\Utilities\DownloadLogsFromS3.py --loco 4003 --day 2017-08-06</t>
  </si>
  <si>
    <t>start /low /b %USERPROFILE%\Documents\GitHub\eaglep3\Utilities\DownloadLogsFromS3.py --loco 4001 --day 2017-08-06</t>
  </si>
  <si>
    <t>start /low /b %USERPROFILE%\Documents\GitHub\eaglep3\Utilities\DownloadLogsFromS3.py --loco 4002 --day 2017-08-06</t>
  </si>
  <si>
    <t>start /low /b %USERPROFILE%\Documents\GitHub\eaglep3\Utilities\DownloadLogsFromS3.py --loco 4004 --day 2017-08-06</t>
  </si>
  <si>
    <t>start /low /b %USERPROFILE%\Documents\GitHub\eaglep3\Utilities\DownloadLogsFromS3.py --loco 4003 --day 2017-08-07</t>
  </si>
  <si>
    <t>start /low /b %USERPROFILE%\Documents\GitHub\eaglep3\Utilities\DownloadLogsFromS3.py --loco 4029 --day 2017-08-06</t>
  </si>
  <si>
    <t>start /low /b %USERPROFILE%\Documents\GitHub\eaglep3\Utilities\DownloadLogsFromS3.py --loco 4030 --day 2017-08-06</t>
  </si>
  <si>
    <t>start /low /b %USERPROFILE%\Documents\GitHub\eaglep3\Utilities\DownloadLogsFromS3.py --loco 4065 --day 2017-08-06</t>
  </si>
  <si>
    <t>start /low /b %USERPROFILE%\Documents\GitHub\eaglep3\Utilities\DownloadLogsFromS3.py --loco 4044 --day 2017-08-06</t>
  </si>
  <si>
    <t>start /low /b %USERPROFILE%\Documents\GitHub\eaglep3\Utilities\DownloadLogsFromS3.py --loco 4022 --day 2017-08-06</t>
  </si>
  <si>
    <t>start /low /b %USERPROFILE%\Documents\GitHub\eaglep3\Utilities\DownloadLogsFromS3.py --loco 4040 --day 2017-08-07</t>
  </si>
  <si>
    <t>start /low /b %USERPROFILE%\Documents\GitHub\eaglep3\Utilities\DownloadLogsFromS3.py --loco 4021 --day 2017-08-06</t>
  </si>
  <si>
    <t>start /low /b %USERPROFILE%\Documents\GitHub\eaglep3\Utilities\DownloadLogsFromS3.py --loco 4039 --day 2017-08-07</t>
  </si>
  <si>
    <t>Wheel slip caused map to disappear</t>
  </si>
  <si>
    <t>Selected wrong track</t>
  </si>
  <si>
    <t>Form C</t>
  </si>
  <si>
    <t>Unhealthy crossings due to Wi-MAX data drop</t>
  </si>
  <si>
    <t>Early arrival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</si>
</sst>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abSelected="1" workbookViewId="0">
      <selection activeCell="V17" sqref="V1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COUNTIFS($N$13:$N$9306,"&gt;0",$AG$13:$AG$9306,I1)</f>
        <v>143</v>
      </c>
      <c r="K5" s="39"/>
      <c r="L5" s="39"/>
      <c r="M5" s="40">
        <f>AVERAGEIFS($N$13:$N$9306,$AG$13:$AG$9306,I1)</f>
        <v>37.285780885698067</v>
      </c>
      <c r="N5" s="38">
        <f t="array" ref="N5">MIN(IF($AG$13:$AG$9306=I1,IF(ISNUMBER($N$13:$N$9306),IF($N$13:$N$9306&gt;0,$N$13:$N$9306))))</f>
        <v>34.116666658082977</v>
      </c>
      <c r="O5" s="3">
        <f t="array" ref="O5">MAX(IF($AG$13:$AG$9306=I1,IF(ISNUMBER($N$13:$N$9306),IF($N$13:$N$9306&gt;0,$N$13:$N$9306))))</f>
        <v>43.916666664881632</v>
      </c>
      <c r="P5" s="2"/>
      <c r="R5" s="166" t="s">
        <v>17</v>
      </c>
      <c r="S5" s="186">
        <f>COUNTIFS($N$13:$N$9306,"&gt;0",$AG$13:$AG$9306,R1)</f>
        <v>33</v>
      </c>
      <c r="T5" s="187"/>
      <c r="U5" s="187"/>
      <c r="V5" s="183">
        <f>AVERAGEIFS($N$13:$N$9306,$AG$13:$AG$9306,R1)</f>
        <v>15.16414141472937</v>
      </c>
      <c r="W5" s="184">
        <f t="array" ref="W5">MIN(IF($AG$13:$AG$9306=R1,IF(ISNUMBER($N$13:$N$9306),IF($N$13:$N$9306&gt;0,$N$13:$N$9306))))</f>
        <v>12.983333340380341</v>
      </c>
      <c r="X5" s="185">
        <f t="array" ref="X5">MAX(IF($AG$13:$AG$9306=R1,IF(ISNUMBER($N$13:$N$9306),IF($N$13:$N$9306&gt;0,$N$13:$N$9306))))</f>
        <v>19.433333328925073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COUNT($O$13:$O$125)</f>
        <v>0</v>
      </c>
      <c r="K6" s="39"/>
      <c r="L6" s="39"/>
      <c r="M6" s="40">
        <f>IFERROR(AVERAGE($O$13:$O$125),0)</f>
        <v>0</v>
      </c>
      <c r="N6" s="38">
        <f>MIN($O$13:$O$125)</f>
        <v>0</v>
      </c>
      <c r="O6" s="3">
        <f>MAX($O$13:$O$125)</f>
        <v>0</v>
      </c>
      <c r="P6" s="2"/>
      <c r="R6" s="167" t="s">
        <v>43</v>
      </c>
      <c r="S6" s="186">
        <f>COUNT($O$13:$O$125)</f>
        <v>0</v>
      </c>
      <c r="T6" s="187"/>
      <c r="U6" s="187"/>
      <c r="V6" s="183">
        <f>IFERROR(AVERAGE($O$13:$O$125),0)</f>
        <v>0</v>
      </c>
      <c r="W6" s="184">
        <f>MIN($O$13:$O$125)</f>
        <v>0</v>
      </c>
      <c r="X6" s="185">
        <f>MAX($O$13:$O$125)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COUNTIFS($P$13:$P$9306,"&gt;0",$AG$13:$AG$9306,I1)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COUNTIFS($P$13:$P$9306,"&gt;0",$AG$13:$AG$9306,R1)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39"/>
      <c r="M8" s="40">
        <f>M5</f>
        <v>37.285780885698067</v>
      </c>
      <c r="N8" s="38">
        <f>N5</f>
        <v>34.116666658082977</v>
      </c>
      <c r="O8" s="3">
        <f>O5</f>
        <v>43.916666664881632</v>
      </c>
      <c r="P8" s="2"/>
      <c r="R8" s="166" t="s">
        <v>16</v>
      </c>
      <c r="S8" s="186">
        <f>S5</f>
        <v>33</v>
      </c>
      <c r="T8" s="187"/>
      <c r="U8" s="187"/>
      <c r="V8" s="183">
        <f>V5</f>
        <v>15.16414141472937</v>
      </c>
      <c r="W8" s="184">
        <f>W5</f>
        <v>12.983333340380341</v>
      </c>
      <c r="X8" s="185">
        <f>X5</f>
        <v>19.433333328925073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0.97058823529411764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AVERAGE(S13:S101)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671</v>
      </c>
      <c r="B13" s="7">
        <v>4032</v>
      </c>
      <c r="C13" s="21" t="s">
        <v>198</v>
      </c>
      <c r="D13" s="21" t="s">
        <v>870</v>
      </c>
      <c r="E13" s="13">
        <v>42953.132789351854</v>
      </c>
      <c r="F13" s="13">
        <v>42953.135937500003</v>
      </c>
      <c r="G13" s="7">
        <v>1</v>
      </c>
      <c r="H13" s="21" t="s">
        <v>871</v>
      </c>
      <c r="I13" s="13">
        <v>42953.160902777781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MAELZER KURT</v>
      </c>
      <c r="M13" s="6">
        <f t="shared" ref="M13:M76" si="1">I13-F13</f>
        <v>2.4965277778392192E-2</v>
      </c>
      <c r="N13" s="7">
        <f>24*60*SUM($M13:$M13)</f>
        <v>35.950000000884756</v>
      </c>
      <c r="O13" s="7"/>
      <c r="P13" s="7"/>
      <c r="Q13" s="22"/>
      <c r="R13" s="170"/>
      <c r="S13" s="213">
        <f>1/IF(AG13="EC",12,1)*SUM(U13:U13)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-06T02:11:13-0600',mode:absolute,to:'2017-08-06T04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7.4999999999999997E-2</v>
      </c>
      <c r="Z13" s="197">
        <f>RIGHT(H13,LEN(H13)-4)/10000</f>
        <v>23.335899999999999</v>
      </c>
      <c r="AA13" s="197">
        <f t="shared" ref="AA13:AA76" si="4">ABS(Z13-Y13)</f>
        <v>23.260899999999999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5">VALUE(LEFT(A13,LEN(A13)-3))</f>
        <v>101</v>
      </c>
      <c r="AE13" s="77" t="str">
        <f t="shared" ref="AE13:AE76" si="6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3" s="74" t="str">
        <f t="shared" ref="AF13:AF76" si="7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/stypes="app*4032*20170806*"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8">DetSubdiv(A13)</f>
        <v>EC</v>
      </c>
      <c r="AH13" s="78" t="str">
        <f t="shared" ref="AH13" si="9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4032 --swversion DE.1.0.9.0 --startMP 204:750 --initTime 2017-08-06T03:11:13 --startdatetime 2017-08-06T03:15:45 --delay 1 --endMP 204:233359 --enddatetime 2017-08-06T03:51:42 --enforcementcount 0 &gt;&gt;C:\Users\stu\Documents\GitHub\eaglep3-reporting\EC\2017-08-06-refined-times.txt</v>
      </c>
      <c r="AI13" s="96" t="str">
        <f t="shared" ref="AI13" si="10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{"issue":{"subject":"","project_id":79,"tracker_id":40,"status_id":1,"priority_id":2,"assigned_to_id":23,"start_date":"2017-08-06","description":"","custom_fields":[{"id":1,"name":"Subdivision","value":"EC"},{"id":4,"name":"Milepost","value":"23.3359"},{"id":17,"name":"Train ID","value":"101-06"},{"id":16,"name":"Locomotive ID","value":"4032"},{"id":130,"name":"Impact","value":""},{"id":150,"name":"Time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1">"start /low /b "&amp;dls3logs&amp;" --loco "&amp;B13&amp;" --day "&amp;TEXT(F13,"YYYY-MM-DD")</f>
        <v>start /low /b %USERPROFILE%\Documents\GitHub\eaglep3\Utilities\DownloadLogsFromS3.py --loco 4032 --day 2017-08-06</v>
      </c>
      <c r="AN13" s="151" t="str">
        <f t="shared" ref="AN13" si="12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09:51:42"},{"id":29,"name":"Sharepoint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681</v>
      </c>
      <c r="B14" s="7">
        <v>4031</v>
      </c>
      <c r="C14" s="21" t="s">
        <v>198</v>
      </c>
      <c r="D14" s="21" t="s">
        <v>872</v>
      </c>
      <c r="E14" s="13">
        <v>42953.171331018515</v>
      </c>
      <c r="F14" s="13">
        <v>42953.175254629627</v>
      </c>
      <c r="G14" s="7">
        <v>1</v>
      </c>
      <c r="H14" s="21" t="s">
        <v>505</v>
      </c>
      <c r="I14" s="13">
        <v>42953.202499999999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MAELZER KURT</v>
      </c>
      <c r="M14" s="6">
        <f t="shared" si="1"/>
        <v>2.7245370372838806E-2</v>
      </c>
      <c r="N14" s="7">
        <f>24*60*SUM($M14:$M14)</f>
        <v>39.233333336887881</v>
      </c>
      <c r="O14" s="7"/>
      <c r="P14" s="7"/>
      <c r="Q14" s="22"/>
      <c r="R14" s="170"/>
      <c r="S14" s="213">
        <f>1/IF(AG14="EC",12,1)*SUM(U14:U14)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-08-06T03:06:43-0600',mode:absolute,to:'2017-08-06T05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23.303999999999998</v>
      </c>
      <c r="Z14" s="197">
        <f>RIGHT(H14,LEN(H14)-4)/10000</f>
        <v>1.32E-2</v>
      </c>
      <c r="AA14" s="197">
        <f t="shared" si="4"/>
        <v>23.290799999999997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5"/>
        <v>102</v>
      </c>
      <c r="AE14" s="77" t="str">
        <f t="shared" si="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4" s="74" t="str">
        <f t="shared" si="7"/>
        <v>"C:\Program Files (x86)\AstroGrep\AstroGrep.exe" /e /r /s /spath="%USERPROFILE%\AppData\Local\Temp\OnboardLogs" /stypes="app*4031*20170806*" /stext=" 10:.+((SYSTEM_STATE.+slice.+state.+changed )|(ment ac)|(multiple cpu faults)|(system.+state.+changed )|(\[timeout)|(PRM\|1\|D)|(kpr)|(kdp)|(train st.+moving)|(\|lc)|(penalty))"</v>
      </c>
      <c r="AG14" s="209" t="str">
        <f t="shared" si="8"/>
        <v>EC</v>
      </c>
      <c r="AH14" s="78" t="str">
        <f t="shared" ref="AH14:AH80" si="1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4031 --swversion DE.1.0.9.0 --startMP 204:233040 --initTime 2017-08-06T04:06:43 --startdatetime 2017-08-06T04:12:22 --delay 1 --endMP 204:132 --enddatetime 2017-08-06T04:51:36 --enforcementcount 0 &gt;&gt;C:\Users\stu\Documents\GitHub\eaglep3-reporting\EC\2017-08-06-refined-times.txt</v>
      </c>
      <c r="AI14" s="96" t="str">
        <f t="shared" ref="AI14:AI80" si="1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{"issue":{"subject":"","project_id":79,"tracker_id":40,"status_id":1,"priority_id":2,"assigned_to_id":23,"start_date":"2017-08-06","description":"","custom_fields":[{"id":1,"name":"Subdivision","value":"EC"},{"id":4,"name":"Milepost","value":"0.0132"},{"id":17,"name":"Train ID","value":"102-06"},{"id":16,"name":"Locomotive ID","value":"4031"},{"id":130,"name":"Impact","value":""},{"id":150,"name":"Time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80" si="15">"start /low /b "&amp;dls3logs&amp;" --loco "&amp;B14&amp;" --day "&amp;TEXT(F14,"YYYY-MM-DD")</f>
        <v>start /low /b %USERPROFILE%\Documents\GitHub\eaglep3\Utilities\DownloadLogsFromS3.py --loco 4031 --day 2017-08-06</v>
      </c>
      <c r="AN14" s="151" t="str">
        <f t="shared" ref="AN14:AN80" si="16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676</v>
      </c>
      <c r="B15" s="7">
        <v>4044</v>
      </c>
      <c r="C15" s="21" t="s">
        <v>198</v>
      </c>
      <c r="D15" s="21" t="s">
        <v>376</v>
      </c>
      <c r="E15" s="13">
        <v>42953.147569444445</v>
      </c>
      <c r="F15" s="13">
        <v>42953.156782407408</v>
      </c>
      <c r="G15" s="7">
        <v>2</v>
      </c>
      <c r="H15" s="21" t="s">
        <v>873</v>
      </c>
      <c r="I15" s="13">
        <v>42953.184537037036</v>
      </c>
      <c r="J15" s="7">
        <v>0</v>
      </c>
      <c r="K15" s="89" t="str">
        <f t="shared" si="0"/>
        <v>4043/4044</v>
      </c>
      <c r="L15" s="21" t="str">
        <f>VLOOKUP(A15,'Trips&amp;Operators'!$C$1:$G$99999,5,FALSE)</f>
        <v>WILLIAMS DONTE</v>
      </c>
      <c r="M15" s="6">
        <f t="shared" si="1"/>
        <v>2.7754629627452232E-2</v>
      </c>
      <c r="N15" s="7">
        <f>24*60*SUM($M15:$M15)</f>
        <v>39.966666663531214</v>
      </c>
      <c r="O15" s="7"/>
      <c r="P15" s="7"/>
      <c r="Q15" s="22"/>
      <c r="R15" s="170"/>
      <c r="S15" s="213">
        <f>1/IF(AG15="EC",12,1)*SUM(U15:U15)</f>
        <v>1</v>
      </c>
      <c r="T15" s="195" t="str">
        <f t="shared" si="2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-08-06T02:32:30-0600',mode:absolute,to:'2017-08-06T05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4.6199999999999998E-2</v>
      </c>
      <c r="Z15" s="197">
        <f>RIGHT(H15,LEN(H15)-4)/10000</f>
        <v>23.328499999999998</v>
      </c>
      <c r="AA15" s="197">
        <f t="shared" si="4"/>
        <v>23.282299999999999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5"/>
        <v>103</v>
      </c>
      <c r="AE15" s="77" t="str">
        <f t="shared" si="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5" s="74" t="str">
        <f t="shared" si="7"/>
        <v>"C:\Program Files (x86)\AstroGrep\AstroGrep.exe" /e /r /s /spath="%USERPROFILE%\AppData\Local\Temp\OnboardLogs" /stypes="app*4044*20170806*" /stext=" 10:.+((SYSTEM_STATE.+slice.+state.+changed )|(ment ac)|(multiple cpu faults)|(system.+state.+changed )|(\[timeout)|(PRM\|1\|D)|(kpr)|(kdp)|(train st.+moving)|(\|lc)|(penalty))"</v>
      </c>
      <c r="AG15" s="209" t="str">
        <f t="shared" si="8"/>
        <v>EC</v>
      </c>
      <c r="AH15" s="78" t="str">
        <f t="shared" si="13"/>
        <v>"%USERPROFILE%\Documents\GitHub\eaglep3\Utilities\RefineRTDCRunTimes.py" --tripid 103-06 --locoid 4044 --swversion DE.1.0.9.0 --startMP 204:462 --initTime 2017-08-06T03:32:30 --startdatetime 2017-08-06T03:45:46 --delay 2 --endMP 204:233285 --enddatetime 2017-08-06T04:25:44 --enforcementcount 0 &gt;&gt;C:\Users\stu\Documents\GitHub\eaglep3-reporting\EC\2017-08-06-refined-times.txt</v>
      </c>
      <c r="AI1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{"issue":{"subject":"","project_id":79,"tracker_id":40,"status_id":1,"priority_id":2,"assigned_to_id":23,"start_date":"2017-08-06","description":"","custom_fields":[{"id":1,"name":"Subdivision","value":"EC"},{"id":4,"name":"Milepost","value":"23.3285"},{"id":17,"name":"Train ID","value":"103-06"},{"id":16,"name":"Locomotive ID","value":"4044"},{"id":130,"name":"Impact","value":""},{"id":150,"name":"Time of Event (Mountain Time)","value":"04:25:44"},{"id":151,"name":"Denver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5"/>
        <v>start /low /b %USERPROFILE%\Documents\GitHub\eaglep3\Utilities\DownloadLogsFromS3.py --loco 4044 --day 2017-08-06</v>
      </c>
      <c r="AN1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686</v>
      </c>
      <c r="B16" s="7">
        <v>4043</v>
      </c>
      <c r="C16" s="21" t="s">
        <v>198</v>
      </c>
      <c r="D16" s="21" t="s">
        <v>449</v>
      </c>
      <c r="E16" s="13">
        <v>42953.192986111113</v>
      </c>
      <c r="F16" s="13">
        <v>42953.196018518516</v>
      </c>
      <c r="G16" s="7">
        <v>1</v>
      </c>
      <c r="H16" s="21" t="s">
        <v>443</v>
      </c>
      <c r="I16" s="13">
        <v>42953.225763888891</v>
      </c>
      <c r="J16" s="7">
        <v>0</v>
      </c>
      <c r="K16" s="89" t="str">
        <f t="shared" si="0"/>
        <v>4043/4044</v>
      </c>
      <c r="L16" s="21" t="str">
        <f>VLOOKUP(A16,'Trips&amp;Operators'!$C$1:$G$99999,5,FALSE)</f>
        <v>WILLIAMS DONTE</v>
      </c>
      <c r="M16" s="6">
        <f t="shared" si="1"/>
        <v>2.9745370375167113E-2</v>
      </c>
      <c r="N16" s="7">
        <f>24*60*SUM($M16:$M16)</f>
        <v>42.833333340240642</v>
      </c>
      <c r="O16" s="7"/>
      <c r="P16" s="7"/>
      <c r="Q16" s="22"/>
      <c r="R16" s="170"/>
      <c r="S16" s="213">
        <f>1/IF(AG16="EC",12,1)*SUM(U16:U16)</f>
        <v>1</v>
      </c>
      <c r="T16" s="195" t="str">
        <f t="shared" si="2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-08-06T03:37:54-0600',mode:absolute,to:'2017-08-06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23.299800000000001</v>
      </c>
      <c r="Z16" s="197">
        <f>RIGHT(H16,LEN(H16)-4)/10000</f>
        <v>1.5800000000000002E-2</v>
      </c>
      <c r="AA16" s="197">
        <f t="shared" si="4"/>
        <v>23.284000000000002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5"/>
        <v>104</v>
      </c>
      <c r="AE16" s="77" t="str">
        <f t="shared" si="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6" s="74" t="str">
        <f t="shared" si="7"/>
        <v>"C:\Program Files (x86)\AstroGrep\AstroGrep.exe" /e /r /s /spath="%USERPROFILE%\AppData\Local\Temp\OnboardLogs" /stypes="app*4043*20170806*" /stext=" 11:.+((SYSTEM_STATE.+slice.+state.+changed )|(ment ac)|(multiple cpu faults)|(system.+state.+changed )|(\[timeout)|(PRM\|1\|D)|(kpr)|(kdp)|(train st.+moving)|(\|lc)|(penalty))"</v>
      </c>
      <c r="AG16" s="209" t="str">
        <f t="shared" si="8"/>
        <v>EC</v>
      </c>
      <c r="AH16" s="78" t="str">
        <f t="shared" si="13"/>
        <v>"%USERPROFILE%\Documents\GitHub\eaglep3\Utilities\RefineRTDCRunTimes.py" --tripid 104-06 --locoid 4043 --swversion DE.1.0.9.0 --startMP 204:232998 --initTime 2017-08-06T04:37:54 --startdatetime 2017-08-06T04:42:16 --delay 1 --endMP 204:158 --enddatetime 2017-08-06T05:25:06 --enforcementcount 0 &gt;&gt;C:\Users\stu\Documents\GitHub\eaglep3-reporting\EC\2017-08-06-refined-times.txt</v>
      </c>
      <c r="AI1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ID","value":"104-06"},{"id":16,"name":"Locomotive ID","value":"4043"},{"id":130,"name":"Impact","value":""},{"id":150,"name":"Time of Event (Mountain Time)","value":"05:25:06"},{"id":151,"name":"Denver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5"/>
        <v>start /low /b %USERPROFILE%\Documents\GitHub\eaglep3\Utilities\DownloadLogsFromS3.py --loco 4043 --day 2017-08-06</v>
      </c>
      <c r="AN1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680</v>
      </c>
      <c r="B17" s="7">
        <v>4006</v>
      </c>
      <c r="C17" s="21" t="s">
        <v>198</v>
      </c>
      <c r="D17" s="21" t="s">
        <v>874</v>
      </c>
      <c r="E17" s="13">
        <v>42953.167175925926</v>
      </c>
      <c r="F17" s="13">
        <v>42953.17759259259</v>
      </c>
      <c r="G17" s="7">
        <v>1</v>
      </c>
      <c r="H17" s="21" t="s">
        <v>519</v>
      </c>
      <c r="I17" s="13">
        <v>42953.189236111109</v>
      </c>
      <c r="J17" s="7">
        <v>0</v>
      </c>
      <c r="K17" s="89" t="str">
        <f t="shared" si="0"/>
        <v>4005/4006</v>
      </c>
      <c r="L17" s="21" t="str">
        <f>VLOOKUP(A17,'Trips&amp;Operators'!$C$1:$G$99999,5,FALSE)</f>
        <v>DAVIS WENDY</v>
      </c>
      <c r="M17" s="6">
        <f t="shared" si="1"/>
        <v>1.1643518519122154E-2</v>
      </c>
      <c r="N17" s="7">
        <f>24*60*SUM($M17:$M18)</f>
        <v>38.150000001769513</v>
      </c>
      <c r="O17" s="7"/>
      <c r="P17" s="7"/>
      <c r="Q17" s="22"/>
      <c r="R17" s="170" t="s">
        <v>1033</v>
      </c>
      <c r="S17" s="213">
        <f>1/IF(AG17="EC",12,1)*SUM(U17:U18)</f>
        <v>1</v>
      </c>
      <c r="T17" s="195" t="str">
        <f t="shared" si="2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10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-08-06T03:00:44-0600',mode:absolute,to:'2017-08-06T05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7" t="str">
        <f>IF(AA17&lt;VLOOKUP(AG17,Variables!$AC$3:$AD$8,2,FALSE),"Y","N")</f>
        <v>Y</v>
      </c>
      <c r="X17" s="197">
        <f>VALUE(LEFT(AD17,4))-VALUE(LEFT(AD16,4))</f>
        <v>1</v>
      </c>
      <c r="Y17" s="197">
        <f>RIGHT(D17,LEN(D17)-4)/10000</f>
        <v>4.8899999999999999E-2</v>
      </c>
      <c r="Z17" s="197">
        <v>8.26</v>
      </c>
      <c r="AA17" s="197">
        <f t="shared" si="4"/>
        <v>8.2111000000000001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5"/>
        <v>105</v>
      </c>
      <c r="AE17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7" s="74" t="str">
        <f t="shared" si="7"/>
        <v>"C:\Program Files (x86)\AstroGrep\AstroGrep.exe" /e /r /s /spath="%USERPROFILE%\AppData\Local\Temp\OnboardLogs" /stypes="app*4006*20170806*" /stext=" 10:.+((SYSTEM_STATE.+slice.+state.+changed )|(ment ac)|(multiple cpu faults)|(system.+state.+changed )|(\[timeout)|(PRM\|1\|D)|(kpr)|(kdp)|(train st.+moving)|(\|lc)|(penalty))"</v>
      </c>
      <c r="AG17" s="209" t="str">
        <f t="shared" si="8"/>
        <v>EC</v>
      </c>
      <c r="AH17" s="78" t="str">
        <f t="shared" si="13"/>
        <v>"%USERPROFILE%\Documents\GitHub\eaglep3\Utilities\RefineRTDCRunTimes.py" --tripid 105-06 --locoid 4006 --swversion DE.1.0.9.0 --startMP 204:489 --initTime 2017-08-06T04:00:44 --startdatetime 2017-08-06T04:15:44 --delay 1 --endMP 204:233309 --enddatetime 2017-08-06T04:32:30 --enforcementcount 0 &gt;&gt;C:\Users\stu\Documents\GitHub\eaglep3-reporting\EC\2017-08-06-refined-times.txt</v>
      </c>
      <c r="AI17" s="96" t="str">
        <f t="shared" si="14"/>
        <v>echo {"issue":{"subject":"Wheel slip caused map to disappear","project_id":79,"tracker_id":40,"status_id":1,"priority_id":2,"assigned_to_id":23,"start_date":"2017-08-06","description":"","custom_fields":[{"id":1,"name":"Subdivision","value":"EC"},{"id":4,"name":"Milepost","value":"8.26"},{"id":17,"name":"Train ID","value":"105-06"},{"id":16,"name":"Locomotive ID","value":"4006"},{"id":130,"name":"Impact","value":""},{"id":150,"name":"Time of Event (Mountain Time)","value":"04:32:30"},{"id":151,"name":"Denver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5"/>
        <v>start /low /b %USERPROFILE%\Documents\GitHub\eaglep3\Utilities\DownloadLogsFromS3.py --loco 4006 --day 2017-08-06</v>
      </c>
      <c r="AN17" s="151" t="str">
        <f t="shared" si="16"/>
        <v>echo {"issue":{"subject":"Wheel slip caused map to disappear","project_id":30,"tracker_id":4,"status_id":1,"priority_id":1,"assigned_to_id":10,"start_date":"2017-08-06","description":"","custom_fields":[{"id":30,"name":"Category","value":"Issue"},{"id":3,"name":"Functional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680</v>
      </c>
      <c r="B18" s="7">
        <v>4006</v>
      </c>
      <c r="C18" s="21" t="s">
        <v>198</v>
      </c>
      <c r="D18" s="21" t="s">
        <v>874</v>
      </c>
      <c r="E18" s="13">
        <v>42953.167175925926</v>
      </c>
      <c r="F18" s="13">
        <v>42953.188842592594</v>
      </c>
      <c r="G18" s="7">
        <v>1</v>
      </c>
      <c r="H18" s="21" t="s">
        <v>519</v>
      </c>
      <c r="I18" s="13">
        <v>42953.203692129631</v>
      </c>
      <c r="J18" s="7">
        <v>0</v>
      </c>
      <c r="K18" s="89" t="str">
        <f t="shared" si="0"/>
        <v>4005/4006</v>
      </c>
      <c r="L18" s="21" t="str">
        <f>VLOOKUP(A18,'Trips&amp;Operators'!$C$1:$G$99999,5,FALSE)</f>
        <v>DAVIS WENDY</v>
      </c>
      <c r="M18" s="6">
        <f t="shared" si="1"/>
        <v>1.484953703766223E-2</v>
      </c>
      <c r="N18" s="7"/>
      <c r="O18" s="7"/>
      <c r="P18" s="7"/>
      <c r="Q18" s="22"/>
      <c r="R18" s="170"/>
      <c r="S18" s="213"/>
      <c r="T18" s="195" t="str">
        <f t="shared" si="2"/>
        <v>NorthBound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2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-08-06T03:00:44-0600',mode:absolute,to:'2017-08-06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" s="197" t="str">
        <f>IF(AA18&lt;VLOOKUP(AG18,Variables!$AC$3:$AD$8,2,FALSE),"Y","N")</f>
        <v>Y</v>
      </c>
      <c r="X18" s="197">
        <f t="shared" ref="X18:X19" si="17">VALUE(LEFT(AD18,4))-VALUE(LEFT(AD17,4))</f>
        <v>0</v>
      </c>
      <c r="Y18" s="197">
        <v>8.5299999999999994</v>
      </c>
      <c r="Z18" s="197">
        <f t="shared" ref="Z18:Z19" si="18">RIGHT(H18,LEN(H18)-4)/10000</f>
        <v>23.3309</v>
      </c>
      <c r="AA18" s="197">
        <f t="shared" si="4"/>
        <v>14.8009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5"/>
        <v>105</v>
      </c>
      <c r="AE18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8" s="74" t="str">
        <f t="shared" si="7"/>
        <v>"C:\Program Files (x86)\AstroGrep\AstroGrep.exe" /e /r /s /spath="%USERPROFILE%\AppData\Local\Temp\OnboardLogs" /stypes="app*4006*20170806*" /stext=" 10:.+((SYSTEM_STATE.+slice.+state.+changed )|(ment ac)|(multiple cpu faults)|(system.+state.+changed )|(\[timeout)|(PRM\|1\|D)|(kpr)|(kdp)|(train st.+moving)|(\|lc)|(penalty))"</v>
      </c>
      <c r="AG18" s="209" t="str">
        <f t="shared" si="8"/>
        <v>EC</v>
      </c>
      <c r="AH18" s="78" t="str">
        <f t="shared" ref="AH18" si="19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105-06 --locoid 4006 --swversion DE.1.0.9.0 --startMP 204:489 --initTime 2017-08-06T04:00:44 --startdatetime 2017-08-06T04:31:56 --delay 1 --endMP 204:233309 --enddatetime 2017-08-06T04:53:19 --enforcementcount 0 &gt;&gt;C:\Users\stu\Documents\GitHub\eaglep3-reporting\EC\2017-08-06-refined-times.txt</v>
      </c>
      <c r="AI18" s="96" t="str">
        <f t="shared" ref="AI18" si="20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{"issue":{"subject":"","project_id":79,"tracker_id":40,"status_id":1,"priority_id":2,"assigned_to_id":23,"start_date":"2017-08-06","description":"","custom_fields":[{"id":1,"name":"Subdivision","value":"EC"},{"id":4,"name":"Milepost","value":"23.3309"},{"id":17,"name":"Train ID","value":"105-06"},{"id":16,"name":"Locomotive ID","value":"4006"},{"id":130,"name":"Impact","value":""},{"id":150,"name":"Time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ref="AM18" si="21">"start /low /b "&amp;dls3logs&amp;" --loco "&amp;B18&amp;" --day "&amp;TEXT(F18,"YYYY-MM-DD")</f>
        <v>start /low /b %USERPROFILE%\Documents\GitHub\eaglep3\Utilities\DownloadLogsFromS3.py --loco 4006 --day 2017-08-06</v>
      </c>
      <c r="AN18" s="151" t="str">
        <f t="shared" ref="AN18" si="22"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</row>
    <row r="19" spans="1:91" s="1" customFormat="1" x14ac:dyDescent="0.25">
      <c r="A19" s="32" t="s">
        <v>691</v>
      </c>
      <c r="B19" s="7">
        <v>4005</v>
      </c>
      <c r="C19" s="21" t="s">
        <v>198</v>
      </c>
      <c r="D19" s="21" t="s">
        <v>875</v>
      </c>
      <c r="E19" s="13">
        <v>42953.214618055557</v>
      </c>
      <c r="F19" s="13">
        <v>42953.216840277775</v>
      </c>
      <c r="G19" s="7">
        <v>1</v>
      </c>
      <c r="H19" s="21" t="s">
        <v>377</v>
      </c>
      <c r="I19" s="13">
        <v>42953.243807870371</v>
      </c>
      <c r="J19" s="7">
        <v>0</v>
      </c>
      <c r="K19" s="89" t="str">
        <f t="shared" si="0"/>
        <v>4005/4006</v>
      </c>
      <c r="L19" s="21" t="str">
        <f>VLOOKUP(A19,'Trips&amp;Operators'!$C$1:$G$99999,5,FALSE)</f>
        <v>DAVIS WENDY</v>
      </c>
      <c r="M19" s="6">
        <f t="shared" si="1"/>
        <v>2.6967592595610768E-2</v>
      </c>
      <c r="N19" s="7">
        <f t="shared" ref="N19:N50" si="23">24*60*SUM($M19:$M19)</f>
        <v>38.833333337679505</v>
      </c>
      <c r="O19" s="7"/>
      <c r="P19" s="7"/>
      <c r="Q19" s="22"/>
      <c r="R19" s="170"/>
      <c r="S19" s="213">
        <f t="shared" ref="S19:S50" si="24">1/IF(AG19="EC",12,1)*SUM(U19:U19)</f>
        <v>1</v>
      </c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-08-06T04:09:03-0600',mode:absolute,to:'2017-08-06T06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" s="197" t="str">
        <f>IF(AA19&lt;VLOOKUP(AG19,Variables!$AC$3:$AD$8,2,FALSE),"Y","N")</f>
        <v>N</v>
      </c>
      <c r="X19" s="197">
        <f t="shared" si="17"/>
        <v>1</v>
      </c>
      <c r="Y19" s="197">
        <f t="shared" ref="Y19" si="25">RIGHT(D19,LEN(D19)-4)/10000</f>
        <v>23.299399999999999</v>
      </c>
      <c r="Z19" s="197">
        <f t="shared" si="18"/>
        <v>1.54E-2</v>
      </c>
      <c r="AA19" s="197">
        <f t="shared" si="4"/>
        <v>23.283999999999999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5"/>
        <v>106</v>
      </c>
      <c r="AE19" s="77" t="str">
        <f t="shared" si="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9" s="74" t="str">
        <f t="shared" si="7"/>
        <v>"C:\Program Files (x86)\AstroGrep\AstroGrep.exe" /e /r /s /spath="%USERPROFILE%\AppData\Local\Temp\OnboardLogs" /stypes="app*4005*20170806*" /stext=" 11:.+((SYSTEM_STATE.+slice.+state.+changed )|(ment ac)|(multiple cpu faults)|(system.+state.+changed )|(\[timeout)|(PRM\|1\|D)|(kpr)|(kdp)|(train st.+moving)|(\|lc)|(penalty))"</v>
      </c>
      <c r="AG19" s="209" t="str">
        <f t="shared" si="8"/>
        <v>EC</v>
      </c>
      <c r="AH19" s="78" t="str">
        <f t="shared" si="13"/>
        <v>"%USERPROFILE%\Documents\GitHub\eaglep3\Utilities\RefineRTDCRunTimes.py" --tripid 106-06 --locoid 4005 --swversion DE.1.0.9.0 --startMP 204:232994 --initTime 2017-08-06T05:09:03 --startdatetime 2017-08-06T05:12:15 --delay 1 --endMP 204:154 --enddatetime 2017-08-06T05:51:05 --enforcementcount 0 &gt;&gt;C:\Users\stu\Documents\GitHub\eaglep3-reporting\EC\2017-08-06-refined-times.txt</v>
      </c>
      <c r="AI1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{"issue":{"subject":"","project_id":79,"tracker_id":40,"status_id":1,"priority_id":2,"assigned_to_id":23,"start_date":"2017-08-06","description":"","custom_fields":[{"id":1,"name":"Subdivision","value":"EC"},{"id":4,"name":"Milepost","value":"0.0154"},{"id":17,"name":"Train ID","value":"106-06"},{"id":16,"name":"Locomotive ID","value":"4005"},{"id":130,"name":"Impact","value":""},{"id":150,"name":"Time of Event (Mountain Time)","value":"05:51:05"},{"id":151,"name":"Denver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5"/>
        <v>start /low /b %USERPROFILE%\Documents\GitHub\eaglep3\Utilities\DownloadLogsFromS3.py --loco 4005 --day 2017-08-06</v>
      </c>
      <c r="AN1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685</v>
      </c>
      <c r="B20" s="7">
        <v>4004</v>
      </c>
      <c r="C20" s="21" t="s">
        <v>198</v>
      </c>
      <c r="D20" s="21" t="s">
        <v>876</v>
      </c>
      <c r="E20" s="13">
        <v>42953.185486111113</v>
      </c>
      <c r="F20" s="13">
        <v>42953.187997685185</v>
      </c>
      <c r="G20" s="7">
        <v>1</v>
      </c>
      <c r="H20" s="21" t="s">
        <v>877</v>
      </c>
      <c r="I20" s="13">
        <v>42953.212141203701</v>
      </c>
      <c r="J20" s="7">
        <v>0</v>
      </c>
      <c r="K20" s="89" t="str">
        <f t="shared" si="0"/>
        <v>4003/4004</v>
      </c>
      <c r="L20" s="21" t="str">
        <f>VLOOKUP(A20,'Trips&amp;Operators'!$C$1:$G$99999,5,FALSE)</f>
        <v>NEWELL JAMES</v>
      </c>
      <c r="M20" s="6">
        <f t="shared" si="1"/>
        <v>2.414351851621177E-2</v>
      </c>
      <c r="N20" s="7">
        <f t="shared" si="23"/>
        <v>34.766666663344949</v>
      </c>
      <c r="O20" s="7"/>
      <c r="P20" s="7"/>
      <c r="Q20" s="22"/>
      <c r="R20" s="170"/>
      <c r="S20" s="213">
        <f t="shared" si="24"/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-08-06T03:27:06-0600',mode:absolute,to:'2017-08-06T06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" s="197" t="str">
        <f>IF(AA20&lt;VLOOKUP(AG20,Variables!$AC$3:$AD$8,2,FALSE),"Y","N")</f>
        <v>N</v>
      </c>
      <c r="X20" s="197">
        <f t="shared" ref="X20:X51" si="26">VALUE(LEFT(AD20,4))-VALUE(LEFT(AD19,4))</f>
        <v>1</v>
      </c>
      <c r="Y20" s="197">
        <f t="shared" ref="Y20:Y40" si="27">RIGHT(D20,LEN(D20)-4)/10000</f>
        <v>4.3700000000000003E-2</v>
      </c>
      <c r="Z20" s="197">
        <f t="shared" ref="Z20:Z40" si="28">RIGHT(H20,LEN(H20)-4)/10000</f>
        <v>23.331700000000001</v>
      </c>
      <c r="AA20" s="197">
        <f t="shared" si="4"/>
        <v>23.288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5"/>
        <v>107</v>
      </c>
      <c r="AE20" s="77" t="str">
        <f t="shared" si="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20" s="74" t="str">
        <f t="shared" si="7"/>
        <v>"C:\Program Files (x86)\AstroGrep\AstroGrep.exe" /e /r /s /spath="%USERPROFILE%\AppData\Local\Temp\OnboardLogs" /stypes="app*4004*20170806*" /stext=" 11:.+((SYSTEM_STATE.+slice.+state.+changed )|(ment ac)|(multiple cpu faults)|(system.+state.+changed )|(\[timeout)|(PRM\|1\|D)|(kpr)|(kdp)|(train st.+moving)|(\|lc)|(penalty))"</v>
      </c>
      <c r="AG20" s="209" t="str">
        <f t="shared" si="8"/>
        <v>EC</v>
      </c>
      <c r="AH20" s="78" t="str">
        <f t="shared" si="13"/>
        <v>"%USERPROFILE%\Documents\GitHub\eaglep3\Utilities\RefineRTDCRunTimes.py" --tripid 107-06 --locoid 4004 --swversion DE.1.0.9.0 --startMP 204:437 --initTime 2017-08-06T04:27:06 --startdatetime 2017-08-06T04:30:43 --delay 1 --endMP 204:233317 --enddatetime 2017-08-06T05:05:29 --enforcementcount 0 &gt;&gt;C:\Users\stu\Documents\GitHub\eaglep3-reporting\EC\2017-08-06-refined-times.txt</v>
      </c>
      <c r="AI2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{"issue":{"subject":"","project_id":79,"tracker_id":40,"status_id":1,"priority_id":2,"assigned_to_id":23,"start_date":"2017-08-06","description":"","custom_fields":[{"id":1,"name":"Subdivision","value":"EC"},{"id":4,"name":"Milepost","value":"23.3317"},{"id":17,"name":"Train ID","value":"107-06"},{"id":16,"name":"Locomotive ID","value":"4004"},{"id":130,"name":"Impact","value":""},{"id":150,"name":"Time of Event (Mountain Time)","value":"05:05:29"},{"id":151,"name":"Denver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5"/>
        <v>start /low /b %USERPROFILE%\Documents\GitHub\eaglep3\Utilities\DownloadLogsFromS3.py --loco 4004 --day 2017-08-06</v>
      </c>
      <c r="AN2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692</v>
      </c>
      <c r="B21" s="7">
        <v>4003</v>
      </c>
      <c r="C21" s="21" t="s">
        <v>198</v>
      </c>
      <c r="D21" s="21" t="s">
        <v>390</v>
      </c>
      <c r="E21" s="13">
        <v>42953.218946759262</v>
      </c>
      <c r="F21" s="13">
        <v>42953.227233796293</v>
      </c>
      <c r="G21" s="7">
        <v>0</v>
      </c>
      <c r="H21" s="21" t="s">
        <v>352</v>
      </c>
      <c r="I21" s="13">
        <v>42953.252812500003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NEWELL JAMES</v>
      </c>
      <c r="M21" s="6">
        <f t="shared" si="1"/>
        <v>2.5578703709470574E-2</v>
      </c>
      <c r="N21" s="7">
        <f t="shared" si="23"/>
        <v>36.833333341637626</v>
      </c>
      <c r="O21" s="7"/>
      <c r="P21" s="7"/>
      <c r="Q21" s="22"/>
      <c r="R21" s="170"/>
      <c r="S21" s="213">
        <f t="shared" si="24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-08-06T04:15:17-0600',mode:absolute,to:'2017-08-06T07:04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197" t="str">
        <f>IF(AA21&lt;VLOOKUP(AG21,Variables!$AC$3:$AD$8,2,FALSE),"Y","N")</f>
        <v>N</v>
      </c>
      <c r="X21" s="197">
        <f t="shared" si="26"/>
        <v>1</v>
      </c>
      <c r="Y21" s="197">
        <f t="shared" si="27"/>
        <v>23.299600000000002</v>
      </c>
      <c r="Z21" s="197">
        <f t="shared" si="28"/>
        <v>1.47E-2</v>
      </c>
      <c r="AA21" s="197">
        <f t="shared" si="4"/>
        <v>23.2849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5"/>
        <v>108</v>
      </c>
      <c r="AE21" s="77" t="str">
        <f t="shared" si="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21" s="74" t="str">
        <f t="shared" si="7"/>
        <v>"C:\Program Files (x86)\AstroGrep\AstroGrep.exe" /e /r /s /spath="%USERPROFILE%\AppData\Local\Temp\OnboardLogs" /stypes="app*4003*20170806*" /stext=" 12:.+((SYSTEM_STATE.+slice.+state.+changed )|(ment ac)|(multiple cpu faults)|(system.+state.+changed )|(\[timeout)|(PRM\|1\|D)|(kpr)|(kdp)|(train st.+moving)|(\|lc)|(penalty))"</v>
      </c>
      <c r="AG21" s="209" t="str">
        <f t="shared" si="8"/>
        <v>EC</v>
      </c>
      <c r="AH21" s="78" t="str">
        <f t="shared" si="13"/>
        <v>"%USERPROFILE%\Documents\GitHub\eaglep3\Utilities\RefineRTDCRunTimes.py" --tripid 108-06 --locoid 4003 --swversion DE.1.0.9.0 --startMP 204:232996 --initTime 2017-08-06T05:15:17 --startdatetime 2017-08-06T05:27:13 --delay 0 --endMP 204:147 --enddatetime 2017-08-06T06:04:03 --enforcementcount 0 &gt;&gt;C:\Users\stu\Documents\GitHub\eaglep3-reporting\EC\2017-08-06-refined-times.txt</v>
      </c>
      <c r="AI21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{"issue":{"subject":"","project_id":79,"tracker_id":40,"status_id":1,"priority_id":2,"assigned_to_id":23,"start_date":"2017-08-06","description":"","custom_fields":[{"id":1,"name":"Subdivision","value":"EC"},{"id":4,"name":"Milepost","value":"0.0147"},{"id":17,"name":"Train ID","value":"108-06"},{"id":16,"name":"Locomotive ID","value":"4003"},{"id":130,"name":"Impact","value":""},{"id":150,"name":"Time of Event (Mountain Time)","value":"06:04:03"},{"id":151,"name":"Denver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5"/>
        <v>start /low /b %USERPROFILE%\Documents\GitHub\eaglep3\Utilities\DownloadLogsFromS3.py --loco 4003 --day 2017-08-06</v>
      </c>
      <c r="AN21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687</v>
      </c>
      <c r="B22" s="7">
        <v>4066</v>
      </c>
      <c r="C22" s="21" t="s">
        <v>198</v>
      </c>
      <c r="D22" s="21" t="s">
        <v>452</v>
      </c>
      <c r="E22" s="13">
        <v>42953.193067129629</v>
      </c>
      <c r="F22" s="13">
        <v>42953.198437500003</v>
      </c>
      <c r="G22" s="7">
        <v>2</v>
      </c>
      <c r="H22" s="21" t="s">
        <v>878</v>
      </c>
      <c r="I22" s="13">
        <v>42953.223124999997</v>
      </c>
      <c r="J22" s="7">
        <v>0</v>
      </c>
      <c r="K22" s="89" t="str">
        <f t="shared" si="0"/>
        <v>4065/4066</v>
      </c>
      <c r="L22" s="21" t="str">
        <f>VLOOKUP(A22,'Trips&amp;Operators'!$C$1:$G$99999,5,FALSE)</f>
        <v>GEBRETEKLE DAGNEW</v>
      </c>
      <c r="M22" s="6">
        <f t="shared" si="1"/>
        <v>2.4687499993888196E-2</v>
      </c>
      <c r="N22" s="7">
        <f t="shared" si="23"/>
        <v>35.549999991199002</v>
      </c>
      <c r="O22" s="7"/>
      <c r="P22" s="7"/>
      <c r="Q22" s="22"/>
      <c r="R22" s="170"/>
      <c r="S22" s="213">
        <f t="shared" si="24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-08-06T03:38:01-0600',mode:absolute,to:'2017-08-06T06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" s="197" t="str">
        <f>IF(AA22&lt;VLOOKUP(AG22,Variables!$AC$3:$AD$8,2,FALSE),"Y","N")</f>
        <v>N</v>
      </c>
      <c r="X22" s="197">
        <f t="shared" si="26"/>
        <v>1</v>
      </c>
      <c r="Y22" s="197">
        <f t="shared" si="27"/>
        <v>4.5699999999999998E-2</v>
      </c>
      <c r="Z22" s="197">
        <f t="shared" si="28"/>
        <v>23.331099999999999</v>
      </c>
      <c r="AA22" s="197">
        <f t="shared" si="4"/>
        <v>23.285399999999999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5"/>
        <v>109</v>
      </c>
      <c r="AE22" s="77" t="str">
        <f t="shared" si="6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22" s="74" t="str">
        <f t="shared" si="7"/>
        <v>"C:\Program Files (x86)\AstroGrep\AstroGrep.exe" /e /r /s /spath="%USERPROFILE%\AppData\Local\Temp\OnboardLogs" /stypes="app*4066*20170806*" /stext=" 11:.+((SYSTEM_STATE.+slice.+state.+changed )|(ment ac)|(multiple cpu faults)|(system.+state.+changed )|(\[timeout)|(PRM\|1\|D)|(kpr)|(kdp)|(train st.+moving)|(\|lc)|(penalty))"</v>
      </c>
      <c r="AG22" s="209" t="str">
        <f t="shared" si="8"/>
        <v>EC</v>
      </c>
      <c r="AH22" s="78" t="str">
        <f t="shared" si="13"/>
        <v>"%USERPROFILE%\Documents\GitHub\eaglep3\Utilities\RefineRTDCRunTimes.py" --tripid 109-06 --locoid 4066 --swversion DE.1.0.9.0 --startMP 204:457 --initTime 2017-08-06T04:38:01 --startdatetime 2017-08-06T04:45:45 --delay 2 --endMP 204:233311 --enddatetime 2017-08-06T05:21:18 --enforcementcount 0 &gt;&gt;C:\Users\stu\Documents\GitHub\eaglep3-reporting\EC\2017-08-06-refined-times.txt</v>
      </c>
      <c r="AI2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{"issue":{"subject":"","project_id":79,"tracker_id":40,"status_id":1,"priority_id":2,"assigned_to_id":23,"start_date":"2017-08-06","description":"","custom_fields":[{"id":1,"name":"Subdivision","value":"EC"},{"id":4,"name":"Milepost","value":"23.3311"},{"id":17,"name":"Train ID","value":"109-06"},{"id":16,"name":"Locomotive ID","value":"4066"},{"id":130,"name":"Impact","value":""},{"id":150,"name":"Time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5"/>
        <v>start /low /b %USERPROFILE%\Documents\GitHub\eaglep3\Utilities\DownloadLogsFromS3.py --loco 4066 --day 2017-08-06</v>
      </c>
      <c r="AN2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638</v>
      </c>
      <c r="B23" s="7">
        <v>4065</v>
      </c>
      <c r="C23" s="21" t="s">
        <v>198</v>
      </c>
      <c r="D23" s="21" t="s">
        <v>516</v>
      </c>
      <c r="E23" s="13">
        <v>42953.224236111113</v>
      </c>
      <c r="F23" s="13">
        <v>42953.237685185188</v>
      </c>
      <c r="G23" s="7">
        <v>1</v>
      </c>
      <c r="H23" s="21" t="s">
        <v>879</v>
      </c>
      <c r="I23" s="13">
        <v>42953.263611111113</v>
      </c>
      <c r="J23" s="7">
        <v>0</v>
      </c>
      <c r="K23" s="89" t="str">
        <f t="shared" si="0"/>
        <v>4065/4066</v>
      </c>
      <c r="L23" s="21" t="str">
        <f>VLOOKUP(A23,'Trips&amp;Operators'!$C$1:$G$99999,5,FALSE)</f>
        <v>GEBRETEKLE DAGNEW</v>
      </c>
      <c r="M23" s="6">
        <f t="shared" si="1"/>
        <v>2.5925925925548654E-2</v>
      </c>
      <c r="N23" s="7">
        <f t="shared" si="23"/>
        <v>37.333333332790062</v>
      </c>
      <c r="O23" s="7"/>
      <c r="P23" s="7"/>
      <c r="Q23" s="22"/>
      <c r="R23" s="170"/>
      <c r="S23" s="213">
        <f t="shared" si="24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-08-06T04:22:54-0600',mode:absolute,to:'2017-08-06T07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" s="197" t="str">
        <f>IF(AA23&lt;VLOOKUP(AG23,Variables!$AC$3:$AD$8,2,FALSE),"Y","N")</f>
        <v>N</v>
      </c>
      <c r="X23" s="197">
        <f t="shared" si="26"/>
        <v>1</v>
      </c>
      <c r="Y23" s="197">
        <f t="shared" si="27"/>
        <v>23.296900000000001</v>
      </c>
      <c r="Z23" s="197">
        <f t="shared" si="28"/>
        <v>2.0899999999999998E-2</v>
      </c>
      <c r="AA23" s="197">
        <f t="shared" si="4"/>
        <v>23.276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5"/>
        <v>110</v>
      </c>
      <c r="AE23" s="77" t="str">
        <f t="shared" si="6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23" s="74" t="str">
        <f t="shared" si="7"/>
        <v>"C:\Program Files (x86)\AstroGrep\AstroGrep.exe" /e /r /s /spath="%USERPROFILE%\AppData\Local\Temp\OnboardLogs" /stypes="app*4065*20170806*" /stext=" 12:.+((SYSTEM_STATE.+slice.+state.+changed )|(ment ac)|(multiple cpu faults)|(system.+state.+changed )|(\[timeout)|(PRM\|1\|D)|(kpr)|(kdp)|(train st.+moving)|(\|lc)|(penalty))"</v>
      </c>
      <c r="AG23" s="209" t="str">
        <f t="shared" si="8"/>
        <v>EC</v>
      </c>
      <c r="AH23" s="78" t="str">
        <f t="shared" si="13"/>
        <v>"%USERPROFILE%\Documents\GitHub\eaglep3\Utilities\RefineRTDCRunTimes.py" --tripid 110-06 --locoid 4065 --swversion DE.1.0.9.0 --startMP 204:232969 --initTime 2017-08-06T05:22:54 --startdatetime 2017-08-06T05:42:16 --delay 1 --endMP 204:209 --enddatetime 2017-08-06T06:19:36 --enforcementcount 0 &gt;&gt;C:\Users\stu\Documents\GitHub\eaglep3-reporting\EC\2017-08-06-refined-times.txt</v>
      </c>
      <c r="AI2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{"issue":{"subject":"","project_id":79,"tracker_id":40,"status_id":1,"priority_id":2,"assigned_to_id":23,"start_date":"2017-08-06","description":"","custom_fields":[{"id":1,"name":"Subdivision","value":"EC"},{"id":4,"name":"Milepost","value":"0.0209"},{"id":17,"name":"Train ID","value":"110-06"},{"id":16,"name":"Locomotive ID","value":"4065"},{"id":130,"name":"Impact","value":""},{"id":150,"name":"Time of Event (Mountain Time)","value":"06:19:36"},{"id":151,"name":"Denver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5"/>
        <v>start /low /b %USERPROFILE%\Documents\GitHub\eaglep3\Utilities\DownloadLogsFromS3.py --loco 4065 --day 2017-08-06</v>
      </c>
      <c r="AN2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689</v>
      </c>
      <c r="B24" s="7">
        <v>4032</v>
      </c>
      <c r="C24" s="21" t="s">
        <v>198</v>
      </c>
      <c r="D24" s="21" t="s">
        <v>880</v>
      </c>
      <c r="E24" s="13">
        <v>42953.206250000003</v>
      </c>
      <c r="F24" s="13">
        <v>42953.208854166667</v>
      </c>
      <c r="G24" s="7">
        <v>1</v>
      </c>
      <c r="H24" s="21" t="s">
        <v>618</v>
      </c>
      <c r="I24" s="13">
        <v>42953.234722222223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MAELZER KURT</v>
      </c>
      <c r="M24" s="6">
        <f t="shared" si="1"/>
        <v>2.5868055556202307E-2</v>
      </c>
      <c r="N24" s="7">
        <f t="shared" si="23"/>
        <v>37.250000000931323</v>
      </c>
      <c r="O24" s="7"/>
      <c r="P24" s="7"/>
      <c r="Q24" s="22"/>
      <c r="R24" s="170"/>
      <c r="S24" s="213">
        <f t="shared" si="24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-08-06T03:57:00-0600',mode:absolute,to:'2017-08-06T06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" s="197" t="str">
        <f>IF(AA24&lt;VLOOKUP(AG24,Variables!$AC$3:$AD$8,2,FALSE),"Y","N")</f>
        <v>N</v>
      </c>
      <c r="X24" s="197">
        <f t="shared" si="26"/>
        <v>1</v>
      </c>
      <c r="Y24" s="197">
        <f t="shared" si="27"/>
        <v>4.07E-2</v>
      </c>
      <c r="Z24" s="197">
        <f t="shared" si="28"/>
        <v>23.3325</v>
      </c>
      <c r="AA24" s="197">
        <f t="shared" si="4"/>
        <v>23.291799999999999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5"/>
        <v>111</v>
      </c>
      <c r="AE24" s="77" t="str">
        <f t="shared" si="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24" s="74" t="str">
        <f t="shared" si="7"/>
        <v>"C:\Program Files (x86)\AstroGrep\AstroGrep.exe" /e /r /s /spath="%USERPROFILE%\AppData\Local\Temp\OnboardLogs" /stypes="app*4032*20170806*" /stext=" 11:.+((SYSTEM_STATE.+slice.+state.+changed )|(ment ac)|(multiple cpu faults)|(system.+state.+changed )|(\[timeout)|(PRM\|1\|D)|(kpr)|(kdp)|(train st.+moving)|(\|lc)|(penalty))"</v>
      </c>
      <c r="AG24" s="209" t="str">
        <f t="shared" si="8"/>
        <v>EC</v>
      </c>
      <c r="AH24" s="78" t="str">
        <f t="shared" si="13"/>
        <v>"%USERPROFILE%\Documents\GitHub\eaglep3\Utilities\RefineRTDCRunTimes.py" --tripid 111-06 --locoid 4032 --swversion DE.1.0.9.0 --startMP 204:407 --initTime 2017-08-06T04:57:00 --startdatetime 2017-08-06T05:00:45 --delay 1 --endMP 204:233325 --enddatetime 2017-08-06T05:38:00 --enforcementcount 0 &gt;&gt;C:\Users\stu\Documents\GitHub\eaglep3-reporting\EC\2017-08-06-refined-times.txt</v>
      </c>
      <c r="AI2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{"issue":{"subject":"","project_id":79,"tracker_id":40,"status_id":1,"priority_id":2,"assigned_to_id":23,"start_date":"2017-08-06","description":"","custom_fields":[{"id":1,"name":"Subdivision","value":"EC"},{"id":4,"name":"Milepost","value":"23.3325"},{"id":17,"name":"Train ID","value":"111-06"},{"id":16,"name":"Locomotive ID","value":"4032"},{"id":130,"name":"Impact","value":""},{"id":150,"name":"Time of Event (Mountain Time)","value":"05:38:00"},{"id":151,"name":"Denver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5"/>
        <v>start /low /b %USERPROFILE%\Documents\GitHub\eaglep3\Utilities\DownloadLogsFromS3.py --loco 4032 --day 2017-08-06</v>
      </c>
      <c r="AN2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700</v>
      </c>
      <c r="B25" s="7">
        <v>4031</v>
      </c>
      <c r="C25" s="21" t="s">
        <v>198</v>
      </c>
      <c r="D25" s="21" t="s">
        <v>525</v>
      </c>
      <c r="E25" s="13">
        <v>42953.242407407408</v>
      </c>
      <c r="F25" s="13">
        <v>42953.248159722221</v>
      </c>
      <c r="G25" s="7">
        <v>1</v>
      </c>
      <c r="H25" s="21" t="s">
        <v>881</v>
      </c>
      <c r="I25" s="13">
        <v>42953.274224537039</v>
      </c>
      <c r="J25" s="7">
        <v>0</v>
      </c>
      <c r="K25" s="89" t="str">
        <f t="shared" si="0"/>
        <v>4031/4032</v>
      </c>
      <c r="L25" s="21" t="str">
        <f>VLOOKUP(A25,'Trips&amp;Operators'!$C$1:$G$99999,5,FALSE)</f>
        <v>MAELZER KURT</v>
      </c>
      <c r="M25" s="6">
        <f t="shared" si="1"/>
        <v>2.6064814817800652E-2</v>
      </c>
      <c r="N25" s="7">
        <f t="shared" si="23"/>
        <v>37.533333337632939</v>
      </c>
      <c r="O25" s="7"/>
      <c r="P25" s="7"/>
      <c r="Q25" s="22"/>
      <c r="R25" s="170"/>
      <c r="S25" s="213">
        <f t="shared" si="24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-08-06T04:49:04-0600',mode:absolute,to:'2017-08-06T07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5" s="197" t="str">
        <f>IF(AA25&lt;VLOOKUP(AG25,Variables!$AC$3:$AD$8,2,FALSE),"Y","N")</f>
        <v>N</v>
      </c>
      <c r="X25" s="197">
        <f t="shared" si="26"/>
        <v>1</v>
      </c>
      <c r="Y25" s="197">
        <f t="shared" si="27"/>
        <v>23.3004</v>
      </c>
      <c r="Z25" s="197">
        <f t="shared" si="28"/>
        <v>1.2999999999999999E-2</v>
      </c>
      <c r="AA25" s="197">
        <f t="shared" si="4"/>
        <v>23.287399999999998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5"/>
        <v>112</v>
      </c>
      <c r="AE25" s="77" t="str">
        <f t="shared" si="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25" s="74" t="str">
        <f t="shared" si="7"/>
        <v>"C:\Program Files (x86)\AstroGrep\AstroGrep.exe" /e /r /s /spath="%USERPROFILE%\AppData\Local\Temp\OnboardLogs" /stypes="app*4031*20170806*" /stext=" 12:.+((SYSTEM_STATE.+slice.+state.+changed )|(ment ac)|(multiple cpu faults)|(system.+state.+changed )|(\[timeout)|(PRM\|1\|D)|(kpr)|(kdp)|(train st.+moving)|(\|lc)|(penalty))"</v>
      </c>
      <c r="AG25" s="209" t="str">
        <f t="shared" si="8"/>
        <v>EC</v>
      </c>
      <c r="AH25" s="78" t="str">
        <f t="shared" si="13"/>
        <v>"%USERPROFILE%\Documents\GitHub\eaglep3\Utilities\RefineRTDCRunTimes.py" --tripid 112-06 --locoid 4031 --swversion DE.1.0.9.0 --startMP 204:233004 --initTime 2017-08-06T05:49:04 --startdatetime 2017-08-06T05:57:21 --delay 1 --endMP 204:130 --enddatetime 2017-08-06T06:34:53 --enforcementcount 0 &gt;&gt;C:\Users\stu\Documents\GitHub\eaglep3-reporting\EC\2017-08-06-refined-times.txt</v>
      </c>
      <c r="AI2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{"issue":{"subject":"","project_id":79,"tracker_id":40,"status_id":1,"priority_id":2,"assigned_to_id":23,"start_date":"2017-08-06","description":"","custom_fields":[{"id":1,"name":"Subdivision","value":"EC"},{"id":4,"name":"Milepost","value":"0.013"},{"id":17,"name":"Train ID","value":"112-06"},{"id":16,"name":"Locomotive ID","value":"4031"},{"id":130,"name":"Impact","value":""},{"id":150,"name":"Time of Event (Mountain Time)","value":"06:34:53"},{"id":151,"name":"Denver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5"/>
        <v>start /low /b %USERPROFILE%\Documents\GitHub\eaglep3\Utilities\DownloadLogsFromS3.py --loco 4031 --day 2017-08-06</v>
      </c>
      <c r="AN2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690</v>
      </c>
      <c r="B26" s="7">
        <v>4002</v>
      </c>
      <c r="C26" s="21" t="s">
        <v>198</v>
      </c>
      <c r="D26" s="21" t="s">
        <v>450</v>
      </c>
      <c r="E26" s="13">
        <v>42953.213888888888</v>
      </c>
      <c r="F26" s="13">
        <v>42953.219282407408</v>
      </c>
      <c r="G26" s="7">
        <v>1</v>
      </c>
      <c r="H26" s="21" t="s">
        <v>882</v>
      </c>
      <c r="I26" s="13">
        <v>42953.244016203702</v>
      </c>
      <c r="J26" s="7">
        <v>0</v>
      </c>
      <c r="K26" s="89" t="str">
        <f t="shared" si="0"/>
        <v>4001/4002</v>
      </c>
      <c r="L26" s="21" t="str">
        <f>VLOOKUP(A26,'Trips&amp;Operators'!$C$1:$G$99999,5,FALSE)</f>
        <v>GUZMAN DANNY</v>
      </c>
      <c r="M26" s="6">
        <f t="shared" si="1"/>
        <v>2.4733796293730848E-2</v>
      </c>
      <c r="N26" s="7">
        <f t="shared" si="23"/>
        <v>35.61666666297242</v>
      </c>
      <c r="O26" s="7"/>
      <c r="P26" s="7"/>
      <c r="Q26" s="22"/>
      <c r="R26" s="170"/>
      <c r="S26" s="213">
        <f t="shared" si="24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-08-06T04:08:00-0600',mode:absolute,to:'2017-08-06T06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197" t="str">
        <f>IF(AA26&lt;VLOOKUP(AG26,Variables!$AC$3:$AD$8,2,FALSE),"Y","N")</f>
        <v>N</v>
      </c>
      <c r="X26" s="197">
        <f t="shared" si="26"/>
        <v>1</v>
      </c>
      <c r="Y26" s="197">
        <f t="shared" si="27"/>
        <v>4.3799999999999999E-2</v>
      </c>
      <c r="Z26" s="197">
        <f t="shared" si="28"/>
        <v>23.327999999999999</v>
      </c>
      <c r="AA26" s="197">
        <f t="shared" si="4"/>
        <v>23.284199999999998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5"/>
        <v>113</v>
      </c>
      <c r="AE26" s="77" t="str">
        <f t="shared" si="6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26" s="74" t="str">
        <f t="shared" si="7"/>
        <v>"C:\Program Files (x86)\AstroGrep\AstroGrep.exe" /e /r /s /spath="%USERPROFILE%\AppData\Local\Temp\OnboardLogs" /stypes="app*4002*20170806*" /stext=" 11:.+((SYSTEM_STATE.+slice.+state.+changed )|(ment ac)|(multiple cpu faults)|(system.+state.+changed )|(\[timeout)|(PRM\|1\|D)|(kpr)|(kdp)|(train st.+moving)|(\|lc)|(penalty))"</v>
      </c>
      <c r="AG26" s="209" t="str">
        <f t="shared" si="8"/>
        <v>EC</v>
      </c>
      <c r="AH26" s="78" t="str">
        <f t="shared" si="13"/>
        <v>"%USERPROFILE%\Documents\GitHub\eaglep3\Utilities\RefineRTDCRunTimes.py" --tripid 113-06 --locoid 4002 --swversion DE.1.0.9.0 --startMP 204:438 --initTime 2017-08-06T05:08:00 --startdatetime 2017-08-06T05:15:46 --delay 1 --endMP 204:233280 --enddatetime 2017-08-06T05:51:23 --enforcementcount 0 &gt;&gt;C:\Users\stu\Documents\GitHub\eaglep3-reporting\EC\2017-08-06-refined-times.txt</v>
      </c>
      <c r="AI2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{"issue":{"subject":"","project_id":79,"tracker_id":40,"status_id":1,"priority_id":2,"assigned_to_id":23,"start_date":"2017-08-06","description":"","custom_fields":[{"id":1,"name":"Subdivision","value":"EC"},{"id":4,"name":"Milepost","value":"23.328"},{"id":17,"name":"Train ID","value":"113-06"},{"id":16,"name":"Locomotive ID","value":"4002"},{"id":130,"name":"Impact","value":""},{"id":150,"name":"Time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5"/>
        <v>start /low /b %USERPROFILE%\Documents\GitHub\eaglep3\Utilities\DownloadLogsFromS3.py --loco 4002 --day 2017-08-06</v>
      </c>
      <c r="AN2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4001</v>
      </c>
      <c r="C27" s="21" t="s">
        <v>198</v>
      </c>
      <c r="D27" s="21" t="s">
        <v>496</v>
      </c>
      <c r="E27" s="13">
        <v>42953.24590277778</v>
      </c>
      <c r="F27" s="13">
        <v>42953.25849537037</v>
      </c>
      <c r="G27" s="7">
        <v>1</v>
      </c>
      <c r="H27" s="21" t="s">
        <v>444</v>
      </c>
      <c r="I27" s="13">
        <v>42953.285601851851</v>
      </c>
      <c r="J27" s="7">
        <v>0</v>
      </c>
      <c r="K27" s="89" t="str">
        <f t="shared" si="0"/>
        <v>4001/4002</v>
      </c>
      <c r="L27" s="21" t="str">
        <f>VLOOKUP(A27,'Trips&amp;Operators'!$C$1:$G$99999,5,FALSE)</f>
        <v>GUZMAN DANNY</v>
      </c>
      <c r="M27" s="6">
        <f t="shared" si="1"/>
        <v>2.7106481480586808E-2</v>
      </c>
      <c r="N27" s="7">
        <f t="shared" si="23"/>
        <v>39.033333332045004</v>
      </c>
      <c r="O27" s="7"/>
      <c r="P27" s="7"/>
      <c r="Q27" s="22"/>
      <c r="R27" s="170"/>
      <c r="S27" s="213">
        <f t="shared" si="24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-08-06T04:54:06-0600',mode:absolute,to:'2017-08-06T07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197" t="str">
        <f>IF(AA27&lt;VLOOKUP(AG27,Variables!$AC$3:$AD$8,2,FALSE),"Y","N")</f>
        <v>N</v>
      </c>
      <c r="X27" s="197">
        <f t="shared" si="26"/>
        <v>1</v>
      </c>
      <c r="Y27" s="197">
        <f t="shared" si="27"/>
        <v>23.2973</v>
      </c>
      <c r="Z27" s="197">
        <f t="shared" si="28"/>
        <v>1.52E-2</v>
      </c>
      <c r="AA27" s="197">
        <f t="shared" si="4"/>
        <v>23.2821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5"/>
        <v>114</v>
      </c>
      <c r="AE27" s="77" t="str">
        <f t="shared" si="6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27" s="74" t="str">
        <f t="shared" si="7"/>
        <v>"C:\Program Files (x86)\AstroGrep\AstroGrep.exe" /e /r /s /spath="%USERPROFILE%\AppData\Local\Temp\OnboardLogs" /stypes="app*4001*20170806*" /stext=" 12:.+((SYSTEM_STATE.+slice.+state.+changed )|(ment ac)|(multiple cpu faults)|(system.+state.+changed )|(\[timeout)|(PRM\|1\|D)|(kpr)|(kdp)|(train st.+moving)|(\|lc)|(penalty))"</v>
      </c>
      <c r="AG27" s="209" t="str">
        <f t="shared" si="8"/>
        <v>EC</v>
      </c>
      <c r="AH27" s="78" t="str">
        <f t="shared" si="13"/>
        <v>"%USERPROFILE%\Documents\GitHub\eaglep3\Utilities\RefineRTDCRunTimes.py" --tripid 114-06 --locoid 4001 --swversion DE.1.0.9.0 --startMP 204:232973 --initTime 2017-08-06T05:54:06 --startdatetime 2017-08-06T06:12:14 --delay 1 --endMP 204:152 --enddatetime 2017-08-06T06:51:16 --enforcementcount 0 &gt;&gt;C:\Users\stu\Documents\GitHub\eaglep3-reporting\EC\2017-08-06-refined-times.txt</v>
      </c>
      <c r="AI2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ID","value":"114-06"},{"id":16,"name":"Locomotive ID","value":"4001"},{"id":130,"name":"Impact","value":""},{"id":150,"name":"Time of Event (Mountain Time)","value":"06:51:16"},{"id":151,"name":"Denver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5"/>
        <v>start /low /b %USERPROFILE%\Documents\GitHub\eaglep3\Utilities\DownloadLogsFromS3.py --loco 4001 --day 2017-08-06</v>
      </c>
      <c r="AN2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697</v>
      </c>
      <c r="B28" s="7">
        <v>4044</v>
      </c>
      <c r="C28" s="21" t="s">
        <v>198</v>
      </c>
      <c r="D28" s="21" t="s">
        <v>405</v>
      </c>
      <c r="E28" s="13">
        <v>42953.228726851848</v>
      </c>
      <c r="F28" s="13">
        <v>42953.229930555557</v>
      </c>
      <c r="G28" s="7">
        <v>1</v>
      </c>
      <c r="H28" s="21" t="s">
        <v>883</v>
      </c>
      <c r="I28" s="13">
        <v>42953.255543981482</v>
      </c>
      <c r="J28" s="7">
        <v>0</v>
      </c>
      <c r="K28" s="89" t="str">
        <f t="shared" si="0"/>
        <v>4043/4044</v>
      </c>
      <c r="L28" s="21" t="str">
        <f>VLOOKUP(A28,'Trips&amp;Operators'!$C$1:$G$99999,5,FALSE)</f>
        <v>WILLIAMS DONTE</v>
      </c>
      <c r="M28" s="6">
        <f t="shared" si="1"/>
        <v>2.5613425925257616E-2</v>
      </c>
      <c r="N28" s="7">
        <f t="shared" si="23"/>
        <v>36.883333332370967</v>
      </c>
      <c r="O28" s="7"/>
      <c r="P28" s="7"/>
      <c r="Q28" s="22"/>
      <c r="R28" s="170"/>
      <c r="S28" s="213">
        <f t="shared" si="24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-08-06T04:29:22-0600',mode:absolute,to:'2017-08-06T07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8" s="197" t="str">
        <f>IF(AA28&lt;VLOOKUP(AG28,Variables!$AC$3:$AD$8,2,FALSE),"Y","N")</f>
        <v>N</v>
      </c>
      <c r="X28" s="197">
        <f t="shared" si="26"/>
        <v>1</v>
      </c>
      <c r="Y28" s="197">
        <f t="shared" si="27"/>
        <v>4.58E-2</v>
      </c>
      <c r="Z28" s="197">
        <f t="shared" si="28"/>
        <v>23.327400000000001</v>
      </c>
      <c r="AA28" s="197">
        <f t="shared" si="4"/>
        <v>23.281600000000001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5"/>
        <v>115</v>
      </c>
      <c r="AE28" s="77" t="str">
        <f t="shared" si="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28" s="74" t="str">
        <f t="shared" si="7"/>
        <v>"C:\Program Files (x86)\AstroGrep\AstroGrep.exe" /e /r /s /spath="%USERPROFILE%\AppData\Local\Temp\OnboardLogs" /stypes="app*4044*20170806*" /stext=" 12:.+((SYSTEM_STATE.+slice.+state.+changed )|(ment ac)|(multiple cpu faults)|(system.+state.+changed )|(\[timeout)|(PRM\|1\|D)|(kpr)|(kdp)|(train st.+moving)|(\|lc)|(penalty))"</v>
      </c>
      <c r="AG28" s="209" t="str">
        <f t="shared" si="8"/>
        <v>EC</v>
      </c>
      <c r="AH28" s="78" t="str">
        <f t="shared" si="13"/>
        <v>"%USERPROFILE%\Documents\GitHub\eaglep3\Utilities\RefineRTDCRunTimes.py" --tripid 115-06 --locoid 4044 --swversion DE.1.0.9.0 --startMP 204:458 --initTime 2017-08-06T05:29:22 --startdatetime 2017-08-06T05:31:06 --delay 1 --endMP 204:233274 --enddatetime 2017-08-06T06:07:59 --enforcementcount 0 &gt;&gt;C:\Users\stu\Documents\GitHub\eaglep3-reporting\EC\2017-08-06-refined-times.txt</v>
      </c>
      <c r="AI28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{"issue":{"subject":"","project_id":79,"tracker_id":40,"status_id":1,"priority_id":2,"assigned_to_id":23,"start_date":"2017-08-06","description":"","custom_fields":[{"id":1,"name":"Subdivision","value":"EC"},{"id":4,"name":"Milepost","value":"23.3274"},{"id":17,"name":"Train ID","value":"115-06"},{"id":16,"name":"Locomotive ID","value":"4044"},{"id":130,"name":"Impact","value":""},{"id":150,"name":"Time of Event (Mountain Time)","value":"06:07:59"},{"id":151,"name":"Denver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5"/>
        <v>start /low /b %USERPROFILE%\Documents\GitHub\eaglep3\Utilities\DownloadLogsFromS3.py --loco 4044 --day 2017-08-06</v>
      </c>
      <c r="AN28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707</v>
      </c>
      <c r="B29" s="7">
        <v>4043</v>
      </c>
      <c r="C29" s="21" t="s">
        <v>198</v>
      </c>
      <c r="D29" s="21" t="s">
        <v>498</v>
      </c>
      <c r="E29" s="13">
        <v>42953.265601851854</v>
      </c>
      <c r="F29" s="13">
        <v>42953.269050925926</v>
      </c>
      <c r="G29" s="7">
        <v>1</v>
      </c>
      <c r="H29" s="21" t="s">
        <v>517</v>
      </c>
      <c r="I29" s="13">
        <v>42953.295532407406</v>
      </c>
      <c r="J29" s="7">
        <v>0</v>
      </c>
      <c r="K29" s="89" t="str">
        <f t="shared" si="0"/>
        <v>4043/4044</v>
      </c>
      <c r="L29" s="21" t="str">
        <f>VLOOKUP(A29,'Trips&amp;Operators'!$C$1:$G$99999,5,FALSE)</f>
        <v>WILLIAMS DONTE</v>
      </c>
      <c r="M29" s="6">
        <f t="shared" si="1"/>
        <v>2.6481481480004732E-2</v>
      </c>
      <c r="N29" s="7">
        <f t="shared" si="23"/>
        <v>38.133333331206813</v>
      </c>
      <c r="O29" s="7"/>
      <c r="P29" s="7"/>
      <c r="Q29" s="22"/>
      <c r="R29" s="170"/>
      <c r="S29" s="213">
        <f t="shared" si="24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-08-06T05:22:28-0600',mode:absolute,to:'2017-08-06T08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9" s="197" t="str">
        <f>IF(AA29&lt;VLOOKUP(AG29,Variables!$AC$3:$AD$8,2,FALSE),"Y","N")</f>
        <v>N</v>
      </c>
      <c r="X29" s="197">
        <f t="shared" si="26"/>
        <v>1</v>
      </c>
      <c r="Y29" s="197">
        <f t="shared" si="27"/>
        <v>23.3</v>
      </c>
      <c r="Z29" s="197">
        <f t="shared" si="28"/>
        <v>1.6E-2</v>
      </c>
      <c r="AA29" s="197">
        <f t="shared" si="4"/>
        <v>23.284000000000002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5"/>
        <v>116</v>
      </c>
      <c r="AE29" s="77" t="str">
        <f t="shared" si="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29" s="74" t="str">
        <f t="shared" si="7"/>
        <v>"C:\Program Files (x86)\AstroGrep\AstroGrep.exe" /e /r /s /spath="%USERPROFILE%\AppData\Local\Temp\OnboardLogs" /stypes="app*4043*20170806*" /stext=" 13:.+((SYSTEM_STATE.+slice.+state.+changed )|(ment ac)|(multiple cpu faults)|(system.+state.+changed )|(\[timeout)|(PRM\|1\|D)|(kpr)|(kdp)|(train st.+moving)|(\|lc)|(penalty))"</v>
      </c>
      <c r="AG29" s="209" t="str">
        <f t="shared" si="8"/>
        <v>EC</v>
      </c>
      <c r="AH29" s="78" t="str">
        <f t="shared" si="13"/>
        <v>"%USERPROFILE%\Documents\GitHub\eaglep3\Utilities\RefineRTDCRunTimes.py" --tripid 116-06 --locoid 4043 --swversion DE.1.0.9.0 --startMP 204:233000 --initTime 2017-08-06T06:22:28 --startdatetime 2017-08-06T06:27:26 --delay 1 --endMP 204:160 --enddatetime 2017-08-06T07:05:34 --enforcementcount 0 &gt;&gt;C:\Users\stu\Documents\GitHub\eaglep3-reporting\EC\2017-08-06-refined-times.txt</v>
      </c>
      <c r="AI2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{"issue":{"subject":"","project_id":79,"tracker_id":40,"status_id":1,"priority_id":2,"assigned_to_id":23,"start_date":"2017-08-06","description":"","custom_fields":[{"id":1,"name":"Subdivision","value":"EC"},{"id":4,"name":"Milepost","value":"0.016"},{"id":17,"name":"Train ID","value":"116-06"},{"id":16,"name":"Locomotive ID","value":"4043"},{"id":130,"name":"Impact","value":""},{"id":150,"name":"Time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5"/>
        <v>start /low /b %USERPROFILE%\Documents\GitHub\eaglep3\Utilities\DownloadLogsFromS3.py --loco 4043 --day 2017-08-06</v>
      </c>
      <c r="AN2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699</v>
      </c>
      <c r="B30" s="7">
        <v>4030</v>
      </c>
      <c r="C30" s="21" t="s">
        <v>198</v>
      </c>
      <c r="D30" s="21" t="s">
        <v>340</v>
      </c>
      <c r="E30" s="13">
        <v>42953.234675925924</v>
      </c>
      <c r="F30" s="13">
        <v>42953.240266203706</v>
      </c>
      <c r="G30" s="7">
        <v>2</v>
      </c>
      <c r="H30" s="21" t="s">
        <v>884</v>
      </c>
      <c r="I30" s="13">
        <v>42953.264386574076</v>
      </c>
      <c r="J30" s="7">
        <v>0</v>
      </c>
      <c r="K30" s="89" t="str">
        <f t="shared" si="0"/>
        <v>4029/4030</v>
      </c>
      <c r="L30" s="21" t="str">
        <f>VLOOKUP(A30,'Trips&amp;Operators'!$C$1:$G$99999,5,FALSE)</f>
        <v>MACDONALD THOMAS</v>
      </c>
      <c r="M30" s="6">
        <f t="shared" si="1"/>
        <v>2.4120370369928423E-2</v>
      </c>
      <c r="N30" s="7">
        <f t="shared" si="23"/>
        <v>34.73333333269693</v>
      </c>
      <c r="O30" s="7"/>
      <c r="P30" s="7"/>
      <c r="Q30" s="22"/>
      <c r="R30" s="170"/>
      <c r="S30" s="213">
        <f t="shared" si="24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-08-06T04:37:56-0600',mode:absolute,to:'2017-08-06T07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97" t="str">
        <f>IF(AA30&lt;VLOOKUP(AG30,Variables!$AC$3:$AD$8,2,FALSE),"Y","N")</f>
        <v>N</v>
      </c>
      <c r="X30" s="197">
        <f t="shared" si="26"/>
        <v>1</v>
      </c>
      <c r="Y30" s="197">
        <f t="shared" si="27"/>
        <v>4.4600000000000001E-2</v>
      </c>
      <c r="Z30" s="197">
        <f t="shared" si="28"/>
        <v>23.327200000000001</v>
      </c>
      <c r="AA30" s="197">
        <f t="shared" si="4"/>
        <v>23.282600000000002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5"/>
        <v>117</v>
      </c>
      <c r="AE30" s="77" t="str">
        <f t="shared" si="6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30" s="74" t="str">
        <f t="shared" si="7"/>
        <v>"C:\Program Files (x86)\AstroGrep\AstroGrep.exe" /e /r /s /spath="%USERPROFILE%\AppData\Local\Temp\OnboardLogs" /stypes="app*4030*20170806*" /stext=" 12:.+((SYSTEM_STATE.+slice.+state.+changed )|(ment ac)|(multiple cpu faults)|(system.+state.+changed )|(\[timeout)|(PRM\|1\|D)|(kpr)|(kdp)|(train st.+moving)|(\|lc)|(penalty))"</v>
      </c>
      <c r="AG30" s="209" t="str">
        <f t="shared" si="8"/>
        <v>EC</v>
      </c>
      <c r="AH30" s="78" t="str">
        <f t="shared" si="13"/>
        <v>"%USERPROFILE%\Documents\GitHub\eaglep3\Utilities\RefineRTDCRunTimes.py" --tripid 117-06 --locoid 4030 --swversion DE.1.0.9.0 --startMP 204:446 --initTime 2017-08-06T05:37:56 --startdatetime 2017-08-06T05:45:59 --delay 2 --endMP 204:233272 --enddatetime 2017-08-06T06:20:43 --enforcementcount 0 &gt;&gt;C:\Users\stu\Documents\GitHub\eaglep3-reporting\EC\2017-08-06-refined-times.txt</v>
      </c>
      <c r="AI3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{"issue":{"subject":"","project_id":79,"tracker_id":40,"status_id":1,"priority_id":2,"assigned_to_id":23,"start_date":"2017-08-06","description":"","custom_fields":[{"id":1,"name":"Subdivision","value":"EC"},{"id":4,"name":"Milepost","value":"23.3272"},{"id":17,"name":"Train ID","value":"117-06"},{"id":16,"name":"Locomotive ID","value":"4030"},{"id":130,"name":"Impact","value":""},{"id":150,"name":"Time of Event (Mountain Time)","value":"06:20:43"},{"id":151,"name":"Denver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5"/>
        <v>start /low /b %USERPROFILE%\Documents\GitHub\eaglep3\Utilities\DownloadLogsFromS3.py --loco 4030 --day 2017-08-06</v>
      </c>
      <c r="AN3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709</v>
      </c>
      <c r="B31" s="7">
        <v>4029</v>
      </c>
      <c r="C31" s="21" t="s">
        <v>198</v>
      </c>
      <c r="D31" s="21" t="s">
        <v>885</v>
      </c>
      <c r="E31" s="13">
        <v>42953.267766203702</v>
      </c>
      <c r="F31" s="13">
        <v>42953.279351851852</v>
      </c>
      <c r="G31" s="7">
        <v>1</v>
      </c>
      <c r="H31" s="21" t="s">
        <v>443</v>
      </c>
      <c r="I31" s="13">
        <v>42953.305069444446</v>
      </c>
      <c r="J31" s="7">
        <v>0</v>
      </c>
      <c r="K31" s="89" t="str">
        <f t="shared" si="0"/>
        <v>4029/4030</v>
      </c>
      <c r="L31" s="21" t="str">
        <f>VLOOKUP(A31,'Trips&amp;Operators'!$C$1:$G$99999,5,FALSE)</f>
        <v>MACDONALD THOMAS</v>
      </c>
      <c r="M31" s="6">
        <f t="shared" si="1"/>
        <v>2.5717592594446614E-2</v>
      </c>
      <c r="N31" s="7">
        <f t="shared" si="23"/>
        <v>37.033333336003125</v>
      </c>
      <c r="O31" s="7"/>
      <c r="P31" s="7"/>
      <c r="Q31" s="22"/>
      <c r="R31" s="170"/>
      <c r="S31" s="213">
        <f t="shared" si="24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-08-06T05:25:35-0600',mode:absolute,to:'2017-08-06T08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197" t="str">
        <f>IF(AA31&lt;VLOOKUP(AG31,Variables!$AC$3:$AD$8,2,FALSE),"Y","N")</f>
        <v>N</v>
      </c>
      <c r="X31" s="197">
        <f t="shared" si="26"/>
        <v>1</v>
      </c>
      <c r="Y31" s="197">
        <f t="shared" si="27"/>
        <v>23.294799999999999</v>
      </c>
      <c r="Z31" s="197">
        <f t="shared" si="28"/>
        <v>1.5800000000000002E-2</v>
      </c>
      <c r="AA31" s="197">
        <f t="shared" si="4"/>
        <v>23.279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5"/>
        <v>118</v>
      </c>
      <c r="AE31" s="77" t="str">
        <f t="shared" si="6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31" s="74" t="str">
        <f t="shared" si="7"/>
        <v>"C:\Program Files (x86)\AstroGrep\AstroGrep.exe" /e /r /s /spath="%USERPROFILE%\AppData\Local\Temp\OnboardLogs" /stypes="app*4029*20170806*" /stext=" 13:.+((SYSTEM_STATE.+slice.+state.+changed )|(ment ac)|(multiple cpu faults)|(system.+state.+changed )|(\[timeout)|(PRM\|1\|D)|(kpr)|(kdp)|(train st.+moving)|(\|lc)|(penalty))"</v>
      </c>
      <c r="AG31" s="209" t="str">
        <f t="shared" si="8"/>
        <v>EC</v>
      </c>
      <c r="AH31" s="78" t="str">
        <f t="shared" si="13"/>
        <v>"%USERPROFILE%\Documents\GitHub\eaglep3\Utilities\RefineRTDCRunTimes.py" --tripid 118-06 --locoid 4029 --swversion DE.1.0.9.0 --startMP 204:232948 --initTime 2017-08-06T06:25:35 --startdatetime 2017-08-06T06:42:16 --delay 1 --endMP 204:158 --enddatetime 2017-08-06T07:19:18 --enforcementcount 0 &gt;&gt;C:\Users\stu\Documents\GitHub\eaglep3-reporting\EC\2017-08-06-refined-times.txt</v>
      </c>
      <c r="AI31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ID","value":"118-06"},{"id":16,"name":"Locomotive ID","value":"4029"},{"id":130,"name":"Impact","value":""},{"id":150,"name":"Time of Event (Mountain Time)","value":"07:19:18"},{"id":151,"name":"Denver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5"/>
        <v>start /low /b %USERPROFILE%\Documents\GitHub\eaglep3\Utilities\DownloadLogsFromS3.py --loco 4029 --day 2017-08-06</v>
      </c>
      <c r="AN31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702</v>
      </c>
      <c r="B32" s="7">
        <v>4006</v>
      </c>
      <c r="C32" s="21" t="s">
        <v>198</v>
      </c>
      <c r="D32" s="21" t="s">
        <v>445</v>
      </c>
      <c r="E32" s="13">
        <v>42953.246030092596</v>
      </c>
      <c r="F32" s="13">
        <v>42953.250520833331</v>
      </c>
      <c r="G32" s="7">
        <v>1</v>
      </c>
      <c r="H32" s="21" t="s">
        <v>886</v>
      </c>
      <c r="I32" s="13">
        <v>42953.275543981479</v>
      </c>
      <c r="J32" s="7">
        <v>0</v>
      </c>
      <c r="K32" s="89" t="str">
        <f t="shared" si="0"/>
        <v>4005/4006</v>
      </c>
      <c r="L32" s="21" t="str">
        <f>VLOOKUP(A32,'Trips&amp;Operators'!$C$1:$G$99999,5,FALSE)</f>
        <v>DAVIS WENDY</v>
      </c>
      <c r="M32" s="6">
        <f t="shared" si="1"/>
        <v>2.5023148147738539E-2</v>
      </c>
      <c r="N32" s="7">
        <f t="shared" si="23"/>
        <v>36.033333332743496</v>
      </c>
      <c r="O32" s="7"/>
      <c r="P32" s="7"/>
      <c r="Q32" s="22"/>
      <c r="R32" s="170"/>
      <c r="S32" s="213">
        <f t="shared" si="24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-08-06T04:54:17-0600',mode:absolute,to:'2017-08-06T07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2" s="197" t="str">
        <f>IF(AA32&lt;VLOOKUP(AG32,Variables!$AC$3:$AD$8,2,FALSE),"Y","N")</f>
        <v>N</v>
      </c>
      <c r="X32" s="197">
        <f t="shared" si="26"/>
        <v>1</v>
      </c>
      <c r="Y32" s="197">
        <f t="shared" si="27"/>
        <v>4.5999999999999999E-2</v>
      </c>
      <c r="Z32" s="197">
        <f t="shared" si="28"/>
        <v>23.3323</v>
      </c>
      <c r="AA32" s="197">
        <f t="shared" si="4"/>
        <v>23.286300000000001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5"/>
        <v>119</v>
      </c>
      <c r="AE32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32" s="74" t="str">
        <f t="shared" si="7"/>
        <v>"C:\Program Files (x86)\AstroGrep\AstroGrep.exe" /e /r /s /spath="%USERPROFILE%\AppData\Local\Temp\OnboardLogs" /stypes="app*4006*20170806*" /stext=" 12:.+((SYSTEM_STATE.+slice.+state.+changed )|(ment ac)|(multiple cpu faults)|(system.+state.+changed )|(\[timeout)|(PRM\|1\|D)|(kpr)|(kdp)|(train st.+moving)|(\|lc)|(penalty))"</v>
      </c>
      <c r="AG32" s="209" t="str">
        <f t="shared" si="8"/>
        <v>EC</v>
      </c>
      <c r="AH32" s="78" t="str">
        <f t="shared" si="13"/>
        <v>"%USERPROFILE%\Documents\GitHub\eaglep3\Utilities\RefineRTDCRunTimes.py" --tripid 119-06 --locoid 4006 --swversion DE.1.0.9.0 --startMP 204:460 --initTime 2017-08-06T05:54:17 --startdatetime 2017-08-06T06:00:45 --delay 1 --endMP 204:233323 --enddatetime 2017-08-06T06:36:47 --enforcementcount 0 &gt;&gt;C:\Users\stu\Documents\GitHub\eaglep3-reporting\EC\2017-08-06-refined-times.txt</v>
      </c>
      <c r="AI3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{"issue":{"subject":"","project_id":79,"tracker_id":40,"status_id":1,"priority_id":2,"assigned_to_id":23,"start_date":"2017-08-06","description":"","custom_fields":[{"id":1,"name":"Subdivision","value":"EC"},{"id":4,"name":"Milepost","value":"23.3323"},{"id":17,"name":"Train ID","value":"119-06"},{"id":16,"name":"Locomotive ID","value":"4006"},{"id":130,"name":"Impact","value":""},{"id":150,"name":"Time of Event (Mountain Time)","value":"06:36:47"},{"id":151,"name":"Denver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5"/>
        <v>start /low /b %USERPROFILE%\Documents\GitHub\eaglep3\Utilities\DownloadLogsFromS3.py --loco 4006 --day 2017-08-06</v>
      </c>
      <c r="AN3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712</v>
      </c>
      <c r="B33" s="7">
        <v>4005</v>
      </c>
      <c r="C33" s="21" t="s">
        <v>198</v>
      </c>
      <c r="D33" s="21" t="s">
        <v>887</v>
      </c>
      <c r="E33" s="13">
        <v>42953.284398148149</v>
      </c>
      <c r="F33" s="13">
        <v>42953.289768518516</v>
      </c>
      <c r="G33" s="7">
        <v>1</v>
      </c>
      <c r="H33" s="21" t="s">
        <v>568</v>
      </c>
      <c r="I33" s="13">
        <v>42953.316331018519</v>
      </c>
      <c r="J33" s="7">
        <v>0</v>
      </c>
      <c r="K33" s="89" t="str">
        <f t="shared" si="0"/>
        <v>4005/4006</v>
      </c>
      <c r="L33" s="21" t="str">
        <f>VLOOKUP(A33,'Trips&amp;Operators'!$C$1:$G$99999,5,FALSE)</f>
        <v>DAVIS WENDY</v>
      </c>
      <c r="M33" s="6">
        <f t="shared" si="1"/>
        <v>2.6562500002910383E-2</v>
      </c>
      <c r="N33" s="7">
        <f t="shared" si="23"/>
        <v>38.250000004190952</v>
      </c>
      <c r="O33" s="7"/>
      <c r="P33" s="7"/>
      <c r="Q33" s="22"/>
      <c r="R33" s="170"/>
      <c r="S33" s="213">
        <f t="shared" si="24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-08-06T05:49:32-0600',mode:absolute,to:'2017-08-06T08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3" s="197" t="str">
        <f>IF(AA33&lt;VLOOKUP(AG33,Variables!$AC$3:$AD$8,2,FALSE),"Y","N")</f>
        <v>N</v>
      </c>
      <c r="X33" s="197">
        <f t="shared" si="26"/>
        <v>1</v>
      </c>
      <c r="Y33" s="197">
        <f t="shared" si="27"/>
        <v>23.300999999999998</v>
      </c>
      <c r="Z33" s="197">
        <f t="shared" si="28"/>
        <v>1.7000000000000001E-2</v>
      </c>
      <c r="AA33" s="197">
        <f t="shared" si="4"/>
        <v>23.283999999999999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5"/>
        <v>120</v>
      </c>
      <c r="AE33" s="77" t="str">
        <f t="shared" si="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33" s="74" t="str">
        <f t="shared" si="7"/>
        <v>"C:\Program Files (x86)\AstroGrep\AstroGrep.exe" /e /r /s /spath="%USERPROFILE%\AppData\Local\Temp\OnboardLogs" /stypes="app*4005*20170806*" /stext=" 13:.+((SYSTEM_STATE.+slice.+state.+changed )|(ment ac)|(multiple cpu faults)|(system.+state.+changed )|(\[timeout)|(PRM\|1\|D)|(kpr)|(kdp)|(train st.+moving)|(\|lc)|(penalty))"</v>
      </c>
      <c r="AG33" s="209" t="str">
        <f t="shared" si="8"/>
        <v>EC</v>
      </c>
      <c r="AH33" s="78" t="str">
        <f t="shared" si="13"/>
        <v>"%USERPROFILE%\Documents\GitHub\eaglep3\Utilities\RefineRTDCRunTimes.py" --tripid 120-06 --locoid 4005 --swversion DE.1.0.9.0 --startMP 204:233010 --initTime 2017-08-06T06:49:32 --startdatetime 2017-08-06T06:57:16 --delay 1 --endMP 204:170 --enddatetime 2017-08-06T07:35:31 --enforcementcount 0 &gt;&gt;C:\Users\stu\Documents\GitHub\eaglep3-reporting\EC\2017-08-06-refined-times.txt</v>
      </c>
      <c r="AI3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{"issue":{"subject":"","project_id":79,"tracker_id":40,"status_id":1,"priority_id":2,"assigned_to_id":23,"start_date":"2017-08-06","description":"","custom_fields":[{"id":1,"name":"Subdivision","value":"EC"},{"id":4,"name":"Milepost","value":"0.017"},{"id":17,"name":"Train ID","value":"120-06"},{"id":16,"name":"Locomotive ID","value":"4005"},{"id":130,"name":"Impact","value":""},{"id":150,"name":"Time of Event (Mountain Time)","value":"07:35:31"},{"id":151,"name":"Denver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5"/>
        <v>start /low /b %USERPROFILE%\Documents\GitHub\eaglep3\Utilities\DownloadLogsFromS3.py --loco 4005 --day 2017-08-06</v>
      </c>
      <c r="AN3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704</v>
      </c>
      <c r="B34" s="7">
        <v>4004</v>
      </c>
      <c r="C34" s="21" t="s">
        <v>198</v>
      </c>
      <c r="D34" s="21" t="s">
        <v>347</v>
      </c>
      <c r="E34" s="13">
        <v>42953.255925925929</v>
      </c>
      <c r="F34" s="13">
        <v>42953.260949074072</v>
      </c>
      <c r="G34" s="7">
        <v>1</v>
      </c>
      <c r="H34" s="21" t="s">
        <v>619</v>
      </c>
      <c r="I34" s="13">
        <v>42953.284826388888</v>
      </c>
      <c r="J34" s="7">
        <v>0</v>
      </c>
      <c r="K34" s="89" t="str">
        <f t="shared" si="0"/>
        <v>4003/4004</v>
      </c>
      <c r="L34" s="21" t="str">
        <f>VLOOKUP(A34,'Trips&amp;Operators'!$C$1:$G$99999,5,FALSE)</f>
        <v>LALONDE GREGORY</v>
      </c>
      <c r="M34" s="6">
        <f t="shared" si="1"/>
        <v>2.3877314815763384E-2</v>
      </c>
      <c r="N34" s="7">
        <f t="shared" si="23"/>
        <v>34.383333334699273</v>
      </c>
      <c r="O34" s="7"/>
      <c r="P34" s="7"/>
      <c r="Q34" s="22"/>
      <c r="R34" s="170"/>
      <c r="S34" s="213">
        <f t="shared" si="24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-08-06T05:08:32-0600',mode:absolute,to:'2017-08-06T07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4" s="197" t="str">
        <f>IF(AA34&lt;VLOOKUP(AG34,Variables!$AC$3:$AD$8,2,FALSE),"Y","N")</f>
        <v>N</v>
      </c>
      <c r="X34" s="197">
        <f t="shared" si="26"/>
        <v>1</v>
      </c>
      <c r="Y34" s="197">
        <f t="shared" si="27"/>
        <v>4.53E-2</v>
      </c>
      <c r="Z34" s="197">
        <f t="shared" si="28"/>
        <v>23.332799999999999</v>
      </c>
      <c r="AA34" s="197">
        <f t="shared" si="4"/>
        <v>23.287499999999998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5"/>
        <v>121</v>
      </c>
      <c r="AE34" s="77" t="str">
        <f t="shared" si="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34" s="74" t="str">
        <f t="shared" si="7"/>
        <v>"C:\Program Files (x86)\AstroGrep\AstroGrep.exe" /e /r /s /spath="%USERPROFILE%\AppData\Local\Temp\OnboardLogs" /stypes="app*4004*20170806*" /stext=" 12:.+((SYSTEM_STATE.+slice.+state.+changed )|(ment ac)|(multiple cpu faults)|(system.+state.+changed )|(\[timeout)|(PRM\|1\|D)|(kpr)|(kdp)|(train st.+moving)|(\|lc)|(penalty))"</v>
      </c>
      <c r="AG34" s="209" t="str">
        <f t="shared" si="8"/>
        <v>EC</v>
      </c>
      <c r="AH34" s="78" t="str">
        <f t="shared" si="13"/>
        <v>"%USERPROFILE%\Documents\GitHub\eaglep3\Utilities\RefineRTDCRunTimes.py" --tripid 121-06 --locoid 4004 --swversion DE.1.0.9.0 --startMP 204:453 --initTime 2017-08-06T06:08:32 --startdatetime 2017-08-06T06:15:46 --delay 1 --endMP 204:233328 --enddatetime 2017-08-06T06:50:09 --enforcementcount 0 &gt;&gt;C:\Users\stu\Documents\GitHub\eaglep3-reporting\EC\2017-08-06-refined-times.txt</v>
      </c>
      <c r="AI3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{"issue":{"subject":"","project_id":79,"tracker_id":40,"status_id":1,"priority_id":2,"assigned_to_id":23,"start_date":"2017-08-06","description":"","custom_fields":[{"id":1,"name":"Subdivision","value":"EC"},{"id":4,"name":"Milepost","value":"23.3328"},{"id":17,"name":"Train ID","value":"121-06"},{"id":16,"name":"Locomotive ID","value":"4004"},{"id":130,"name":"Impact","value":""},{"id":150,"name":"Time of Event (Mountain Time)","value":"06:50:09"},{"id":151,"name":"Denver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5"/>
        <v>start /low /b %USERPROFILE%\Documents\GitHub\eaglep3\Utilities\DownloadLogsFromS3.py --loco 4004 --day 2017-08-06</v>
      </c>
      <c r="AN3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713</v>
      </c>
      <c r="B35" s="7">
        <v>4003</v>
      </c>
      <c r="C35" s="21" t="s">
        <v>198</v>
      </c>
      <c r="D35" s="21" t="s">
        <v>888</v>
      </c>
      <c r="E35" s="13">
        <v>42953.28638888889</v>
      </c>
      <c r="F35" s="13">
        <v>42953.300138888888</v>
      </c>
      <c r="G35" s="7">
        <v>1</v>
      </c>
      <c r="H35" s="21" t="s">
        <v>444</v>
      </c>
      <c r="I35" s="13">
        <v>42953.325821759259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LALONDE GREGORY</v>
      </c>
      <c r="M35" s="6">
        <f t="shared" si="1"/>
        <v>2.5682870371383615E-2</v>
      </c>
      <c r="N35" s="7">
        <f t="shared" si="23"/>
        <v>36.983333334792405</v>
      </c>
      <c r="O35" s="7"/>
      <c r="P35" s="7"/>
      <c r="Q35" s="22"/>
      <c r="R35" s="170"/>
      <c r="S35" s="213">
        <f t="shared" si="24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-08-06T05:52:24-0600',mode:absolute,to:'2017-08-06T08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97" t="str">
        <f>IF(AA35&lt;VLOOKUP(AG35,Variables!$AC$3:$AD$8,2,FALSE),"Y","N")</f>
        <v>N</v>
      </c>
      <c r="X35" s="197">
        <f t="shared" si="26"/>
        <v>1</v>
      </c>
      <c r="Y35" s="197">
        <f t="shared" si="27"/>
        <v>23.3017</v>
      </c>
      <c r="Z35" s="197">
        <f t="shared" si="28"/>
        <v>1.52E-2</v>
      </c>
      <c r="AA35" s="197">
        <f t="shared" si="4"/>
        <v>23.2865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5"/>
        <v>122</v>
      </c>
      <c r="AE35" s="77" t="str">
        <f t="shared" si="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35" s="74" t="str">
        <f t="shared" si="7"/>
        <v>"C:\Program Files (x86)\AstroGrep\AstroGrep.exe" /e /r /s /spath="%USERPROFILE%\AppData\Local\Temp\OnboardLogs" /stypes="app*4003*20170806*" /stext=" 13:.+((SYSTEM_STATE.+slice.+state.+changed )|(ment ac)|(multiple cpu faults)|(system.+state.+changed )|(\[timeout)|(PRM\|1\|D)|(kpr)|(kdp)|(train st.+moving)|(\|lc)|(penalty))"</v>
      </c>
      <c r="AG35" s="209" t="str">
        <f t="shared" si="8"/>
        <v>EC</v>
      </c>
      <c r="AH35" s="78" t="str">
        <f t="shared" si="13"/>
        <v>"%USERPROFILE%\Documents\GitHub\eaglep3\Utilities\RefineRTDCRunTimes.py" --tripid 122-06 --locoid 4003 --swversion DE.1.0.9.0 --startMP 204:233017 --initTime 2017-08-06T06:52:24 --startdatetime 2017-08-06T07:12:12 --delay 1 --endMP 204:152 --enddatetime 2017-08-06T07:49:11 --enforcementcount 0 &gt;&gt;C:\Users\stu\Documents\GitHub\eaglep3-reporting\EC\2017-08-06-refined-times.txt</v>
      </c>
      <c r="AI3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ID","value":"122-06"},{"id":16,"name":"Locomotive ID","value":"4003"},{"id":130,"name":"Impact","value":""},{"id":150,"name":"Time of Event (Mountain Time)","value":"07:49:11"},{"id":151,"name":"Denver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5"/>
        <v>start /low /b %USERPROFILE%\Documents\GitHub\eaglep3\Utilities\DownloadLogsFromS3.py --loco 4003 --day 2017-08-06</v>
      </c>
      <c r="AN3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708</v>
      </c>
      <c r="B36" s="7">
        <v>4066</v>
      </c>
      <c r="C36" s="21" t="s">
        <v>198</v>
      </c>
      <c r="D36" s="21" t="s">
        <v>889</v>
      </c>
      <c r="E36" s="13">
        <v>42953.266550925924</v>
      </c>
      <c r="F36" s="13">
        <v>42953.27134259259</v>
      </c>
      <c r="G36" s="7">
        <v>1</v>
      </c>
      <c r="H36" s="21" t="s">
        <v>518</v>
      </c>
      <c r="I36" s="13">
        <v>42953.295775462961</v>
      </c>
      <c r="J36" s="7">
        <v>0</v>
      </c>
      <c r="K36" s="89" t="str">
        <f t="shared" si="0"/>
        <v>4065/4066</v>
      </c>
      <c r="L36" s="21" t="str">
        <f>VLOOKUP(A36,'Trips&amp;Operators'!$C$1:$G$99999,5,FALSE)</f>
        <v>GEBRETEKLE DAGNEW</v>
      </c>
      <c r="M36" s="6">
        <f t="shared" si="1"/>
        <v>2.4432870370219462E-2</v>
      </c>
      <c r="N36" s="7">
        <f t="shared" si="23"/>
        <v>35.183333333116025</v>
      </c>
      <c r="O36" s="7"/>
      <c r="P36" s="7"/>
      <c r="Q36" s="22"/>
      <c r="R36" s="170"/>
      <c r="S36" s="213">
        <f t="shared" si="24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-08-06T05:23:50-0600',mode:absolute,to:'2017-08-06T08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6" s="197" t="str">
        <f>IF(AA36&lt;VLOOKUP(AG36,Variables!$AC$3:$AD$8,2,FALSE),"Y","N")</f>
        <v>N</v>
      </c>
      <c r="X36" s="197">
        <f t="shared" si="26"/>
        <v>1</v>
      </c>
      <c r="Y36" s="197">
        <f t="shared" si="27"/>
        <v>5.1499999999999997E-2</v>
      </c>
      <c r="Z36" s="197">
        <f t="shared" si="28"/>
        <v>23.3293</v>
      </c>
      <c r="AA36" s="197">
        <f t="shared" si="4"/>
        <v>23.277799999999999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5"/>
        <v>123</v>
      </c>
      <c r="AE36" s="77" t="str">
        <f t="shared" si="6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36" s="74" t="str">
        <f t="shared" si="7"/>
        <v>"C:\Program Files (x86)\AstroGrep\AstroGrep.exe" /e /r /s /spath="%USERPROFILE%\AppData\Local\Temp\OnboardLogs" /stypes="app*4066*20170806*" /stext=" 13:.+((SYSTEM_STATE.+slice.+state.+changed )|(ment ac)|(multiple cpu faults)|(system.+state.+changed )|(\[timeout)|(PRM\|1\|D)|(kpr)|(kdp)|(train st.+moving)|(\|lc)|(penalty))"</v>
      </c>
      <c r="AG36" s="209" t="str">
        <f t="shared" si="8"/>
        <v>EC</v>
      </c>
      <c r="AH36" s="78" t="str">
        <f t="shared" si="13"/>
        <v>"%USERPROFILE%\Documents\GitHub\eaglep3\Utilities\RefineRTDCRunTimes.py" --tripid 123-06 --locoid 4066 --swversion DE.1.0.9.0 --startMP 204:515 --initTime 2017-08-06T06:23:50 --startdatetime 2017-08-06T06:30:44 --delay 1 --endMP 204:233293 --enddatetime 2017-08-06T07:05:55 --enforcementcount 0 &gt;&gt;C:\Users\stu\Documents\GitHub\eaglep3-reporting\EC\2017-08-06-refined-times.txt</v>
      </c>
      <c r="AI3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{"issue":{"subject":"","project_id":79,"tracker_id":40,"status_id":1,"priority_id":2,"assigned_to_id":23,"start_date":"2017-08-06","description":"","custom_fields":[{"id":1,"name":"Subdivision","value":"EC"},{"id":4,"name":"Milepost","value":"23.3293"},{"id":17,"name":"Train ID","value":"123-06"},{"id":16,"name":"Locomotive ID","value":"4066"},{"id":130,"name":"Impact","value":""},{"id":150,"name":"Time of Event (Mountain Time)","value":"07:05:55"},{"id":151,"name":"Denver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5"/>
        <v>start /low /b %USERPROFILE%\Documents\GitHub\eaglep3\Utilities\DownloadLogsFromS3.py --loco 4066 --day 2017-08-06</v>
      </c>
      <c r="AN3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716</v>
      </c>
      <c r="B37" s="7">
        <v>4065</v>
      </c>
      <c r="C37" s="21" t="s">
        <v>198</v>
      </c>
      <c r="D37" s="21" t="s">
        <v>608</v>
      </c>
      <c r="E37" s="13">
        <v>42953.297002314815</v>
      </c>
      <c r="F37" s="13">
        <v>42953.310590277775</v>
      </c>
      <c r="G37" s="7">
        <v>1</v>
      </c>
      <c r="H37" s="21" t="s">
        <v>607</v>
      </c>
      <c r="I37" s="13">
        <v>42953.336400462962</v>
      </c>
      <c r="J37" s="7">
        <v>0</v>
      </c>
      <c r="K37" s="89" t="str">
        <f t="shared" si="0"/>
        <v>4065/4066</v>
      </c>
      <c r="L37" s="21" t="str">
        <f>VLOOKUP(A37,'Trips&amp;Operators'!$C$1:$G$99999,5,FALSE)</f>
        <v>GEBRETEKLE DAGNEW</v>
      </c>
      <c r="M37" s="6">
        <f t="shared" si="1"/>
        <v>2.5810185186855961E-2</v>
      </c>
      <c r="N37" s="7">
        <f t="shared" si="23"/>
        <v>37.166666669072583</v>
      </c>
      <c r="O37" s="7"/>
      <c r="P37" s="7"/>
      <c r="Q37" s="22"/>
      <c r="R37" s="170"/>
      <c r="S37" s="213">
        <f t="shared" si="24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-08-06T06:07:41-0600',mode:absolute,to:'2017-08-06T09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7" s="197" t="str">
        <f>IF(AA37&lt;VLOOKUP(AG37,Variables!$AC$3:$AD$8,2,FALSE),"Y","N")</f>
        <v>N</v>
      </c>
      <c r="X37" s="197">
        <f t="shared" si="26"/>
        <v>1</v>
      </c>
      <c r="Y37" s="197">
        <f t="shared" si="27"/>
        <v>23.297899999999998</v>
      </c>
      <c r="Z37" s="197">
        <f t="shared" si="28"/>
        <v>1.72E-2</v>
      </c>
      <c r="AA37" s="197">
        <f t="shared" si="4"/>
        <v>23.2807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5"/>
        <v>124</v>
      </c>
      <c r="AE37" s="77" t="str">
        <f t="shared" si="6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37" s="74" t="str">
        <f t="shared" si="7"/>
        <v>"C:\Program Files (x86)\AstroGrep\AstroGrep.exe" /e /r /s /spath="%USERPROFILE%\AppData\Local\Temp\OnboardLogs" /stypes="app*4065*20170806*" /stext=" 14:.+((SYSTEM_STATE.+slice.+state.+changed )|(ment ac)|(multiple cpu faults)|(system.+state.+changed )|(\[timeout)|(PRM\|1\|D)|(kpr)|(kdp)|(train st.+moving)|(\|lc)|(penalty))"</v>
      </c>
      <c r="AG37" s="209" t="str">
        <f t="shared" si="8"/>
        <v>EC</v>
      </c>
      <c r="AH37" s="78" t="str">
        <f t="shared" si="13"/>
        <v>"%USERPROFILE%\Documents\GitHub\eaglep3\Utilities\RefineRTDCRunTimes.py" --tripid 124-06 --locoid 4065 --swversion DE.1.0.9.0 --startMP 204:232979 --initTime 2017-08-06T07:07:41 --startdatetime 2017-08-06T07:27:15 --delay 1 --endMP 204:172 --enddatetime 2017-08-06T08:04:25 --enforcementcount 0 &gt;&gt;C:\Users\stu\Documents\GitHub\eaglep3-reporting\EC\2017-08-06-refined-times.txt</v>
      </c>
      <c r="AI3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{"issue":{"subject":"","project_id":79,"tracker_id":40,"status_id":1,"priority_id":2,"assigned_to_id":23,"start_date":"2017-08-06","description":"","custom_fields":[{"id":1,"name":"Subdivision","value":"EC"},{"id":4,"name":"Milepost","value":"0.0172"},{"id":17,"name":"Train ID","value":"124-06"},{"id":16,"name":"Locomotive ID","value":"4065"},{"id":130,"name":"Impact","value":""},{"id":150,"name":"Time of Event (Mountain Time)","value":"08:04:25"},{"id":151,"name":"Denver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5"/>
        <v>start /low /b %USERPROFILE%\Documents\GitHub\eaglep3\Utilities\DownloadLogsFromS3.py --loco 4065 --day 2017-08-06</v>
      </c>
      <c r="AN3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711</v>
      </c>
      <c r="B38" s="7">
        <v>4032</v>
      </c>
      <c r="C38" s="21" t="s">
        <v>198</v>
      </c>
      <c r="D38" s="21" t="s">
        <v>627</v>
      </c>
      <c r="E38" s="13">
        <v>42953.276458333334</v>
      </c>
      <c r="F38" s="13">
        <v>42953.281770833331</v>
      </c>
      <c r="G38" s="7">
        <v>1</v>
      </c>
      <c r="H38" s="21" t="s">
        <v>890</v>
      </c>
      <c r="I38" s="13">
        <v>42953.305960648147</v>
      </c>
      <c r="J38" s="7">
        <v>0</v>
      </c>
      <c r="K38" s="89" t="str">
        <f t="shared" si="0"/>
        <v>4031/4032</v>
      </c>
      <c r="L38" s="21" t="str">
        <f>VLOOKUP(A38,'Trips&amp;Operators'!$C$1:$G$99999,5,FALSE)</f>
        <v>MAELZER KURT</v>
      </c>
      <c r="M38" s="6">
        <f t="shared" si="1"/>
        <v>2.4189814816054422E-2</v>
      </c>
      <c r="N38" s="7">
        <f t="shared" si="23"/>
        <v>34.833333335118368</v>
      </c>
      <c r="O38" s="7"/>
      <c r="P38" s="7"/>
      <c r="Q38" s="22"/>
      <c r="R38" s="170"/>
      <c r="S38" s="213">
        <f t="shared" si="24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-08-06T05:38:06-0600',mode:absolute,to:'2017-08-06T08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8" s="197" t="str">
        <f>IF(AA38&lt;VLOOKUP(AG38,Variables!$AC$3:$AD$8,2,FALSE),"Y","N")</f>
        <v>N</v>
      </c>
      <c r="X38" s="197">
        <f t="shared" si="26"/>
        <v>1</v>
      </c>
      <c r="Y38" s="197">
        <f t="shared" si="27"/>
        <v>4.2700000000000002E-2</v>
      </c>
      <c r="Z38" s="197">
        <f t="shared" si="28"/>
        <v>23.331600000000002</v>
      </c>
      <c r="AA38" s="197">
        <f t="shared" si="4"/>
        <v>23.288900000000002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5"/>
        <v>125</v>
      </c>
      <c r="AE38" s="77" t="str">
        <f t="shared" si="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38" s="74" t="str">
        <f t="shared" si="7"/>
        <v>"C:\Program Files (x86)\AstroGrep\AstroGrep.exe" /e /r /s /spath="%USERPROFILE%\AppData\Local\Temp\OnboardLogs" /stypes="app*4032*20170806*" /stext=" 13:.+((SYSTEM_STATE.+slice.+state.+changed )|(ment ac)|(multiple cpu faults)|(system.+state.+changed )|(\[timeout)|(PRM\|1\|D)|(kpr)|(kdp)|(train st.+moving)|(\|lc)|(penalty))"</v>
      </c>
      <c r="AG38" s="209" t="str">
        <f t="shared" si="8"/>
        <v>EC</v>
      </c>
      <c r="AH38" s="78" t="str">
        <f t="shared" si="13"/>
        <v>"%USERPROFILE%\Documents\GitHub\eaglep3\Utilities\RefineRTDCRunTimes.py" --tripid 125-06 --locoid 4032 --swversion DE.1.0.9.0 --startMP 204:427 --initTime 2017-08-06T06:38:06 --startdatetime 2017-08-06T06:45:45 --delay 1 --endMP 204:233316 --enddatetime 2017-08-06T07:20:35 --enforcementcount 0 &gt;&gt;C:\Users\stu\Documents\GitHub\eaglep3-reporting\EC\2017-08-06-refined-times.txt</v>
      </c>
      <c r="AI38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{"issue":{"subject":"","project_id":79,"tracker_id":40,"status_id":1,"priority_id":2,"assigned_to_id":23,"start_date":"2017-08-06","description":"","custom_fields":[{"id":1,"name":"Subdivision","value":"EC"},{"id":4,"name":"Milepost","value":"23.3316"},{"id":17,"name":"Train ID","value":"125-06"},{"id":16,"name":"Locomotive ID","value":"4032"},{"id":130,"name":"Impact","value":""},{"id":150,"name":"Time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5"/>
        <v>start /low /b %USERPROFILE%\Documents\GitHub\eaglep3\Utilities\DownloadLogsFromS3.py --loco 4032 --day 2017-08-06</v>
      </c>
      <c r="AN38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719</v>
      </c>
      <c r="B39" s="7">
        <v>4031</v>
      </c>
      <c r="C39" s="21" t="s">
        <v>198</v>
      </c>
      <c r="D39" s="21" t="s">
        <v>449</v>
      </c>
      <c r="E39" s="13">
        <v>42953.310763888891</v>
      </c>
      <c r="F39" s="13">
        <v>42953.321134259262</v>
      </c>
      <c r="G39" s="7">
        <v>0</v>
      </c>
      <c r="H39" s="21" t="s">
        <v>505</v>
      </c>
      <c r="I39" s="13">
        <v>42953.347314814811</v>
      </c>
      <c r="J39" s="7">
        <v>0</v>
      </c>
      <c r="K39" s="89" t="str">
        <f t="shared" si="0"/>
        <v>4031/4032</v>
      </c>
      <c r="L39" s="21" t="str">
        <f>VLOOKUP(A39,'Trips&amp;Operators'!$C$1:$G$99999,5,FALSE)</f>
        <v>MAELZER KURT</v>
      </c>
      <c r="M39" s="6">
        <f t="shared" si="1"/>
        <v>2.6180555549217388E-2</v>
      </c>
      <c r="N39" s="7">
        <f t="shared" si="23"/>
        <v>37.699999990873039</v>
      </c>
      <c r="O39" s="7"/>
      <c r="P39" s="7"/>
      <c r="Q39" s="22"/>
      <c r="R39" s="170"/>
      <c r="S39" s="213">
        <f t="shared" si="24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-08-06T06:27:30-0600',mode:absolute,to:'2017-08-06T09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9" s="197" t="str">
        <f>IF(AA39&lt;VLOOKUP(AG39,Variables!$AC$3:$AD$8,2,FALSE),"Y","N")</f>
        <v>N</v>
      </c>
      <c r="X39" s="197">
        <f t="shared" si="26"/>
        <v>1</v>
      </c>
      <c r="Y39" s="197">
        <f t="shared" si="27"/>
        <v>23.299800000000001</v>
      </c>
      <c r="Z39" s="197">
        <f t="shared" si="28"/>
        <v>1.32E-2</v>
      </c>
      <c r="AA39" s="197">
        <f t="shared" si="4"/>
        <v>23.2866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5"/>
        <v>126</v>
      </c>
      <c r="AE39" s="77" t="str">
        <f t="shared" si="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39" s="74" t="str">
        <f t="shared" si="7"/>
        <v>"C:\Program Files (x86)\AstroGrep\AstroGrep.exe" /e /r /s /spath="%USERPROFILE%\AppData\Local\Temp\OnboardLogs" /stypes="app*4031*20170806*" /stext=" 14:.+((SYSTEM_STATE.+slice.+state.+changed )|(ment ac)|(multiple cpu faults)|(system.+state.+changed )|(\[timeout)|(PRM\|1\|D)|(kpr)|(kdp)|(train st.+moving)|(\|lc)|(penalty))"</v>
      </c>
      <c r="AG39" s="209" t="str">
        <f t="shared" si="8"/>
        <v>EC</v>
      </c>
      <c r="AH39" s="78" t="str">
        <f t="shared" si="13"/>
        <v>"%USERPROFILE%\Documents\GitHub\eaglep3\Utilities\RefineRTDCRunTimes.py" --tripid 126-06 --locoid 4031 --swversion DE.1.0.9.0 --startMP 204:232998 --initTime 2017-08-06T07:27:30 --startdatetime 2017-08-06T07:42:26 --delay 0 --endMP 204:132 --enddatetime 2017-08-06T08:20:08 --enforcementcount 0 &gt;&gt;C:\Users\stu\Documents\GitHub\eaglep3-reporting\EC\2017-08-06-refined-times.txt</v>
      </c>
      <c r="AI3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{"issue":{"subject":"","project_id":79,"tracker_id":40,"status_id":1,"priority_id":2,"assigned_to_id":23,"start_date":"2017-08-06","description":"","custom_fields":[{"id":1,"name":"Subdivision","value":"EC"},{"id":4,"name":"Milepost","value":"0.0132"},{"id":17,"name":"Train ID","value":"126-06"},{"id":16,"name":"Locomotive ID","value":"4031"},{"id":130,"name":"Impact","value":""},{"id":150,"name":"Time of Event (Mountain Time)","value":"08:20:08"},{"id":151,"name":"Denver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5"/>
        <v>start /low /b %USERPROFILE%\Documents\GitHub\eaglep3\Utilities\DownloadLogsFromS3.py --loco 4031 --day 2017-08-06</v>
      </c>
      <c r="AN3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714</v>
      </c>
      <c r="B40" s="7">
        <v>4002</v>
      </c>
      <c r="C40" s="21" t="s">
        <v>198</v>
      </c>
      <c r="D40" s="21" t="s">
        <v>446</v>
      </c>
      <c r="E40" s="13">
        <v>42953.286712962959</v>
      </c>
      <c r="F40" s="13">
        <v>42953.292199074072</v>
      </c>
      <c r="G40" s="7">
        <v>1</v>
      </c>
      <c r="H40" s="21" t="s">
        <v>891</v>
      </c>
      <c r="I40" s="13">
        <v>42953.317037037035</v>
      </c>
      <c r="J40" s="7">
        <v>0</v>
      </c>
      <c r="K40" s="89" t="str">
        <f t="shared" si="0"/>
        <v>4001/4002</v>
      </c>
      <c r="L40" s="21" t="str">
        <f>VLOOKUP(A40,'Trips&amp;Operators'!$C$1:$G$99999,5,FALSE)</f>
        <v>GUZMAN DANNY</v>
      </c>
      <c r="M40" s="6">
        <f t="shared" si="1"/>
        <v>2.4837962962919846E-2</v>
      </c>
      <c r="N40" s="7">
        <f t="shared" si="23"/>
        <v>35.766666666604578</v>
      </c>
      <c r="O40" s="7"/>
      <c r="P40" s="7"/>
      <c r="Q40" s="22"/>
      <c r="R40" s="170"/>
      <c r="S40" s="213">
        <f t="shared" si="24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-08-06T05:52:52-0600',mode:absolute,to:'2017-08-06T08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197" t="str">
        <f>IF(AA40&lt;VLOOKUP(AG40,Variables!$AC$3:$AD$8,2,FALSE),"Y","N")</f>
        <v>N</v>
      </c>
      <c r="X40" s="197">
        <f t="shared" si="26"/>
        <v>1</v>
      </c>
      <c r="Y40" s="197">
        <f t="shared" si="27"/>
        <v>4.4900000000000002E-2</v>
      </c>
      <c r="Z40" s="197">
        <f t="shared" si="28"/>
        <v>23.333600000000001</v>
      </c>
      <c r="AA40" s="197">
        <f t="shared" si="4"/>
        <v>23.288700000000002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5"/>
        <v>127</v>
      </c>
      <c r="AE40" s="77" t="str">
        <f t="shared" si="6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40" s="74" t="str">
        <f t="shared" si="7"/>
        <v>"C:\Program Files (x86)\AstroGrep\AstroGrep.exe" /e /r /s /spath="%USERPROFILE%\AppData\Local\Temp\OnboardLogs" /stypes="app*4002*20170806*" /stext=" 13:.+((SYSTEM_STATE.+slice.+state.+changed )|(ment ac)|(multiple cpu faults)|(system.+state.+changed )|(\[timeout)|(PRM\|1\|D)|(kpr)|(kdp)|(train st.+moving)|(\|lc)|(penalty))"</v>
      </c>
      <c r="AG40" s="209" t="str">
        <f t="shared" si="8"/>
        <v>EC</v>
      </c>
      <c r="AH40" s="78" t="str">
        <f t="shared" si="13"/>
        <v>"%USERPROFILE%\Documents\GitHub\eaglep3\Utilities\RefineRTDCRunTimes.py" --tripid 127-06 --locoid 4002 --swversion DE.1.0.9.0 --startMP 204:449 --initTime 2017-08-06T06:52:52 --startdatetime 2017-08-06T07:00:46 --delay 1 --endMP 204:233336 --enddatetime 2017-08-06T07:36:32 --enforcementcount 0 &gt;&gt;C:\Users\stu\Documents\GitHub\eaglep3-reporting\EC\2017-08-06-refined-times.txt</v>
      </c>
      <c r="AI4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{"issue":{"subject":"","project_id":79,"tracker_id":40,"status_id":1,"priority_id":2,"assigned_to_id":23,"start_date":"2017-08-06","description":"","custom_fields":[{"id":1,"name":"Subdivision","value":"EC"},{"id":4,"name":"Milepost","value":"23.3336"},{"id":17,"name":"Train ID","value":"127-06"},{"id":16,"name":"Locomotive ID","value":"4002"},{"id":130,"name":"Impact","value":""},{"id":150,"name":"Time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5"/>
        <v>start /low /b %USERPROFILE%\Documents\GitHub\eaglep3\Utilities\DownloadLogsFromS3.py --loco 4002 --day 2017-08-06</v>
      </c>
      <c r="AN4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722</v>
      </c>
      <c r="B41" s="7">
        <v>4001</v>
      </c>
      <c r="C41" s="21" t="s">
        <v>198</v>
      </c>
      <c r="D41" s="21" t="s">
        <v>446</v>
      </c>
      <c r="E41" s="13">
        <v>42953.286712962959</v>
      </c>
      <c r="F41" s="13">
        <v>42953.331435185188</v>
      </c>
      <c r="G41" s="7">
        <v>1</v>
      </c>
      <c r="H41" s="21" t="s">
        <v>891</v>
      </c>
      <c r="I41" s="13">
        <v>42953.357905092591</v>
      </c>
      <c r="J41" s="7">
        <v>0</v>
      </c>
      <c r="K41" s="89" t="str">
        <f t="shared" si="0"/>
        <v>4001/4002</v>
      </c>
      <c r="L41" s="21" t="str">
        <f>VLOOKUP(A41,'Trips&amp;Operators'!$C$1:$G$99999,5,FALSE)</f>
        <v>GUZMAN DANNY</v>
      </c>
      <c r="M41" s="6">
        <f t="shared" si="1"/>
        <v>2.6469907403225079E-2</v>
      </c>
      <c r="N41" s="7">
        <f t="shared" si="23"/>
        <v>38.116666660644114</v>
      </c>
      <c r="O41" s="7"/>
      <c r="P41" s="7"/>
      <c r="Q41" s="22"/>
      <c r="R41" s="170"/>
      <c r="S41" s="213">
        <f t="shared" si="24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-08-06T05:52:52-0600',mode:absolute,to:'2017-08-06T09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197" t="str">
        <f>IF(AA41&lt;VLOOKUP(AG41,Variables!$AC$3:$AD$8,2,FALSE),"Y","N")</f>
        <v>N</v>
      </c>
      <c r="X41" s="197">
        <f t="shared" si="26"/>
        <v>1</v>
      </c>
      <c r="Y41" s="197">
        <v>23.299800000000001</v>
      </c>
      <c r="Z41" s="197">
        <v>1.32E-2</v>
      </c>
      <c r="AA41" s="197">
        <f t="shared" si="4"/>
        <v>23.2866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5"/>
        <v>128</v>
      </c>
      <c r="AE41" s="77" t="str">
        <f t="shared" si="6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41" s="74" t="str">
        <f t="shared" si="7"/>
        <v>"C:\Program Files (x86)\AstroGrep\AstroGrep.exe" /e /r /s /spath="%USERPROFILE%\AppData\Local\Temp\OnboardLogs" /stypes="app*4001*20170806*" /stext=" 14:.+((SYSTEM_STATE.+slice.+state.+changed )|(ment ac)|(multiple cpu faults)|(system.+state.+changed )|(\[timeout)|(PRM\|1\|D)|(kpr)|(kdp)|(train st.+moving)|(\|lc)|(penalty))"</v>
      </c>
      <c r="AG41" s="209" t="str">
        <f t="shared" si="8"/>
        <v>EC</v>
      </c>
      <c r="AH41" s="78" t="str">
        <f t="shared" ref="AH41" si="29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128-06 --locoid 4001 --swversion DE.1.0.9.0 --startMP 204:449 --initTime 2017-08-06T06:52:52 --startdatetime 2017-08-06T07:57:16 --delay 1 --endMP 204:233336 --enddatetime 2017-08-06T08:35:23 --enforcementcount 0 &gt;&gt;C:\Users\stu\Documents\GitHub\eaglep3-reporting\EC\2017-08-06-refined-times.txt</v>
      </c>
      <c r="AI41" s="96" t="str">
        <f t="shared" ref="AI41" si="30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{"issue":{"subject":"","project_id":79,"tracker_id":40,"status_id":1,"priority_id":2,"assigned_to_id":23,"start_date":"2017-08-06","description":"","custom_fields":[{"id":1,"name":"Subdivision","value":"EC"},{"id":4,"name":"Milepost","value":"0.0132"},{"id":17,"name":"Train ID","value":"128-06"},{"id":16,"name":"Locomotive ID","value":"4001"},{"id":130,"name":"Impact","value":""},{"id":150,"name":"Time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ref="AM41" si="31">"start /low /b "&amp;dls3logs&amp;" --loco "&amp;B41&amp;" --day "&amp;TEXT(F41,"YYYY-MM-DD")</f>
        <v>start /low /b %USERPROFILE%\Documents\GitHub\eaglep3\Utilities\DownloadLogsFromS3.py --loco 4001 --day 2017-08-06</v>
      </c>
      <c r="AN41" s="151" t="str">
        <f t="shared" ref="AN41" si="32">"echo {""issue"":{""subject"":"""&amp;R41&amp;""",""project_id"":30,""tracker_id"":4,""status_id"":"&amp;redmine_status_wcr&amp;",""priority_id"":"&amp;redmine_priority_wcr&amp;",""assigned_to_id"":"&amp;redmine_assignee_wcr&amp;",""start_date"":"""&amp;TEXT(I41-utc_offset/24,"YYYY-mm-dd")&amp;""",""description"":"""&amp;AJ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</row>
    <row r="42" spans="1:91" s="1" customFormat="1" x14ac:dyDescent="0.25">
      <c r="A42" s="32" t="s">
        <v>717</v>
      </c>
      <c r="B42" s="7">
        <v>4044</v>
      </c>
      <c r="C42" s="21" t="s">
        <v>198</v>
      </c>
      <c r="D42" s="21" t="s">
        <v>348</v>
      </c>
      <c r="E42" s="13">
        <v>42953.297500000001</v>
      </c>
      <c r="F42" s="13">
        <v>42953.30259259259</v>
      </c>
      <c r="G42" s="7">
        <v>2</v>
      </c>
      <c r="H42" s="21" t="s">
        <v>616</v>
      </c>
      <c r="I42" s="13">
        <v>42953.328252314815</v>
      </c>
      <c r="J42" s="7">
        <v>0</v>
      </c>
      <c r="K42" s="89" t="str">
        <f t="shared" si="0"/>
        <v>4043/4044</v>
      </c>
      <c r="L42" s="21" t="str">
        <f>VLOOKUP(A42,'Trips&amp;Operators'!$C$1:$G$99999,5,FALSE)</f>
        <v>WILLIAMS DONTE</v>
      </c>
      <c r="M42" s="6">
        <f t="shared" si="1"/>
        <v>2.5659722225100268E-2</v>
      </c>
      <c r="N42" s="7">
        <f t="shared" si="23"/>
        <v>36.950000004144385</v>
      </c>
      <c r="O42" s="7"/>
      <c r="P42" s="7"/>
      <c r="Q42" s="22"/>
      <c r="R42" s="170"/>
      <c r="S42" s="213">
        <f t="shared" si="24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-08-06T06:08:24-0600',mode:absolute,to:'2017-08-06T08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2" s="197" t="str">
        <f>IF(AA42&lt;VLOOKUP(AG42,Variables!$AC$3:$AD$8,2,FALSE),"Y","N")</f>
        <v>N</v>
      </c>
      <c r="X42" s="197">
        <f t="shared" si="26"/>
        <v>1</v>
      </c>
      <c r="Y42" s="197">
        <f t="shared" ref="Y42:Y47" si="33">RIGHT(D42,LEN(D42)-4)/10000</f>
        <v>4.4699999999999997E-2</v>
      </c>
      <c r="Z42" s="197">
        <f t="shared" ref="Z42:Z47" si="34">RIGHT(H42,LEN(H42)-4)/10000</f>
        <v>23.330100000000002</v>
      </c>
      <c r="AA42" s="197">
        <f t="shared" si="4"/>
        <v>23.285400000000003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5"/>
        <v>129</v>
      </c>
      <c r="AE42" s="77" t="str">
        <f t="shared" si="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42" s="74" t="str">
        <f t="shared" si="7"/>
        <v>"C:\Program Files (x86)\AstroGrep\AstroGrep.exe" /e /r /s /spath="%USERPROFILE%\AppData\Local\Temp\OnboardLogs" /stypes="app*4044*20170806*" /stext=" 13:.+((SYSTEM_STATE.+slice.+state.+changed )|(ment ac)|(multiple cpu faults)|(system.+state.+changed )|(\[timeout)|(PRM\|1\|D)|(kpr)|(kdp)|(train st.+moving)|(\|lc)|(penalty))"</v>
      </c>
      <c r="AG42" s="209" t="str">
        <f t="shared" si="8"/>
        <v>EC</v>
      </c>
      <c r="AH42" s="78" t="str">
        <f t="shared" si="13"/>
        <v>"%USERPROFILE%\Documents\GitHub\eaglep3\Utilities\RefineRTDCRunTimes.py" --tripid 129-06 --locoid 4044 --swversion DE.1.0.9.0 --startMP 204:447 --initTime 2017-08-06T07:08:24 --startdatetime 2017-08-06T07:15:44 --delay 2 --endMP 204:233301 --enddatetime 2017-08-06T07:52:41 --enforcementcount 0 &gt;&gt;C:\Users\stu\Documents\GitHub\eaglep3-reporting\EC\2017-08-06-refined-times.txt</v>
      </c>
      <c r="AI4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{"issue":{"subject":"","project_id":79,"tracker_id":40,"status_id":1,"priority_id":2,"assigned_to_id":23,"start_date":"2017-08-06","description":"","custom_fields":[{"id":1,"name":"Subdivision","value":"EC"},{"id":4,"name":"Milepost","value":"23.3301"},{"id":17,"name":"Train ID","value":"129-06"},{"id":16,"name":"Locomotive ID","value":"4044"},{"id":130,"name":"Impact","value":""},{"id":150,"name":"Time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5"/>
        <v>start /low /b %USERPROFILE%\Documents\GitHub\eaglep3\Utilities\DownloadLogsFromS3.py --loco 4044 --day 2017-08-06</v>
      </c>
      <c r="AN4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725</v>
      </c>
      <c r="B43" s="7">
        <v>4043</v>
      </c>
      <c r="C43" s="21" t="s">
        <v>198</v>
      </c>
      <c r="D43" s="21" t="s">
        <v>524</v>
      </c>
      <c r="E43" s="13">
        <v>42953.338287037041</v>
      </c>
      <c r="F43" s="13">
        <v>42953.341851851852</v>
      </c>
      <c r="G43" s="7">
        <v>1</v>
      </c>
      <c r="H43" s="21" t="s">
        <v>342</v>
      </c>
      <c r="I43" s="13">
        <v>42953.36855324074</v>
      </c>
      <c r="J43" s="7">
        <v>0</v>
      </c>
      <c r="K43" s="89" t="str">
        <f t="shared" si="0"/>
        <v>4043/4044</v>
      </c>
      <c r="L43" s="21" t="str">
        <f>VLOOKUP(A43,'Trips&amp;Operators'!$C$1:$G$99999,5,FALSE)</f>
        <v>WILLIAMS DONTE</v>
      </c>
      <c r="M43" s="6">
        <f t="shared" si="1"/>
        <v>2.6701388887886424E-2</v>
      </c>
      <c r="N43" s="7">
        <f t="shared" si="23"/>
        <v>38.44999999855645</v>
      </c>
      <c r="O43" s="7"/>
      <c r="P43" s="7"/>
      <c r="Q43" s="22"/>
      <c r="R43" s="170"/>
      <c r="S43" s="213">
        <f t="shared" si="24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-08-06T07:07:08-0600',mode:absolute,to:'2017-08-06T09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3" s="197" t="str">
        <f>IF(AA43&lt;VLOOKUP(AG43,Variables!$AC$3:$AD$8,2,FALSE),"Y","N")</f>
        <v>N</v>
      </c>
      <c r="X43" s="197">
        <f t="shared" si="26"/>
        <v>1</v>
      </c>
      <c r="Y43" s="197">
        <f t="shared" si="33"/>
        <v>23.3003</v>
      </c>
      <c r="Z43" s="197">
        <f t="shared" si="34"/>
        <v>1.49E-2</v>
      </c>
      <c r="AA43" s="197">
        <f t="shared" si="4"/>
        <v>23.285399999999999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5"/>
        <v>130</v>
      </c>
      <c r="AE43" s="77" t="str">
        <f t="shared" si="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43" s="74" t="str">
        <f t="shared" si="7"/>
        <v>"C:\Program Files (x86)\AstroGrep\AstroGrep.exe" /e /r /s /spath="%USERPROFILE%\AppData\Local\Temp\OnboardLogs" /stypes="app*4043*20170806*" /stext=" 14:.+((SYSTEM_STATE.+slice.+state.+changed )|(ment ac)|(multiple cpu faults)|(system.+state.+changed )|(\[timeout)|(PRM\|1\|D)|(kpr)|(kdp)|(train st.+moving)|(\|lc)|(penalty))"</v>
      </c>
      <c r="AG43" s="209" t="str">
        <f t="shared" si="8"/>
        <v>EC</v>
      </c>
      <c r="AH43" s="78" t="str">
        <f t="shared" si="13"/>
        <v>"%USERPROFILE%\Documents\GitHub\eaglep3\Utilities\RefineRTDCRunTimes.py" --tripid 130-06 --locoid 4043 --swversion DE.1.0.9.0 --startMP 204:233003 --initTime 2017-08-06T08:07:08 --startdatetime 2017-08-06T08:12:16 --delay 1 --endMP 204:149 --enddatetime 2017-08-06T08:50:43 --enforcementcount 0 &gt;&gt;C:\Users\stu\Documents\GitHub\eaglep3-reporting\EC\2017-08-06-refined-times.txt</v>
      </c>
      <c r="AI4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ID","value":"130-06"},{"id":16,"name":"Locomotive ID","value":"4043"},{"id":130,"name":"Impact","value":""},{"id":150,"name":"Time of Event (Mountain Time)","value":"08:50:43"},{"id":151,"name":"Denver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5"/>
        <v>start /low /b %USERPROFILE%\Documents\GitHub\eaglep3\Utilities\DownloadLogsFromS3.py --loco 4043 --day 2017-08-06</v>
      </c>
      <c r="AN4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718</v>
      </c>
      <c r="B44" s="7">
        <v>4030</v>
      </c>
      <c r="C44" s="21" t="s">
        <v>198</v>
      </c>
      <c r="D44" s="21" t="s">
        <v>615</v>
      </c>
      <c r="E44" s="13">
        <v>42953.310601851852</v>
      </c>
      <c r="F44" s="13">
        <v>42953.31318287037</v>
      </c>
      <c r="G44" s="7">
        <v>1</v>
      </c>
      <c r="H44" s="21" t="s">
        <v>892</v>
      </c>
      <c r="I44" s="13">
        <v>42953.337384259263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MACDONALD THOMAS</v>
      </c>
      <c r="M44" s="6">
        <f t="shared" si="1"/>
        <v>2.4201388892834075E-2</v>
      </c>
      <c r="N44" s="7">
        <f t="shared" si="23"/>
        <v>34.850000005681068</v>
      </c>
      <c r="O44" s="7"/>
      <c r="P44" s="7"/>
      <c r="Q44" s="22"/>
      <c r="R44" s="170"/>
      <c r="S44" s="213">
        <f t="shared" si="24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-08-06T06:27:16-0600',mode:absolute,to:'2017-08-06T09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97" t="str">
        <f>IF(AA44&lt;VLOOKUP(AG44,Variables!$AC$3:$AD$8,2,FALSE),"Y","N")</f>
        <v>N</v>
      </c>
      <c r="X44" s="197">
        <f t="shared" si="26"/>
        <v>1</v>
      </c>
      <c r="Y44" s="197">
        <f t="shared" si="33"/>
        <v>4.7699999999999999E-2</v>
      </c>
      <c r="Z44" s="197">
        <f t="shared" si="34"/>
        <v>23.328700000000001</v>
      </c>
      <c r="AA44" s="197">
        <f t="shared" si="4"/>
        <v>23.281000000000002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5"/>
        <v>131</v>
      </c>
      <c r="AE44" s="77" t="str">
        <f t="shared" si="6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44" s="74" t="str">
        <f t="shared" si="7"/>
        <v>"C:\Program Files (x86)\AstroGrep\AstroGrep.exe" /e /r /s /spath="%USERPROFILE%\AppData\Local\Temp\OnboardLogs" /stypes="app*4030*20170806*" /stext=" 14:.+((SYSTEM_STATE.+slice.+state.+changed )|(ment ac)|(multiple cpu faults)|(system.+state.+changed )|(\[timeout)|(PRM\|1\|D)|(kpr)|(kdp)|(train st.+moving)|(\|lc)|(penalty))"</v>
      </c>
      <c r="AG44" s="209" t="str">
        <f t="shared" si="8"/>
        <v>EC</v>
      </c>
      <c r="AH44" s="78" t="str">
        <f t="shared" si="13"/>
        <v>"%USERPROFILE%\Documents\GitHub\eaglep3\Utilities\RefineRTDCRunTimes.py" --tripid 131-06 --locoid 4030 --swversion DE.1.0.9.0 --startMP 204:477 --initTime 2017-08-06T07:27:16 --startdatetime 2017-08-06T07:30:59 --delay 1 --endMP 204:233287 --enddatetime 2017-08-06T08:05:50 --enforcementcount 0 &gt;&gt;C:\Users\stu\Documents\GitHub\eaglep3-reporting\EC\2017-08-06-refined-times.txt</v>
      </c>
      <c r="AI4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{"issue":{"subject":"","project_id":79,"tracker_id":40,"status_id":1,"priority_id":2,"assigned_to_id":23,"start_date":"2017-08-06","description":"","custom_fields":[{"id":1,"name":"Subdivision","value":"EC"},{"id":4,"name":"Milepost","value":"23.3287"},{"id":17,"name":"Train ID","value":"131-06"},{"id":16,"name":"Locomotive ID","value":"4030"},{"id":130,"name":"Impact","value":""},{"id":150,"name":"Time of Event (Mountain Time)","value":"08:05:50"},{"id":151,"name":"Denver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5"/>
        <v>start /low /b %USERPROFILE%\Documents\GitHub\eaglep3\Utilities\DownloadLogsFromS3.py --loco 4030 --day 2017-08-06</v>
      </c>
      <c r="AN4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727</v>
      </c>
      <c r="B45" s="7">
        <v>4029</v>
      </c>
      <c r="C45" s="21" t="s">
        <v>198</v>
      </c>
      <c r="D45" s="21" t="s">
        <v>563</v>
      </c>
      <c r="E45" s="13">
        <v>42953.34101851852</v>
      </c>
      <c r="F45" s="13">
        <v>42953.352719907409</v>
      </c>
      <c r="G45" s="7">
        <v>0</v>
      </c>
      <c r="H45" s="21" t="s">
        <v>341</v>
      </c>
      <c r="I45" s="13">
        <v>42953.379421296297</v>
      </c>
      <c r="J45" s="7">
        <v>0</v>
      </c>
      <c r="K45" s="89" t="str">
        <f t="shared" si="0"/>
        <v>4029/4030</v>
      </c>
      <c r="L45" s="21" t="str">
        <f>VLOOKUP(A45,'Trips&amp;Operators'!$C$1:$G$99999,5,FALSE)</f>
        <v>MACDONALD THOMAS</v>
      </c>
      <c r="M45" s="6">
        <f t="shared" si="1"/>
        <v>2.6701388887886424E-2</v>
      </c>
      <c r="N45" s="7">
        <f t="shared" si="23"/>
        <v>38.44999999855645</v>
      </c>
      <c r="O45" s="7"/>
      <c r="P45" s="7"/>
      <c r="Q45" s="22"/>
      <c r="R45" s="170"/>
      <c r="S45" s="213">
        <f t="shared" si="24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-08-06T07:11:04-0600',mode:absolute,to:'2017-08-06T10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97" t="str">
        <f>IF(AA45&lt;VLOOKUP(AG45,Variables!$AC$3:$AD$8,2,FALSE),"Y","N")</f>
        <v>N</v>
      </c>
      <c r="X45" s="197">
        <f t="shared" si="26"/>
        <v>1</v>
      </c>
      <c r="Y45" s="197">
        <f t="shared" si="33"/>
        <v>23.2972</v>
      </c>
      <c r="Z45" s="197">
        <f t="shared" si="34"/>
        <v>1.4999999999999999E-2</v>
      </c>
      <c r="AA45" s="197">
        <f t="shared" si="4"/>
        <v>23.2822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5"/>
        <v>132</v>
      </c>
      <c r="AE45" s="77" t="str">
        <f t="shared" si="6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45" s="74" t="str">
        <f t="shared" si="7"/>
        <v>"C:\Program Files (x86)\AstroGrep\AstroGrep.exe" /e /r /s /spath="%USERPROFILE%\AppData\Local\Temp\OnboardLogs" /stypes="app*4029*20170806*" /stext=" 15:.+((SYSTEM_STATE.+slice.+state.+changed )|(ment ac)|(multiple cpu faults)|(system.+state.+changed )|(\[timeout)|(PRM\|1\|D)|(kpr)|(kdp)|(train st.+moving)|(\|lc)|(penalty))"</v>
      </c>
      <c r="AG45" s="209" t="str">
        <f t="shared" si="8"/>
        <v>EC</v>
      </c>
      <c r="AH45" s="78" t="str">
        <f t="shared" si="13"/>
        <v>"%USERPROFILE%\Documents\GitHub\eaglep3\Utilities\RefineRTDCRunTimes.py" --tripid 132-06 --locoid 4029 --swversion DE.1.0.9.0 --startMP 204:232972 --initTime 2017-08-06T08:11:04 --startdatetime 2017-08-06T08:27:55 --delay 0 --endMP 204:150 --enddatetime 2017-08-06T09:06:22 --enforcementcount 0 &gt;&gt;C:\Users\stu\Documents\GitHub\eaglep3-reporting\EC\2017-08-06-refined-times.txt</v>
      </c>
      <c r="AI4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{"issue":{"subject":"","project_id":79,"tracker_id":40,"status_id":1,"priority_id":2,"assigned_to_id":23,"start_date":"2017-08-06","description":"","custom_fields":[{"id":1,"name":"Subdivision","value":"EC"},{"id":4,"name":"Milepost","value":"0.015"},{"id":17,"name":"Train ID","value":"132-06"},{"id":16,"name":"Locomotive ID","value":"4029"},{"id":130,"name":"Impact","value":""},{"id":150,"name":"Time of Event (Mountain Time)","value":"09:06:22"},{"id":151,"name":"Denver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5"/>
        <v>start /low /b %USERPROFILE%\Documents\GitHub\eaglep3\Utilities\DownloadLogsFromS3.py --loco 4029 --day 2017-08-06</v>
      </c>
      <c r="AN4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721</v>
      </c>
      <c r="B46" s="7">
        <v>4006</v>
      </c>
      <c r="C46" s="21" t="s">
        <v>198</v>
      </c>
      <c r="D46" s="21" t="s">
        <v>452</v>
      </c>
      <c r="E46" s="13">
        <v>42953.318032407406</v>
      </c>
      <c r="F46" s="13">
        <v>42953.323414351849</v>
      </c>
      <c r="G46" s="7">
        <v>1</v>
      </c>
      <c r="H46" s="21" t="s">
        <v>890</v>
      </c>
      <c r="I46" s="13">
        <v>42953.347754629627</v>
      </c>
      <c r="J46" s="7">
        <v>0</v>
      </c>
      <c r="K46" s="89" t="str">
        <f t="shared" si="0"/>
        <v>4005/4006</v>
      </c>
      <c r="L46" s="21" t="str">
        <f>VLOOKUP(A46,'Trips&amp;Operators'!$C$1:$G$99999,5,FALSE)</f>
        <v>DAVIS WENDY</v>
      </c>
      <c r="M46" s="6">
        <f t="shared" si="1"/>
        <v>2.4340277777810115E-2</v>
      </c>
      <c r="N46" s="7">
        <f t="shared" si="23"/>
        <v>35.050000000046566</v>
      </c>
      <c r="O46" s="7"/>
      <c r="P46" s="7"/>
      <c r="Q46" s="22"/>
      <c r="R46" s="170"/>
      <c r="S46" s="213">
        <f t="shared" si="24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-08-06T06:37:58-0600',mode:absolute,to:'2017-08-06T09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6" s="197" t="str">
        <f>IF(AA46&lt;VLOOKUP(AG46,Variables!$AC$3:$AD$8,2,FALSE),"Y","N")</f>
        <v>N</v>
      </c>
      <c r="X46" s="197">
        <f t="shared" si="26"/>
        <v>1</v>
      </c>
      <c r="Y46" s="197">
        <f t="shared" si="33"/>
        <v>4.5699999999999998E-2</v>
      </c>
      <c r="Z46" s="197">
        <f t="shared" si="34"/>
        <v>23.331600000000002</v>
      </c>
      <c r="AA46" s="197">
        <f t="shared" si="4"/>
        <v>23.285900000000002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5"/>
        <v>133</v>
      </c>
      <c r="AE46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46" s="74" t="str">
        <f t="shared" si="7"/>
        <v>"C:\Program Files (x86)\AstroGrep\AstroGrep.exe" /e /r /s /spath="%USERPROFILE%\AppData\Local\Temp\OnboardLogs" /stypes="app*4006*20170806*" /stext=" 14:.+((SYSTEM_STATE.+slice.+state.+changed )|(ment ac)|(multiple cpu faults)|(system.+state.+changed )|(\[timeout)|(PRM\|1\|D)|(kpr)|(kdp)|(train st.+moving)|(\|lc)|(penalty))"</v>
      </c>
      <c r="AG46" s="209" t="str">
        <f t="shared" si="8"/>
        <v>EC</v>
      </c>
      <c r="AH46" s="78" t="str">
        <f t="shared" si="13"/>
        <v>"%USERPROFILE%\Documents\GitHub\eaglep3\Utilities\RefineRTDCRunTimes.py" --tripid 133-06 --locoid 4006 --swversion DE.1.0.9.0 --startMP 204:457 --initTime 2017-08-06T07:37:58 --startdatetime 2017-08-06T07:45:43 --delay 1 --endMP 204:233316 --enddatetime 2017-08-06T08:20:46 --enforcementcount 0 &gt;&gt;C:\Users\stu\Documents\GitHub\eaglep3-reporting\EC\2017-08-06-refined-times.txt</v>
      </c>
      <c r="AI4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{"issue":{"subject":"","project_id":79,"tracker_id":40,"status_id":1,"priority_id":2,"assigned_to_id":23,"start_date":"2017-08-06","description":"","custom_fields":[{"id":1,"name":"Subdivision","value":"EC"},{"id":4,"name":"Milepost","value":"23.3316"},{"id":17,"name":"Train ID","value":"133-06"},{"id":16,"name":"Locomotive ID","value":"4006"},{"id":130,"name":"Impact","value":""},{"id":150,"name":"Time of Event (Mountain Time)","value":"08:20:46"},{"id":151,"name":"Denver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5"/>
        <v>start /low /b %USERPROFILE%\Documents\GitHub\eaglep3\Utilities\DownloadLogsFromS3.py --loco 4006 --day 2017-08-06</v>
      </c>
      <c r="AN4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729</v>
      </c>
      <c r="B47" s="7">
        <v>4005</v>
      </c>
      <c r="C47" s="21" t="s">
        <v>198</v>
      </c>
      <c r="D47" s="21" t="s">
        <v>390</v>
      </c>
      <c r="E47" s="13">
        <v>42953.358553240738</v>
      </c>
      <c r="F47" s="13">
        <v>42953.362673611111</v>
      </c>
      <c r="G47" s="7">
        <v>1</v>
      </c>
      <c r="H47" s="21" t="s">
        <v>444</v>
      </c>
      <c r="I47" s="13">
        <v>42953.389282407406</v>
      </c>
      <c r="J47" s="7">
        <v>0</v>
      </c>
      <c r="K47" s="89" t="str">
        <f t="shared" si="0"/>
        <v>4005/4006</v>
      </c>
      <c r="L47" s="21" t="str">
        <f>VLOOKUP(A47,'Trips&amp;Operators'!$C$1:$G$99999,5,FALSE)</f>
        <v>DAVIS WENDY</v>
      </c>
      <c r="M47" s="6">
        <f t="shared" si="1"/>
        <v>2.6608796295477077E-2</v>
      </c>
      <c r="N47" s="7">
        <f t="shared" si="23"/>
        <v>38.316666665486991</v>
      </c>
      <c r="O47" s="7"/>
      <c r="P47" s="7"/>
      <c r="Q47" s="22"/>
      <c r="R47" s="170"/>
      <c r="S47" s="213">
        <f t="shared" si="24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-08-06T07:36:19-0600',mode:absolute,to:'2017-08-06T10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7" s="197" t="str">
        <f>IF(AA47&lt;VLOOKUP(AG47,Variables!$AC$3:$AD$8,2,FALSE),"Y","N")</f>
        <v>N</v>
      </c>
      <c r="X47" s="197">
        <f t="shared" si="26"/>
        <v>1</v>
      </c>
      <c r="Y47" s="197">
        <f t="shared" si="33"/>
        <v>23.299600000000002</v>
      </c>
      <c r="Z47" s="197">
        <f t="shared" si="34"/>
        <v>1.52E-2</v>
      </c>
      <c r="AA47" s="197">
        <f t="shared" si="4"/>
        <v>23.284400000000002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5"/>
        <v>134</v>
      </c>
      <c r="AE47" s="77" t="str">
        <f t="shared" si="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47" s="74" t="str">
        <f t="shared" si="7"/>
        <v>"C:\Program Files (x86)\AstroGrep\AstroGrep.exe" /e /r /s /spath="%USERPROFILE%\AppData\Local\Temp\OnboardLogs" /stypes="app*4005*20170806*" /stext=" 15:.+((SYSTEM_STATE.+slice.+state.+changed )|(ment ac)|(multiple cpu faults)|(system.+state.+changed )|(\[timeout)|(PRM\|1\|D)|(kpr)|(kdp)|(train st.+moving)|(\|lc)|(penalty))"</v>
      </c>
      <c r="AG47" s="209" t="str">
        <f t="shared" si="8"/>
        <v>EC</v>
      </c>
      <c r="AH47" s="78" t="str">
        <f t="shared" si="13"/>
        <v>"%USERPROFILE%\Documents\GitHub\eaglep3\Utilities\RefineRTDCRunTimes.py" --tripid 134-06 --locoid 4005 --swversion DE.1.0.9.0 --startMP 204:232996 --initTime 2017-08-06T08:36:19 --startdatetime 2017-08-06T08:42:15 --delay 1 --endMP 204:152 --enddatetime 2017-08-06T09:20:34 --enforcementcount 0 &gt;&gt;C:\Users\stu\Documents\GitHub\eaglep3-reporting\EC\2017-08-06-refined-times.txt</v>
      </c>
      <c r="AI4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ID","value":"134-06"},{"id":16,"name":"Locomotive ID","value":"4005"},{"id":130,"name":"Impact","value":""},{"id":150,"name":"Time of Event (Mountain Time)","value":"09:20:34"},{"id":151,"name":"Denver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5"/>
        <v>start /low /b %USERPROFILE%\Documents\GitHub\eaglep3\Utilities\DownloadLogsFromS3.py --loco 4005 --day 2017-08-06</v>
      </c>
      <c r="AN4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723</v>
      </c>
      <c r="B48" s="7">
        <v>4004</v>
      </c>
      <c r="C48" s="21" t="s">
        <v>198</v>
      </c>
      <c r="D48" s="21" t="s">
        <v>390</v>
      </c>
      <c r="E48" s="13">
        <v>42953.358553240738</v>
      </c>
      <c r="F48" s="13">
        <v>42953.33384259259</v>
      </c>
      <c r="G48" s="7">
        <v>1</v>
      </c>
      <c r="H48" s="21" t="s">
        <v>444</v>
      </c>
      <c r="I48" s="13">
        <v>42953.358564814815</v>
      </c>
      <c r="J48" s="7">
        <v>0</v>
      </c>
      <c r="K48" s="89" t="str">
        <f t="shared" si="0"/>
        <v>4003/4004</v>
      </c>
      <c r="L48" s="21" t="str">
        <f>VLOOKUP(A48,'Trips&amp;Operators'!$C$1:$G$99999,5,FALSE)</f>
        <v>LALONDE GREGORY</v>
      </c>
      <c r="M48" s="6">
        <f t="shared" si="1"/>
        <v>2.4722222224227153E-2</v>
      </c>
      <c r="N48" s="7">
        <f t="shared" si="23"/>
        <v>35.6000000028871</v>
      </c>
      <c r="O48" s="7"/>
      <c r="P48" s="7"/>
      <c r="Q48" s="22"/>
      <c r="R48" s="170"/>
      <c r="S48" s="213">
        <f t="shared" si="24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-08-06T07:36:19-0600',mode:absolute,to:'2017-08-06T09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8" s="197" t="str">
        <f>IF(AA48&lt;VLOOKUP(AG48,Variables!$AC$3:$AD$8,2,FALSE),"Y","N")</f>
        <v>N</v>
      </c>
      <c r="X48" s="197">
        <f t="shared" si="26"/>
        <v>1</v>
      </c>
      <c r="Y48" s="197">
        <v>4.6199999999999998E-2</v>
      </c>
      <c r="Z48" s="197">
        <v>23.3278</v>
      </c>
      <c r="AA48" s="197">
        <f t="shared" si="4"/>
        <v>23.281600000000001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5"/>
        <v>135</v>
      </c>
      <c r="AE48" s="77" t="str">
        <f t="shared" si="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48" s="74" t="str">
        <f t="shared" si="7"/>
        <v>"C:\Program Files (x86)\AstroGrep\AstroGrep.exe" /e /r /s /spath="%USERPROFILE%\AppData\Local\Temp\OnboardLogs" /stypes="app*4004*20170806*" /stext=" 14:.+((SYSTEM_STATE.+slice.+state.+changed )|(ment ac)|(multiple cpu faults)|(system.+state.+changed )|(\[timeout)|(PRM\|1\|D)|(kpr)|(kdp)|(train st.+moving)|(\|lc)|(penalty))"</v>
      </c>
      <c r="AG48" s="209" t="str">
        <f t="shared" si="8"/>
        <v>EC</v>
      </c>
      <c r="AH48" s="78" t="str">
        <f t="shared" ref="AH48" si="35"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"&amp;J48&amp;IF(outputrefinedruntimes," &gt;&gt;"&amp;RefinedRTDCRunTimesOutputFile,"")</f>
        <v>"%USERPROFILE%\Documents\GitHub\eaglep3\Utilities\RefineRTDCRunTimes.py" --tripid 135-06 --locoid 4004 --swversion DE.1.0.9.0 --startMP 204:232996 --initTime 2017-08-06T08:36:19 --startdatetime 2017-08-06T08:00:44 --delay 1 --endMP 204:152 --enddatetime 2017-08-06T08:36:20 --enforcementcount 0 &gt;&gt;C:\Users\stu\Documents\GitHub\eaglep3-reporting\EC\2017-08-06-refined-times.txt</v>
      </c>
      <c r="AI48" s="96" t="str">
        <f t="shared" ref="AI48" si="36">"echo {""issue"":{""subject"":"""&amp;R48&amp;""",""project_id"":79,""tracker_id"":40,""status_id"":"&amp;redmine_status&amp;",""priority_id"":"&amp;redmine_priority&amp;",""assigned_to_id"":"&amp;redmine_assignee&amp;",""start_date"":"""&amp;TEXT(I48,"YYYY-mm-dd")&amp;""",""description"":"""&amp;AJ48&amp;""",""custom_fields"":[{""id"":1,""name"":""Subdivision"",""value"":"""&amp;AG48&amp;"""},{""id"":4,""name"":""Milepost"",""value"":"""&amp;Z48&amp;"""},{""id"":17,""name"":""Train ID"",""value"":"""&amp;A48&amp;"""},{""id"":16,""name"":""Locomotive ID"",""value"":"""&amp;B48&amp;"""},{""id"":130,""name"":""Impact"",""value"":"""&amp;AK48&amp;"""},{""id"":150,""name"":""Time of Event (Mountain Time)"",""value"":"""&amp;TEXT(I48,"hh:mm:ss")&amp;"""},{""id"":151,""name"":""Denver Issue ID"",""value"":"""&amp;"""},{""id"":178,""name"":""Operational Impact"",""value"":"""&amp;redmine_op_impact&amp;"""},{""id"":179,""name"":""Denver Segment Assigned"",""value"":"""&amp;AL48&amp;"""}]}}"&amp;"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{"issue":{"subject":"","project_id":79,"tracker_id":40,"status_id":1,"priority_id":2,"assigned_to_id":23,"start_date":"2017-08-06","description":"","custom_fields":[{"id":1,"name":"Subdivision","value":"EC"},{"id":4,"name":"Milepost","value":"23.3278"},{"id":17,"name":"Train ID","value":"135-06"},{"id":16,"name":"Locomotive ID","value":"4004"},{"id":130,"name":"Impact","value":""},{"id":150,"name":"Time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ref="AM48" si="37">"start /low /b "&amp;dls3logs&amp;" --loco "&amp;B48&amp;" --day "&amp;TEXT(F48,"YYYY-MM-DD")</f>
        <v>start /low /b %USERPROFILE%\Documents\GitHub\eaglep3\Utilities\DownloadLogsFromS3.py --loco 4004 --day 2017-08-06</v>
      </c>
      <c r="AN48" s="151" t="str">
        <f t="shared" ref="AN48" si="38">"echo {""issue"":{""subject"":"""&amp;R48&amp;""",""project_id"":30,""tracker_id"":4,""status_id"":"&amp;redmine_status_wcr&amp;",""priority_id"":"&amp;redmine_priority_wcr&amp;",""assigned_to_id"":"&amp;redmine_assignee_wcr&amp;",""start_date"":"""&amp;TEXT(I48-utc_offset/24,"YYYY-mm-dd")&amp;""",""description"":"""&amp;AJ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</row>
    <row r="49" spans="1:91" s="1" customFormat="1" x14ac:dyDescent="0.25">
      <c r="A49" s="32" t="s">
        <v>732</v>
      </c>
      <c r="B49" s="7">
        <v>4003</v>
      </c>
      <c r="C49" s="21" t="s">
        <v>198</v>
      </c>
      <c r="D49" s="21" t="s">
        <v>888</v>
      </c>
      <c r="E49" s="13">
        <v>42953.360439814816</v>
      </c>
      <c r="F49" s="13">
        <v>42953.373124999998</v>
      </c>
      <c r="G49" s="7">
        <v>1</v>
      </c>
      <c r="H49" s="21" t="s">
        <v>893</v>
      </c>
      <c r="I49" s="13">
        <v>42953.398935185185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LALONDE GREGORY</v>
      </c>
      <c r="M49" s="6">
        <f t="shared" si="1"/>
        <v>2.5810185186855961E-2</v>
      </c>
      <c r="N49" s="7">
        <f t="shared" si="23"/>
        <v>37.166666669072583</v>
      </c>
      <c r="O49" s="7"/>
      <c r="P49" s="7"/>
      <c r="Q49" s="22"/>
      <c r="R49" s="170"/>
      <c r="S49" s="213">
        <f t="shared" si="24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-08-06T07:39:02-0600',mode:absolute,to:'2017-08-06T10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97" t="str">
        <f>IF(AA49&lt;VLOOKUP(AG49,Variables!$AC$3:$AD$8,2,FALSE),"Y","N")</f>
        <v>N</v>
      </c>
      <c r="X49" s="197">
        <f t="shared" si="26"/>
        <v>1</v>
      </c>
      <c r="Y49" s="197">
        <f t="shared" ref="Y49:Y80" si="39">RIGHT(D49,LEN(D49)-4)/10000</f>
        <v>23.3017</v>
      </c>
      <c r="Z49" s="197">
        <f t="shared" ref="Z49:Z80" si="40">RIGHT(H49,LEN(H49)-4)/10000</f>
        <v>1.6899999999999998E-2</v>
      </c>
      <c r="AA49" s="197">
        <f t="shared" si="4"/>
        <v>23.284800000000001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5"/>
        <v>136</v>
      </c>
      <c r="AE49" s="77" t="str">
        <f t="shared" si="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49" s="74" t="str">
        <f t="shared" si="7"/>
        <v>"C:\Program Files (x86)\AstroGrep\AstroGrep.exe" /e /r /s /spath="%USERPROFILE%\AppData\Local\Temp\OnboardLogs" /stypes="app*4003*20170806*" /stext=" 15:.+((SYSTEM_STATE.+slice.+state.+changed )|(ment ac)|(multiple cpu faults)|(system.+state.+changed )|(\[timeout)|(PRM\|1\|D)|(kpr)|(kdp)|(train st.+moving)|(\|lc)|(penalty))"</v>
      </c>
      <c r="AG49" s="209" t="str">
        <f t="shared" si="8"/>
        <v>EC</v>
      </c>
      <c r="AH49" s="78" t="str">
        <f t="shared" si="13"/>
        <v>"%USERPROFILE%\Documents\GitHub\eaglep3\Utilities\RefineRTDCRunTimes.py" --tripid 136-06 --locoid 4003 --swversion DE.1.0.9.0 --startMP 204:233017 --initTime 2017-08-06T08:39:02 --startdatetime 2017-08-06T08:57:18 --delay 1 --endMP 204:169 --enddatetime 2017-08-06T09:34:28 --enforcementcount 0 &gt;&gt;C:\Users\stu\Documents\GitHub\eaglep3-reporting\EC\2017-08-06-refined-times.txt</v>
      </c>
      <c r="AI4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{"issue":{"subject":"","project_id":79,"tracker_id":40,"status_id":1,"priority_id":2,"assigned_to_id":23,"start_date":"2017-08-06","description":"","custom_fields":[{"id":1,"name":"Subdivision","value":"EC"},{"id":4,"name":"Milepost","value":"0.0169"},{"id":17,"name":"Train ID","value":"136-06"},{"id":16,"name":"Locomotive ID","value":"4003"},{"id":130,"name":"Impact","value":""},{"id":150,"name":"Time of Event (Mountain Time)","value":"09:34:28"},{"id":151,"name":"Denver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5"/>
        <v>start /low /b %USERPROFILE%\Documents\GitHub\eaglep3\Utilities\DownloadLogsFromS3.py --loco 4003 --day 2017-08-06</v>
      </c>
      <c r="AN4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726</v>
      </c>
      <c r="B50" s="7">
        <v>4066</v>
      </c>
      <c r="C50" s="21" t="s">
        <v>198</v>
      </c>
      <c r="D50" s="21" t="s">
        <v>376</v>
      </c>
      <c r="E50" s="13">
        <v>42953.339282407411</v>
      </c>
      <c r="F50" s="13">
        <v>42953.344259259262</v>
      </c>
      <c r="G50" s="7">
        <v>1</v>
      </c>
      <c r="H50" s="21" t="s">
        <v>564</v>
      </c>
      <c r="I50" s="13">
        <v>42953.36822916667</v>
      </c>
      <c r="J50" s="7">
        <v>0</v>
      </c>
      <c r="K50" s="89" t="str">
        <f t="shared" si="0"/>
        <v>4065/4066</v>
      </c>
      <c r="L50" s="21" t="str">
        <f>VLOOKUP(A50,'Trips&amp;Operators'!$C$1:$G$99999,5,FALSE)</f>
        <v>GEBRETEKLE DAGNEW</v>
      </c>
      <c r="M50" s="6">
        <f t="shared" si="1"/>
        <v>2.396990740817273E-2</v>
      </c>
      <c r="N50" s="7">
        <f t="shared" si="23"/>
        <v>34.516666667768732</v>
      </c>
      <c r="O50" s="7"/>
      <c r="P50" s="7"/>
      <c r="Q50" s="22"/>
      <c r="R50" s="170"/>
      <c r="S50" s="213">
        <f t="shared" si="24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-08-06T07:08:34-0600',mode:absolute,to:'2017-08-06T09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0" s="197" t="str">
        <f>IF(AA50&lt;VLOOKUP(AG50,Variables!$AC$3:$AD$8,2,FALSE),"Y","N")</f>
        <v>N</v>
      </c>
      <c r="X50" s="197">
        <f t="shared" si="26"/>
        <v>1</v>
      </c>
      <c r="Y50" s="197">
        <f t="shared" si="39"/>
        <v>4.6199999999999998E-2</v>
      </c>
      <c r="Z50" s="197">
        <f t="shared" si="40"/>
        <v>23.3278</v>
      </c>
      <c r="AA50" s="197">
        <f t="shared" si="4"/>
        <v>23.281600000000001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5"/>
        <v>137</v>
      </c>
      <c r="AE50" s="77" t="str">
        <f t="shared" si="6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50" s="74" t="str">
        <f t="shared" si="7"/>
        <v>"C:\Program Files (x86)\AstroGrep\AstroGrep.exe" /e /r /s /spath="%USERPROFILE%\AppData\Local\Temp\OnboardLogs" /stypes="app*4066*20170806*" /stext=" 14:.+((SYSTEM_STATE.+slice.+state.+changed )|(ment ac)|(multiple cpu faults)|(system.+state.+changed )|(\[timeout)|(PRM\|1\|D)|(kpr)|(kdp)|(train st.+moving)|(\|lc)|(penalty))"</v>
      </c>
      <c r="AG50" s="209" t="str">
        <f t="shared" si="8"/>
        <v>EC</v>
      </c>
      <c r="AH50" s="78" t="str">
        <f t="shared" si="13"/>
        <v>"%USERPROFILE%\Documents\GitHub\eaglep3\Utilities\RefineRTDCRunTimes.py" --tripid 137-06 --locoid 4066 --swversion DE.1.0.9.0 --startMP 204:462 --initTime 2017-08-06T08:08:34 --startdatetime 2017-08-06T08:15:44 --delay 1 --endMP 204:233278 --enddatetime 2017-08-06T08:50:15 --enforcementcount 0 &gt;&gt;C:\Users\stu\Documents\GitHub\eaglep3-reporting\EC\2017-08-06-refined-times.txt</v>
      </c>
      <c r="AI5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{"issue":{"subject":"","project_id":79,"tracker_id":40,"status_id":1,"priority_id":2,"assigned_to_id":23,"start_date":"2017-08-06","description":"","custom_fields":[{"id":1,"name":"Subdivision","value":"EC"},{"id":4,"name":"Milepost","value":"23.3278"},{"id":17,"name":"Train ID","value":"137-06"},{"id":16,"name":"Locomotive ID","value":"4066"},{"id":130,"name":"Impact","value":""},{"id":150,"name":"Time of Event (Mountain Time)","value":"08:50:15"},{"id":151,"name":"Denver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5"/>
        <v>start /low /b %USERPROFILE%\Documents\GitHub\eaglep3\Utilities\DownloadLogsFromS3.py --loco 4066 --day 2017-08-06</v>
      </c>
      <c r="AN5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733</v>
      </c>
      <c r="B51" s="7">
        <v>4065</v>
      </c>
      <c r="C51" s="21" t="s">
        <v>198</v>
      </c>
      <c r="D51" s="21" t="s">
        <v>521</v>
      </c>
      <c r="E51" s="13">
        <v>42953.369502314818</v>
      </c>
      <c r="F51" s="13">
        <v>42953.38349537037</v>
      </c>
      <c r="G51" s="7">
        <v>1</v>
      </c>
      <c r="H51" s="21" t="s">
        <v>443</v>
      </c>
      <c r="I51" s="13">
        <v>42953.409502314818</v>
      </c>
      <c r="J51" s="7">
        <v>0</v>
      </c>
      <c r="K51" s="89" t="str">
        <f t="shared" si="0"/>
        <v>4065/4066</v>
      </c>
      <c r="L51" s="21" t="str">
        <f>VLOOKUP(A51,'Trips&amp;Operators'!$C$1:$G$99999,5,FALSE)</f>
        <v>GEBRETEKLE DAGNEW</v>
      </c>
      <c r="M51" s="6">
        <f t="shared" si="1"/>
        <v>2.6006944448454306E-2</v>
      </c>
      <c r="N51" s="7">
        <f t="shared" ref="N51:N82" si="41">24*60*SUM($M51:$M51)</f>
        <v>37.4500000057742</v>
      </c>
      <c r="O51" s="7"/>
      <c r="P51" s="7"/>
      <c r="Q51" s="22"/>
      <c r="R51" s="170"/>
      <c r="S51" s="213">
        <f t="shared" ref="S51:S82" si="42">1/IF(AG51="EC",12,1)*SUM(U51:U51)</f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-08-06T07:52:05-0600',mode:absolute,to:'2017-08-06T10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1" s="197" t="str">
        <f>IF(AA51&lt;VLOOKUP(AG51,Variables!$AC$3:$AD$8,2,FALSE),"Y","N")</f>
        <v>N</v>
      </c>
      <c r="X51" s="197">
        <f t="shared" si="26"/>
        <v>1</v>
      </c>
      <c r="Y51" s="197">
        <f t="shared" si="39"/>
        <v>23.296299999999999</v>
      </c>
      <c r="Z51" s="197">
        <f t="shared" si="40"/>
        <v>1.5800000000000002E-2</v>
      </c>
      <c r="AA51" s="197">
        <f t="shared" si="4"/>
        <v>23.2805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5"/>
        <v>138</v>
      </c>
      <c r="AE51" s="77" t="str">
        <f t="shared" si="6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51" s="74" t="str">
        <f t="shared" si="7"/>
        <v>"C:\Program Files (x86)\AstroGrep\AstroGrep.exe" /e /r /s /spath="%USERPROFILE%\AppData\Local\Temp\OnboardLogs" /stypes="app*4065*20170806*" /stext=" 15:.+((SYSTEM_STATE.+slice.+state.+changed )|(ment ac)|(multiple cpu faults)|(system.+state.+changed )|(\[timeout)|(PRM\|1\|D)|(kpr)|(kdp)|(train st.+moving)|(\|lc)|(penalty))"</v>
      </c>
      <c r="AG51" s="209" t="str">
        <f t="shared" si="8"/>
        <v>EC</v>
      </c>
      <c r="AH51" s="78" t="str">
        <f t="shared" si="13"/>
        <v>"%USERPROFILE%\Documents\GitHub\eaglep3\Utilities\RefineRTDCRunTimes.py" --tripid 138-06 --locoid 4065 --swversion DE.1.0.9.0 --startMP 204:232963 --initTime 2017-08-06T08:52:05 --startdatetime 2017-08-06T09:12:14 --delay 1 --endMP 204:158 --enddatetime 2017-08-06T09:49:41 --enforcementcount 0 &gt;&gt;C:\Users\stu\Documents\GitHub\eaglep3-reporting\EC\2017-08-06-refined-times.txt</v>
      </c>
      <c r="AI51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ID","value":"138-06"},{"id":16,"name":"Locomotive ID","value":"4065"},{"id":130,"name":"Impact","value":""},{"id":150,"name":"Time of Event (Mountain Time)","value":"09:49:41"},{"id":151,"name":"Denver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5"/>
        <v>start /low /b %USERPROFILE%\Documents\GitHub\eaglep3\Utilities\DownloadLogsFromS3.py --loco 4065 --day 2017-08-06</v>
      </c>
      <c r="AN51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728</v>
      </c>
      <c r="B52" s="7">
        <v>4032</v>
      </c>
      <c r="C52" s="21" t="s">
        <v>198</v>
      </c>
      <c r="D52" s="21" t="s">
        <v>408</v>
      </c>
      <c r="E52" s="13">
        <v>42953.351261574076</v>
      </c>
      <c r="F52" s="13">
        <v>42953.354733796295</v>
      </c>
      <c r="G52" s="7">
        <v>0</v>
      </c>
      <c r="H52" s="21" t="s">
        <v>500</v>
      </c>
      <c r="I52" s="13">
        <v>42953.379374999997</v>
      </c>
      <c r="J52" s="7">
        <v>0</v>
      </c>
      <c r="K52" s="89" t="str">
        <f t="shared" si="0"/>
        <v>4031/4032</v>
      </c>
      <c r="L52" s="21" t="str">
        <f>VLOOKUP(A52,'Trips&amp;Operators'!$C$1:$G$99999,5,FALSE)</f>
        <v>MAELZER KURT</v>
      </c>
      <c r="M52" s="6">
        <f t="shared" si="1"/>
        <v>2.4641203701321501E-2</v>
      </c>
      <c r="N52" s="7">
        <f t="shared" si="41"/>
        <v>35.483333329902962</v>
      </c>
      <c r="O52" s="7"/>
      <c r="P52" s="7"/>
      <c r="Q52" s="22"/>
      <c r="R52" s="170"/>
      <c r="S52" s="213">
        <f t="shared" si="42"/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-08-06T07:25:49-0600',mode:absolute,to:'2017-08-06T10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197" t="str">
        <f>IF(AA52&lt;VLOOKUP(AG52,Variables!$AC$3:$AD$8,2,FALSE),"Y","N")</f>
        <v>N</v>
      </c>
      <c r="X52" s="197">
        <f t="shared" ref="X52:X83" si="43">VALUE(LEFT(AD52,4))-VALUE(LEFT(AD51,4))</f>
        <v>1</v>
      </c>
      <c r="Y52" s="197">
        <f t="shared" si="39"/>
        <v>4.3499999999999997E-2</v>
      </c>
      <c r="Z52" s="197">
        <f t="shared" si="40"/>
        <v>23.331900000000001</v>
      </c>
      <c r="AA52" s="197">
        <f t="shared" si="4"/>
        <v>23.288399999999999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5"/>
        <v>139</v>
      </c>
      <c r="AE52" s="77" t="str">
        <f t="shared" si="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52" s="74" t="str">
        <f t="shared" si="7"/>
        <v>"C:\Program Files (x86)\AstroGrep\AstroGrep.exe" /e /r /s /spath="%USERPROFILE%\AppData\Local\Temp\OnboardLogs" /stypes="app*4032*20170806*" /stext=" 15:.+((SYSTEM_STATE.+slice.+state.+changed )|(ment ac)|(multiple cpu faults)|(system.+state.+changed )|(\[timeout)|(PRM\|1\|D)|(kpr)|(kdp)|(train st.+moving)|(\|lc)|(penalty))"</v>
      </c>
      <c r="AG52" s="209" t="str">
        <f t="shared" si="8"/>
        <v>EC</v>
      </c>
      <c r="AH52" s="78" t="str">
        <f t="shared" si="13"/>
        <v>"%USERPROFILE%\Documents\GitHub\eaglep3\Utilities\RefineRTDCRunTimes.py" --tripid 139-06 --locoid 4032 --swversion DE.1.0.9.0 --startMP 204:435 --initTime 2017-08-06T08:25:49 --startdatetime 2017-08-06T08:30:49 --delay 0 --endMP 204:233319 --enddatetime 2017-08-06T09:06:18 --enforcementcount 0 &gt;&gt;C:\Users\stu\Documents\GitHub\eaglep3-reporting\EC\2017-08-06-refined-times.txt</v>
      </c>
      <c r="AI5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{"issue":{"subject":"","project_id":79,"tracker_id":40,"status_id":1,"priority_id":2,"assigned_to_id":23,"start_date":"2017-08-06","description":"","custom_fields":[{"id":1,"name":"Subdivision","value":"EC"},{"id":4,"name":"Milepost","value":"23.3319"},{"id":17,"name":"Train ID","value":"139-06"},{"id":16,"name":"Locomotive ID","value":"4032"},{"id":130,"name":"Impact","value":""},{"id":150,"name":"Time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5"/>
        <v>start /low /b %USERPROFILE%\Documents\GitHub\eaglep3\Utilities\DownloadLogsFromS3.py --loco 4032 --day 2017-08-06</v>
      </c>
      <c r="AN5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4031</v>
      </c>
      <c r="C53" s="21" t="s">
        <v>198</v>
      </c>
      <c r="D53" s="21" t="s">
        <v>894</v>
      </c>
      <c r="E53" s="13">
        <v>42953.383831018517</v>
      </c>
      <c r="F53" s="13">
        <v>42953.39398148148</v>
      </c>
      <c r="G53" s="7">
        <v>0</v>
      </c>
      <c r="H53" s="21" t="s">
        <v>490</v>
      </c>
      <c r="I53" s="13">
        <v>42953.420219907406</v>
      </c>
      <c r="J53" s="7">
        <v>0</v>
      </c>
      <c r="K53" s="89" t="str">
        <f t="shared" si="0"/>
        <v>4031/4032</v>
      </c>
      <c r="L53" s="21" t="str">
        <f>VLOOKUP(A53,'Trips&amp;Operators'!$C$1:$G$99999,5,FALSE)</f>
        <v>MAELZER KURT</v>
      </c>
      <c r="M53" s="6">
        <f t="shared" si="1"/>
        <v>2.6238425925839692E-2</v>
      </c>
      <c r="N53" s="7">
        <f t="shared" si="41"/>
        <v>37.783333333209157</v>
      </c>
      <c r="O53" s="7"/>
      <c r="P53" s="7"/>
      <c r="Q53" s="22"/>
      <c r="R53" s="170"/>
      <c r="S53" s="213">
        <f t="shared" si="42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-08-06T08:12:43-0600',mode:absolute,to:'2017-08-06T11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3" s="197" t="str">
        <f>IF(AA53&lt;VLOOKUP(AG53,Variables!$AC$3:$AD$8,2,FALSE),"Y","N")</f>
        <v>N</v>
      </c>
      <c r="X53" s="197">
        <f t="shared" si="43"/>
        <v>1</v>
      </c>
      <c r="Y53" s="197">
        <f t="shared" si="39"/>
        <v>23.300599999999999</v>
      </c>
      <c r="Z53" s="197">
        <f t="shared" si="40"/>
        <v>1.5599999999999999E-2</v>
      </c>
      <c r="AA53" s="197">
        <f t="shared" si="4"/>
        <v>23.285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5"/>
        <v>140</v>
      </c>
      <c r="AE53" s="77" t="str">
        <f t="shared" si="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53" s="74" t="str">
        <f t="shared" si="7"/>
        <v>"C:\Program Files (x86)\AstroGrep\AstroGrep.exe" /e /r /s /spath="%USERPROFILE%\AppData\Local\Temp\OnboardLogs" /stypes="app*4031*20170806*" /stext=" 16:.+((SYSTEM_STATE.+slice.+state.+changed )|(ment ac)|(multiple cpu faults)|(system.+state.+changed )|(\[timeout)|(PRM\|1\|D)|(kpr)|(kdp)|(train st.+moving)|(\|lc)|(penalty))"</v>
      </c>
      <c r="AG53" s="209" t="str">
        <f t="shared" si="8"/>
        <v>EC</v>
      </c>
      <c r="AH53" s="78" t="str">
        <f t="shared" si="13"/>
        <v>"%USERPROFILE%\Documents\GitHub\eaglep3\Utilities\RefineRTDCRunTimes.py" --tripid 140-06 --locoid 4031 --swversion DE.1.0.9.0 --startMP 204:233006 --initTime 2017-08-06T09:12:43 --startdatetime 2017-08-06T09:27:20 --delay 0 --endMP 204:156 --enddatetime 2017-08-06T10:05:07 --enforcementcount 0 &gt;&gt;C:\Users\stu\Documents\GitHub\eaglep3-reporting\EC\2017-08-06-refined-times.txt</v>
      </c>
      <c r="AI5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{"issue":{"subject":"","project_id":79,"tracker_id":40,"status_id":1,"priority_id":2,"assigned_to_id":23,"start_date":"2017-08-06","description":"","custom_fields":[{"id":1,"name":"Subdivision","value":"EC"},{"id":4,"name":"Milepost","value":"0.0156"},{"id":17,"name":"Train ID","value":"140-06"},{"id":16,"name":"Locomotive ID","value":"4031"},{"id":130,"name":"Impact","value":""},{"id":150,"name":"Time of Event (Mountain Time)","value":"10:05:07"},{"id":151,"name":"Denver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5"/>
        <v>start /low /b %USERPROFILE%\Documents\GitHub\eaglep3\Utilities\DownloadLogsFromS3.py --loco 4031 --day 2017-08-06</v>
      </c>
      <c r="AN5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731</v>
      </c>
      <c r="B54" s="7">
        <v>4002</v>
      </c>
      <c r="C54" s="21" t="s">
        <v>198</v>
      </c>
      <c r="D54" s="21" t="s">
        <v>345</v>
      </c>
      <c r="E54" s="13">
        <v>42953.359675925924</v>
      </c>
      <c r="F54" s="13">
        <v>42953.365115740744</v>
      </c>
      <c r="G54" s="7">
        <v>2</v>
      </c>
      <c r="H54" s="21" t="s">
        <v>560</v>
      </c>
      <c r="I54" s="13">
        <v>42953.389699074076</v>
      </c>
      <c r="J54" s="7">
        <v>0</v>
      </c>
      <c r="K54" s="89" t="str">
        <f t="shared" si="0"/>
        <v>4001/4002</v>
      </c>
      <c r="L54" s="21" t="str">
        <f>VLOOKUP(A54,'Trips&amp;Operators'!$C$1:$G$99999,5,FALSE)</f>
        <v>GUZMAN DANNY</v>
      </c>
      <c r="M54" s="6">
        <f t="shared" si="1"/>
        <v>2.4583333331975155E-2</v>
      </c>
      <c r="N54" s="7">
        <f t="shared" si="41"/>
        <v>35.399999998044223</v>
      </c>
      <c r="O54" s="7"/>
      <c r="P54" s="7"/>
      <c r="Q54" s="22"/>
      <c r="R54" s="170"/>
      <c r="S54" s="213">
        <f t="shared" si="42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-08-06T07:37:56-0600',mode:absolute,to:'2017-08-06T10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197" t="str">
        <f>IF(AA54&lt;VLOOKUP(AG54,Variables!$AC$3:$AD$8,2,FALSE),"Y","N")</f>
        <v>N</v>
      </c>
      <c r="X54" s="197">
        <f t="shared" si="43"/>
        <v>1</v>
      </c>
      <c r="Y54" s="197">
        <f t="shared" si="39"/>
        <v>4.5100000000000001E-2</v>
      </c>
      <c r="Z54" s="197">
        <f t="shared" si="40"/>
        <v>23.3307</v>
      </c>
      <c r="AA54" s="197">
        <f t="shared" si="4"/>
        <v>23.285599999999999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5"/>
        <v>141</v>
      </c>
      <c r="AE54" s="77" t="str">
        <f t="shared" si="6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54" s="74" t="str">
        <f t="shared" si="7"/>
        <v>"C:\Program Files (x86)\AstroGrep\AstroGrep.exe" /e /r /s /spath="%USERPROFILE%\AppData\Local\Temp\OnboardLogs" /stypes="app*4002*20170806*" /stext=" 15:.+((SYSTEM_STATE.+slice.+state.+changed )|(ment ac)|(multiple cpu faults)|(system.+state.+changed )|(\[timeout)|(PRM\|1\|D)|(kpr)|(kdp)|(train st.+moving)|(\|lc)|(penalty))"</v>
      </c>
      <c r="AG54" s="209" t="str">
        <f t="shared" si="8"/>
        <v>EC</v>
      </c>
      <c r="AH54" s="78" t="str">
        <f t="shared" si="13"/>
        <v>"%USERPROFILE%\Documents\GitHub\eaglep3\Utilities\RefineRTDCRunTimes.py" --tripid 141-06 --locoid 4002 --swversion DE.1.0.9.0 --startMP 204:451 --initTime 2017-08-06T08:37:56 --startdatetime 2017-08-06T08:45:46 --delay 2 --endMP 204:233307 --enddatetime 2017-08-06T09:21:10 --enforcementcount 0 &gt;&gt;C:\Users\stu\Documents\GitHub\eaglep3-reporting\EC\2017-08-06-refined-times.txt</v>
      </c>
      <c r="AI5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{"issue":{"subject":"","project_id":79,"tracker_id":40,"status_id":1,"priority_id":2,"assigned_to_id":23,"start_date":"2017-08-06","description":"","custom_fields":[{"id":1,"name":"Subdivision","value":"EC"},{"id":4,"name":"Milepost","value":"23.3307"},{"id":17,"name":"Train ID","value":"141-06"},{"id":16,"name":"Locomotive ID","value":"4002"},{"id":130,"name":"Impact","value":""},{"id":150,"name":"Time of Event (Mountain Time)","value":"09:21:10"},{"id":151,"name":"Denver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5"/>
        <v>start /low /b %USERPROFILE%\Documents\GitHub\eaglep3\Utilities\DownloadLogsFromS3.py --loco 4002 --day 2017-08-06</v>
      </c>
      <c r="AN5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738</v>
      </c>
      <c r="B55" s="7">
        <v>4001</v>
      </c>
      <c r="C55" s="21" t="s">
        <v>198</v>
      </c>
      <c r="D55" s="21" t="s">
        <v>895</v>
      </c>
      <c r="E55" s="13">
        <v>42953.39167824074</v>
      </c>
      <c r="F55" s="13">
        <v>42953.404340277775</v>
      </c>
      <c r="G55" s="7">
        <v>1</v>
      </c>
      <c r="H55" s="21" t="s">
        <v>349</v>
      </c>
      <c r="I55" s="13">
        <v>42953.431307870371</v>
      </c>
      <c r="J55" s="7">
        <v>0</v>
      </c>
      <c r="K55" s="89" t="str">
        <f t="shared" si="0"/>
        <v>4001/4002</v>
      </c>
      <c r="L55" s="21" t="str">
        <f>VLOOKUP(A55,'Trips&amp;Operators'!$C$1:$G$99999,5,FALSE)</f>
        <v>GUZMAN DANNY</v>
      </c>
      <c r="M55" s="6">
        <f t="shared" si="1"/>
        <v>2.6967592595610768E-2</v>
      </c>
      <c r="N55" s="7">
        <f t="shared" si="41"/>
        <v>38.833333337679505</v>
      </c>
      <c r="O55" s="7"/>
      <c r="P55" s="7"/>
      <c r="Q55" s="22"/>
      <c r="R55" s="170"/>
      <c r="S55" s="213">
        <f t="shared" si="42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-08-06T08:24:01-0600',mode:absolute,to:'2017-08-06T11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197" t="str">
        <f>IF(AA55&lt;VLOOKUP(AG55,Variables!$AC$3:$AD$8,2,FALSE),"Y","N")</f>
        <v>N</v>
      </c>
      <c r="X55" s="197">
        <f t="shared" si="43"/>
        <v>1</v>
      </c>
      <c r="Y55" s="197">
        <f t="shared" si="39"/>
        <v>23.298999999999999</v>
      </c>
      <c r="Z55" s="197">
        <f t="shared" si="40"/>
        <v>1.3899999999999999E-2</v>
      </c>
      <c r="AA55" s="197">
        <f t="shared" si="4"/>
        <v>23.2851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5"/>
        <v>142</v>
      </c>
      <c r="AE55" s="77" t="str">
        <f t="shared" si="6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55" s="74" t="str">
        <f t="shared" si="7"/>
        <v>"C:\Program Files (x86)\AstroGrep\AstroGrep.exe" /e /r /s /spath="%USERPROFILE%\AppData\Local\Temp\OnboardLogs" /stypes="app*4001*20170806*" /stext=" 16:.+((SYSTEM_STATE.+slice.+state.+changed )|(ment ac)|(multiple cpu faults)|(system.+state.+changed )|(\[timeout)|(PRM\|1\|D)|(kpr)|(kdp)|(train st.+moving)|(\|lc)|(penalty))"</v>
      </c>
      <c r="AG55" s="209" t="str">
        <f t="shared" si="8"/>
        <v>EC</v>
      </c>
      <c r="AH55" s="78" t="str">
        <f t="shared" si="13"/>
        <v>"%USERPROFILE%\Documents\GitHub\eaglep3\Utilities\RefineRTDCRunTimes.py" --tripid 142-06 --locoid 4001 --swversion DE.1.0.9.0 --startMP 204:232990 --initTime 2017-08-06T09:24:01 --startdatetime 2017-08-06T09:42:15 --delay 1 --endMP 204:139 --enddatetime 2017-08-06T10:21:05 --enforcementcount 0 &gt;&gt;C:\Users\stu\Documents\GitHub\eaglep3-reporting\EC\2017-08-06-refined-times.txt</v>
      </c>
      <c r="AI5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{"issue":{"subject":"","project_id":79,"tracker_id":40,"status_id":1,"priority_id":2,"assigned_to_id":23,"start_date":"2017-08-06","description":"","custom_fields":[{"id":1,"name":"Subdivision","value":"EC"},{"id":4,"name":"Milepost","value":"0.0139"},{"id":17,"name":"Train ID","value":"142-06"},{"id":16,"name":"Locomotive ID","value":"4001"},{"id":130,"name":"Impact","value":""},{"id":150,"name":"Time of Event (Mountain Time)","value":"10:21:05"},{"id":151,"name":"Denver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5"/>
        <v>start /low /b %USERPROFILE%\Documents\GitHub\eaglep3\Utilities\DownloadLogsFromS3.py --loco 4001 --day 2017-08-06</v>
      </c>
      <c r="AN5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639</v>
      </c>
      <c r="B56" s="7">
        <v>4044</v>
      </c>
      <c r="C56" s="21" t="s">
        <v>198</v>
      </c>
      <c r="D56" s="21" t="s">
        <v>452</v>
      </c>
      <c r="E56" s="13">
        <v>42953.370810185188</v>
      </c>
      <c r="F56" s="13">
        <v>42953.375520833331</v>
      </c>
      <c r="G56" s="7">
        <v>1</v>
      </c>
      <c r="H56" s="21" t="s">
        <v>523</v>
      </c>
      <c r="I56" s="13">
        <v>42953.401238425926</v>
      </c>
      <c r="J56" s="7">
        <v>0</v>
      </c>
      <c r="K56" s="89" t="str">
        <f t="shared" si="0"/>
        <v>4043/4044</v>
      </c>
      <c r="L56" s="21" t="str">
        <f>VLOOKUP(A56,'Trips&amp;Operators'!$C$1:$G$99999,5,FALSE)</f>
        <v>WILLIAMS DONTE</v>
      </c>
      <c r="M56" s="6">
        <f t="shared" si="1"/>
        <v>2.5717592594446614E-2</v>
      </c>
      <c r="N56" s="7">
        <f t="shared" si="41"/>
        <v>37.033333336003125</v>
      </c>
      <c r="O56" s="7"/>
      <c r="P56" s="7"/>
      <c r="Q56" s="22"/>
      <c r="R56" s="170"/>
      <c r="S56" s="213">
        <f t="shared" si="42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-08-06T07:53:58-0600',mode:absolute,to:'2017-08-06T10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6" s="197" t="str">
        <f>IF(AA56&lt;VLOOKUP(AG56,Variables!$AC$3:$AD$8,2,FALSE),"Y","N")</f>
        <v>N</v>
      </c>
      <c r="X56" s="197">
        <f t="shared" si="43"/>
        <v>1</v>
      </c>
      <c r="Y56" s="197">
        <f t="shared" si="39"/>
        <v>4.5699999999999998E-2</v>
      </c>
      <c r="Z56" s="197">
        <f t="shared" si="40"/>
        <v>23.331499999999998</v>
      </c>
      <c r="AA56" s="197">
        <f t="shared" si="4"/>
        <v>23.285799999999998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5"/>
        <v>143</v>
      </c>
      <c r="AE56" s="77" t="str">
        <f t="shared" si="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56" s="74" t="str">
        <f t="shared" si="7"/>
        <v>"C:\Program Files (x86)\AstroGrep\AstroGrep.exe" /e /r /s /spath="%USERPROFILE%\AppData\Local\Temp\OnboardLogs" /stypes="app*4044*20170806*" /stext=" 15:.+((SYSTEM_STATE.+slice.+state.+changed )|(ment ac)|(multiple cpu faults)|(system.+state.+changed )|(\[timeout)|(PRM\|1\|D)|(kpr)|(kdp)|(train st.+moving)|(\|lc)|(penalty))"</v>
      </c>
      <c r="AG56" s="209" t="str">
        <f t="shared" si="8"/>
        <v>EC</v>
      </c>
      <c r="AH56" s="78" t="str">
        <f t="shared" si="13"/>
        <v>"%USERPROFILE%\Documents\GitHub\eaglep3\Utilities\RefineRTDCRunTimes.py" --tripid 143-06 --locoid 4044 --swversion DE.1.0.9.0 --startMP 204:457 --initTime 2017-08-06T08:53:58 --startdatetime 2017-08-06T09:00:45 --delay 1 --endMP 204:233315 --enddatetime 2017-08-06T09:37:47 --enforcementcount 0 &gt;&gt;C:\Users\stu\Documents\GitHub\eaglep3-reporting\EC\2017-08-06-refined-times.txt</v>
      </c>
      <c r="AI5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{"issue":{"subject":"","project_id":79,"tracker_id":40,"status_id":1,"priority_id":2,"assigned_to_id":23,"start_date":"2017-08-06","description":"","custom_fields":[{"id":1,"name":"Subdivision","value":"EC"},{"id":4,"name":"Milepost","value":"23.3315"},{"id":17,"name":"Train ID","value":"143-06"},{"id":16,"name":"Locomotive ID","value":"4044"},{"id":130,"name":"Impact","value":""},{"id":150,"name":"Time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5"/>
        <v>start /low /b %USERPROFILE%\Documents\GitHub\eaglep3\Utilities\DownloadLogsFromS3.py --loco 4044 --day 2017-08-06</v>
      </c>
      <c r="AN5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741</v>
      </c>
      <c r="B57" s="7">
        <v>4043</v>
      </c>
      <c r="C57" s="21" t="s">
        <v>198</v>
      </c>
      <c r="D57" s="21" t="s">
        <v>887</v>
      </c>
      <c r="E57" s="13">
        <v>42953.411064814813</v>
      </c>
      <c r="F57" s="13">
        <v>42953.414803240739</v>
      </c>
      <c r="G57" s="7">
        <v>1</v>
      </c>
      <c r="H57" s="21" t="s">
        <v>343</v>
      </c>
      <c r="I57" s="13">
        <v>42953.441122685188</v>
      </c>
      <c r="J57" s="7">
        <v>0</v>
      </c>
      <c r="K57" s="89" t="str">
        <f t="shared" si="0"/>
        <v>4043/4044</v>
      </c>
      <c r="L57" s="21" t="str">
        <f>VLOOKUP(A57,'Trips&amp;Operators'!$C$1:$G$99999,5,FALSE)</f>
        <v>WILLIAMS DONTE</v>
      </c>
      <c r="M57" s="6">
        <f t="shared" si="1"/>
        <v>2.6319444448745344E-2</v>
      </c>
      <c r="N57" s="7">
        <f t="shared" si="41"/>
        <v>37.900000006193295</v>
      </c>
      <c r="O57" s="7"/>
      <c r="P57" s="7"/>
      <c r="Q57" s="22"/>
      <c r="R57" s="170"/>
      <c r="S57" s="213">
        <f t="shared" si="42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-08-06T08:51:56-0600',mode:absolute,to:'2017-08-06T11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7" s="197" t="str">
        <f>IF(AA57&lt;VLOOKUP(AG57,Variables!$AC$3:$AD$8,2,FALSE),"Y","N")</f>
        <v>N</v>
      </c>
      <c r="X57" s="197">
        <f t="shared" si="43"/>
        <v>1</v>
      </c>
      <c r="Y57" s="197">
        <f t="shared" si="39"/>
        <v>23.300999999999998</v>
      </c>
      <c r="Z57" s="197">
        <f t="shared" si="40"/>
        <v>1.43E-2</v>
      </c>
      <c r="AA57" s="197">
        <f t="shared" si="4"/>
        <v>23.2867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5"/>
        <v>144</v>
      </c>
      <c r="AE57" s="77" t="str">
        <f t="shared" si="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57" s="74" t="str">
        <f t="shared" si="7"/>
        <v>"C:\Program Files (x86)\AstroGrep\AstroGrep.exe" /e /r /s /spath="%USERPROFILE%\AppData\Local\Temp\OnboardLogs" /stypes="app*4043*20170806*" /stext=" 16:.+((SYSTEM_STATE.+slice.+state.+changed )|(ment ac)|(multiple cpu faults)|(system.+state.+changed )|(\[timeout)|(PRM\|1\|D)|(kpr)|(kdp)|(train st.+moving)|(\|lc)|(penalty))"</v>
      </c>
      <c r="AG57" s="209" t="str">
        <f t="shared" si="8"/>
        <v>EC</v>
      </c>
      <c r="AH57" s="78" t="str">
        <f t="shared" si="13"/>
        <v>"%USERPROFILE%\Documents\GitHub\eaglep3\Utilities\RefineRTDCRunTimes.py" --tripid 144-06 --locoid 4043 --swversion DE.1.0.9.0 --startMP 204:233010 --initTime 2017-08-06T09:51:56 --startdatetime 2017-08-06T09:57:19 --delay 1 --endMP 204:143 --enddatetime 2017-08-06T10:35:13 --enforcementcount 0 &gt;&gt;C:\Users\stu\Documents\GitHub\eaglep3-reporting\EC\2017-08-06-refined-times.txt</v>
      </c>
      <c r="AI5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{"issue":{"subject":"","project_id":79,"tracker_id":40,"status_id":1,"priority_id":2,"assigned_to_id":23,"start_date":"2017-08-06","description":"","custom_fields":[{"id":1,"name":"Subdivision","value":"EC"},{"id":4,"name":"Milepost","value":"0.0143"},{"id":17,"name":"Train ID","value":"144-06"},{"id":16,"name":"Locomotive ID","value":"4043"},{"id":130,"name":"Impact","value":""},{"id":150,"name":"Time of Event (Mountain Time)","value":"10:35:13"},{"id":151,"name":"Denver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5"/>
        <v>start /low /b %USERPROFILE%\Documents\GitHub\eaglep3\Utilities\DownloadLogsFromS3.py --loco 4043 --day 2017-08-06</v>
      </c>
      <c r="AN5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735</v>
      </c>
      <c r="B58" s="7">
        <v>4030</v>
      </c>
      <c r="C58" s="21" t="s">
        <v>198</v>
      </c>
      <c r="D58" s="21" t="s">
        <v>395</v>
      </c>
      <c r="E58" s="13">
        <v>42953.38076388889</v>
      </c>
      <c r="F58" s="13">
        <v>42953.386018518519</v>
      </c>
      <c r="G58" s="7">
        <v>1</v>
      </c>
      <c r="H58" s="21" t="s">
        <v>624</v>
      </c>
      <c r="I58" s="13">
        <v>42953.410752314812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MACDONALD THOMAS</v>
      </c>
      <c r="M58" s="6">
        <f t="shared" si="1"/>
        <v>2.4733796293730848E-2</v>
      </c>
      <c r="N58" s="7">
        <f t="shared" si="41"/>
        <v>35.61666666297242</v>
      </c>
      <c r="O58" s="7"/>
      <c r="P58" s="7"/>
      <c r="Q58" s="22"/>
      <c r="R58" s="170"/>
      <c r="S58" s="213">
        <f t="shared" si="42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-08-06T08:08:18-0600',mode:absolute,to:'2017-08-06T10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97" t="str">
        <f>IF(AA58&lt;VLOOKUP(AG58,Variables!$AC$3:$AD$8,2,FALSE),"Y","N")</f>
        <v>N</v>
      </c>
      <c r="X58" s="197">
        <f t="shared" si="43"/>
        <v>1</v>
      </c>
      <c r="Y58" s="197">
        <f t="shared" si="39"/>
        <v>4.5499999999999999E-2</v>
      </c>
      <c r="Z58" s="197">
        <f t="shared" si="40"/>
        <v>23.3276</v>
      </c>
      <c r="AA58" s="197">
        <f t="shared" si="4"/>
        <v>23.2821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5"/>
        <v>145</v>
      </c>
      <c r="AE58" s="77" t="str">
        <f t="shared" si="6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58" s="74" t="str">
        <f t="shared" si="7"/>
        <v>"C:\Program Files (x86)\AstroGrep\AstroGrep.exe" /e /r /s /spath="%USERPROFILE%\AppData\Local\Temp\OnboardLogs" /stypes="app*4030*20170806*" /stext=" 15:.+((SYSTEM_STATE.+slice.+state.+changed )|(ment ac)|(multiple cpu faults)|(system.+state.+changed )|(\[timeout)|(PRM\|1\|D)|(kpr)|(kdp)|(train st.+moving)|(\|lc)|(penalty))"</v>
      </c>
      <c r="AG58" s="209" t="str">
        <f t="shared" si="8"/>
        <v>EC</v>
      </c>
      <c r="AH58" s="78" t="str">
        <f t="shared" si="13"/>
        <v>"%USERPROFILE%\Documents\GitHub\eaglep3\Utilities\RefineRTDCRunTimes.py" --tripid 145-06 --locoid 4030 --swversion DE.1.0.9.0 --startMP 204:455 --initTime 2017-08-06T09:08:18 --startdatetime 2017-08-06T09:15:52 --delay 1 --endMP 204:233276 --enddatetime 2017-08-06T09:51:29 --enforcementcount 0 &gt;&gt;C:\Users\stu\Documents\GitHub\eaglep3-reporting\EC\2017-08-06-refined-times.txt</v>
      </c>
      <c r="AI58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{"issue":{"subject":"","project_id":79,"tracker_id":40,"status_id":1,"priority_id":2,"assigned_to_id":23,"start_date":"2017-08-06","description":"","custom_fields":[{"id":1,"name":"Subdivision","value":"EC"},{"id":4,"name":"Milepost","value":"23.3276"},{"id":17,"name":"Train ID","value":"145-06"},{"id":16,"name":"Locomotive ID","value":"4030"},{"id":130,"name":"Impact","value":""},{"id":150,"name":"Time of Event (Mountain Time)","value":"09:51:29"},{"id":151,"name":"Denver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5"/>
        <v>start /low /b %USERPROFILE%\Documents\GitHub\eaglep3\Utilities\DownloadLogsFromS3.py --loco 4030 --day 2017-08-06</v>
      </c>
      <c r="AN58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640</v>
      </c>
      <c r="B59" s="7">
        <v>4029</v>
      </c>
      <c r="C59" s="21" t="s">
        <v>198</v>
      </c>
      <c r="D59" s="21" t="s">
        <v>516</v>
      </c>
      <c r="E59" s="13">
        <v>42953.414571759262</v>
      </c>
      <c r="F59" s="13">
        <v>42953.425706018519</v>
      </c>
      <c r="G59" s="7">
        <v>1</v>
      </c>
      <c r="H59" s="21" t="s">
        <v>444</v>
      </c>
      <c r="I59" s="13">
        <v>42953.452349537038</v>
      </c>
      <c r="J59" s="7">
        <v>0</v>
      </c>
      <c r="K59" s="89" t="str">
        <f t="shared" si="0"/>
        <v>4029/4030</v>
      </c>
      <c r="L59" s="21" t="str">
        <f>VLOOKUP(A59,'Trips&amp;Operators'!$C$1:$G$99999,5,FALSE)</f>
        <v>MACDONALD THOMAS</v>
      </c>
      <c r="M59" s="6">
        <f t="shared" si="1"/>
        <v>2.6643518518540077E-2</v>
      </c>
      <c r="N59" s="7">
        <f t="shared" si="41"/>
        <v>38.366666666697711</v>
      </c>
      <c r="O59" s="7"/>
      <c r="P59" s="7"/>
      <c r="Q59" s="22"/>
      <c r="R59" s="170"/>
      <c r="S59" s="213">
        <f t="shared" si="42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-08-06T08:56:59-0600',mode:absolute,to:'2017-08-06T11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197" t="str">
        <f>IF(AA59&lt;VLOOKUP(AG59,Variables!$AC$3:$AD$8,2,FALSE),"Y","N")</f>
        <v>N</v>
      </c>
      <c r="X59" s="197">
        <f t="shared" si="43"/>
        <v>1</v>
      </c>
      <c r="Y59" s="197">
        <f t="shared" si="39"/>
        <v>23.296900000000001</v>
      </c>
      <c r="Z59" s="197">
        <f t="shared" si="40"/>
        <v>1.52E-2</v>
      </c>
      <c r="AA59" s="197">
        <f t="shared" si="4"/>
        <v>23.281700000000001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5"/>
        <v>146</v>
      </c>
      <c r="AE59" s="77" t="str">
        <f t="shared" si="6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59" s="74" t="str">
        <f t="shared" si="7"/>
        <v>"C:\Program Files (x86)\AstroGrep\AstroGrep.exe" /e /r /s /spath="%USERPROFILE%\AppData\Local\Temp\OnboardLogs" /stypes="app*4029*20170806*" /stext=" 16:.+((SYSTEM_STATE.+slice.+state.+changed )|(ment ac)|(multiple cpu faults)|(system.+state.+changed )|(\[timeout)|(PRM\|1\|D)|(kpr)|(kdp)|(train st.+moving)|(\|lc)|(penalty))"</v>
      </c>
      <c r="AG59" s="209" t="str">
        <f t="shared" si="8"/>
        <v>EC</v>
      </c>
      <c r="AH59" s="78" t="str">
        <f t="shared" si="13"/>
        <v>"%USERPROFILE%\Documents\GitHub\eaglep3\Utilities\RefineRTDCRunTimes.py" --tripid 146-06 --locoid 4029 --swversion DE.1.0.9.0 --startMP 204:232969 --initTime 2017-08-06T09:56:59 --startdatetime 2017-08-06T10:13:01 --delay 1 --endMP 204:152 --enddatetime 2017-08-06T10:51:23 --enforcementcount 0 &gt;&gt;C:\Users\stu\Documents\GitHub\eaglep3-reporting\EC\2017-08-06-refined-times.txt</v>
      </c>
      <c r="AI5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ID","value":"146-06"},{"id":16,"name":"Locomotive ID","value":"4029"},{"id":130,"name":"Impact","value":""},{"id":150,"name":"Time of Event (Mountain Time)","value":"10:51:23"},{"id":151,"name":"Denver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5"/>
        <v>start /low /b %USERPROFILE%\Documents\GitHub\eaglep3\Utilities\DownloadLogsFromS3.py --loco 4029 --day 2017-08-06</v>
      </c>
      <c r="AN5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737</v>
      </c>
      <c r="B60" s="7">
        <v>4006</v>
      </c>
      <c r="C60" s="21" t="s">
        <v>198</v>
      </c>
      <c r="D60" s="21" t="s">
        <v>345</v>
      </c>
      <c r="E60" s="13">
        <v>42953.391053240739</v>
      </c>
      <c r="F60" s="13">
        <v>42953.396331018521</v>
      </c>
      <c r="G60" s="7">
        <v>1</v>
      </c>
      <c r="H60" s="21" t="s">
        <v>877</v>
      </c>
      <c r="I60" s="13">
        <v>42953.421284722222</v>
      </c>
      <c r="J60" s="7">
        <v>0</v>
      </c>
      <c r="K60" s="89" t="str">
        <f t="shared" si="0"/>
        <v>4005/4006</v>
      </c>
      <c r="L60" s="21" t="str">
        <f>VLOOKUP(A60,'Trips&amp;Operators'!$C$1:$G$99999,5,FALSE)</f>
        <v>DAVIS WENDY</v>
      </c>
      <c r="M60" s="6">
        <f t="shared" si="1"/>
        <v>2.495370370161254E-2</v>
      </c>
      <c r="N60" s="7">
        <f t="shared" si="41"/>
        <v>35.933333330322057</v>
      </c>
      <c r="O60" s="7"/>
      <c r="P60" s="7"/>
      <c r="Q60" s="22"/>
      <c r="R60" s="170"/>
      <c r="S60" s="213">
        <f t="shared" si="42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-08-06T08:23:07-0600',mode:absolute,to:'2017-08-06T11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0" s="197" t="str">
        <f>IF(AA60&lt;VLOOKUP(AG60,Variables!$AC$3:$AD$8,2,FALSE),"Y","N")</f>
        <v>N</v>
      </c>
      <c r="X60" s="197">
        <f t="shared" si="43"/>
        <v>1</v>
      </c>
      <c r="Y60" s="197">
        <f t="shared" si="39"/>
        <v>4.5100000000000001E-2</v>
      </c>
      <c r="Z60" s="197">
        <f t="shared" si="40"/>
        <v>23.331700000000001</v>
      </c>
      <c r="AA60" s="197">
        <f t="shared" si="4"/>
        <v>23.2866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5"/>
        <v>147</v>
      </c>
      <c r="AE60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60" s="74" t="str">
        <f t="shared" si="7"/>
        <v>"C:\Program Files (x86)\AstroGrep\AstroGrep.exe" /e /r /s /spath="%USERPROFILE%\AppData\Local\Temp\OnboardLogs" /stypes="app*4006*20170806*" /stext=" 16:.+((SYSTEM_STATE.+slice.+state.+changed )|(ment ac)|(multiple cpu faults)|(system.+state.+changed )|(\[timeout)|(PRM\|1\|D)|(kpr)|(kdp)|(train st.+moving)|(\|lc)|(penalty))"</v>
      </c>
      <c r="AG60" s="209" t="str">
        <f t="shared" si="8"/>
        <v>EC</v>
      </c>
      <c r="AH60" s="78" t="str">
        <f t="shared" si="13"/>
        <v>"%USERPROFILE%\Documents\GitHub\eaglep3\Utilities\RefineRTDCRunTimes.py" --tripid 147-06 --locoid 4006 --swversion DE.1.0.9.0 --startMP 204:451 --initTime 2017-08-06T09:23:07 --startdatetime 2017-08-06T09:30:43 --delay 1 --endMP 204:233317 --enddatetime 2017-08-06T10:06:39 --enforcementcount 0 &gt;&gt;C:\Users\stu\Documents\GitHub\eaglep3-reporting\EC\2017-08-06-refined-times.txt</v>
      </c>
      <c r="AI6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{"issue":{"subject":"","project_id":79,"tracker_id":40,"status_id":1,"priority_id":2,"assigned_to_id":23,"start_date":"2017-08-06","description":"","custom_fields":[{"id":1,"name":"Subdivision","value":"EC"},{"id":4,"name":"Milepost","value":"23.3317"},{"id":17,"name":"Train ID","value":"147-06"},{"id":16,"name":"Locomotive ID","value":"4006"},{"id":130,"name":"Impact","value":""},{"id":150,"name":"Time of Event (Mountain Time)","value":"10:06:39"},{"id":151,"name":"Denver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5"/>
        <v>start /low /b %USERPROFILE%\Documents\GitHub\eaglep3\Utilities\DownloadLogsFromS3.py --loco 4006 --day 2017-08-06</v>
      </c>
      <c r="AN6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745</v>
      </c>
      <c r="B61" s="7">
        <v>4005</v>
      </c>
      <c r="C61" s="21" t="s">
        <v>198</v>
      </c>
      <c r="D61" s="21" t="s">
        <v>875</v>
      </c>
      <c r="E61" s="13">
        <v>42953.43172453704</v>
      </c>
      <c r="F61" s="13">
        <v>42953.435578703706</v>
      </c>
      <c r="G61" s="7">
        <v>1</v>
      </c>
      <c r="H61" s="21" t="s">
        <v>377</v>
      </c>
      <c r="I61" s="13">
        <v>42953.461921296293</v>
      </c>
      <c r="J61" s="7">
        <v>0</v>
      </c>
      <c r="K61" s="89" t="str">
        <f t="shared" si="0"/>
        <v>4005/4006</v>
      </c>
      <c r="L61" s="21" t="str">
        <f>VLOOKUP(A61,'Trips&amp;Operators'!$C$1:$G$99999,5,FALSE)</f>
        <v>DAVIS WENDY</v>
      </c>
      <c r="M61" s="6">
        <f t="shared" si="1"/>
        <v>2.6342592587752733E-2</v>
      </c>
      <c r="N61" s="7">
        <f t="shared" si="41"/>
        <v>37.933333326363936</v>
      </c>
      <c r="O61" s="7"/>
      <c r="P61" s="7"/>
      <c r="Q61" s="22"/>
      <c r="R61" s="170"/>
      <c r="S61" s="213">
        <f t="shared" si="42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-08-06T09:21:41-0600',mode:absolute,to:'2017-08-06T12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1" s="197" t="str">
        <f>IF(AA61&lt;VLOOKUP(AG61,Variables!$AC$3:$AD$8,2,FALSE),"Y","N")</f>
        <v>N</v>
      </c>
      <c r="X61" s="197">
        <f t="shared" si="43"/>
        <v>1</v>
      </c>
      <c r="Y61" s="197">
        <f t="shared" si="39"/>
        <v>23.299399999999999</v>
      </c>
      <c r="Z61" s="197">
        <f t="shared" si="40"/>
        <v>1.54E-2</v>
      </c>
      <c r="AA61" s="197">
        <f t="shared" si="4"/>
        <v>23.283999999999999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5"/>
        <v>148</v>
      </c>
      <c r="AE61" s="77" t="str">
        <f t="shared" si="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61" s="74" t="str">
        <f t="shared" si="7"/>
        <v>"C:\Program Files (x86)\AstroGrep\AstroGrep.exe" /e /r /s /spath="%USERPROFILE%\AppData\Local\Temp\OnboardLogs" /stypes="app*4005*20170806*" /stext=" 17:.+((SYSTEM_STATE.+slice.+state.+changed )|(ment ac)|(multiple cpu faults)|(system.+state.+changed )|(\[timeout)|(PRM\|1\|D)|(kpr)|(kdp)|(train st.+moving)|(\|lc)|(penalty))"</v>
      </c>
      <c r="AG61" s="209" t="str">
        <f t="shared" si="8"/>
        <v>EC</v>
      </c>
      <c r="AH61" s="78" t="str">
        <f t="shared" si="13"/>
        <v>"%USERPROFILE%\Documents\GitHub\eaglep3\Utilities\RefineRTDCRunTimes.py" --tripid 148-06 --locoid 4005 --swversion DE.1.0.9.0 --startMP 204:232994 --initTime 2017-08-06T10:21:41 --startdatetime 2017-08-06T10:27:14 --delay 1 --endMP 204:154 --enddatetime 2017-08-06T11:05:10 --enforcementcount 0 &gt;&gt;C:\Users\stu\Documents\GitHub\eaglep3-reporting\EC\2017-08-06-refined-times.txt</v>
      </c>
      <c r="AI61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{"issue":{"subject":"","project_id":79,"tracker_id":40,"status_id":1,"priority_id":2,"assigned_to_id":23,"start_date":"2017-08-06","description":"","custom_fields":[{"id":1,"name":"Subdivision","value":"EC"},{"id":4,"name":"Milepost","value":"0.0154"},{"id":17,"name":"Train ID","value":"148-06"},{"id":16,"name":"Locomotive ID","value":"4005"},{"id":130,"name":"Impact","value":""},{"id":150,"name":"Time of Event (Mountain Time)","value":"11:05:10"},{"id":151,"name":"Denver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5"/>
        <v>start /low /b %USERPROFILE%\Documents\GitHub\eaglep3\Utilities\DownloadLogsFromS3.py --loco 4005 --day 2017-08-06</v>
      </c>
      <c r="AN61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740</v>
      </c>
      <c r="B62" s="7">
        <v>4004</v>
      </c>
      <c r="C62" s="21" t="s">
        <v>198</v>
      </c>
      <c r="D62" s="21" t="s">
        <v>408</v>
      </c>
      <c r="E62" s="13">
        <v>42953.401284722226</v>
      </c>
      <c r="F62" s="13">
        <v>42953.406770833331</v>
      </c>
      <c r="G62" s="7">
        <v>1</v>
      </c>
      <c r="H62" s="21" t="s">
        <v>520</v>
      </c>
      <c r="I62" s="13">
        <v>42953.430555555555</v>
      </c>
      <c r="J62" s="7">
        <v>0</v>
      </c>
      <c r="K62" s="89" t="str">
        <f t="shared" si="0"/>
        <v>4003/4004</v>
      </c>
      <c r="L62" s="21" t="str">
        <f>VLOOKUP(A62,'Trips&amp;Operators'!$C$1:$G$99999,5,FALSE)</f>
        <v>LALONDE GREGORY</v>
      </c>
      <c r="M62" s="6">
        <f t="shared" si="1"/>
        <v>2.3784722223354038E-2</v>
      </c>
      <c r="N62" s="7">
        <f t="shared" si="41"/>
        <v>34.250000001629815</v>
      </c>
      <c r="O62" s="7"/>
      <c r="P62" s="7"/>
      <c r="Q62" s="22"/>
      <c r="R62" s="170"/>
      <c r="S62" s="213">
        <f t="shared" si="42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-08-06T08:37:51-0600',mode:absolute,to:'2017-08-06T11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2" s="197" t="str">
        <f>IF(AA62&lt;VLOOKUP(AG62,Variables!$AC$3:$AD$8,2,FALSE),"Y","N")</f>
        <v>N</v>
      </c>
      <c r="X62" s="197">
        <f t="shared" si="43"/>
        <v>1</v>
      </c>
      <c r="Y62" s="197">
        <f t="shared" si="39"/>
        <v>4.3499999999999997E-2</v>
      </c>
      <c r="Z62" s="197">
        <f t="shared" si="40"/>
        <v>23.331800000000001</v>
      </c>
      <c r="AA62" s="197">
        <f t="shared" si="4"/>
        <v>23.2883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5"/>
        <v>149</v>
      </c>
      <c r="AE62" s="77" t="str">
        <f t="shared" si="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62" s="74" t="str">
        <f t="shared" si="7"/>
        <v>"C:\Program Files (x86)\AstroGrep\AstroGrep.exe" /e /r /s /spath="%USERPROFILE%\AppData\Local\Temp\OnboardLogs" /stypes="app*4004*20170806*" /stext=" 16:.+((SYSTEM_STATE.+slice.+state.+changed )|(ment ac)|(multiple cpu faults)|(system.+state.+changed )|(\[timeout)|(PRM\|1\|D)|(kpr)|(kdp)|(train st.+moving)|(\|lc)|(penalty))"</v>
      </c>
      <c r="AG62" s="209" t="str">
        <f t="shared" si="8"/>
        <v>EC</v>
      </c>
      <c r="AH62" s="78" t="str">
        <f t="shared" si="13"/>
        <v>"%USERPROFILE%\Documents\GitHub\eaglep3\Utilities\RefineRTDCRunTimes.py" --tripid 149-06 --locoid 4004 --swversion DE.1.0.9.0 --startMP 204:435 --initTime 2017-08-06T09:37:51 --startdatetime 2017-08-06T09:45:45 --delay 1 --endMP 204:233318 --enddatetime 2017-08-06T10:20:00 --enforcementcount 0 &gt;&gt;C:\Users\stu\Documents\GitHub\eaglep3-reporting\EC\2017-08-06-refined-times.txt</v>
      </c>
      <c r="AI6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{"issue":{"subject":"","project_id":79,"tracker_id":40,"status_id":1,"priority_id":2,"assigned_to_id":23,"start_date":"2017-08-06","description":"","custom_fields":[{"id":1,"name":"Subdivision","value":"EC"},{"id":4,"name":"Milepost","value":"23.3318"},{"id":17,"name":"Train ID","value":"149-06"},{"id":16,"name":"Locomotive ID","value":"4004"},{"id":130,"name":"Impact","value":""},{"id":150,"name":"Time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5"/>
        <v>start /low /b %USERPROFILE%\Documents\GitHub\eaglep3\Utilities\DownloadLogsFromS3.py --loco 4004 --day 2017-08-06</v>
      </c>
      <c r="AN6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746</v>
      </c>
      <c r="B63" s="7">
        <v>4003</v>
      </c>
      <c r="C63" s="21" t="s">
        <v>198</v>
      </c>
      <c r="D63" s="21" t="s">
        <v>896</v>
      </c>
      <c r="E63" s="13">
        <v>42953.433240740742</v>
      </c>
      <c r="F63" s="13">
        <v>42953.445983796293</v>
      </c>
      <c r="G63" s="7">
        <v>1</v>
      </c>
      <c r="H63" s="21" t="s">
        <v>499</v>
      </c>
      <c r="I63" s="13">
        <v>42953.471724537034</v>
      </c>
      <c r="J63" s="7">
        <v>0</v>
      </c>
      <c r="K63" s="89" t="str">
        <f t="shared" si="0"/>
        <v>4003/4004</v>
      </c>
      <c r="L63" s="21" t="str">
        <f>VLOOKUP(A63,'Trips&amp;Operators'!$C$1:$G$99999,5,FALSE)</f>
        <v>LALONDE GREGORY</v>
      </c>
      <c r="M63" s="6">
        <f t="shared" si="1"/>
        <v>2.5740740740729962E-2</v>
      </c>
      <c r="N63" s="7">
        <f t="shared" si="41"/>
        <v>37.066666666651145</v>
      </c>
      <c r="O63" s="7"/>
      <c r="P63" s="7"/>
      <c r="Q63" s="22"/>
      <c r="R63" s="170"/>
      <c r="S63" s="213">
        <f t="shared" si="42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-08-06T09:23:52-0600',mode:absolute,to:'2017-08-06T12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97" t="str">
        <f>IF(AA63&lt;VLOOKUP(AG63,Variables!$AC$3:$AD$8,2,FALSE),"Y","N")</f>
        <v>N</v>
      </c>
      <c r="X63" s="197">
        <f t="shared" si="43"/>
        <v>1</v>
      </c>
      <c r="Y63" s="197">
        <f t="shared" si="39"/>
        <v>23.301300000000001</v>
      </c>
      <c r="Z63" s="197">
        <f t="shared" si="40"/>
        <v>1.61E-2</v>
      </c>
      <c r="AA63" s="197">
        <f t="shared" si="4"/>
        <v>23.2852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5"/>
        <v>150</v>
      </c>
      <c r="AE63" s="77" t="str">
        <f t="shared" si="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63" s="74" t="str">
        <f t="shared" si="7"/>
        <v>"C:\Program Files (x86)\AstroGrep\AstroGrep.exe" /e /r /s /spath="%USERPROFILE%\AppData\Local\Temp\OnboardLogs" /stypes="app*4003*20170806*" /stext=" 17:.+((SYSTEM_STATE.+slice.+state.+changed )|(ment ac)|(multiple cpu faults)|(system.+state.+changed )|(\[timeout)|(PRM\|1\|D)|(kpr)|(kdp)|(train st.+moving)|(\|lc)|(penalty))"</v>
      </c>
      <c r="AG63" s="209" t="str">
        <f t="shared" si="8"/>
        <v>EC</v>
      </c>
      <c r="AH63" s="78" t="str">
        <f t="shared" si="13"/>
        <v>"%USERPROFILE%\Documents\GitHub\eaglep3\Utilities\RefineRTDCRunTimes.py" --tripid 150-06 --locoid 4003 --swversion DE.1.0.9.0 --startMP 204:233013 --initTime 2017-08-06T10:23:52 --startdatetime 2017-08-06T10:42:13 --delay 1 --endMP 204:161 --enddatetime 2017-08-06T11:19:17 --enforcementcount 0 &gt;&gt;C:\Users\stu\Documents\GitHub\eaglep3-reporting\EC\2017-08-06-refined-times.txt</v>
      </c>
      <c r="AI6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{"issue":{"subject":"","project_id":79,"tracker_id":40,"status_id":1,"priority_id":2,"assigned_to_id":23,"start_date":"2017-08-06","description":"","custom_fields":[{"id":1,"name":"Subdivision","value":"EC"},{"id":4,"name":"Milepost","value":"0.0161"},{"id":17,"name":"Train ID","value":"150-06"},{"id":16,"name":"Locomotive ID","value":"4003"},{"id":130,"name":"Impact","value":""},{"id":150,"name":"Time of Event (Mountain Time)","value":"11:19:17"},{"id":151,"name":"Denver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5"/>
        <v>start /low /b %USERPROFILE%\Documents\GitHub\eaglep3\Utilities\DownloadLogsFromS3.py --loco 4003 --day 2017-08-06</v>
      </c>
      <c r="AN6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742</v>
      </c>
      <c r="B64" s="7">
        <v>4066</v>
      </c>
      <c r="C64" s="21" t="s">
        <v>198</v>
      </c>
      <c r="D64" s="21" t="s">
        <v>409</v>
      </c>
      <c r="E64" s="13">
        <v>42953.41207175926</v>
      </c>
      <c r="F64" s="13">
        <v>42953.417187500003</v>
      </c>
      <c r="G64" s="7">
        <v>1</v>
      </c>
      <c r="H64" s="21" t="s">
        <v>897</v>
      </c>
      <c r="I64" s="13">
        <v>42953.441620370373</v>
      </c>
      <c r="J64" s="7">
        <v>0</v>
      </c>
      <c r="K64" s="89" t="str">
        <f t="shared" si="0"/>
        <v>4065/4066</v>
      </c>
      <c r="L64" s="21" t="str">
        <f>VLOOKUP(A64,'Trips&amp;Operators'!$C$1:$G$99999,5,FALSE)</f>
        <v>GEBRETEKLE DAGNEW</v>
      </c>
      <c r="M64" s="6">
        <f t="shared" si="1"/>
        <v>2.4432870370219462E-2</v>
      </c>
      <c r="N64" s="7">
        <f t="shared" si="41"/>
        <v>35.183333333116025</v>
      </c>
      <c r="O64" s="7"/>
      <c r="P64" s="7"/>
      <c r="Q64" s="22"/>
      <c r="R64" s="170"/>
      <c r="S64" s="213">
        <f t="shared" si="42"/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-08-06T08:53:23-0600',mode:absolute,to:'2017-08-06T11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4" s="197" t="str">
        <f>IF(AA64&lt;VLOOKUP(AG64,Variables!$AC$3:$AD$8,2,FALSE),"Y","N")</f>
        <v>N</v>
      </c>
      <c r="X64" s="197">
        <f t="shared" si="43"/>
        <v>1</v>
      </c>
      <c r="Y64" s="197">
        <f t="shared" si="39"/>
        <v>4.7100000000000003E-2</v>
      </c>
      <c r="Z64" s="197">
        <f t="shared" si="40"/>
        <v>23.330200000000001</v>
      </c>
      <c r="AA64" s="197">
        <f t="shared" si="4"/>
        <v>23.283100000000001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5"/>
        <v>151</v>
      </c>
      <c r="AE64" s="77" t="str">
        <f t="shared" si="6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64" s="74" t="str">
        <f t="shared" si="7"/>
        <v>"C:\Program Files (x86)\AstroGrep\AstroGrep.exe" /e /r /s /spath="%USERPROFILE%\AppData\Local\Temp\OnboardLogs" /stypes="app*4066*20170806*" /stext=" 16:.+((SYSTEM_STATE.+slice.+state.+changed )|(ment ac)|(multiple cpu faults)|(system.+state.+changed )|(\[timeout)|(PRM\|1\|D)|(kpr)|(kdp)|(train st.+moving)|(\|lc)|(penalty))"</v>
      </c>
      <c r="AG64" s="209" t="str">
        <f t="shared" si="8"/>
        <v>EC</v>
      </c>
      <c r="AH64" s="78" t="str">
        <f t="shared" si="13"/>
        <v>"%USERPROFILE%\Documents\GitHub\eaglep3\Utilities\RefineRTDCRunTimes.py" --tripid 151-06 --locoid 4066 --swversion DE.1.0.9.0 --startMP 204:471 --initTime 2017-08-06T09:53:23 --startdatetime 2017-08-06T10:00:45 --delay 1 --endMP 204:233302 --enddatetime 2017-08-06T10:35:56 --enforcementcount 0 &gt;&gt;C:\Users\stu\Documents\GitHub\eaglep3-reporting\EC\2017-08-06-refined-times.txt</v>
      </c>
      <c r="AI6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{"issue":{"subject":"","project_id":79,"tracker_id":40,"status_id":1,"priority_id":2,"assigned_to_id":23,"start_date":"2017-08-06","description":"","custom_fields":[{"id":1,"name":"Subdivision","value":"EC"},{"id":4,"name":"Milepost","value":"23.3302"},{"id":17,"name":"Train ID","value":"151-06"},{"id":16,"name":"Locomotive ID","value":"4066"},{"id":130,"name":"Impact","value":""},{"id":150,"name":"Time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5"/>
        <v>start /low /b %USERPROFILE%\Documents\GitHub\eaglep3\Utilities\DownloadLogsFromS3.py --loco 4066 --day 2017-08-06</v>
      </c>
      <c r="AN6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749</v>
      </c>
      <c r="B65" s="7">
        <v>4065</v>
      </c>
      <c r="C65" s="21" t="s">
        <v>198</v>
      </c>
      <c r="D65" s="21" t="s">
        <v>563</v>
      </c>
      <c r="E65" s="13">
        <v>42953.443020833336</v>
      </c>
      <c r="F65" s="13">
        <v>42953.456631944442</v>
      </c>
      <c r="G65" s="7">
        <v>0</v>
      </c>
      <c r="H65" s="21" t="s">
        <v>352</v>
      </c>
      <c r="I65" s="13">
        <v>42953.482349537036</v>
      </c>
      <c r="J65" s="7">
        <v>0</v>
      </c>
      <c r="K65" s="89" t="str">
        <f t="shared" si="0"/>
        <v>4065/4066</v>
      </c>
      <c r="L65" s="21" t="str">
        <f>VLOOKUP(A65,'Trips&amp;Operators'!$C$1:$G$99999,5,FALSE)</f>
        <v>GEBRETEKLE DAGNEW</v>
      </c>
      <c r="M65" s="6">
        <f t="shared" si="1"/>
        <v>2.5717592594446614E-2</v>
      </c>
      <c r="N65" s="7">
        <f t="shared" si="41"/>
        <v>37.033333336003125</v>
      </c>
      <c r="O65" s="7"/>
      <c r="P65" s="7"/>
      <c r="Q65" s="22"/>
      <c r="R65" s="170"/>
      <c r="S65" s="213">
        <f t="shared" si="42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-08-06T09:37:57-0600',mode:absolute,to:'2017-08-06T12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5" s="197" t="str">
        <f>IF(AA65&lt;VLOOKUP(AG65,Variables!$AC$3:$AD$8,2,FALSE),"Y","N")</f>
        <v>N</v>
      </c>
      <c r="X65" s="197">
        <f t="shared" si="43"/>
        <v>1</v>
      </c>
      <c r="Y65" s="197">
        <f t="shared" si="39"/>
        <v>23.2972</v>
      </c>
      <c r="Z65" s="197">
        <f t="shared" si="40"/>
        <v>1.47E-2</v>
      </c>
      <c r="AA65" s="197">
        <f t="shared" si="4"/>
        <v>23.282499999999999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5"/>
        <v>152</v>
      </c>
      <c r="AE65" s="77" t="str">
        <f t="shared" si="6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65" s="74" t="str">
        <f t="shared" si="7"/>
        <v>"C:\Program Files (x86)\AstroGrep\AstroGrep.exe" /e /r /s /spath="%USERPROFILE%\AppData\Local\Temp\OnboardLogs" /stypes="app*4065*20170806*" /stext=" 17:.+((SYSTEM_STATE.+slice.+state.+changed )|(ment ac)|(multiple cpu faults)|(system.+state.+changed )|(\[timeout)|(PRM\|1\|D)|(kpr)|(kdp)|(train st.+moving)|(\|lc)|(penalty))"</v>
      </c>
      <c r="AG65" s="209" t="str">
        <f t="shared" si="8"/>
        <v>EC</v>
      </c>
      <c r="AH65" s="78" t="str">
        <f t="shared" si="13"/>
        <v>"%USERPROFILE%\Documents\GitHub\eaglep3\Utilities\RefineRTDCRunTimes.py" --tripid 152-06 --locoid 4065 --swversion DE.1.0.9.0 --startMP 204:232972 --initTime 2017-08-06T10:37:57 --startdatetime 2017-08-06T10:57:33 --delay 0 --endMP 204:147 --enddatetime 2017-08-06T11:34:35 --enforcementcount 0 &gt;&gt;C:\Users\stu\Documents\GitHub\eaglep3-reporting\EC\2017-08-06-refined-times.txt</v>
      </c>
      <c r="AI6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{"issue":{"subject":"","project_id":79,"tracker_id":40,"status_id":1,"priority_id":2,"assigned_to_id":23,"start_date":"2017-08-06","description":"","custom_fields":[{"id":1,"name":"Subdivision","value":"EC"},{"id":4,"name":"Milepost","value":"0.0147"},{"id":17,"name":"Train ID","value":"152-06"},{"id":16,"name":"Locomotive ID","value":"4065"},{"id":130,"name":"Impact","value":""},{"id":150,"name":"Time of Event (Mountain Time)","value":"11:34:35"},{"id":151,"name":"Denver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5"/>
        <v>start /low /b %USERPROFILE%\Documents\GitHub\eaglep3\Utilities\DownloadLogsFromS3.py --loco 4065 --day 2017-08-06</v>
      </c>
      <c r="AN6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744</v>
      </c>
      <c r="B66" s="7">
        <v>4032</v>
      </c>
      <c r="C66" s="21" t="s">
        <v>198</v>
      </c>
      <c r="D66" s="21" t="s">
        <v>347</v>
      </c>
      <c r="E66" s="13">
        <v>42953.4221875</v>
      </c>
      <c r="F66" s="13">
        <v>42953.427627314813</v>
      </c>
      <c r="G66" s="7">
        <v>1</v>
      </c>
      <c r="H66" s="21" t="s">
        <v>871</v>
      </c>
      <c r="I66" s="13">
        <v>42953.452060185184</v>
      </c>
      <c r="J66" s="7">
        <v>0</v>
      </c>
      <c r="K66" s="89" t="str">
        <f t="shared" si="0"/>
        <v>4031/4032</v>
      </c>
      <c r="L66" s="21" t="str">
        <f>VLOOKUP(A66,'Trips&amp;Operators'!$C$1:$G$99999,5,FALSE)</f>
        <v>SULLIVAN BRANDON</v>
      </c>
      <c r="M66" s="6">
        <f t="shared" si="1"/>
        <v>2.4432870370219462E-2</v>
      </c>
      <c r="N66" s="7">
        <f t="shared" si="41"/>
        <v>35.183333333116025</v>
      </c>
      <c r="O66" s="7"/>
      <c r="P66" s="7"/>
      <c r="Q66" s="22"/>
      <c r="R66" s="170"/>
      <c r="S66" s="213">
        <f t="shared" si="42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-08-06T09:07:57-0600',mode:absolute,to:'2017-08-06T11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197" t="str">
        <f>IF(AA66&lt;VLOOKUP(AG66,Variables!$AC$3:$AD$8,2,FALSE),"Y","N")</f>
        <v>N</v>
      </c>
      <c r="X66" s="197">
        <f t="shared" si="43"/>
        <v>1</v>
      </c>
      <c r="Y66" s="197">
        <f t="shared" si="39"/>
        <v>4.53E-2</v>
      </c>
      <c r="Z66" s="197">
        <f t="shared" si="40"/>
        <v>23.335899999999999</v>
      </c>
      <c r="AA66" s="197">
        <f t="shared" si="4"/>
        <v>23.290599999999998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5"/>
        <v>153</v>
      </c>
      <c r="AE66" s="77" t="str">
        <f t="shared" si="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66" s="74" t="str">
        <f t="shared" si="7"/>
        <v>"C:\Program Files (x86)\AstroGrep\AstroGrep.exe" /e /r /s /spath="%USERPROFILE%\AppData\Local\Temp\OnboardLogs" /stypes="app*4032*20170806*" /stext=" 16:.+((SYSTEM_STATE.+slice.+state.+changed )|(ment ac)|(multiple cpu faults)|(system.+state.+changed )|(\[timeout)|(PRM\|1\|D)|(kpr)|(kdp)|(train st.+moving)|(\|lc)|(penalty))"</v>
      </c>
      <c r="AG66" s="209" t="str">
        <f t="shared" si="8"/>
        <v>EC</v>
      </c>
      <c r="AH66" s="78" t="str">
        <f t="shared" si="13"/>
        <v>"%USERPROFILE%\Documents\GitHub\eaglep3\Utilities\RefineRTDCRunTimes.py" --tripid 153-06 --locoid 4032 --swversion DE.1.0.9.0 --startMP 204:453 --initTime 2017-08-06T10:07:57 --startdatetime 2017-08-06T10:15:47 --delay 1 --endMP 204:233359 --enddatetime 2017-08-06T10:50:58 --enforcementcount 0 &gt;&gt;C:\Users\stu\Documents\GitHub\eaglep3-reporting\EC\2017-08-06-refined-times.txt</v>
      </c>
      <c r="AI6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{"issue":{"subject":"","project_id":79,"tracker_id":40,"status_id":1,"priority_id":2,"assigned_to_id":23,"start_date":"2017-08-06","description":"","custom_fields":[{"id":1,"name":"Subdivision","value":"EC"},{"id":4,"name":"Milepost","value":"23.3359"},{"id":17,"name":"Train ID","value":"153-06"},{"id":16,"name":"Locomotive ID","value":"4032"},{"id":130,"name":"Impact","value":""},{"id":150,"name":"Time of Event (Mountain Time)","value":"10:50:58"},{"id":151,"name":"Denver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5"/>
        <v>start /low /b %USERPROFILE%\Documents\GitHub\eaglep3\Utilities\DownloadLogsFromS3.py --loco 4032 --day 2017-08-06</v>
      </c>
      <c r="AN6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754</v>
      </c>
      <c r="B67" s="7">
        <v>4031</v>
      </c>
      <c r="C67" s="21" t="s">
        <v>198</v>
      </c>
      <c r="D67" s="21" t="s">
        <v>898</v>
      </c>
      <c r="E67" s="13">
        <v>42953.460300925923</v>
      </c>
      <c r="F67" s="13">
        <v>42953.466863425929</v>
      </c>
      <c r="G67" s="7">
        <v>1</v>
      </c>
      <c r="H67" s="21" t="s">
        <v>499</v>
      </c>
      <c r="I67" s="13">
        <v>42953.493564814817</v>
      </c>
      <c r="J67" s="7">
        <v>0</v>
      </c>
      <c r="K67" s="89" t="str">
        <f t="shared" si="0"/>
        <v>4031/4032</v>
      </c>
      <c r="L67" s="21" t="str">
        <f>VLOOKUP(A67,'Trips&amp;Operators'!$C$1:$G$99999,5,FALSE)</f>
        <v>SULLIVAN BRANDON</v>
      </c>
      <c r="M67" s="6">
        <f t="shared" si="1"/>
        <v>2.6701388887886424E-2</v>
      </c>
      <c r="N67" s="7">
        <f t="shared" si="41"/>
        <v>38.44999999855645</v>
      </c>
      <c r="O67" s="7"/>
      <c r="P67" s="7"/>
      <c r="Q67" s="22"/>
      <c r="R67" s="170"/>
      <c r="S67" s="213">
        <f t="shared" si="42"/>
        <v>1</v>
      </c>
      <c r="T67" s="195" t="str">
        <f t="shared" si="2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-08-06T10:02:50-0600',mode:absolute,to:'2017-08-06T12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7" s="197" t="str">
        <f>IF(AA67&lt;VLOOKUP(AG67,Variables!$AC$3:$AD$8,2,FALSE),"Y","N")</f>
        <v>N</v>
      </c>
      <c r="X67" s="197">
        <f t="shared" si="43"/>
        <v>1</v>
      </c>
      <c r="Y67" s="197">
        <f t="shared" si="39"/>
        <v>23.3049</v>
      </c>
      <c r="Z67" s="197">
        <f t="shared" si="40"/>
        <v>1.61E-2</v>
      </c>
      <c r="AA67" s="197">
        <f t="shared" si="4"/>
        <v>23.288799999999998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5"/>
        <v>154</v>
      </c>
      <c r="AE67" s="77" t="str">
        <f t="shared" si="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67" s="74" t="str">
        <f t="shared" si="7"/>
        <v>"C:\Program Files (x86)\AstroGrep\AstroGrep.exe" /e /r /s /spath="%USERPROFILE%\AppData\Local\Temp\OnboardLogs" /stypes="app*4031*20170806*" /stext=" 17:.+((SYSTEM_STATE.+slice.+state.+changed )|(ment ac)|(multiple cpu faults)|(system.+state.+changed )|(\[timeout)|(PRM\|1\|D)|(kpr)|(kdp)|(train st.+moving)|(\|lc)|(penalty))"</v>
      </c>
      <c r="AG67" s="209" t="str">
        <f t="shared" si="8"/>
        <v>EC</v>
      </c>
      <c r="AH67" s="78" t="str">
        <f t="shared" si="13"/>
        <v>"%USERPROFILE%\Documents\GitHub\eaglep3\Utilities\RefineRTDCRunTimes.py" --tripid 154-06 --locoid 4031 --swversion DE.1.0.9.0 --startMP 204:233049 --initTime 2017-08-06T11:02:50 --startdatetime 2017-08-06T11:12:17 --delay 1 --endMP 204:161 --enddatetime 2017-08-06T11:50:44 --enforcementcount 0 &gt;&gt;C:\Users\stu\Documents\GitHub\eaglep3-reporting\EC\2017-08-06-refined-times.txt</v>
      </c>
      <c r="AI6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{"issue":{"subject":"","project_id":79,"tracker_id":40,"status_id":1,"priority_id":2,"assigned_to_id":23,"start_date":"2017-08-06","description":"","custom_fields":[{"id":1,"name":"Subdivision","value":"EC"},{"id":4,"name":"Milepost","value":"0.0161"},{"id":17,"name":"Train ID","value":"154-06"},{"id":16,"name":"Locomotive ID","value":"4031"},{"id":130,"name":"Impact","value":""},{"id":150,"name":"Time of Event (Mountain Time)","value":"11:50:44"},{"id":151,"name":"Denver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5"/>
        <v>start /low /b %USERPROFILE%\Documents\GitHub\eaglep3\Utilities\DownloadLogsFromS3.py --loco 4031 --day 2017-08-06</v>
      </c>
      <c r="AN6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747</v>
      </c>
      <c r="B68" s="7">
        <v>4002</v>
      </c>
      <c r="C68" s="21" t="s">
        <v>198</v>
      </c>
      <c r="D68" s="21" t="s">
        <v>445</v>
      </c>
      <c r="E68" s="13">
        <v>42953.433310185188</v>
      </c>
      <c r="F68" s="13">
        <v>42953.438032407408</v>
      </c>
      <c r="G68" s="7">
        <v>1</v>
      </c>
      <c r="H68" s="21" t="s">
        <v>504</v>
      </c>
      <c r="I68" s="13">
        <v>42953.462777777779</v>
      </c>
      <c r="J68" s="7">
        <v>0</v>
      </c>
      <c r="K68" s="89" t="str">
        <f t="shared" si="0"/>
        <v>4001/4002</v>
      </c>
      <c r="L68" s="21" t="str">
        <f>VLOOKUP(A68,'Trips&amp;Operators'!$C$1:$G$99999,5,FALSE)</f>
        <v>GUZMAN DANNY</v>
      </c>
      <c r="M68" s="6">
        <f t="shared" si="1"/>
        <v>2.47453703705105E-2</v>
      </c>
      <c r="N68" s="7">
        <f t="shared" si="41"/>
        <v>35.63333333353512</v>
      </c>
      <c r="O68" s="7"/>
      <c r="P68" s="7"/>
      <c r="Q68" s="22"/>
      <c r="R68" s="170"/>
      <c r="S68" s="213">
        <f t="shared" si="42"/>
        <v>1</v>
      </c>
      <c r="T68" s="195" t="str">
        <f t="shared" si="2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-08-06T09:23:58-0600',mode:absolute,to:'2017-08-06T12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197" t="str">
        <f>IF(AA68&lt;VLOOKUP(AG68,Variables!$AC$3:$AD$8,2,FALSE),"Y","N")</f>
        <v>N</v>
      </c>
      <c r="X68" s="197">
        <f t="shared" si="43"/>
        <v>1</v>
      </c>
      <c r="Y68" s="197">
        <f t="shared" si="39"/>
        <v>4.5999999999999999E-2</v>
      </c>
      <c r="Z68" s="197">
        <f t="shared" si="40"/>
        <v>23.331199999999999</v>
      </c>
      <c r="AA68" s="197">
        <f t="shared" si="4"/>
        <v>23.2852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5"/>
        <v>155</v>
      </c>
      <c r="AE68" s="77" t="str">
        <f t="shared" si="6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68" s="74" t="str">
        <f t="shared" si="7"/>
        <v>"C:\Program Files (x86)\AstroGrep\AstroGrep.exe" /e /r /s /spath="%USERPROFILE%\AppData\Local\Temp\OnboardLogs" /stypes="app*4002*20170806*" /stext=" 17:.+((SYSTEM_STATE.+slice.+state.+changed )|(ment ac)|(multiple cpu faults)|(system.+state.+changed )|(\[timeout)|(PRM\|1\|D)|(kpr)|(kdp)|(train st.+moving)|(\|lc)|(penalty))"</v>
      </c>
      <c r="AG68" s="209" t="str">
        <f t="shared" si="8"/>
        <v>EC</v>
      </c>
      <c r="AH68" s="78" t="str">
        <f t="shared" si="13"/>
        <v>"%USERPROFILE%\Documents\GitHub\eaglep3\Utilities\RefineRTDCRunTimes.py" --tripid 155-06 --locoid 4002 --swversion DE.1.0.9.0 --startMP 204:460 --initTime 2017-08-06T10:23:58 --startdatetime 2017-08-06T10:30:46 --delay 1 --endMP 204:233312 --enddatetime 2017-08-06T11:06:24 --enforcementcount 0 &gt;&gt;C:\Users\stu\Documents\GitHub\eaglep3-reporting\EC\2017-08-06-refined-times.txt</v>
      </c>
      <c r="AI68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{"issue":{"subject":"","project_id":79,"tracker_id":40,"status_id":1,"priority_id":2,"assigned_to_id":23,"start_date":"2017-08-06","description":"","custom_fields":[{"id":1,"name":"Subdivision","value":"EC"},{"id":4,"name":"Milepost","value":"23.3312"},{"id":17,"name":"Train ID","value":"155-06"},{"id":16,"name":"Locomotive ID","value":"4002"},{"id":130,"name":"Impact","value":""},{"id":150,"name":"Time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5"/>
        <v>start /low /b %USERPROFILE%\Documents\GitHub\eaglep3\Utilities\DownloadLogsFromS3.py --loco 4002 --day 2017-08-06</v>
      </c>
      <c r="AN68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643</v>
      </c>
      <c r="B69" s="7">
        <v>4001</v>
      </c>
      <c r="C69" s="21" t="s">
        <v>198</v>
      </c>
      <c r="D69" s="21" t="s">
        <v>899</v>
      </c>
      <c r="E69" s="13">
        <v>42953.465196759258</v>
      </c>
      <c r="F69" s="13">
        <v>42953.477384259262</v>
      </c>
      <c r="G69" s="7">
        <v>1</v>
      </c>
      <c r="H69" s="21" t="s">
        <v>497</v>
      </c>
      <c r="I69" s="13">
        <v>42953.504699074074</v>
      </c>
      <c r="J69" s="7">
        <v>0</v>
      </c>
      <c r="K69" s="89" t="str">
        <f t="shared" si="0"/>
        <v>4001/4002</v>
      </c>
      <c r="L69" s="21" t="str">
        <f>VLOOKUP(A69,'Trips&amp;Operators'!$C$1:$G$99999,5,FALSE)</f>
        <v>GUZMAN DANNY</v>
      </c>
      <c r="M69" s="6">
        <f t="shared" si="1"/>
        <v>2.7314814811688848E-2</v>
      </c>
      <c r="N69" s="7">
        <f t="shared" si="41"/>
        <v>39.333333328831941</v>
      </c>
      <c r="O69" s="7"/>
      <c r="P69" s="7"/>
      <c r="Q69" s="22"/>
      <c r="R69" s="170" t="s">
        <v>1036</v>
      </c>
      <c r="S69" s="213">
        <f t="shared" si="42"/>
        <v>1</v>
      </c>
      <c r="T69" s="195" t="str">
        <f t="shared" si="2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-08-06T10:09:53-0600',mode:absolute,to:'2017-08-06T13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197" t="str">
        <f>IF(AA69&lt;VLOOKUP(AG69,Variables!$AC$3:$AD$8,2,FALSE),"Y","N")</f>
        <v>N</v>
      </c>
      <c r="X69" s="197">
        <f t="shared" si="43"/>
        <v>1</v>
      </c>
      <c r="Y69" s="197">
        <f t="shared" si="39"/>
        <v>23.297699999999999</v>
      </c>
      <c r="Z69" s="197">
        <f t="shared" si="40"/>
        <v>1.4500000000000001E-2</v>
      </c>
      <c r="AA69" s="197">
        <f t="shared" si="4"/>
        <v>23.283199999999997</v>
      </c>
      <c r="AB69" s="54" t="str">
        <f>VLOOKUP(A69,Enforcements!$C$7:$K$12,8,0)</f>
        <v>Bulletin (2)</v>
      </c>
      <c r="AC69" s="51" t="str">
        <f>VLOOKUP(A69,Enforcements!$C$7:$E$12,3,0)</f>
        <v>GRADE CROSSING</v>
      </c>
      <c r="AD69" s="206">
        <f t="shared" si="5"/>
        <v>156</v>
      </c>
      <c r="AE69" s="77" t="str">
        <f t="shared" si="6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69" s="74" t="str">
        <f t="shared" si="7"/>
        <v>"C:\Program Files (x86)\AstroGrep\AstroGrep.exe" /e /r /s /spath="%USERPROFILE%\AppData\Local\Temp\OnboardLogs" /stypes="app*4001*20170806*" /stext=" 18:.+((SYSTEM_STATE.+slice.+state.+changed )|(ment ac)|(multiple cpu faults)|(system.+state.+changed )|(\[timeout)|(PRM\|1\|D)|(kpr)|(kdp)|(train st.+moving)|(\|lc)|(penalty))"</v>
      </c>
      <c r="AG69" s="209" t="str">
        <f t="shared" si="8"/>
        <v>EC</v>
      </c>
      <c r="AH69" s="78" t="str">
        <f t="shared" si="13"/>
        <v>"%USERPROFILE%\Documents\GitHub\eaglep3\Utilities\RefineRTDCRunTimes.py" --tripid 156-06 --locoid 4001 --swversion DE.1.0.9.0 --startMP 204:232977 --initTime 2017-08-06T11:09:53 --startdatetime 2017-08-06T11:27:26 --delay 1 --endMP 204:145 --enddatetime 2017-08-06T12:06:46 --enforcementcount 0 &gt;&gt;C:\Users\stu\Documents\GitHub\eaglep3-reporting\EC\2017-08-06-refined-times.txt</v>
      </c>
      <c r="AI69" s="96" t="str">
        <f t="shared" si="14"/>
        <v>echo {"issue":{"subject":"Unhealthy crossings due to Wi-MAX data drop","project_id":79,"tracker_id":40,"status_id":1,"priority_id":2,"assigned_to_id":23,"start_date":"2017-08-06","description":"","custom_fields":[{"id":1,"name":"Subdivision","value":"EC"},{"id":4,"name":"Milepost","value":"0.0145"},{"id":17,"name":"Train ID","value":"156-06"},{"id":16,"name":"Locomotive ID","value":"4001"},{"id":130,"name":"Impact","value":""},{"id":150,"name":"Time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5"/>
        <v>start /low /b %USERPROFILE%\Documents\GitHub\eaglep3\Utilities\DownloadLogsFromS3.py --loco 4001 --day 2017-08-06</v>
      </c>
      <c r="AN69" s="151" t="str">
        <f t="shared" si="16"/>
        <v>echo {"issue":{"subject":"Unhealthy crossings due to Wi-MAX data drop","project_id":30,"tracker_id":4,"status_id":1,"priority_id":1,"assigned_to_id":10,"start_date":"2017-08-06","description":"","custom_fields":[{"id":30,"name":"Category","value":"Issue"},{"id":3,"name":"Functional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750</v>
      </c>
      <c r="B70" s="7">
        <v>4044</v>
      </c>
      <c r="C70" s="21" t="s">
        <v>198</v>
      </c>
      <c r="D70" s="21" t="s">
        <v>900</v>
      </c>
      <c r="E70" s="13">
        <v>42953.443738425929</v>
      </c>
      <c r="F70" s="13">
        <v>42953.448437500003</v>
      </c>
      <c r="G70" s="7">
        <v>1</v>
      </c>
      <c r="H70" s="21" t="s">
        <v>901</v>
      </c>
      <c r="I70" s="13">
        <v>42953.472650462965</v>
      </c>
      <c r="J70" s="7">
        <v>0</v>
      </c>
      <c r="K70" s="89" t="str">
        <f t="shared" si="0"/>
        <v>4043/4044</v>
      </c>
      <c r="L70" s="21" t="str">
        <f>VLOOKUP(A70,'Trips&amp;Operators'!$C$1:$G$99999,5,FALSE)</f>
        <v>ROMERO CHAD</v>
      </c>
      <c r="M70" s="6">
        <f t="shared" si="1"/>
        <v>2.421296296233777E-2</v>
      </c>
      <c r="N70" s="7">
        <f t="shared" si="41"/>
        <v>34.866666665766388</v>
      </c>
      <c r="O70" s="7"/>
      <c r="P70" s="7"/>
      <c r="Q70" s="22"/>
      <c r="R70" s="170"/>
      <c r="S70" s="213">
        <f t="shared" si="42"/>
        <v>1</v>
      </c>
      <c r="T70" s="195" t="str">
        <f t="shared" si="2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-08-06T09:38:59-0600',mode:absolute,to:'2017-08-06T12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0" s="197" t="str">
        <f>IF(AA70&lt;VLOOKUP(AG70,Variables!$AC$3:$AD$8,2,FALSE),"Y","N")</f>
        <v>N</v>
      </c>
      <c r="X70" s="197">
        <f t="shared" si="43"/>
        <v>1</v>
      </c>
      <c r="Y70" s="197">
        <f t="shared" si="39"/>
        <v>4.8000000000000001E-2</v>
      </c>
      <c r="Z70" s="197">
        <f t="shared" si="40"/>
        <v>23.337800000000001</v>
      </c>
      <c r="AA70" s="197">
        <f t="shared" si="4"/>
        <v>23.289800000000003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5"/>
        <v>157</v>
      </c>
      <c r="AE70" s="77" t="str">
        <f t="shared" si="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70" s="74" t="str">
        <f t="shared" si="7"/>
        <v>"C:\Program Files (x86)\AstroGrep\AstroGrep.exe" /e /r /s /spath="%USERPROFILE%\AppData\Local\Temp\OnboardLogs" /stypes="app*4044*20170806*" /stext=" 17:.+((SYSTEM_STATE.+slice.+state.+changed )|(ment ac)|(multiple cpu faults)|(system.+state.+changed )|(\[timeout)|(PRM\|1\|D)|(kpr)|(kdp)|(train st.+moving)|(\|lc)|(penalty))"</v>
      </c>
      <c r="AG70" s="209" t="str">
        <f t="shared" si="8"/>
        <v>EC</v>
      </c>
      <c r="AH70" s="78" t="str">
        <f t="shared" si="13"/>
        <v>"%USERPROFILE%\Documents\GitHub\eaglep3\Utilities\RefineRTDCRunTimes.py" --tripid 157-06 --locoid 4044 --swversion DE.1.0.9.0 --startMP 204:480 --initTime 2017-08-06T10:38:59 --startdatetime 2017-08-06T10:45:45 --delay 1 --endMP 204:233378 --enddatetime 2017-08-06T11:20:37 --enforcementcount 0 &gt;&gt;C:\Users\stu\Documents\GitHub\eaglep3-reporting\EC\2017-08-06-refined-times.txt</v>
      </c>
      <c r="AI7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{"issue":{"subject":"","project_id":79,"tracker_id":40,"status_id":1,"priority_id":2,"assigned_to_id":23,"start_date":"2017-08-06","description":"","custom_fields":[{"id":1,"name":"Subdivision","value":"EC"},{"id":4,"name":"Milepost","value":"23.3378"},{"id":17,"name":"Train ID","value":"157-06"},{"id":16,"name":"Locomotive ID","value":"4044"},{"id":130,"name":"Impact","value":""},{"id":150,"name":"Time of Event (Mountain Time)","value":"11:20:37"},{"id":151,"name":"Denver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5"/>
        <v>start /low /b %USERPROFILE%\Documents\GitHub\eaglep3\Utilities\DownloadLogsFromS3.py --loco 4044 --day 2017-08-06</v>
      </c>
      <c r="AN7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756</v>
      </c>
      <c r="B71" s="7">
        <v>4043</v>
      </c>
      <c r="C71" s="21" t="s">
        <v>198</v>
      </c>
      <c r="D71" s="21" t="s">
        <v>902</v>
      </c>
      <c r="E71" s="13">
        <v>42953.474016203705</v>
      </c>
      <c r="F71" s="13">
        <v>42953.487673611111</v>
      </c>
      <c r="G71" s="7">
        <v>1</v>
      </c>
      <c r="H71" s="21" t="s">
        <v>903</v>
      </c>
      <c r="I71" s="13">
        <v>42953.513703703706</v>
      </c>
      <c r="J71" s="7">
        <v>0</v>
      </c>
      <c r="K71" s="89" t="str">
        <f t="shared" si="0"/>
        <v>4043/4044</v>
      </c>
      <c r="L71" s="21" t="str">
        <f>VLOOKUP(A71,'Trips&amp;Operators'!$C$1:$G$99999,5,FALSE)</f>
        <v>ROMERO CHAD</v>
      </c>
      <c r="M71" s="6">
        <f t="shared" si="1"/>
        <v>2.6030092594737653E-2</v>
      </c>
      <c r="N71" s="7">
        <f t="shared" si="41"/>
        <v>37.48333333642222</v>
      </c>
      <c r="O71" s="7"/>
      <c r="P71" s="7"/>
      <c r="Q71" s="22"/>
      <c r="R71" s="170"/>
      <c r="S71" s="213">
        <f t="shared" si="42"/>
        <v>1</v>
      </c>
      <c r="T71" s="195" t="str">
        <f t="shared" si="2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-08-06T10:22:35-0600',mode:absolute,to:'2017-08-06T13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1" s="197" t="str">
        <f>IF(AA71&lt;VLOOKUP(AG71,Variables!$AC$3:$AD$8,2,FALSE),"Y","N")</f>
        <v>N</v>
      </c>
      <c r="X71" s="197">
        <f t="shared" si="43"/>
        <v>1</v>
      </c>
      <c r="Y71" s="197">
        <f t="shared" si="39"/>
        <v>23.305700000000002</v>
      </c>
      <c r="Z71" s="197">
        <f t="shared" si="40"/>
        <v>1.29E-2</v>
      </c>
      <c r="AA71" s="197">
        <f t="shared" si="4"/>
        <v>23.292800000000003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5"/>
        <v>158</v>
      </c>
      <c r="AE71" s="77" t="str">
        <f t="shared" si="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71" s="74" t="str">
        <f t="shared" si="7"/>
        <v>"C:\Program Files (x86)\AstroGrep\AstroGrep.exe" /e /r /s /spath="%USERPROFILE%\AppData\Local\Temp\OnboardLogs" /stypes="app*4043*20170806*" /stext=" 18:.+((SYSTEM_STATE.+slice.+state.+changed )|(ment ac)|(multiple cpu faults)|(system.+state.+changed )|(\[timeout)|(PRM\|1\|D)|(kpr)|(kdp)|(train st.+moving)|(\|lc)|(penalty))"</v>
      </c>
      <c r="AG71" s="209" t="str">
        <f t="shared" si="8"/>
        <v>EC</v>
      </c>
      <c r="AH71" s="78" t="str">
        <f t="shared" si="13"/>
        <v>"%USERPROFILE%\Documents\GitHub\eaglep3\Utilities\RefineRTDCRunTimes.py" --tripid 158-06 --locoid 4043 --swversion DE.1.0.9.0 --startMP 204:233057 --initTime 2017-08-06T11:22:35 --startdatetime 2017-08-06T11:42:15 --delay 1 --endMP 204:129 --enddatetime 2017-08-06T12:19:44 --enforcementcount 0 &gt;&gt;C:\Users\stu\Documents\GitHub\eaglep3-reporting\EC\2017-08-06-refined-times.txt</v>
      </c>
      <c r="AI71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{"issue":{"subject":"","project_id":79,"tracker_id":40,"status_id":1,"priority_id":2,"assigned_to_id":23,"start_date":"2017-08-06","description":"","custom_fields":[{"id":1,"name":"Subdivision","value":"EC"},{"id":4,"name":"Milepost","value":"0.0129"},{"id":17,"name":"Train ID","value":"158-06"},{"id":16,"name":"Locomotive ID","value":"4043"},{"id":130,"name":"Impact","value":""},{"id":150,"name":"Time of Event (Mountain Time)","value":"12:19:44"},{"id":151,"name":"Denver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5"/>
        <v>start /low /b %USERPROFILE%\Documents\GitHub\eaglep3\Utilities\DownloadLogsFromS3.py --loco 4043 --day 2017-08-06</v>
      </c>
      <c r="AN71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641</v>
      </c>
      <c r="B72" s="7">
        <v>4030</v>
      </c>
      <c r="C72" s="21" t="s">
        <v>198</v>
      </c>
      <c r="D72" s="21" t="s">
        <v>376</v>
      </c>
      <c r="E72" s="13">
        <v>42953.45653935185</v>
      </c>
      <c r="F72" s="13">
        <v>42953.458912037036</v>
      </c>
      <c r="G72" s="7">
        <v>1</v>
      </c>
      <c r="H72" s="21" t="s">
        <v>488</v>
      </c>
      <c r="I72" s="13">
        <v>42953.483807870369</v>
      </c>
      <c r="J72" s="7">
        <v>0</v>
      </c>
      <c r="K72" s="89" t="str">
        <f t="shared" si="0"/>
        <v>4029/4030</v>
      </c>
      <c r="L72" s="21" t="str">
        <f>VLOOKUP(A72,'Trips&amp;Operators'!$C$1:$G$99999,5,FALSE)</f>
        <v>MACDONALD THOMAS</v>
      </c>
      <c r="M72" s="6">
        <f t="shared" si="1"/>
        <v>2.4895833332266193E-2</v>
      </c>
      <c r="N72" s="7">
        <f t="shared" si="41"/>
        <v>35.849999998463318</v>
      </c>
      <c r="O72" s="7"/>
      <c r="P72" s="7"/>
      <c r="Q72" s="22"/>
      <c r="R72" s="170"/>
      <c r="S72" s="213">
        <f t="shared" si="42"/>
        <v>1</v>
      </c>
      <c r="T72" s="195" t="str">
        <f t="shared" si="2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-08-06T09:57:25-0600',mode:absolute,to:'2017-08-06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97" t="str">
        <f>IF(AA72&lt;VLOOKUP(AG72,Variables!$AC$3:$AD$8,2,FALSE),"Y","N")</f>
        <v>N</v>
      </c>
      <c r="X72" s="197">
        <f t="shared" si="43"/>
        <v>1</v>
      </c>
      <c r="Y72" s="197">
        <f t="shared" si="39"/>
        <v>4.6199999999999998E-2</v>
      </c>
      <c r="Z72" s="197">
        <f t="shared" si="40"/>
        <v>23.328900000000001</v>
      </c>
      <c r="AA72" s="197">
        <f t="shared" si="4"/>
        <v>23.282700000000002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5"/>
        <v>159</v>
      </c>
      <c r="AE72" s="77" t="str">
        <f t="shared" si="6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72" s="74" t="str">
        <f t="shared" si="7"/>
        <v>"C:\Program Files (x86)\AstroGrep\AstroGrep.exe" /e /r /s /spath="%USERPROFILE%\AppData\Local\Temp\OnboardLogs" /stypes="app*4030*20170806*" /stext=" 17:.+((SYSTEM_STATE.+slice.+state.+changed )|(ment ac)|(multiple cpu faults)|(system.+state.+changed )|(\[timeout)|(PRM\|1\|D)|(kpr)|(kdp)|(train st.+moving)|(\|lc)|(penalty))"</v>
      </c>
      <c r="AG72" s="209" t="str">
        <f t="shared" si="8"/>
        <v>EC</v>
      </c>
      <c r="AH72" s="78" t="str">
        <f t="shared" si="13"/>
        <v>"%USERPROFILE%\Documents\GitHub\eaglep3\Utilities\RefineRTDCRunTimes.py" --tripid 159-06 --locoid 4030 --swversion DE.1.0.9.0 --startMP 204:462 --initTime 2017-08-06T10:57:25 --startdatetime 2017-08-06T11:00:50 --delay 1 --endMP 204:233289 --enddatetime 2017-08-06T11:36:41 --enforcementcount 0 &gt;&gt;C:\Users\stu\Documents\GitHub\eaglep3-reporting\EC\2017-08-06-refined-times.txt</v>
      </c>
      <c r="AI72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{"issue":{"subject":"","project_id":79,"tracker_id":40,"status_id":1,"priority_id":2,"assigned_to_id":23,"start_date":"2017-08-06","description":"","custom_fields":[{"id":1,"name":"Subdivision","value":"EC"},{"id":4,"name":"Milepost","value":"23.3289"},{"id":17,"name":"Train ID","value":"159-06"},{"id":16,"name":"Locomotive ID","value":"4030"},{"id":130,"name":"Impact","value":""},{"id":150,"name":"Time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5"/>
        <v>start /low /b %USERPROFILE%\Documents\GitHub\eaglep3\Utilities\DownloadLogsFromS3.py --loco 4030 --day 2017-08-06</v>
      </c>
      <c r="AN72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764</v>
      </c>
      <c r="B73" s="7">
        <v>4029</v>
      </c>
      <c r="C73" s="21" t="s">
        <v>198</v>
      </c>
      <c r="D73" s="21" t="s">
        <v>904</v>
      </c>
      <c r="E73" s="13">
        <v>42953.496736111112</v>
      </c>
      <c r="F73" s="13">
        <v>42953.498460648145</v>
      </c>
      <c r="G73" s="7">
        <v>1</v>
      </c>
      <c r="H73" s="21" t="s">
        <v>522</v>
      </c>
      <c r="I73" s="13">
        <v>42953.525509259256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MACDONALD THOMAS</v>
      </c>
      <c r="M73" s="6">
        <f t="shared" si="1"/>
        <v>2.7048611111240461E-2</v>
      </c>
      <c r="N73" s="7">
        <f t="shared" si="41"/>
        <v>38.950000000186265</v>
      </c>
      <c r="O73" s="7"/>
      <c r="P73" s="7"/>
      <c r="Q73" s="22"/>
      <c r="R73" s="170"/>
      <c r="S73" s="213">
        <f t="shared" si="42"/>
        <v>1</v>
      </c>
      <c r="T73" s="195" t="str">
        <f t="shared" si="2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-08-06T10:55:18-0600',mode:absolute,to:'2017-08-06T13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97" t="str">
        <f>IF(AA73&lt;VLOOKUP(AG73,Variables!$AC$3:$AD$8,2,FALSE),"Y","N")</f>
        <v>N</v>
      </c>
      <c r="X73" s="197">
        <f t="shared" si="43"/>
        <v>1</v>
      </c>
      <c r="Y73" s="197">
        <f t="shared" si="39"/>
        <v>23.297000000000001</v>
      </c>
      <c r="Z73" s="197">
        <f t="shared" si="40"/>
        <v>1.6299999999999999E-2</v>
      </c>
      <c r="AA73" s="197">
        <f t="shared" si="4"/>
        <v>23.2807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5"/>
        <v>160</v>
      </c>
      <c r="AE73" s="77" t="str">
        <f t="shared" si="6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73" s="74" t="str">
        <f t="shared" si="7"/>
        <v>"C:\Program Files (x86)\AstroGrep\AstroGrep.exe" /e /r /s /spath="%USERPROFILE%\AppData\Local\Temp\OnboardLogs" /stypes="app*4029*20170806*" /stext=" 18:.+((SYSTEM_STATE.+slice.+state.+changed )|(ment ac)|(multiple cpu faults)|(system.+state.+changed )|(\[timeout)|(PRM\|1\|D)|(kpr)|(kdp)|(train st.+moving)|(\|lc)|(penalty))"</v>
      </c>
      <c r="AG73" s="209" t="str">
        <f t="shared" si="8"/>
        <v>EC</v>
      </c>
      <c r="AH73" s="78" t="str">
        <f t="shared" si="13"/>
        <v>"%USERPROFILE%\Documents\GitHub\eaglep3\Utilities\RefineRTDCRunTimes.py" --tripid 160-06 --locoid 4029 --swversion DE.1.0.9.0 --startMP 204:232970 --initTime 2017-08-06T11:55:18 --startdatetime 2017-08-06T11:57:47 --delay 1 --endMP 204:163 --enddatetime 2017-08-06T12:36:44 --enforcementcount 0 &gt;&gt;C:\Users\stu\Documents\GitHub\eaglep3-reporting\EC\2017-08-06-refined-times.txt</v>
      </c>
      <c r="AI73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{"issue":{"subject":"","project_id":79,"tracker_id":40,"status_id":1,"priority_id":2,"assigned_to_id":23,"start_date":"2017-08-06","description":"","custom_fields":[{"id":1,"name":"Subdivision","value":"EC"},{"id":4,"name":"Milepost","value":"0.0163"},{"id":17,"name":"Train ID","value":"160-06"},{"id":16,"name":"Locomotive ID","value":"4029"},{"id":130,"name":"Impact","value":""},{"id":150,"name":"Time of Event (Mountain Time)","value":"12:36:44"},{"id":151,"name":"Denver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5"/>
        <v>start /low /b %USERPROFILE%\Documents\GitHub\eaglep3\Utilities\DownloadLogsFromS3.py --loco 4029 --day 2017-08-06</v>
      </c>
      <c r="AN73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755</v>
      </c>
      <c r="B74" s="7">
        <v>4006</v>
      </c>
      <c r="C74" s="21" t="s">
        <v>198</v>
      </c>
      <c r="D74" s="21" t="s">
        <v>345</v>
      </c>
      <c r="E74" s="13">
        <v>42953.465219907404</v>
      </c>
      <c r="F74" s="13">
        <v>42953.469236111108</v>
      </c>
      <c r="G74" s="7">
        <v>2</v>
      </c>
      <c r="H74" s="21" t="s">
        <v>623</v>
      </c>
      <c r="I74" s="13">
        <v>42953.494560185187</v>
      </c>
      <c r="J74" s="7">
        <v>0</v>
      </c>
      <c r="K74" s="89" t="str">
        <f t="shared" si="0"/>
        <v>4005/4006</v>
      </c>
      <c r="L74" s="21" t="str">
        <f>VLOOKUP(A74,'Trips&amp;Operators'!$C$1:$G$99999,5,FALSE)</f>
        <v>DAVIS MICHAEL</v>
      </c>
      <c r="M74" s="6">
        <f t="shared" si="1"/>
        <v>2.5324074078525882E-2</v>
      </c>
      <c r="N74" s="7">
        <f t="shared" si="41"/>
        <v>36.46666667307727</v>
      </c>
      <c r="O74" s="7"/>
      <c r="P74" s="7"/>
      <c r="Q74" s="22"/>
      <c r="R74" s="170"/>
      <c r="S74" s="213">
        <f t="shared" si="42"/>
        <v>1</v>
      </c>
      <c r="T74" s="195" t="str">
        <f t="shared" si="2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-08-06T10:09:55-0600',mode:absolute,to:'2017-08-06T12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4" s="197" t="str">
        <f>IF(AA74&lt;VLOOKUP(AG74,Variables!$AC$3:$AD$8,2,FALSE),"Y","N")</f>
        <v>N</v>
      </c>
      <c r="X74" s="197">
        <f t="shared" si="43"/>
        <v>1</v>
      </c>
      <c r="Y74" s="197">
        <f t="shared" si="39"/>
        <v>4.5100000000000001E-2</v>
      </c>
      <c r="Z74" s="197">
        <f t="shared" si="40"/>
        <v>23.3337</v>
      </c>
      <c r="AA74" s="197">
        <f t="shared" si="4"/>
        <v>23.288599999999999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5"/>
        <v>161</v>
      </c>
      <c r="AE74" s="77" t="str">
        <f t="shared" si="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74" s="74" t="str">
        <f t="shared" si="7"/>
        <v>"C:\Program Files (x86)\AstroGrep\AstroGrep.exe" /e /r /s /spath="%USERPROFILE%\AppData\Local\Temp\OnboardLogs" /stypes="app*4006*20170806*" /stext=" 17:.+((SYSTEM_STATE.+slice.+state.+changed )|(ment ac)|(multiple cpu faults)|(system.+state.+changed )|(\[timeout)|(PRM\|1\|D)|(kpr)|(kdp)|(train st.+moving)|(\|lc)|(penalty))"</v>
      </c>
      <c r="AG74" s="209" t="str">
        <f t="shared" si="8"/>
        <v>EC</v>
      </c>
      <c r="AH74" s="78" t="str">
        <f t="shared" si="13"/>
        <v>"%USERPROFILE%\Documents\GitHub\eaglep3\Utilities\RefineRTDCRunTimes.py" --tripid 161-06 --locoid 4006 --swversion DE.1.0.9.0 --startMP 204:451 --initTime 2017-08-06T11:09:55 --startdatetime 2017-08-06T11:15:42 --delay 2 --endMP 204:233337 --enddatetime 2017-08-06T11:52:10 --enforcementcount 0 &gt;&gt;C:\Users\stu\Documents\GitHub\eaglep3-reporting\EC\2017-08-06-refined-times.txt</v>
      </c>
      <c r="AI74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{"issue":{"subject":"","project_id":79,"tracker_id":40,"status_id":1,"priority_id":2,"assigned_to_id":23,"start_date":"2017-08-06","description":"","custom_fields":[{"id":1,"name":"Subdivision","value":"EC"},{"id":4,"name":"Milepost","value":"23.3337"},{"id":17,"name":"Train ID","value":"161-06"},{"id":16,"name":"Locomotive ID","value":"4006"},{"id":130,"name":"Impact","value":""},{"id":150,"name":"Time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5"/>
        <v>start /low /b %USERPROFILE%\Documents\GitHub\eaglep3\Utilities\DownloadLogsFromS3.py --loco 4006 --day 2017-08-06</v>
      </c>
      <c r="AN74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768</v>
      </c>
      <c r="B75" s="7">
        <v>4005</v>
      </c>
      <c r="C75" s="21" t="s">
        <v>198</v>
      </c>
      <c r="D75" s="21" t="s">
        <v>905</v>
      </c>
      <c r="E75" s="13">
        <v>42953.506689814814</v>
      </c>
      <c r="F75" s="13">
        <v>42953.508912037039</v>
      </c>
      <c r="G75" s="7">
        <v>2</v>
      </c>
      <c r="H75" s="21" t="s">
        <v>490</v>
      </c>
      <c r="I75" s="13">
        <v>42953.537129629629</v>
      </c>
      <c r="J75" s="7">
        <v>0</v>
      </c>
      <c r="K75" s="89" t="str">
        <f t="shared" si="0"/>
        <v>4005/4006</v>
      </c>
      <c r="L75" s="21" t="str">
        <f>VLOOKUP(A75,'Trips&amp;Operators'!$C$1:$G$99999,5,FALSE)</f>
        <v>DAVIS MICHAEL</v>
      </c>
      <c r="M75" s="6">
        <f t="shared" si="1"/>
        <v>2.8217592589498963E-2</v>
      </c>
      <c r="N75" s="7">
        <f t="shared" si="41"/>
        <v>40.633333328878507</v>
      </c>
      <c r="O75" s="7"/>
      <c r="P75" s="7"/>
      <c r="Q75" s="22"/>
      <c r="R75" s="170"/>
      <c r="S75" s="213">
        <f t="shared" si="42"/>
        <v>1</v>
      </c>
      <c r="T75" s="195" t="str">
        <f t="shared" si="2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-08-06T11:09:38-0600',mode:absolute,to:'2017-08-06T13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5" s="197" t="str">
        <f>IF(AA75&lt;VLOOKUP(AG75,Variables!$AC$3:$AD$8,2,FALSE),"Y","N")</f>
        <v>N</v>
      </c>
      <c r="X75" s="197">
        <f t="shared" si="43"/>
        <v>1</v>
      </c>
      <c r="Y75" s="197">
        <f t="shared" si="39"/>
        <v>23.2988</v>
      </c>
      <c r="Z75" s="197">
        <f t="shared" si="40"/>
        <v>1.5599999999999999E-2</v>
      </c>
      <c r="AA75" s="197">
        <f t="shared" si="4"/>
        <v>23.283200000000001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5"/>
        <v>162</v>
      </c>
      <c r="AE75" s="77" t="str">
        <f t="shared" si="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75" s="74" t="str">
        <f t="shared" si="7"/>
        <v>"C:\Program Files (x86)\AstroGrep\AstroGrep.exe" /e /r /s /spath="%USERPROFILE%\AppData\Local\Temp\OnboardLogs" /stypes="app*4005*20170806*" /stext=" 18:.+((SYSTEM_STATE.+slice.+state.+changed )|(ment ac)|(multiple cpu faults)|(system.+state.+changed )|(\[timeout)|(PRM\|1\|D)|(kpr)|(kdp)|(train st.+moving)|(\|lc)|(penalty))"</v>
      </c>
      <c r="AG75" s="209" t="str">
        <f t="shared" si="8"/>
        <v>EC</v>
      </c>
      <c r="AH75" s="78" t="str">
        <f t="shared" si="13"/>
        <v>"%USERPROFILE%\Documents\GitHub\eaglep3\Utilities\RefineRTDCRunTimes.py" --tripid 162-06 --locoid 4005 --swversion DE.1.0.9.0 --startMP 204:232988 --initTime 2017-08-06T12:09:38 --startdatetime 2017-08-06T12:12:50 --delay 2 --endMP 204:156 --enddatetime 2017-08-06T12:53:28 --enforcementcount 0 &gt;&gt;C:\Users\stu\Documents\GitHub\eaglep3-reporting\EC\2017-08-06-refined-times.txt</v>
      </c>
      <c r="AI75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{"issue":{"subject":"","project_id":79,"tracker_id":40,"status_id":1,"priority_id":2,"assigned_to_id":23,"start_date":"2017-08-06","description":"","custom_fields":[{"id":1,"name":"Subdivision","value":"EC"},{"id":4,"name":"Milepost","value":"0.0156"},{"id":17,"name":"Train ID","value":"162-06"},{"id":16,"name":"Locomotive ID","value":"4005"},{"id":130,"name":"Impact","value":""},{"id":150,"name":"Time of Event (Mountain Time)","value":"12:53:28"},{"id":151,"name":"Denver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5"/>
        <v>start /low /b %USERPROFILE%\Documents\GitHub\eaglep3\Utilities\DownloadLogsFromS3.py --loco 4005 --day 2017-08-06</v>
      </c>
      <c r="AN75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642</v>
      </c>
      <c r="B76" s="7">
        <v>4004</v>
      </c>
      <c r="C76" s="21" t="s">
        <v>198</v>
      </c>
      <c r="D76" s="21" t="s">
        <v>481</v>
      </c>
      <c r="E76" s="13">
        <v>42953.474907407406</v>
      </c>
      <c r="F76" s="13">
        <v>42953.479791666665</v>
      </c>
      <c r="G76" s="7">
        <v>2</v>
      </c>
      <c r="H76" s="21" t="s">
        <v>906</v>
      </c>
      <c r="I76" s="13">
        <v>42953.506249999999</v>
      </c>
      <c r="J76" s="7">
        <v>0</v>
      </c>
      <c r="K76" s="89" t="str">
        <f t="shared" si="0"/>
        <v>4003/4004</v>
      </c>
      <c r="L76" s="21" t="str">
        <f>VLOOKUP(A76,'Trips&amp;Operators'!$C$1:$G$99999,5,FALSE)</f>
        <v>THOMPSON LESTER</v>
      </c>
      <c r="M76" s="6">
        <f t="shared" si="1"/>
        <v>2.6458333333721384E-2</v>
      </c>
      <c r="N76" s="7">
        <f t="shared" si="41"/>
        <v>38.100000000558794</v>
      </c>
      <c r="O76" s="7"/>
      <c r="P76" s="7"/>
      <c r="Q76" s="22"/>
      <c r="R76" s="170"/>
      <c r="S76" s="213">
        <f t="shared" si="42"/>
        <v>1</v>
      </c>
      <c r="T76" s="195" t="str">
        <f t="shared" si="2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-08-06T10:23:52-0600',mode:absolute,to:'2017-08-06T13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6" s="197" t="str">
        <f>IF(AA76&lt;VLOOKUP(AG76,Variables!$AC$3:$AD$8,2,FALSE),"Y","N")</f>
        <v>N</v>
      </c>
      <c r="X76" s="197">
        <f t="shared" si="43"/>
        <v>1</v>
      </c>
      <c r="Y76" s="197">
        <f t="shared" si="39"/>
        <v>4.6399999999999997E-2</v>
      </c>
      <c r="Z76" s="197">
        <f t="shared" si="40"/>
        <v>23.336400000000001</v>
      </c>
      <c r="AA76" s="197">
        <f t="shared" si="4"/>
        <v>23.290000000000003</v>
      </c>
      <c r="AB76" s="54" t="str">
        <f>VLOOKUP(A76,Enforcements!$C$7:$K$12,8,0)</f>
        <v>Bulletin (2)</v>
      </c>
      <c r="AC76" s="51" t="str">
        <f>VLOOKUP(A76,Enforcements!$C$7:$E$12,3,0)</f>
        <v>GRADE CROSSING</v>
      </c>
      <c r="AD76" s="206">
        <f t="shared" si="5"/>
        <v>163</v>
      </c>
      <c r="AE76" s="77" t="str">
        <f t="shared" si="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76" s="74" t="str">
        <f t="shared" si="7"/>
        <v>"C:\Program Files (x86)\AstroGrep\AstroGrep.exe" /e /r /s /spath="%USERPROFILE%\AppData\Local\Temp\OnboardLogs" /stypes="app*4004*20170806*" /stext=" 18:.+((SYSTEM_STATE.+slice.+state.+changed )|(ment ac)|(multiple cpu faults)|(system.+state.+changed )|(\[timeout)|(PRM\|1\|D)|(kpr)|(kdp)|(train st.+moving)|(\|lc)|(penalty))"</v>
      </c>
      <c r="AG76" s="209" t="str">
        <f t="shared" si="8"/>
        <v>EC</v>
      </c>
      <c r="AH76" s="78" t="str">
        <f t="shared" si="13"/>
        <v>"%USERPROFILE%\Documents\GitHub\eaglep3\Utilities\RefineRTDCRunTimes.py" --tripid 163-06 --locoid 4004 --swversion DE.1.0.9.0 --startMP 204:464 --initTime 2017-08-06T11:23:52 --startdatetime 2017-08-06T11:30:54 --delay 2 --endMP 204:233364 --enddatetime 2017-08-06T12:09:00 --enforcementcount 0 &gt;&gt;C:\Users\stu\Documents\GitHub\eaglep3-reporting\EC\2017-08-06-refined-times.txt</v>
      </c>
      <c r="AI76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{"issue":{"subject":"","project_id":79,"tracker_id":40,"status_id":1,"priority_id":2,"assigned_to_id":23,"start_date":"2017-08-06","description":"","custom_fields":[{"id":1,"name":"Subdivision","value":"EC"},{"id":4,"name":"Milepost","value":"23.3364"},{"id":17,"name":"Train ID","value":"163-06"},{"id":16,"name":"Locomotive ID","value":"4004"},{"id":130,"name":"Impact","value":""},{"id":150,"name":"Time of Event (Mountain Time)","value":"12:09:00"},{"id":151,"name":"Denver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5"/>
        <v>start /low /b %USERPROFILE%\Documents\GitHub\eaglep3\Utilities\DownloadLogsFromS3.py --loco 4004 --day 2017-08-06</v>
      </c>
      <c r="AN76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645</v>
      </c>
      <c r="B77" s="7">
        <v>4003</v>
      </c>
      <c r="C77" s="21" t="s">
        <v>198</v>
      </c>
      <c r="D77" s="21" t="s">
        <v>907</v>
      </c>
      <c r="E77" s="13">
        <v>42953.516793981478</v>
      </c>
      <c r="F77" s="13">
        <v>42953.519467592596</v>
      </c>
      <c r="G77" s="7">
        <v>1</v>
      </c>
      <c r="H77" s="21" t="s">
        <v>444</v>
      </c>
      <c r="I77" s="13">
        <v>42953.546759259261</v>
      </c>
      <c r="J77" s="7">
        <v>0</v>
      </c>
      <c r="K77" s="89" t="str">
        <f t="shared" ref="K77:K140" si="44">IF(ISEVEN(B77),(B77-1)&amp;"/"&amp;B77,B77&amp;"/"&amp;(B77+1))</f>
        <v>4003/4004</v>
      </c>
      <c r="L77" s="21" t="str">
        <f>VLOOKUP(A77,'Trips&amp;Operators'!$C$1:$G$99999,5,FALSE)</f>
        <v>THOMPSON LESTER</v>
      </c>
      <c r="M77" s="6">
        <f t="shared" ref="M77:M140" si="45">I77-F77</f>
        <v>2.7291666665405501E-2</v>
      </c>
      <c r="N77" s="7">
        <f t="shared" si="41"/>
        <v>39.299999998183921</v>
      </c>
      <c r="O77" s="7"/>
      <c r="P77" s="7"/>
      <c r="Q77" s="22"/>
      <c r="R77" s="170"/>
      <c r="S77" s="213">
        <f t="shared" si="42"/>
        <v>1</v>
      </c>
      <c r="T77" s="195" t="str">
        <f t="shared" ref="T77:T140" si="46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4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-06T11:24:11-0600',mode:absolute,to:'2017-08-06T14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97" t="str">
        <f>IF(AA77&lt;VLOOKUP(AG77,Variables!$AC$3:$AD$8,2,FALSE),"Y","N")</f>
        <v>N</v>
      </c>
      <c r="X77" s="197">
        <f t="shared" si="43"/>
        <v>1</v>
      </c>
      <c r="Y77" s="197">
        <f t="shared" si="39"/>
        <v>23.306999999999999</v>
      </c>
      <c r="Z77" s="197">
        <f t="shared" si="40"/>
        <v>1.52E-2</v>
      </c>
      <c r="AA77" s="197">
        <f t="shared" ref="AA77:AA140" si="48">ABS(Z77-Y77)</f>
        <v>23.291799999999999</v>
      </c>
      <c r="AB77" s="54" t="str">
        <f>VLOOKUP(A77,Enforcements!$C$7:$K$12,8,0)</f>
        <v>Bulletin (2)</v>
      </c>
      <c r="AC77" s="51" t="str">
        <f>VLOOKUP(A77,Enforcements!$C$7:$E$12,3,0)</f>
        <v>GRADE CROSSING</v>
      </c>
      <c r="AD77" s="206">
        <f t="shared" ref="AD77:AD140" si="49">VALUE(LEFT(A77,LEN(A77)-3))</f>
        <v>164</v>
      </c>
      <c r="AE77" s="77" t="str">
        <f t="shared" ref="AE77:AE140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77" s="74" t="str">
        <f t="shared" ref="AF77:AF140" si="5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/stypes="app*4003*20170806*"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52">DetSubdiv(A77)</f>
        <v>EC</v>
      </c>
      <c r="AH77" s="78" t="str">
        <f t="shared" si="13"/>
        <v>"%USERPROFILE%\Documents\GitHub\eaglep3\Utilities\RefineRTDCRunTimes.py" --tripid 164-06 --locoid 4003 --swversion DE.1.0.9.0 --startMP 204:233070 --initTime 2017-08-06T12:24:11 --startdatetime 2017-08-06T12:28:02 --delay 1 --endMP 204:152 --enddatetime 2017-08-06T13:07:20 --enforcementcount 0 &gt;&gt;C:\Users\stu\Documents\GitHub\eaglep3-reporting\EC\2017-08-06-refined-times.txt</v>
      </c>
      <c r="AI77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ID","value":"164-06"},{"id":16,"name":"Locomotive ID","value":"4003"},{"id":130,"name":"Impact","value":""},{"id":150,"name":"Time of Event (Mountain Time)","value":"13:07:20"},{"id":151,"name":"Denver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5"/>
        <v>start /low /b %USERPROFILE%\Documents\GitHub\eaglep3\Utilities\DownloadLogsFromS3.py --loco 4003 --day 2017-08-06</v>
      </c>
      <c r="AN77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760</v>
      </c>
      <c r="B78" s="7">
        <v>4066</v>
      </c>
      <c r="C78" s="21" t="s">
        <v>198</v>
      </c>
      <c r="D78" s="21" t="s">
        <v>405</v>
      </c>
      <c r="E78" s="13">
        <v>42953.485312500001</v>
      </c>
      <c r="F78" s="13">
        <v>42953.49009259259</v>
      </c>
      <c r="G78" s="7">
        <v>2</v>
      </c>
      <c r="H78" s="21" t="s">
        <v>908</v>
      </c>
      <c r="I78" s="13">
        <v>42953.51390046296</v>
      </c>
      <c r="J78" s="7">
        <v>0</v>
      </c>
      <c r="K78" s="89" t="str">
        <f t="shared" si="44"/>
        <v>4065/4066</v>
      </c>
      <c r="L78" s="21" t="str">
        <f>VLOOKUP(A78,'Trips&amp;Operators'!$C$1:$G$99999,5,FALSE)</f>
        <v>BRUDER RICHARD</v>
      </c>
      <c r="M78" s="6">
        <f t="shared" si="45"/>
        <v>2.3807870369637385E-2</v>
      </c>
      <c r="N78" s="7">
        <f t="shared" si="41"/>
        <v>34.283333332277834</v>
      </c>
      <c r="O78" s="7"/>
      <c r="P78" s="7"/>
      <c r="Q78" s="22"/>
      <c r="R78" s="170"/>
      <c r="S78" s="213">
        <f t="shared" si="42"/>
        <v>1</v>
      </c>
      <c r="T78" s="195" t="str">
        <f t="shared" si="46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47"/>
        <v>https://d0f6bd738d7f1b3e5a7ca70fe4ff75f0.us-east-1.aws.found.io/app/kibana#/discover/Steve-Slow-Train-Analysis-(2080s-and-2083s)?_g=(refreshInterval:(display:Off,pause:!f,section:0,value:0),time:(from:'2017-08-06T10:38:51-0600',mode:absolute,to:'2017-08-06T13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8" s="197" t="str">
        <f>IF(AA78&lt;VLOOKUP(AG78,Variables!$AC$3:$AD$8,2,FALSE),"Y","N")</f>
        <v>N</v>
      </c>
      <c r="X78" s="197">
        <f t="shared" si="43"/>
        <v>1</v>
      </c>
      <c r="Y78" s="197">
        <f t="shared" si="39"/>
        <v>4.58E-2</v>
      </c>
      <c r="Z78" s="197">
        <f t="shared" si="40"/>
        <v>23.3322</v>
      </c>
      <c r="AA78" s="197">
        <f t="shared" si="48"/>
        <v>23.2864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49"/>
        <v>165</v>
      </c>
      <c r="AE78" s="77" t="str">
        <f t="shared" si="50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78" s="74" t="str">
        <f t="shared" si="51"/>
        <v>"C:\Program Files (x86)\AstroGrep\AstroGrep.exe" /e /r /s /spath="%USERPROFILE%\AppData\Local\Temp\OnboardLogs" /stypes="app*4066*20170806*" /stext=" 18:.+((SYSTEM_STATE.+slice.+state.+changed )|(ment ac)|(multiple cpu faults)|(system.+state.+changed )|(\[timeout)|(PRM\|1\|D)|(kpr)|(kdp)|(train st.+moving)|(\|lc)|(penalty))"</v>
      </c>
      <c r="AG78" s="209" t="str">
        <f t="shared" si="52"/>
        <v>EC</v>
      </c>
      <c r="AH78" s="78" t="str">
        <f t="shared" si="13"/>
        <v>"%USERPROFILE%\Documents\GitHub\eaglep3\Utilities\RefineRTDCRunTimes.py" --tripid 165-06 --locoid 4066 --swversion DE.1.0.9.0 --startMP 204:458 --initTime 2017-08-06T11:38:51 --startdatetime 2017-08-06T11:45:44 --delay 2 --endMP 204:233322 --enddatetime 2017-08-06T12:20:01 --enforcementcount 0 &gt;&gt;C:\Users\stu\Documents\GitHub\eaglep3-reporting\EC\2017-08-06-refined-times.txt</v>
      </c>
      <c r="AI78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{"issue":{"subject":"","project_id":79,"tracker_id":40,"status_id":1,"priority_id":2,"assigned_to_id":23,"start_date":"2017-08-06","description":"","custom_fields":[{"id":1,"name":"Subdivision","value":"EC"},{"id":4,"name":"Milepost","value":"23.3322"},{"id":17,"name":"Train ID","value":"165-06"},{"id":16,"name":"Locomotive ID","value":"4066"},{"id":130,"name":"Impact","value":""},{"id":150,"name":"Time of Event (Mountain Time)","value":"12:20:01"},{"id":151,"name":"Denver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5"/>
        <v>start /low /b %USERPROFILE%\Documents\GitHub\eaglep3\Utilities\DownloadLogsFromS3.py --loco 4066 --day 2017-08-06</v>
      </c>
      <c r="AN78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771</v>
      </c>
      <c r="B79" s="7">
        <v>4065</v>
      </c>
      <c r="C79" s="21" t="s">
        <v>198</v>
      </c>
      <c r="D79" s="21" t="s">
        <v>613</v>
      </c>
      <c r="E79" s="13">
        <v>42953.526041666664</v>
      </c>
      <c r="F79" s="13">
        <v>42953.529421296298</v>
      </c>
      <c r="G79" s="7">
        <v>1</v>
      </c>
      <c r="H79" s="21" t="s">
        <v>343</v>
      </c>
      <c r="I79" s="13">
        <v>42953.554907407408</v>
      </c>
      <c r="J79" s="7">
        <v>0</v>
      </c>
      <c r="K79" s="89" t="str">
        <f t="shared" si="44"/>
        <v>4065/4066</v>
      </c>
      <c r="L79" s="21" t="str">
        <f>VLOOKUP(A79,'Trips&amp;Operators'!$C$1:$G$99999,5,FALSE)</f>
        <v>BRUDER RICHARD</v>
      </c>
      <c r="M79" s="6">
        <f t="shared" si="45"/>
        <v>2.548611110978527E-2</v>
      </c>
      <c r="N79" s="7">
        <f t="shared" si="41"/>
        <v>36.699999998090789</v>
      </c>
      <c r="O79" s="7"/>
      <c r="P79" s="7"/>
      <c r="Q79" s="22"/>
      <c r="R79" s="170"/>
      <c r="S79" s="213">
        <f t="shared" si="42"/>
        <v>1</v>
      </c>
      <c r="T79" s="195" t="str">
        <f t="shared" si="46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47"/>
        <v>https://d0f6bd738d7f1b3e5a7ca70fe4ff75f0.us-east-1.aws.found.io/app/kibana#/discover/Steve-Slow-Train-Analysis-(2080s-and-2083s)?_g=(refreshInterval:(display:Off,pause:!f,section:0,value:0),time:(from:'2017-08-06T11:37:30-0600',mode:absolute,to:'2017-08-06T14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9" s="197" t="str">
        <f>IF(AA79&lt;VLOOKUP(AG79,Variables!$AC$3:$AD$8,2,FALSE),"Y","N")</f>
        <v>N</v>
      </c>
      <c r="X79" s="197">
        <f t="shared" si="43"/>
        <v>1</v>
      </c>
      <c r="Y79" s="197">
        <f t="shared" si="39"/>
        <v>23.298200000000001</v>
      </c>
      <c r="Z79" s="197">
        <f t="shared" si="40"/>
        <v>1.43E-2</v>
      </c>
      <c r="AA79" s="197">
        <f t="shared" si="48"/>
        <v>23.283900000000003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49"/>
        <v>166</v>
      </c>
      <c r="AE79" s="77" t="str">
        <f t="shared" si="50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79" s="74" t="str">
        <f t="shared" si="51"/>
        <v>"C:\Program Files (x86)\AstroGrep\AstroGrep.exe" /e /r /s /spath="%USERPROFILE%\AppData\Local\Temp\OnboardLogs" /stypes="app*4065*20170806*" /stext=" 19:.+((SYSTEM_STATE.+slice.+state.+changed )|(ment ac)|(multiple cpu faults)|(system.+state.+changed )|(\[timeout)|(PRM\|1\|D)|(kpr)|(kdp)|(train st.+moving)|(\|lc)|(penalty))"</v>
      </c>
      <c r="AG79" s="209" t="str">
        <f t="shared" si="52"/>
        <v>EC</v>
      </c>
      <c r="AH79" s="78" t="str">
        <f t="shared" si="13"/>
        <v>"%USERPROFILE%\Documents\GitHub\eaglep3\Utilities\RefineRTDCRunTimes.py" --tripid 166-06 --locoid 4065 --swversion DE.1.0.9.0 --startMP 204:232982 --initTime 2017-08-06T12:37:30 --startdatetime 2017-08-06T12:42:22 --delay 1 --endMP 204:143 --enddatetime 2017-08-06T13:19:04 --enforcementcount 0 &gt;&gt;C:\Users\stu\Documents\GitHub\eaglep3-reporting\EC\2017-08-06-refined-times.txt</v>
      </c>
      <c r="AI79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{"issue":{"subject":"","project_id":79,"tracker_id":40,"status_id":1,"priority_id":2,"assigned_to_id":23,"start_date":"2017-08-06","description":"","custom_fields":[{"id":1,"name":"Subdivision","value":"EC"},{"id":4,"name":"Milepost","value":"0.0143"},{"id":17,"name":"Train ID","value":"166-06"},{"id":16,"name":"Locomotive ID","value":"4065"},{"id":130,"name":"Impact","value":""},{"id":150,"name":"Time of Event (Mountain Time)","value":"13:19:04"},{"id":151,"name":"Denver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5"/>
        <v>start /low /b %USERPROFILE%\Documents\GitHub\eaglep3\Utilities\DownloadLogsFromS3.py --loco 4065 --day 2017-08-06</v>
      </c>
      <c r="AN79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763</v>
      </c>
      <c r="B80" s="7">
        <v>4032</v>
      </c>
      <c r="C80" s="21" t="s">
        <v>198</v>
      </c>
      <c r="D80" s="21" t="s">
        <v>481</v>
      </c>
      <c r="E80" s="13">
        <v>42953.495069444441</v>
      </c>
      <c r="F80" s="13">
        <v>42953.500601851854</v>
      </c>
      <c r="G80" s="7">
        <v>1</v>
      </c>
      <c r="H80" s="21" t="s">
        <v>909</v>
      </c>
      <c r="I80" s="13">
        <v>42953.525787037041</v>
      </c>
      <c r="J80" s="7">
        <v>0</v>
      </c>
      <c r="K80" s="89" t="str">
        <f t="shared" si="44"/>
        <v>4031/4032</v>
      </c>
      <c r="L80" s="21" t="str">
        <f>VLOOKUP(A80,'Trips&amp;Operators'!$C$1:$G$99999,5,FALSE)</f>
        <v>SULLIVAN BRANDON</v>
      </c>
      <c r="M80" s="6">
        <f t="shared" si="45"/>
        <v>2.5185185186273884E-2</v>
      </c>
      <c r="N80" s="7">
        <f t="shared" si="41"/>
        <v>36.266666668234393</v>
      </c>
      <c r="O80" s="7"/>
      <c r="P80" s="7"/>
      <c r="Q80" s="22"/>
      <c r="R80" s="170"/>
      <c r="S80" s="213">
        <f t="shared" si="42"/>
        <v>1</v>
      </c>
      <c r="T80" s="195" t="str">
        <f t="shared" si="46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47"/>
        <v>https://d0f6bd738d7f1b3e5a7ca70fe4ff75f0.us-east-1.aws.found.io/app/kibana#/discover/Steve-Slow-Train-Analysis-(2080s-and-2083s)?_g=(refreshInterval:(display:Off,pause:!f,section:0,value:0),time:(from:'2017-08-06T10:52:54-0600',mode:absolute,to:'2017-08-06T13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197" t="str">
        <f>IF(AA80&lt;VLOOKUP(AG80,Variables!$AC$3:$AD$8,2,FALSE),"Y","N")</f>
        <v>N</v>
      </c>
      <c r="X80" s="197">
        <f t="shared" si="43"/>
        <v>1</v>
      </c>
      <c r="Y80" s="197">
        <f t="shared" si="39"/>
        <v>4.6399999999999997E-2</v>
      </c>
      <c r="Z80" s="197">
        <f t="shared" si="40"/>
        <v>23.336600000000001</v>
      </c>
      <c r="AA80" s="197">
        <f t="shared" si="48"/>
        <v>23.290200000000002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49"/>
        <v>167</v>
      </c>
      <c r="AE80" s="77" t="str">
        <f t="shared" si="50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80" s="74" t="str">
        <f t="shared" si="51"/>
        <v>"C:\Program Files (x86)\AstroGrep\AstroGrep.exe" /e /r /s /spath="%USERPROFILE%\AppData\Local\Temp\OnboardLogs" /stypes="app*4032*20170806*" /stext=" 18:.+((SYSTEM_STATE.+slice.+state.+changed )|(ment ac)|(multiple cpu faults)|(system.+state.+changed )|(\[timeout)|(PRM\|1\|D)|(kpr)|(kdp)|(train st.+moving)|(\|lc)|(penalty))"</v>
      </c>
      <c r="AG80" s="209" t="str">
        <f t="shared" si="52"/>
        <v>EC</v>
      </c>
      <c r="AH80" s="78" t="str">
        <f t="shared" si="13"/>
        <v>"%USERPROFILE%\Documents\GitHub\eaglep3\Utilities\RefineRTDCRunTimes.py" --tripid 167-06 --locoid 4032 --swversion DE.1.0.9.0 --startMP 204:464 --initTime 2017-08-06T11:52:54 --startdatetime 2017-08-06T12:00:52 --delay 1 --endMP 204:233366 --enddatetime 2017-08-06T12:37:08 --enforcementcount 0 &gt;&gt;C:\Users\stu\Documents\GitHub\eaglep3-reporting\EC\2017-08-06-refined-times.txt</v>
      </c>
      <c r="AI80" s="96" t="str">
        <f t="shared" si="14"/>
        <v>echo {"issue":{"subject":"","project_id":79,"tracker_id":40,"status_id":1,"priority_id":2,"assigned_to_id":23,"start_date":"2017-08-06","description":"","custom_fields":[{"id":1,"name":"Subdivision","value":"EC"},{"id":4,"name":"Milepost","value":"23.3366"},{"id":17,"name":"Train ID","value":"167-06"},{"id":16,"name":"Locomotive ID","value":"4032"},{"id":130,"name":"Impact","value":""},{"id":150,"name":"Time of Event (Mountain Time)","value":"12:37:08"},{"id":151,"name":"Denver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5"/>
        <v>start /low /b %USERPROFILE%\Documents\GitHub\eaglep3\Utilities\DownloadLogsFromS3.py --loco 4032 --day 2017-08-06</v>
      </c>
      <c r="AN80" s="151" t="str">
        <f t="shared" si="16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775</v>
      </c>
      <c r="B81" s="7">
        <v>4031</v>
      </c>
      <c r="C81" s="21" t="s">
        <v>198</v>
      </c>
      <c r="D81" s="21" t="s">
        <v>910</v>
      </c>
      <c r="E81" s="13">
        <v>42953.534710648149</v>
      </c>
      <c r="F81" s="13">
        <v>42953.539814814816</v>
      </c>
      <c r="G81" s="7">
        <v>1</v>
      </c>
      <c r="H81" s="21" t="s">
        <v>443</v>
      </c>
      <c r="I81" s="13">
        <v>42953.566550925927</v>
      </c>
      <c r="J81" s="7">
        <v>0</v>
      </c>
      <c r="K81" s="89" t="str">
        <f t="shared" si="44"/>
        <v>4031/4032</v>
      </c>
      <c r="L81" s="21" t="str">
        <f>VLOOKUP(A81,'Trips&amp;Operators'!$C$1:$G$99999,5,FALSE)</f>
        <v>SULLIVAN BRANDON</v>
      </c>
      <c r="M81" s="6">
        <f t="shared" si="45"/>
        <v>2.6736111110949423E-2</v>
      </c>
      <c r="N81" s="7">
        <f t="shared" si="41"/>
        <v>38.499999999767169</v>
      </c>
      <c r="O81" s="7"/>
      <c r="P81" s="7"/>
      <c r="Q81" s="22"/>
      <c r="R81" s="170"/>
      <c r="S81" s="213">
        <f t="shared" si="42"/>
        <v>1</v>
      </c>
      <c r="T81" s="195" t="str">
        <f t="shared" si="46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47"/>
        <v>https://d0f6bd738d7f1b3e5a7ca70fe4ff75f0.us-east-1.aws.found.io/app/kibana#/discover/Steve-Slow-Train-Analysis-(2080s-and-2083s)?_g=(refreshInterval:(display:Off,pause:!f,section:0,value:0),time:(from:'2017-08-06T11:49:59-0600',mode:absolute,to:'2017-08-06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1" s="197" t="str">
        <f>IF(AA81&lt;VLOOKUP(AG81,Variables!$AC$3:$AD$8,2,FALSE),"Y","N")</f>
        <v>N</v>
      </c>
      <c r="X81" s="197">
        <f t="shared" si="43"/>
        <v>1</v>
      </c>
      <c r="Y81" s="197">
        <f t="shared" ref="Y81:Y112" si="53">RIGHT(D81,LEN(D81)-4)/10000</f>
        <v>23.305900000000001</v>
      </c>
      <c r="Z81" s="197">
        <f t="shared" ref="Z81:Z112" si="54">RIGHT(H81,LEN(H81)-4)/10000</f>
        <v>1.5800000000000002E-2</v>
      </c>
      <c r="AA81" s="197">
        <f t="shared" si="48"/>
        <v>23.290100000000002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49"/>
        <v>168</v>
      </c>
      <c r="AE81" s="77" t="str">
        <f t="shared" si="50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81" s="74" t="str">
        <f t="shared" si="51"/>
        <v>"C:\Program Files (x86)\AstroGrep\AstroGrep.exe" /e /r /s /spath="%USERPROFILE%\AppData\Local\Temp\OnboardLogs" /stypes="app*4031*20170806*" /stext=" 19:.+((SYSTEM_STATE.+slice.+state.+changed )|(ment ac)|(multiple cpu faults)|(system.+state.+changed )|(\[timeout)|(PRM\|1\|D)|(kpr)|(kdp)|(train st.+moving)|(\|lc)|(penalty))"</v>
      </c>
      <c r="AG81" s="209" t="str">
        <f t="shared" si="52"/>
        <v>EC</v>
      </c>
      <c r="AH81" s="78" t="str">
        <f t="shared" ref="AH81:AH143" si="55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168-06 --locoid 4031 --swversion DE.1.0.9.0 --startMP 204:233059 --initTime 2017-08-06T12:49:59 --startdatetime 2017-08-06T12:57:20 --delay 1 --endMP 204:158 --enddatetime 2017-08-06T13:35:50 --enforcementcount 0 &gt;&gt;C:\Users\stu\Documents\GitHub\eaglep3-reporting\EC\2017-08-06-refined-times.txt</v>
      </c>
      <c r="AI81" s="96" t="str">
        <f t="shared" ref="AI81:AI143" si="56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ID","value":"168-06"},{"id":16,"name":"Locomotive ID","value":"4031"},{"id":130,"name":"Impact","value":""},{"id":150,"name":"Time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ref="AM81:AM143" si="57">"start /low /b "&amp;dls3logs&amp;" --loco "&amp;B81&amp;" --day "&amp;TEXT(F81,"YYYY-MM-DD")</f>
        <v>start /low /b %USERPROFILE%\Documents\GitHub\eaglep3\Utilities\DownloadLogsFromS3.py --loco 4031 --day 2017-08-06</v>
      </c>
      <c r="AN81" s="151" t="str">
        <f t="shared" ref="AN81:AN143" si="58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644</v>
      </c>
      <c r="B82" s="7">
        <v>4002</v>
      </c>
      <c r="C82" s="21" t="s">
        <v>198</v>
      </c>
      <c r="D82" s="21" t="s">
        <v>446</v>
      </c>
      <c r="E82" s="13">
        <v>42953.50644675926</v>
      </c>
      <c r="F82" s="13">
        <v>42953.510937500003</v>
      </c>
      <c r="G82" s="7">
        <v>1</v>
      </c>
      <c r="H82" s="21" t="s">
        <v>611</v>
      </c>
      <c r="I82" s="13">
        <v>42953.534629629627</v>
      </c>
      <c r="J82" s="7">
        <v>0</v>
      </c>
      <c r="K82" s="89" t="str">
        <f t="shared" si="44"/>
        <v>4001/4002</v>
      </c>
      <c r="L82" s="21" t="str">
        <f>VLOOKUP(A82,'Trips&amp;Operators'!$C$1:$G$99999,5,FALSE)</f>
        <v>DELGADO DIANAH</v>
      </c>
      <c r="M82" s="6">
        <f t="shared" si="45"/>
        <v>2.3692129623668734E-2</v>
      </c>
      <c r="N82" s="7">
        <f t="shared" si="41"/>
        <v>34.116666658082977</v>
      </c>
      <c r="O82" s="7"/>
      <c r="P82" s="7"/>
      <c r="Q82" s="22"/>
      <c r="R82" s="170"/>
      <c r="S82" s="213">
        <f t="shared" si="42"/>
        <v>1</v>
      </c>
      <c r="T82" s="195" t="str">
        <f t="shared" si="46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47"/>
        <v>https://d0f6bd738d7f1b3e5a7ca70fe4ff75f0.us-east-1.aws.found.io/app/kibana#/discover/Steve-Slow-Train-Analysis-(2080s-and-2083s)?_g=(refreshInterval:(display:Off,pause:!f,section:0,value:0),time:(from:'2017-08-06T11:09:17-0600',mode:absolute,to:'2017-08-06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2" s="197" t="str">
        <f>IF(AA82&lt;VLOOKUP(AG82,Variables!$AC$3:$AD$8,2,FALSE),"Y","N")</f>
        <v>N</v>
      </c>
      <c r="X82" s="197">
        <f t="shared" si="43"/>
        <v>1</v>
      </c>
      <c r="Y82" s="197">
        <f t="shared" si="53"/>
        <v>4.4900000000000002E-2</v>
      </c>
      <c r="Z82" s="197">
        <f t="shared" si="54"/>
        <v>23.297799999999999</v>
      </c>
      <c r="AA82" s="197">
        <f t="shared" si="48"/>
        <v>23.2529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49"/>
        <v>169</v>
      </c>
      <c r="AE82" s="77" t="str">
        <f t="shared" si="50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82" s="74" t="str">
        <f t="shared" si="51"/>
        <v>"C:\Program Files (x86)\AstroGrep\AstroGrep.exe" /e /r /s /spath="%USERPROFILE%\AppData\Local\Temp\OnboardLogs" /stypes="app*4002*20170806*" /stext=" 18:.+((SYSTEM_STATE.+slice.+state.+changed )|(ment ac)|(multiple cpu faults)|(system.+state.+changed )|(\[timeout)|(PRM\|1\|D)|(kpr)|(kdp)|(train st.+moving)|(\|lc)|(penalty))"</v>
      </c>
      <c r="AG82" s="209" t="str">
        <f t="shared" si="52"/>
        <v>EC</v>
      </c>
      <c r="AH82" s="78" t="str">
        <f t="shared" si="55"/>
        <v>"%USERPROFILE%\Documents\GitHub\eaglep3\Utilities\RefineRTDCRunTimes.py" --tripid 169-06 --locoid 4002 --swversion DE.1.0.9.0 --startMP 204:449 --initTime 2017-08-06T12:09:17 --startdatetime 2017-08-06T12:15:45 --delay 1 --endMP 204:232978 --enddatetime 2017-08-06T12:49:52 --enforcementcount 0 &gt;&gt;C:\Users\stu\Documents\GitHub\eaglep3-reporting\EC\2017-08-06-refined-times.txt</v>
      </c>
      <c r="AI8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{"issue":{"subject":"","project_id":79,"tracker_id":40,"status_id":1,"priority_id":2,"assigned_to_id":23,"start_date":"2017-08-06","description":"","custom_fields":[{"id":1,"name":"Subdivision","value":"EC"},{"id":4,"name":"Milepost","value":"23.2978"},{"id":17,"name":"Train ID","value":"169-06"},{"id":16,"name":"Locomotive ID","value":"4002"},{"id":130,"name":"Impact","value":""},{"id":150,"name":"Time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57"/>
        <v>start /low /b %USERPROFILE%\Documents\GitHub\eaglep3\Utilities\DownloadLogsFromS3.py --loco 4002 --day 2017-08-06</v>
      </c>
      <c r="AN82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778</v>
      </c>
      <c r="B83" s="7">
        <v>4001</v>
      </c>
      <c r="C83" s="21" t="s">
        <v>198</v>
      </c>
      <c r="D83" s="21" t="s">
        <v>911</v>
      </c>
      <c r="E83" s="13">
        <v>42953.539675925924</v>
      </c>
      <c r="F83" s="13">
        <v>42953.550185185188</v>
      </c>
      <c r="G83" s="7">
        <v>5</v>
      </c>
      <c r="H83" s="21" t="s">
        <v>443</v>
      </c>
      <c r="I83" s="13">
        <v>42953.575856481482</v>
      </c>
      <c r="J83" s="7">
        <v>0</v>
      </c>
      <c r="K83" s="89" t="str">
        <f t="shared" si="44"/>
        <v>4001/4002</v>
      </c>
      <c r="L83" s="21" t="str">
        <f>VLOOKUP(A83,'Trips&amp;Operators'!$C$1:$G$99999,5,FALSE)</f>
        <v>DELGADO DIANAH</v>
      </c>
      <c r="M83" s="6">
        <f t="shared" si="45"/>
        <v>2.5671296294603962E-2</v>
      </c>
      <c r="N83" s="7">
        <f t="shared" ref="N83:N114" si="59">24*60*SUM($M83:$M83)</f>
        <v>36.966666664229706</v>
      </c>
      <c r="O83" s="7"/>
      <c r="P83" s="7"/>
      <c r="Q83" s="22"/>
      <c r="R83" s="170"/>
      <c r="S83" s="213">
        <f t="shared" ref="S83:S114" si="60">1/IF(AG83="EC",12,1)*SUM(U83:U83)</f>
        <v>1</v>
      </c>
      <c r="T83" s="195" t="str">
        <f t="shared" si="46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47"/>
        <v>https://d0f6bd738d7f1b3e5a7ca70fe4ff75f0.us-east-1.aws.found.io/app/kibana#/discover/Steve-Slow-Train-Analysis-(2080s-and-2083s)?_g=(refreshInterval:(display:Off,pause:!f,section:0,value:0),time:(from:'2017-08-06T11:57:08-0600',mode:absolute,to:'2017-08-06T14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3" s="197" t="str">
        <f>IF(AA83&lt;VLOOKUP(AG83,Variables!$AC$3:$AD$8,2,FALSE),"Y","N")</f>
        <v>N</v>
      </c>
      <c r="X83" s="197">
        <f t="shared" si="43"/>
        <v>1</v>
      </c>
      <c r="Y83" s="197">
        <f t="shared" si="53"/>
        <v>23.2666</v>
      </c>
      <c r="Z83" s="197">
        <f t="shared" si="54"/>
        <v>1.5800000000000002E-2</v>
      </c>
      <c r="AA83" s="197">
        <f t="shared" si="48"/>
        <v>23.250800000000002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49"/>
        <v>170</v>
      </c>
      <c r="AE83" s="77" t="str">
        <f t="shared" si="50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83" s="74" t="str">
        <f t="shared" si="51"/>
        <v>"C:\Program Files (x86)\AstroGrep\AstroGrep.exe" /e /r /s /spath="%USERPROFILE%\AppData\Local\Temp\OnboardLogs" /stypes="app*4001*20170806*" /stext=" 19:.+((SYSTEM_STATE.+slice.+state.+changed )|(ment ac)|(multiple cpu faults)|(system.+state.+changed )|(\[timeout)|(PRM\|1\|D)|(kpr)|(kdp)|(train st.+moving)|(\|lc)|(penalty))"</v>
      </c>
      <c r="AG83" s="209" t="str">
        <f t="shared" si="52"/>
        <v>EC</v>
      </c>
      <c r="AH83" s="78" t="str">
        <f t="shared" si="55"/>
        <v>"%USERPROFILE%\Documents\GitHub\eaglep3\Utilities\RefineRTDCRunTimes.py" --tripid 170-06 --locoid 4001 --swversion DE.1.0.9.0 --startMP 204:232666 --initTime 2017-08-06T12:57:08 --startdatetime 2017-08-06T13:12:16 --delay 5 --endMP 204:158 --enddatetime 2017-08-06T13:49:14 --enforcementcount 0 &gt;&gt;C:\Users\stu\Documents\GitHub\eaglep3-reporting\EC\2017-08-06-refined-times.txt</v>
      </c>
      <c r="AI8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ID","value":"170-06"},{"id":16,"name":"Locomotive ID","value":"4001"},{"id":130,"name":"Impact","value":""},{"id":150,"name":"Time of Event (Mountain Time)","value":"13:49:14"},{"id":151,"name":"Denver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57"/>
        <v>start /low /b %USERPROFILE%\Documents\GitHub\eaglep3\Utilities\DownloadLogsFromS3.py --loco 4001 --day 2017-08-06</v>
      </c>
      <c r="AN83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769</v>
      </c>
      <c r="B84" s="7">
        <v>4044</v>
      </c>
      <c r="C84" s="21" t="s">
        <v>198</v>
      </c>
      <c r="D84" s="21" t="s">
        <v>340</v>
      </c>
      <c r="E84" s="13">
        <v>42953.517094907409</v>
      </c>
      <c r="F84" s="13">
        <v>42953.52134259259</v>
      </c>
      <c r="G84" s="7">
        <v>1</v>
      </c>
      <c r="H84" s="21" t="s">
        <v>912</v>
      </c>
      <c r="I84" s="13">
        <v>42953.545787037037</v>
      </c>
      <c r="J84" s="7">
        <v>0</v>
      </c>
      <c r="K84" s="89" t="str">
        <f t="shared" si="44"/>
        <v>4043/4044</v>
      </c>
      <c r="L84" s="21" t="str">
        <f>VLOOKUP(A84,'Trips&amp;Operators'!$C$1:$G$99999,5,FALSE)</f>
        <v>ROMERO CHAD</v>
      </c>
      <c r="M84" s="6">
        <f t="shared" si="45"/>
        <v>2.4444444446999114E-2</v>
      </c>
      <c r="N84" s="7">
        <f t="shared" si="59"/>
        <v>35.200000003678724</v>
      </c>
      <c r="O84" s="7"/>
      <c r="P84" s="7"/>
      <c r="Q84" s="22"/>
      <c r="R84" s="170"/>
      <c r="S84" s="213">
        <f t="shared" si="60"/>
        <v>1</v>
      </c>
      <c r="T84" s="195" t="str">
        <f t="shared" si="46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47"/>
        <v>https://d0f6bd738d7f1b3e5a7ca70fe4ff75f0.us-east-1.aws.found.io/app/kibana#/discover/Steve-Slow-Train-Analysis-(2080s-and-2083s)?_g=(refreshInterval:(display:Off,pause:!f,section:0,value:0),time:(from:'2017-08-06T11:24:37-0600',mode:absolute,to:'2017-08-06T14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4" s="197" t="str">
        <f>IF(AA84&lt;VLOOKUP(AG84,Variables!$AC$3:$AD$8,2,FALSE),"Y","N")</f>
        <v>N</v>
      </c>
      <c r="X84" s="197">
        <f t="shared" ref="X84:X115" si="61">VALUE(LEFT(AD84,4))-VALUE(LEFT(AD83,4))</f>
        <v>1</v>
      </c>
      <c r="Y84" s="197">
        <f t="shared" si="53"/>
        <v>4.4600000000000001E-2</v>
      </c>
      <c r="Z84" s="197">
        <f t="shared" si="54"/>
        <v>23.341699999999999</v>
      </c>
      <c r="AA84" s="197">
        <f t="shared" si="48"/>
        <v>23.2971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49"/>
        <v>171</v>
      </c>
      <c r="AE84" s="77" t="str">
        <f t="shared" si="50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84" s="74" t="str">
        <f t="shared" si="51"/>
        <v>"C:\Program Files (x86)\AstroGrep\AstroGrep.exe" /e /r /s /spath="%USERPROFILE%\AppData\Local\Temp\OnboardLogs" /stypes="app*4044*20170806*" /stext=" 19:.+((SYSTEM_STATE.+slice.+state.+changed )|(ment ac)|(multiple cpu faults)|(system.+state.+changed )|(\[timeout)|(PRM\|1\|D)|(kpr)|(kdp)|(train st.+moving)|(\|lc)|(penalty))"</v>
      </c>
      <c r="AG84" s="209" t="str">
        <f t="shared" si="52"/>
        <v>EC</v>
      </c>
      <c r="AH84" s="78" t="str">
        <f t="shared" si="55"/>
        <v>"%USERPROFILE%\Documents\GitHub\eaglep3\Utilities\RefineRTDCRunTimes.py" --tripid 171-06 --locoid 4044 --swversion DE.1.0.9.0 --startMP 204:446 --initTime 2017-08-06T12:24:37 --startdatetime 2017-08-06T12:30:44 --delay 1 --endMP 204:233417 --enddatetime 2017-08-06T13:05:56 --enforcementcount 0 &gt;&gt;C:\Users\stu\Documents\GitHub\eaglep3-reporting\EC\2017-08-06-refined-times.txt</v>
      </c>
      <c r="AI8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{"issue":{"subject":"","project_id":79,"tracker_id":40,"status_id":1,"priority_id":2,"assigned_to_id":23,"start_date":"2017-08-06","description":"","custom_fields":[{"id":1,"name":"Subdivision","value":"EC"},{"id":4,"name":"Milepost","value":"23.3417"},{"id":17,"name":"Train ID","value":"171-06"},{"id":16,"name":"Locomotive ID","value":"4044"},{"id":130,"name":"Impact","value":""},{"id":150,"name":"Time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57"/>
        <v>start /low /b %USERPROFILE%\Documents\GitHub\eaglep3\Utilities\DownloadLogsFromS3.py --loco 4044 --day 2017-08-06</v>
      </c>
      <c r="AN84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780</v>
      </c>
      <c r="B85" s="7">
        <v>4043</v>
      </c>
      <c r="C85" s="21" t="s">
        <v>198</v>
      </c>
      <c r="D85" s="21" t="s">
        <v>913</v>
      </c>
      <c r="E85" s="13">
        <v>42953.546909722223</v>
      </c>
      <c r="F85" s="13">
        <v>42953.560659722221</v>
      </c>
      <c r="G85" s="7">
        <v>11</v>
      </c>
      <c r="H85" s="21" t="s">
        <v>565</v>
      </c>
      <c r="I85" s="13">
        <v>42953.586539351854</v>
      </c>
      <c r="J85" s="7">
        <v>0</v>
      </c>
      <c r="K85" s="89" t="str">
        <f t="shared" si="44"/>
        <v>4043/4044</v>
      </c>
      <c r="L85" s="21" t="str">
        <f>VLOOKUP(A85,'Trips&amp;Operators'!$C$1:$G$99999,5,FALSE)</f>
        <v>ROMERO CHAD</v>
      </c>
      <c r="M85" s="6">
        <f t="shared" si="45"/>
        <v>2.587962963298196E-2</v>
      </c>
      <c r="N85" s="7">
        <f t="shared" si="59"/>
        <v>37.266666671494022</v>
      </c>
      <c r="O85" s="7"/>
      <c r="P85" s="7"/>
      <c r="Q85" s="22"/>
      <c r="R85" s="170"/>
      <c r="S85" s="213">
        <f t="shared" si="60"/>
        <v>1</v>
      </c>
      <c r="T85" s="195" t="str">
        <f t="shared" si="46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47"/>
        <v>https://d0f6bd738d7f1b3e5a7ca70fe4ff75f0.us-east-1.aws.found.io/app/kibana#/discover/Steve-Slow-Train-Analysis-(2080s-and-2083s)?_g=(refreshInterval:(display:Off,pause:!f,section:0,value:0),time:(from:'2017-08-06T12:07:33-0600',mode:absolute,to:'2017-08-06T15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5" s="197" t="str">
        <f>IF(AA85&lt;VLOOKUP(AG85,Variables!$AC$3:$AD$8,2,FALSE),"Y","N")</f>
        <v>N</v>
      </c>
      <c r="X85" s="197">
        <f t="shared" si="61"/>
        <v>1</v>
      </c>
      <c r="Y85" s="197">
        <f t="shared" si="53"/>
        <v>23.308299999999999</v>
      </c>
      <c r="Z85" s="197">
        <f t="shared" si="54"/>
        <v>1.2500000000000001E-2</v>
      </c>
      <c r="AA85" s="197">
        <f t="shared" si="48"/>
        <v>23.2958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49"/>
        <v>172</v>
      </c>
      <c r="AE85" s="77" t="str">
        <f t="shared" si="50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85" s="74" t="str">
        <f t="shared" si="51"/>
        <v>"C:\Program Files (x86)\AstroGrep\AstroGrep.exe" /e /r /s /spath="%USERPROFILE%\AppData\Local\Temp\OnboardLogs" /stypes="app*4043*20170806*" /stext=" 20:.+((SYSTEM_STATE.+slice.+state.+changed )|(ment ac)|(multiple cpu faults)|(system.+state.+changed )|(\[timeout)|(PRM\|1\|D)|(kpr)|(kdp)|(train st.+moving)|(\|lc)|(penalty))"</v>
      </c>
      <c r="AG85" s="209" t="str">
        <f t="shared" si="52"/>
        <v>EC</v>
      </c>
      <c r="AH85" s="78" t="str">
        <f t="shared" si="55"/>
        <v>"%USERPROFILE%\Documents\GitHub\eaglep3\Utilities\RefineRTDCRunTimes.py" --tripid 172-06 --locoid 4043 --swversion DE.1.0.9.0 --startMP 204:233083 --initTime 2017-08-06T13:07:33 --startdatetime 2017-08-06T13:27:21 --delay 11 --endMP 204:125 --enddatetime 2017-08-06T14:04:37 --enforcementcount 0 &gt;&gt;C:\Users\stu\Documents\GitHub\eaglep3-reporting\EC\2017-08-06-refined-times.txt</v>
      </c>
      <c r="AI8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{"issue":{"subject":"","project_id":79,"tracker_id":40,"status_id":1,"priority_id":2,"assigned_to_id":23,"start_date":"2017-08-06","description":"","custom_fields":[{"id":1,"name":"Subdivision","value":"EC"},{"id":4,"name":"Milepost","value":"0.0125"},{"id":17,"name":"Train ID","value":"172-06"},{"id":16,"name":"Locomotive ID","value":"4043"},{"id":130,"name":"Impact","value":""},{"id":150,"name":"Time of Event (Mountain Time)","value":"14:04:37"},{"id":151,"name":"Denver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57"/>
        <v>start /low /b %USERPROFILE%\Documents\GitHub\eaglep3\Utilities\DownloadLogsFromS3.py --loco 4043 --day 2017-08-06</v>
      </c>
      <c r="AN85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772</v>
      </c>
      <c r="B86" s="7">
        <v>4030</v>
      </c>
      <c r="C86" s="21" t="s">
        <v>198</v>
      </c>
      <c r="D86" s="21" t="s">
        <v>489</v>
      </c>
      <c r="E86" s="13">
        <v>42953.527442129627</v>
      </c>
      <c r="F86" s="13">
        <v>42953.531782407408</v>
      </c>
      <c r="G86" s="7">
        <v>1</v>
      </c>
      <c r="H86" s="21" t="s">
        <v>914</v>
      </c>
      <c r="I86" s="13">
        <v>42953.556111111109</v>
      </c>
      <c r="J86" s="7">
        <v>0</v>
      </c>
      <c r="K86" s="89" t="str">
        <f t="shared" si="44"/>
        <v>4029/4030</v>
      </c>
      <c r="L86" s="21" t="str">
        <f>VLOOKUP(A86,'Trips&amp;Operators'!$C$1:$G$99999,5,FALSE)</f>
        <v>MCREYNOLDS KYLE</v>
      </c>
      <c r="M86" s="6">
        <f t="shared" si="45"/>
        <v>2.4328703701030463E-2</v>
      </c>
      <c r="N86" s="7">
        <f t="shared" si="59"/>
        <v>35.033333329483867</v>
      </c>
      <c r="O86" s="7"/>
      <c r="P86" s="7"/>
      <c r="Q86" s="22"/>
      <c r="R86" s="170"/>
      <c r="S86" s="213">
        <f t="shared" si="60"/>
        <v>1</v>
      </c>
      <c r="T86" s="195" t="str">
        <f t="shared" si="46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47"/>
        <v>https://d0f6bd738d7f1b3e5a7ca70fe4ff75f0.us-east-1.aws.found.io/app/kibana#/discover/Steve-Slow-Train-Analysis-(2080s-and-2083s)?_g=(refreshInterval:(display:Off,pause:!f,section:0,value:0),time:(from:'2017-08-06T11:39:31-0600',mode:absolute,to:'2017-08-06T14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97" t="str">
        <f>IF(AA86&lt;VLOOKUP(AG86,Variables!$AC$3:$AD$8,2,FALSE),"Y","N")</f>
        <v>N</v>
      </c>
      <c r="X86" s="197">
        <f t="shared" si="61"/>
        <v>1</v>
      </c>
      <c r="Y86" s="197">
        <f t="shared" si="53"/>
        <v>4.7500000000000001E-2</v>
      </c>
      <c r="Z86" s="197">
        <f t="shared" si="54"/>
        <v>23.341999999999999</v>
      </c>
      <c r="AA86" s="197">
        <f t="shared" si="48"/>
        <v>23.294499999999999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49"/>
        <v>173</v>
      </c>
      <c r="AE86" s="77" t="str">
        <f t="shared" si="50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86" s="74" t="str">
        <f t="shared" si="51"/>
        <v>"C:\Program Files (x86)\AstroGrep\AstroGrep.exe" /e /r /s /spath="%USERPROFILE%\AppData\Local\Temp\OnboardLogs" /stypes="app*4030*20170806*" /stext=" 19:.+((SYSTEM_STATE.+slice.+state.+changed )|(ment ac)|(multiple cpu faults)|(system.+state.+changed )|(\[timeout)|(PRM\|1\|D)|(kpr)|(kdp)|(train st.+moving)|(\|lc)|(penalty))"</v>
      </c>
      <c r="AG86" s="209" t="str">
        <f t="shared" si="52"/>
        <v>EC</v>
      </c>
      <c r="AH86" s="78" t="str">
        <f t="shared" si="55"/>
        <v>"%USERPROFILE%\Documents\GitHub\eaglep3\Utilities\RefineRTDCRunTimes.py" --tripid 173-06 --locoid 4030 --swversion DE.1.0.9.0 --startMP 204:475 --initTime 2017-08-06T12:39:31 --startdatetime 2017-08-06T12:45:46 --delay 1 --endMP 204:233420 --enddatetime 2017-08-06T13:20:48 --enforcementcount 0 &gt;&gt;C:\Users\stu\Documents\GitHub\eaglep3-reporting\EC\2017-08-06-refined-times.txt</v>
      </c>
      <c r="AI8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{"issue":{"subject":"","project_id":79,"tracker_id":40,"status_id":1,"priority_id":2,"assigned_to_id":23,"start_date":"2017-08-06","description":"","custom_fields":[{"id":1,"name":"Subdivision","value":"EC"},{"id":4,"name":"Milepost","value":"23.342"},{"id":17,"name":"Train ID","value":"173-06"},{"id":16,"name":"Locomotive ID","value":"4030"},{"id":130,"name":"Impact","value":""},{"id":150,"name":"Time of Event (Mountain Time)","value":"13:20:48"},{"id":151,"name":"Denver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57"/>
        <v>start /low /b %USERPROFILE%\Documents\GitHub\eaglep3\Utilities\DownloadLogsFromS3.py --loco 4030 --day 2017-08-06</v>
      </c>
      <c r="AN86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782</v>
      </c>
      <c r="B87" s="7">
        <v>4029</v>
      </c>
      <c r="C87" s="21" t="s">
        <v>198</v>
      </c>
      <c r="D87" s="21" t="s">
        <v>915</v>
      </c>
      <c r="E87" s="13">
        <v>42953.560879629629</v>
      </c>
      <c r="F87" s="13">
        <v>42953.571006944447</v>
      </c>
      <c r="G87" s="7">
        <v>1</v>
      </c>
      <c r="H87" s="21" t="s">
        <v>490</v>
      </c>
      <c r="I87" s="13">
        <v>42953.59746527778</v>
      </c>
      <c r="J87" s="7">
        <v>0</v>
      </c>
      <c r="K87" s="89" t="str">
        <f t="shared" si="44"/>
        <v>4029/4030</v>
      </c>
      <c r="L87" s="21" t="str">
        <f>VLOOKUP(A87,'Trips&amp;Operators'!$C$1:$G$99999,5,FALSE)</f>
        <v>MCREYNOLDS KYLE</v>
      </c>
      <c r="M87" s="6">
        <f t="shared" si="45"/>
        <v>2.6458333333721384E-2</v>
      </c>
      <c r="N87" s="7">
        <f t="shared" si="59"/>
        <v>38.100000000558794</v>
      </c>
      <c r="O87" s="7"/>
      <c r="P87" s="7"/>
      <c r="Q87" s="22"/>
      <c r="R87" s="170"/>
      <c r="S87" s="213">
        <f t="shared" si="60"/>
        <v>1</v>
      </c>
      <c r="T87" s="195" t="str">
        <f t="shared" si="46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47"/>
        <v>https://d0f6bd738d7f1b3e5a7ca70fe4ff75f0.us-east-1.aws.found.io/app/kibana#/discover/Steve-Slow-Train-Analysis-(2080s-and-2083s)?_g=(refreshInterval:(display:Off,pause:!f,section:0,value:0),time:(from:'2017-08-06T12:27:40-0600',mode:absolute,to:'2017-08-06T15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197" t="str">
        <f>IF(AA87&lt;VLOOKUP(AG87,Variables!$AC$3:$AD$8,2,FALSE),"Y","N")</f>
        <v>N</v>
      </c>
      <c r="X87" s="197">
        <f t="shared" si="61"/>
        <v>1</v>
      </c>
      <c r="Y87" s="197">
        <f t="shared" si="53"/>
        <v>23.307600000000001</v>
      </c>
      <c r="Z87" s="197">
        <f t="shared" si="54"/>
        <v>1.5599999999999999E-2</v>
      </c>
      <c r="AA87" s="197">
        <f t="shared" si="48"/>
        <v>23.292000000000002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49"/>
        <v>174</v>
      </c>
      <c r="AE87" s="77" t="str">
        <f t="shared" si="50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87" s="74" t="str">
        <f t="shared" si="51"/>
        <v>"C:\Program Files (x86)\AstroGrep\AstroGrep.exe" /e /r /s /spath="%USERPROFILE%\AppData\Local\Temp\OnboardLogs" /stypes="app*4029*20170806*" /stext=" 20:.+((SYSTEM_STATE.+slice.+state.+changed )|(ment ac)|(multiple cpu faults)|(system.+state.+changed )|(\[timeout)|(PRM\|1\|D)|(kpr)|(kdp)|(train st.+moving)|(\|lc)|(penalty))"</v>
      </c>
      <c r="AG87" s="209" t="str">
        <f t="shared" si="52"/>
        <v>EC</v>
      </c>
      <c r="AH87" s="78" t="str">
        <f t="shared" si="55"/>
        <v>"%USERPROFILE%\Documents\GitHub\eaglep3\Utilities\RefineRTDCRunTimes.py" --tripid 174-06 --locoid 4029 --swversion DE.1.0.9.0 --startMP 204:233076 --initTime 2017-08-06T13:27:40 --startdatetime 2017-08-06T13:42:15 --delay 1 --endMP 204:156 --enddatetime 2017-08-06T14:20:21 --enforcementcount 0 &gt;&gt;C:\Users\stu\Documents\GitHub\eaglep3-reporting\EC\2017-08-06-refined-times.txt</v>
      </c>
      <c r="AI8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{"issue":{"subject":"","project_id":79,"tracker_id":40,"status_id":1,"priority_id":2,"assigned_to_id":23,"start_date":"2017-08-06","description":"","custom_fields":[{"id":1,"name":"Subdivision","value":"EC"},{"id":4,"name":"Milepost","value":"0.0156"},{"id":17,"name":"Train ID","value":"174-06"},{"id":16,"name":"Locomotive ID","value":"4029"},{"id":130,"name":"Impact","value":""},{"id":150,"name":"Time of Event (Mountain Time)","value":"14:20:21"},{"id":151,"name":"Denver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57"/>
        <v>start /low /b %USERPROFILE%\Documents\GitHub\eaglep3\Utilities\DownloadLogsFromS3.py --loco 4029 --day 2017-08-06</v>
      </c>
      <c r="AN87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777</v>
      </c>
      <c r="B88" s="7">
        <v>4006</v>
      </c>
      <c r="C88" s="21" t="s">
        <v>198</v>
      </c>
      <c r="D88" s="21" t="s">
        <v>345</v>
      </c>
      <c r="E88" s="13">
        <v>42953.541875000003</v>
      </c>
      <c r="F88" s="13">
        <v>42953.543194444443</v>
      </c>
      <c r="G88" s="7">
        <v>0</v>
      </c>
      <c r="H88" s="21" t="s">
        <v>916</v>
      </c>
      <c r="I88" s="13">
        <v>42953.568981481483</v>
      </c>
      <c r="J88" s="7">
        <v>0</v>
      </c>
      <c r="K88" s="89" t="str">
        <f t="shared" si="44"/>
        <v>4005/4006</v>
      </c>
      <c r="L88" s="21" t="str">
        <f>VLOOKUP(A88,'Trips&amp;Operators'!$C$1:$G$99999,5,FALSE)</f>
        <v>DAVIS MICHAEL</v>
      </c>
      <c r="M88" s="6">
        <f t="shared" si="45"/>
        <v>2.5787037040572613E-2</v>
      </c>
      <c r="N88" s="7">
        <f t="shared" si="59"/>
        <v>37.133333338424563</v>
      </c>
      <c r="O88" s="7"/>
      <c r="P88" s="7"/>
      <c r="Q88" s="22"/>
      <c r="R88" s="170"/>
      <c r="S88" s="213">
        <f t="shared" si="60"/>
        <v>1</v>
      </c>
      <c r="T88" s="195" t="str">
        <f t="shared" si="46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47"/>
        <v>https://d0f6bd738d7f1b3e5a7ca70fe4ff75f0.us-east-1.aws.found.io/app/kibana#/discover/Steve-Slow-Train-Analysis-(2080s-and-2083s)?_g=(refreshInterval:(display:Off,pause:!f,section:0,value:0),time:(from:'2017-08-06T12:00:18-0600',mode:absolute,to:'2017-08-06T14:39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8" s="197" t="str">
        <f>IF(AA88&lt;VLOOKUP(AG88,Variables!$AC$3:$AD$8,2,FALSE),"Y","N")</f>
        <v>N</v>
      </c>
      <c r="X88" s="197">
        <f t="shared" si="61"/>
        <v>1</v>
      </c>
      <c r="Y88" s="197">
        <f t="shared" si="53"/>
        <v>4.5100000000000001E-2</v>
      </c>
      <c r="Z88" s="197">
        <f t="shared" si="54"/>
        <v>23.333400000000001</v>
      </c>
      <c r="AA88" s="197">
        <f t="shared" si="48"/>
        <v>23.2883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49"/>
        <v>175</v>
      </c>
      <c r="AE88" s="77" t="str">
        <f t="shared" si="50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88" s="74" t="str">
        <f t="shared" si="51"/>
        <v>"C:\Program Files (x86)\AstroGrep\AstroGrep.exe" /e /r /s /spath="%USERPROFILE%\AppData\Local\Temp\OnboardLogs" /stypes="app*4006*20170806*" /stext=" 19:.+((SYSTEM_STATE.+slice.+state.+changed )|(ment ac)|(multiple cpu faults)|(system.+state.+changed )|(\[timeout)|(PRM\|1\|D)|(kpr)|(kdp)|(train st.+moving)|(\|lc)|(penalty))"</v>
      </c>
      <c r="AG88" s="209" t="str">
        <f t="shared" si="52"/>
        <v>EC</v>
      </c>
      <c r="AH88" s="78" t="str">
        <f t="shared" si="55"/>
        <v>"%USERPROFILE%\Documents\GitHub\eaglep3\Utilities\RefineRTDCRunTimes.py" --tripid 175-06 --locoid 4006 --swversion DE.1.0.9.0 --startMP 204:451 --initTime 2017-08-06T13:00:18 --startdatetime 2017-08-06T13:02:12 --delay 0 --endMP 204:233334 --enddatetime 2017-08-06T13:39:20 --enforcementcount 0 &gt;&gt;C:\Users\stu\Documents\GitHub\eaglep3-reporting\EC\2017-08-06-refined-times.txt</v>
      </c>
      <c r="AI8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{"issue":{"subject":"","project_id":79,"tracker_id":40,"status_id":1,"priority_id":2,"assigned_to_id":23,"start_date":"2017-08-06","description":"","custom_fields":[{"id":1,"name":"Subdivision","value":"EC"},{"id":4,"name":"Milepost","value":"23.3334"},{"id":17,"name":"Train ID","value":"175-06"},{"id":16,"name":"Locomotive ID","value":"4006"},{"id":130,"name":"Impact","value":""},{"id":150,"name":"Time of Event (Mountain Time)","value":"13:39:20"},{"id":151,"name":"Denver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57"/>
        <v>start /low /b %USERPROFILE%\Documents\GitHub\eaglep3\Utilities\DownloadLogsFromS3.py --loco 4006 --day 2017-08-06</v>
      </c>
      <c r="AN88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786</v>
      </c>
      <c r="B89" s="7">
        <v>4005</v>
      </c>
      <c r="C89" s="21" t="s">
        <v>198</v>
      </c>
      <c r="D89" s="21" t="s">
        <v>917</v>
      </c>
      <c r="E89" s="13">
        <v>42953.577928240738</v>
      </c>
      <c r="F89" s="13">
        <v>42953.581759259258</v>
      </c>
      <c r="G89" s="7">
        <v>1</v>
      </c>
      <c r="H89" s="21" t="s">
        <v>443</v>
      </c>
      <c r="I89" s="13">
        <v>42953.612256944441</v>
      </c>
      <c r="J89" s="7">
        <v>0</v>
      </c>
      <c r="K89" s="89" t="str">
        <f t="shared" si="44"/>
        <v>4005/4006</v>
      </c>
      <c r="L89" s="21" t="str">
        <f>VLOOKUP(A89,'Trips&amp;Operators'!$C$1:$G$99999,5,FALSE)</f>
        <v>DAVIS MICHAEL</v>
      </c>
      <c r="M89" s="6">
        <f t="shared" si="45"/>
        <v>3.0497685183945578E-2</v>
      </c>
      <c r="N89" s="7">
        <f t="shared" si="59"/>
        <v>43.916666664881632</v>
      </c>
      <c r="O89" s="7"/>
      <c r="P89" s="7"/>
      <c r="Q89" s="22"/>
      <c r="R89" s="170"/>
      <c r="S89" s="213">
        <f t="shared" si="60"/>
        <v>1</v>
      </c>
      <c r="T89" s="195" t="str">
        <f t="shared" si="46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47"/>
        <v>https://d0f6bd738d7f1b3e5a7ca70fe4ff75f0.us-east-1.aws.found.io/app/kibana#/discover/Steve-Slow-Train-Analysis-(2080s-and-2083s)?_g=(refreshInterval:(display:Off,pause:!f,section:0,value:0),time:(from:'2017-08-06T12:52:13-0600',mode:absolute,to:'2017-08-06T15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9" s="197" t="str">
        <f>IF(AA89&lt;VLOOKUP(AG89,Variables!$AC$3:$AD$8,2,FALSE),"Y","N")</f>
        <v>N</v>
      </c>
      <c r="X89" s="197">
        <f t="shared" si="61"/>
        <v>1</v>
      </c>
      <c r="Y89" s="197">
        <f t="shared" si="53"/>
        <v>23.302499999999998</v>
      </c>
      <c r="Z89" s="197">
        <f t="shared" si="54"/>
        <v>1.5800000000000002E-2</v>
      </c>
      <c r="AA89" s="197">
        <f t="shared" si="48"/>
        <v>23.2867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49"/>
        <v>176</v>
      </c>
      <c r="AE89" s="77" t="str">
        <f t="shared" si="50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89" s="74" t="str">
        <f t="shared" si="51"/>
        <v>"C:\Program Files (x86)\AstroGrep\AstroGrep.exe" /e /r /s /spath="%USERPROFILE%\AppData\Local\Temp\OnboardLogs" /stypes="app*4005*20170806*" /stext=" 20:.+((SYSTEM_STATE.+slice.+state.+changed )|(ment ac)|(multiple cpu faults)|(system.+state.+changed )|(\[timeout)|(PRM\|1\|D)|(kpr)|(kdp)|(train st.+moving)|(\|lc)|(penalty))"</v>
      </c>
      <c r="AG89" s="209" t="str">
        <f t="shared" si="52"/>
        <v>EC</v>
      </c>
      <c r="AH89" s="78" t="str">
        <f t="shared" si="55"/>
        <v>"%USERPROFILE%\Documents\GitHub\eaglep3\Utilities\RefineRTDCRunTimes.py" --tripid 176-06 --locoid 4005 --swversion DE.1.0.9.0 --startMP 204:233025 --initTime 2017-08-06T13:52:13 --startdatetime 2017-08-06T13:57:44 --delay 1 --endMP 204:158 --enddatetime 2017-08-06T14:41:39 --enforcementcount 0 &gt;&gt;C:\Users\stu\Documents\GitHub\eaglep3-reporting\EC\2017-08-06-refined-times.txt</v>
      </c>
      <c r="AI89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{"issue":{"subject":"","project_id":79,"tracker_id":40,"status_id":1,"priority_id":2,"assigned_to_id":23,"start_date":"2017-08-06","description":"","custom_fields":[{"id":1,"name":"Subdivision","value":"EC"},{"id":4,"name":"Milepost","value":"0.0158"},{"id":17,"name":"Train ID","value":"176-06"},{"id":16,"name":"Locomotive ID","value":"4005"},{"id":130,"name":"Impact","value":""},{"id":150,"name":"Time of Event (Mountain Time)","value":"14:41:39"},{"id":151,"name":"Denver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57"/>
        <v>start /low /b %USERPROFILE%\Documents\GitHub\eaglep3\Utilities\DownloadLogsFromS3.py --loco 4005 --day 2017-08-06</v>
      </c>
      <c r="AN89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779</v>
      </c>
      <c r="B90" s="7">
        <v>4004</v>
      </c>
      <c r="C90" s="21" t="s">
        <v>198</v>
      </c>
      <c r="D90" s="21" t="s">
        <v>489</v>
      </c>
      <c r="E90" s="13">
        <v>42953.55</v>
      </c>
      <c r="F90" s="13">
        <v>42953.552789351852</v>
      </c>
      <c r="G90" s="7">
        <v>1</v>
      </c>
      <c r="H90" s="21" t="s">
        <v>918</v>
      </c>
      <c r="I90" s="13">
        <v>42953.577974537038</v>
      </c>
      <c r="J90" s="7">
        <v>0</v>
      </c>
      <c r="K90" s="89" t="str">
        <f t="shared" si="44"/>
        <v>4003/4004</v>
      </c>
      <c r="L90" s="21" t="str">
        <f>VLOOKUP(A90,'Trips&amp;Operators'!$C$1:$G$99999,5,FALSE)</f>
        <v>THOMPSON LESTER</v>
      </c>
      <c r="M90" s="6">
        <f t="shared" si="45"/>
        <v>2.5185185186273884E-2</v>
      </c>
      <c r="N90" s="7">
        <f t="shared" si="59"/>
        <v>36.266666668234393</v>
      </c>
      <c r="O90" s="7"/>
      <c r="P90" s="7"/>
      <c r="Q90" s="22"/>
      <c r="R90" s="170"/>
      <c r="S90" s="213">
        <f t="shared" si="60"/>
        <v>1</v>
      </c>
      <c r="T90" s="195" t="str">
        <f t="shared" si="46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47"/>
        <v>https://d0f6bd738d7f1b3e5a7ca70fe4ff75f0.us-east-1.aws.found.io/app/kibana#/discover/Steve-Slow-Train-Analysis-(2080s-and-2083s)?_g=(refreshInterval:(display:Off,pause:!f,section:0,value:0),time:(from:'2017-08-06T12:12:00-0600',mode:absolute,to:'2017-08-06T14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97" t="str">
        <f>IF(AA90&lt;VLOOKUP(AG90,Variables!$AC$3:$AD$8,2,FALSE),"Y","N")</f>
        <v>N</v>
      </c>
      <c r="X90" s="197">
        <f t="shared" si="61"/>
        <v>1</v>
      </c>
      <c r="Y90" s="197">
        <f t="shared" si="53"/>
        <v>4.7500000000000001E-2</v>
      </c>
      <c r="Z90" s="197">
        <f t="shared" si="54"/>
        <v>23.3339</v>
      </c>
      <c r="AA90" s="197">
        <f t="shared" si="48"/>
        <v>23.2864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49"/>
        <v>177</v>
      </c>
      <c r="AE90" s="77" t="str">
        <f t="shared" si="50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90" s="74" t="str">
        <f t="shared" si="51"/>
        <v>"C:\Program Files (x86)\AstroGrep\AstroGrep.exe" /e /r /s /spath="%USERPROFILE%\AppData\Local\Temp\OnboardLogs" /stypes="app*4004*20170806*" /stext=" 19:.+((SYSTEM_STATE.+slice.+state.+changed )|(ment ac)|(multiple cpu faults)|(system.+state.+changed )|(\[timeout)|(PRM\|1\|D)|(kpr)|(kdp)|(train st.+moving)|(\|lc)|(penalty))"</v>
      </c>
      <c r="AG90" s="209" t="str">
        <f t="shared" si="52"/>
        <v>EC</v>
      </c>
      <c r="AH90" s="78" t="str">
        <f t="shared" si="55"/>
        <v>"%USERPROFILE%\Documents\GitHub\eaglep3\Utilities\RefineRTDCRunTimes.py" --tripid 177-06 --locoid 4004 --swversion DE.1.0.9.0 --startMP 204:475 --initTime 2017-08-06T13:12:00 --startdatetime 2017-08-06T13:16:01 --delay 1 --endMP 204:233339 --enddatetime 2017-08-06T13:52:17 --enforcementcount 0 &gt;&gt;C:\Users\stu\Documents\GitHub\eaglep3-reporting\EC\2017-08-06-refined-times.txt</v>
      </c>
      <c r="AI9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{"issue":{"subject":"","project_id":79,"tracker_id":40,"status_id":1,"priority_id":2,"assigned_to_id":23,"start_date":"2017-08-06","description":"","custom_fields":[{"id":1,"name":"Subdivision","value":"EC"},{"id":4,"name":"Milepost","value":"23.3339"},{"id":17,"name":"Train ID","value":"177-06"},{"id":16,"name":"Locomotive ID","value":"4004"},{"id":130,"name":"Impact","value":""},{"id":150,"name":"Time of Event (Mountain Time)","value":"13:52:17"},{"id":151,"name":"Denver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57"/>
        <v>start /low /b %USERPROFILE%\Documents\GitHub\eaglep3\Utilities\DownloadLogsFromS3.py --loco 4004 --day 2017-08-06</v>
      </c>
      <c r="AN90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787</v>
      </c>
      <c r="B91" s="7">
        <v>4003</v>
      </c>
      <c r="C91" s="21" t="s">
        <v>198</v>
      </c>
      <c r="D91" s="21" t="s">
        <v>902</v>
      </c>
      <c r="E91" s="13">
        <v>42953.588333333333</v>
      </c>
      <c r="F91" s="13">
        <v>42953.59207175926</v>
      </c>
      <c r="G91" s="7">
        <v>1</v>
      </c>
      <c r="H91" s="21" t="s">
        <v>490</v>
      </c>
      <c r="I91" s="13">
        <v>42953.621863425928</v>
      </c>
      <c r="J91" s="7">
        <v>0</v>
      </c>
      <c r="K91" s="89" t="str">
        <f t="shared" si="44"/>
        <v>4003/4004</v>
      </c>
      <c r="L91" s="21" t="str">
        <f>VLOOKUP(A91,'Trips&amp;Operators'!$C$1:$G$99999,5,FALSE)</f>
        <v>THOMPSON LESTER</v>
      </c>
      <c r="M91" s="6">
        <f t="shared" si="45"/>
        <v>2.9791666667733807E-2</v>
      </c>
      <c r="N91" s="7">
        <f t="shared" si="59"/>
        <v>42.900000001536682</v>
      </c>
      <c r="O91" s="7"/>
      <c r="P91" s="7"/>
      <c r="Q91" s="22"/>
      <c r="R91" s="170"/>
      <c r="S91" s="213">
        <f t="shared" si="60"/>
        <v>1</v>
      </c>
      <c r="T91" s="195" t="str">
        <f t="shared" si="46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47"/>
        <v>https://d0f6bd738d7f1b3e5a7ca70fe4ff75f0.us-east-1.aws.found.io/app/kibana#/discover/Steve-Slow-Train-Analysis-(2080s-and-2083s)?_g=(refreshInterval:(display:Off,pause:!f,section:0,value:0),time:(from:'2017-08-06T13:07:12-0600',mode:absolute,to:'2017-08-06T15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97" t="str">
        <f>IF(AA91&lt;VLOOKUP(AG91,Variables!$AC$3:$AD$8,2,FALSE),"Y","N")</f>
        <v>N</v>
      </c>
      <c r="X91" s="197">
        <f t="shared" si="61"/>
        <v>1</v>
      </c>
      <c r="Y91" s="197">
        <f t="shared" si="53"/>
        <v>23.305700000000002</v>
      </c>
      <c r="Z91" s="197">
        <f t="shared" si="54"/>
        <v>1.5599999999999999E-2</v>
      </c>
      <c r="AA91" s="197">
        <f t="shared" si="48"/>
        <v>23.290100000000002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49"/>
        <v>178</v>
      </c>
      <c r="AE91" s="77" t="str">
        <f t="shared" si="50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91" s="74" t="str">
        <f t="shared" si="51"/>
        <v>"C:\Program Files (x86)\AstroGrep\AstroGrep.exe" /e /r /s /spath="%USERPROFILE%\AppData\Local\Temp\OnboardLogs" /stypes="app*4003*20170806*" /stext=" 20:.+((SYSTEM_STATE.+slice.+state.+changed )|(ment ac)|(multiple cpu faults)|(system.+state.+changed )|(\[timeout)|(PRM\|1\|D)|(kpr)|(kdp)|(train st.+moving)|(\|lc)|(penalty))"</v>
      </c>
      <c r="AG91" s="209" t="str">
        <f t="shared" si="52"/>
        <v>EC</v>
      </c>
      <c r="AH91" s="78" t="str">
        <f t="shared" si="55"/>
        <v>"%USERPROFILE%\Documents\GitHub\eaglep3\Utilities\RefineRTDCRunTimes.py" --tripid 178-06 --locoid 4003 --swversion DE.1.0.9.0 --startMP 204:233057 --initTime 2017-08-06T14:07:12 --startdatetime 2017-08-06T14:12:35 --delay 1 --endMP 204:156 --enddatetime 2017-08-06T14:55:29 --enforcementcount 0 &gt;&gt;C:\Users\stu\Documents\GitHub\eaglep3-reporting\EC\2017-08-06-refined-times.txt</v>
      </c>
      <c r="AI9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{"issue":{"subject":"","project_id":79,"tracker_id":40,"status_id":1,"priority_id":2,"assigned_to_id":23,"start_date":"2017-08-06","description":"","custom_fields":[{"id":1,"name":"Subdivision","value":"EC"},{"id":4,"name":"Milepost","value":"0.0156"},{"id":17,"name":"Train ID","value":"178-06"},{"id":16,"name":"Locomotive ID","value":"4003"},{"id":130,"name":"Impact","value":""},{"id":150,"name":"Time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57"/>
        <v>start /low /b %USERPROFILE%\Documents\GitHub\eaglep3\Utilities\DownloadLogsFromS3.py --loco 4003 --day 2017-08-06</v>
      </c>
      <c r="AN91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781</v>
      </c>
      <c r="B92" s="7">
        <v>4066</v>
      </c>
      <c r="C92" s="21" t="s">
        <v>198</v>
      </c>
      <c r="D92" s="21" t="s">
        <v>344</v>
      </c>
      <c r="E92" s="13">
        <v>42953.558333333334</v>
      </c>
      <c r="F92" s="13">
        <v>42953.562997685185</v>
      </c>
      <c r="G92" s="7">
        <v>1</v>
      </c>
      <c r="H92" s="21" t="s">
        <v>453</v>
      </c>
      <c r="I92" s="13">
        <v>42953.58761574074</v>
      </c>
      <c r="J92" s="7">
        <v>0</v>
      </c>
      <c r="K92" s="89" t="str">
        <f t="shared" si="44"/>
        <v>4065/4066</v>
      </c>
      <c r="L92" s="21" t="str">
        <f>VLOOKUP(A92,'Trips&amp;Operators'!$C$1:$G$99999,5,FALSE)</f>
        <v>BRUDER RICHARD</v>
      </c>
      <c r="M92" s="6">
        <f t="shared" si="45"/>
        <v>2.4618055555038154E-2</v>
      </c>
      <c r="N92" s="7">
        <f t="shared" si="59"/>
        <v>35.449999999254942</v>
      </c>
      <c r="O92" s="7"/>
      <c r="P92" s="7"/>
      <c r="Q92" s="22"/>
      <c r="R92" s="170"/>
      <c r="S92" s="213">
        <f t="shared" si="60"/>
        <v>1</v>
      </c>
      <c r="T92" s="195" t="str">
        <f t="shared" si="46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47"/>
        <v>https://d0f6bd738d7f1b3e5a7ca70fe4ff75f0.us-east-1.aws.found.io/app/kibana#/discover/Steve-Slow-Train-Analysis-(2080s-and-2083s)?_g=(refreshInterval:(display:Off,pause:!f,section:0,value:0),time:(from:'2017-08-06T12:24:00-0600',mode:absolute,to:'2017-08-06T15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2" s="197" t="str">
        <f>IF(AA92&lt;VLOOKUP(AG92,Variables!$AC$3:$AD$8,2,FALSE),"Y","N")</f>
        <v>N</v>
      </c>
      <c r="X92" s="197">
        <f t="shared" si="61"/>
        <v>1</v>
      </c>
      <c r="Y92" s="197">
        <f t="shared" si="53"/>
        <v>4.6600000000000003E-2</v>
      </c>
      <c r="Z92" s="197">
        <f t="shared" si="54"/>
        <v>23.331399999999999</v>
      </c>
      <c r="AA92" s="197">
        <f t="shared" si="48"/>
        <v>23.284799999999997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49"/>
        <v>179</v>
      </c>
      <c r="AE92" s="77" t="str">
        <f t="shared" si="50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92" s="74" t="str">
        <f t="shared" si="51"/>
        <v>"C:\Program Files (x86)\AstroGrep\AstroGrep.exe" /e /r /s /spath="%USERPROFILE%\AppData\Local\Temp\OnboardLogs" /stypes="app*4066*20170806*" /stext=" 20:.+((SYSTEM_STATE.+slice.+state.+changed )|(ment ac)|(multiple cpu faults)|(system.+state.+changed )|(\[timeout)|(PRM\|1\|D)|(kpr)|(kdp)|(train st.+moving)|(\|lc)|(penalty))"</v>
      </c>
      <c r="AG92" s="209" t="str">
        <f t="shared" si="52"/>
        <v>EC</v>
      </c>
      <c r="AH92" s="78" t="str">
        <f t="shared" si="55"/>
        <v>"%USERPROFILE%\Documents\GitHub\eaglep3\Utilities\RefineRTDCRunTimes.py" --tripid 179-06 --locoid 4066 --swversion DE.1.0.9.0 --startMP 204:466 --initTime 2017-08-06T13:24:00 --startdatetime 2017-08-06T13:30:43 --delay 1 --endMP 204:233314 --enddatetime 2017-08-06T14:06:10 --enforcementcount 0 &gt;&gt;C:\Users\stu\Documents\GitHub\eaglep3-reporting\EC\2017-08-06-refined-times.txt</v>
      </c>
      <c r="AI9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{"issue":{"subject":"","project_id":79,"tracker_id":40,"status_id":1,"priority_id":2,"assigned_to_id":23,"start_date":"2017-08-06","description":"","custom_fields":[{"id":1,"name":"Subdivision","value":"EC"},{"id":4,"name":"Milepost","value":"23.3314"},{"id":17,"name":"Train ID","value":"179-06"},{"id":16,"name":"Locomotive ID","value":"4066"},{"id":130,"name":"Impact","value":""},{"id":150,"name":"Time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57"/>
        <v>start /low /b %USERPROFILE%\Documents\GitHub\eaglep3\Utilities\DownloadLogsFromS3.py --loco 4066 --day 2017-08-06</v>
      </c>
      <c r="AN92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647</v>
      </c>
      <c r="B93" s="7">
        <v>4065</v>
      </c>
      <c r="C93" s="21" t="s">
        <v>198</v>
      </c>
      <c r="D93" s="21" t="s">
        <v>515</v>
      </c>
      <c r="E93" s="13">
        <v>42953.599409722221</v>
      </c>
      <c r="F93" s="13">
        <v>42953.602361111109</v>
      </c>
      <c r="G93" s="7">
        <v>2</v>
      </c>
      <c r="H93" s="21" t="s">
        <v>342</v>
      </c>
      <c r="I93" s="13">
        <v>42953.629687499997</v>
      </c>
      <c r="J93" s="7">
        <v>0</v>
      </c>
      <c r="K93" s="89" t="str">
        <f t="shared" si="44"/>
        <v>4065/4066</v>
      </c>
      <c r="L93" s="21" t="str">
        <f>VLOOKUP(A93,'Trips&amp;Operators'!$C$1:$G$99999,5,FALSE)</f>
        <v>BRUDER RICHARD</v>
      </c>
      <c r="M93" s="6">
        <f t="shared" si="45"/>
        <v>2.73263888884685E-2</v>
      </c>
      <c r="N93" s="7">
        <f t="shared" si="59"/>
        <v>39.34999999939464</v>
      </c>
      <c r="O93" s="7"/>
      <c r="P93" s="7"/>
      <c r="Q93" s="22"/>
      <c r="R93" s="170"/>
      <c r="S93" s="213">
        <f t="shared" si="60"/>
        <v>1</v>
      </c>
      <c r="T93" s="195" t="str">
        <f t="shared" si="46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47"/>
        <v>https://d0f6bd738d7f1b3e5a7ca70fe4ff75f0.us-east-1.aws.found.io/app/kibana#/discover/Steve-Slow-Train-Analysis-(2080s-and-2083s)?_g=(refreshInterval:(display:Off,pause:!f,section:0,value:0),time:(from:'2017-08-06T13:23:09-0600',mode:absolute,to:'2017-08-06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3" s="197" t="str">
        <f>IF(AA93&lt;VLOOKUP(AG93,Variables!$AC$3:$AD$8,2,FALSE),"Y","N")</f>
        <v>N</v>
      </c>
      <c r="X93" s="197">
        <f t="shared" si="61"/>
        <v>1</v>
      </c>
      <c r="Y93" s="197">
        <f t="shared" si="53"/>
        <v>23.298300000000001</v>
      </c>
      <c r="Z93" s="197">
        <f t="shared" si="54"/>
        <v>1.49E-2</v>
      </c>
      <c r="AA93" s="197">
        <f t="shared" si="48"/>
        <v>23.2834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49"/>
        <v>180</v>
      </c>
      <c r="AE93" s="77" t="str">
        <f t="shared" si="50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93" s="74" t="str">
        <f t="shared" si="51"/>
        <v>"C:\Program Files (x86)\AstroGrep\AstroGrep.exe" /e /r /s /spath="%USERPROFILE%\AppData\Local\Temp\OnboardLogs" /stypes="app*4065*20170806*" /stext=" 21:.+((SYSTEM_STATE.+slice.+state.+changed )|(ment ac)|(multiple cpu faults)|(system.+state.+changed )|(\[timeout)|(PRM\|1\|D)|(kpr)|(kdp)|(train st.+moving)|(\|lc)|(penalty))"</v>
      </c>
      <c r="AG93" s="209" t="str">
        <f t="shared" si="52"/>
        <v>EC</v>
      </c>
      <c r="AH93" s="78" t="str">
        <f t="shared" si="55"/>
        <v>"%USERPROFILE%\Documents\GitHub\eaglep3\Utilities\RefineRTDCRunTimes.py" --tripid 180-06 --locoid 4065 --swversion DE.1.0.9.0 --startMP 204:232983 --initTime 2017-08-06T14:23:09 --startdatetime 2017-08-06T14:27:24 --delay 2 --endMP 204:149 --enddatetime 2017-08-06T15:06:45 --enforcementcount 0 &gt;&gt;C:\Users\stu\Documents\GitHub\eaglep3-reporting\EC\2017-08-06-refined-times.txt</v>
      </c>
      <c r="AI9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ID","value":"180-06"},{"id":16,"name":"Locomotive ID","value":"4065"},{"id":130,"name":"Impact","value":""},{"id":150,"name":"Time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57"/>
        <v>start /low /b %USERPROFILE%\Documents\GitHub\eaglep3\Utilities\DownloadLogsFromS3.py --loco 4065 --day 2017-08-06</v>
      </c>
      <c r="AN93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784</v>
      </c>
      <c r="B94" s="7">
        <v>4032</v>
      </c>
      <c r="C94" s="21" t="s">
        <v>198</v>
      </c>
      <c r="D94" s="21" t="s">
        <v>458</v>
      </c>
      <c r="E94" s="13">
        <v>42953.56795138889</v>
      </c>
      <c r="F94" s="13">
        <v>42953.573437500003</v>
      </c>
      <c r="G94" s="7">
        <v>1</v>
      </c>
      <c r="H94" s="21" t="s">
        <v>906</v>
      </c>
      <c r="I94" s="13">
        <v>42953.59878472222</v>
      </c>
      <c r="J94" s="7">
        <v>0</v>
      </c>
      <c r="K94" s="89" t="str">
        <f t="shared" si="44"/>
        <v>4031/4032</v>
      </c>
      <c r="L94" s="21" t="str">
        <f>VLOOKUP(A94,'Trips&amp;Operators'!$C$1:$G$99999,5,FALSE)</f>
        <v>SULLIVAN BRANDON</v>
      </c>
      <c r="M94" s="6">
        <f t="shared" si="45"/>
        <v>2.5347222217533272E-2</v>
      </c>
      <c r="N94" s="7">
        <f t="shared" si="59"/>
        <v>36.499999993247911</v>
      </c>
      <c r="O94" s="7"/>
      <c r="P94" s="7"/>
      <c r="Q94" s="22"/>
      <c r="R94" s="170"/>
      <c r="S94" s="213">
        <f t="shared" si="60"/>
        <v>1</v>
      </c>
      <c r="T94" s="195" t="str">
        <f t="shared" si="46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47"/>
        <v>https://d0f6bd738d7f1b3e5a7ca70fe4ff75f0.us-east-1.aws.found.io/app/kibana#/discover/Steve-Slow-Train-Analysis-(2080s-and-2083s)?_g=(refreshInterval:(display:Off,pause:!f,section:0,value:0),time:(from:'2017-08-06T12:37:51-0600',mode:absolute,to:'2017-08-06T15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197" t="str">
        <f>IF(AA94&lt;VLOOKUP(AG94,Variables!$AC$3:$AD$8,2,FALSE),"Y","N")</f>
        <v>N</v>
      </c>
      <c r="X94" s="197">
        <f t="shared" si="61"/>
        <v>1</v>
      </c>
      <c r="Y94" s="197">
        <f t="shared" si="53"/>
        <v>4.6699999999999998E-2</v>
      </c>
      <c r="Z94" s="197">
        <f t="shared" si="54"/>
        <v>23.336400000000001</v>
      </c>
      <c r="AA94" s="197">
        <f t="shared" si="48"/>
        <v>23.2897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49"/>
        <v>181</v>
      </c>
      <c r="AE94" s="77" t="str">
        <f t="shared" si="50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94" s="74" t="str">
        <f t="shared" si="51"/>
        <v>"C:\Program Files (x86)\AstroGrep\AstroGrep.exe" /e /r /s /spath="%USERPROFILE%\AppData\Local\Temp\OnboardLogs" /stypes="app*4032*20170806*" /stext=" 20:.+((SYSTEM_STATE.+slice.+state.+changed )|(ment ac)|(multiple cpu faults)|(system.+state.+changed )|(\[timeout)|(PRM\|1\|D)|(kpr)|(kdp)|(train st.+moving)|(\|lc)|(penalty))"</v>
      </c>
      <c r="AG94" s="209" t="str">
        <f t="shared" si="52"/>
        <v>EC</v>
      </c>
      <c r="AH94" s="78" t="str">
        <f t="shared" si="55"/>
        <v>"%USERPROFILE%\Documents\GitHub\eaglep3\Utilities\RefineRTDCRunTimes.py" --tripid 181-06 --locoid 4032 --swversion DE.1.0.9.0 --startMP 204:467 --initTime 2017-08-06T13:37:51 --startdatetime 2017-08-06T13:45:45 --delay 1 --endMP 204:233364 --enddatetime 2017-08-06T14:22:15 --enforcementcount 0 &gt;&gt;C:\Users\stu\Documents\GitHub\eaglep3-reporting\EC\2017-08-06-refined-times.txt</v>
      </c>
      <c r="AI9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{"issue":{"subject":"","project_id":79,"tracker_id":40,"status_id":1,"priority_id":2,"assigned_to_id":23,"start_date":"2017-08-06","description":"","custom_fields":[{"id":1,"name":"Subdivision","value":"EC"},{"id":4,"name":"Milepost","value":"23.3364"},{"id":17,"name":"Train ID","value":"181-06"},{"id":16,"name":"Locomotive ID","value":"4032"},{"id":130,"name":"Impact","value":""},{"id":150,"name":"Time of Event (Mountain Time)","value":"14:22:15"},{"id":151,"name":"Denver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57"/>
        <v>start /low /b %USERPROFILE%\Documents\GitHub\eaglep3\Utilities\DownloadLogsFromS3.py --loco 4032 --day 2017-08-06</v>
      </c>
      <c r="AN94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790</v>
      </c>
      <c r="B95" s="7">
        <v>4031</v>
      </c>
      <c r="C95" s="21" t="s">
        <v>198</v>
      </c>
      <c r="D95" s="21" t="s">
        <v>622</v>
      </c>
      <c r="E95" s="13">
        <v>42953.606446759259</v>
      </c>
      <c r="F95" s="13">
        <v>42953.612708333334</v>
      </c>
      <c r="G95" s="7">
        <v>1</v>
      </c>
      <c r="H95" s="21" t="s">
        <v>444</v>
      </c>
      <c r="I95" s="13">
        <v>42953.640729166669</v>
      </c>
      <c r="J95" s="7">
        <v>0</v>
      </c>
      <c r="K95" s="89" t="str">
        <f t="shared" si="44"/>
        <v>4031/4032</v>
      </c>
      <c r="L95" s="21" t="str">
        <f>VLOOKUP(A95,'Trips&amp;Operators'!$C$1:$G$99999,5,FALSE)</f>
        <v>SULLIVAN BRANDON</v>
      </c>
      <c r="M95" s="6">
        <f t="shared" si="45"/>
        <v>2.8020833335176576E-2</v>
      </c>
      <c r="N95" s="7">
        <f t="shared" si="59"/>
        <v>40.350000002654269</v>
      </c>
      <c r="O95" s="7"/>
      <c r="P95" s="7"/>
      <c r="Q95" s="22"/>
      <c r="R95" s="170"/>
      <c r="S95" s="213">
        <f t="shared" si="60"/>
        <v>1</v>
      </c>
      <c r="T95" s="195" t="str">
        <f t="shared" si="46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47"/>
        <v>https://d0f6bd738d7f1b3e5a7ca70fe4ff75f0.us-east-1.aws.found.io/app/kibana#/discover/Steve-Slow-Train-Analysis-(2080s-and-2083s)?_g=(refreshInterval:(display:Off,pause:!f,section:0,value:0),time:(from:'2017-08-06T13:33:17-0600',mode:absolute,to:'2017-08-06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197" t="str">
        <f>IF(AA95&lt;VLOOKUP(AG95,Variables!$AC$3:$AD$8,2,FALSE),"Y","N")</f>
        <v>N</v>
      </c>
      <c r="X95" s="197">
        <f t="shared" si="61"/>
        <v>1</v>
      </c>
      <c r="Y95" s="197">
        <f t="shared" si="53"/>
        <v>23.3048</v>
      </c>
      <c r="Z95" s="197">
        <f t="shared" si="54"/>
        <v>1.52E-2</v>
      </c>
      <c r="AA95" s="197">
        <f t="shared" si="48"/>
        <v>23.2896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49"/>
        <v>182</v>
      </c>
      <c r="AE95" s="77" t="str">
        <f t="shared" si="50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95" s="74" t="str">
        <f t="shared" si="51"/>
        <v>"C:\Program Files (x86)\AstroGrep\AstroGrep.exe" /e /r /s /spath="%USERPROFILE%\AppData\Local\Temp\OnboardLogs" /stypes="app*4031*20170806*" /stext=" 21:.+((SYSTEM_STATE.+slice.+state.+changed )|(ment ac)|(multiple cpu faults)|(system.+state.+changed )|(\[timeout)|(PRM\|1\|D)|(kpr)|(kdp)|(train st.+moving)|(\|lc)|(penalty))"</v>
      </c>
      <c r="AG95" s="209" t="str">
        <f t="shared" si="52"/>
        <v>EC</v>
      </c>
      <c r="AH95" s="78" t="str">
        <f t="shared" si="55"/>
        <v>"%USERPROFILE%\Documents\GitHub\eaglep3\Utilities\RefineRTDCRunTimes.py" --tripid 182-06 --locoid 4031 --swversion DE.1.0.9.0 --startMP 204:233048 --initTime 2017-08-06T14:33:17 --startdatetime 2017-08-06T14:42:18 --delay 1 --endMP 204:152 --enddatetime 2017-08-06T15:22:39 --enforcementcount 0 &gt;&gt;C:\Users\stu\Documents\GitHub\eaglep3-reporting\EC\2017-08-06-refined-times.txt</v>
      </c>
      <c r="AI9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ID","value":"182-06"},{"id":16,"name":"Locomotive ID","value":"4031"},{"id":130,"name":"Impact","value":""},{"id":150,"name":"Time of Event (Mountain Time)","value":"15:22:39"},{"id":151,"name":"Denver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57"/>
        <v>start /low /b %USERPROFILE%\Documents\GitHub\eaglep3\Utilities\DownloadLogsFromS3.py --loco 4031 --day 2017-08-06</v>
      </c>
      <c r="AN95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785</v>
      </c>
      <c r="B96" s="7">
        <v>4002</v>
      </c>
      <c r="C96" s="21" t="s">
        <v>198</v>
      </c>
      <c r="D96" s="21" t="s">
        <v>376</v>
      </c>
      <c r="E96" s="13">
        <v>42953.577777777777</v>
      </c>
      <c r="F96" s="13">
        <v>42953.583692129629</v>
      </c>
      <c r="G96" s="7">
        <v>1</v>
      </c>
      <c r="H96" s="21" t="s">
        <v>952</v>
      </c>
      <c r="I96" s="13">
        <v>42953.608217592591</v>
      </c>
      <c r="J96" s="7">
        <v>0</v>
      </c>
      <c r="K96" s="89" t="str">
        <f t="shared" si="44"/>
        <v>4001/4002</v>
      </c>
      <c r="L96" s="21" t="str">
        <f>VLOOKUP(A96,'Trips&amp;Operators'!$C$1:$G$99999,5,FALSE)</f>
        <v>DELGADO DIANAH</v>
      </c>
      <c r="M96" s="6">
        <f t="shared" si="45"/>
        <v>2.4525462962628808E-2</v>
      </c>
      <c r="N96" s="7">
        <f t="shared" si="59"/>
        <v>35.316666666185483</v>
      </c>
      <c r="O96" s="7"/>
      <c r="P96" s="7"/>
      <c r="Q96" s="22"/>
      <c r="R96" s="170"/>
      <c r="S96" s="213">
        <f t="shared" si="60"/>
        <v>1</v>
      </c>
      <c r="T96" s="195" t="str">
        <f t="shared" si="46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47"/>
        <v>https://d0f6bd738d7f1b3e5a7ca70fe4ff75f0.us-east-1.aws.found.io/app/kibana#/discover/Steve-Slow-Train-Analysis-(2080s-and-2083s)?_g=(refreshInterval:(display:Off,pause:!f,section:0,value:0),time:(from:'2017-08-06T12:52:00-0600',mode:absolute,to:'2017-08-06T15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197" t="str">
        <f>IF(AA96&lt;VLOOKUP(AG96,Variables!$AC$3:$AD$8,2,FALSE),"Y","N")</f>
        <v>N</v>
      </c>
      <c r="X96" s="197">
        <f t="shared" si="61"/>
        <v>1</v>
      </c>
      <c r="Y96" s="197">
        <f t="shared" si="53"/>
        <v>4.6199999999999998E-2</v>
      </c>
      <c r="Z96" s="197">
        <f t="shared" si="54"/>
        <v>23.338000000000001</v>
      </c>
      <c r="AA96" s="197">
        <f t="shared" si="48"/>
        <v>23.291800000000002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49"/>
        <v>183</v>
      </c>
      <c r="AE96" s="77" t="str">
        <f t="shared" si="50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96" s="74" t="str">
        <f t="shared" si="51"/>
        <v>"C:\Program Files (x86)\AstroGrep\AstroGrep.exe" /e /r /s /spath="%USERPROFILE%\AppData\Local\Temp\OnboardLogs" /stypes="app*4002*20170806*" /stext=" 20:.+((SYSTEM_STATE.+slice.+state.+changed )|(ment ac)|(multiple cpu faults)|(system.+state.+changed )|(\[timeout)|(PRM\|1\|D)|(kpr)|(kdp)|(train st.+moving)|(\|lc)|(penalty))"</v>
      </c>
      <c r="AG96" s="209" t="str">
        <f t="shared" si="52"/>
        <v>EC</v>
      </c>
      <c r="AH96" s="78" t="str">
        <f t="shared" si="55"/>
        <v>"%USERPROFILE%\Documents\GitHub\eaglep3\Utilities\RefineRTDCRunTimes.py" --tripid 183-06 --locoid 4002 --swversion DE.1.0.9.0 --startMP 204:462 --initTime 2017-08-06T13:52:00 --startdatetime 2017-08-06T14:00:31 --delay 1 --endMP 204:233380 --enddatetime 2017-08-06T14:35:50 --enforcementcount 0 &gt;&gt;C:\Users\stu\Documents\GitHub\eaglep3-reporting\EC\2017-08-06-refined-times.txt</v>
      </c>
      <c r="AI9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{"issue":{"subject":"","project_id":79,"tracker_id":40,"status_id":1,"priority_id":2,"assigned_to_id":23,"start_date":"2017-08-06","description":"","custom_fields":[{"id":1,"name":"Subdivision","value":"EC"},{"id":4,"name":"Milepost","value":"23.338"},{"id":17,"name":"Train ID","value":"183-06"},{"id":16,"name":"Locomotive ID","value":"4002"},{"id":130,"name":"Impact","value":""},{"id":150,"name":"Time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57"/>
        <v>start /low /b %USERPROFILE%\Documents\GitHub\eaglep3\Utilities\DownloadLogsFromS3.py --loco 4002 --day 2017-08-06</v>
      </c>
      <c r="AN96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793</v>
      </c>
      <c r="B97" s="7">
        <v>4001</v>
      </c>
      <c r="C97" s="21" t="s">
        <v>198</v>
      </c>
      <c r="D97" s="21" t="s">
        <v>958</v>
      </c>
      <c r="E97" s="13">
        <v>42953.618888888886</v>
      </c>
      <c r="F97" s="13">
        <v>42953.623136574075</v>
      </c>
      <c r="G97" s="7">
        <v>1</v>
      </c>
      <c r="H97" s="21" t="s">
        <v>959</v>
      </c>
      <c r="I97" s="13">
        <v>42953.650347222225</v>
      </c>
      <c r="J97" s="7">
        <v>0</v>
      </c>
      <c r="K97" s="89" t="str">
        <f t="shared" si="44"/>
        <v>4001/4002</v>
      </c>
      <c r="L97" s="21" t="str">
        <f>VLOOKUP(A97,'Trips&amp;Operators'!$C$1:$G$99999,5,FALSE)</f>
        <v>DELGADO DIANAH</v>
      </c>
      <c r="M97" s="6">
        <f t="shared" si="45"/>
        <v>2.7210648149775807E-2</v>
      </c>
      <c r="N97" s="7">
        <f t="shared" si="59"/>
        <v>39.183333335677162</v>
      </c>
      <c r="O97" s="7"/>
      <c r="P97" s="7"/>
      <c r="Q97" s="22"/>
      <c r="R97" s="170"/>
      <c r="S97" s="213">
        <f t="shared" si="60"/>
        <v>1</v>
      </c>
      <c r="T97" s="195" t="str">
        <f t="shared" si="46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47"/>
        <v>https://d0f6bd738d7f1b3e5a7ca70fe4ff75f0.us-east-1.aws.found.io/app/kibana#/discover/Steve-Slow-Train-Analysis-(2080s-and-2083s)?_g=(refreshInterval:(display:Off,pause:!f,section:0,value:0),time:(from:'2017-08-06T13:51:12-0600',mode:absolute,to:'2017-08-06T16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197" t="str">
        <f>IF(AA97&lt;VLOOKUP(AG97,Variables!$AC$3:$AD$8,2,FALSE),"Y","N")</f>
        <v>N</v>
      </c>
      <c r="X97" s="197">
        <f t="shared" si="61"/>
        <v>1</v>
      </c>
      <c r="Y97" s="197">
        <f t="shared" si="53"/>
        <v>23.307200000000002</v>
      </c>
      <c r="Z97" s="197">
        <f t="shared" si="54"/>
        <v>1.18E-2</v>
      </c>
      <c r="AA97" s="197">
        <f t="shared" si="48"/>
        <v>23.295400000000001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49"/>
        <v>184</v>
      </c>
      <c r="AE97" s="77" t="str">
        <f t="shared" si="50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97" s="74" t="str">
        <f t="shared" si="51"/>
        <v>"C:\Program Files (x86)\AstroGrep\AstroGrep.exe" /e /r /s /spath="%USERPROFILE%\AppData\Local\Temp\OnboardLogs" /stypes="app*4001*20170806*" /stext=" 21:.+((SYSTEM_STATE.+slice.+state.+changed )|(ment ac)|(multiple cpu faults)|(system.+state.+changed )|(\[timeout)|(PRM\|1\|D)|(kpr)|(kdp)|(train st.+moving)|(\|lc)|(penalty))"</v>
      </c>
      <c r="AG97" s="209" t="str">
        <f t="shared" si="52"/>
        <v>EC</v>
      </c>
      <c r="AH97" s="78" t="str">
        <f t="shared" si="55"/>
        <v>"%USERPROFILE%\Documents\GitHub\eaglep3\Utilities\RefineRTDCRunTimes.py" --tripid 184-06 --locoid 4001 --swversion DE.1.0.9.0 --startMP 204:233072 --initTime 2017-08-06T14:51:12 --startdatetime 2017-08-06T14:57:19 --delay 1 --endMP 204:118 --enddatetime 2017-08-06T15:36:30 --enforcementcount 0 &gt;&gt;C:\Users\stu\Documents\GitHub\eaglep3-reporting\EC\2017-08-06-refined-times.txt</v>
      </c>
      <c r="AI9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{"issue":{"subject":"","project_id":79,"tracker_id":40,"status_id":1,"priority_id":2,"assigned_to_id":23,"start_date":"2017-08-06","description":"","custom_fields":[{"id":1,"name":"Subdivision","value":"EC"},{"id":4,"name":"Milepost","value":"0.0118"},{"id":17,"name":"Train ID","value":"184-06"},{"id":16,"name":"Locomotive ID","value":"4001"},{"id":130,"name":"Impact","value":""},{"id":150,"name":"Time of Event (Mountain Time)","value":"15:36:30"},{"id":151,"name":"Denver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57"/>
        <v>start /low /b %USERPROFILE%\Documents\GitHub\eaglep3\Utilities\DownloadLogsFromS3.py --loco 4001 --day 2017-08-06</v>
      </c>
      <c r="AN97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788</v>
      </c>
      <c r="B98" s="7">
        <v>4044</v>
      </c>
      <c r="C98" s="21" t="s">
        <v>198</v>
      </c>
      <c r="D98" s="21" t="s">
        <v>482</v>
      </c>
      <c r="E98" s="13">
        <v>42953.59103009259</v>
      </c>
      <c r="F98" s="13">
        <v>42953.594305555554</v>
      </c>
      <c r="G98" s="7">
        <v>1</v>
      </c>
      <c r="H98" s="21" t="s">
        <v>567</v>
      </c>
      <c r="I98" s="13">
        <v>42953.620335648149</v>
      </c>
      <c r="J98" s="7">
        <v>0</v>
      </c>
      <c r="K98" s="89" t="str">
        <f t="shared" si="44"/>
        <v>4043/4044</v>
      </c>
      <c r="L98" s="21" t="str">
        <f>VLOOKUP(A98,'Trips&amp;Operators'!$C$1:$G$99999,5,FALSE)</f>
        <v>ROMERO CHAD</v>
      </c>
      <c r="M98" s="6">
        <f t="shared" si="45"/>
        <v>2.6030092594737653E-2</v>
      </c>
      <c r="N98" s="7">
        <f t="shared" si="59"/>
        <v>37.48333333642222</v>
      </c>
      <c r="O98" s="7"/>
      <c r="P98" s="7"/>
      <c r="Q98" s="22"/>
      <c r="R98" s="170"/>
      <c r="S98" s="213">
        <f t="shared" si="60"/>
        <v>1</v>
      </c>
      <c r="T98" s="195" t="str">
        <f t="shared" si="46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47"/>
        <v>https://d0f6bd738d7f1b3e5a7ca70fe4ff75f0.us-east-1.aws.found.io/app/kibana#/discover/Steve-Slow-Train-Analysis-(2080s-and-2083s)?_g=(refreshInterval:(display:Off,pause:!f,section:0,value:0),time:(from:'2017-08-06T13:11:05-0600',mode:absolute,to:'2017-08-06T15:53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197" t="str">
        <f>IF(AA98&lt;VLOOKUP(AG98,Variables!$AC$3:$AD$8,2,FALSE),"Y","N")</f>
        <v>N</v>
      </c>
      <c r="X98" s="197">
        <f t="shared" si="61"/>
        <v>1</v>
      </c>
      <c r="Y98" s="197">
        <f t="shared" si="53"/>
        <v>4.3299999999999998E-2</v>
      </c>
      <c r="Z98" s="197">
        <f t="shared" si="54"/>
        <v>23.3385</v>
      </c>
      <c r="AA98" s="197">
        <f t="shared" si="48"/>
        <v>23.295200000000001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49"/>
        <v>185</v>
      </c>
      <c r="AE98" s="77" t="str">
        <f t="shared" si="50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98" s="74" t="str">
        <f t="shared" si="51"/>
        <v>"C:\Program Files (x86)\AstroGrep\AstroGrep.exe" /e /r /s /spath="%USERPROFILE%\AppData\Local\Temp\OnboardLogs" /stypes="app*4044*20170806*" /stext=" 20:.+((SYSTEM_STATE.+slice.+state.+changed )|(ment ac)|(multiple cpu faults)|(system.+state.+changed )|(\[timeout)|(PRM\|1\|D)|(kpr)|(kdp)|(train st.+moving)|(\|lc)|(penalty))"</v>
      </c>
      <c r="AG98" s="209" t="str">
        <f t="shared" si="52"/>
        <v>EC</v>
      </c>
      <c r="AH98" s="78" t="str">
        <f t="shared" si="55"/>
        <v>"%USERPROFILE%\Documents\GitHub\eaglep3\Utilities\RefineRTDCRunTimes.py" --tripid 185-06 --locoid 4044 --swversion DE.1.0.9.0 --startMP 204:433 --initTime 2017-08-06T14:11:05 --startdatetime 2017-08-06T14:15:48 --delay 1 --endMP 204:233385 --enddatetime 2017-08-06T14:53:17 --enforcementcount 0 &gt;&gt;C:\Users\stu\Documents\GitHub\eaglep3-reporting\EC\2017-08-06-refined-times.txt</v>
      </c>
      <c r="AI9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{"issue":{"subject":"","project_id":79,"tracker_id":40,"status_id":1,"priority_id":2,"assigned_to_id":23,"start_date":"2017-08-06","description":"","custom_fields":[{"id":1,"name":"Subdivision","value":"EC"},{"id":4,"name":"Milepost","value":"23.3385"},{"id":17,"name":"Train ID","value":"185-06"},{"id":16,"name":"Locomotive ID","value":"4044"},{"id":130,"name":"Impact","value":""},{"id":150,"name":"Time of Event (Mountain Time)","value":"14:53:17"},{"id":151,"name":"Denver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57"/>
        <v>start /low /b %USERPROFILE%\Documents\GitHub\eaglep3\Utilities\DownloadLogsFromS3.py --loco 4044 --day 2017-08-06</v>
      </c>
      <c r="AN98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20:53:17"},{"id":29,"name":"Sharepoint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794</v>
      </c>
      <c r="B99" s="7">
        <v>4043</v>
      </c>
      <c r="C99" s="21" t="s">
        <v>198</v>
      </c>
      <c r="D99" s="21" t="s">
        <v>915</v>
      </c>
      <c r="E99" s="13">
        <v>42953.621354166666</v>
      </c>
      <c r="F99" s="13">
        <v>42953.63385416667</v>
      </c>
      <c r="G99" s="7">
        <v>12</v>
      </c>
      <c r="H99" s="21" t="s">
        <v>960</v>
      </c>
      <c r="I99" s="13">
        <v>42953.661435185182</v>
      </c>
      <c r="J99" s="7">
        <v>0</v>
      </c>
      <c r="K99" s="89" t="str">
        <f t="shared" si="44"/>
        <v>4043/4044</v>
      </c>
      <c r="L99" s="21" t="str">
        <f>VLOOKUP(A99,'Trips&amp;Operators'!$C$1:$G$99999,5,FALSE)</f>
        <v>ROMERO CHAD</v>
      </c>
      <c r="M99" s="6">
        <f t="shared" si="45"/>
        <v>2.7581018512137234E-2</v>
      </c>
      <c r="N99" s="7">
        <f t="shared" si="59"/>
        <v>39.716666657477617</v>
      </c>
      <c r="O99" s="7"/>
      <c r="P99" s="7"/>
      <c r="Q99" s="22"/>
      <c r="R99" s="170"/>
      <c r="S99" s="213">
        <f t="shared" si="60"/>
        <v>1</v>
      </c>
      <c r="T99" s="195" t="str">
        <f t="shared" si="46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47"/>
        <v>https://d0f6bd738d7f1b3e5a7ca70fe4ff75f0.us-east-1.aws.found.io/app/kibana#/discover/Steve-Slow-Train-Analysis-(2080s-and-2083s)?_g=(refreshInterval:(display:Off,pause:!f,section:0,value:0),time:(from:'2017-08-06T13:54:45-0600',mode:absolute,to:'2017-08-06T16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197" t="str">
        <f>IF(AA99&lt;VLOOKUP(AG99,Variables!$AC$3:$AD$8,2,FALSE),"Y","N")</f>
        <v>N</v>
      </c>
      <c r="X99" s="197">
        <f t="shared" si="61"/>
        <v>1</v>
      </c>
      <c r="Y99" s="197">
        <f t="shared" si="53"/>
        <v>23.307600000000001</v>
      </c>
      <c r="Z99" s="197">
        <f t="shared" si="54"/>
        <v>1.38E-2</v>
      </c>
      <c r="AA99" s="197">
        <f t="shared" si="48"/>
        <v>23.293800000000001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49"/>
        <v>186</v>
      </c>
      <c r="AE99" s="77" t="str">
        <f t="shared" si="50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99" s="74" t="str">
        <f t="shared" si="51"/>
        <v>"C:\Program Files (x86)\AstroGrep\AstroGrep.exe" /e /r /s /spath="%USERPROFILE%\AppData\Local\Temp\OnboardLogs" /stypes="app*4043*20170806*" /stext=" 21:.+((SYSTEM_STATE.+slice.+state.+changed )|(ment ac)|(multiple cpu faults)|(system.+state.+changed )|(\[timeout)|(PRM\|1\|D)|(kpr)|(kdp)|(train st.+moving)|(\|lc)|(penalty))"</v>
      </c>
      <c r="AG99" s="209" t="str">
        <f t="shared" si="52"/>
        <v>EC</v>
      </c>
      <c r="AH99" s="78" t="str">
        <f t="shared" si="55"/>
        <v>"%USERPROFILE%\Documents\GitHub\eaglep3\Utilities\RefineRTDCRunTimes.py" --tripid 186-06 --locoid 4043 --swversion DE.1.0.9.0 --startMP 204:233076 --initTime 2017-08-06T14:54:45 --startdatetime 2017-08-06T15:12:45 --delay 12 --endMP 204:138 --enddatetime 2017-08-06T15:52:28 --enforcementcount 0 &gt;&gt;C:\Users\stu\Documents\GitHub\eaglep3-reporting\EC\2017-08-06-refined-times.txt</v>
      </c>
      <c r="AI99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{"issue":{"subject":"","project_id":79,"tracker_id":40,"status_id":1,"priority_id":2,"assigned_to_id":23,"start_date":"2017-08-06","description":"","custom_fields":[{"id":1,"name":"Subdivision","value":"EC"},{"id":4,"name":"Milepost","value":"0.0138"},{"id":17,"name":"Train ID","value":"186-06"},{"id":16,"name":"Locomotive ID","value":"4043"},{"id":130,"name":"Impact","value":""},{"id":150,"name":"Time of Event (Mountain Time)","value":"15:52:28"},{"id":151,"name":"Denver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57"/>
        <v>start /low /b %USERPROFILE%\Documents\GitHub\eaglep3\Utilities\DownloadLogsFromS3.py --loco 4043 --day 2017-08-06</v>
      </c>
      <c r="AN99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789</v>
      </c>
      <c r="B100" s="7">
        <v>4030</v>
      </c>
      <c r="C100" s="21" t="s">
        <v>198</v>
      </c>
      <c r="D100" s="21" t="s">
        <v>395</v>
      </c>
      <c r="E100" s="13">
        <v>42953.600138888891</v>
      </c>
      <c r="F100" s="13">
        <v>42953.604687500003</v>
      </c>
      <c r="G100" s="7">
        <v>1</v>
      </c>
      <c r="H100" s="21" t="s">
        <v>877</v>
      </c>
      <c r="I100" s="13">
        <v>42953.630312499998</v>
      </c>
      <c r="J100" s="7">
        <v>0</v>
      </c>
      <c r="K100" s="89" t="str">
        <f t="shared" si="44"/>
        <v>4029/4030</v>
      </c>
      <c r="L100" s="21" t="str">
        <f>VLOOKUP(A100,'Trips&amp;Operators'!$C$1:$G$99999,5,FALSE)</f>
        <v>MCREYNOLDS KYLE</v>
      </c>
      <c r="M100" s="6">
        <f t="shared" si="45"/>
        <v>2.5624999994761311E-2</v>
      </c>
      <c r="N100" s="7">
        <f t="shared" si="59"/>
        <v>36.899999992456287</v>
      </c>
      <c r="O100" s="7"/>
      <c r="P100" s="7"/>
      <c r="Q100" s="22"/>
      <c r="R100" s="170"/>
      <c r="S100" s="213">
        <f t="shared" si="60"/>
        <v>1</v>
      </c>
      <c r="T100" s="195" t="str">
        <f t="shared" si="46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47"/>
        <v>https://d0f6bd738d7f1b3e5a7ca70fe4ff75f0.us-east-1.aws.found.io/app/kibana#/discover/Steve-Slow-Train-Analysis-(2080s-and-2083s)?_g=(refreshInterval:(display:Off,pause:!f,section:0,value:0),time:(from:'2017-08-06T13:24:12-0600',mode:absolute,to:'2017-08-06T16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97" t="str">
        <f>IF(AA100&lt;VLOOKUP(AG100,Variables!$AC$3:$AD$8,2,FALSE),"Y","N")</f>
        <v>N</v>
      </c>
      <c r="X100" s="197">
        <f t="shared" si="61"/>
        <v>1</v>
      </c>
      <c r="Y100" s="197">
        <f t="shared" si="53"/>
        <v>4.5499999999999999E-2</v>
      </c>
      <c r="Z100" s="197">
        <f t="shared" si="54"/>
        <v>23.331700000000001</v>
      </c>
      <c r="AA100" s="197">
        <f t="shared" si="48"/>
        <v>23.286200000000001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49"/>
        <v>187</v>
      </c>
      <c r="AE100" s="77" t="str">
        <f t="shared" si="50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100" s="74" t="str">
        <f t="shared" si="51"/>
        <v>"C:\Program Files (x86)\AstroGrep\AstroGrep.exe" /e /r /s /spath="%USERPROFILE%\AppData\Local\Temp\OnboardLogs" /stypes="app*4030*20170806*" /stext=" 21:.+((SYSTEM_STATE.+slice.+state.+changed )|(ment ac)|(multiple cpu faults)|(system.+state.+changed )|(\[timeout)|(PRM\|1\|D)|(kpr)|(kdp)|(train st.+moving)|(\|lc)|(penalty))"</v>
      </c>
      <c r="AG100" s="209" t="str">
        <f t="shared" si="52"/>
        <v>EC</v>
      </c>
      <c r="AH100" s="78" t="str">
        <f t="shared" si="55"/>
        <v>"%USERPROFILE%\Documents\GitHub\eaglep3\Utilities\RefineRTDCRunTimes.py" --tripid 187-06 --locoid 4030 --swversion DE.1.0.9.0 --startMP 204:455 --initTime 2017-08-06T14:24:12 --startdatetime 2017-08-06T14:30:45 --delay 1 --endMP 204:233317 --enddatetime 2017-08-06T15:07:39 --enforcementcount 0 &gt;&gt;C:\Users\stu\Documents\GitHub\eaglep3-reporting\EC\2017-08-06-refined-times.txt</v>
      </c>
      <c r="AI10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{"issue":{"subject":"","project_id":79,"tracker_id":40,"status_id":1,"priority_id":2,"assigned_to_id":23,"start_date":"2017-08-06","description":"","custom_fields":[{"id":1,"name":"Subdivision","value":"EC"},{"id":4,"name":"Milepost","value":"23.3317"},{"id":17,"name":"Train ID","value":"187-06"},{"id":16,"name":"Locomotive ID","value":"4030"},{"id":130,"name":"Impact","value":""},{"id":150,"name":"Time of Event (Mountain Time)","value":"15:07:39"},{"id":151,"name":"Denver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57"/>
        <v>start /low /b %USERPROFILE%\Documents\GitHub\eaglep3\Utilities\DownloadLogsFromS3.py --loco 4030 --day 2017-08-06</v>
      </c>
      <c r="AN100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797</v>
      </c>
      <c r="B101" s="7">
        <v>4029</v>
      </c>
      <c r="C101" s="21" t="s">
        <v>198</v>
      </c>
      <c r="D101" s="21" t="s">
        <v>887</v>
      </c>
      <c r="E101" s="13">
        <v>42953.637488425928</v>
      </c>
      <c r="F101" s="13">
        <v>42953.64398148148</v>
      </c>
      <c r="G101" s="7">
        <v>1</v>
      </c>
      <c r="H101" s="21" t="s">
        <v>342</v>
      </c>
      <c r="I101" s="13">
        <v>42953.673020833332</v>
      </c>
      <c r="J101" s="7">
        <v>0</v>
      </c>
      <c r="K101" s="89" t="str">
        <f t="shared" si="44"/>
        <v>4029/4030</v>
      </c>
      <c r="L101" s="21" t="str">
        <f>VLOOKUP(A101,'Trips&amp;Operators'!$C$1:$G$99999,5,FALSE)</f>
        <v>MCREYNOLDS KYLE</v>
      </c>
      <c r="M101" s="6">
        <f t="shared" si="45"/>
        <v>2.9039351851679385E-2</v>
      </c>
      <c r="N101" s="7">
        <f t="shared" si="59"/>
        <v>41.816666666418314</v>
      </c>
      <c r="O101" s="7"/>
      <c r="P101" s="7"/>
      <c r="Q101" s="22"/>
      <c r="R101" s="170"/>
      <c r="S101" s="213">
        <f t="shared" si="60"/>
        <v>1</v>
      </c>
      <c r="T101" s="195" t="str">
        <f t="shared" si="46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47"/>
        <v>https://d0f6bd738d7f1b3e5a7ca70fe4ff75f0.us-east-1.aws.found.io/app/kibana#/discover/Steve-Slow-Train-Analysis-(2080s-and-2083s)?_g=(refreshInterval:(display:Off,pause:!f,section:0,value:0),time:(from:'2017-08-06T14:17:59-0600',mode:absolute,to:'2017-08-06T17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1" s="197" t="str">
        <f>IF(AA101&lt;VLOOKUP(AG101,Variables!$AC$3:$AD$8,2,FALSE),"Y","N")</f>
        <v>N</v>
      </c>
      <c r="X101" s="197">
        <f t="shared" si="61"/>
        <v>1</v>
      </c>
      <c r="Y101" s="197">
        <f t="shared" si="53"/>
        <v>23.300999999999998</v>
      </c>
      <c r="Z101" s="197">
        <f t="shared" si="54"/>
        <v>1.49E-2</v>
      </c>
      <c r="AA101" s="197">
        <f t="shared" si="48"/>
        <v>23.286099999999998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49"/>
        <v>188</v>
      </c>
      <c r="AE101" s="77" t="str">
        <f t="shared" si="50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101" s="74" t="str">
        <f t="shared" si="51"/>
        <v>"C:\Program Files (x86)\AstroGrep\AstroGrep.exe" /e /r /s /spath="%USERPROFILE%\AppData\Local\Temp\OnboardLogs" /stypes="app*4029*20170806*" /stext=" 22:.+((SYSTEM_STATE.+slice.+state.+changed )|(ment ac)|(multiple cpu faults)|(system.+state.+changed )|(\[timeout)|(PRM\|1\|D)|(kpr)|(kdp)|(train st.+moving)|(\|lc)|(penalty))"</v>
      </c>
      <c r="AG101" s="209" t="str">
        <f t="shared" si="52"/>
        <v>EC</v>
      </c>
      <c r="AH101" s="78" t="str">
        <f t="shared" si="55"/>
        <v>"%USERPROFILE%\Documents\GitHub\eaglep3\Utilities\RefineRTDCRunTimes.py" --tripid 188-06 --locoid 4029 --swversion DE.1.0.9.0 --startMP 204:233010 --initTime 2017-08-06T15:17:59 --startdatetime 2017-08-06T15:27:20 --delay 1 --endMP 204:149 --enddatetime 2017-08-06T16:09:09 --enforcementcount 0 &gt;&gt;C:\Users\stu\Documents\GitHub\eaglep3-reporting\EC\2017-08-06-refined-times.txt</v>
      </c>
      <c r="AI10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ID","value":"188-06"},{"id":16,"name":"Locomotive ID","value":"4029"},{"id":130,"name":"Impact","value":""},{"id":150,"name":"Time of Event (Mountain Time)","value":"16:09:09"},{"id":151,"name":"Denver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57"/>
        <v>start /low /b %USERPROFILE%\Documents\GitHub\eaglep3\Utilities\DownloadLogsFromS3.py --loco 4029 --day 2017-08-06</v>
      </c>
      <c r="AN101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792</v>
      </c>
      <c r="B102" s="7">
        <v>4006</v>
      </c>
      <c r="C102" s="21" t="s">
        <v>198</v>
      </c>
      <c r="D102" s="21" t="s">
        <v>409</v>
      </c>
      <c r="E102" s="13">
        <v>42953.613553240742</v>
      </c>
      <c r="F102" s="13">
        <v>42953.615243055552</v>
      </c>
      <c r="G102" s="7">
        <v>1</v>
      </c>
      <c r="H102" s="21" t="s">
        <v>906</v>
      </c>
      <c r="I102" s="13">
        <v>42953.643333333333</v>
      </c>
      <c r="J102" s="7">
        <v>0</v>
      </c>
      <c r="K102" s="89" t="str">
        <f t="shared" si="44"/>
        <v>4005/4006</v>
      </c>
      <c r="L102" s="21" t="str">
        <f>VLOOKUP(A102,'Trips&amp;Operators'!$C$1:$G$99999,5,FALSE)</f>
        <v>DAVIS MICHAEL</v>
      </c>
      <c r="M102" s="6">
        <f t="shared" si="45"/>
        <v>2.8090277781302575E-2</v>
      </c>
      <c r="N102" s="7">
        <f t="shared" si="59"/>
        <v>40.450000005075708</v>
      </c>
      <c r="O102" s="7"/>
      <c r="P102" s="7"/>
      <c r="Q102" s="22"/>
      <c r="R102" s="170"/>
      <c r="S102" s="213">
        <f t="shared" si="60"/>
        <v>1</v>
      </c>
      <c r="T102" s="195" t="str">
        <f t="shared" si="46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47"/>
        <v>https://d0f6bd738d7f1b3e5a7ca70fe4ff75f0.us-east-1.aws.found.io/app/kibana#/discover/Steve-Slow-Train-Analysis-(2080s-and-2083s)?_g=(refreshInterval:(display:Off,pause:!f,section:0,value:0),time:(from:'2017-08-06T13:43:31-0600',mode:absolute,to:'2017-08-06T16:26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2" s="197" t="str">
        <f>IF(AA102&lt;VLOOKUP(AG102,Variables!$AC$3:$AD$8,2,FALSE),"Y","N")</f>
        <v>N</v>
      </c>
      <c r="X102" s="197">
        <f t="shared" si="61"/>
        <v>1</v>
      </c>
      <c r="Y102" s="197">
        <f t="shared" si="53"/>
        <v>4.7100000000000003E-2</v>
      </c>
      <c r="Z102" s="197">
        <f t="shared" si="54"/>
        <v>23.336400000000001</v>
      </c>
      <c r="AA102" s="197">
        <f t="shared" si="48"/>
        <v>23.289300000000001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49"/>
        <v>189</v>
      </c>
      <c r="AE102" s="77" t="str">
        <f t="shared" si="50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02" s="74" t="str">
        <f t="shared" si="51"/>
        <v>"C:\Program Files (x86)\AstroGrep\AstroGrep.exe" /e /r /s /spath="%USERPROFILE%\AppData\Local\Temp\OnboardLogs" /stypes="app*4006*20170806*" /stext=" 21:.+((SYSTEM_STATE.+slice.+state.+changed )|(ment ac)|(multiple cpu faults)|(system.+state.+changed )|(\[timeout)|(PRM\|1\|D)|(kpr)|(kdp)|(train st.+moving)|(\|lc)|(penalty))"</v>
      </c>
      <c r="AG102" s="209" t="str">
        <f t="shared" si="52"/>
        <v>EC</v>
      </c>
      <c r="AH102" s="78" t="str">
        <f t="shared" si="55"/>
        <v>"%USERPROFILE%\Documents\GitHub\eaglep3\Utilities\RefineRTDCRunTimes.py" --tripid 189-06 --locoid 4006 --swversion DE.1.0.9.0 --startMP 204:471 --initTime 2017-08-06T14:43:31 --startdatetime 2017-08-06T14:45:57 --delay 1 --endMP 204:233364 --enddatetime 2017-08-06T15:26:24 --enforcementcount 0 &gt;&gt;C:\Users\stu\Documents\GitHub\eaglep3-reporting\EC\2017-08-06-refined-times.txt</v>
      </c>
      <c r="AI10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{"issue":{"subject":"","project_id":79,"tracker_id":40,"status_id":1,"priority_id":2,"assigned_to_id":23,"start_date":"2017-08-06","description":"","custom_fields":[{"id":1,"name":"Subdivision","value":"EC"},{"id":4,"name":"Milepost","value":"23.3364"},{"id":17,"name":"Train ID","value":"189-06"},{"id":16,"name":"Locomotive ID","value":"4006"},{"id":130,"name":"Impact","value":""},{"id":150,"name":"Time of Event (Mountain Time)","value":"15:26:24"},{"id":151,"name":"Denver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57"/>
        <v>start /low /b %USERPROFILE%\Documents\GitHub\eaglep3\Utilities\DownloadLogsFromS3.py --loco 4006 --day 2017-08-06</v>
      </c>
      <c r="AN102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654</v>
      </c>
      <c r="B103" s="7">
        <v>4005</v>
      </c>
      <c r="C103" s="21" t="s">
        <v>198</v>
      </c>
      <c r="D103" s="21" t="s">
        <v>888</v>
      </c>
      <c r="E103" s="13">
        <v>42953.65221064815</v>
      </c>
      <c r="F103" s="13">
        <v>42953.65457175926</v>
      </c>
      <c r="G103" s="7">
        <v>1</v>
      </c>
      <c r="H103" s="21" t="s">
        <v>961</v>
      </c>
      <c r="I103" s="13">
        <v>42953.683379629627</v>
      </c>
      <c r="J103" s="7">
        <v>0</v>
      </c>
      <c r="K103" s="89" t="str">
        <f t="shared" si="44"/>
        <v>4005/4006</v>
      </c>
      <c r="L103" s="21" t="str">
        <f>VLOOKUP(A103,'Trips&amp;Operators'!$C$1:$G$99999,5,FALSE)</f>
        <v>DAVIS MICHAEL</v>
      </c>
      <c r="M103" s="6">
        <f t="shared" si="45"/>
        <v>2.880787036701804E-2</v>
      </c>
      <c r="N103" s="7">
        <f t="shared" si="59"/>
        <v>41.483333328505978</v>
      </c>
      <c r="O103" s="7"/>
      <c r="P103" s="7"/>
      <c r="Q103" s="22"/>
      <c r="R103" s="170"/>
      <c r="S103" s="213">
        <f t="shared" si="60"/>
        <v>1</v>
      </c>
      <c r="T103" s="195" t="str">
        <f t="shared" si="46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47"/>
        <v>https://d0f6bd738d7f1b3e5a7ca70fe4ff75f0.us-east-1.aws.found.io/app/kibana#/discover/Steve-Slow-Train-Analysis-(2080s-and-2083s)?_g=(refreshInterval:(display:Off,pause:!f,section:0,value:0),time:(from:'2017-08-06T14:39:11-0600',mode:absolute,to:'2017-08-06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3" s="197" t="str">
        <f>IF(AA103&lt;VLOOKUP(AG103,Variables!$AC$3:$AD$8,2,FALSE),"Y","N")</f>
        <v>N</v>
      </c>
      <c r="X103" s="197">
        <f t="shared" si="61"/>
        <v>1</v>
      </c>
      <c r="Y103" s="197">
        <f t="shared" si="53"/>
        <v>23.3017</v>
      </c>
      <c r="Z103" s="197">
        <f t="shared" si="54"/>
        <v>2.7300000000000001E-2</v>
      </c>
      <c r="AA103" s="197">
        <f t="shared" si="48"/>
        <v>23.2744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49"/>
        <v>190</v>
      </c>
      <c r="AE103" s="77" t="str">
        <f t="shared" si="50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03" s="74" t="str">
        <f t="shared" si="51"/>
        <v>"C:\Program Files (x86)\AstroGrep\AstroGrep.exe" /e /r /s /spath="%USERPROFILE%\AppData\Local\Temp\OnboardLogs" /stypes="app*4005*20170806*" /stext=" 22:.+((SYSTEM_STATE.+slice.+state.+changed )|(ment ac)|(multiple cpu faults)|(system.+state.+changed )|(\[timeout)|(PRM\|1\|D)|(kpr)|(kdp)|(train st.+moving)|(\|lc)|(penalty))"</v>
      </c>
      <c r="AG103" s="209" t="str">
        <f t="shared" si="52"/>
        <v>EC</v>
      </c>
      <c r="AH103" s="78" t="str">
        <f t="shared" si="55"/>
        <v>"%USERPROFILE%\Documents\GitHub\eaglep3\Utilities\RefineRTDCRunTimes.py" --tripid 190-06 --locoid 4005 --swversion DE.1.0.9.0 --startMP 204:233017 --initTime 2017-08-06T15:39:11 --startdatetime 2017-08-06T15:42:35 --delay 1 --endMP 204:273 --enddatetime 2017-08-06T16:24:04 --enforcementcount 0 &gt;&gt;C:\Users\stu\Documents\GitHub\eaglep3-reporting\EC\2017-08-06-refined-times.txt</v>
      </c>
      <c r="AI10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{"issue":{"subject":"","project_id":79,"tracker_id":40,"status_id":1,"priority_id":2,"assigned_to_id":23,"start_date":"2017-08-06","description":"","custom_fields":[{"id":1,"name":"Subdivision","value":"EC"},{"id":4,"name":"Milepost","value":"0.0273"},{"id":17,"name":"Train ID","value":"190-06"},{"id":16,"name":"Locomotive ID","value":"4005"},{"id":130,"name":"Impact","value":""},{"id":150,"name":"Time of Event (Mountain Time)","value":"16:24:04"},{"id":151,"name":"Denver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57"/>
        <v>start /low /b %USERPROFILE%\Documents\GitHub\eaglep3\Utilities\DownloadLogsFromS3.py --loco 4005 --day 2017-08-06</v>
      </c>
      <c r="AN103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650</v>
      </c>
      <c r="B104" s="7">
        <v>4004</v>
      </c>
      <c r="C104" s="21" t="s">
        <v>198</v>
      </c>
      <c r="D104" s="21" t="s">
        <v>459</v>
      </c>
      <c r="E104" s="13">
        <v>42953.624120370368</v>
      </c>
      <c r="F104" s="13">
        <v>42953.625590277778</v>
      </c>
      <c r="G104" s="7">
        <v>1</v>
      </c>
      <c r="H104" s="21" t="s">
        <v>967</v>
      </c>
      <c r="I104" s="13">
        <v>42953.652268518519</v>
      </c>
      <c r="J104" s="7">
        <v>0</v>
      </c>
      <c r="K104" s="89" t="str">
        <f t="shared" si="44"/>
        <v>4003/4004</v>
      </c>
      <c r="L104" s="21" t="str">
        <f>VLOOKUP(A104,'Trips&amp;Operators'!$C$1:$G$99999,5,FALSE)</f>
        <v>THOMPSON LESTER</v>
      </c>
      <c r="M104" s="6">
        <f t="shared" si="45"/>
        <v>2.6678240741603076E-2</v>
      </c>
      <c r="N104" s="7">
        <f t="shared" si="59"/>
        <v>38.41666666790843</v>
      </c>
      <c r="O104" s="7"/>
      <c r="P104" s="7"/>
      <c r="Q104" s="22"/>
      <c r="R104" s="170"/>
      <c r="S104" s="213">
        <f t="shared" si="60"/>
        <v>1</v>
      </c>
      <c r="T104" s="195" t="str">
        <f t="shared" si="46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47"/>
        <v>https://d0f6bd738d7f1b3e5a7ca70fe4ff75f0.us-east-1.aws.found.io/app/kibana#/discover/Steve-Slow-Train-Analysis-(2080s-and-2083s)?_g=(refreshInterval:(display:Off,pause:!f,section:0,value:0),time:(from:'2017-08-06T13:58:44-0600',mode:absolute,to:'2017-08-06T16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4" s="197" t="str">
        <f>IF(AA104&lt;VLOOKUP(AG104,Variables!$AC$3:$AD$8,2,FALSE),"Y","N")</f>
        <v>N</v>
      </c>
      <c r="X104" s="197">
        <f t="shared" si="61"/>
        <v>1</v>
      </c>
      <c r="Y104" s="197">
        <f t="shared" si="53"/>
        <v>4.6899999999999997E-2</v>
      </c>
      <c r="Z104" s="197">
        <f t="shared" si="54"/>
        <v>23.338899999999999</v>
      </c>
      <c r="AA104" s="197">
        <f t="shared" si="48"/>
        <v>23.291999999999998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49"/>
        <v>191</v>
      </c>
      <c r="AE104" s="77" t="str">
        <f t="shared" si="50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104" s="74" t="str">
        <f t="shared" si="51"/>
        <v>"C:\Program Files (x86)\AstroGrep\AstroGrep.exe" /e /r /s /spath="%USERPROFILE%\AppData\Local\Temp\OnboardLogs" /stypes="app*4004*20170806*" /stext=" 21:.+((SYSTEM_STATE.+slice.+state.+changed )|(ment ac)|(multiple cpu faults)|(system.+state.+changed )|(\[timeout)|(PRM\|1\|D)|(kpr)|(kdp)|(train st.+moving)|(\|lc)|(penalty))"</v>
      </c>
      <c r="AG104" s="209" t="str">
        <f t="shared" si="52"/>
        <v>EC</v>
      </c>
      <c r="AH104" s="78" t="str">
        <f t="shared" si="55"/>
        <v>"%USERPROFILE%\Documents\GitHub\eaglep3\Utilities\RefineRTDCRunTimes.py" --tripid 191-06 --locoid 4004 --swversion DE.1.0.9.0 --startMP 204:469 --initTime 2017-08-06T14:58:44 --startdatetime 2017-08-06T15:00:51 --delay 1 --endMP 204:233389 --enddatetime 2017-08-06T15:39:16 --enforcementcount 0 &gt;&gt;C:\Users\stu\Documents\GitHub\eaglep3-reporting\EC\2017-08-06-refined-times.txt</v>
      </c>
      <c r="AI10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{"issue":{"subject":"","project_id":79,"tracker_id":40,"status_id":1,"priority_id":2,"assigned_to_id":23,"start_date":"2017-08-06","description":"","custom_fields":[{"id":1,"name":"Subdivision","value":"EC"},{"id":4,"name":"Milepost","value":"23.3389"},{"id":17,"name":"Train ID","value":"191-06"},{"id":16,"name":"Locomotive ID","value":"4004"},{"id":130,"name":"Impact","value":""},{"id":150,"name":"Time of Event (Mountain Time)","value":"15:39:16"},{"id":151,"name":"Denver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57"/>
        <v>start /low /b %USERPROFILE%\Documents\GitHub\eaglep3\Utilities\DownloadLogsFromS3.py --loco 4004 --day 2017-08-06</v>
      </c>
      <c r="AN104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801</v>
      </c>
      <c r="B105" s="7">
        <v>4003</v>
      </c>
      <c r="C105" s="21" t="s">
        <v>198</v>
      </c>
      <c r="D105" s="21" t="s">
        <v>968</v>
      </c>
      <c r="E105" s="13">
        <v>42953.663090277776</v>
      </c>
      <c r="F105" s="13">
        <v>42953.664872685185</v>
      </c>
      <c r="G105" s="7">
        <v>1</v>
      </c>
      <c r="H105" s="21" t="s">
        <v>343</v>
      </c>
      <c r="I105" s="13">
        <v>42953.692881944444</v>
      </c>
      <c r="J105" s="7">
        <v>0</v>
      </c>
      <c r="K105" s="89" t="str">
        <f t="shared" si="44"/>
        <v>4003/4004</v>
      </c>
      <c r="L105" s="21" t="str">
        <f>VLOOKUP(A105,'Trips&amp;Operators'!$C$1:$G$99999,5,FALSE)</f>
        <v>THOMPSON LESTER</v>
      </c>
      <c r="M105" s="6">
        <f t="shared" si="45"/>
        <v>2.8009259258396924E-2</v>
      </c>
      <c r="N105" s="7">
        <f t="shared" si="59"/>
        <v>40.33333333209157</v>
      </c>
      <c r="O105" s="7"/>
      <c r="P105" s="7"/>
      <c r="Q105" s="22"/>
      <c r="R105" s="170"/>
      <c r="S105" s="213">
        <f t="shared" si="60"/>
        <v>1</v>
      </c>
      <c r="T105" s="195" t="str">
        <f t="shared" si="46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47"/>
        <v>https://d0f6bd738d7f1b3e5a7ca70fe4ff75f0.us-east-1.aws.found.io/app/kibana#/discover/Steve-Slow-Train-Analysis-(2080s-and-2083s)?_g=(refreshInterval:(display:Off,pause:!f,section:0,value:0),time:(from:'2017-08-06T14:54:51-0600',mode:absolute,to:'2017-08-06T17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5" s="197" t="str">
        <f>IF(AA105&lt;VLOOKUP(AG105,Variables!$AC$3:$AD$8,2,FALSE),"Y","N")</f>
        <v>N</v>
      </c>
      <c r="X105" s="197">
        <f t="shared" si="61"/>
        <v>1</v>
      </c>
      <c r="Y105" s="197">
        <f t="shared" si="53"/>
        <v>23.3034</v>
      </c>
      <c r="Z105" s="197">
        <f t="shared" si="54"/>
        <v>1.43E-2</v>
      </c>
      <c r="AA105" s="197">
        <f t="shared" si="48"/>
        <v>23.289100000000001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49"/>
        <v>192</v>
      </c>
      <c r="AE105" s="77" t="str">
        <f t="shared" si="50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05" s="74" t="str">
        <f t="shared" si="51"/>
        <v>"C:\Program Files (x86)\AstroGrep\AstroGrep.exe" /e /r /s /spath="%USERPROFILE%\AppData\Local\Temp\OnboardLogs" /stypes="app*4003*20170806*" /stext=" 22:.+((SYSTEM_STATE.+slice.+state.+changed )|(ment ac)|(multiple cpu faults)|(system.+state.+changed )|(\[timeout)|(PRM\|1\|D)|(kpr)|(kdp)|(train st.+moving)|(\|lc)|(penalty))"</v>
      </c>
      <c r="AG105" s="209" t="str">
        <f t="shared" si="52"/>
        <v>EC</v>
      </c>
      <c r="AH105" s="78" t="str">
        <f t="shared" si="55"/>
        <v>"%USERPROFILE%\Documents\GitHub\eaglep3\Utilities\RefineRTDCRunTimes.py" --tripid 192-06 --locoid 4003 --swversion DE.1.0.9.0 --startMP 204:233034 --initTime 2017-08-06T15:54:51 --startdatetime 2017-08-06T15:57:25 --delay 1 --endMP 204:143 --enddatetime 2017-08-06T16:37:45 --enforcementcount 0 &gt;&gt;C:\Users\stu\Documents\GitHub\eaglep3-reporting\EC\2017-08-06-refined-times.txt</v>
      </c>
      <c r="AI10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{"issue":{"subject":"","project_id":79,"tracker_id":40,"status_id":1,"priority_id":2,"assigned_to_id":23,"start_date":"2017-08-06","description":"","custom_fields":[{"id":1,"name":"Subdivision","value":"EC"},{"id":4,"name":"Milepost","value":"0.0143"},{"id":17,"name":"Train ID","value":"192-06"},{"id":16,"name":"Locomotive ID","value":"4003"},{"id":130,"name":"Impact","value":""},{"id":150,"name":"Time of Event (Mountain Time)","value":"16:37:45"},{"id":151,"name":"Denver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57"/>
        <v>start /low /b %USERPROFILE%\Documents\GitHub\eaglep3\Utilities\DownloadLogsFromS3.py --loco 4003 --day 2017-08-06</v>
      </c>
      <c r="AN105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795</v>
      </c>
      <c r="B106" s="7">
        <v>4066</v>
      </c>
      <c r="C106" s="21" t="s">
        <v>198</v>
      </c>
      <c r="D106" s="21" t="s">
        <v>617</v>
      </c>
      <c r="E106" s="13">
        <v>42953.631493055553</v>
      </c>
      <c r="F106" s="13">
        <v>42953.635891203703</v>
      </c>
      <c r="G106" s="7">
        <v>2</v>
      </c>
      <c r="H106" s="21" t="s">
        <v>616</v>
      </c>
      <c r="I106" s="13">
        <v>42953.661597222221</v>
      </c>
      <c r="J106" s="7">
        <v>0</v>
      </c>
      <c r="K106" s="89" t="str">
        <f t="shared" si="44"/>
        <v>4065/4066</v>
      </c>
      <c r="L106" s="21" t="str">
        <f>VLOOKUP(A106,'Trips&amp;Operators'!$C$1:$G$99999,5,FALSE)</f>
        <v>BRUDER RICHARD</v>
      </c>
      <c r="M106" s="6">
        <f t="shared" si="45"/>
        <v>2.5706018517666962E-2</v>
      </c>
      <c r="N106" s="7">
        <f t="shared" si="59"/>
        <v>37.016666665440425</v>
      </c>
      <c r="O106" s="7"/>
      <c r="P106" s="7"/>
      <c r="Q106" s="22"/>
      <c r="R106" s="170"/>
      <c r="S106" s="213">
        <f t="shared" si="60"/>
        <v>1</v>
      </c>
      <c r="T106" s="195" t="str">
        <f t="shared" si="46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47"/>
        <v>https://d0f6bd738d7f1b3e5a7ca70fe4ff75f0.us-east-1.aws.found.io/app/kibana#/discover/Steve-Slow-Train-Analysis-(2080s-and-2083s)?_g=(refreshInterval:(display:Off,pause:!f,section:0,value:0),time:(from:'2017-08-06T14:09:21-0600',mode:absolute,to:'2017-08-06T16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6" s="197" t="str">
        <f>IF(AA106&lt;VLOOKUP(AG106,Variables!$AC$3:$AD$8,2,FALSE),"Y","N")</f>
        <v>N</v>
      </c>
      <c r="X106" s="197">
        <f t="shared" si="61"/>
        <v>1</v>
      </c>
      <c r="Y106" s="197">
        <f t="shared" si="53"/>
        <v>4.8399999999999999E-2</v>
      </c>
      <c r="Z106" s="197">
        <f t="shared" si="54"/>
        <v>23.330100000000002</v>
      </c>
      <c r="AA106" s="197">
        <f t="shared" si="48"/>
        <v>23.281700000000001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49"/>
        <v>193</v>
      </c>
      <c r="AE106" s="77" t="str">
        <f t="shared" si="50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106" s="74" t="str">
        <f t="shared" si="51"/>
        <v>"C:\Program Files (x86)\AstroGrep\AstroGrep.exe" /e /r /s /spath="%USERPROFILE%\AppData\Local\Temp\OnboardLogs" /stypes="app*4066*20170806*" /stext=" 21:.+((SYSTEM_STATE.+slice.+state.+changed )|(ment ac)|(multiple cpu faults)|(system.+state.+changed )|(\[timeout)|(PRM\|1\|D)|(kpr)|(kdp)|(train st.+moving)|(\|lc)|(penalty))"</v>
      </c>
      <c r="AG106" s="209" t="str">
        <f t="shared" si="52"/>
        <v>EC</v>
      </c>
      <c r="AH106" s="78" t="str">
        <f t="shared" si="55"/>
        <v>"%USERPROFILE%\Documents\GitHub\eaglep3\Utilities\RefineRTDCRunTimes.py" --tripid 193-06 --locoid 4066 --swversion DE.1.0.9.0 --startMP 204:484 --initTime 2017-08-06T15:09:21 --startdatetime 2017-08-06T15:15:41 --delay 2 --endMP 204:233301 --enddatetime 2017-08-06T15:52:42 --enforcementcount 0 &gt;&gt;C:\Users\stu\Documents\GitHub\eaglep3-reporting\EC\2017-08-06-refined-times.txt</v>
      </c>
      <c r="AI10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{"issue":{"subject":"","project_id":79,"tracker_id":40,"status_id":1,"priority_id":2,"assigned_to_id":23,"start_date":"2017-08-06","description":"","custom_fields":[{"id":1,"name":"Subdivision","value":"EC"},{"id":4,"name":"Milepost","value":"23.3301"},{"id":17,"name":"Train ID","value":"193-06"},{"id":16,"name":"Locomotive ID","value":"4066"},{"id":130,"name":"Impact","value":""},{"id":150,"name":"Time of Event (Mountain Time)","value":"15:52:42"},{"id":151,"name":"Denver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57"/>
        <v>start /low /b %USERPROFILE%\Documents\GitHub\eaglep3\Utilities\DownloadLogsFromS3.py --loco 4066 --day 2017-08-06</v>
      </c>
      <c r="AN106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804</v>
      </c>
      <c r="B107" s="7">
        <v>4065</v>
      </c>
      <c r="C107" s="21" t="s">
        <v>198</v>
      </c>
      <c r="D107" s="21" t="s">
        <v>969</v>
      </c>
      <c r="E107" s="13">
        <v>42953.671516203707</v>
      </c>
      <c r="F107" s="13">
        <v>42953.675173611111</v>
      </c>
      <c r="G107" s="7">
        <v>1</v>
      </c>
      <c r="H107" s="21" t="s">
        <v>970</v>
      </c>
      <c r="I107" s="13">
        <v>42953.70071759259</v>
      </c>
      <c r="J107" s="7">
        <v>0</v>
      </c>
      <c r="K107" s="89" t="str">
        <f t="shared" si="44"/>
        <v>4065/4066</v>
      </c>
      <c r="L107" s="21" t="str">
        <f>VLOOKUP(A107,'Trips&amp;Operators'!$C$1:$G$99999,5,FALSE)</f>
        <v>BRUDER RICHARD</v>
      </c>
      <c r="M107" s="6">
        <f t="shared" si="45"/>
        <v>2.5543981479131617E-2</v>
      </c>
      <c r="N107" s="7">
        <f t="shared" si="59"/>
        <v>36.783333329949528</v>
      </c>
      <c r="O107" s="7"/>
      <c r="P107" s="7"/>
      <c r="Q107" s="22"/>
      <c r="R107" s="170"/>
      <c r="S107" s="213">
        <f t="shared" si="60"/>
        <v>1</v>
      </c>
      <c r="T107" s="195" t="str">
        <f t="shared" si="46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47"/>
        <v>https://d0f6bd738d7f1b3e5a7ca70fe4ff75f0.us-east-1.aws.found.io/app/kibana#/discover/Steve-Slow-Train-Analysis-(2080s-and-2083s)?_g=(refreshInterval:(display:Off,pause:!f,section:0,value:0),time:(from:'2017-08-06T15:06:59-0600',mode:absolute,to:'2017-08-06T17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7" s="197" t="str">
        <f>IF(AA107&lt;VLOOKUP(AG107,Variables!$AC$3:$AD$8,2,FALSE),"Y","N")</f>
        <v>N</v>
      </c>
      <c r="X107" s="197">
        <f t="shared" si="61"/>
        <v>1</v>
      </c>
      <c r="Y107" s="197">
        <f t="shared" si="53"/>
        <v>23.297999999999998</v>
      </c>
      <c r="Z107" s="197">
        <f t="shared" si="54"/>
        <v>1.78E-2</v>
      </c>
      <c r="AA107" s="197">
        <f t="shared" si="48"/>
        <v>23.280199999999997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49"/>
        <v>194</v>
      </c>
      <c r="AE107" s="77" t="str">
        <f t="shared" si="50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107" s="74" t="str">
        <f t="shared" si="51"/>
        <v>"C:\Program Files (x86)\AstroGrep\AstroGrep.exe" /e /r /s /spath="%USERPROFILE%\AppData\Local\Temp\OnboardLogs" /stypes="app*4065*20170806*" /stext=" 22:.+((SYSTEM_STATE.+slice.+state.+changed )|(ment ac)|(multiple cpu faults)|(system.+state.+changed )|(\[timeout)|(PRM\|1\|D)|(kpr)|(kdp)|(train st.+moving)|(\|lc)|(penalty))"</v>
      </c>
      <c r="AG107" s="209" t="str">
        <f t="shared" si="52"/>
        <v>EC</v>
      </c>
      <c r="AH107" s="78" t="str">
        <f t="shared" si="55"/>
        <v>"%USERPROFILE%\Documents\GitHub\eaglep3\Utilities\RefineRTDCRunTimes.py" --tripid 194-06 --locoid 4065 --swversion DE.1.0.9.0 --startMP 204:232980 --initTime 2017-08-06T16:06:59 --startdatetime 2017-08-06T16:12:15 --delay 1 --endMP 204:178 --enddatetime 2017-08-06T16:49:02 --enforcementcount 0 &gt;&gt;C:\Users\stu\Documents\GitHub\eaglep3-reporting\EC\2017-08-06-refined-times.txt</v>
      </c>
      <c r="AI10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{"issue":{"subject":"","project_id":79,"tracker_id":40,"status_id":1,"priority_id":2,"assigned_to_id":23,"start_date":"2017-08-06","description":"","custom_fields":[{"id":1,"name":"Subdivision","value":"EC"},{"id":4,"name":"Milepost","value":"0.0178"},{"id":17,"name":"Train ID","value":"194-06"},{"id":16,"name":"Locomotive ID","value":"4065"},{"id":130,"name":"Impact","value":""},{"id":150,"name":"Time of Event (Mountain Time)","value":"16:49:02"},{"id":151,"name":"Denver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57"/>
        <v>start /low /b %USERPROFILE%\Documents\GitHub\eaglep3\Utilities\DownloadLogsFromS3.py --loco 4065 --day 2017-08-06</v>
      </c>
      <c r="AN107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649</v>
      </c>
      <c r="B108" s="7">
        <v>4032</v>
      </c>
      <c r="C108" s="21" t="s">
        <v>198</v>
      </c>
      <c r="D108" s="21" t="s">
        <v>481</v>
      </c>
      <c r="E108" s="13">
        <v>42953.642002314817</v>
      </c>
      <c r="F108" s="13">
        <v>42953.646354166667</v>
      </c>
      <c r="G108" s="7">
        <v>2</v>
      </c>
      <c r="H108" s="21" t="s">
        <v>620</v>
      </c>
      <c r="I108" s="13">
        <v>42953.67224537037</v>
      </c>
      <c r="J108" s="7">
        <v>0</v>
      </c>
      <c r="K108" s="89" t="str">
        <f t="shared" si="44"/>
        <v>4031/4032</v>
      </c>
      <c r="L108" s="21" t="str">
        <f>VLOOKUP(A108,'Trips&amp;Operators'!$C$1:$G$99999,5,FALSE)</f>
        <v>SULLIVAN BRANDON</v>
      </c>
      <c r="M108" s="6">
        <f t="shared" si="45"/>
        <v>2.5891203702485655E-2</v>
      </c>
      <c r="N108" s="7">
        <f t="shared" si="59"/>
        <v>37.283333331579342</v>
      </c>
      <c r="O108" s="7"/>
      <c r="P108" s="7"/>
      <c r="Q108" s="22"/>
      <c r="R108" s="170"/>
      <c r="S108" s="213">
        <f t="shared" si="60"/>
        <v>1</v>
      </c>
      <c r="T108" s="195" t="str">
        <f t="shared" si="46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47"/>
        <v>https://d0f6bd738d7f1b3e5a7ca70fe4ff75f0.us-east-1.aws.found.io/app/kibana#/discover/Steve-Slow-Train-Analysis-(2080s-and-2083s)?_g=(refreshInterval:(display:Off,pause:!f,section:0,value:0),time:(from:'2017-08-06T14:24:29-0600',mode:absolute,to:'2017-08-06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197" t="str">
        <f>IF(AA108&lt;VLOOKUP(AG108,Variables!$AC$3:$AD$8,2,FALSE),"Y","N")</f>
        <v>N</v>
      </c>
      <c r="X108" s="197">
        <f t="shared" si="61"/>
        <v>1</v>
      </c>
      <c r="Y108" s="197">
        <f t="shared" si="53"/>
        <v>4.6399999999999997E-2</v>
      </c>
      <c r="Z108" s="197">
        <f t="shared" si="54"/>
        <v>23.3355</v>
      </c>
      <c r="AA108" s="197">
        <f t="shared" si="48"/>
        <v>23.289100000000001</v>
      </c>
      <c r="AB108" s="54" t="str">
        <f>VLOOKUP(A108,Enforcements!$C$7:$K$12,8,0)</f>
        <v>Bulletin (2)</v>
      </c>
      <c r="AC108" s="51" t="str">
        <f>VLOOKUP(A108,Enforcements!$C$7:$E$12,3,0)</f>
        <v>GRADE CROSSING</v>
      </c>
      <c r="AD108" s="206">
        <f t="shared" si="49"/>
        <v>195</v>
      </c>
      <c r="AE108" s="77" t="str">
        <f t="shared" si="50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08" s="74" t="str">
        <f t="shared" si="51"/>
        <v>"C:\Program Files (x86)\AstroGrep\AstroGrep.exe" /e /r /s /spath="%USERPROFILE%\AppData\Local\Temp\OnboardLogs" /stypes="app*4032*20170806*" /stext=" 22:.+((SYSTEM_STATE.+slice.+state.+changed )|(ment ac)|(multiple cpu faults)|(system.+state.+changed )|(\[timeout)|(PRM\|1\|D)|(kpr)|(kdp)|(train st.+moving)|(\|lc)|(penalty))"</v>
      </c>
      <c r="AG108" s="209" t="str">
        <f t="shared" si="52"/>
        <v>EC</v>
      </c>
      <c r="AH108" s="78" t="str">
        <f t="shared" si="55"/>
        <v>"%USERPROFILE%\Documents\GitHub\eaglep3\Utilities\RefineRTDCRunTimes.py" --tripid 195-06 --locoid 4032 --swversion DE.1.0.9.0 --startMP 204:464 --initTime 2017-08-06T15:24:29 --startdatetime 2017-08-06T15:30:45 --delay 2 --endMP 204:233355 --enddatetime 2017-08-06T16:08:02 --enforcementcount 0 &gt;&gt;C:\Users\stu\Documents\GitHub\eaglep3-reporting\EC\2017-08-06-refined-times.txt</v>
      </c>
      <c r="AI10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{"issue":{"subject":"","project_id":79,"tracker_id":40,"status_id":1,"priority_id":2,"assigned_to_id":23,"start_date":"2017-08-06","description":"","custom_fields":[{"id":1,"name":"Subdivision","value":"EC"},{"id":4,"name":"Milepost","value":"23.3355"},{"id":17,"name":"Train ID","value":"195-06"},{"id":16,"name":"Locomotive ID","value":"4032"},{"id":130,"name":"Impact","value":""},{"id":150,"name":"Time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57"/>
        <v>start /low /b %USERPROFILE%\Documents\GitHub\eaglep3\Utilities\DownloadLogsFromS3.py --loco 4032 --day 2017-08-06</v>
      </c>
      <c r="AN108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808</v>
      </c>
      <c r="B109" s="7">
        <v>4031</v>
      </c>
      <c r="C109" s="21" t="s">
        <v>198</v>
      </c>
      <c r="D109" s="21" t="s">
        <v>971</v>
      </c>
      <c r="E109" s="13">
        <v>42953.679756944446</v>
      </c>
      <c r="F109" s="13">
        <v>42953.685624999998</v>
      </c>
      <c r="G109" s="7">
        <v>1</v>
      </c>
      <c r="H109" s="21" t="s">
        <v>342</v>
      </c>
      <c r="I109" s="13">
        <v>42953.712118055555</v>
      </c>
      <c r="J109" s="7">
        <v>0</v>
      </c>
      <c r="K109" s="89" t="str">
        <f t="shared" si="44"/>
        <v>4031/4032</v>
      </c>
      <c r="L109" s="21" t="str">
        <f>VLOOKUP(A109,'Trips&amp;Operators'!$C$1:$G$99999,5,FALSE)</f>
        <v>SULLIVAN BRANDON</v>
      </c>
      <c r="M109" s="6">
        <f t="shared" si="45"/>
        <v>2.6493055556784384E-2</v>
      </c>
      <c r="N109" s="7">
        <f t="shared" si="59"/>
        <v>38.150000001769513</v>
      </c>
      <c r="O109" s="7"/>
      <c r="P109" s="7"/>
      <c r="Q109" s="22"/>
      <c r="R109" s="170"/>
      <c r="S109" s="213">
        <f t="shared" si="60"/>
        <v>1</v>
      </c>
      <c r="T109" s="195" t="str">
        <f t="shared" si="46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47"/>
        <v>https://d0f6bd738d7f1b3e5a7ca70fe4ff75f0.us-east-1.aws.found.io/app/kibana#/discover/Steve-Slow-Train-Analysis-(2080s-and-2083s)?_g=(refreshInterval:(display:Off,pause:!f,section:0,value:0),time:(from:'2017-08-06T15:18:51-0600',mode:absolute,to:'2017-08-06T18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9" s="197" t="str">
        <f>IF(AA109&lt;VLOOKUP(AG109,Variables!$AC$3:$AD$8,2,FALSE),"Y","N")</f>
        <v>N</v>
      </c>
      <c r="X109" s="197">
        <f t="shared" si="61"/>
        <v>1</v>
      </c>
      <c r="Y109" s="197">
        <f t="shared" si="53"/>
        <v>23.307400000000001</v>
      </c>
      <c r="Z109" s="197">
        <f t="shared" si="54"/>
        <v>1.49E-2</v>
      </c>
      <c r="AA109" s="197">
        <f t="shared" si="48"/>
        <v>23.2925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49"/>
        <v>196</v>
      </c>
      <c r="AE109" s="77" t="str">
        <f t="shared" si="50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09" s="74" t="str">
        <f t="shared" si="51"/>
        <v>"C:\Program Files (x86)\AstroGrep\AstroGrep.exe" /e /r /s /spath="%USERPROFILE%\AppData\Local\Temp\OnboardLogs" /stypes="app*4031*20170806*" /stext=" 23:.+((SYSTEM_STATE.+slice.+state.+changed )|(ment ac)|(multiple cpu faults)|(system.+state.+changed )|(\[timeout)|(PRM\|1\|D)|(kpr)|(kdp)|(train st.+moving)|(\|lc)|(penalty))"</v>
      </c>
      <c r="AG109" s="209" t="str">
        <f t="shared" si="52"/>
        <v>EC</v>
      </c>
      <c r="AH109" s="78" t="str">
        <f t="shared" si="55"/>
        <v>"%USERPROFILE%\Documents\GitHub\eaglep3\Utilities\RefineRTDCRunTimes.py" --tripid 196-06 --locoid 4031 --swversion DE.1.0.9.0 --startMP 204:233074 --initTime 2017-08-06T16:18:51 --startdatetime 2017-08-06T16:27:18 --delay 1 --endMP 204:149 --enddatetime 2017-08-06T17:05:27 --enforcementcount 0 &gt;&gt;C:\Users\stu\Documents\GitHub\eaglep3-reporting\EC\2017-08-06-refined-times.txt</v>
      </c>
      <c r="AI109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ID","value":"196-06"},{"id":16,"name":"Locomotive ID","value":"4031"},{"id":130,"name":"Impact","value":""},{"id":150,"name":"Time of Event (Mountain Time)","value":"17:05:27"},{"id":151,"name":"Denver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57"/>
        <v>start /low /b %USERPROFILE%\Documents\GitHub\eaglep3\Utilities\DownloadLogsFromS3.py --loco 4031 --day 2017-08-06</v>
      </c>
      <c r="AN109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653</v>
      </c>
      <c r="B110" s="7">
        <v>4002</v>
      </c>
      <c r="C110" s="21" t="s">
        <v>198</v>
      </c>
      <c r="D110" s="21" t="s">
        <v>340</v>
      </c>
      <c r="E110" s="13">
        <v>42953.652627314812</v>
      </c>
      <c r="F110" s="13">
        <v>42953.656759259262</v>
      </c>
      <c r="G110" s="7">
        <v>2</v>
      </c>
      <c r="H110" s="21" t="s">
        <v>972</v>
      </c>
      <c r="I110" s="13">
        <v>42953.681828703702</v>
      </c>
      <c r="J110" s="7">
        <v>0</v>
      </c>
      <c r="K110" s="89" t="str">
        <f t="shared" si="44"/>
        <v>4001/4002</v>
      </c>
      <c r="L110" s="21" t="str">
        <f>VLOOKUP(A110,'Trips&amp;Operators'!$C$1:$G$99999,5,FALSE)</f>
        <v>DELGADO DIANAH</v>
      </c>
      <c r="M110" s="6">
        <f t="shared" si="45"/>
        <v>2.5069444440305233E-2</v>
      </c>
      <c r="N110" s="7">
        <f t="shared" si="59"/>
        <v>36.099999994039536</v>
      </c>
      <c r="O110" s="7"/>
      <c r="P110" s="7"/>
      <c r="Q110" s="22"/>
      <c r="R110" s="170"/>
      <c r="S110" s="213">
        <f t="shared" si="60"/>
        <v>1</v>
      </c>
      <c r="T110" s="195" t="str">
        <f t="shared" si="46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47"/>
        <v>https://d0f6bd738d7f1b3e5a7ca70fe4ff75f0.us-east-1.aws.found.io/app/kibana#/discover/Steve-Slow-Train-Analysis-(2080s-and-2083s)?_g=(refreshInterval:(display:Off,pause:!f,section:0,value:0),time:(from:'2017-08-06T14:39:47-0600',mode:absolute,to:'2017-08-06T17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97" t="str">
        <f>IF(AA110&lt;VLOOKUP(AG110,Variables!$AC$3:$AD$8,2,FALSE),"Y","N")</f>
        <v>N</v>
      </c>
      <c r="X110" s="197">
        <f t="shared" si="61"/>
        <v>1</v>
      </c>
      <c r="Y110" s="197">
        <f t="shared" si="53"/>
        <v>4.4600000000000001E-2</v>
      </c>
      <c r="Z110" s="197">
        <f t="shared" si="54"/>
        <v>23.3416</v>
      </c>
      <c r="AA110" s="197">
        <f t="shared" si="48"/>
        <v>23.297000000000001</v>
      </c>
      <c r="AB110" s="54" t="str">
        <f>VLOOKUP(A110,Enforcements!$C$7:$K$12,8,0)</f>
        <v>Bulletin (2)</v>
      </c>
      <c r="AC110" s="51" t="str">
        <f>VLOOKUP(A110,Enforcements!$C$7:$E$12,3,0)</f>
        <v>GRADE CROSSING</v>
      </c>
      <c r="AD110" s="206">
        <f t="shared" si="49"/>
        <v>197</v>
      </c>
      <c r="AE110" s="77" t="str">
        <f t="shared" si="50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110" s="74" t="str">
        <f t="shared" si="51"/>
        <v>"C:\Program Files (x86)\AstroGrep\AstroGrep.exe" /e /r /s /spath="%USERPROFILE%\AppData\Local\Temp\OnboardLogs" /stypes="app*4002*20170806*" /stext=" 22:.+((SYSTEM_STATE.+slice.+state.+changed )|(ment ac)|(multiple cpu faults)|(system.+state.+changed )|(\[timeout)|(PRM\|1\|D)|(kpr)|(kdp)|(train st.+moving)|(\|lc)|(penalty))"</v>
      </c>
      <c r="AG110" s="209" t="str">
        <f t="shared" si="52"/>
        <v>EC</v>
      </c>
      <c r="AH110" s="78" t="str">
        <f t="shared" si="55"/>
        <v>"%USERPROFILE%\Documents\GitHub\eaglep3\Utilities\RefineRTDCRunTimes.py" --tripid 197-06 --locoid 4002 --swversion DE.1.0.9.0 --startMP 204:446 --initTime 2017-08-06T15:39:47 --startdatetime 2017-08-06T15:45:44 --delay 2 --endMP 204:233416 --enddatetime 2017-08-06T16:21:50 --enforcementcount 0 &gt;&gt;C:\Users\stu\Documents\GitHub\eaglep3-reporting\EC\2017-08-06-refined-times.txt</v>
      </c>
      <c r="AI11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{"issue":{"subject":"","project_id":79,"tracker_id":40,"status_id":1,"priority_id":2,"assigned_to_id":23,"start_date":"2017-08-06","description":"","custom_fields":[{"id":1,"name":"Subdivision","value":"EC"},{"id":4,"name":"Milepost","value":"23.3416"},{"id":17,"name":"Train ID","value":"197-06"},{"id":16,"name":"Locomotive ID","value":"4002"},{"id":130,"name":"Impact","value":""},{"id":150,"name":"Time of Event (Mountain Time)","value":"16:21:50"},{"id":151,"name":"Denver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57"/>
        <v>start /low /b %USERPROFILE%\Documents\GitHub\eaglep3\Utilities\DownloadLogsFromS3.py --loco 4002 --day 2017-08-06</v>
      </c>
      <c r="AN110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809</v>
      </c>
      <c r="B111" s="7">
        <v>4001</v>
      </c>
      <c r="C111" s="21" t="s">
        <v>198</v>
      </c>
      <c r="D111" s="21" t="s">
        <v>973</v>
      </c>
      <c r="E111" s="13">
        <v>42953.684560185182</v>
      </c>
      <c r="F111" s="13">
        <v>42953.696018518516</v>
      </c>
      <c r="G111" s="7">
        <v>1</v>
      </c>
      <c r="H111" s="21" t="s">
        <v>517</v>
      </c>
      <c r="I111" s="13">
        <v>42953.721342592595</v>
      </c>
      <c r="J111" s="7">
        <v>0</v>
      </c>
      <c r="K111" s="89" t="str">
        <f t="shared" si="44"/>
        <v>4001/4002</v>
      </c>
      <c r="L111" s="21" t="str">
        <f>VLOOKUP(A111,'Trips&amp;Operators'!$C$1:$G$99999,5,FALSE)</f>
        <v>DELGADO DIANAH</v>
      </c>
      <c r="M111" s="6">
        <f t="shared" si="45"/>
        <v>2.5324074078525882E-2</v>
      </c>
      <c r="N111" s="7">
        <f t="shared" si="59"/>
        <v>36.46666667307727</v>
      </c>
      <c r="O111" s="7"/>
      <c r="P111" s="7"/>
      <c r="Q111" s="22"/>
      <c r="R111" s="170"/>
      <c r="S111" s="213">
        <f t="shared" si="60"/>
        <v>1</v>
      </c>
      <c r="T111" s="195" t="str">
        <f t="shared" si="46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47"/>
        <v>https://d0f6bd738d7f1b3e5a7ca70fe4ff75f0.us-east-1.aws.found.io/app/kibana#/discover/Steve-Slow-Train-Analysis-(2080s-and-2083s)?_g=(refreshInterval:(display:Off,pause:!f,section:0,value:0),time:(from:'2017-08-06T15:25:46-0600',mode:absolute,to:'2017-08-06T18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97" t="str">
        <f>IF(AA111&lt;VLOOKUP(AG111,Variables!$AC$3:$AD$8,2,FALSE),"Y","N")</f>
        <v>N</v>
      </c>
      <c r="X111" s="197">
        <f t="shared" si="61"/>
        <v>1</v>
      </c>
      <c r="Y111" s="197">
        <f t="shared" si="53"/>
        <v>23.304400000000001</v>
      </c>
      <c r="Z111" s="197">
        <f t="shared" si="54"/>
        <v>1.6E-2</v>
      </c>
      <c r="AA111" s="197">
        <f t="shared" si="48"/>
        <v>23.288400000000003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49"/>
        <v>198</v>
      </c>
      <c r="AE111" s="77" t="str">
        <f t="shared" si="50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111" s="74" t="str">
        <f t="shared" si="51"/>
        <v>"C:\Program Files (x86)\AstroGrep\AstroGrep.exe" /e /r /s /spath="%USERPROFILE%\AppData\Local\Temp\OnboardLogs" /stypes="app*4001*20170806*" /stext=" 23:.+((SYSTEM_STATE.+slice.+state.+changed )|(ment ac)|(multiple cpu faults)|(system.+state.+changed )|(\[timeout)|(PRM\|1\|D)|(kpr)|(kdp)|(train st.+moving)|(\|lc)|(penalty))"</v>
      </c>
      <c r="AG111" s="209" t="str">
        <f t="shared" si="52"/>
        <v>EC</v>
      </c>
      <c r="AH111" s="78" t="str">
        <f t="shared" si="55"/>
        <v>"%USERPROFILE%\Documents\GitHub\eaglep3\Utilities\RefineRTDCRunTimes.py" --tripid 198-06 --locoid 4001 --swversion DE.1.0.9.0 --startMP 204:233044 --initTime 2017-08-06T16:25:46 --startdatetime 2017-08-06T16:42:16 --delay 1 --endMP 204:160 --enddatetime 2017-08-06T17:18:44 --enforcementcount 0 &gt;&gt;C:\Users\stu\Documents\GitHub\eaglep3-reporting\EC\2017-08-06-refined-times.txt</v>
      </c>
      <c r="AI11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{"issue":{"subject":"","project_id":79,"tracker_id":40,"status_id":1,"priority_id":2,"assigned_to_id":23,"start_date":"2017-08-06","description":"","custom_fields":[{"id":1,"name":"Subdivision","value":"EC"},{"id":4,"name":"Milepost","value":"0.016"},{"id":17,"name":"Train ID","value":"198-06"},{"id":16,"name":"Locomotive ID","value":"4001"},{"id":130,"name":"Impact","value":""},{"id":150,"name":"Time of Event (Mountain Time)","value":"17:18:44"},{"id":151,"name":"Denver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57"/>
        <v>start /low /b %USERPROFILE%\Documents\GitHub\eaglep3\Utilities\DownloadLogsFromS3.py --loco 4001 --day 2017-08-06</v>
      </c>
      <c r="AN111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802</v>
      </c>
      <c r="B112" s="7">
        <v>4044</v>
      </c>
      <c r="C112" s="21" t="s">
        <v>198</v>
      </c>
      <c r="D112" s="21" t="s">
        <v>348</v>
      </c>
      <c r="E112" s="13">
        <v>42953.6641087963</v>
      </c>
      <c r="F112" s="13">
        <v>42953.667187500003</v>
      </c>
      <c r="G112" s="7">
        <v>1</v>
      </c>
      <c r="H112" s="21" t="s">
        <v>952</v>
      </c>
      <c r="I112" s="13">
        <v>42953.691759259258</v>
      </c>
      <c r="J112" s="7">
        <v>0</v>
      </c>
      <c r="K112" s="89" t="str">
        <f t="shared" si="44"/>
        <v>4043/4044</v>
      </c>
      <c r="L112" s="21" t="str">
        <f>VLOOKUP(A112,'Trips&amp;Operators'!$C$1:$G$99999,5,FALSE)</f>
        <v>ROMERO CHAD</v>
      </c>
      <c r="M112" s="6">
        <f t="shared" si="45"/>
        <v>2.4571759255195502E-2</v>
      </c>
      <c r="N112" s="7">
        <f t="shared" si="59"/>
        <v>35.383333327481523</v>
      </c>
      <c r="O112" s="7"/>
      <c r="P112" s="7"/>
      <c r="Q112" s="22"/>
      <c r="R112" s="170"/>
      <c r="S112" s="213">
        <f t="shared" si="60"/>
        <v>1</v>
      </c>
      <c r="T112" s="195" t="str">
        <f t="shared" si="46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47"/>
        <v>https://d0f6bd738d7f1b3e5a7ca70fe4ff75f0.us-east-1.aws.found.io/app/kibana#/discover/Steve-Slow-Train-Analysis-(2080s-and-2083s)?_g=(refreshInterval:(display:Off,pause:!f,section:0,value:0),time:(from:'2017-08-06T14:56:19-0600',mode:absolute,to:'2017-08-06T17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2" s="197" t="str">
        <f>IF(AA112&lt;VLOOKUP(AG112,Variables!$AC$3:$AD$8,2,FALSE),"Y","N")</f>
        <v>N</v>
      </c>
      <c r="X112" s="197">
        <f t="shared" si="61"/>
        <v>1</v>
      </c>
      <c r="Y112" s="197">
        <f t="shared" si="53"/>
        <v>4.4699999999999997E-2</v>
      </c>
      <c r="Z112" s="197">
        <f t="shared" si="54"/>
        <v>23.338000000000001</v>
      </c>
      <c r="AA112" s="197">
        <f t="shared" si="48"/>
        <v>23.293300000000002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49"/>
        <v>199</v>
      </c>
      <c r="AE112" s="77" t="str">
        <f t="shared" si="50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12" s="74" t="str">
        <f t="shared" si="51"/>
        <v>"C:\Program Files (x86)\AstroGrep\AstroGrep.exe" /e /r /s /spath="%USERPROFILE%\AppData\Local\Temp\OnboardLogs" /stypes="app*4044*20170806*" /stext=" 22:.+((SYSTEM_STATE.+slice.+state.+changed )|(ment ac)|(multiple cpu faults)|(system.+state.+changed )|(\[timeout)|(PRM\|1\|D)|(kpr)|(kdp)|(train st.+moving)|(\|lc)|(penalty))"</v>
      </c>
      <c r="AG112" s="209" t="str">
        <f t="shared" si="52"/>
        <v>EC</v>
      </c>
      <c r="AH112" s="78" t="str">
        <f t="shared" si="55"/>
        <v>"%USERPROFILE%\Documents\GitHub\eaglep3\Utilities\RefineRTDCRunTimes.py" --tripid 199-06 --locoid 4044 --swversion DE.1.0.9.0 --startMP 204:447 --initTime 2017-08-06T15:56:19 --startdatetime 2017-08-06T16:00:45 --delay 1 --endMP 204:233380 --enddatetime 2017-08-06T16:36:08 --enforcementcount 0 &gt;&gt;C:\Users\stu\Documents\GitHub\eaglep3-reporting\EC\2017-08-06-refined-times.txt</v>
      </c>
      <c r="AI11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{"issue":{"subject":"","project_id":79,"tracker_id":40,"status_id":1,"priority_id":2,"assigned_to_id":23,"start_date":"2017-08-06","description":"","custom_fields":[{"id":1,"name":"Subdivision","value":"EC"},{"id":4,"name":"Milepost","value":"23.338"},{"id":17,"name":"Train ID","value":"199-06"},{"id":16,"name":"Locomotive ID","value":"4044"},{"id":130,"name":"Impact","value":""},{"id":150,"name":"Time of Event (Mountain Time)","value":"16:36:08"},{"id":151,"name":"Denver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57"/>
        <v>start /low /b %USERPROFILE%\Documents\GitHub\eaglep3\Utilities\DownloadLogsFromS3.py --loco 4044 --day 2017-08-06</v>
      </c>
      <c r="AN112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812</v>
      </c>
      <c r="B113" s="7">
        <v>4043</v>
      </c>
      <c r="C113" s="21" t="s">
        <v>198</v>
      </c>
      <c r="D113" s="21" t="s">
        <v>971</v>
      </c>
      <c r="E113" s="13">
        <v>42953.696400462963</v>
      </c>
      <c r="F113" s="13">
        <v>42953.70652777778</v>
      </c>
      <c r="G113" s="7">
        <v>10</v>
      </c>
      <c r="H113" s="21" t="s">
        <v>349</v>
      </c>
      <c r="I113" s="13">
        <v>42953.73232638889</v>
      </c>
      <c r="J113" s="7">
        <v>0</v>
      </c>
      <c r="K113" s="89" t="str">
        <f t="shared" si="44"/>
        <v>4043/4044</v>
      </c>
      <c r="L113" s="21" t="str">
        <f>VLOOKUP(A113,'Trips&amp;Operators'!$C$1:$G$99999,5,FALSE)</f>
        <v>ROMERO CHAD</v>
      </c>
      <c r="M113" s="6">
        <f t="shared" si="45"/>
        <v>2.5798611110076308E-2</v>
      </c>
      <c r="N113" s="7">
        <f t="shared" si="59"/>
        <v>37.149999998509884</v>
      </c>
      <c r="O113" s="7"/>
      <c r="P113" s="7"/>
      <c r="Q113" s="22"/>
      <c r="R113" s="170"/>
      <c r="S113" s="213">
        <f t="shared" si="60"/>
        <v>1</v>
      </c>
      <c r="T113" s="195" t="str">
        <f t="shared" si="46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47"/>
        <v>https://d0f6bd738d7f1b3e5a7ca70fe4ff75f0.us-east-1.aws.found.io/app/kibana#/discover/Steve-Slow-Train-Analysis-(2080s-and-2083s)?_g=(refreshInterval:(display:Off,pause:!f,section:0,value:0),time:(from:'2017-08-06T15:42:49-0600',mode:absolute,to:'2017-08-06T18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3" s="197" t="str">
        <f>IF(AA113&lt;VLOOKUP(AG113,Variables!$AC$3:$AD$8,2,FALSE),"Y","N")</f>
        <v>N</v>
      </c>
      <c r="X113" s="197">
        <f t="shared" si="61"/>
        <v>1</v>
      </c>
      <c r="Y113" s="197">
        <f t="shared" ref="Y113:Y144" si="62">RIGHT(D113,LEN(D113)-4)/10000</f>
        <v>23.307400000000001</v>
      </c>
      <c r="Z113" s="197">
        <f t="shared" ref="Z113:Z144" si="63">RIGHT(H113,LEN(H113)-4)/10000</f>
        <v>1.3899999999999999E-2</v>
      </c>
      <c r="AA113" s="197">
        <f t="shared" si="48"/>
        <v>23.293500000000002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49"/>
        <v>200</v>
      </c>
      <c r="AE113" s="77" t="str">
        <f t="shared" si="50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13" s="74" t="str">
        <f t="shared" si="51"/>
        <v>"C:\Program Files (x86)\AstroGrep\AstroGrep.exe" /e /r /s /spath="%USERPROFILE%\AppData\Local\Temp\OnboardLogs" /stypes="app*4043*20170806*" /stext=" 23:.+((SYSTEM_STATE.+slice.+state.+changed )|(ment ac)|(multiple cpu faults)|(system.+state.+changed )|(\[timeout)|(PRM\|1\|D)|(kpr)|(kdp)|(train st.+moving)|(\|lc)|(penalty))"</v>
      </c>
      <c r="AG113" s="209" t="str">
        <f t="shared" si="52"/>
        <v>EC</v>
      </c>
      <c r="AH113" s="78" t="str">
        <f t="shared" si="55"/>
        <v>"%USERPROFILE%\Documents\GitHub\eaglep3\Utilities\RefineRTDCRunTimes.py" --tripid 200-06 --locoid 4043 --swversion DE.1.0.9.0 --startMP 204:233074 --initTime 2017-08-06T16:42:49 --startdatetime 2017-08-06T16:57:24 --delay 10 --endMP 204:139 --enddatetime 2017-08-06T17:34:33 --enforcementcount 0 &gt;&gt;C:\Users\stu\Documents\GitHub\eaglep3-reporting\EC\2017-08-06-refined-times.txt</v>
      </c>
      <c r="AI11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{"issue":{"subject":"","project_id":79,"tracker_id":40,"status_id":1,"priority_id":2,"assigned_to_id":23,"start_date":"2017-08-06","description":"","custom_fields":[{"id":1,"name":"Subdivision","value":"EC"},{"id":4,"name":"Milepost","value":"0.0139"},{"id":17,"name":"Train ID","value":"200-06"},{"id":16,"name":"Locomotive ID","value":"4043"},{"id":130,"name":"Impact","value":""},{"id":150,"name":"Time of Event (Mountain Time)","value":"17:34:33"},{"id":151,"name":"Denver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57"/>
        <v>start /low /b %USERPROFILE%\Documents\GitHub\eaglep3\Utilities\DownloadLogsFromS3.py --loco 4043 --day 2017-08-06</v>
      </c>
      <c r="AN113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807</v>
      </c>
      <c r="B114" s="7">
        <v>4030</v>
      </c>
      <c r="C114" s="21" t="s">
        <v>198</v>
      </c>
      <c r="D114" s="21" t="s">
        <v>974</v>
      </c>
      <c r="E114" s="13">
        <v>42953.674525462964</v>
      </c>
      <c r="F114" s="13">
        <v>42953.677604166667</v>
      </c>
      <c r="G114" s="7">
        <v>1</v>
      </c>
      <c r="H114" s="21" t="s">
        <v>975</v>
      </c>
      <c r="I114" s="13">
        <v>42953.702384259261</v>
      </c>
      <c r="J114" s="7">
        <v>0</v>
      </c>
      <c r="K114" s="89" t="str">
        <f t="shared" si="44"/>
        <v>4029/4030</v>
      </c>
      <c r="L114" s="21" t="str">
        <f>VLOOKUP(A114,'Trips&amp;Operators'!$C$1:$G$99999,5,FALSE)</f>
        <v>MCREYNOLDS KYLE</v>
      </c>
      <c r="M114" s="6">
        <f t="shared" si="45"/>
        <v>2.4780092593573499E-2</v>
      </c>
      <c r="N114" s="7">
        <f t="shared" si="59"/>
        <v>35.683333334745839</v>
      </c>
      <c r="O114" s="7"/>
      <c r="P114" s="7"/>
      <c r="Q114" s="22"/>
      <c r="R114" s="170"/>
      <c r="S114" s="213">
        <f t="shared" si="60"/>
        <v>1</v>
      </c>
      <c r="T114" s="195" t="str">
        <f t="shared" si="46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47"/>
        <v>https://d0f6bd738d7f1b3e5a7ca70fe4ff75f0.us-east-1.aws.found.io/app/kibana#/discover/Steve-Slow-Train-Analysis-(2080s-and-2083s)?_g=(refreshInterval:(display:Off,pause:!f,section:0,value:0),time:(from:'2017-08-06T15:11:19-0600',mode:absolute,to:'2017-08-06T17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197" t="str">
        <f>IF(AA114&lt;VLOOKUP(AG114,Variables!$AC$3:$AD$8,2,FALSE),"Y","N")</f>
        <v>N</v>
      </c>
      <c r="X114" s="197">
        <f t="shared" si="61"/>
        <v>1</v>
      </c>
      <c r="Y114" s="197">
        <f t="shared" si="62"/>
        <v>4.3999999999999997E-2</v>
      </c>
      <c r="Z114" s="197">
        <f t="shared" si="63"/>
        <v>23.337599999999998</v>
      </c>
      <c r="AA114" s="197">
        <f t="shared" si="48"/>
        <v>23.293599999999998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49"/>
        <v>201</v>
      </c>
      <c r="AE114" s="77" t="str">
        <f t="shared" si="50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114" s="74" t="str">
        <f t="shared" si="51"/>
        <v>"C:\Program Files (x86)\AstroGrep\AstroGrep.exe" /e /r /s /spath="%USERPROFILE%\AppData\Local\Temp\OnboardLogs" /stypes="app*4030*20170806*" /stext=" 22:.+((SYSTEM_STATE.+slice.+state.+changed )|(ment ac)|(multiple cpu faults)|(system.+state.+changed )|(\[timeout)|(PRM\|1\|D)|(kpr)|(kdp)|(train st.+moving)|(\|lc)|(penalty))"</v>
      </c>
      <c r="AG114" s="209" t="str">
        <f t="shared" si="52"/>
        <v>EC</v>
      </c>
      <c r="AH114" s="78" t="str">
        <f t="shared" si="55"/>
        <v>"%USERPROFILE%\Documents\GitHub\eaglep3\Utilities\RefineRTDCRunTimes.py" --tripid 201-06 --locoid 4030 --swversion DE.1.0.9.0 --startMP 204:440 --initTime 2017-08-06T16:11:19 --startdatetime 2017-08-06T16:15:45 --delay 1 --endMP 204:233376 --enddatetime 2017-08-06T16:51:26 --enforcementcount 0 &gt;&gt;C:\Users\stu\Documents\GitHub\eaglep3-reporting\EC\2017-08-06-refined-times.txt</v>
      </c>
      <c r="AI11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{"issue":{"subject":"","project_id":79,"tracker_id":40,"status_id":1,"priority_id":2,"assigned_to_id":23,"start_date":"2017-08-06","description":"","custom_fields":[{"id":1,"name":"Subdivision","value":"EC"},{"id":4,"name":"Milepost","value":"23.3376"},{"id":17,"name":"Train ID","value":"201-06"},{"id":16,"name":"Locomotive ID","value":"4030"},{"id":130,"name":"Impact","value":""},{"id":150,"name":"Time of Event (Mountain Time)","value":"16:51:26"},{"id":151,"name":"Denver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57"/>
        <v>start /low /b %USERPROFILE%\Documents\GitHub\eaglep3\Utilities\DownloadLogsFromS3.py --loco 4030 --day 2017-08-06</v>
      </c>
      <c r="AN114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813</v>
      </c>
      <c r="B115" s="7">
        <v>4029</v>
      </c>
      <c r="C115" s="21" t="s">
        <v>198</v>
      </c>
      <c r="D115" s="21" t="s">
        <v>976</v>
      </c>
      <c r="E115" s="13">
        <v>42953.703634259262</v>
      </c>
      <c r="F115" s="13">
        <v>42953.716840277775</v>
      </c>
      <c r="G115" s="7">
        <v>0</v>
      </c>
      <c r="H115" s="21" t="s">
        <v>499</v>
      </c>
      <c r="I115" s="13">
        <v>42953.743472222224</v>
      </c>
      <c r="J115" s="7">
        <v>0</v>
      </c>
      <c r="K115" s="89" t="str">
        <f t="shared" si="44"/>
        <v>4029/4030</v>
      </c>
      <c r="L115" s="21" t="str">
        <f>VLOOKUP(A115,'Trips&amp;Operators'!$C$1:$G$99999,5,FALSE)</f>
        <v>MCREYNOLDS KYLE</v>
      </c>
      <c r="M115" s="6">
        <f t="shared" si="45"/>
        <v>2.6631944449036382E-2</v>
      </c>
      <c r="N115" s="7">
        <f t="shared" ref="N115:N138" si="64">24*60*SUM($M115:$M115)</f>
        <v>38.35000000661239</v>
      </c>
      <c r="O115" s="7"/>
      <c r="P115" s="7"/>
      <c r="Q115" s="22"/>
      <c r="R115" s="170"/>
      <c r="S115" s="213">
        <f t="shared" ref="S115:S146" si="65">1/IF(AG115="EC",12,1)*SUM(U115:U115)</f>
        <v>1</v>
      </c>
      <c r="T115" s="195" t="str">
        <f t="shared" si="46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47"/>
        <v>https://d0f6bd738d7f1b3e5a7ca70fe4ff75f0.us-east-1.aws.found.io/app/kibana#/discover/Steve-Slow-Train-Analysis-(2080s-and-2083s)?_g=(refreshInterval:(display:Off,pause:!f,section:0,value:0),time:(from:'2017-08-06T15:53:14-0600',mode:absolute,to:'2017-08-06T18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5" s="197" t="str">
        <f>IF(AA115&lt;VLOOKUP(AG115,Variables!$AC$3:$AD$8,2,FALSE),"Y","N")</f>
        <v>N</v>
      </c>
      <c r="X115" s="197">
        <f t="shared" si="61"/>
        <v>1</v>
      </c>
      <c r="Y115" s="197">
        <f t="shared" si="62"/>
        <v>23.3065</v>
      </c>
      <c r="Z115" s="197">
        <f t="shared" si="63"/>
        <v>1.61E-2</v>
      </c>
      <c r="AA115" s="197">
        <f t="shared" si="48"/>
        <v>23.290399999999998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49"/>
        <v>202</v>
      </c>
      <c r="AE115" s="77" t="str">
        <f t="shared" si="50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115" s="74" t="str">
        <f t="shared" si="51"/>
        <v>"C:\Program Files (x86)\AstroGrep\AstroGrep.exe" /e /r /s /spath="%USERPROFILE%\AppData\Local\Temp\OnboardLogs" /stypes="app*4029*20170806*" /stext=" 23:.+((SYSTEM_STATE.+slice.+state.+changed )|(ment ac)|(multiple cpu faults)|(system.+state.+changed )|(\[timeout)|(PRM\|1\|D)|(kpr)|(kdp)|(train st.+moving)|(\|lc)|(penalty))"</v>
      </c>
      <c r="AG115" s="209" t="str">
        <f t="shared" si="52"/>
        <v>EC</v>
      </c>
      <c r="AH115" s="78" t="str">
        <f t="shared" si="55"/>
        <v>"%USERPROFILE%\Documents\GitHub\eaglep3\Utilities\RefineRTDCRunTimes.py" --tripid 202-06 --locoid 4029 --swversion DE.1.0.9.0 --startMP 204:233065 --initTime 2017-08-06T16:53:14 --startdatetime 2017-08-06T17:12:15 --delay 0 --endMP 204:161 --enddatetime 2017-08-06T17:50:36 --enforcementcount 0 &gt;&gt;C:\Users\stu\Documents\GitHub\eaglep3-reporting\EC\2017-08-06-refined-times.txt</v>
      </c>
      <c r="AI11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{"issue":{"subject":"","project_id":79,"tracker_id":40,"status_id":1,"priority_id":2,"assigned_to_id":23,"start_date":"2017-08-06","description":"","custom_fields":[{"id":1,"name":"Subdivision","value":"EC"},{"id":4,"name":"Milepost","value":"0.0161"},{"id":17,"name":"Train ID","value":"202-06"},{"id":16,"name":"Locomotive ID","value":"4029"},{"id":130,"name":"Impact","value":""},{"id":150,"name":"Time of Event (Mountain Time)","value":"17:50:36"},{"id":151,"name":"Denver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57"/>
        <v>start /low /b %USERPROFILE%\Documents\GitHub\eaglep3\Utilities\DownloadLogsFromS3.py --loco 4029 --day 2017-08-06</v>
      </c>
      <c r="AN115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810</v>
      </c>
      <c r="B116" s="7">
        <v>4006</v>
      </c>
      <c r="C116" s="21" t="s">
        <v>198</v>
      </c>
      <c r="D116" s="21" t="s">
        <v>977</v>
      </c>
      <c r="E116" s="13">
        <v>42953.687164351853</v>
      </c>
      <c r="F116" s="13">
        <v>42953.688784722224</v>
      </c>
      <c r="G116" s="7">
        <v>1</v>
      </c>
      <c r="H116" s="21" t="s">
        <v>503</v>
      </c>
      <c r="I116" s="13">
        <v>42953.714513888888</v>
      </c>
      <c r="J116" s="7">
        <v>0</v>
      </c>
      <c r="K116" s="89" t="str">
        <f t="shared" si="44"/>
        <v>4005/4006</v>
      </c>
      <c r="L116" s="21" t="str">
        <f>VLOOKUP(A116,'Trips&amp;Operators'!$C$1:$G$99999,5,FALSE)</f>
        <v>DAVIS MICHAEL</v>
      </c>
      <c r="M116" s="6">
        <f t="shared" si="45"/>
        <v>2.5729166663950309E-2</v>
      </c>
      <c r="N116" s="7">
        <f t="shared" si="64"/>
        <v>37.049999996088445</v>
      </c>
      <c r="O116" s="7"/>
      <c r="P116" s="7"/>
      <c r="Q116" s="22"/>
      <c r="R116" s="170"/>
      <c r="S116" s="213">
        <f t="shared" si="65"/>
        <v>1</v>
      </c>
      <c r="T116" s="195" t="str">
        <f t="shared" si="46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47"/>
        <v>https://d0f6bd738d7f1b3e5a7ca70fe4ff75f0.us-east-1.aws.found.io/app/kibana#/discover/Steve-Slow-Train-Analysis-(2080s-and-2083s)?_g=(refreshInterval:(display:Off,pause:!f,section:0,value:0),time:(from:'2017-08-06T15:29:31-0600',mode:absolute,to:'2017-08-06T18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6" s="197" t="str">
        <f>IF(AA116&lt;VLOOKUP(AG116,Variables!$AC$3:$AD$8,2,FALSE),"Y","N")</f>
        <v>N</v>
      </c>
      <c r="X116" s="197">
        <f t="shared" ref="X116:X133" si="66">VALUE(LEFT(AD116,4))-VALUE(LEFT(AD115,4))</f>
        <v>1</v>
      </c>
      <c r="Y116" s="197">
        <f t="shared" si="62"/>
        <v>6.0400000000000002E-2</v>
      </c>
      <c r="Z116" s="197">
        <f t="shared" si="63"/>
        <v>23.332899999999999</v>
      </c>
      <c r="AA116" s="197">
        <f t="shared" si="48"/>
        <v>23.272499999999997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49"/>
        <v>203</v>
      </c>
      <c r="AE116" s="77" t="str">
        <f t="shared" si="50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16" s="74" t="str">
        <f t="shared" si="51"/>
        <v>"C:\Program Files (x86)\AstroGrep\AstroGrep.exe" /e /r /s /spath="%USERPROFILE%\AppData\Local\Temp\OnboardLogs" /stypes="app*4006*20170806*" /stext=" 23:.+((SYSTEM_STATE.+slice.+state.+changed )|(ment ac)|(multiple cpu faults)|(system.+state.+changed )|(\[timeout)|(PRM\|1\|D)|(kpr)|(kdp)|(train st.+moving)|(\|lc)|(penalty))"</v>
      </c>
      <c r="AG116" s="209" t="str">
        <f t="shared" si="52"/>
        <v>EC</v>
      </c>
      <c r="AH116" s="78" t="str">
        <f t="shared" si="55"/>
        <v>"%USERPROFILE%\Documents\GitHub\eaglep3\Utilities\RefineRTDCRunTimes.py" --tripid 203-06 --locoid 4006 --swversion DE.1.0.9.0 --startMP 204:604 --initTime 2017-08-06T16:29:31 --startdatetime 2017-08-06T16:31:51 --delay 1 --endMP 204:233329 --enddatetime 2017-08-06T17:08:54 --enforcementcount 0 &gt;&gt;C:\Users\stu\Documents\GitHub\eaglep3-reporting\EC\2017-08-06-refined-times.txt</v>
      </c>
      <c r="AI11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{"issue":{"subject":"","project_id":79,"tracker_id":40,"status_id":1,"priority_id":2,"assigned_to_id":23,"start_date":"2017-08-06","description":"","custom_fields":[{"id":1,"name":"Subdivision","value":"EC"},{"id":4,"name":"Milepost","value":"23.3329"},{"id":17,"name":"Train ID","value":"203-06"},{"id":16,"name":"Locomotive ID","value":"4006"},{"id":130,"name":"Impact","value":""},{"id":150,"name":"Time of Event (Mountain Time)","value":"17:08:54"},{"id":151,"name":"Denver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57"/>
        <v>start /low /b %USERPROFILE%\Documents\GitHub\eaglep3\Utilities\DownloadLogsFromS3.py --loco 4006 --day 2017-08-06</v>
      </c>
      <c r="AN116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818</v>
      </c>
      <c r="B117" s="7">
        <v>4005</v>
      </c>
      <c r="C117" s="21" t="s">
        <v>198</v>
      </c>
      <c r="D117" s="21" t="s">
        <v>968</v>
      </c>
      <c r="E117" s="13">
        <v>42953.725023148145</v>
      </c>
      <c r="F117" s="13">
        <v>42953.727453703701</v>
      </c>
      <c r="G117" s="7">
        <v>1</v>
      </c>
      <c r="H117" s="21" t="s">
        <v>377</v>
      </c>
      <c r="I117" s="13">
        <v>42953.755937499998</v>
      </c>
      <c r="J117" s="7">
        <v>0</v>
      </c>
      <c r="K117" s="89" t="str">
        <f t="shared" si="44"/>
        <v>4005/4006</v>
      </c>
      <c r="L117" s="21" t="str">
        <f>VLOOKUP(A117,'Trips&amp;Operators'!$C$1:$G$99999,5,FALSE)</f>
        <v>DAVIS MICHAEL</v>
      </c>
      <c r="M117" s="6">
        <f t="shared" si="45"/>
        <v>2.8483796297223307E-2</v>
      </c>
      <c r="N117" s="7">
        <f t="shared" si="64"/>
        <v>41.016666668001562</v>
      </c>
      <c r="O117" s="7"/>
      <c r="P117" s="7"/>
      <c r="Q117" s="22"/>
      <c r="R117" s="170"/>
      <c r="S117" s="213">
        <f t="shared" si="65"/>
        <v>1</v>
      </c>
      <c r="T117" s="195" t="str">
        <f t="shared" si="46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47"/>
        <v>https://d0f6bd738d7f1b3e5a7ca70fe4ff75f0.us-east-1.aws.found.io/app/kibana#/discover/Steve-Slow-Train-Analysis-(2080s-and-2083s)?_g=(refreshInterval:(display:Off,pause:!f,section:0,value:0),time:(from:'2017-08-06T16:24:02-0600',mode:absolute,to:'2017-08-06T19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7" s="197" t="str">
        <f>IF(AA117&lt;VLOOKUP(AG117,Variables!$AC$3:$AD$8,2,FALSE),"Y","N")</f>
        <v>N</v>
      </c>
      <c r="X117" s="197">
        <f t="shared" si="66"/>
        <v>1</v>
      </c>
      <c r="Y117" s="197">
        <f t="shared" si="62"/>
        <v>23.3034</v>
      </c>
      <c r="Z117" s="197">
        <f t="shared" si="63"/>
        <v>1.54E-2</v>
      </c>
      <c r="AA117" s="197">
        <f t="shared" si="48"/>
        <v>23.288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49"/>
        <v>204</v>
      </c>
      <c r="AE117" s="77" t="str">
        <f t="shared" si="50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17" s="74" t="str">
        <f t="shared" si="51"/>
        <v>"C:\Program Files (x86)\AstroGrep\AstroGrep.exe" /e /r /s /spath="%USERPROFILE%\AppData\Local\Temp\OnboardLogs" /stypes="app*4005*20170807*" /stext=" 00:.+((SYSTEM_STATE.+slice.+state.+changed )|(ment ac)|(multiple cpu faults)|(system.+state.+changed )|(\[timeout)|(PRM\|1\|D)|(kpr)|(kdp)|(train st.+moving)|(\|lc)|(penalty))"</v>
      </c>
      <c r="AG117" s="209" t="str">
        <f t="shared" si="52"/>
        <v>EC</v>
      </c>
      <c r="AH117" s="78" t="str">
        <f t="shared" si="55"/>
        <v>"%USERPROFILE%\Documents\GitHub\eaglep3\Utilities\RefineRTDCRunTimes.py" --tripid 204-06 --locoid 4005 --swversion DE.1.0.9.0 --startMP 204:233034 --initTime 2017-08-06T17:24:02 --startdatetime 2017-08-06T17:27:32 --delay 1 --endMP 204:154 --enddatetime 2017-08-06T18:08:33 --enforcementcount 0 &gt;&gt;C:\Users\stu\Documents\GitHub\eaglep3-reporting\EC\2017-08-06-refined-times.txt</v>
      </c>
      <c r="AI11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{"issue":{"subject":"","project_id":79,"tracker_id":40,"status_id":1,"priority_id":2,"assigned_to_id":23,"start_date":"2017-08-06","description":"","custom_fields":[{"id":1,"name":"Subdivision","value":"EC"},{"id":4,"name":"Milepost","value":"0.0154"},{"id":17,"name":"Train ID","value":"204-06"},{"id":16,"name":"Locomotive ID","value":"4005"},{"id":130,"name":"Impact","value":""},{"id":150,"name":"Time of Event (Mountain Time)","value":"18:08:33"},{"id":151,"name":"Denver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57"/>
        <v>start /low /b %USERPROFILE%\Documents\GitHub\eaglep3\Utilities\DownloadLogsFromS3.py --loco 4005 --day 2017-08-06</v>
      </c>
      <c r="AN117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655</v>
      </c>
      <c r="B118" s="7">
        <v>4004</v>
      </c>
      <c r="C118" s="21" t="s">
        <v>198</v>
      </c>
      <c r="D118" s="21" t="s">
        <v>452</v>
      </c>
      <c r="E118" s="13">
        <v>42953.696238425924</v>
      </c>
      <c r="F118" s="13">
        <v>42953.698518518519</v>
      </c>
      <c r="G118" s="7">
        <v>1</v>
      </c>
      <c r="H118" s="21" t="s">
        <v>520</v>
      </c>
      <c r="I118" s="13">
        <v>42953.724918981483</v>
      </c>
      <c r="J118" s="7">
        <v>0</v>
      </c>
      <c r="K118" s="89" t="str">
        <f t="shared" si="44"/>
        <v>4003/4004</v>
      </c>
      <c r="L118" s="21" t="str">
        <f>VLOOKUP(A118,'Trips&amp;Operators'!$C$1:$G$99999,5,FALSE)</f>
        <v>THOMPSON LESTER</v>
      </c>
      <c r="M118" s="6">
        <f t="shared" si="45"/>
        <v>2.6400462964375038E-2</v>
      </c>
      <c r="N118" s="7">
        <f t="shared" si="64"/>
        <v>38.016666668700054</v>
      </c>
      <c r="O118" s="7"/>
      <c r="P118" s="7"/>
      <c r="Q118" s="22"/>
      <c r="R118" s="170"/>
      <c r="S118" s="213">
        <f t="shared" si="65"/>
        <v>1</v>
      </c>
      <c r="T118" s="195" t="str">
        <f t="shared" si="46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47"/>
        <v>https://d0f6bd738d7f1b3e5a7ca70fe4ff75f0.us-east-1.aws.found.io/app/kibana#/discover/Steve-Slow-Train-Analysis-(2080s-and-2083s)?_g=(refreshInterval:(display:Off,pause:!f,section:0,value:0),time:(from:'2017-08-06T15:42:35-0600',mode:absolute,to:'2017-08-06T18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8" s="197" t="str">
        <f>IF(AA118&lt;VLOOKUP(AG118,Variables!$AC$3:$AD$8,2,FALSE),"Y","N")</f>
        <v>N</v>
      </c>
      <c r="X118" s="197">
        <f t="shared" si="66"/>
        <v>1</v>
      </c>
      <c r="Y118" s="197">
        <f t="shared" si="62"/>
        <v>4.5699999999999998E-2</v>
      </c>
      <c r="Z118" s="197">
        <f t="shared" si="63"/>
        <v>23.331800000000001</v>
      </c>
      <c r="AA118" s="197">
        <f t="shared" si="48"/>
        <v>23.286100000000001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49"/>
        <v>205</v>
      </c>
      <c r="AE118" s="77" t="str">
        <f t="shared" si="50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118" s="74" t="str">
        <f t="shared" si="51"/>
        <v>"C:\Program Files (x86)\AstroGrep\AstroGrep.exe" /e /r /s /spath="%USERPROFILE%\AppData\Local\Temp\OnboardLogs" /stypes="app*4004*20170806*" /stext=" 23:.+((SYSTEM_STATE.+slice.+state.+changed )|(ment ac)|(multiple cpu faults)|(system.+state.+changed )|(\[timeout)|(PRM\|1\|D)|(kpr)|(kdp)|(train st.+moving)|(\|lc)|(penalty))"</v>
      </c>
      <c r="AG118" s="209" t="str">
        <f t="shared" si="52"/>
        <v>EC</v>
      </c>
      <c r="AH118" s="78" t="str">
        <f t="shared" si="55"/>
        <v>"%USERPROFILE%\Documents\GitHub\eaglep3\Utilities\RefineRTDCRunTimes.py" --tripid 205-06 --locoid 4004 --swversion DE.1.0.9.0 --startMP 204:457 --initTime 2017-08-06T16:42:35 --startdatetime 2017-08-06T16:45:52 --delay 1 --endMP 204:233318 --enddatetime 2017-08-06T17:23:53 --enforcementcount 0 &gt;&gt;C:\Users\stu\Documents\GitHub\eaglep3-reporting\EC\2017-08-06-refined-times.txt</v>
      </c>
      <c r="AI11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{"issue":{"subject":"","project_id":79,"tracker_id":40,"status_id":1,"priority_id":2,"assigned_to_id":23,"start_date":"2017-08-06","description":"","custom_fields":[{"id":1,"name":"Subdivision","value":"EC"},{"id":4,"name":"Milepost","value":"23.3318"},{"id":17,"name":"Train ID","value":"205-06"},{"id":16,"name":"Locomotive ID","value":"4004"},{"id":130,"name":"Impact","value":""},{"id":150,"name":"Time of Event (Mountain Time)","value":"17:23:53"},{"id":151,"name":"Denver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57"/>
        <v>start /low /b %USERPROFILE%\Documents\GitHub\eaglep3\Utilities\DownloadLogsFromS3.py --loco 4004 --day 2017-08-06</v>
      </c>
      <c r="AN118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822</v>
      </c>
      <c r="B119" s="7">
        <v>4003</v>
      </c>
      <c r="C119" s="21" t="s">
        <v>198</v>
      </c>
      <c r="D119" s="21" t="s">
        <v>875</v>
      </c>
      <c r="E119" s="13">
        <v>42953.736250000002</v>
      </c>
      <c r="F119" s="13">
        <v>42953.738113425927</v>
      </c>
      <c r="G119" s="7">
        <v>1</v>
      </c>
      <c r="H119" s="21" t="s">
        <v>342</v>
      </c>
      <c r="I119" s="13">
        <v>42953.765706018516</v>
      </c>
      <c r="J119" s="7">
        <v>0</v>
      </c>
      <c r="K119" s="89" t="str">
        <f t="shared" si="44"/>
        <v>4003/4004</v>
      </c>
      <c r="L119" s="21" t="str">
        <f>VLOOKUP(A119,'Trips&amp;Operators'!$C$1:$G$99999,5,FALSE)</f>
        <v>THOMPSON LESTER</v>
      </c>
      <c r="M119" s="6">
        <f t="shared" si="45"/>
        <v>2.7592592588916887E-2</v>
      </c>
      <c r="N119" s="7">
        <f t="shared" si="64"/>
        <v>39.733333328040317</v>
      </c>
      <c r="O119" s="7"/>
      <c r="P119" s="7"/>
      <c r="Q119" s="22"/>
      <c r="R119" s="170"/>
      <c r="S119" s="213">
        <f t="shared" si="65"/>
        <v>1</v>
      </c>
      <c r="T119" s="195" t="str">
        <f t="shared" si="46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47"/>
        <v>https://d0f6bd738d7f1b3e5a7ca70fe4ff75f0.us-east-1.aws.found.io/app/kibana#/discover/Steve-Slow-Train-Analysis-(2080s-and-2083s)?_g=(refreshInterval:(display:Off,pause:!f,section:0,value:0),time:(from:'2017-08-06T16:40:12-0600',mode:absolute,to:'2017-08-06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9" s="197" t="str">
        <f>IF(AA119&lt;VLOOKUP(AG119,Variables!$AC$3:$AD$8,2,FALSE),"Y","N")</f>
        <v>N</v>
      </c>
      <c r="X119" s="197">
        <f t="shared" si="66"/>
        <v>1</v>
      </c>
      <c r="Y119" s="197">
        <f t="shared" si="62"/>
        <v>23.299399999999999</v>
      </c>
      <c r="Z119" s="197">
        <f t="shared" si="63"/>
        <v>1.49E-2</v>
      </c>
      <c r="AA119" s="197">
        <f t="shared" si="48"/>
        <v>23.284499999999998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49"/>
        <v>206</v>
      </c>
      <c r="AE119" s="77" t="str">
        <f t="shared" si="50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19" s="74" t="str">
        <f t="shared" si="51"/>
        <v>"C:\Program Files (x86)\AstroGrep\AstroGrep.exe" /e /r /s /spath="%USERPROFILE%\AppData\Local\Temp\OnboardLogs" /stypes="app*4003*20170807*" /stext=" 00:.+((SYSTEM_STATE.+slice.+state.+changed )|(ment ac)|(multiple cpu faults)|(system.+state.+changed )|(\[timeout)|(PRM\|1\|D)|(kpr)|(kdp)|(train st.+moving)|(\|lc)|(penalty))"</v>
      </c>
      <c r="AG119" s="209" t="str">
        <f t="shared" si="52"/>
        <v>EC</v>
      </c>
      <c r="AH119" s="78" t="str">
        <f t="shared" si="55"/>
        <v>"%USERPROFILE%\Documents\GitHub\eaglep3\Utilities\RefineRTDCRunTimes.py" --tripid 206-06 --locoid 4003 --swversion DE.1.0.9.0 --startMP 204:232994 --initTime 2017-08-06T17:40:12 --startdatetime 2017-08-06T17:42:53 --delay 1 --endMP 204:149 --enddatetime 2017-08-06T18:22:37 --enforcementcount 0 &gt;&gt;C:\Users\stu\Documents\GitHub\eaglep3-reporting\EC\2017-08-06-refined-times.txt</v>
      </c>
      <c r="AI119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{"issue":{"subject":"","project_id":79,"tracker_id":40,"status_id":1,"priority_id":2,"assigned_to_id":23,"start_date":"2017-08-06","description":"","custom_fields":[{"id":1,"name":"Subdivision","value":"EC"},{"id":4,"name":"Milepost","value":"0.0149"},{"id":17,"name":"Train ID","value":"206-06"},{"id":16,"name":"Locomotive ID","value":"4003"},{"id":130,"name":"Impact","value":""},{"id":150,"name":"Time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57"/>
        <v>start /low /b %USERPROFILE%\Documents\GitHub\eaglep3\Utilities\DownloadLogsFromS3.py --loco 4003 --day 2017-08-06</v>
      </c>
      <c r="AN119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814</v>
      </c>
      <c r="B120" s="7">
        <v>4066</v>
      </c>
      <c r="C120" s="21" t="s">
        <v>198</v>
      </c>
      <c r="D120" s="21" t="s">
        <v>615</v>
      </c>
      <c r="E120" s="13">
        <v>42953.704895833333</v>
      </c>
      <c r="F120" s="13">
        <v>42953.708807870367</v>
      </c>
      <c r="G120" s="7">
        <v>1</v>
      </c>
      <c r="H120" s="21" t="s">
        <v>873</v>
      </c>
      <c r="I120" s="13">
        <v>42953.733425925922</v>
      </c>
      <c r="J120" s="7">
        <v>0</v>
      </c>
      <c r="K120" s="89" t="str">
        <f t="shared" si="44"/>
        <v>4065/4066</v>
      </c>
      <c r="L120" s="21" t="str">
        <f>VLOOKUP(A120,'Trips&amp;Operators'!$C$1:$G$99999,5,FALSE)</f>
        <v>BRUDER RICHARD</v>
      </c>
      <c r="M120" s="6">
        <f t="shared" si="45"/>
        <v>2.4618055555038154E-2</v>
      </c>
      <c r="N120" s="7">
        <f t="shared" si="64"/>
        <v>35.449999999254942</v>
      </c>
      <c r="O120" s="7"/>
      <c r="P120" s="7"/>
      <c r="Q120" s="22"/>
      <c r="R120" s="170"/>
      <c r="S120" s="213">
        <f t="shared" si="65"/>
        <v>1</v>
      </c>
      <c r="T120" s="195" t="str">
        <f t="shared" si="46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47"/>
        <v>https://d0f6bd738d7f1b3e5a7ca70fe4ff75f0.us-east-1.aws.found.io/app/kibana#/discover/Steve-Slow-Train-Analysis-(2080s-and-2083s)?_g=(refreshInterval:(display:Off,pause:!f,section:0,value:0),time:(from:'2017-08-06T15:55:03-0600',mode:absolute,to:'2017-08-06T18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0" s="197" t="str">
        <f>IF(AA120&lt;VLOOKUP(AG120,Variables!$AC$3:$AD$8,2,FALSE),"Y","N")</f>
        <v>N</v>
      </c>
      <c r="X120" s="197">
        <f t="shared" si="66"/>
        <v>1</v>
      </c>
      <c r="Y120" s="197">
        <f t="shared" si="62"/>
        <v>4.7699999999999999E-2</v>
      </c>
      <c r="Z120" s="197">
        <f t="shared" si="63"/>
        <v>23.328499999999998</v>
      </c>
      <c r="AA120" s="197">
        <f t="shared" si="48"/>
        <v>23.280799999999999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49"/>
        <v>207</v>
      </c>
      <c r="AE120" s="77" t="str">
        <f t="shared" si="50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120" s="74" t="str">
        <f t="shared" si="51"/>
        <v>"C:\Program Files (x86)\AstroGrep\AstroGrep.exe" /e /r /s /spath="%USERPROFILE%\AppData\Local\Temp\OnboardLogs" /stypes="app*4066*20170806*" /stext=" 23:.+((SYSTEM_STATE.+slice.+state.+changed )|(ment ac)|(multiple cpu faults)|(system.+state.+changed )|(\[timeout)|(PRM\|1\|D)|(kpr)|(kdp)|(train st.+moving)|(\|lc)|(penalty))"</v>
      </c>
      <c r="AG120" s="209" t="str">
        <f t="shared" si="52"/>
        <v>EC</v>
      </c>
      <c r="AH120" s="78" t="str">
        <f t="shared" si="55"/>
        <v>"%USERPROFILE%\Documents\GitHub\eaglep3\Utilities\RefineRTDCRunTimes.py" --tripid 207-06 --locoid 4066 --swversion DE.1.0.9.0 --startMP 204:477 --initTime 2017-08-06T16:55:03 --startdatetime 2017-08-06T17:00:41 --delay 1 --endMP 204:233285 --enddatetime 2017-08-06T17:36:08 --enforcementcount 0 &gt;&gt;C:\Users\stu\Documents\GitHub\eaglep3-reporting\EC\2017-08-06-refined-times.txt</v>
      </c>
      <c r="AI12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{"issue":{"subject":"","project_id":79,"tracker_id":40,"status_id":1,"priority_id":2,"assigned_to_id":23,"start_date":"2017-08-06","description":"","custom_fields":[{"id":1,"name":"Subdivision","value":"EC"},{"id":4,"name":"Milepost","value":"23.3285"},{"id":17,"name":"Train ID","value":"207-06"},{"id":16,"name":"Locomotive ID","value":"4066"},{"id":130,"name":"Impact","value":""},{"id":150,"name":"Time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57"/>
        <v>start /low /b %USERPROFILE%\Documents\GitHub\eaglep3\Utilities\DownloadLogsFromS3.py --loco 4066 --day 2017-08-06</v>
      </c>
      <c r="AN120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825</v>
      </c>
      <c r="B121" s="7">
        <v>4065</v>
      </c>
      <c r="C121" s="21" t="s">
        <v>198</v>
      </c>
      <c r="D121" s="21" t="s">
        <v>978</v>
      </c>
      <c r="E121" s="13">
        <v>42953.745266203703</v>
      </c>
      <c r="F121" s="13">
        <v>42953.748101851852</v>
      </c>
      <c r="G121" s="7">
        <v>1</v>
      </c>
      <c r="H121" s="21" t="s">
        <v>979</v>
      </c>
      <c r="I121" s="13">
        <v>42953.774317129632</v>
      </c>
      <c r="J121" s="7">
        <v>0</v>
      </c>
      <c r="K121" s="89" t="str">
        <f t="shared" si="44"/>
        <v>4065/4066</v>
      </c>
      <c r="L121" s="21" t="str">
        <f>VLOOKUP(A121,'Trips&amp;Operators'!$C$1:$G$99999,5,FALSE)</f>
        <v>BRUDER RICHARD</v>
      </c>
      <c r="M121" s="6">
        <f t="shared" si="45"/>
        <v>2.6215277779556345E-2</v>
      </c>
      <c r="N121" s="7">
        <f t="shared" si="64"/>
        <v>37.750000002561137</v>
      </c>
      <c r="O121" s="7"/>
      <c r="P121" s="7"/>
      <c r="Q121" s="22"/>
      <c r="R121" s="170"/>
      <c r="S121" s="213">
        <f t="shared" si="65"/>
        <v>1</v>
      </c>
      <c r="T121" s="195" t="str">
        <f t="shared" si="46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47"/>
        <v>https://d0f6bd738d7f1b3e5a7ca70fe4ff75f0.us-east-1.aws.found.io/app/kibana#/discover/Steve-Slow-Train-Analysis-(2080s-and-2083s)?_g=(refreshInterval:(display:Off,pause:!f,section:0,value:0),time:(from:'2017-08-06T16:53:11-0600',mode:absolute,to:'2017-08-06T19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1" s="197" t="str">
        <f>IF(AA121&lt;VLOOKUP(AG121,Variables!$AC$3:$AD$8,2,FALSE),"Y","N")</f>
        <v>N</v>
      </c>
      <c r="X121" s="197">
        <f t="shared" si="66"/>
        <v>1</v>
      </c>
      <c r="Y121" s="197">
        <f t="shared" si="62"/>
        <v>23.299099999999999</v>
      </c>
      <c r="Z121" s="197">
        <f t="shared" si="63"/>
        <v>7.1999999999999998E-3</v>
      </c>
      <c r="AA121" s="197">
        <f t="shared" si="48"/>
        <v>23.291899999999998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49"/>
        <v>208</v>
      </c>
      <c r="AE121" s="77" t="str">
        <f t="shared" si="50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121" s="74" t="str">
        <f t="shared" si="51"/>
        <v>"C:\Program Files (x86)\AstroGrep\AstroGrep.exe" /e /r /s /spath="%USERPROFILE%\AppData\Local\Temp\OnboardLogs" /stypes="app*4065*20170807*" /stext=" 00:.+((SYSTEM_STATE.+slice.+state.+changed )|(ment ac)|(multiple cpu faults)|(system.+state.+changed )|(\[timeout)|(PRM\|1\|D)|(kpr)|(kdp)|(train st.+moving)|(\|lc)|(penalty))"</v>
      </c>
      <c r="AG121" s="209" t="str">
        <f t="shared" si="52"/>
        <v>EC</v>
      </c>
      <c r="AH121" s="78" t="str">
        <f t="shared" si="55"/>
        <v>"%USERPROFILE%\Documents\GitHub\eaglep3\Utilities\RefineRTDCRunTimes.py" --tripid 208-06 --locoid 4065 --swversion DE.1.0.9.0 --startMP 204:232991 --initTime 2017-08-06T17:53:11 --startdatetime 2017-08-06T17:57:16 --delay 1 --endMP 204:72 --enddatetime 2017-08-06T18:35:01 --enforcementcount 0 &gt;&gt;C:\Users\stu\Documents\GitHub\eaglep3-reporting\EC\2017-08-06-refined-times.txt</v>
      </c>
      <c r="AI12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{"issue":{"subject":"","project_id":79,"tracker_id":40,"status_id":1,"priority_id":2,"assigned_to_id":23,"start_date":"2017-08-06","description":"","custom_fields":[{"id":1,"name":"Subdivision","value":"EC"},{"id":4,"name":"Milepost","value":"0.0072"},{"id":17,"name":"Train ID","value":"208-06"},{"id":16,"name":"Locomotive ID","value":"4065"},{"id":130,"name":"Impact","value":""},{"id":150,"name":"Time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57"/>
        <v>start /low /b %USERPROFILE%\Documents\GitHub\eaglep3\Utilities\DownloadLogsFromS3.py --loco 4065 --day 2017-08-06</v>
      </c>
      <c r="AN121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815</v>
      </c>
      <c r="B122" s="7">
        <v>4032</v>
      </c>
      <c r="C122" s="21" t="s">
        <v>198</v>
      </c>
      <c r="D122" s="21" t="s">
        <v>376</v>
      </c>
      <c r="E122" s="13">
        <v>42953.714606481481</v>
      </c>
      <c r="F122" s="13">
        <v>42953.719282407408</v>
      </c>
      <c r="G122" s="7">
        <v>2</v>
      </c>
      <c r="H122" s="21" t="s">
        <v>453</v>
      </c>
      <c r="I122" s="13">
        <v>42953.744641203702</v>
      </c>
      <c r="J122" s="7">
        <v>0</v>
      </c>
      <c r="K122" s="89" t="str">
        <f t="shared" si="44"/>
        <v>4031/4032</v>
      </c>
      <c r="L122" s="21" t="str">
        <f>VLOOKUP(A122,'Trips&amp;Operators'!$C$1:$G$99999,5,FALSE)</f>
        <v>ZEWDU DEREJE</v>
      </c>
      <c r="M122" s="6">
        <f t="shared" si="45"/>
        <v>2.5358796294312924E-2</v>
      </c>
      <c r="N122" s="7">
        <f t="shared" si="64"/>
        <v>36.516666663810611</v>
      </c>
      <c r="O122" s="7"/>
      <c r="P122" s="7"/>
      <c r="Q122" s="22"/>
      <c r="R122" s="170"/>
      <c r="S122" s="213">
        <f t="shared" si="65"/>
        <v>1</v>
      </c>
      <c r="T122" s="195" t="str">
        <f t="shared" si="46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47"/>
        <v>https://d0f6bd738d7f1b3e5a7ca70fe4ff75f0.us-east-1.aws.found.io/app/kibana#/discover/Steve-Slow-Train-Analysis-(2080s-and-2083s)?_g=(refreshInterval:(display:Off,pause:!f,section:0,value:0),time:(from:'2017-08-06T16:09:02-0600',mode:absolute,to:'2017-08-06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197" t="str">
        <f>IF(AA122&lt;VLOOKUP(AG122,Variables!$AC$3:$AD$8,2,FALSE),"Y","N")</f>
        <v>N</v>
      </c>
      <c r="X122" s="197">
        <f t="shared" si="66"/>
        <v>1</v>
      </c>
      <c r="Y122" s="197">
        <f t="shared" si="62"/>
        <v>4.6199999999999998E-2</v>
      </c>
      <c r="Z122" s="197">
        <f t="shared" si="63"/>
        <v>23.331399999999999</v>
      </c>
      <c r="AA122" s="197">
        <f t="shared" si="48"/>
        <v>23.2852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49"/>
        <v>209</v>
      </c>
      <c r="AE122" s="77" t="str">
        <f t="shared" si="50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22" s="74" t="str">
        <f t="shared" si="51"/>
        <v>"C:\Program Files (x86)\AstroGrep\AstroGrep.exe" /e /r /s /spath="%USERPROFILE%\AppData\Local\Temp\OnboardLogs" /stypes="app*4032*20170806*" /stext=" 23:.+((SYSTEM_STATE.+slice.+state.+changed )|(ment ac)|(multiple cpu faults)|(system.+state.+changed )|(\[timeout)|(PRM\|1\|D)|(kpr)|(kdp)|(train st.+moving)|(\|lc)|(penalty))"</v>
      </c>
      <c r="AG122" s="209" t="str">
        <f t="shared" si="52"/>
        <v>EC</v>
      </c>
      <c r="AH122" s="78" t="str">
        <f t="shared" si="55"/>
        <v>"%USERPROFILE%\Documents\GitHub\eaglep3\Utilities\RefineRTDCRunTimes.py" --tripid 209-06 --locoid 4032 --swversion DE.1.0.9.0 --startMP 204:462 --initTime 2017-08-06T17:09:02 --startdatetime 2017-08-06T17:15:46 --delay 2 --endMP 204:233314 --enddatetime 2017-08-06T17:52:17 --enforcementcount 0 &gt;&gt;C:\Users\stu\Documents\GitHub\eaglep3-reporting\EC\2017-08-06-refined-times.txt</v>
      </c>
      <c r="AI12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{"issue":{"subject":"","project_id":79,"tracker_id":40,"status_id":1,"priority_id":2,"assigned_to_id":23,"start_date":"2017-08-06","description":"","custom_fields":[{"id":1,"name":"Subdivision","value":"EC"},{"id":4,"name":"Milepost","value":"23.3314"},{"id":17,"name":"Train ID","value":"209-06"},{"id":16,"name":"Locomotive ID","value":"4032"},{"id":130,"name":"Impact","value":""},{"id":150,"name":"Time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57"/>
        <v>start /low /b %USERPROFILE%\Documents\GitHub\eaglep3\Utilities\DownloadLogsFromS3.py --loco 4032 --day 2017-08-06</v>
      </c>
      <c r="AN122" s="151" t="str">
        <f t="shared" si="58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657</v>
      </c>
      <c r="B123" s="7">
        <v>4031</v>
      </c>
      <c r="C123" s="21" t="s">
        <v>198</v>
      </c>
      <c r="D123" s="21" t="s">
        <v>613</v>
      </c>
      <c r="E123" s="13">
        <v>42953.746979166666</v>
      </c>
      <c r="F123" s="13">
        <v>42953.758715277778</v>
      </c>
      <c r="G123" s="7">
        <v>1</v>
      </c>
      <c r="H123" s="21" t="s">
        <v>461</v>
      </c>
      <c r="I123" s="13">
        <v>42953.785324074073</v>
      </c>
      <c r="J123" s="7">
        <v>0</v>
      </c>
      <c r="K123" s="89" t="str">
        <f t="shared" si="44"/>
        <v>4031/4032</v>
      </c>
      <c r="L123" s="21" t="str">
        <f>VLOOKUP(A123,'Trips&amp;Operators'!$C$1:$G$99999,5,FALSE)</f>
        <v>ZEWDU DEREJE</v>
      </c>
      <c r="M123" s="6">
        <f t="shared" si="45"/>
        <v>2.6608796295477077E-2</v>
      </c>
      <c r="N123" s="7">
        <f t="shared" si="64"/>
        <v>38.316666665486991</v>
      </c>
      <c r="O123" s="7"/>
      <c r="P123" s="7"/>
      <c r="Q123" s="22"/>
      <c r="R123" s="170"/>
      <c r="S123" s="213">
        <f t="shared" si="65"/>
        <v>1</v>
      </c>
      <c r="T123" s="195" t="str">
        <f t="shared" si="46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47"/>
        <v>https://d0f6bd738d7f1b3e5a7ca70fe4ff75f0.us-east-1.aws.found.io/app/kibana#/discover/Steve-Slow-Train-Analysis-(2080s-and-2083s)?_g=(refreshInterval:(display:Off,pause:!f,section:0,value:0),time:(from:'2017-08-06T16:55:39-0600',mode:absolute,to:'2017-08-06T19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3" s="197" t="str">
        <f>IF(AA123&lt;VLOOKUP(AG123,Variables!$AC$3:$AD$8,2,FALSE),"Y","N")</f>
        <v>N</v>
      </c>
      <c r="X123" s="197">
        <f t="shared" si="66"/>
        <v>1</v>
      </c>
      <c r="Y123" s="197">
        <f t="shared" si="62"/>
        <v>23.298200000000001</v>
      </c>
      <c r="Z123" s="197">
        <f t="shared" si="63"/>
        <v>1.67E-2</v>
      </c>
      <c r="AA123" s="197">
        <f t="shared" si="48"/>
        <v>23.281500000000001</v>
      </c>
      <c r="AB123" s="54" t="str">
        <f>VLOOKUP(A123,Enforcements!$C$7:$K$12,8,0)</f>
        <v>Bulletin (2)</v>
      </c>
      <c r="AC123" s="51" t="str">
        <f>VLOOKUP(A123,Enforcements!$C$7:$E$12,3,0)</f>
        <v>GRADE CROSSING</v>
      </c>
      <c r="AD123" s="206">
        <f t="shared" si="49"/>
        <v>210</v>
      </c>
      <c r="AE123" s="77" t="str">
        <f t="shared" si="50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23" s="74" t="str">
        <f t="shared" si="51"/>
        <v>"C:\Program Files (x86)\AstroGrep\AstroGrep.exe" /e /r /s /spath="%USERPROFILE%\AppData\Local\Temp\OnboardLogs" /stypes="app*4031*20170807*" /stext=" 00:.+((SYSTEM_STATE.+slice.+state.+changed )|(ment ac)|(multiple cpu faults)|(system.+state.+changed )|(\[timeout)|(PRM\|1\|D)|(kpr)|(kdp)|(train st.+moving)|(\|lc)|(penalty))"</v>
      </c>
      <c r="AG123" s="209" t="str">
        <f t="shared" si="52"/>
        <v>EC</v>
      </c>
      <c r="AH123" s="78" t="str">
        <f t="shared" si="55"/>
        <v>"%USERPROFILE%\Documents\GitHub\eaglep3\Utilities\RefineRTDCRunTimes.py" --tripid 210-06 --locoid 4031 --swversion DE.1.0.9.0 --startMP 204:232982 --initTime 2017-08-06T17:55:39 --startdatetime 2017-08-06T18:12:33 --delay 1 --endMP 204:167 --enddatetime 2017-08-06T18:50:52 --enforcementcount 0 &gt;&gt;C:\Users\stu\Documents\GitHub\eaglep3-reporting\EC\2017-08-06-refined-times.txt</v>
      </c>
      <c r="AI12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{"issue":{"subject":"","project_id":79,"tracker_id":40,"status_id":1,"priority_id":2,"assigned_to_id":23,"start_date":"2017-08-06","description":"","custom_fields":[{"id":1,"name":"Subdivision","value":"EC"},{"id":4,"name":"Milepost","value":"0.0167"},{"id":17,"name":"Train ID","value":"210-06"},{"id":16,"name":"Locomotive ID","value":"4031"},{"id":130,"name":"Impact","value":""},{"id":150,"name":"Time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57"/>
        <v>start /low /b %USERPROFILE%\Documents\GitHub\eaglep3\Utilities\DownloadLogsFromS3.py --loco 4031 --day 2017-08-06</v>
      </c>
      <c r="AN123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819</v>
      </c>
      <c r="B124" s="7">
        <v>4002</v>
      </c>
      <c r="C124" s="21" t="s">
        <v>198</v>
      </c>
      <c r="D124" s="21" t="s">
        <v>569</v>
      </c>
      <c r="E124" s="13">
        <v>42953.725486111114</v>
      </c>
      <c r="F124" s="13">
        <v>42953.729687500003</v>
      </c>
      <c r="G124" s="7">
        <v>1</v>
      </c>
      <c r="H124" s="21" t="s">
        <v>561</v>
      </c>
      <c r="I124" s="13">
        <v>42953.753784722219</v>
      </c>
      <c r="J124" s="7">
        <v>0</v>
      </c>
      <c r="K124" s="89" t="str">
        <f t="shared" si="44"/>
        <v>4001/4002</v>
      </c>
      <c r="L124" s="21" t="str">
        <f>VLOOKUP(A124,'Trips&amp;Operators'!$C$1:$G$99999,5,FALSE)</f>
        <v>DELGADO DIANAH</v>
      </c>
      <c r="M124" s="6">
        <f t="shared" si="45"/>
        <v>2.4097222216369119E-2</v>
      </c>
      <c r="N124" s="7">
        <f t="shared" si="64"/>
        <v>34.699999991571531</v>
      </c>
      <c r="O124" s="7"/>
      <c r="P124" s="7"/>
      <c r="Q124" s="22"/>
      <c r="R124" s="170"/>
      <c r="S124" s="213">
        <f t="shared" si="65"/>
        <v>1</v>
      </c>
      <c r="T124" s="195" t="str">
        <f t="shared" si="46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47"/>
        <v>https://d0f6bd738d7f1b3e5a7ca70fe4ff75f0.us-east-1.aws.found.io/app/kibana#/discover/Steve-Slow-Train-Analysis-(2080s-and-2083s)?_g=(refreshInterval:(display:Off,pause:!f,section:0,value:0),time:(from:'2017-08-06T16:24:42-0600',mode:absolute,to:'2017-08-06T19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97" t="str">
        <f>IF(AA124&lt;VLOOKUP(AG124,Variables!$AC$3:$AD$8,2,FALSE),"Y","N")</f>
        <v>N</v>
      </c>
      <c r="X124" s="197">
        <f t="shared" si="66"/>
        <v>1</v>
      </c>
      <c r="Y124" s="197">
        <f t="shared" si="62"/>
        <v>4.7800000000000002E-2</v>
      </c>
      <c r="Z124" s="197">
        <f t="shared" si="63"/>
        <v>23.339300000000001</v>
      </c>
      <c r="AA124" s="197">
        <f t="shared" si="48"/>
        <v>23.291500000000003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49"/>
        <v>211</v>
      </c>
      <c r="AE124" s="77" t="str">
        <f t="shared" si="50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124" s="74" t="str">
        <f t="shared" si="51"/>
        <v>"C:\Program Files (x86)\AstroGrep\AstroGrep.exe" /e /r /s /spath="%USERPROFILE%\AppData\Local\Temp\OnboardLogs" /stypes="app*4002*20170807*" /stext=" 00:.+((SYSTEM_STATE.+slice.+state.+changed )|(ment ac)|(multiple cpu faults)|(system.+state.+changed )|(\[timeout)|(PRM\|1\|D)|(kpr)|(kdp)|(train st.+moving)|(\|lc)|(penalty))"</v>
      </c>
      <c r="AG124" s="209" t="str">
        <f t="shared" si="52"/>
        <v>EC</v>
      </c>
      <c r="AH124" s="78" t="str">
        <f t="shared" si="55"/>
        <v>"%USERPROFILE%\Documents\GitHub\eaglep3\Utilities\RefineRTDCRunTimes.py" --tripid 211-06 --locoid 4002 --swversion DE.1.0.9.0 --startMP 204:478 --initTime 2017-08-06T17:24:42 --startdatetime 2017-08-06T17:30:45 --delay 1 --endMP 204:233393 --enddatetime 2017-08-06T18:05:27 --enforcementcount 0 &gt;&gt;C:\Users\stu\Documents\GitHub\eaglep3-reporting\EC\2017-08-06-refined-times.txt</v>
      </c>
      <c r="AI12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{"issue":{"subject":"","project_id":79,"tracker_id":40,"status_id":1,"priority_id":2,"assigned_to_id":23,"start_date":"2017-08-06","description":"","custom_fields":[{"id":1,"name":"Subdivision","value":"EC"},{"id":4,"name":"Milepost","value":"23.3393"},{"id":17,"name":"Train ID","value":"211-06"},{"id":16,"name":"Locomotive ID","value":"4002"},{"id":130,"name":"Impact","value":""},{"id":150,"name":"Time of Event (Mountain Time)","value":"18:05:27"},{"id":151,"name":"Denver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57"/>
        <v>start /low /b %USERPROFILE%\Documents\GitHub\eaglep3\Utilities\DownloadLogsFromS3.py --loco 4002 --day 2017-08-06</v>
      </c>
      <c r="AN124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827</v>
      </c>
      <c r="B125" s="7">
        <v>4001</v>
      </c>
      <c r="C125" s="21" t="s">
        <v>198</v>
      </c>
      <c r="D125" s="21" t="s">
        <v>980</v>
      </c>
      <c r="E125" s="13">
        <v>42953.755648148152</v>
      </c>
      <c r="F125" s="13">
        <v>42953.768946759257</v>
      </c>
      <c r="G125" s="7">
        <v>1</v>
      </c>
      <c r="H125" s="21" t="s">
        <v>517</v>
      </c>
      <c r="I125" s="13">
        <v>42953.794247685182</v>
      </c>
      <c r="J125" s="7">
        <v>0</v>
      </c>
      <c r="K125" s="89" t="str">
        <f t="shared" si="44"/>
        <v>4001/4002</v>
      </c>
      <c r="L125" s="21" t="str">
        <f>VLOOKUP(A125,'Trips&amp;Operators'!$C$1:$G$99999,5,FALSE)</f>
        <v>DELGADO DIANAH</v>
      </c>
      <c r="M125" s="6">
        <f t="shared" si="45"/>
        <v>2.5300925924966577E-2</v>
      </c>
      <c r="N125" s="7">
        <f t="shared" si="64"/>
        <v>36.433333331951872</v>
      </c>
      <c r="O125" s="7"/>
      <c r="P125" s="7"/>
      <c r="Q125" s="22"/>
      <c r="R125" s="170"/>
      <c r="S125" s="213">
        <f t="shared" si="65"/>
        <v>1</v>
      </c>
      <c r="T125" s="195" t="str">
        <f t="shared" si="46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47"/>
        <v>https://d0f6bd738d7f1b3e5a7ca70fe4ff75f0.us-east-1.aws.found.io/app/kibana#/discover/Steve-Slow-Train-Analysis-(2080s-and-2083s)?_g=(refreshInterval:(display:Off,pause:!f,section:0,value:0),time:(from:'2017-08-06T17:08:08-0600',mode:absolute,to:'2017-08-06T20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97" t="str">
        <f>IF(AA125&lt;VLOOKUP(AG125,Variables!$AC$3:$AD$8,2,FALSE),"Y","N")</f>
        <v>N</v>
      </c>
      <c r="X125" s="197">
        <f t="shared" si="66"/>
        <v>1</v>
      </c>
      <c r="Y125" s="197">
        <f t="shared" si="62"/>
        <v>23.3081</v>
      </c>
      <c r="Z125" s="197">
        <f t="shared" si="63"/>
        <v>1.6E-2</v>
      </c>
      <c r="AA125" s="197">
        <f t="shared" si="48"/>
        <v>23.292100000000001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49"/>
        <v>212</v>
      </c>
      <c r="AE125" s="77" t="str">
        <f t="shared" si="50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125" s="74" t="str">
        <f t="shared" si="51"/>
        <v>"C:\Program Files (x86)\AstroGrep\AstroGrep.exe" /e /r /s /spath="%USERPROFILE%\AppData\Local\Temp\OnboardLogs" /stypes="app*4001*20170807*" /stext=" 01:.+((SYSTEM_STATE.+slice.+state.+changed )|(ment ac)|(multiple cpu faults)|(system.+state.+changed )|(\[timeout)|(PRM\|1\|D)|(kpr)|(kdp)|(train st.+moving)|(\|lc)|(penalty))"</v>
      </c>
      <c r="AG125" s="209" t="str">
        <f t="shared" si="52"/>
        <v>EC</v>
      </c>
      <c r="AH125" s="78" t="str">
        <f t="shared" si="55"/>
        <v>"%USERPROFILE%\Documents\GitHub\eaglep3\Utilities\RefineRTDCRunTimes.py" --tripid 212-06 --locoid 4001 --swversion DE.1.0.9.0 --startMP 204:233081 --initTime 2017-08-06T18:08:08 --startdatetime 2017-08-06T18:27:17 --delay 1 --endMP 204:160 --enddatetime 2017-08-06T19:03:43 --enforcementcount 0 &gt;&gt;C:\Users\stu\Documents\GitHub\eaglep3-reporting\EC\2017-08-06-refined-times.txt</v>
      </c>
      <c r="AI12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{"issue":{"subject":"","project_id":79,"tracker_id":40,"status_id":1,"priority_id":2,"assigned_to_id":23,"start_date":"2017-08-06","description":"","custom_fields":[{"id":1,"name":"Subdivision","value":"EC"},{"id":4,"name":"Milepost","value":"0.016"},{"id":17,"name":"Train ID","value":"212-06"},{"id":16,"name":"Locomotive ID","value":"4001"},{"id":130,"name":"Impact","value":""},{"id":150,"name":"Time of Event (Mountain Time)","value":"19:03:43"},{"id":151,"name":"Denver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57"/>
        <v>start /low /b %USERPROFILE%\Documents\GitHub\eaglep3\Utilities\DownloadLogsFromS3.py --loco 4001 --day 2017-08-06</v>
      </c>
      <c r="AN125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821</v>
      </c>
      <c r="B126" s="7">
        <v>4044</v>
      </c>
      <c r="C126" s="21" t="s">
        <v>198</v>
      </c>
      <c r="D126" s="21" t="s">
        <v>376</v>
      </c>
      <c r="E126" s="13">
        <v>42953.734780092593</v>
      </c>
      <c r="F126" s="13">
        <v>42953.740115740744</v>
      </c>
      <c r="G126" s="7">
        <v>1</v>
      </c>
      <c r="H126" s="21" t="s">
        <v>981</v>
      </c>
      <c r="I126" s="13">
        <v>42953.765092592592</v>
      </c>
      <c r="J126" s="7">
        <v>0</v>
      </c>
      <c r="K126" s="89" t="str">
        <f t="shared" si="44"/>
        <v>4043/4044</v>
      </c>
      <c r="L126" s="21" t="str">
        <f>VLOOKUP(A126,'Trips&amp;Operators'!$C$1:$G$99999,5,FALSE)</f>
        <v>SMITH MICHAEL</v>
      </c>
      <c r="M126" s="6">
        <f t="shared" si="45"/>
        <v>2.4976851847895887E-2</v>
      </c>
      <c r="N126" s="7">
        <f t="shared" si="64"/>
        <v>35.966666660970077</v>
      </c>
      <c r="O126" s="7"/>
      <c r="P126" s="7"/>
      <c r="Q126" s="22"/>
      <c r="R126" s="170"/>
      <c r="S126" s="213">
        <f t="shared" si="65"/>
        <v>1</v>
      </c>
      <c r="T126" s="195" t="str">
        <f t="shared" si="46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47"/>
        <v>https://d0f6bd738d7f1b3e5a7ca70fe4ff75f0.us-east-1.aws.found.io/app/kibana#/discover/Steve-Slow-Train-Analysis-(2080s-and-2083s)?_g=(refreshInterval:(display:Off,pause:!f,section:0,value:0),time:(from:'2017-08-06T16:38:05-0600',mode:absolute,to:'2017-08-06T19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6" s="197" t="str">
        <f>IF(AA126&lt;VLOOKUP(AG126,Variables!$AC$3:$AD$8,2,FALSE),"Y","N")</f>
        <v>N</v>
      </c>
      <c r="X126" s="197">
        <f t="shared" si="66"/>
        <v>1</v>
      </c>
      <c r="Y126" s="197">
        <f t="shared" si="62"/>
        <v>4.6199999999999998E-2</v>
      </c>
      <c r="Z126" s="197">
        <f t="shared" si="63"/>
        <v>23.329899999999999</v>
      </c>
      <c r="AA126" s="197">
        <f t="shared" si="48"/>
        <v>23.2837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49"/>
        <v>213</v>
      </c>
      <c r="AE126" s="77" t="str">
        <f t="shared" si="50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26" s="74" t="str">
        <f t="shared" si="51"/>
        <v>"C:\Program Files (x86)\AstroGrep\AstroGrep.exe" /e /r /s /spath="%USERPROFILE%\AppData\Local\Temp\OnboardLogs" /stypes="app*4044*20170807*" /stext=" 00:.+((SYSTEM_STATE.+slice.+state.+changed )|(ment ac)|(multiple cpu faults)|(system.+state.+changed )|(\[timeout)|(PRM\|1\|D)|(kpr)|(kdp)|(train st.+moving)|(\|lc)|(penalty))"</v>
      </c>
      <c r="AG126" s="209" t="str">
        <f t="shared" si="52"/>
        <v>EC</v>
      </c>
      <c r="AH126" s="78" t="str">
        <f t="shared" si="55"/>
        <v>"%USERPROFILE%\Documents\GitHub\eaglep3\Utilities\RefineRTDCRunTimes.py" --tripid 213-06 --locoid 4044 --swversion DE.1.0.9.0 --startMP 204:462 --initTime 2017-08-06T17:38:05 --startdatetime 2017-08-06T17:45:46 --delay 1 --endMP 204:233299 --enddatetime 2017-08-06T18:21:44 --enforcementcount 0 &gt;&gt;C:\Users\stu\Documents\GitHub\eaglep3-reporting\EC\2017-08-06-refined-times.txt</v>
      </c>
      <c r="AI12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{"issue":{"subject":"","project_id":79,"tracker_id":40,"status_id":1,"priority_id":2,"assigned_to_id":23,"start_date":"2017-08-06","description":"","custom_fields":[{"id":1,"name":"Subdivision","value":"EC"},{"id":4,"name":"Milepost","value":"23.3299"},{"id":17,"name":"Train ID","value":"213-06"},{"id":16,"name":"Locomotive ID","value":"4044"},{"id":130,"name":"Impact","value":""},{"id":150,"name":"Time of Event (Mountain Time)","value":"18:21:44"},{"id":151,"name":"Denver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57"/>
        <v>start /low /b %USERPROFILE%\Documents\GitHub\eaglep3\Utilities\DownloadLogsFromS3.py --loco 4044 --day 2017-08-06</v>
      </c>
      <c r="AN126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830</v>
      </c>
      <c r="B127" s="7">
        <v>4043</v>
      </c>
      <c r="C127" s="21" t="s">
        <v>198</v>
      </c>
      <c r="D127" s="21" t="s">
        <v>969</v>
      </c>
      <c r="E127" s="13">
        <v>42953.771099537036</v>
      </c>
      <c r="F127" s="13">
        <v>42953.779409722221</v>
      </c>
      <c r="G127" s="7">
        <v>1</v>
      </c>
      <c r="H127" s="21" t="s">
        <v>505</v>
      </c>
      <c r="I127" s="13">
        <v>42953.805567129632</v>
      </c>
      <c r="J127" s="7">
        <v>0</v>
      </c>
      <c r="K127" s="89" t="str">
        <f t="shared" si="44"/>
        <v>4043/4044</v>
      </c>
      <c r="L127" s="21" t="str">
        <f>VLOOKUP(A127,'Trips&amp;Operators'!$C$1:$G$99999,5,FALSE)</f>
        <v>SMITH MICHAEL</v>
      </c>
      <c r="M127" s="6">
        <f t="shared" si="45"/>
        <v>2.6157407410209998E-2</v>
      </c>
      <c r="N127" s="7">
        <f t="shared" si="64"/>
        <v>37.666666670702398</v>
      </c>
      <c r="O127" s="7"/>
      <c r="P127" s="7"/>
      <c r="Q127" s="22"/>
      <c r="R127" s="170"/>
      <c r="S127" s="213">
        <f t="shared" si="65"/>
        <v>1</v>
      </c>
      <c r="T127" s="195" t="str">
        <f t="shared" si="46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47"/>
        <v>https://d0f6bd738d7f1b3e5a7ca70fe4ff75f0.us-east-1.aws.found.io/app/kibana#/discover/Steve-Slow-Train-Analysis-(2080s-and-2083s)?_g=(refreshInterval:(display:Off,pause:!f,section:0,value:0),time:(from:'2017-08-06T17:30:23-0600',mode:absolute,to:'2017-08-06T20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7" s="197" t="str">
        <f>IF(AA127&lt;VLOOKUP(AG127,Variables!$AC$3:$AD$8,2,FALSE),"Y","N")</f>
        <v>N</v>
      </c>
      <c r="X127" s="197">
        <f t="shared" si="66"/>
        <v>1</v>
      </c>
      <c r="Y127" s="197">
        <f t="shared" si="62"/>
        <v>23.297999999999998</v>
      </c>
      <c r="Z127" s="197">
        <f t="shared" si="63"/>
        <v>1.32E-2</v>
      </c>
      <c r="AA127" s="197">
        <f t="shared" si="48"/>
        <v>23.284799999999997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49"/>
        <v>214</v>
      </c>
      <c r="AE127" s="77" t="str">
        <f t="shared" si="50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27" s="74" t="str">
        <f t="shared" si="51"/>
        <v>"C:\Program Files (x86)\AstroGrep\AstroGrep.exe" /e /r /s /spath="%USERPROFILE%\AppData\Local\Temp\OnboardLogs" /stypes="app*4043*20170807*" /stext=" 01:.+((SYSTEM_STATE.+slice.+state.+changed )|(ment ac)|(multiple cpu faults)|(system.+state.+changed )|(\[timeout)|(PRM\|1\|D)|(kpr)|(kdp)|(train st.+moving)|(\|lc)|(penalty))"</v>
      </c>
      <c r="AG127" s="209" t="str">
        <f t="shared" si="52"/>
        <v>EC</v>
      </c>
      <c r="AH127" s="78" t="str">
        <f t="shared" si="55"/>
        <v>"%USERPROFILE%\Documents\GitHub\eaglep3\Utilities\RefineRTDCRunTimes.py" --tripid 214-06 --locoid 4043 --swversion DE.1.0.9.0 --startMP 204:232980 --initTime 2017-08-06T18:30:23 --startdatetime 2017-08-06T18:42:21 --delay 1 --endMP 204:132 --enddatetime 2017-08-06T19:20:01 --enforcementcount 0 &gt;&gt;C:\Users\stu\Documents\GitHub\eaglep3-reporting\EC\2017-08-06-refined-times.txt</v>
      </c>
      <c r="AI12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{"issue":{"subject":"","project_id":79,"tracker_id":40,"status_id":1,"priority_id":2,"assigned_to_id":23,"start_date":"2017-08-06","description":"","custom_fields":[{"id":1,"name":"Subdivision","value":"EC"},{"id":4,"name":"Milepost","value":"0.0132"},{"id":17,"name":"Train ID","value":"214-06"},{"id":16,"name":"Locomotive ID","value":"4043"},{"id":130,"name":"Impact","value":""},{"id":150,"name":"Time of Event (Mountain Time)","value":"19:20:01"},{"id":151,"name":"Denver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57"/>
        <v>start /low /b %USERPROFILE%\Documents\GitHub\eaglep3\Utilities\DownloadLogsFromS3.py --loco 4043 --day 2017-08-06</v>
      </c>
      <c r="AN127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826</v>
      </c>
      <c r="B128" s="7">
        <v>4030</v>
      </c>
      <c r="C128" s="21" t="s">
        <v>198</v>
      </c>
      <c r="D128" s="21" t="s">
        <v>982</v>
      </c>
      <c r="E128" s="13">
        <v>42953.745370370372</v>
      </c>
      <c r="F128" s="13">
        <v>42953.750567129631</v>
      </c>
      <c r="G128" s="7">
        <v>1</v>
      </c>
      <c r="H128" s="21" t="s">
        <v>983</v>
      </c>
      <c r="I128" s="13">
        <v>42953.775081018517</v>
      </c>
      <c r="J128" s="7">
        <v>0</v>
      </c>
      <c r="K128" s="89" t="str">
        <f t="shared" si="44"/>
        <v>4029/4030</v>
      </c>
      <c r="L128" s="21" t="str">
        <f>VLOOKUP(A128,'Trips&amp;Operators'!$C$1:$G$99999,5,FALSE)</f>
        <v>MCREYNOLDS KYLE</v>
      </c>
      <c r="M128" s="6">
        <f t="shared" si="45"/>
        <v>2.4513888885849155E-2</v>
      </c>
      <c r="N128" s="7">
        <f t="shared" si="64"/>
        <v>35.299999995622784</v>
      </c>
      <c r="O128" s="7"/>
      <c r="P128" s="7"/>
      <c r="Q128" s="22"/>
      <c r="R128" s="170"/>
      <c r="S128" s="213">
        <f t="shared" si="65"/>
        <v>1</v>
      </c>
      <c r="T128" s="195" t="str">
        <f t="shared" si="46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47"/>
        <v>https://d0f6bd738d7f1b3e5a7ca70fe4ff75f0.us-east-1.aws.found.io/app/kibana#/discover/Steve-Slow-Train-Analysis-(2080s-and-2083s)?_g=(refreshInterval:(display:Off,pause:!f,section:0,value:0),time:(from:'2017-08-06T16:53:20-0600',mode:absolute,to:'2017-08-06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97" t="str">
        <f>IF(AA128&lt;VLOOKUP(AG128,Variables!$AC$3:$AD$8,2,FALSE),"Y","N")</f>
        <v>N</v>
      </c>
      <c r="X128" s="197">
        <f t="shared" si="66"/>
        <v>1</v>
      </c>
      <c r="Y128" s="197">
        <f t="shared" si="62"/>
        <v>4.24E-2</v>
      </c>
      <c r="Z128" s="197">
        <f t="shared" si="63"/>
        <v>23.338699999999999</v>
      </c>
      <c r="AA128" s="197">
        <f t="shared" si="48"/>
        <v>23.296299999999999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49"/>
        <v>215</v>
      </c>
      <c r="AE128" s="77" t="str">
        <f t="shared" si="50"/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AF128" s="74" t="str">
        <f t="shared" si="51"/>
        <v>"C:\Program Files (x86)\AstroGrep\AstroGrep.exe" /e /r /s /spath="%USERPROFILE%\AppData\Local\Temp\OnboardLogs" /stypes="app*4030*20170807*" /stext=" 00:.+((SYSTEM_STATE.+slice.+state.+changed )|(ment ac)|(multiple cpu faults)|(system.+state.+changed )|(\[timeout)|(PRM\|1\|D)|(kpr)|(kdp)|(train st.+moving)|(\|lc)|(penalty))"</v>
      </c>
      <c r="AG128" s="209" t="str">
        <f t="shared" si="52"/>
        <v>EC</v>
      </c>
      <c r="AH128" s="78" t="str">
        <f t="shared" si="55"/>
        <v>"%USERPROFILE%\Documents\GitHub\eaglep3\Utilities\RefineRTDCRunTimes.py" --tripid 215-06 --locoid 4030 --swversion DE.1.0.9.0 --startMP 204:424 --initTime 2017-08-06T17:53:20 --startdatetime 2017-08-06T18:00:49 --delay 1 --endMP 204:233387 --enddatetime 2017-08-06T18:36:07 --enforcementcount 0 &gt;&gt;C:\Users\stu\Documents\GitHub\eaglep3-reporting\EC\2017-08-06-refined-times.txt</v>
      </c>
      <c r="AI12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{"issue":{"subject":"","project_id":79,"tracker_id":40,"status_id":1,"priority_id":2,"assigned_to_id":23,"start_date":"2017-08-06","description":"","custom_fields":[{"id":1,"name":"Subdivision","value":"EC"},{"id":4,"name":"Milepost","value":"23.3387"},{"id":17,"name":"Train ID","value":"215-06"},{"id":16,"name":"Locomotive ID","value":"4030"},{"id":130,"name":"Impact","value":""},{"id":150,"name":"Time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57"/>
        <v>start /low /b %USERPROFILE%\Documents\GitHub\eaglep3\Utilities\DownloadLogsFromS3.py --loco 4030 --day 2017-08-06</v>
      </c>
      <c r="AN128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833</v>
      </c>
      <c r="B129" s="7">
        <v>4029</v>
      </c>
      <c r="C129" s="21" t="s">
        <v>198</v>
      </c>
      <c r="D129" s="21" t="s">
        <v>984</v>
      </c>
      <c r="E129" s="13">
        <v>42953.783136574071</v>
      </c>
      <c r="F129" s="13">
        <v>42953.78974537037</v>
      </c>
      <c r="G129" s="7">
        <v>1</v>
      </c>
      <c r="H129" s="21" t="s">
        <v>522</v>
      </c>
      <c r="I129" s="13">
        <v>42953.815983796296</v>
      </c>
      <c r="J129" s="7">
        <v>0</v>
      </c>
      <c r="K129" s="89" t="str">
        <f t="shared" si="44"/>
        <v>4029/4030</v>
      </c>
      <c r="L129" s="21" t="str">
        <f>VLOOKUP(A129,'Trips&amp;Operators'!$C$1:$G$99999,5,FALSE)</f>
        <v>MCREYNOLDS KYLE</v>
      </c>
      <c r="M129" s="6">
        <f t="shared" si="45"/>
        <v>2.6238425925839692E-2</v>
      </c>
      <c r="N129" s="7">
        <f t="shared" si="64"/>
        <v>37.783333333209157</v>
      </c>
      <c r="O129" s="7"/>
      <c r="P129" s="7"/>
      <c r="Q129" s="22"/>
      <c r="R129" s="170"/>
      <c r="S129" s="213">
        <f t="shared" si="65"/>
        <v>1</v>
      </c>
      <c r="T129" s="195" t="str">
        <f t="shared" si="46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47"/>
        <v>https://d0f6bd738d7f1b3e5a7ca70fe4ff75f0.us-east-1.aws.found.io/app/kibana#/discover/Steve-Slow-Train-Analysis-(2080s-and-2083s)?_g=(refreshInterval:(display:Off,pause:!f,section:0,value:0),time:(from:'2017-08-06T17:47:43-0600',mode:absolute,to:'2017-08-06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9" s="197" t="str">
        <f>IF(AA129&lt;VLOOKUP(AG129,Variables!$AC$3:$AD$8,2,FALSE),"Y","N")</f>
        <v>N</v>
      </c>
      <c r="X129" s="197">
        <f t="shared" si="66"/>
        <v>1</v>
      </c>
      <c r="Y129" s="197">
        <f t="shared" si="62"/>
        <v>23.312100000000001</v>
      </c>
      <c r="Z129" s="197">
        <f t="shared" si="63"/>
        <v>1.6299999999999999E-2</v>
      </c>
      <c r="AA129" s="197">
        <f t="shared" si="48"/>
        <v>23.2958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49"/>
        <v>216</v>
      </c>
      <c r="AE129" s="77" t="str">
        <f t="shared" si="50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129" s="74" t="str">
        <f t="shared" si="51"/>
        <v>"C:\Program Files (x86)\AstroGrep\AstroGrep.exe" /e /r /s /spath="%USERPROFILE%\AppData\Local\Temp\OnboardLogs" /stypes="app*4029*20170807*" /stext=" 01:.+((SYSTEM_STATE.+slice.+state.+changed )|(ment ac)|(multiple cpu faults)|(system.+state.+changed )|(\[timeout)|(PRM\|1\|D)|(kpr)|(kdp)|(train st.+moving)|(\|lc)|(penalty))"</v>
      </c>
      <c r="AG129" s="209" t="str">
        <f t="shared" si="52"/>
        <v>EC</v>
      </c>
      <c r="AH129" s="78" t="str">
        <f t="shared" si="55"/>
        <v>"%USERPROFILE%\Documents\GitHub\eaglep3\Utilities\RefineRTDCRunTimes.py" --tripid 216-06 --locoid 4029 --swversion DE.1.0.9.0 --startMP 204:233121 --initTime 2017-08-06T18:47:43 --startdatetime 2017-08-06T18:57:14 --delay 1 --endMP 204:163 --enddatetime 2017-08-06T19:35:01 --enforcementcount 0 &gt;&gt;C:\Users\stu\Documents\GitHub\eaglep3-reporting\EC\2017-08-06-refined-times.txt</v>
      </c>
      <c r="AI129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{"issue":{"subject":"","project_id":79,"tracker_id":40,"status_id":1,"priority_id":2,"assigned_to_id":23,"start_date":"2017-08-06","description":"","custom_fields":[{"id":1,"name":"Subdivision","value":"EC"},{"id":4,"name":"Milepost","value":"0.0163"},{"id":17,"name":"Train ID","value":"216-06"},{"id":16,"name":"Locomotive ID","value":"4029"},{"id":130,"name":"Impact","value":""},{"id":150,"name":"Time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57"/>
        <v>start /low /b %USERPROFILE%\Documents\GitHub\eaglep3\Utilities\DownloadLogsFromS3.py --loco 4029 --day 2017-08-06</v>
      </c>
      <c r="AN129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828</v>
      </c>
      <c r="B130" s="7">
        <v>4006</v>
      </c>
      <c r="C130" s="21" t="s">
        <v>198</v>
      </c>
      <c r="D130" s="21" t="s">
        <v>395</v>
      </c>
      <c r="E130" s="13">
        <v>42953.757789351854</v>
      </c>
      <c r="F130" s="13">
        <v>42953.760960648149</v>
      </c>
      <c r="G130" s="7">
        <v>1</v>
      </c>
      <c r="H130" s="21" t="s">
        <v>985</v>
      </c>
      <c r="I130" s="13">
        <v>42953.785497685189</v>
      </c>
      <c r="J130" s="7">
        <v>0</v>
      </c>
      <c r="K130" s="89" t="str">
        <f t="shared" si="44"/>
        <v>4005/4006</v>
      </c>
      <c r="L130" s="21" t="str">
        <f>VLOOKUP(A130,'Trips&amp;Operators'!$C$1:$G$99999,5,FALSE)</f>
        <v>BIRENBAUM THOMAS</v>
      </c>
      <c r="M130" s="6">
        <f t="shared" si="45"/>
        <v>2.453703703940846E-2</v>
      </c>
      <c r="N130" s="7">
        <f t="shared" si="64"/>
        <v>35.333333336748183</v>
      </c>
      <c r="O130" s="7"/>
      <c r="P130" s="7"/>
      <c r="Q130" s="22"/>
      <c r="R130" s="170"/>
      <c r="S130" s="213">
        <f t="shared" si="65"/>
        <v>1</v>
      </c>
      <c r="T130" s="195" t="str">
        <f t="shared" si="46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47"/>
        <v>https://d0f6bd738d7f1b3e5a7ca70fe4ff75f0.us-east-1.aws.found.io/app/kibana#/discover/Steve-Slow-Train-Analysis-(2080s-and-2083s)?_g=(refreshInterval:(display:Off,pause:!f,section:0,value:0),time:(from:'2017-08-06T17:11:13-0600',mode:absolute,to:'2017-08-06T19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0" s="197" t="str">
        <f>IF(AA130&lt;VLOOKUP(AG130,Variables!$AC$3:$AD$8,2,FALSE),"Y","N")</f>
        <v>N</v>
      </c>
      <c r="X130" s="197">
        <f t="shared" si="66"/>
        <v>1</v>
      </c>
      <c r="Y130" s="197">
        <f t="shared" si="62"/>
        <v>4.5499999999999999E-2</v>
      </c>
      <c r="Z130" s="197">
        <f t="shared" si="63"/>
        <v>23.3291</v>
      </c>
      <c r="AA130" s="197">
        <f t="shared" si="48"/>
        <v>23.2836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49"/>
        <v>217</v>
      </c>
      <c r="AE130" s="77" t="str">
        <f t="shared" si="50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30" s="74" t="str">
        <f t="shared" si="51"/>
        <v>"C:\Program Files (x86)\AstroGrep\AstroGrep.exe" /e /r /s /spath="%USERPROFILE%\AppData\Local\Temp\OnboardLogs" /stypes="app*4006*20170807*" /stext=" 00:.+((SYSTEM_STATE.+slice.+state.+changed )|(ment ac)|(multiple cpu faults)|(system.+state.+changed )|(\[timeout)|(PRM\|1\|D)|(kpr)|(kdp)|(train st.+moving)|(\|lc)|(penalty))"</v>
      </c>
      <c r="AG130" s="209" t="str">
        <f t="shared" si="52"/>
        <v>EC</v>
      </c>
      <c r="AH130" s="78" t="str">
        <f t="shared" si="55"/>
        <v>"%USERPROFILE%\Documents\GitHub\eaglep3\Utilities\RefineRTDCRunTimes.py" --tripid 217-06 --locoid 4006 --swversion DE.1.0.9.0 --startMP 204:455 --initTime 2017-08-06T18:11:13 --startdatetime 2017-08-06T18:15:47 --delay 1 --endMP 204:233291 --enddatetime 2017-08-06T18:51:07 --enforcementcount 0 &gt;&gt;C:\Users\stu\Documents\GitHub\eaglep3-reporting\EC\2017-08-06-refined-times.txt</v>
      </c>
      <c r="AI13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{"issue":{"subject":"","project_id":79,"tracker_id":40,"status_id":1,"priority_id":2,"assigned_to_id":23,"start_date":"2017-08-06","description":"","custom_fields":[{"id":1,"name":"Subdivision","value":"EC"},{"id":4,"name":"Milepost","value":"23.3291"},{"id":17,"name":"Train ID","value":"217-06"},{"id":16,"name":"Locomotive ID","value":"4006"},{"id":130,"name":"Impact","value":""},{"id":150,"name":"Time of Event (Mountain Time)","value":"18:51:07"},{"id":151,"name":"Denver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57"/>
        <v>start /low /b %USERPROFILE%\Documents\GitHub\eaglep3\Utilities\DownloadLogsFromS3.py --loco 4006 --day 2017-08-06</v>
      </c>
      <c r="AN130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837</v>
      </c>
      <c r="B131" s="7">
        <v>4005</v>
      </c>
      <c r="C131" s="21" t="s">
        <v>198</v>
      </c>
      <c r="D131" s="21" t="s">
        <v>899</v>
      </c>
      <c r="E131" s="13">
        <v>42953.796620370369</v>
      </c>
      <c r="F131" s="13">
        <v>42953.800243055557</v>
      </c>
      <c r="G131" s="7">
        <v>1</v>
      </c>
      <c r="H131" s="21" t="s">
        <v>444</v>
      </c>
      <c r="I131" s="13">
        <v>42953.825983796298</v>
      </c>
      <c r="J131" s="7">
        <v>0</v>
      </c>
      <c r="K131" s="89" t="str">
        <f t="shared" si="44"/>
        <v>4005/4006</v>
      </c>
      <c r="L131" s="21" t="str">
        <f>VLOOKUP(A131,'Trips&amp;Operators'!$C$1:$G$99999,5,FALSE)</f>
        <v>BIRENBAUM THOMAS</v>
      </c>
      <c r="M131" s="6">
        <f t="shared" si="45"/>
        <v>2.5740740740729962E-2</v>
      </c>
      <c r="N131" s="7">
        <f t="shared" si="64"/>
        <v>37.066666666651145</v>
      </c>
      <c r="O131" s="7"/>
      <c r="P131" s="7"/>
      <c r="Q131" s="22"/>
      <c r="R131" s="170"/>
      <c r="S131" s="213">
        <f t="shared" si="65"/>
        <v>1</v>
      </c>
      <c r="T131" s="195" t="str">
        <f t="shared" si="46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47"/>
        <v>https://d0f6bd738d7f1b3e5a7ca70fe4ff75f0.us-east-1.aws.found.io/app/kibana#/discover/Steve-Slow-Train-Analysis-(2080s-and-2083s)?_g=(refreshInterval:(display:Off,pause:!f,section:0,value:0),time:(from:'2017-08-06T18:07:08-0600',mode:absolute,to:'2017-08-06T20:49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1" s="197" t="str">
        <f>IF(AA131&lt;VLOOKUP(AG131,Variables!$AC$3:$AD$8,2,FALSE),"Y","N")</f>
        <v>N</v>
      </c>
      <c r="X131" s="197">
        <f t="shared" si="66"/>
        <v>1</v>
      </c>
      <c r="Y131" s="197">
        <f t="shared" si="62"/>
        <v>23.297699999999999</v>
      </c>
      <c r="Z131" s="197">
        <f t="shared" si="63"/>
        <v>1.52E-2</v>
      </c>
      <c r="AA131" s="197">
        <f t="shared" si="48"/>
        <v>23.282499999999999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49"/>
        <v>218</v>
      </c>
      <c r="AE131" s="77" t="str">
        <f t="shared" si="50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31" s="74" t="str">
        <f t="shared" si="51"/>
        <v>"C:\Program Files (x86)\AstroGrep\AstroGrep.exe" /e /r /s /spath="%USERPROFILE%\AppData\Local\Temp\OnboardLogs" /stypes="app*4005*20170807*" /stext=" 01:.+((SYSTEM_STATE.+slice.+state.+changed )|(ment ac)|(multiple cpu faults)|(system.+state.+changed )|(\[timeout)|(PRM\|1\|D)|(kpr)|(kdp)|(train st.+moving)|(\|lc)|(penalty))"</v>
      </c>
      <c r="AG131" s="209" t="str">
        <f t="shared" si="52"/>
        <v>EC</v>
      </c>
      <c r="AH131" s="78" t="str">
        <f t="shared" si="55"/>
        <v>"%USERPROFILE%\Documents\GitHub\eaglep3\Utilities\RefineRTDCRunTimes.py" --tripid 218-06 --locoid 4005 --swversion DE.1.0.9.0 --startMP 204:232977 --initTime 2017-08-06T19:07:08 --startdatetime 2017-08-06T19:12:21 --delay 1 --endMP 204:152 --enddatetime 2017-08-06T19:49:25 --enforcementcount 0 &gt;&gt;C:\Users\stu\Documents\GitHub\eaglep3-reporting\EC\2017-08-06-refined-times.txt</v>
      </c>
      <c r="AI13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{"issue":{"subject":"","project_id":79,"tracker_id":40,"status_id":1,"priority_id":2,"assigned_to_id":23,"start_date":"2017-08-06","description":"","custom_fields":[{"id":1,"name":"Subdivision","value":"EC"},{"id":4,"name":"Milepost","value":"0.0152"},{"id":17,"name":"Train ID","value":"218-06"},{"id":16,"name":"Locomotive ID","value":"4005"},{"id":130,"name":"Impact","value":""},{"id":150,"name":"Time of Event (Mountain Time)","value":"19:49:25"},{"id":151,"name":"Denver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57"/>
        <v>start /low /b %USERPROFILE%\Documents\GitHub\eaglep3\Utilities\DownloadLogsFromS3.py --loco 4005 --day 2017-08-06</v>
      </c>
      <c r="AN131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829</v>
      </c>
      <c r="B132" s="7">
        <v>4004</v>
      </c>
      <c r="C132" s="21" t="s">
        <v>198</v>
      </c>
      <c r="D132" s="21" t="s">
        <v>348</v>
      </c>
      <c r="E132" s="13">
        <v>42953.767511574071</v>
      </c>
      <c r="F132" s="13">
        <v>42953.771377314813</v>
      </c>
      <c r="G132" s="7">
        <v>1</v>
      </c>
      <c r="H132" s="21" t="s">
        <v>986</v>
      </c>
      <c r="I132" s="13">
        <v>42953.797002314815</v>
      </c>
      <c r="J132" s="7">
        <v>0</v>
      </c>
      <c r="K132" s="89" t="str">
        <f t="shared" si="44"/>
        <v>4003/4004</v>
      </c>
      <c r="L132" s="21" t="str">
        <f>VLOOKUP(A132,'Trips&amp;Operators'!$C$1:$G$99999,5,FALSE)</f>
        <v>HAITHCOX MICHAEL</v>
      </c>
      <c r="M132" s="6">
        <f t="shared" si="45"/>
        <v>2.5625000002037268E-2</v>
      </c>
      <c r="N132" s="7">
        <f t="shared" si="64"/>
        <v>36.900000002933666</v>
      </c>
      <c r="O132" s="7"/>
      <c r="P132" s="7"/>
      <c r="Q132" s="22"/>
      <c r="R132" s="170"/>
      <c r="S132" s="213">
        <f t="shared" si="65"/>
        <v>1</v>
      </c>
      <c r="T132" s="195" t="str">
        <f t="shared" si="46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47"/>
        <v>https://d0f6bd738d7f1b3e5a7ca70fe4ff75f0.us-east-1.aws.found.io/app/kibana#/discover/Steve-Slow-Train-Analysis-(2080s-and-2083s)?_g=(refreshInterval:(display:Off,pause:!f,section:0,value:0),time:(from:'2017-08-06T17:25:13-0600',mode:absolute,to:'2017-08-06T20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197" t="str">
        <f>IF(AA132&lt;VLOOKUP(AG132,Variables!$AC$3:$AD$8,2,FALSE),"Y","N")</f>
        <v>N</v>
      </c>
      <c r="X132" s="197">
        <f t="shared" si="66"/>
        <v>1</v>
      </c>
      <c r="Y132" s="197">
        <f t="shared" si="62"/>
        <v>4.4699999999999997E-2</v>
      </c>
      <c r="Z132" s="197">
        <f t="shared" si="63"/>
        <v>23.334599999999998</v>
      </c>
      <c r="AA132" s="197">
        <f t="shared" si="48"/>
        <v>23.289899999999999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49"/>
        <v>219</v>
      </c>
      <c r="AE132" s="77" t="str">
        <f t="shared" si="50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132" s="74" t="str">
        <f t="shared" si="51"/>
        <v>"C:\Program Files (x86)\AstroGrep\AstroGrep.exe" /e /r /s /spath="%USERPROFILE%\AppData\Local\Temp\OnboardLogs" /stypes="app*4004*20170807*" /stext=" 01:.+((SYSTEM_STATE.+slice.+state.+changed )|(ment ac)|(multiple cpu faults)|(system.+state.+changed )|(\[timeout)|(PRM\|1\|D)|(kpr)|(kdp)|(train st.+moving)|(\|lc)|(penalty))"</v>
      </c>
      <c r="AG132" s="209" t="str">
        <f t="shared" si="52"/>
        <v>EC</v>
      </c>
      <c r="AH132" s="78" t="str">
        <f t="shared" si="55"/>
        <v>"%USERPROFILE%\Documents\GitHub\eaglep3\Utilities\RefineRTDCRunTimes.py" --tripid 219-06 --locoid 4004 --swversion DE.1.0.9.0 --startMP 204:447 --initTime 2017-08-06T18:25:13 --startdatetime 2017-08-06T18:30:47 --delay 1 --endMP 204:233346 --enddatetime 2017-08-06T19:07:41 --enforcementcount 0 &gt;&gt;C:\Users\stu\Documents\GitHub\eaglep3-reporting\EC\2017-08-06-refined-times.txt</v>
      </c>
      <c r="AI13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{"issue":{"subject":"","project_id":79,"tracker_id":40,"status_id":1,"priority_id":2,"assigned_to_id":23,"start_date":"2017-08-06","description":"","custom_fields":[{"id":1,"name":"Subdivision","value":"EC"},{"id":4,"name":"Milepost","value":"23.3346"},{"id":17,"name":"Train ID","value":"219-06"},{"id":16,"name":"Locomotive ID","value":"4004"},{"id":130,"name":"Impact","value":""},{"id":150,"name":"Time of Event (Mountain Time)","value":"19:07:41"},{"id":151,"name":"Denver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57"/>
        <v>start /low /b %USERPROFILE%\Documents\GitHub\eaglep3\Utilities\DownloadLogsFromS3.py --loco 4004 --day 2017-08-06</v>
      </c>
      <c r="AN132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839</v>
      </c>
      <c r="B133" s="7">
        <v>4003</v>
      </c>
      <c r="C133" s="21" t="s">
        <v>198</v>
      </c>
      <c r="D133" s="21" t="s">
        <v>987</v>
      </c>
      <c r="E133" s="13">
        <v>42953.800300925926</v>
      </c>
      <c r="F133" s="13">
        <v>42953.810601851852</v>
      </c>
      <c r="G133" s="7">
        <v>1</v>
      </c>
      <c r="H133" s="21" t="s">
        <v>349</v>
      </c>
      <c r="I133" s="13">
        <v>42953.837812500002</v>
      </c>
      <c r="J133" s="7">
        <v>0</v>
      </c>
      <c r="K133" s="89" t="str">
        <f t="shared" si="44"/>
        <v>4003/4004</v>
      </c>
      <c r="L133" s="21" t="str">
        <f>VLOOKUP(A133,'Trips&amp;Operators'!$C$1:$G$99999,5,FALSE)</f>
        <v>HAITHCOX MICHAEL</v>
      </c>
      <c r="M133" s="6">
        <f t="shared" si="45"/>
        <v>2.7210648149775807E-2</v>
      </c>
      <c r="N133" s="7">
        <f t="shared" si="64"/>
        <v>39.183333335677162</v>
      </c>
      <c r="O133" s="7"/>
      <c r="P133" s="7"/>
      <c r="Q133" s="22"/>
      <c r="R133" s="170"/>
      <c r="S133" s="213">
        <f t="shared" si="65"/>
        <v>1</v>
      </c>
      <c r="T133" s="195" t="str">
        <f t="shared" si="46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47"/>
        <v>https://d0f6bd738d7f1b3e5a7ca70fe4ff75f0.us-east-1.aws.found.io/app/kibana#/discover/Steve-Slow-Train-Analysis-(2080s-and-2083s)?_g=(refreshInterval:(display:Off,pause:!f,section:0,value:0),time:(from:'2017-08-06T18:12:26-0600',mode:absolute,to:'2017-08-06T21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197" t="str">
        <f>IF(AA133&lt;VLOOKUP(AG133,Variables!$AC$3:$AD$8,2,FALSE),"Y","N")</f>
        <v>N</v>
      </c>
      <c r="X133" s="197">
        <f t="shared" si="66"/>
        <v>1</v>
      </c>
      <c r="Y133" s="197">
        <f t="shared" si="62"/>
        <v>23.304300000000001</v>
      </c>
      <c r="Z133" s="197">
        <f t="shared" si="63"/>
        <v>1.3899999999999999E-2</v>
      </c>
      <c r="AA133" s="197">
        <f t="shared" si="48"/>
        <v>23.290400000000002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49"/>
        <v>220</v>
      </c>
      <c r="AE133" s="77" t="str">
        <f t="shared" si="50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33" s="74" t="str">
        <f t="shared" si="51"/>
        <v>"C:\Program Files (x86)\AstroGrep\AstroGrep.exe" /e /r /s /spath="%USERPROFILE%\AppData\Local\Temp\OnboardLogs" /stypes="app*4003*20170807*" /stext=" 02:.+((SYSTEM_STATE.+slice.+state.+changed )|(ment ac)|(multiple cpu faults)|(system.+state.+changed )|(\[timeout)|(PRM\|1\|D)|(kpr)|(kdp)|(train st.+moving)|(\|lc)|(penalty))"</v>
      </c>
      <c r="AG133" s="209" t="str">
        <f t="shared" si="52"/>
        <v>EC</v>
      </c>
      <c r="AH133" s="78" t="str">
        <f t="shared" si="55"/>
        <v>"%USERPROFILE%\Documents\GitHub\eaglep3\Utilities\RefineRTDCRunTimes.py" --tripid 220-06 --locoid 4003 --swversion DE.1.0.9.0 --startMP 204:233043 --initTime 2017-08-06T19:12:26 --startdatetime 2017-08-06T19:27:16 --delay 1 --endMP 204:139 --enddatetime 2017-08-06T20:06:27 --enforcementcount 0 &gt;&gt;C:\Users\stu\Documents\GitHub\eaglep3-reporting\EC\2017-08-06-refined-times.txt</v>
      </c>
      <c r="AI13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{"issue":{"subject":"","project_id":79,"tracker_id":40,"status_id":1,"priority_id":2,"assigned_to_id":23,"start_date":"2017-08-06","description":"","custom_fields":[{"id":1,"name":"Subdivision","value":"EC"},{"id":4,"name":"Milepost","value":"0.0139"},{"id":17,"name":"Train ID","value":"220-06"},{"id":16,"name":"Locomotive ID","value":"4003"},{"id":130,"name":"Impact","value":""},{"id":150,"name":"Time of Event (Mountain Time)","value":"20:06:27"},{"id":151,"name":"Denver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57"/>
        <v>start /low /b %USERPROFILE%\Documents\GitHub\eaglep3\Utilities\DownloadLogsFromS3.py --loco 4003 --day 2017-08-06</v>
      </c>
      <c r="AN133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834</v>
      </c>
      <c r="B134" s="7">
        <v>4032</v>
      </c>
      <c r="C134" s="21" t="s">
        <v>198</v>
      </c>
      <c r="D134" s="21" t="s">
        <v>489</v>
      </c>
      <c r="E134" s="13">
        <v>42953.790555555555</v>
      </c>
      <c r="F134" s="13">
        <v>42953.792233796295</v>
      </c>
      <c r="G134" s="7">
        <v>1</v>
      </c>
      <c r="H134" s="21" t="s">
        <v>488</v>
      </c>
      <c r="I134" s="13">
        <v>42953.817511574074</v>
      </c>
      <c r="J134" s="7">
        <v>0</v>
      </c>
      <c r="K134" s="89" t="str">
        <f t="shared" si="44"/>
        <v>4031/4032</v>
      </c>
      <c r="L134" s="21" t="str">
        <f>VLOOKUP(A134,'Trips&amp;Operators'!$C$1:$G$99999,5,FALSE)</f>
        <v>MILLER KEVIN</v>
      </c>
      <c r="M134" s="6">
        <f t="shared" si="45"/>
        <v>2.527777777868323E-2</v>
      </c>
      <c r="N134" s="7">
        <f t="shared" si="64"/>
        <v>36.400000001303852</v>
      </c>
      <c r="O134" s="7"/>
      <c r="P134" s="7"/>
      <c r="Q134" s="22"/>
      <c r="R134" s="170"/>
      <c r="S134" s="213">
        <f t="shared" si="65"/>
        <v>1</v>
      </c>
      <c r="T134" s="195" t="str">
        <f t="shared" si="4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47"/>
        <v>https://d0f6bd738d7f1b3e5a7ca70fe4ff75f0.us-east-1.aws.found.io/app/kibana#/discover/Steve-Slow-Train-Analysis-(2080s-and-2083s)?_g=(refreshInterval:(display:Off,pause:!f,section:0,value:0),time:(from:'2017-08-06T17:58:24-0600',mode:absolute,to:'2017-08-06T20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197" t="str">
        <f>IF(AA134&lt;VLOOKUP(AG134,Variables!$AC$3:$AD$8,2,FALSE),"Y","N")</f>
        <v>N</v>
      </c>
      <c r="X134" s="197">
        <f t="shared" ref="X134:X138" si="67">VALUE(LEFT(AD134,4))-VALUE(LEFT(AD133,4))</f>
        <v>1</v>
      </c>
      <c r="Y134" s="197">
        <f t="shared" si="62"/>
        <v>4.7500000000000001E-2</v>
      </c>
      <c r="Z134" s="197">
        <f t="shared" si="63"/>
        <v>23.328900000000001</v>
      </c>
      <c r="AA134" s="197">
        <f t="shared" si="48"/>
        <v>23.281400000000001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49"/>
        <v>221</v>
      </c>
      <c r="AE134" s="77" t="str">
        <f t="shared" si="50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34" s="74" t="str">
        <f t="shared" si="51"/>
        <v>"C:\Program Files (x86)\AstroGrep\AstroGrep.exe" /e /r /s /spath="%USERPROFILE%\AppData\Local\Temp\OnboardLogs" /stypes="app*4032*20170807*" /stext=" 01:.+((SYSTEM_STATE.+slice.+state.+changed )|(ment ac)|(multiple cpu faults)|(system.+state.+changed )|(\[timeout)|(PRM\|1\|D)|(kpr)|(kdp)|(train st.+moving)|(\|lc)|(penalty))"</v>
      </c>
      <c r="AG134" s="209" t="str">
        <f t="shared" si="52"/>
        <v>EC</v>
      </c>
      <c r="AH134" s="78" t="str">
        <f t="shared" si="55"/>
        <v>"%USERPROFILE%\Documents\GitHub\eaglep3\Utilities\RefineRTDCRunTimes.py" --tripid 221-06 --locoid 4032 --swversion DE.1.0.9.0 --startMP 204:475 --initTime 2017-08-06T18:58:24 --startdatetime 2017-08-06T19:00:49 --delay 1 --endMP 204:233289 --enddatetime 2017-08-06T19:37:13 --enforcementcount 0 &gt;&gt;C:\Users\stu\Documents\GitHub\eaglep3-reporting\EC\2017-08-06-refined-times.txt</v>
      </c>
      <c r="AI134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{"issue":{"subject":"","project_id":79,"tracker_id":40,"status_id":1,"priority_id":2,"assigned_to_id":23,"start_date":"2017-08-06","description":"","custom_fields":[{"id":1,"name":"Subdivision","value":"EC"},{"id":4,"name":"Milepost","value":"23.3289"},{"id":17,"name":"Train ID","value":"221-06"},{"id":16,"name":"Locomotive ID","value":"4032"},{"id":130,"name":"Impact","value":""},{"id":150,"name":"Time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57"/>
        <v>start /low /b %USERPROFILE%\Documents\GitHub\eaglep3\Utilities\DownloadLogsFromS3.py --loco 4032 --day 2017-08-06</v>
      </c>
      <c r="AN134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843</v>
      </c>
      <c r="B135" s="7">
        <v>4031</v>
      </c>
      <c r="C135" s="21" t="s">
        <v>198</v>
      </c>
      <c r="D135" s="21" t="s">
        <v>521</v>
      </c>
      <c r="E135" s="13">
        <v>42953.826967592591</v>
      </c>
      <c r="F135" s="13">
        <v>42953.831782407404</v>
      </c>
      <c r="G135" s="7">
        <v>1</v>
      </c>
      <c r="H135" s="21" t="s">
        <v>351</v>
      </c>
      <c r="I135" s="13">
        <v>42953.858460648145</v>
      </c>
      <c r="J135" s="7">
        <v>0</v>
      </c>
      <c r="K135" s="89" t="str">
        <f t="shared" si="44"/>
        <v>4031/4032</v>
      </c>
      <c r="L135" s="21" t="str">
        <f>VLOOKUP(A135,'Trips&amp;Operators'!$C$1:$G$99999,5,FALSE)</f>
        <v>MILLER KEVIN</v>
      </c>
      <c r="M135" s="6">
        <f t="shared" si="45"/>
        <v>2.6678240741603076E-2</v>
      </c>
      <c r="N135" s="7">
        <f t="shared" si="64"/>
        <v>38.41666666790843</v>
      </c>
      <c r="O135" s="7"/>
      <c r="P135" s="7"/>
      <c r="Q135" s="22"/>
      <c r="R135" s="170"/>
      <c r="S135" s="213">
        <f t="shared" si="65"/>
        <v>1</v>
      </c>
      <c r="T135" s="195" t="str">
        <f t="shared" si="4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47"/>
        <v>https://d0f6bd738d7f1b3e5a7ca70fe4ff75f0.us-east-1.aws.found.io/app/kibana#/discover/Steve-Slow-Train-Analysis-(2080s-and-2083s)?_g=(refreshInterval:(display:Off,pause:!f,section:0,value:0),time:(from:'2017-08-06T18:50:50-0600',mode:absolute,to:'2017-08-06T21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197" t="str">
        <f>IF(AA135&lt;VLOOKUP(AG135,Variables!$AC$3:$AD$8,2,FALSE),"Y","N")</f>
        <v>N</v>
      </c>
      <c r="X135" s="197">
        <f t="shared" si="67"/>
        <v>1</v>
      </c>
      <c r="Y135" s="197">
        <f t="shared" si="62"/>
        <v>23.296299999999999</v>
      </c>
      <c r="Z135" s="197">
        <f t="shared" si="63"/>
        <v>1.41E-2</v>
      </c>
      <c r="AA135" s="197">
        <f t="shared" si="48"/>
        <v>23.2822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49"/>
        <v>222</v>
      </c>
      <c r="AE135" s="77" t="str">
        <f t="shared" si="50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35" s="74" t="str">
        <f t="shared" si="51"/>
        <v>"C:\Program Files (x86)\AstroGrep\AstroGrep.exe" /e /r /s /spath="%USERPROFILE%\AppData\Local\Temp\OnboardLogs" /stypes="app*4031*20170807*" /stext=" 02:.+((SYSTEM_STATE.+slice.+state.+changed )|(ment ac)|(multiple cpu faults)|(system.+state.+changed )|(\[timeout)|(PRM\|1\|D)|(kpr)|(kdp)|(train st.+moving)|(\|lc)|(penalty))"</v>
      </c>
      <c r="AG135" s="209" t="str">
        <f t="shared" si="52"/>
        <v>EC</v>
      </c>
      <c r="AH135" s="78" t="str">
        <f t="shared" si="55"/>
        <v>"%USERPROFILE%\Documents\GitHub\eaglep3\Utilities\RefineRTDCRunTimes.py" --tripid 222-06 --locoid 4031 --swversion DE.1.0.9.0 --startMP 204:232963 --initTime 2017-08-06T19:50:50 --startdatetime 2017-08-06T19:57:46 --delay 1 --endMP 204:141 --enddatetime 2017-08-06T20:36:11 --enforcementcount 0 &gt;&gt;C:\Users\stu\Documents\GitHub\eaglep3-reporting\EC\2017-08-06-refined-times.txt</v>
      </c>
      <c r="AI135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{"issue":{"subject":"","project_id":79,"tracker_id":40,"status_id":1,"priority_id":2,"assigned_to_id":23,"start_date":"2017-08-06","description":"","custom_fields":[{"id":1,"name":"Subdivision","value":"EC"},{"id":4,"name":"Milepost","value":"0.0141"},{"id":17,"name":"Train ID","value":"222-06"},{"id":16,"name":"Locomotive ID","value":"4031"},{"id":130,"name":"Impact","value":""},{"id":150,"name":"Time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57"/>
        <v>start /low /b %USERPROFILE%\Documents\GitHub\eaglep3\Utilities\DownloadLogsFromS3.py --loco 4031 --day 2017-08-06</v>
      </c>
      <c r="AN135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840</v>
      </c>
      <c r="B136" s="7">
        <v>4044</v>
      </c>
      <c r="C136" s="21" t="s">
        <v>198</v>
      </c>
      <c r="D136" s="21" t="s">
        <v>376</v>
      </c>
      <c r="E136" s="13">
        <v>42953.807314814818</v>
      </c>
      <c r="F136" s="13">
        <v>42953.813043981485</v>
      </c>
      <c r="G136" s="7">
        <v>1</v>
      </c>
      <c r="H136" s="21" t="s">
        <v>559</v>
      </c>
      <c r="I136" s="13">
        <v>42953.83803240741</v>
      </c>
      <c r="J136" s="7">
        <v>0</v>
      </c>
      <c r="K136" s="89" t="str">
        <f t="shared" si="44"/>
        <v>4043/4044</v>
      </c>
      <c r="L136" s="21" t="str">
        <f>VLOOKUP(A136,'Trips&amp;Operators'!$C$1:$G$99999,5,FALSE)</f>
        <v>SMITH MICHAEL</v>
      </c>
      <c r="M136" s="6">
        <f t="shared" si="45"/>
        <v>2.4988425924675539E-2</v>
      </c>
      <c r="N136" s="7">
        <f t="shared" si="64"/>
        <v>35.983333331532776</v>
      </c>
      <c r="O136" s="7"/>
      <c r="P136" s="7"/>
      <c r="Q136" s="22"/>
      <c r="R136" s="170"/>
      <c r="S136" s="213">
        <f t="shared" si="65"/>
        <v>1</v>
      </c>
      <c r="T136" s="195" t="str">
        <f t="shared" si="4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47"/>
        <v>https://d0f6bd738d7f1b3e5a7ca70fe4ff75f0.us-east-1.aws.found.io/app/kibana#/discover/Steve-Slow-Train-Analysis-(2080s-and-2083s)?_g=(refreshInterval:(display:Off,pause:!f,section:0,value:0),time:(from:'2017-08-06T18:22:32-0600',mode:absolute,to:'2017-08-06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6" s="197" t="str">
        <f>IF(AA136&lt;VLOOKUP(AG136,Variables!$AC$3:$AD$8,2,FALSE),"Y","N")</f>
        <v>N</v>
      </c>
      <c r="X136" s="197">
        <f t="shared" si="67"/>
        <v>1</v>
      </c>
      <c r="Y136" s="197">
        <f t="shared" si="62"/>
        <v>4.6199999999999998E-2</v>
      </c>
      <c r="Z136" s="197">
        <f t="shared" si="63"/>
        <v>23.328600000000002</v>
      </c>
      <c r="AA136" s="197">
        <f t="shared" si="48"/>
        <v>23.282400000000003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49"/>
        <v>223</v>
      </c>
      <c r="AE136" s="77" t="str">
        <f t="shared" si="50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36" s="74" t="str">
        <f t="shared" si="51"/>
        <v>"C:\Program Files (x86)\AstroGrep\AstroGrep.exe" /e /r /s /spath="%USERPROFILE%\AppData\Local\Temp\OnboardLogs" /stypes="app*4044*20170807*" /stext=" 02:.+((SYSTEM_STATE.+slice.+state.+changed )|(ment ac)|(multiple cpu faults)|(system.+state.+changed )|(\[timeout)|(PRM\|1\|D)|(kpr)|(kdp)|(train st.+moving)|(\|lc)|(penalty))"</v>
      </c>
      <c r="AG136" s="209" t="str">
        <f t="shared" si="52"/>
        <v>EC</v>
      </c>
      <c r="AH136" s="78" t="str">
        <f t="shared" si="55"/>
        <v>"%USERPROFILE%\Documents\GitHub\eaglep3\Utilities\RefineRTDCRunTimes.py" --tripid 223-06 --locoid 4044 --swversion DE.1.0.9.0 --startMP 204:462 --initTime 2017-08-06T19:22:32 --startdatetime 2017-08-06T19:30:47 --delay 1 --endMP 204:233286 --enddatetime 2017-08-06T20:06:46 --enforcementcount 0 &gt;&gt;C:\Users\stu\Documents\GitHub\eaglep3-reporting\EC\2017-08-06-refined-times.txt</v>
      </c>
      <c r="AI136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{"issue":{"subject":"","project_id":79,"tracker_id":40,"status_id":1,"priority_id":2,"assigned_to_id":23,"start_date":"2017-08-06","description":"","custom_fields":[{"id":1,"name":"Subdivision","value":"EC"},{"id":4,"name":"Milepost","value":"23.3286"},{"id":17,"name":"Train ID","value":"223-06"},{"id":16,"name":"Locomotive ID","value":"4044"},{"id":130,"name":"Impact","value":""},{"id":150,"name":"Time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57"/>
        <v>start /low /b %USERPROFILE%\Documents\GitHub\eaglep3\Utilities\DownloadLogsFromS3.py --loco 4044 --day 2017-08-06</v>
      </c>
      <c r="AN136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846</v>
      </c>
      <c r="B137" s="7">
        <v>4043</v>
      </c>
      <c r="C137" s="21" t="s">
        <v>198</v>
      </c>
      <c r="D137" s="21" t="s">
        <v>610</v>
      </c>
      <c r="E137" s="13">
        <v>42953.843368055554</v>
      </c>
      <c r="F137" s="13">
        <v>42953.852303240739</v>
      </c>
      <c r="G137" s="7">
        <v>1</v>
      </c>
      <c r="H137" s="21" t="s">
        <v>377</v>
      </c>
      <c r="I137" s="13">
        <v>42953.87835648148</v>
      </c>
      <c r="J137" s="7">
        <v>0</v>
      </c>
      <c r="K137" s="89" t="str">
        <f t="shared" si="44"/>
        <v>4043/4044</v>
      </c>
      <c r="L137" s="21" t="str">
        <f>VLOOKUP(A137,'Trips&amp;Operators'!$C$1:$G$99999,5,FALSE)</f>
        <v>SMITH MICHAEL</v>
      </c>
      <c r="M137" s="6">
        <f t="shared" si="45"/>
        <v>2.6053240741021E-2</v>
      </c>
      <c r="N137" s="7">
        <f t="shared" si="64"/>
        <v>37.51666666707024</v>
      </c>
      <c r="O137" s="7"/>
      <c r="P137" s="7"/>
      <c r="Q137" s="22"/>
      <c r="R137" s="170"/>
      <c r="S137" s="213">
        <f t="shared" si="65"/>
        <v>1</v>
      </c>
      <c r="T137" s="195" t="str">
        <f t="shared" si="4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47"/>
        <v>https://d0f6bd738d7f1b3e5a7ca70fe4ff75f0.us-east-1.aws.found.io/app/kibana#/discover/Steve-Slow-Train-Analysis-(2080s-and-2083s)?_g=(refreshInterval:(display:Off,pause:!f,section:0,value:0),time:(from:'2017-08-06T19:14:27-0600',mode:absolute,to:'2017-08-06T22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197" t="str">
        <f>IF(AA137&lt;VLOOKUP(AG137,Variables!$AC$3:$AD$8,2,FALSE),"Y","N")</f>
        <v>N</v>
      </c>
      <c r="X137" s="197">
        <f t="shared" si="67"/>
        <v>1</v>
      </c>
      <c r="Y137" s="197">
        <f t="shared" si="62"/>
        <v>23.2971</v>
      </c>
      <c r="Z137" s="197">
        <f t="shared" si="63"/>
        <v>1.54E-2</v>
      </c>
      <c r="AA137" s="197">
        <f t="shared" si="48"/>
        <v>23.281700000000001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49"/>
        <v>224</v>
      </c>
      <c r="AE137" s="77" t="str">
        <f t="shared" si="50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37" s="74" t="str">
        <f t="shared" si="51"/>
        <v>"C:\Program Files (x86)\AstroGrep\AstroGrep.exe" /e /r /s /spath="%USERPROFILE%\AppData\Local\Temp\OnboardLogs" /stypes="app*4043*20170807*" /stext=" 03:.+((SYSTEM_STATE.+slice.+state.+changed )|(ment ac)|(multiple cpu faults)|(system.+state.+changed )|(\[timeout)|(PRM\|1\|D)|(kpr)|(kdp)|(train st.+moving)|(\|lc)|(penalty))"</v>
      </c>
      <c r="AG137" s="209" t="str">
        <f t="shared" si="52"/>
        <v>EC</v>
      </c>
      <c r="AH137" s="78" t="str">
        <f t="shared" si="55"/>
        <v>"%USERPROFILE%\Documents\GitHub\eaglep3\Utilities\RefineRTDCRunTimes.py" --tripid 224-06 --locoid 4043 --swversion DE.1.0.9.0 --startMP 204:232971 --initTime 2017-08-06T20:14:27 --startdatetime 2017-08-06T20:27:19 --delay 1 --endMP 204:154 --enddatetime 2017-08-06T21:04:50 --enforcementcount 0 &gt;&gt;C:\Users\stu\Documents\GitHub\eaglep3-reporting\EC\2017-08-06-refined-times.txt</v>
      </c>
      <c r="AI137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{"issue":{"subject":"","project_id":79,"tracker_id":40,"status_id":1,"priority_id":2,"assigned_to_id":23,"start_date":"2017-08-06","description":"","custom_fields":[{"id":1,"name":"Subdivision","value":"EC"},{"id":4,"name":"Milepost","value":"0.0154"},{"id":17,"name":"Train ID","value":"224-06"},{"id":16,"name":"Locomotive ID","value":"4043"},{"id":130,"name":"Impact","value":""},{"id":150,"name":"Time of Event (Mountain Time)","value":"21:04:50"},{"id":151,"name":"Denver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57"/>
        <v>start /low /b %USERPROFILE%\Documents\GitHub\eaglep3\Utilities\DownloadLogsFromS3.py --loco 4043 --day 2017-08-06</v>
      </c>
      <c r="AN137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844</v>
      </c>
      <c r="B138" s="7">
        <v>4006</v>
      </c>
      <c r="C138" s="21" t="s">
        <v>198</v>
      </c>
      <c r="D138" s="21" t="s">
        <v>405</v>
      </c>
      <c r="E138" s="13">
        <v>42953.827951388892</v>
      </c>
      <c r="F138" s="13">
        <v>42953.83384259259</v>
      </c>
      <c r="G138" s="7">
        <v>1</v>
      </c>
      <c r="H138" s="21" t="s">
        <v>989</v>
      </c>
      <c r="I138" s="13">
        <v>42953.85837962963</v>
      </c>
      <c r="J138" s="7">
        <v>0</v>
      </c>
      <c r="K138" s="89" t="str">
        <f t="shared" si="44"/>
        <v>4005/4006</v>
      </c>
      <c r="L138" s="21" t="str">
        <f>VLOOKUP(A138,'Trips&amp;Operators'!$C$1:$G$99999,5,FALSE)</f>
        <v>BIRENBAUM THOMAS</v>
      </c>
      <c r="M138" s="6">
        <f t="shared" si="45"/>
        <v>2.453703703940846E-2</v>
      </c>
      <c r="N138" s="7">
        <f t="shared" si="64"/>
        <v>35.333333336748183</v>
      </c>
      <c r="O138" s="7"/>
      <c r="P138" s="7"/>
      <c r="Q138" s="22"/>
      <c r="R138" s="170"/>
      <c r="S138" s="213">
        <f t="shared" si="65"/>
        <v>1</v>
      </c>
      <c r="T138" s="195" t="str">
        <f t="shared" si="4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47"/>
        <v>https://d0f6bd738d7f1b3e5a7ca70fe4ff75f0.us-east-1.aws.found.io/app/kibana#/discover/Steve-Slow-Train-Analysis-(2080s-and-2083s)?_g=(refreshInterval:(display:Off,pause:!f,section:0,value:0),time:(from:'2017-08-06T18:52:15-0600',mode:absolute,to:'2017-08-06T21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8" s="197" t="str">
        <f>IF(AA138&lt;VLOOKUP(AG138,Variables!$AC$3:$AD$8,2,FALSE),"Y","N")</f>
        <v>N</v>
      </c>
      <c r="X138" s="197">
        <f t="shared" si="67"/>
        <v>1</v>
      </c>
      <c r="Y138" s="197">
        <f t="shared" si="62"/>
        <v>4.58E-2</v>
      </c>
      <c r="Z138" s="197">
        <f t="shared" si="63"/>
        <v>23.340499999999999</v>
      </c>
      <c r="AA138" s="197">
        <f t="shared" si="48"/>
        <v>23.294699999999999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49"/>
        <v>225</v>
      </c>
      <c r="AE138" s="77" t="str">
        <f t="shared" si="50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38" s="74" t="str">
        <f t="shared" si="51"/>
        <v>"C:\Program Files (x86)\AstroGrep\AstroGrep.exe" /e /r /s /spath="%USERPROFILE%\AppData\Local\Temp\OnboardLogs" /stypes="app*4006*20170807*" /stext=" 02:.+((SYSTEM_STATE.+slice.+state.+changed )|(ment ac)|(multiple cpu faults)|(system.+state.+changed )|(\[timeout)|(PRM\|1\|D)|(kpr)|(kdp)|(train st.+moving)|(\|lc)|(penalty))"</v>
      </c>
      <c r="AG138" s="209" t="str">
        <f t="shared" si="52"/>
        <v>EC</v>
      </c>
      <c r="AH138" s="78" t="str">
        <f t="shared" si="55"/>
        <v>"%USERPROFILE%\Documents\GitHub\eaglep3\Utilities\RefineRTDCRunTimes.py" --tripid 225-06 --locoid 4006 --swversion DE.1.0.9.0 --startMP 204:458 --initTime 2017-08-06T19:52:15 --startdatetime 2017-08-06T20:00:44 --delay 1 --endMP 204:233405 --enddatetime 2017-08-06T20:36:04 --enforcementcount 0 &gt;&gt;C:\Users\stu\Documents\GitHub\eaglep3-reporting\EC\2017-08-06-refined-times.txt</v>
      </c>
      <c r="AI138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{"issue":{"subject":"","project_id":79,"tracker_id":40,"status_id":1,"priority_id":2,"assigned_to_id":23,"start_date":"2017-08-06","description":"","custom_fields":[{"id":1,"name":"Subdivision","value":"EC"},{"id":4,"name":"Milepost","value":"23.3405"},{"id":17,"name":"Train ID","value":"225-06"},{"id":16,"name":"Locomotive ID","value":"4006"},{"id":130,"name":"Impact","value":""},{"id":150,"name":"Time of Event (Mountain Time)","value":"20:36:04"},{"id":151,"name":"Denver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57"/>
        <v>start /low /b %USERPROFILE%\Documents\GitHub\eaglep3\Utilities\DownloadLogsFromS3.py --loco 4006 --day 2017-08-06</v>
      </c>
      <c r="AN138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848</v>
      </c>
      <c r="B139" s="7">
        <v>4005</v>
      </c>
      <c r="C139" s="21" t="s">
        <v>198</v>
      </c>
      <c r="D139" s="21" t="s">
        <v>899</v>
      </c>
      <c r="E139" s="13">
        <v>42953.869699074072</v>
      </c>
      <c r="F139" s="13">
        <v>42953.873055555552</v>
      </c>
      <c r="G139" s="7">
        <v>1</v>
      </c>
      <c r="H139" s="21" t="s">
        <v>990</v>
      </c>
      <c r="I139" s="13">
        <v>42953.89576388889</v>
      </c>
      <c r="J139" s="7">
        <v>0</v>
      </c>
      <c r="K139" s="89" t="str">
        <f t="shared" si="44"/>
        <v>4005/4006</v>
      </c>
      <c r="L139" s="21" t="str">
        <f>VLOOKUP(A139,'Trips&amp;Operators'!$C$1:$G$99999,5,FALSE)</f>
        <v>BIRENBAUM THOMAS</v>
      </c>
      <c r="M139" s="6">
        <f t="shared" si="45"/>
        <v>2.2708333337504882E-2</v>
      </c>
      <c r="N139" s="7"/>
      <c r="O139" s="7"/>
      <c r="P139" s="7">
        <f>24*60*SUM($M139:$M139)</f>
        <v>32.700000006007031</v>
      </c>
      <c r="Q139" s="22"/>
      <c r="R139" s="170" t="s">
        <v>529</v>
      </c>
      <c r="S139" s="213">
        <f t="shared" si="65"/>
        <v>1</v>
      </c>
      <c r="T139" s="195" t="str">
        <f t="shared" si="4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47"/>
        <v>https://d0f6bd738d7f1b3e5a7ca70fe4ff75f0.us-east-1.aws.found.io/app/kibana#/discover/Steve-Slow-Train-Analysis-(2080s-and-2083s)?_g=(refreshInterval:(display:Off,pause:!f,section:0,value:0),time:(from:'2017-08-06T19:52:22-0600',mode:absolute,to:'2017-08-06T22:29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9" s="197" t="str">
        <f>IF(AA139&lt;VLOOKUP(AG139,Variables!$AC$3:$AD$8,2,FALSE),"Y","N")</f>
        <v>Y</v>
      </c>
      <c r="X139" s="197">
        <f t="shared" ref="X139:X156" si="68">VALUE(LEFT(AD139,4))-VALUE(LEFT(AD138,4))</f>
        <v>1</v>
      </c>
      <c r="Y139" s="197">
        <f t="shared" si="62"/>
        <v>23.297699999999999</v>
      </c>
      <c r="Z139" s="197">
        <f t="shared" si="63"/>
        <v>1.8475999999999999</v>
      </c>
      <c r="AA139" s="197">
        <f t="shared" si="48"/>
        <v>21.450099999999999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49"/>
        <v>226</v>
      </c>
      <c r="AE139" s="77" t="str">
        <f t="shared" si="50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39" s="74" t="str">
        <f t="shared" si="51"/>
        <v>"C:\Program Files (x86)\AstroGrep\AstroGrep.exe" /e /r /s /spath="%USERPROFILE%\AppData\Local\Temp\OnboardLogs" /stypes="app*4005*20170807*" /stext=" 03:.+((SYSTEM_STATE.+slice.+state.+changed )|(ment ac)|(multiple cpu faults)|(system.+state.+changed )|(\[timeout)|(PRM\|1\|D)|(kpr)|(kdp)|(train st.+moving)|(\|lc)|(penalty))"</v>
      </c>
      <c r="AG139" s="209" t="str">
        <f t="shared" si="52"/>
        <v>EC</v>
      </c>
      <c r="AH139" s="78" t="str">
        <f t="shared" si="55"/>
        <v>"%USERPROFILE%\Documents\GitHub\eaglep3\Utilities\RefineRTDCRunTimes.py" --tripid 226-06 --locoid 4005 --swversion DE.1.0.9.0 --startMP 204:232977 --initTime 2017-08-06T20:52:22 --startdatetime 2017-08-06T20:57:12 --delay 1 --endMP 204:18476 --enddatetime 2017-08-06T21:29:54 --enforcementcount 0 &gt;&gt;C:\Users\stu\Documents\GitHub\eaglep3-reporting\EC\2017-08-06-refined-times.txt</v>
      </c>
      <c r="AI139" s="96" t="str">
        <f t="shared" si="56"/>
        <v>echo {"issue":{"subject":"Wi-MAX data drop","project_id":79,"tracker_id":40,"status_id":1,"priority_id":2,"assigned_to_id":23,"start_date":"2017-08-06","description":"","custom_fields":[{"id":1,"name":"Subdivision","value":"EC"},{"id":4,"name":"Milepost","value":"1.8476"},{"id":17,"name":"Train ID","value":"226-06"},{"id":16,"name":"Locomotive ID","value":"4005"},{"id":130,"name":"Impact","value":""},{"id":150,"name":"Time of Event (Mountain Time)","value":"21:29:54"},{"id":151,"name":"Denver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57"/>
        <v>start /low /b %USERPROFILE%\Documents\GitHub\eaglep3\Utilities\DownloadLogsFromS3.py --loco 4005 --day 2017-08-06</v>
      </c>
      <c r="AN139" s="151" t="str">
        <f t="shared" si="58"/>
        <v>echo {"issue":{"subject":"Wi-MAX data drop","project_id":30,"tracker_id":4,"status_id":1,"priority_id":1,"assigned_to_id":10,"start_date":"2017-08-07","description":"","custom_fields":[{"id":30,"name":"Category","value":"Issue"},{"id":3,"name":"Functional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03:29:54"},{"id":29,"name":"Sharepoint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845</v>
      </c>
      <c r="B140" s="7">
        <v>4004</v>
      </c>
      <c r="C140" s="21" t="s">
        <v>198</v>
      </c>
      <c r="D140" s="21" t="s">
        <v>345</v>
      </c>
      <c r="E140" s="13">
        <v>42953.840196759258</v>
      </c>
      <c r="F140" s="13">
        <v>42953.854722222219</v>
      </c>
      <c r="G140" s="7">
        <v>1</v>
      </c>
      <c r="H140" s="21" t="s">
        <v>621</v>
      </c>
      <c r="I140" s="13">
        <v>42953.881388888891</v>
      </c>
      <c r="J140" s="7">
        <v>0</v>
      </c>
      <c r="K140" s="89" t="str">
        <f t="shared" si="44"/>
        <v>4003/4004</v>
      </c>
      <c r="L140" s="21" t="str">
        <f>VLOOKUP(A140,'Trips&amp;Operators'!$C$1:$G$99999,5,FALSE)</f>
        <v>HAITHCOX MICHAEL</v>
      </c>
      <c r="M140" s="6">
        <f t="shared" si="45"/>
        <v>2.6666666672099382E-2</v>
      </c>
      <c r="N140" s="7">
        <f t="shared" ref="N140:N171" si="69">24*60*SUM($M140:$M140)</f>
        <v>38.40000000782311</v>
      </c>
      <c r="O140" s="7"/>
      <c r="P140" s="7"/>
      <c r="Q140" s="22"/>
      <c r="R140" s="170"/>
      <c r="S140" s="213">
        <f t="shared" si="65"/>
        <v>1</v>
      </c>
      <c r="T140" s="195" t="str">
        <f t="shared" si="46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47"/>
        <v>https://d0f6bd738d7f1b3e5a7ca70fe4ff75f0.us-east-1.aws.found.io/app/kibana#/discover/Steve-Slow-Train-Analysis-(2080s-and-2083s)?_g=(refreshInterval:(display:Off,pause:!f,section:0,value:0),time:(from:'2017-08-06T19:09:53-0600',mode:absolute,to:'2017-08-06T22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197" t="str">
        <f>IF(AA140&lt;VLOOKUP(AG140,Variables!$AC$3:$AD$8,2,FALSE),"Y","N")</f>
        <v>N</v>
      </c>
      <c r="X140" s="197">
        <f t="shared" si="68"/>
        <v>1</v>
      </c>
      <c r="Y140" s="197">
        <f t="shared" si="62"/>
        <v>4.5100000000000001E-2</v>
      </c>
      <c r="Z140" s="197">
        <f t="shared" si="63"/>
        <v>23.328399999999998</v>
      </c>
      <c r="AA140" s="197">
        <f t="shared" si="48"/>
        <v>23.283299999999997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49"/>
        <v>227</v>
      </c>
      <c r="AE140" s="77" t="str">
        <f t="shared" si="50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140" s="74" t="str">
        <f t="shared" si="51"/>
        <v>"C:\Program Files (x86)\AstroGrep\AstroGrep.exe" /e /r /s /spath="%USERPROFILE%\AppData\Local\Temp\OnboardLogs" /stypes="app*4004*20170807*" /stext=" 03:.+((SYSTEM_STATE.+slice.+state.+changed )|(ment ac)|(multiple cpu faults)|(system.+state.+changed )|(\[timeout)|(PRM\|1\|D)|(kpr)|(kdp)|(train st.+moving)|(\|lc)|(penalty))"</v>
      </c>
      <c r="AG140" s="209" t="str">
        <f t="shared" si="52"/>
        <v>EC</v>
      </c>
      <c r="AH140" s="78" t="str">
        <f t="shared" si="55"/>
        <v>"%USERPROFILE%\Documents\GitHub\eaglep3\Utilities\RefineRTDCRunTimes.py" --tripid 227-06 --locoid 4004 --swversion DE.1.0.9.0 --startMP 204:451 --initTime 2017-08-06T20:09:53 --startdatetime 2017-08-06T20:30:48 --delay 1 --endMP 204:233284 --enddatetime 2017-08-06T21:09:12 --enforcementcount 0 &gt;&gt;C:\Users\stu\Documents\GitHub\eaglep3-reporting\EC\2017-08-06-refined-times.txt</v>
      </c>
      <c r="AI140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{"issue":{"subject":"","project_id":79,"tracker_id":40,"status_id":1,"priority_id":2,"assigned_to_id":23,"start_date":"2017-08-06","description":"","custom_fields":[{"id":1,"name":"Subdivision","value":"EC"},{"id":4,"name":"Milepost","value":"23.3284"},{"id":17,"name":"Train ID","value":"227-06"},{"id":16,"name":"Locomotive ID","value":"4004"},{"id":130,"name":"Impact","value":""},{"id":150,"name":"Time of Event (Mountain Time)","value":"21:09:12"},{"id":151,"name":"Denver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57"/>
        <v>start /low /b %USERPROFILE%\Documents\GitHub\eaglep3\Utilities\DownloadLogsFromS3.py --loco 4004 --day 2017-08-06</v>
      </c>
      <c r="AN140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662</v>
      </c>
      <c r="B141" s="7">
        <v>4003</v>
      </c>
      <c r="C141" s="21" t="s">
        <v>198</v>
      </c>
      <c r="D141" s="21" t="s">
        <v>611</v>
      </c>
      <c r="E141" s="13">
        <v>42953.883032407408</v>
      </c>
      <c r="F141" s="13">
        <v>42953.893923611111</v>
      </c>
      <c r="G141" s="7">
        <v>0</v>
      </c>
      <c r="H141" s="21" t="s">
        <v>497</v>
      </c>
      <c r="I141" s="13">
        <v>42953.922800925924</v>
      </c>
      <c r="J141" s="7">
        <v>0</v>
      </c>
      <c r="K141" s="89" t="str">
        <f t="shared" ref="K141:K204" si="70">IF(ISEVEN(B141),(B141-1)&amp;"/"&amp;B141,B141&amp;"/"&amp;(B141+1))</f>
        <v>4003/4004</v>
      </c>
      <c r="L141" s="21" t="str">
        <f>VLOOKUP(A141,'Trips&amp;Operators'!$C$1:$G$99999,5,FALSE)</f>
        <v>HAITHCOX MICHAEL</v>
      </c>
      <c r="M141" s="6">
        <f t="shared" ref="M141:M204" si="71">I141-F141</f>
        <v>2.8877314813144039E-2</v>
      </c>
      <c r="N141" s="7">
        <f t="shared" si="69"/>
        <v>41.583333330927417</v>
      </c>
      <c r="O141" s="7"/>
      <c r="P141" s="7"/>
      <c r="Q141" s="22"/>
      <c r="R141" s="170"/>
      <c r="S141" s="213">
        <f t="shared" si="65"/>
        <v>1</v>
      </c>
      <c r="T141" s="195" t="str">
        <f t="shared" ref="T141:T204" si="72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-06T20:11:34-0600',mode:absolute,to:'2017-08-06T23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197" t="str">
        <f>IF(AA141&lt;VLOOKUP(AG141,Variables!$AC$3:$AD$8,2,FALSE),"Y","N")</f>
        <v>N</v>
      </c>
      <c r="X141" s="197">
        <f t="shared" si="68"/>
        <v>1</v>
      </c>
      <c r="Y141" s="197">
        <f t="shared" si="62"/>
        <v>23.297799999999999</v>
      </c>
      <c r="Z141" s="197">
        <f t="shared" si="63"/>
        <v>1.4500000000000001E-2</v>
      </c>
      <c r="AA141" s="197">
        <f t="shared" ref="AA141:AA204" si="74">ABS(Z141-Y141)</f>
        <v>23.283299999999997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75">VALUE(LEFT(A141,LEN(A141)-3))</f>
        <v>228</v>
      </c>
      <c r="AE141" s="77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41" s="74" t="str">
        <f t="shared" ref="AF141:AF204" si="7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/stypes="app*4003*20170807*"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78">DetSubdiv(A141)</f>
        <v>EC</v>
      </c>
      <c r="AH141" s="78" t="str">
        <f t="shared" si="55"/>
        <v>"%USERPROFILE%\Documents\GitHub\eaglep3\Utilities\RefineRTDCRunTimes.py" --tripid 228-06 --locoid 4003 --swversion DE.1.0.9.0 --startMP 204:232978 --initTime 2017-08-06T21:11:34 --startdatetime 2017-08-06T21:27:15 --delay 0 --endMP 204:145 --enddatetime 2017-08-06T22:08:50 --enforcementcount 0 &gt;&gt;C:\Users\stu\Documents\GitHub\eaglep3-reporting\EC\2017-08-06-refined-times.txt</v>
      </c>
      <c r="AI141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{"issue":{"subject":"","project_id":79,"tracker_id":40,"status_id":1,"priority_id":2,"assigned_to_id":23,"start_date":"2017-08-06","description":"","custom_fields":[{"id":1,"name":"Subdivision","value":"EC"},{"id":4,"name":"Milepost","value":"0.0145"},{"id":17,"name":"Train ID","value":"228-06"},{"id":16,"name":"Locomotive ID","value":"4003"},{"id":130,"name":"Impact","value":""},{"id":150,"name":"Time of Event (Mountain Time)","value":"22:08:50"},{"id":151,"name":"Denver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7"/>
        <v>start /low /b %USERPROFILE%\Documents\GitHub\eaglep3\Utilities\DownloadLogsFromS3.py --loco 4003 --day 2017-08-06</v>
      </c>
      <c r="AN141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847</v>
      </c>
      <c r="B142" s="7">
        <v>4032</v>
      </c>
      <c r="C142" s="21" t="s">
        <v>198</v>
      </c>
      <c r="D142" s="21" t="s">
        <v>460</v>
      </c>
      <c r="E142" s="13">
        <v>42953.866423611114</v>
      </c>
      <c r="F142" s="13">
        <v>42953.875659722224</v>
      </c>
      <c r="G142" s="7">
        <v>1</v>
      </c>
      <c r="H142" s="21" t="s">
        <v>520</v>
      </c>
      <c r="I142" s="13">
        <v>42953.901504629626</v>
      </c>
      <c r="J142" s="7">
        <v>0</v>
      </c>
      <c r="K142" s="89" t="str">
        <f t="shared" si="70"/>
        <v>4031/4032</v>
      </c>
      <c r="L142" s="21" t="str">
        <f>VLOOKUP(A142,'Trips&amp;Operators'!$C$1:$G$99999,5,FALSE)</f>
        <v>ZEWDU DEREJE</v>
      </c>
      <c r="M142" s="6">
        <f t="shared" si="71"/>
        <v>2.5844907402643003E-2</v>
      </c>
      <c r="N142" s="7">
        <f t="shared" si="69"/>
        <v>37.216666659805924</v>
      </c>
      <c r="O142" s="7"/>
      <c r="P142" s="7"/>
      <c r="Q142" s="22"/>
      <c r="R142" s="170"/>
      <c r="S142" s="213">
        <f t="shared" si="65"/>
        <v>1</v>
      </c>
      <c r="T142" s="195" t="str">
        <f t="shared" si="72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73"/>
        <v>https://d0f6bd738d7f1b3e5a7ca70fe4ff75f0.us-east-1.aws.found.io/app/kibana#/discover/Steve-Slow-Train-Analysis-(2080s-and-2083s)?_g=(refreshInterval:(display:Off,pause:!f,section:0,value:0),time:(from:'2017-08-06T19:47:39-0600',mode:absolute,to:'2017-08-06T22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197" t="str">
        <f>IF(AA142&lt;VLOOKUP(AG142,Variables!$AC$3:$AD$8,2,FALSE),"Y","N")</f>
        <v>N</v>
      </c>
      <c r="X142" s="197">
        <f t="shared" si="68"/>
        <v>1</v>
      </c>
      <c r="Y142" s="197">
        <f t="shared" si="62"/>
        <v>4.7300000000000002E-2</v>
      </c>
      <c r="Z142" s="197">
        <f t="shared" si="63"/>
        <v>23.331800000000001</v>
      </c>
      <c r="AA142" s="197">
        <f t="shared" si="74"/>
        <v>23.284500000000001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75"/>
        <v>229</v>
      </c>
      <c r="AE142" s="77" t="str">
        <f t="shared" si="7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42" s="74" t="str">
        <f t="shared" si="77"/>
        <v>"C:\Program Files (x86)\AstroGrep\AstroGrep.exe" /e /r /s /spath="%USERPROFILE%\AppData\Local\Temp\OnboardLogs" /stypes="app*4032*20170807*" /stext=" 03:.+((SYSTEM_STATE.+slice.+state.+changed )|(ment ac)|(multiple cpu faults)|(system.+state.+changed )|(\[timeout)|(PRM\|1\|D)|(kpr)|(kdp)|(train st.+moving)|(\|lc)|(penalty))"</v>
      </c>
      <c r="AG142" s="209" t="str">
        <f t="shared" si="78"/>
        <v>EC</v>
      </c>
      <c r="AH142" s="78" t="str">
        <f t="shared" si="55"/>
        <v>"%USERPROFILE%\Documents\GitHub\eaglep3\Utilities\RefineRTDCRunTimes.py" --tripid 229-06 --locoid 4032 --swversion DE.1.0.9.0 --startMP 204:473 --initTime 2017-08-06T20:47:39 --startdatetime 2017-08-06T21:00:57 --delay 1 --endMP 204:233318 --enddatetime 2017-08-06T21:38:10 --enforcementcount 0 &gt;&gt;C:\Users\stu\Documents\GitHub\eaglep3-reporting\EC\2017-08-06-refined-times.txt</v>
      </c>
      <c r="AI142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{"issue":{"subject":"","project_id":79,"tracker_id":40,"status_id":1,"priority_id":2,"assigned_to_id":23,"start_date":"2017-08-06","description":"","custom_fields":[{"id":1,"name":"Subdivision","value":"EC"},{"id":4,"name":"Milepost","value":"23.3318"},{"id":17,"name":"Train ID","value":"229-06"},{"id":16,"name":"Locomotive ID","value":"4032"},{"id":130,"name":"Impact","value":""},{"id":150,"name":"Time of Event (Mountain Time)","value":"21:38:10"},{"id":151,"name":"Denver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7"/>
        <v>start /low /b %USERPROFILE%\Documents\GitHub\eaglep3\Utilities\DownloadLogsFromS3.py --loco 4032 --day 2017-08-06</v>
      </c>
      <c r="AN142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851</v>
      </c>
      <c r="B143" s="7">
        <v>4031</v>
      </c>
      <c r="C143" s="21" t="s">
        <v>198</v>
      </c>
      <c r="D143" s="21" t="s">
        <v>614</v>
      </c>
      <c r="E143" s="13">
        <v>42953.905659722222</v>
      </c>
      <c r="F143" s="13">
        <v>42953.915000000001</v>
      </c>
      <c r="G143" s="7">
        <v>1</v>
      </c>
      <c r="H143" s="21" t="s">
        <v>341</v>
      </c>
      <c r="I143" s="13">
        <v>42953.941504629627</v>
      </c>
      <c r="J143" s="7">
        <v>0</v>
      </c>
      <c r="K143" s="89" t="str">
        <f t="shared" si="70"/>
        <v>4031/4032</v>
      </c>
      <c r="L143" s="21" t="str">
        <f>VLOOKUP(A143,'Trips&amp;Operators'!$C$1:$G$99999,5,FALSE)</f>
        <v>ZEWDU DEREJE</v>
      </c>
      <c r="M143" s="6">
        <f t="shared" si="71"/>
        <v>2.6504629626288079E-2</v>
      </c>
      <c r="N143" s="7">
        <f t="shared" si="69"/>
        <v>38.166666661854833</v>
      </c>
      <c r="O143" s="7"/>
      <c r="P143" s="7"/>
      <c r="Q143" s="22"/>
      <c r="R143" s="170"/>
      <c r="S143" s="213">
        <f t="shared" si="65"/>
        <v>1</v>
      </c>
      <c r="T143" s="195" t="str">
        <f t="shared" si="72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3"/>
        <v>https://d0f6bd738d7f1b3e5a7ca70fe4ff75f0.us-east-1.aws.found.io/app/kibana#/discover/Steve-Slow-Train-Analysis-(2080s-and-2083s)?_g=(refreshInterval:(display:Off,pause:!f,section:0,value:0),time:(from:'2017-08-06T20:44:09-0600',mode:absolute,to:'2017-08-06T23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197" t="str">
        <f>IF(AA143&lt;VLOOKUP(AG143,Variables!$AC$3:$AD$8,2,FALSE),"Y","N")</f>
        <v>N</v>
      </c>
      <c r="X143" s="197">
        <f t="shared" si="68"/>
        <v>1</v>
      </c>
      <c r="Y143" s="197">
        <f t="shared" si="62"/>
        <v>23.2986</v>
      </c>
      <c r="Z143" s="197">
        <f t="shared" si="63"/>
        <v>1.4999999999999999E-2</v>
      </c>
      <c r="AA143" s="197">
        <f t="shared" si="74"/>
        <v>23.2836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75"/>
        <v>230</v>
      </c>
      <c r="AE143" s="77" t="str">
        <f t="shared" si="7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43" s="74" t="str">
        <f t="shared" si="77"/>
        <v>"C:\Program Files (x86)\AstroGrep\AstroGrep.exe" /e /r /s /spath="%USERPROFILE%\AppData\Local\Temp\OnboardLogs" /stypes="app*4031*20170807*" /stext=" 04:.+((SYSTEM_STATE.+slice.+state.+changed )|(ment ac)|(multiple cpu faults)|(system.+state.+changed )|(\[timeout)|(PRM\|1\|D)|(kpr)|(kdp)|(train st.+moving)|(\|lc)|(penalty))"</v>
      </c>
      <c r="AG143" s="209" t="str">
        <f t="shared" si="78"/>
        <v>EC</v>
      </c>
      <c r="AH143" s="78" t="str">
        <f t="shared" si="55"/>
        <v>"%USERPROFILE%\Documents\GitHub\eaglep3\Utilities\RefineRTDCRunTimes.py" --tripid 230-06 --locoid 4031 --swversion DE.1.0.9.0 --startMP 204:232986 --initTime 2017-08-06T21:44:09 --startdatetime 2017-08-06T21:57:36 --delay 1 --endMP 204:150 --enddatetime 2017-08-06T22:35:46 --enforcementcount 0 &gt;&gt;C:\Users\stu\Documents\GitHub\eaglep3-reporting\EC\2017-08-06-refined-times.txt</v>
      </c>
      <c r="AI143" s="96" t="str">
        <f t="shared" si="56"/>
        <v>echo {"issue":{"subject":"","project_id":79,"tracker_id":40,"status_id":1,"priority_id":2,"assigned_to_id":23,"start_date":"2017-08-06","description":"","custom_fields":[{"id":1,"name":"Subdivision","value":"EC"},{"id":4,"name":"Milepost","value":"0.015"},{"id":17,"name":"Train ID","value":"230-06"},{"id":16,"name":"Locomotive ID","value":"4031"},{"id":130,"name":"Impact","value":""},{"id":150,"name":"Time of Event (Mountain Time)","value":"22:35:46"},{"id":151,"name":"Denver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7"/>
        <v>start /low /b %USERPROFILE%\Documents\GitHub\eaglep3\Utilities\DownloadLogsFromS3.py --loco 4031 --day 2017-08-06</v>
      </c>
      <c r="AN143" s="151" t="str">
        <f t="shared" si="58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849</v>
      </c>
      <c r="B144" s="7">
        <v>4044</v>
      </c>
      <c r="C144" s="21" t="s">
        <v>198</v>
      </c>
      <c r="D144" s="21" t="s">
        <v>445</v>
      </c>
      <c r="E144" s="13">
        <v>42953.882754629631</v>
      </c>
      <c r="F144" s="13">
        <v>42953.89638888889</v>
      </c>
      <c r="G144" s="7">
        <v>1</v>
      </c>
      <c r="H144" s="21" t="s">
        <v>518</v>
      </c>
      <c r="I144" s="13">
        <v>42953.921284722222</v>
      </c>
      <c r="J144" s="7">
        <v>0</v>
      </c>
      <c r="K144" s="89" t="str">
        <f t="shared" si="70"/>
        <v>4043/4044</v>
      </c>
      <c r="L144" s="21" t="str">
        <f>VLOOKUP(A144,'Trips&amp;Operators'!$C$1:$G$99999,5,FALSE)</f>
        <v>SMITH MICHAEL</v>
      </c>
      <c r="M144" s="6">
        <f t="shared" si="71"/>
        <v>2.4895833332266193E-2</v>
      </c>
      <c r="N144" s="7">
        <f t="shared" si="69"/>
        <v>35.849999998463318</v>
      </c>
      <c r="O144" s="7"/>
      <c r="P144" s="7"/>
      <c r="Q144" s="22"/>
      <c r="R144" s="170"/>
      <c r="S144" s="213">
        <f t="shared" si="65"/>
        <v>1</v>
      </c>
      <c r="T144" s="195" t="str">
        <f t="shared" si="72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3"/>
        <v>https://d0f6bd738d7f1b3e5a7ca70fe4ff75f0.us-east-1.aws.found.io/app/kibana#/discover/Steve-Slow-Train-Analysis-(2080s-and-2083s)?_g=(refreshInterval:(display:Off,pause:!f,section:0,value:0),time:(from:'2017-08-06T20:11:10-0600',mode:absolute,to:'2017-08-06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197" t="str">
        <f>IF(AA144&lt;VLOOKUP(AG144,Variables!$AC$3:$AD$8,2,FALSE),"Y","N")</f>
        <v>N</v>
      </c>
      <c r="X144" s="197">
        <f t="shared" si="68"/>
        <v>1</v>
      </c>
      <c r="Y144" s="197">
        <f t="shared" si="62"/>
        <v>4.5999999999999999E-2</v>
      </c>
      <c r="Z144" s="197">
        <f t="shared" si="63"/>
        <v>23.3293</v>
      </c>
      <c r="AA144" s="197">
        <f t="shared" si="74"/>
        <v>23.283300000000001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75"/>
        <v>231</v>
      </c>
      <c r="AE144" s="77" t="str">
        <f t="shared" si="7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44" s="74" t="str">
        <f t="shared" si="77"/>
        <v>"C:\Program Files (x86)\AstroGrep\AstroGrep.exe" /e /r /s /spath="%USERPROFILE%\AppData\Local\Temp\OnboardLogs" /stypes="app*4044*20170807*" /stext=" 04:.+((SYSTEM_STATE.+slice.+state.+changed )|(ment ac)|(multiple cpu faults)|(system.+state.+changed )|(\[timeout)|(PRM\|1\|D)|(kpr)|(kdp)|(train st.+moving)|(\|lc)|(penalty))"</v>
      </c>
      <c r="AG144" s="209" t="str">
        <f t="shared" si="78"/>
        <v>EC</v>
      </c>
      <c r="AH144" s="78" t="str">
        <f t="shared" ref="AH144:AH207" si="7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231-06 --locoid 4044 --swversion DE.1.0.9.0 --startMP 204:460 --initTime 2017-08-06T21:11:10 --startdatetime 2017-08-06T21:30:48 --delay 1 --endMP 204:233293 --enddatetime 2017-08-06T22:06:39 --enforcementcount 0 &gt;&gt;C:\Users\stu\Documents\GitHub\eaglep3-reporting\EC\2017-08-06-refined-times.txt</v>
      </c>
      <c r="AI144" s="96" t="str">
        <f t="shared" ref="AI144:AI207" si="8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{"issue":{"subject":"","project_id":79,"tracker_id":40,"status_id":1,"priority_id":2,"assigned_to_id":23,"start_date":"2017-08-06","description":"","custom_fields":[{"id":1,"name":"Subdivision","value":"EC"},{"id":4,"name":"Milepost","value":"23.3293"},{"id":17,"name":"Train ID","value":"231-06"},{"id":16,"name":"Locomotive ID","value":"4044"},{"id":130,"name":"Impact","value":""},{"id":150,"name":"Time of Event (Mountain Time)","value":"22:06:39"},{"id":151,"name":"Denver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7" si="81">"start /low /b "&amp;dls3logs&amp;" --loco "&amp;B144&amp;" --day "&amp;TEXT(F144,"YYYY-MM-DD")</f>
        <v>start /low /b %USERPROFILE%\Documents\GitHub\eaglep3\Utilities\DownloadLogsFromS3.py --loco 4044 --day 2017-08-06</v>
      </c>
      <c r="AN144" s="151" t="str">
        <f t="shared" ref="AN144:AN207" si="8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854</v>
      </c>
      <c r="B145" s="7">
        <v>4043</v>
      </c>
      <c r="C145" s="21" t="s">
        <v>198</v>
      </c>
      <c r="D145" s="21" t="s">
        <v>905</v>
      </c>
      <c r="E145" s="13">
        <v>42953.927685185183</v>
      </c>
      <c r="F145" s="13">
        <v>42953.935601851852</v>
      </c>
      <c r="G145" s="7">
        <v>1</v>
      </c>
      <c r="H145" s="21" t="s">
        <v>881</v>
      </c>
      <c r="I145" s="13">
        <v>42953.962164351855</v>
      </c>
      <c r="J145" s="7">
        <v>0</v>
      </c>
      <c r="K145" s="89" t="str">
        <f t="shared" si="70"/>
        <v>4043/4044</v>
      </c>
      <c r="L145" s="21" t="str">
        <f>VLOOKUP(A145,'Trips&amp;Operators'!$C$1:$G$99999,5,FALSE)</f>
        <v>SMITH MICHAEL</v>
      </c>
      <c r="M145" s="6">
        <f t="shared" si="71"/>
        <v>2.6562500002910383E-2</v>
      </c>
      <c r="N145" s="7">
        <f t="shared" si="69"/>
        <v>38.250000004190952</v>
      </c>
      <c r="O145" s="7"/>
      <c r="P145" s="7"/>
      <c r="Q145" s="22"/>
      <c r="R145" s="170"/>
      <c r="S145" s="213">
        <f t="shared" si="65"/>
        <v>1</v>
      </c>
      <c r="T145" s="195" t="str">
        <f t="shared" si="72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3"/>
        <v>https://d0f6bd738d7f1b3e5a7ca70fe4ff75f0.us-east-1.aws.found.io/app/kibana#/discover/Steve-Slow-Train-Analysis-(2080s-and-2083s)?_g=(refreshInterval:(display:Off,pause:!f,section:0,value:0),time:(from:'2017-08-06T21:15:52-0600',mode:absolute,to:'2017-08-07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197" t="str">
        <f>IF(AA145&lt;VLOOKUP(AG145,Variables!$AC$3:$AD$8,2,FALSE),"Y","N")</f>
        <v>N</v>
      </c>
      <c r="X145" s="197">
        <f t="shared" si="68"/>
        <v>1</v>
      </c>
      <c r="Y145" s="197">
        <f t="shared" ref="Y145:Y162" si="83">RIGHT(D145,LEN(D145)-4)/10000</f>
        <v>23.2988</v>
      </c>
      <c r="Z145" s="197">
        <f t="shared" ref="Z145:Z162" si="84">RIGHT(H145,LEN(H145)-4)/10000</f>
        <v>1.2999999999999999E-2</v>
      </c>
      <c r="AA145" s="197">
        <f t="shared" si="74"/>
        <v>23.285799999999998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75"/>
        <v>232</v>
      </c>
      <c r="AE145" s="77" t="str">
        <f t="shared" si="7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45" s="74" t="str">
        <f t="shared" si="77"/>
        <v>"C:\Program Files (x86)\AstroGrep\AstroGrep.exe" /e /r /s /spath="%USERPROFILE%\AppData\Local\Temp\OnboardLogs" /stypes="app*4043*20170807*" /stext=" 05:.+((SYSTEM_STATE.+slice.+state.+changed )|(ment ac)|(multiple cpu faults)|(system.+state.+changed )|(\[timeout)|(PRM\|1\|D)|(kpr)|(kdp)|(train st.+moving)|(\|lc)|(penalty))"</v>
      </c>
      <c r="AG145" s="209" t="str">
        <f t="shared" si="78"/>
        <v>EC</v>
      </c>
      <c r="AH145" s="78" t="str">
        <f t="shared" si="79"/>
        <v>"%USERPROFILE%\Documents\GitHub\eaglep3\Utilities\RefineRTDCRunTimes.py" --tripid 232-06 --locoid 4043 --swversion DE.1.0.9.0 --startMP 204:232988 --initTime 2017-08-06T22:15:52 --startdatetime 2017-08-06T22:27:16 --delay 1 --endMP 204:130 --enddatetime 2017-08-06T23:05:31 --enforcementcount 0 &gt;&gt;C:\Users\stu\Documents\GitHub\eaglep3-reporting\EC\2017-08-06-refined-times.txt</v>
      </c>
      <c r="AI145" s="96" t="str">
        <f t="shared" si="80"/>
        <v>echo {"issue":{"subject":"","project_id":79,"tracker_id":40,"status_id":1,"priority_id":2,"assigned_to_id":23,"start_date":"2017-08-06","description":"","custom_fields":[{"id":1,"name":"Subdivision","value":"EC"},{"id":4,"name":"Milepost","value":"0.013"},{"id":17,"name":"Train ID","value":"232-06"},{"id":16,"name":"Locomotive ID","value":"4043"},{"id":130,"name":"Impact","value":""},{"id":150,"name":"Time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81"/>
        <v>start /low /b %USERPROFILE%\Documents\GitHub\eaglep3\Utilities\DownloadLogsFromS3.py --loco 4043 --day 2017-08-06</v>
      </c>
      <c r="AN145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852</v>
      </c>
      <c r="B146" s="7">
        <v>4006</v>
      </c>
      <c r="C146" s="21" t="s">
        <v>198</v>
      </c>
      <c r="D146" s="21" t="s">
        <v>445</v>
      </c>
      <c r="E146" s="13">
        <v>42953.913217592592</v>
      </c>
      <c r="F146" s="13">
        <v>42953.917175925926</v>
      </c>
      <c r="G146" s="7">
        <v>1</v>
      </c>
      <c r="H146" s="21" t="s">
        <v>518</v>
      </c>
      <c r="I146" s="13">
        <v>42953.941643518519</v>
      </c>
      <c r="J146" s="7">
        <v>0</v>
      </c>
      <c r="K146" s="89" t="str">
        <f t="shared" si="70"/>
        <v>4005/4006</v>
      </c>
      <c r="L146" s="21" t="str">
        <f>VLOOKUP(A146,'Trips&amp;Operators'!$C$1:$G$99999,5,FALSE)</f>
        <v>BIRENBAUM THOMAS</v>
      </c>
      <c r="M146" s="6">
        <f t="shared" si="71"/>
        <v>2.4467592593282461E-2</v>
      </c>
      <c r="N146" s="7">
        <f t="shared" si="69"/>
        <v>35.233333334326744</v>
      </c>
      <c r="O146" s="7"/>
      <c r="P146" s="7"/>
      <c r="Q146" s="22"/>
      <c r="R146" s="170"/>
      <c r="S146" s="213">
        <f t="shared" si="65"/>
        <v>1</v>
      </c>
      <c r="T146" s="195" t="str">
        <f t="shared" si="72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3"/>
        <v>https://d0f6bd738d7f1b3e5a7ca70fe4ff75f0.us-east-1.aws.found.io/app/kibana#/discover/Steve-Slow-Train-Analysis-(2080s-and-2083s)?_g=(refreshInterval:(display:Off,pause:!f,section:0,value:0),time:(from:'2017-08-06T20:55:02-0600',mode:absolute,to:'2017-08-06T23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6" s="197" t="str">
        <f>IF(AA146&lt;VLOOKUP(AG146,Variables!$AC$3:$AD$8,2,FALSE),"Y","N")</f>
        <v>N</v>
      </c>
      <c r="X146" s="197">
        <f t="shared" si="68"/>
        <v>1</v>
      </c>
      <c r="Y146" s="197">
        <f t="shared" si="83"/>
        <v>4.5999999999999999E-2</v>
      </c>
      <c r="Z146" s="197">
        <f t="shared" si="84"/>
        <v>23.3293</v>
      </c>
      <c r="AA146" s="197">
        <f t="shared" si="74"/>
        <v>23.283300000000001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75"/>
        <v>233</v>
      </c>
      <c r="AE146" s="77" t="str">
        <f t="shared" si="76"/>
        <v>aws s3 cp s3://rtdc.mdm.uploadarchive.raw/RTDC4006/ "%USERPROFILE%\AppData\Local\Temp\OnboardLogs"\RTDC4006\2017-08-06 --exclude "*" --recursive --include "*20170806*" &amp; "%USERPROFILE%\Documents\GitHub\mrs-test-scripts\Headless Mode &amp; Sideloading\WalkAndUnGZ.bat" "%USERPROFILE%\AppData\Local\Temp\OnboardLogs"\RTDC4006\2017-08-06 &amp; 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</v>
      </c>
      <c r="AF146" s="74" t="str">
        <f t="shared" si="77"/>
        <v>"C:\Program Files (x86)\AstroGrep\AstroGrep.exe" /e /r /s /spath="%USERPROFILE%\AppData\Local\Temp\OnboardLogs" /stypes="app*4006*20170807*" /stext=" 04:.+((SYSTEM_STATE.+slice.+state.+changed )|(ment ac)|(multiple cpu faults)|(system.+state.+changed )|(\[timeout)|(PRM\|1\|D)|(kpr)|(kdp)|(train st.+moving)|(\|lc)|(penalty))"</v>
      </c>
      <c r="AG146" s="209" t="str">
        <f t="shared" si="78"/>
        <v>EC</v>
      </c>
      <c r="AH146" s="78" t="str">
        <f t="shared" si="79"/>
        <v>"%USERPROFILE%\Documents\GitHub\eaglep3\Utilities\RefineRTDCRunTimes.py" --tripid 233-06 --locoid 4006 --swversion DE.1.0.9.0 --startMP 204:460 --initTime 2017-08-06T21:55:02 --startdatetime 2017-08-06T22:00:44 --delay 1 --endMP 204:233293 --enddatetime 2017-08-06T22:35:58 --enforcementcount 0 &gt;&gt;C:\Users\stu\Documents\GitHub\eaglep3-reporting\EC\2017-08-06-refined-times.txt</v>
      </c>
      <c r="AI146" s="96" t="str">
        <f t="shared" si="80"/>
        <v>echo {"issue":{"subject":"","project_id":79,"tracker_id":40,"status_id":1,"priority_id":2,"assigned_to_id":23,"start_date":"2017-08-06","description":"","custom_fields":[{"id":1,"name":"Subdivision","value":"EC"},{"id":4,"name":"Milepost","value":"23.3293"},{"id":17,"name":"Train ID","value":"233-06"},{"id":16,"name":"Locomotive ID","value":"4006"},{"id":130,"name":"Impact","value":""},{"id":150,"name":"Time of Event (Mountain Time)","value":"22:35:58"},{"id":151,"name":"Denver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1"/>
        <v>start /low /b %USERPROFILE%\Documents\GitHub\eaglep3\Utilities\DownloadLogsFromS3.py --loco 4006 --day 2017-08-06</v>
      </c>
      <c r="AN146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856</v>
      </c>
      <c r="B147" s="7">
        <v>4005</v>
      </c>
      <c r="C147" s="21" t="s">
        <v>198</v>
      </c>
      <c r="D147" s="21" t="s">
        <v>904</v>
      </c>
      <c r="E147" s="13">
        <v>42953.953958333332</v>
      </c>
      <c r="F147" s="13">
        <v>42953.956550925926</v>
      </c>
      <c r="G147" s="7">
        <v>1</v>
      </c>
      <c r="H147" s="21" t="s">
        <v>499</v>
      </c>
      <c r="I147" s="13">
        <v>42953.982766203706</v>
      </c>
      <c r="J147" s="7">
        <v>0</v>
      </c>
      <c r="K147" s="89" t="str">
        <f t="shared" si="70"/>
        <v>4005/4006</v>
      </c>
      <c r="L147" s="21" t="str">
        <f>VLOOKUP(A147,'Trips&amp;Operators'!$C$1:$G$99999,5,FALSE)</f>
        <v>BIRENBAUM THOMAS</v>
      </c>
      <c r="M147" s="6">
        <f t="shared" si="71"/>
        <v>2.6215277779556345E-2</v>
      </c>
      <c r="N147" s="7">
        <f t="shared" si="69"/>
        <v>37.750000002561137</v>
      </c>
      <c r="O147" s="7"/>
      <c r="P147" s="7"/>
      <c r="Q147" s="22"/>
      <c r="R147" s="170"/>
      <c r="S147" s="213">
        <f t="shared" ref="S147:S178" si="85">1/IF(AG147="EC",12,1)*SUM(U147:U147)</f>
        <v>1</v>
      </c>
      <c r="T147" s="195" t="str">
        <f t="shared" si="72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3"/>
        <v>https://d0f6bd738d7f1b3e5a7ca70fe4ff75f0.us-east-1.aws.found.io/app/kibana#/discover/Steve-Slow-Train-Analysis-(2080s-and-2083s)?_g=(refreshInterval:(display:Off,pause:!f,section:0,value:0),time:(from:'2017-08-06T21:53:42-0600',mode:absolute,to:'2017-08-07T00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7" s="197" t="str">
        <f>IF(AA147&lt;VLOOKUP(AG147,Variables!$AC$3:$AD$8,2,FALSE),"Y","N")</f>
        <v>N</v>
      </c>
      <c r="X147" s="197">
        <f t="shared" si="68"/>
        <v>1</v>
      </c>
      <c r="Y147" s="197">
        <f t="shared" si="83"/>
        <v>23.297000000000001</v>
      </c>
      <c r="Z147" s="197">
        <f t="shared" si="84"/>
        <v>1.61E-2</v>
      </c>
      <c r="AA147" s="197">
        <f t="shared" si="74"/>
        <v>23.280899999999999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75"/>
        <v>234</v>
      </c>
      <c r="AE147" s="77" t="str">
        <f t="shared" si="7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47" s="74" t="str">
        <f t="shared" si="77"/>
        <v>"C:\Program Files (x86)\AstroGrep\AstroGrep.exe" /e /r /s /spath="%USERPROFILE%\AppData\Local\Temp\OnboardLogs" /stypes="app*4005*20170807*" /stext=" 05:.+((SYSTEM_STATE.+slice.+state.+changed )|(ment ac)|(multiple cpu faults)|(system.+state.+changed )|(\[timeout)|(PRM\|1\|D)|(kpr)|(kdp)|(train st.+moving)|(\|lc)|(penalty))"</v>
      </c>
      <c r="AG147" s="209" t="str">
        <f t="shared" si="78"/>
        <v>EC</v>
      </c>
      <c r="AH147" s="78" t="str">
        <f t="shared" si="79"/>
        <v>"%USERPROFILE%\Documents\GitHub\eaglep3\Utilities\RefineRTDCRunTimes.py" --tripid 234-06 --locoid 4005 --swversion DE.1.0.9.0 --startMP 204:232970 --initTime 2017-08-06T22:53:42 --startdatetime 2017-08-06T22:57:26 --delay 1 --endMP 204:161 --enddatetime 2017-08-06T23:35:11 --enforcementcount 0 &gt;&gt;C:\Users\stu\Documents\GitHub\eaglep3-reporting\EC\2017-08-06-refined-times.txt</v>
      </c>
      <c r="AI147" s="96" t="str">
        <f t="shared" si="80"/>
        <v>echo {"issue":{"subject":"","project_id":79,"tracker_id":40,"status_id":1,"priority_id":2,"assigned_to_id":23,"start_date":"2017-08-06","description":"","custom_fields":[{"id":1,"name":"Subdivision","value":"EC"},{"id":4,"name":"Milepost","value":"0.0161"},{"id":17,"name":"Train ID","value":"234-06"},{"id":16,"name":"Locomotive ID","value":"4005"},{"id":130,"name":"Impact","value":""},{"id":150,"name":"Time of Event (Mountain Time)","value":"23:35:11"},{"id":151,"name":"Denver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1"/>
        <v>start /low /b %USERPROFILE%\Documents\GitHub\eaglep3\Utilities\DownloadLogsFromS3.py --loco 4005 --day 2017-08-06</v>
      </c>
      <c r="AN147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05:35:11"},{"id":29,"name":"Sharepoint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853</v>
      </c>
      <c r="B148" s="7">
        <v>4004</v>
      </c>
      <c r="C148" s="21" t="s">
        <v>198</v>
      </c>
      <c r="D148" s="21" t="s">
        <v>340</v>
      </c>
      <c r="E148" s="13">
        <v>42953.923784722225</v>
      </c>
      <c r="F148" s="13">
        <v>42953.938113425924</v>
      </c>
      <c r="G148" s="7">
        <v>0</v>
      </c>
      <c r="H148" s="21" t="s">
        <v>501</v>
      </c>
      <c r="I148" s="13">
        <v>42953.962696759256</v>
      </c>
      <c r="J148" s="7">
        <v>0</v>
      </c>
      <c r="K148" s="89" t="str">
        <f t="shared" si="70"/>
        <v>4003/4004</v>
      </c>
      <c r="L148" s="21" t="str">
        <f>VLOOKUP(A148,'Trips&amp;Operators'!$C$1:$G$99999,5,FALSE)</f>
        <v>HAITHCOX MICHAEL</v>
      </c>
      <c r="M148" s="6">
        <f t="shared" si="71"/>
        <v>2.4583333331975155E-2</v>
      </c>
      <c r="N148" s="7">
        <f t="shared" si="69"/>
        <v>35.399999998044223</v>
      </c>
      <c r="O148" s="7"/>
      <c r="P148" s="7"/>
      <c r="Q148" s="22"/>
      <c r="R148" s="170"/>
      <c r="S148" s="213">
        <f t="shared" si="85"/>
        <v>1</v>
      </c>
      <c r="T148" s="195" t="str">
        <f t="shared" si="72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3"/>
        <v>https://d0f6bd738d7f1b3e5a7ca70fe4ff75f0.us-east-1.aws.found.io/app/kibana#/discover/Steve-Slow-Train-Analysis-(2080s-and-2083s)?_g=(refreshInterval:(display:Off,pause:!f,section:0,value:0),time:(from:'2017-08-06T21:10:15-0600',mode:absolute,to:'2017-08-07T00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8" s="197" t="str">
        <f>IF(AA148&lt;VLOOKUP(AG148,Variables!$AC$3:$AD$8,2,FALSE),"Y","N")</f>
        <v>N</v>
      </c>
      <c r="X148" s="197">
        <f t="shared" si="68"/>
        <v>1</v>
      </c>
      <c r="Y148" s="197">
        <f t="shared" si="83"/>
        <v>4.4600000000000001E-2</v>
      </c>
      <c r="Z148" s="197">
        <f t="shared" si="84"/>
        <v>23.329499999999999</v>
      </c>
      <c r="AA148" s="197">
        <f t="shared" si="74"/>
        <v>23.2849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75"/>
        <v>235</v>
      </c>
      <c r="AE148" s="77" t="str">
        <f t="shared" si="76"/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AF148" s="74" t="str">
        <f t="shared" si="77"/>
        <v>"C:\Program Files (x86)\AstroGrep\AstroGrep.exe" /e /r /s /spath="%USERPROFILE%\AppData\Local\Temp\OnboardLogs" /stypes="app*4004*20170807*" /stext=" 05:.+((SYSTEM_STATE.+slice.+state.+changed )|(ment ac)|(multiple cpu faults)|(system.+state.+changed )|(\[timeout)|(PRM\|1\|D)|(kpr)|(kdp)|(train st.+moving)|(\|lc)|(penalty))"</v>
      </c>
      <c r="AG148" s="209" t="str">
        <f t="shared" si="78"/>
        <v>EC</v>
      </c>
      <c r="AH148" s="78" t="str">
        <f t="shared" si="79"/>
        <v>"%USERPROFILE%\Documents\GitHub\eaglep3\Utilities\RefineRTDCRunTimes.py" --tripid 235-06 --locoid 4004 --swversion DE.1.0.9.0 --startMP 204:446 --initTime 2017-08-06T22:10:15 --startdatetime 2017-08-06T22:30:53 --delay 0 --endMP 204:233295 --enddatetime 2017-08-06T23:06:17 --enforcementcount 0 &gt;&gt;C:\Users\stu\Documents\GitHub\eaglep3-reporting\EC\2017-08-06-refined-times.txt</v>
      </c>
      <c r="AI148" s="96" t="str">
        <f t="shared" si="80"/>
        <v>echo {"issue":{"subject":"","project_id":79,"tracker_id":40,"status_id":1,"priority_id":2,"assigned_to_id":23,"start_date":"2017-08-06","description":"","custom_fields":[{"id":1,"name":"Subdivision","value":"EC"},{"id":4,"name":"Milepost","value":"23.3295"},{"id":17,"name":"Train ID","value":"235-06"},{"id":16,"name":"Locomotive ID","value":"4004"},{"id":130,"name":"Impact","value":""},{"id":150,"name":"Time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1"/>
        <v>start /low /b %USERPROFILE%\Documents\GitHub\eaglep3\Utilities\DownloadLogsFromS3.py --loco 4004 --day 2017-08-06</v>
      </c>
      <c r="AN148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858</v>
      </c>
      <c r="B149" s="7">
        <v>4003</v>
      </c>
      <c r="C149" s="21" t="s">
        <v>198</v>
      </c>
      <c r="D149" s="21" t="s">
        <v>502</v>
      </c>
      <c r="E149" s="13">
        <v>42953.964699074073</v>
      </c>
      <c r="F149" s="13">
        <v>42953.977268518516</v>
      </c>
      <c r="G149" s="7">
        <v>1</v>
      </c>
      <c r="H149" s="21" t="s">
        <v>991</v>
      </c>
      <c r="I149" s="13">
        <v>42954.005162037036</v>
      </c>
      <c r="J149" s="7">
        <v>0</v>
      </c>
      <c r="K149" s="89" t="str">
        <f t="shared" si="70"/>
        <v>4003/4004</v>
      </c>
      <c r="L149" s="21" t="str">
        <f>VLOOKUP(A149,'Trips&amp;Operators'!$C$1:$G$99999,5,FALSE)</f>
        <v>HAITHCOX MICHAEL</v>
      </c>
      <c r="M149" s="6">
        <f t="shared" si="71"/>
        <v>2.789351851970423E-2</v>
      </c>
      <c r="N149" s="7">
        <f t="shared" si="69"/>
        <v>40.166666668374091</v>
      </c>
      <c r="O149" s="7"/>
      <c r="P149" s="7"/>
      <c r="Q149" s="22"/>
      <c r="R149" s="170"/>
      <c r="S149" s="213">
        <f t="shared" si="85"/>
        <v>1</v>
      </c>
      <c r="T149" s="195" t="str">
        <f t="shared" si="72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3"/>
        <v>https://d0f6bd738d7f1b3e5a7ca70fe4ff75f0.us-east-1.aws.found.io/app/kibana#/discover/Steve-Slow-Train-Analysis-(2080s-and-2083s)?_g=(refreshInterval:(display:Off,pause:!f,section:0,value:0),time:(from:'2017-08-06T22:09:10-0600',mode:absolute,to:'2017-08-07T01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9" s="197" t="str">
        <f>IF(AA149&lt;VLOOKUP(AG149,Variables!$AC$3:$AD$8,2,FALSE),"Y","N")</f>
        <v>N</v>
      </c>
      <c r="X149" s="197">
        <f t="shared" si="68"/>
        <v>1</v>
      </c>
      <c r="Y149" s="197">
        <f t="shared" si="83"/>
        <v>23.297499999999999</v>
      </c>
      <c r="Z149" s="197">
        <f t="shared" si="84"/>
        <v>1.8100000000000002E-2</v>
      </c>
      <c r="AA149" s="197">
        <f t="shared" si="74"/>
        <v>23.279399999999999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75"/>
        <v>236</v>
      </c>
      <c r="AE149" s="77" t="str">
        <f t="shared" si="7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49" s="74" t="str">
        <f t="shared" si="77"/>
        <v>"C:\Program Files (x86)\AstroGrep\AstroGrep.exe" /e /r /s /spath="%USERPROFILE%\AppData\Local\Temp\OnboardLogs" /stypes="app*4003*20170807*" /stext=" 06:.+((SYSTEM_STATE.+slice.+state.+changed )|(ment ac)|(multiple cpu faults)|(system.+state.+changed )|(\[timeout)|(PRM\|1\|D)|(kpr)|(kdp)|(train st.+moving)|(\|lc)|(penalty))"</v>
      </c>
      <c r="AG149" s="209" t="str">
        <f t="shared" si="78"/>
        <v>EC</v>
      </c>
      <c r="AH149" s="78" t="str">
        <f t="shared" si="79"/>
        <v>"%USERPROFILE%\Documents\GitHub\eaglep3\Utilities\RefineRTDCRunTimes.py" --tripid 236-06 --locoid 4003 --swversion DE.1.0.9.0 --startMP 204:232975 --initTime 2017-08-06T23:09:10 --startdatetime 2017-08-06T23:27:16 --delay 1 --endMP 204:181 --enddatetime 2017-08-07T00:07:26 --enforcementcount 0 &gt;&gt;C:\Users\stu\Documents\GitHub\eaglep3-reporting\EC\2017-08-06-refined-times.txt</v>
      </c>
      <c r="AI149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{"issue":{"subject":"","project_id":79,"tracker_id":40,"status_id":1,"priority_id":2,"assigned_to_id":23,"start_date":"2017-08-07","description":"","custom_fields":[{"id":1,"name":"Subdivision","value":"EC"},{"id":4,"name":"Milepost","value":"0.0181"},{"id":17,"name":"Train ID","value":"236-06"},{"id":16,"name":"Locomotive ID","value":"4003"},{"id":130,"name":"Impact","value":""},{"id":150,"name":"Time of Event (Mountain Time)","value":"00:07:26"},{"id":151,"name":"Denver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1"/>
        <v>start /low /b %USERPROFILE%\Documents\GitHub\eaglep3\Utilities\DownloadLogsFromS3.py --loco 4003 --day 2017-08-06</v>
      </c>
      <c r="AN149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06:07:26"},{"id":29,"name":"Sharepoint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855</v>
      </c>
      <c r="B150" s="7">
        <v>4032</v>
      </c>
      <c r="C150" s="21" t="s">
        <v>198</v>
      </c>
      <c r="D150" s="21" t="s">
        <v>395</v>
      </c>
      <c r="E150" s="13">
        <v>42953.944212962961</v>
      </c>
      <c r="F150" s="13">
        <v>42953.958877314813</v>
      </c>
      <c r="G150" s="7">
        <v>1</v>
      </c>
      <c r="H150" s="21" t="s">
        <v>897</v>
      </c>
      <c r="I150" s="13">
        <v>42953.984074074076</v>
      </c>
      <c r="J150" s="7">
        <v>0</v>
      </c>
      <c r="K150" s="89" t="str">
        <f t="shared" si="70"/>
        <v>4031/4032</v>
      </c>
      <c r="L150" s="21" t="str">
        <f>VLOOKUP(A150,'Trips&amp;Operators'!$C$1:$G$99999,5,FALSE)</f>
        <v>ZEWDU DEREJE</v>
      </c>
      <c r="M150" s="6">
        <f t="shared" si="71"/>
        <v>2.5196759263053536E-2</v>
      </c>
      <c r="N150" s="7">
        <f t="shared" si="69"/>
        <v>36.283333338797092</v>
      </c>
      <c r="O150" s="7"/>
      <c r="P150" s="7"/>
      <c r="Q150" s="22"/>
      <c r="R150" s="170"/>
      <c r="S150" s="213">
        <f t="shared" si="85"/>
        <v>1</v>
      </c>
      <c r="T150" s="195" t="str">
        <f t="shared" si="72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3"/>
        <v>https://d0f6bd738d7f1b3e5a7ca70fe4ff75f0.us-east-1.aws.found.io/app/kibana#/discover/Steve-Slow-Train-Analysis-(2080s-and-2083s)?_g=(refreshInterval:(display:Off,pause:!f,section:0,value:0),time:(from:'2017-08-06T21:39:40-0600',mode:absolute,to:'2017-08-07T00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197" t="str">
        <f>IF(AA150&lt;VLOOKUP(AG150,Variables!$AC$3:$AD$8,2,FALSE),"Y","N")</f>
        <v>N</v>
      </c>
      <c r="X150" s="197">
        <f t="shared" si="68"/>
        <v>1</v>
      </c>
      <c r="Y150" s="197">
        <f t="shared" si="83"/>
        <v>4.5499999999999999E-2</v>
      </c>
      <c r="Z150" s="197">
        <f t="shared" si="84"/>
        <v>23.330200000000001</v>
      </c>
      <c r="AA150" s="197">
        <f t="shared" si="74"/>
        <v>23.284700000000001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75"/>
        <v>237</v>
      </c>
      <c r="AE150" s="77" t="str">
        <f t="shared" si="76"/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AF150" s="74" t="str">
        <f t="shared" si="77"/>
        <v>"C:\Program Files (x86)\AstroGrep\AstroGrep.exe" /e /r /s /spath="%USERPROFILE%\AppData\Local\Temp\OnboardLogs" /stypes="app*4032*20170807*" /stext=" 05:.+((SYSTEM_STATE.+slice.+state.+changed )|(ment ac)|(multiple cpu faults)|(system.+state.+changed )|(\[timeout)|(PRM\|1\|D)|(kpr)|(kdp)|(train st.+moving)|(\|lc)|(penalty))"</v>
      </c>
      <c r="AG150" s="209" t="str">
        <f t="shared" si="78"/>
        <v>EC</v>
      </c>
      <c r="AH150" s="78" t="str">
        <f t="shared" si="79"/>
        <v>"%USERPROFILE%\Documents\GitHub\eaglep3\Utilities\RefineRTDCRunTimes.py" --tripid 237-06 --locoid 4032 --swversion DE.1.0.9.0 --startMP 204:455 --initTime 2017-08-06T22:39:40 --startdatetime 2017-08-06T23:00:47 --delay 1 --endMP 204:233302 --enddatetime 2017-08-06T23:37:04 --enforcementcount 0 &gt;&gt;C:\Users\stu\Documents\GitHub\eaglep3-reporting\EC\2017-08-06-refined-times.txt</v>
      </c>
      <c r="AI150" s="96" t="str">
        <f t="shared" si="80"/>
        <v>echo {"issue":{"subject":"","project_id":79,"tracker_id":40,"status_id":1,"priority_id":2,"assigned_to_id":23,"start_date":"2017-08-06","description":"","custom_fields":[{"id":1,"name":"Subdivision","value":"EC"},{"id":4,"name":"Milepost","value":"23.3302"},{"id":17,"name":"Train ID","value":"237-06"},{"id":16,"name":"Locomotive ID","value":"4032"},{"id":130,"name":"Impact","value":""},{"id":150,"name":"Time of Event (Mountain Time)","value":"23:37:04"},{"id":151,"name":"Denver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1"/>
        <v>start /low /b %USERPROFILE%\Documents\GitHub\eaglep3\Utilities\DownloadLogsFromS3.py --loco 4032 --day 2017-08-06</v>
      </c>
      <c r="AN150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05:37:04"},{"id":29,"name":"Sharepoint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859</v>
      </c>
      <c r="B151" s="7">
        <v>4031</v>
      </c>
      <c r="C151" s="21" t="s">
        <v>198</v>
      </c>
      <c r="D151" s="21" t="s">
        <v>562</v>
      </c>
      <c r="E151" s="13">
        <v>42953.994074074071</v>
      </c>
      <c r="F151" s="13">
        <v>42953.998379629629</v>
      </c>
      <c r="G151" s="7">
        <v>1</v>
      </c>
      <c r="H151" s="21" t="s">
        <v>992</v>
      </c>
      <c r="I151" s="13">
        <v>42954.02548611111</v>
      </c>
      <c r="J151" s="7">
        <v>0</v>
      </c>
      <c r="K151" s="89" t="str">
        <f t="shared" si="70"/>
        <v>4031/4032</v>
      </c>
      <c r="L151" s="21" t="str">
        <f>VLOOKUP(A151,'Trips&amp;Operators'!$C$1:$G$99999,5,FALSE)</f>
        <v>ZEWDU DEREJE</v>
      </c>
      <c r="M151" s="6">
        <f t="shared" si="71"/>
        <v>2.7106481480586808E-2</v>
      </c>
      <c r="N151" s="7">
        <f t="shared" si="69"/>
        <v>39.033333332045004</v>
      </c>
      <c r="O151" s="7"/>
      <c r="P151" s="7"/>
      <c r="Q151" s="22"/>
      <c r="R151" s="170"/>
      <c r="S151" s="213">
        <f t="shared" si="85"/>
        <v>1</v>
      </c>
      <c r="T151" s="195" t="str">
        <f t="shared" si="72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3"/>
        <v>https://d0f6bd738d7f1b3e5a7ca70fe4ff75f0.us-east-1.aws.found.io/app/kibana#/discover/Steve-Slow-Train-Analysis-(2080s-and-2083s)?_g=(refreshInterval:(display:Off,pause:!f,section:0,value:0),time:(from:'2017-08-06T22:51:28-0600',mode:absolute,to:'2017-08-07T01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197" t="str">
        <f>IF(AA151&lt;VLOOKUP(AG151,Variables!$AC$3:$AD$8,2,FALSE),"Y","N")</f>
        <v>N</v>
      </c>
      <c r="X151" s="197">
        <f t="shared" si="68"/>
        <v>1</v>
      </c>
      <c r="Y151" s="197">
        <f t="shared" si="83"/>
        <v>23.2987</v>
      </c>
      <c r="Z151" s="197">
        <f t="shared" si="84"/>
        <v>2.01E-2</v>
      </c>
      <c r="AA151" s="197">
        <f t="shared" si="74"/>
        <v>23.278600000000001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75"/>
        <v>238</v>
      </c>
      <c r="AE151" s="77" t="str">
        <f t="shared" si="76"/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AF151" s="74" t="str">
        <f t="shared" si="77"/>
        <v>"C:\Program Files (x86)\AstroGrep\AstroGrep.exe" /e /r /s /spath="%USERPROFILE%\AppData\Local\Temp\OnboardLogs" /stypes="app*4031*20170807*" /stext=" 06:.+((SYSTEM_STATE.+slice.+state.+changed )|(ment ac)|(multiple cpu faults)|(system.+state.+changed )|(\[timeout)|(PRM\|1\|D)|(kpr)|(kdp)|(train st.+moving)|(\|lc)|(penalty))"</v>
      </c>
      <c r="AG151" s="209" t="str">
        <f t="shared" si="78"/>
        <v>EC</v>
      </c>
      <c r="AH151" s="78" t="str">
        <f t="shared" si="79"/>
        <v>"%USERPROFILE%\Documents\GitHub\eaglep3\Utilities\RefineRTDCRunTimes.py" --tripid 238-06 --locoid 4031 --swversion DE.1.0.9.0 --startMP 204:232987 --initTime 2017-08-06T23:51:28 --startdatetime 2017-08-06T23:57:40 --delay 1 --endMP 204:201 --enddatetime 2017-08-07T00:36:42 --enforcementcount 0 &gt;&gt;C:\Users\stu\Documents\GitHub\eaglep3-reporting\EC\2017-08-06-refined-times.txt</v>
      </c>
      <c r="AI151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{"issue":{"subject":"","project_id":79,"tracker_id":40,"status_id":1,"priority_id":2,"assigned_to_id":23,"start_date":"2017-08-07","description":"","custom_fields":[{"id":1,"name":"Subdivision","value":"EC"},{"id":4,"name":"Milepost","value":"0.0201"},{"id":17,"name":"Train ID","value":"238-06"},{"id":16,"name":"Locomotive ID","value":"4031"},{"id":130,"name":"Impact","value":""},{"id":150,"name":"Time of Event (Mountain Time)","value":"00:36:42"},{"id":151,"name":"Denver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1"/>
        <v>start /low /b %USERPROFILE%\Documents\GitHub\eaglep3\Utilities\DownloadLogsFromS3.py --loco 4031 --day 2017-08-06</v>
      </c>
      <c r="AN151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06:36:42"},{"id":29,"name":"Sharepoint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857</v>
      </c>
      <c r="B152" s="7">
        <v>4044</v>
      </c>
      <c r="C152" s="21" t="s">
        <v>198</v>
      </c>
      <c r="D152" s="21" t="s">
        <v>446</v>
      </c>
      <c r="E152" s="13">
        <v>42953.96434027778</v>
      </c>
      <c r="F152" s="13">
        <v>42953.979814814818</v>
      </c>
      <c r="G152" s="7">
        <v>1</v>
      </c>
      <c r="H152" s="21" t="s">
        <v>981</v>
      </c>
      <c r="I152" s="13">
        <v>42954.00408564815</v>
      </c>
      <c r="J152" s="7">
        <v>0</v>
      </c>
      <c r="K152" s="89" t="str">
        <f t="shared" si="70"/>
        <v>4043/4044</v>
      </c>
      <c r="L152" s="21" t="str">
        <f>VLOOKUP(A152,'Trips&amp;Operators'!$C$1:$G$99999,5,FALSE)</f>
        <v>SMITH MICHAEL</v>
      </c>
      <c r="M152" s="6">
        <f t="shared" si="71"/>
        <v>2.4270833331684116E-2</v>
      </c>
      <c r="N152" s="7">
        <f t="shared" si="69"/>
        <v>34.949999997625127</v>
      </c>
      <c r="O152" s="7"/>
      <c r="P152" s="7"/>
      <c r="Q152" s="22"/>
      <c r="R152" s="170"/>
      <c r="S152" s="213">
        <f t="shared" si="85"/>
        <v>1</v>
      </c>
      <c r="T152" s="195" t="str">
        <f t="shared" si="72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3"/>
        <v>https://d0f6bd738d7f1b3e5a7ca70fe4ff75f0.us-east-1.aws.found.io/app/kibana#/discover/Steve-Slow-Train-Analysis-(2080s-and-2083s)?_g=(refreshInterval:(display:Off,pause:!f,section:0,value:0),time:(from:'2017-08-06T22:08:39-0600',mode:absolute,to:'2017-08-07T01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197" t="str">
        <f>IF(AA152&lt;VLOOKUP(AG152,Variables!$AC$3:$AD$8,2,FALSE),"Y","N")</f>
        <v>N</v>
      </c>
      <c r="X152" s="197">
        <f t="shared" si="68"/>
        <v>1</v>
      </c>
      <c r="Y152" s="197">
        <f t="shared" si="83"/>
        <v>4.4900000000000002E-2</v>
      </c>
      <c r="Z152" s="197">
        <f t="shared" si="84"/>
        <v>23.329899999999999</v>
      </c>
      <c r="AA152" s="197">
        <f t="shared" si="74"/>
        <v>23.285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75"/>
        <v>239</v>
      </c>
      <c r="AE152" s="77" t="str">
        <f t="shared" si="76"/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AF152" s="74" t="str">
        <f t="shared" si="77"/>
        <v>"C:\Program Files (x86)\AstroGrep\AstroGrep.exe" /e /r /s /spath="%USERPROFILE%\AppData\Local\Temp\OnboardLogs" /stypes="app*4044*20170807*" /stext=" 06:.+((SYSTEM_STATE.+slice.+state.+changed )|(ment ac)|(multiple cpu faults)|(system.+state.+changed )|(\[timeout)|(PRM\|1\|D)|(kpr)|(kdp)|(train st.+moving)|(\|lc)|(penalty))"</v>
      </c>
      <c r="AG152" s="209" t="str">
        <f t="shared" si="78"/>
        <v>EC</v>
      </c>
      <c r="AH152" s="78" t="str">
        <f t="shared" si="79"/>
        <v>"%USERPROFILE%\Documents\GitHub\eaglep3\Utilities\RefineRTDCRunTimes.py" --tripid 239-06 --locoid 4044 --swversion DE.1.0.9.0 --startMP 204:449 --initTime 2017-08-06T23:08:39 --startdatetime 2017-08-06T23:30:56 --delay 1 --endMP 204:233299 --enddatetime 2017-08-07T00:05:53 --enforcementcount 0 &gt;&gt;C:\Users\stu\Documents\GitHub\eaglep3-reporting\EC\2017-08-06-refined-times.txt</v>
      </c>
      <c r="AI152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{"issue":{"subject":"","project_id":79,"tracker_id":40,"status_id":1,"priority_id":2,"assigned_to_id":23,"start_date":"2017-08-07","description":"","custom_fields":[{"id":1,"name":"Subdivision","value":"EC"},{"id":4,"name":"Milepost","value":"23.3299"},{"id":17,"name":"Train ID","value":"239-06"},{"id":16,"name":"Locomotive ID","value":"4044"},{"id":130,"name":"Impact","value":""},{"id":150,"name":"Time of Event (Mountain Time)","value":"00:05:53"},{"id":151,"name":"Denver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81"/>
        <v>start /low /b %USERPROFILE%\Documents\GitHub\eaglep3\Utilities\DownloadLogsFromS3.py --loco 4044 --day 2017-08-06</v>
      </c>
      <c r="AN152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06:05:53"},{"id":29,"name":"Sharepoint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x14ac:dyDescent="0.25">
      <c r="A153" s="32" t="s">
        <v>862</v>
      </c>
      <c r="B153" s="7">
        <v>4043</v>
      </c>
      <c r="C153" s="21" t="s">
        <v>198</v>
      </c>
      <c r="D153" s="21" t="s">
        <v>611</v>
      </c>
      <c r="E153" s="13">
        <v>42954.009432870371</v>
      </c>
      <c r="F153" s="13">
        <v>42954.018958333334</v>
      </c>
      <c r="G153" s="7">
        <v>1</v>
      </c>
      <c r="H153" s="21" t="s">
        <v>352</v>
      </c>
      <c r="I153" s="13">
        <v>42954.045081018521</v>
      </c>
      <c r="J153" s="7">
        <v>0</v>
      </c>
      <c r="K153" s="89" t="str">
        <f t="shared" si="70"/>
        <v>4043/4044</v>
      </c>
      <c r="L153" s="21" t="str">
        <f>VLOOKUP(A153,'Trips&amp;Operators'!$C$1:$G$99999,5,FALSE)</f>
        <v>SMITH MICHAEL</v>
      </c>
      <c r="M153" s="6">
        <f t="shared" si="71"/>
        <v>2.6122685187146999E-2</v>
      </c>
      <c r="N153" s="7">
        <f t="shared" si="69"/>
        <v>37.616666669491678</v>
      </c>
      <c r="O153" s="7"/>
      <c r="P153" s="7"/>
      <c r="Q153" s="22"/>
      <c r="R153" s="170"/>
      <c r="S153" s="213">
        <f t="shared" si="85"/>
        <v>1</v>
      </c>
      <c r="T153" s="195" t="str">
        <f t="shared" si="72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3"/>
        <v>https://d0f6bd738d7f1b3e5a7ca70fe4ff75f0.us-east-1.aws.found.io/app/kibana#/discover/Steve-Slow-Train-Analysis-(2080s-and-2083s)?_g=(refreshInterval:(display:Off,pause:!f,section:0,value:0),time:(from:'2017-08-06T23:13:35-0600',mode:absolute,to:'2017-08-07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197" t="str">
        <f>IF(AA153&lt;VLOOKUP(AG153,Variables!$AC$3:$AD$8,2,FALSE),"Y","N")</f>
        <v>N</v>
      </c>
      <c r="X153" s="197">
        <f t="shared" si="68"/>
        <v>1</v>
      </c>
      <c r="Y153" s="197">
        <f t="shared" si="83"/>
        <v>23.297799999999999</v>
      </c>
      <c r="Z153" s="197">
        <f t="shared" si="84"/>
        <v>1.47E-2</v>
      </c>
      <c r="AA153" s="197">
        <f t="shared" si="74"/>
        <v>23.283099999999997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75"/>
        <v>240</v>
      </c>
      <c r="AE153" s="77" t="str">
        <f t="shared" si="76"/>
        <v>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 &amp; aws s3 cp s3://rtdc.mdm.uploadarchive.raw/RTDC4043/ "%USERPROFILE%\AppData\Local\Temp\OnboardLogs"\RTDC4043\2017-08-08 --exclude "*" --recursive --include "*20170808*" &amp; "%USERPROFILE%\Documents\GitHub\mrs-test-scripts\Headless Mode &amp; Sideloading\WalkAndUnGZ.bat" "%USERPROFILE%\AppData\Local\Temp\OnboardLogs"\RTDC4043\2017-08-08</v>
      </c>
      <c r="AF153" s="74" t="str">
        <f t="shared" si="77"/>
        <v>"C:\Program Files (x86)\AstroGrep\AstroGrep.exe" /e /r /s /spath="%USERPROFILE%\AppData\Local\Temp\OnboardLogs" /stypes="app*4043*20170807*" /stext=" 07:.+((SYSTEM_STATE.+slice.+state.+changed )|(ment ac)|(multiple cpu faults)|(system.+state.+changed )|(\[timeout)|(PRM\|1\|D)|(kpr)|(kdp)|(train st.+moving)|(\|lc)|(penalty))"</v>
      </c>
      <c r="AG153" s="209" t="str">
        <f t="shared" si="78"/>
        <v>EC</v>
      </c>
      <c r="AH153" s="78" t="str">
        <f t="shared" si="79"/>
        <v>"%USERPROFILE%\Documents\GitHub\eaglep3\Utilities\RefineRTDCRunTimes.py" --tripid 240-06 --locoid 4043 --swversion DE.1.0.9.0 --startMP 204:232978 --initTime 2017-08-07T00:13:35 --startdatetime 2017-08-07T00:27:18 --delay 1 --endMP 204:147 --enddatetime 2017-08-07T01:04:55 --enforcementcount 0 &gt;&gt;C:\Users\stu\Documents\GitHub\eaglep3-reporting\EC\2017-08-06-refined-times.txt</v>
      </c>
      <c r="AI153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{"issue":{"subject":"","project_id":79,"tracker_id":40,"status_id":1,"priority_id":2,"assigned_to_id":23,"start_date":"2017-08-07","description":"","custom_fields":[{"id":1,"name":"Subdivision","value":"EC"},{"id":4,"name":"Milepost","value":"0.0147"},{"id":17,"name":"Train ID","value":"240-06"},{"id":16,"name":"Locomotive ID","value":"4043"},{"id":130,"name":"Impact","value":""},{"id":150,"name":"Time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81"/>
        <v>start /low /b %USERPROFILE%\Documents\GitHub\eaglep3\Utilities\DownloadLogsFromS3.py --loco 4043 --day 2017-08-07</v>
      </c>
      <c r="AN153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s="20" customFormat="1" x14ac:dyDescent="0.25">
      <c r="A154" s="32" t="s">
        <v>860</v>
      </c>
      <c r="B154" s="7">
        <v>4006</v>
      </c>
      <c r="C154" s="21" t="s">
        <v>198</v>
      </c>
      <c r="D154" s="21" t="s">
        <v>612</v>
      </c>
      <c r="E154" s="13">
        <v>42953.997291666667</v>
      </c>
      <c r="F154" s="13">
        <v>42954.000520833331</v>
      </c>
      <c r="G154" s="7">
        <v>1</v>
      </c>
      <c r="H154" s="21" t="s">
        <v>993</v>
      </c>
      <c r="I154" s="13">
        <v>42954.025023148148</v>
      </c>
      <c r="J154" s="7">
        <v>0</v>
      </c>
      <c r="K154" s="89" t="str">
        <f t="shared" si="70"/>
        <v>4005/4006</v>
      </c>
      <c r="L154" s="21" t="str">
        <f>VLOOKUP(A154,'Trips&amp;Operators'!$C$1:$G$99999,5,FALSE)</f>
        <v>BIRENBAUM THOMAS</v>
      </c>
      <c r="M154" s="6">
        <f t="shared" si="71"/>
        <v>2.4502314816345461E-2</v>
      </c>
      <c r="N154" s="7">
        <f t="shared" si="69"/>
        <v>35.283333335537463</v>
      </c>
      <c r="O154" s="7"/>
      <c r="P154" s="7"/>
      <c r="Q154" s="22"/>
      <c r="R154" s="170"/>
      <c r="S154" s="213">
        <f t="shared" si="85"/>
        <v>1</v>
      </c>
      <c r="T154" s="195" t="str">
        <f t="shared" si="72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3"/>
        <v>https://d0f6bd738d7f1b3e5a7ca70fe4ff75f0.us-east-1.aws.found.io/app/kibana#/discover/Steve-Slow-Train-Analysis-(2080s-and-2083s)?_g=(refreshInterval:(display:Off,pause:!f,section:0,value:0),time:(from:'2017-08-06T22:56:06-0600',mode:absolute,to:'2017-08-07T01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4" s="197" t="str">
        <f>IF(AA154&lt;VLOOKUP(AG154,Variables!$AC$3:$AD$8,2,FALSE),"Y","N")</f>
        <v>N</v>
      </c>
      <c r="X154" s="197">
        <f t="shared" si="68"/>
        <v>1</v>
      </c>
      <c r="Y154" s="197">
        <f t="shared" si="83"/>
        <v>4.82E-2</v>
      </c>
      <c r="Z154" s="197">
        <f t="shared" si="84"/>
        <v>23.330400000000001</v>
      </c>
      <c r="AA154" s="197">
        <f t="shared" si="74"/>
        <v>23.2822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75"/>
        <v>241</v>
      </c>
      <c r="AE154" s="77" t="str">
        <f t="shared" si="76"/>
        <v>aws s3 cp s3://rtdc.mdm.uploadarchive.raw/RTDC4006/ "%USERPROFILE%\AppData\Local\Temp\OnboardLogs"\RTDC4006\2017-08-07 --exclude "*" --recursive --include "*20170807*" &amp; "%USERPROFILE%\Documents\GitHub\mrs-test-scripts\Headless Mode &amp; Sideloading\WalkAndUnGZ.bat" "%USERPROFILE%\AppData\Local\Temp\OnboardLogs"\RTDC4006\2017-08-07 &amp; aws s3 cp s3://rtdc.mdm.uploadarchive.raw/RTDC4006/ "%USERPROFILE%\AppData\Local\Temp\OnboardLogs"\RTDC4006\2017-08-08 --exclude "*" --recursive --include "*20170808*" &amp; "%USERPROFILE%\Documents\GitHub\mrs-test-scripts\Headless Mode &amp; Sideloading\WalkAndUnGZ.bat" "%USERPROFILE%\AppData\Local\Temp\OnboardLogs"\RTDC4006\2017-08-08</v>
      </c>
      <c r="AF154" s="74" t="str">
        <f t="shared" si="77"/>
        <v>"C:\Program Files (x86)\AstroGrep\AstroGrep.exe" /e /r /s /spath="%USERPROFILE%\AppData\Local\Temp\OnboardLogs" /stypes="app*4006*20170807*" /stext=" 06:.+((SYSTEM_STATE.+slice.+state.+changed )|(ment ac)|(multiple cpu faults)|(system.+state.+changed )|(\[timeout)|(PRM\|1\|D)|(kpr)|(kdp)|(train st.+moving)|(\|lc)|(penalty))"</v>
      </c>
      <c r="AG154" s="209" t="str">
        <f t="shared" si="78"/>
        <v>EC</v>
      </c>
      <c r="AH154" s="78" t="str">
        <f t="shared" si="79"/>
        <v>"%USERPROFILE%\Documents\GitHub\eaglep3\Utilities\RefineRTDCRunTimes.py" --tripid 241-06 --locoid 4006 --swversion DE.1.0.9.0 --startMP 204:482 --initTime 2017-08-06T23:56:06 --startdatetime 2017-08-07T00:00:45 --delay 1 --endMP 204:233304 --enddatetime 2017-08-07T00:36:02 --enforcementcount 0 &gt;&gt;C:\Users\stu\Documents\GitHub\eaglep3-reporting\EC\2017-08-06-refined-times.txt</v>
      </c>
      <c r="AI154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{"issue":{"subject":"","project_id":79,"tracker_id":40,"status_id":1,"priority_id":2,"assigned_to_id":23,"start_date":"2017-08-07","description":"","custom_fields":[{"id":1,"name":"Subdivision","value":"EC"},{"id":4,"name":"Milepost","value":"23.3304"},{"id":17,"name":"Train ID","value":"241-06"},{"id":16,"name":"Locomotive ID","value":"4006"},{"id":130,"name":"Impact","value":""},{"id":150,"name":"Time of Event (Mountain Time)","value":"00:36:02"},{"id":151,"name":"Denver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1"/>
        <v>start /low /b %USERPROFILE%\Documents\GitHub\eaglep3\Utilities\DownloadLogsFromS3.py --loco 4006 --day 2017-08-07</v>
      </c>
      <c r="AN154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06:36:02"},{"id":29,"name":"Sharepoint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864</v>
      </c>
      <c r="B155" s="7">
        <v>4005</v>
      </c>
      <c r="C155" s="21" t="s">
        <v>198</v>
      </c>
      <c r="D155" s="21" t="s">
        <v>566</v>
      </c>
      <c r="E155" s="13">
        <v>42954.034525462965</v>
      </c>
      <c r="F155" s="13">
        <v>42954.039733796293</v>
      </c>
      <c r="G155" s="7">
        <v>1</v>
      </c>
      <c r="H155" s="21" t="s">
        <v>609</v>
      </c>
      <c r="I155" s="13">
        <v>42954.065162037034</v>
      </c>
      <c r="J155" s="7">
        <v>0</v>
      </c>
      <c r="K155" s="89" t="str">
        <f t="shared" si="70"/>
        <v>4005/4006</v>
      </c>
      <c r="L155" s="21" t="str">
        <f>VLOOKUP(A155,'Trips&amp;Operators'!$C$1:$G$99999,5,FALSE)</f>
        <v>BIRENBAUM THOMAS</v>
      </c>
      <c r="M155" s="6">
        <f t="shared" si="71"/>
        <v>2.5428240740438923E-2</v>
      </c>
      <c r="N155" s="7">
        <f t="shared" si="69"/>
        <v>36.616666666232049</v>
      </c>
      <c r="O155" s="7"/>
      <c r="P155" s="7"/>
      <c r="Q155" s="22"/>
      <c r="R155" s="170"/>
      <c r="S155" s="213">
        <f t="shared" si="85"/>
        <v>1</v>
      </c>
      <c r="T155" s="195" t="str">
        <f t="shared" si="72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3"/>
        <v>https://d0f6bd738d7f1b3e5a7ca70fe4ff75f0.us-east-1.aws.found.io/app/kibana#/discover/Steve-Slow-Train-Analysis-(2080s-and-2083s)?_g=(refreshInterval:(display:Off,pause:!f,section:0,value:0),time:(from:'2017-08-06T23:49:43-0600',mode:absolute,to:'2017-08-07T02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5" s="197" t="str">
        <f>IF(AA155&lt;VLOOKUP(AG155,Variables!$AC$3:$AD$8,2,FALSE),"Y","N")</f>
        <v>N</v>
      </c>
      <c r="X155" s="197">
        <f t="shared" si="68"/>
        <v>1</v>
      </c>
      <c r="Y155" s="197">
        <f t="shared" si="83"/>
        <v>23.298100000000002</v>
      </c>
      <c r="Z155" s="197">
        <f t="shared" si="84"/>
        <v>1.9599999999999999E-2</v>
      </c>
      <c r="AA155" s="197">
        <f t="shared" si="74"/>
        <v>23.278500000000001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75"/>
        <v>242</v>
      </c>
      <c r="AE155" s="77" t="str">
        <f t="shared" si="76"/>
        <v>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 &amp; aws s3 cp s3://rtdc.mdm.uploadarchive.raw/RTDC4005/ "%USERPROFILE%\AppData\Local\Temp\OnboardLogs"\RTDC4005\2017-08-08 --exclude "*" --recursive --include "*20170808*" &amp; "%USERPROFILE%\Documents\GitHub\mrs-test-scripts\Headless Mode &amp; Sideloading\WalkAndUnGZ.bat" "%USERPROFILE%\AppData\Local\Temp\OnboardLogs"\RTDC4005\2017-08-08</v>
      </c>
      <c r="AF155" s="74" t="str">
        <f t="shared" si="77"/>
        <v>"C:\Program Files (x86)\AstroGrep\AstroGrep.exe" /e /r /s /spath="%USERPROFILE%\AppData\Local\Temp\OnboardLogs" /stypes="app*4005*20170807*" /stext=" 07:.+((SYSTEM_STATE.+slice.+state.+changed )|(ment ac)|(multiple cpu faults)|(system.+state.+changed )|(\[timeout)|(PRM\|1\|D)|(kpr)|(kdp)|(train st.+moving)|(\|lc)|(penalty))"</v>
      </c>
      <c r="AG155" s="209" t="str">
        <f t="shared" si="78"/>
        <v>EC</v>
      </c>
      <c r="AH155" s="78" t="str">
        <f t="shared" si="79"/>
        <v>"%USERPROFILE%\Documents\GitHub\eaglep3\Utilities\RefineRTDCRunTimes.py" --tripid 242-06 --locoid 4005 --swversion DE.1.0.9.0 --startMP 204:232981 --initTime 2017-08-07T00:49:43 --startdatetime 2017-08-07T00:57:13 --delay 1 --endMP 204:196 --enddatetime 2017-08-07T01:33:50 --enforcementcount 0 &gt;&gt;C:\Users\stu\Documents\GitHub\eaglep3-reporting\EC\2017-08-06-refined-times.txt</v>
      </c>
      <c r="AI155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{"issue":{"subject":"","project_id":79,"tracker_id":40,"status_id":1,"priority_id":2,"assigned_to_id":23,"start_date":"2017-08-07","description":"","custom_fields":[{"id":1,"name":"Subdivision","value":"EC"},{"id":4,"name":"Milepost","value":"0.0196"},{"id":17,"name":"Train ID","value":"242-06"},{"id":16,"name":"Locomotive ID","value":"4005"},{"id":130,"name":"Impact","value":""},{"id":150,"name":"Time of Event (Mountain Time)","value":"01:33:50"},{"id":151,"name":"Denver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81"/>
        <v>start /low /b %USERPROFILE%\Documents\GitHub\eaglep3\Utilities\DownloadLogsFromS3.py --loco 4005 --day 2017-08-07</v>
      </c>
      <c r="AN155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07:33:50"},{"id":29,"name":"Sharepoint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x14ac:dyDescent="0.25">
      <c r="A156" s="32" t="s">
        <v>861</v>
      </c>
      <c r="B156" s="7">
        <v>4004</v>
      </c>
      <c r="C156" s="21" t="s">
        <v>198</v>
      </c>
      <c r="D156" s="21" t="s">
        <v>615</v>
      </c>
      <c r="E156" s="13">
        <v>42954.006238425929</v>
      </c>
      <c r="F156" s="13">
        <v>42954.02144675926</v>
      </c>
      <c r="G156" s="7">
        <v>1</v>
      </c>
      <c r="H156" s="21" t="s">
        <v>883</v>
      </c>
      <c r="I156" s="13">
        <v>42954.04619212963</v>
      </c>
      <c r="J156" s="7">
        <v>0</v>
      </c>
      <c r="K156" s="89" t="str">
        <f t="shared" si="70"/>
        <v>4003/4004</v>
      </c>
      <c r="L156" s="21" t="str">
        <f>VLOOKUP(A156,'Trips&amp;Operators'!$C$1:$G$99999,5,FALSE)</f>
        <v>HAITHCOX MICHAEL</v>
      </c>
      <c r="M156" s="6">
        <f t="shared" si="71"/>
        <v>2.47453703705105E-2</v>
      </c>
      <c r="N156" s="7">
        <f t="shared" si="69"/>
        <v>35.63333333353512</v>
      </c>
      <c r="O156" s="7"/>
      <c r="P156" s="7"/>
      <c r="Q156" s="22"/>
      <c r="R156" s="170"/>
      <c r="S156" s="213">
        <f t="shared" si="85"/>
        <v>1</v>
      </c>
      <c r="T156" s="195" t="str">
        <f t="shared" si="72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3"/>
        <v>https://d0f6bd738d7f1b3e5a7ca70fe4ff75f0.us-east-1.aws.found.io/app/kibana#/discover/Steve-Slow-Train-Analysis-(2080s-and-2083s)?_g=(refreshInterval:(display:Off,pause:!f,section:0,value:0),time:(from:'2017-08-06T23:08:59-0600',mode:absolute,to:'2017-08-07T02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6" s="197" t="str">
        <f>IF(AA156&lt;VLOOKUP(AG156,Variables!$AC$3:$AD$8,2,FALSE),"Y","N")</f>
        <v>N</v>
      </c>
      <c r="X156" s="197">
        <f t="shared" si="68"/>
        <v>1</v>
      </c>
      <c r="Y156" s="197">
        <f t="shared" si="83"/>
        <v>4.7699999999999999E-2</v>
      </c>
      <c r="Z156" s="197">
        <f t="shared" si="84"/>
        <v>23.327400000000001</v>
      </c>
      <c r="AA156" s="197">
        <f t="shared" si="74"/>
        <v>23.279700000000002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75"/>
        <v>243</v>
      </c>
      <c r="AE156" s="77" t="str">
        <f t="shared" si="76"/>
        <v>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 &amp; aws s3 cp s3://rtdc.mdm.uploadarchive.raw/RTDC4004/ "%USERPROFILE%\AppData\Local\Temp\OnboardLogs"\RTDC4004\2017-08-08 --exclude "*" --recursive --include "*20170808*" &amp; "%USERPROFILE%\Documents\GitHub\mrs-test-scripts\Headless Mode &amp; Sideloading\WalkAndUnGZ.bat" "%USERPROFILE%\AppData\Local\Temp\OnboardLogs"\RTDC4004\2017-08-08</v>
      </c>
      <c r="AF156" s="74" t="str">
        <f t="shared" si="77"/>
        <v>"C:\Program Files (x86)\AstroGrep\AstroGrep.exe" /e /r /s /spath="%USERPROFILE%\AppData\Local\Temp\OnboardLogs" /stypes="app*4004*20170807*" /stext=" 07:.+((SYSTEM_STATE.+slice.+state.+changed )|(ment ac)|(multiple cpu faults)|(system.+state.+changed )|(\[timeout)|(PRM\|1\|D)|(kpr)|(kdp)|(train st.+moving)|(\|lc)|(penalty))"</v>
      </c>
      <c r="AG156" s="209" t="str">
        <f t="shared" si="78"/>
        <v>EC</v>
      </c>
      <c r="AH156" s="78" t="str">
        <f t="shared" si="79"/>
        <v>"%USERPROFILE%\Documents\GitHub\eaglep3\Utilities\RefineRTDCRunTimes.py" --tripid 243-06 --locoid 4004 --swversion DE.1.0.9.0 --startMP 204:477 --initTime 2017-08-07T00:08:59 --startdatetime 2017-08-07T00:30:53 --delay 1 --endMP 204:233274 --enddatetime 2017-08-07T01:06:31 --enforcementcount 0 &gt;&gt;C:\Users\stu\Documents\GitHub\eaglep3-reporting\EC\2017-08-06-refined-times.txt</v>
      </c>
      <c r="AI156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{"issue":{"subject":"","project_id":79,"tracker_id":40,"status_id":1,"priority_id":2,"assigned_to_id":23,"start_date":"2017-08-07","description":"","custom_fields":[{"id":1,"name":"Subdivision","value":"EC"},{"id":4,"name":"Milepost","value":"23.3274"},{"id":17,"name":"Train ID","value":"243-06"},{"id":16,"name":"Locomotive ID","value":"4004"},{"id":130,"name":"Impact","value":""},{"id":150,"name":"Time of Event (Mountain Time)","value":"01:06:31"},{"id":151,"name":"Denver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81"/>
        <v>start /low /b %USERPROFILE%\Documents\GitHub\eaglep3\Utilities\DownloadLogsFromS3.py --loco 4004 --day 2017-08-07</v>
      </c>
      <c r="AN156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07:06:31"},{"id":29,"name":"Sharepoint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s="20" customFormat="1" x14ac:dyDescent="0.25">
      <c r="A157" s="32" t="s">
        <v>866</v>
      </c>
      <c r="B157" s="7">
        <v>4003</v>
      </c>
      <c r="C157" s="21" t="s">
        <v>198</v>
      </c>
      <c r="D157" s="21" t="s">
        <v>625</v>
      </c>
      <c r="E157" s="13">
        <v>42954.051157407404</v>
      </c>
      <c r="F157" s="13">
        <v>42954.060844907406</v>
      </c>
      <c r="G157" s="7">
        <v>1</v>
      </c>
      <c r="H157" s="21" t="s">
        <v>893</v>
      </c>
      <c r="I157" s="13">
        <v>42954.088541666664</v>
      </c>
      <c r="J157" s="7">
        <v>0</v>
      </c>
      <c r="K157" s="89" t="str">
        <f t="shared" si="70"/>
        <v>4003/4004</v>
      </c>
      <c r="L157" s="21" t="str">
        <f>VLOOKUP(A157,'Trips&amp;Operators'!$C$1:$G$99999,5,FALSE)</f>
        <v>HAITHCOX MICHAEL</v>
      </c>
      <c r="M157" s="6">
        <f t="shared" si="71"/>
        <v>2.7696759258105885E-2</v>
      </c>
      <c r="N157" s="7">
        <f t="shared" si="69"/>
        <v>39.883333331672475</v>
      </c>
      <c r="O157" s="7"/>
      <c r="P157" s="7"/>
      <c r="Q157" s="22"/>
      <c r="R157" s="170"/>
      <c r="S157" s="213">
        <f t="shared" si="85"/>
        <v>1</v>
      </c>
      <c r="T157" s="195" t="str">
        <f t="shared" si="72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3"/>
        <v>https://d0f6bd738d7f1b3e5a7ca70fe4ff75f0.us-east-1.aws.found.io/app/kibana#/discover/Steve-Slow-Train-Analysis-(2080s-and-2083s)?_g=(refreshInterval:(display:Off,pause:!f,section:0,value:0),time:(from:'2017-08-07T00:13:40-0600',mode:absolute,to:'2017-08-07T03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7" s="197" t="str">
        <f>IF(AA157&lt;VLOOKUP(AG157,Variables!$AC$3:$AD$8,2,FALSE),"Y","N")</f>
        <v>N</v>
      </c>
      <c r="X157" s="197">
        <f t="shared" ref="X157:X160" si="86">VALUE(LEFT(AD157,4))-VALUE(LEFT(AD156,4))</f>
        <v>1</v>
      </c>
      <c r="Y157" s="197">
        <f t="shared" si="83"/>
        <v>23.296099999999999</v>
      </c>
      <c r="Z157" s="197">
        <f t="shared" si="84"/>
        <v>1.6899999999999998E-2</v>
      </c>
      <c r="AA157" s="197">
        <f t="shared" si="74"/>
        <v>23.279199999999999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75"/>
        <v>244</v>
      </c>
      <c r="AE157" s="77" t="str">
        <f t="shared" si="76"/>
        <v>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 &amp; aws s3 cp s3://rtdc.mdm.uploadarchive.raw/RTDC4003/ "%USERPROFILE%\AppData\Local\Temp\OnboardLogs"\RTDC4003\2017-08-08 --exclude "*" --recursive --include "*20170808*" &amp; "%USERPROFILE%\Documents\GitHub\mrs-test-scripts\Headless Mode &amp; Sideloading\WalkAndUnGZ.bat" "%USERPROFILE%\AppData\Local\Temp\OnboardLogs"\RTDC4003\2017-08-08</v>
      </c>
      <c r="AF157" s="74" t="str">
        <f t="shared" si="77"/>
        <v>"C:\Program Files (x86)\AstroGrep\AstroGrep.exe" /e /r /s /spath="%USERPROFILE%\AppData\Local\Temp\OnboardLogs" /stypes="app*4003*20170807*" /stext=" 08:.+((SYSTEM_STATE.+slice.+state.+changed )|(ment ac)|(multiple cpu faults)|(system.+state.+changed )|(\[timeout)|(PRM\|1\|D)|(kpr)|(kdp)|(train st.+moving)|(\|lc)|(penalty))"</v>
      </c>
      <c r="AG157" s="209" t="str">
        <f t="shared" si="78"/>
        <v>EC</v>
      </c>
      <c r="AH157" s="78" t="str">
        <f t="shared" si="79"/>
        <v>"%USERPROFILE%\Documents\GitHub\eaglep3\Utilities\RefineRTDCRunTimes.py" --tripid 244-06 --locoid 4003 --swversion DE.1.0.9.0 --startMP 204:232961 --initTime 2017-08-07T01:13:40 --startdatetime 2017-08-07T01:27:37 --delay 1 --endMP 204:169 --enddatetime 2017-08-07T02:07:30 --enforcementcount 0 &gt;&gt;C:\Users\stu\Documents\GitHub\eaglep3-reporting\EC\2017-08-06-refined-times.txt</v>
      </c>
      <c r="AI157" s="96" t="str">
        <f t="shared" si="80"/>
        <v>echo {"issue":{"subject":"","project_id":79,"tracker_id":40,"status_id":1,"priority_id":2,"assigned_to_id":23,"start_date":"2017-08-07","description":"","custom_fields":[{"id":1,"name":"Subdivision","value":"EC"},{"id":4,"name":"Milepost","value":"0.0169"},{"id":17,"name":"Train ID","value":"244-06"},{"id":16,"name":"Locomotive ID","value":"4003"},{"id":130,"name":"Impact","value":""},{"id":150,"name":"Time of Event (Mountain Time)","value":"02:07:30"},{"id":151,"name":"Denver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1"/>
        <v>start /low /b %USERPROFILE%\Documents\GitHub\eaglep3\Utilities\DownloadLogsFromS3.py --loco 4003 --day 2017-08-07</v>
      </c>
      <c r="AN157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08:07:30"},{"id":29,"name":"Sharepoint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698</v>
      </c>
      <c r="B158" s="7">
        <v>4021</v>
      </c>
      <c r="C158" s="21" t="s">
        <v>198</v>
      </c>
      <c r="D158" s="21" t="s">
        <v>629</v>
      </c>
      <c r="E158" s="13">
        <v>42953.23170138889</v>
      </c>
      <c r="F158" s="13">
        <v>42953.233796296299</v>
      </c>
      <c r="G158" s="7">
        <v>1</v>
      </c>
      <c r="H158" s="21" t="s">
        <v>527</v>
      </c>
      <c r="I158" s="13">
        <v>42953.247291666667</v>
      </c>
      <c r="J158" s="7">
        <v>0</v>
      </c>
      <c r="K158" s="89" t="str">
        <f t="shared" si="70"/>
        <v>4021/4022</v>
      </c>
      <c r="L158" s="21" t="str">
        <f>VLOOKUP(A158,'Trips&amp;Operators'!$C$1:$G$99999,5,FALSE)</f>
        <v>DAVIDSON DAVID</v>
      </c>
      <c r="M158" s="6">
        <f t="shared" si="71"/>
        <v>1.3495370367309079E-2</v>
      </c>
      <c r="N158" s="7">
        <f t="shared" si="69"/>
        <v>19.433333328925073</v>
      </c>
      <c r="O158" s="7"/>
      <c r="P158" s="7"/>
      <c r="Q158" s="22"/>
      <c r="R158" s="170"/>
      <c r="S158" s="213">
        <f t="shared" si="85"/>
        <v>1</v>
      </c>
      <c r="T158" s="195" t="str">
        <f t="shared" si="72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73"/>
        <v>https://d0f6bd738d7f1b3e5a7ca70fe4ff75f0.us-east-1.aws.found.io/app/kibana#/discover/Steve-Slow-Train-Analysis-(2080s-and-2083s)?_g=(refreshInterval:(display:Off,pause:!f,section:0,value:0),time:(from:'2017-08-06T04:33:39-0600',mode:absolute,to:'2017-08-06T06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8" s="197" t="str">
        <f>IF(AA158&lt;VLOOKUP(AG158,Variables!$AC$3:$AD$8,2,FALSE),"Y","N")</f>
        <v>N</v>
      </c>
      <c r="X158" s="197">
        <f t="shared" si="86"/>
        <v>1556</v>
      </c>
      <c r="Y158" s="197">
        <f t="shared" si="83"/>
        <v>5.8625999999999996</v>
      </c>
      <c r="Z158" s="197">
        <f t="shared" si="84"/>
        <v>7.0800000000000002E-2</v>
      </c>
      <c r="AA158" s="197">
        <f t="shared" si="74"/>
        <v>5.7917999999999994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75"/>
        <v>1800</v>
      </c>
      <c r="AE158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58" s="74" t="str">
        <f t="shared" si="77"/>
        <v>"C:\Program Files (x86)\AstroGrep\AstroGrep.exe" /e /r /s /spath="%USERPROFILE%\AppData\Local\Temp\OnboardLogs" /stypes="app*4021*20170806*" /stext=" 11:.+((SYSTEM_STATE.+slice.+state.+changed )|(ment ac)|(multiple cpu faults)|(system.+state.+changed )|(\[timeout)|(PRM\|1\|D)|(kpr)|(kdp)|(train st.+moving)|(\|lc)|(penalty))"</v>
      </c>
      <c r="AG158" s="209" t="str">
        <f t="shared" si="78"/>
        <v>NW</v>
      </c>
      <c r="AH158" s="78" t="str">
        <f t="shared" si="79"/>
        <v>"%USERPROFILE%\Documents\GitHub\eaglep3\Utilities\RefineRTDCRunTimes.py" --tripid 1800-06 --locoid 4021 --swversion DE.1.0.9.0 --startMP 300:58626 --initTime 2017-08-06T05:33:39 --startdatetime 2017-08-06T05:36:40 --delay 1 --endMP 204:708 --enddatetime 2017-08-06T05:56:06 --enforcementcount 0 &gt;&gt;C:\Users\stu\Documents\GitHub\eaglep3-reporting\EC\2017-08-06-refined-times.txt</v>
      </c>
      <c r="AI158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{"issue":{"subject":"","project_id":79,"tracker_id":40,"status_id":1,"priority_id":2,"assigned_to_id":23,"start_date":"2017-08-06","description":"","custom_fields":[{"id":1,"name":"Subdivision","value":"NW"},{"id":4,"name":"Milepost","value":"0.0708"},{"id":17,"name":"Train ID","value":"1800-06"},{"id":16,"name":"Locomotive ID","value":"4021"},{"id":130,"name":"Impact","value":""},{"id":150,"name":"Time of Event (Mountain Time)","value":"05:56:06"},{"id":151,"name":"Denver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1"/>
        <v>start /low /b %USERPROFILE%\Documents\GitHub\eaglep3\Utilities\DownloadLogsFromS3.py --loco 4021 --day 2017-08-06</v>
      </c>
      <c r="AN158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703</v>
      </c>
      <c r="B159" s="7">
        <v>4022</v>
      </c>
      <c r="C159" s="21" t="s">
        <v>198</v>
      </c>
      <c r="D159" s="21" t="s">
        <v>570</v>
      </c>
      <c r="E159" s="13">
        <v>42953.24927083333</v>
      </c>
      <c r="F159" s="13">
        <v>42953.264780092592</v>
      </c>
      <c r="G159" s="7">
        <v>1</v>
      </c>
      <c r="H159" s="21" t="s">
        <v>526</v>
      </c>
      <c r="I159" s="13">
        <v>42953.274444444447</v>
      </c>
      <c r="J159" s="7">
        <v>0</v>
      </c>
      <c r="K159" s="89" t="str">
        <f t="shared" si="70"/>
        <v>4021/4022</v>
      </c>
      <c r="L159" s="21" t="str">
        <f>VLOOKUP(A159,'Trips&amp;Operators'!$C$1:$G$99999,5,FALSE)</f>
        <v>DAVIDSON DAVID</v>
      </c>
      <c r="M159" s="6">
        <f t="shared" si="71"/>
        <v>9.6643518554628827E-3</v>
      </c>
      <c r="N159" s="7">
        <f t="shared" si="69"/>
        <v>13.916666671866551</v>
      </c>
      <c r="O159" s="7"/>
      <c r="P159" s="7"/>
      <c r="Q159" s="22"/>
      <c r="R159" s="170"/>
      <c r="S159" s="213">
        <f t="shared" si="85"/>
        <v>1</v>
      </c>
      <c r="T159" s="195" t="str">
        <f t="shared" si="72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73"/>
        <v>https://d0f6bd738d7f1b3e5a7ca70fe4ff75f0.us-east-1.aws.found.io/app/kibana#/discover/Steve-Slow-Train-Analysis-(2080s-and-2083s)?_g=(refreshInterval:(display:Off,pause:!f,section:0,value:0),time:(from:'2017-08-06T04:58:57-0600',mode:absolute,to:'2017-08-06T07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9" s="197" t="str">
        <f>IF(AA159&lt;VLOOKUP(AG159,Variables!$AC$3:$AD$8,2,FALSE),"Y","N")</f>
        <v>N</v>
      </c>
      <c r="X159" s="197">
        <f t="shared" si="86"/>
        <v>1</v>
      </c>
      <c r="Y159" s="197">
        <f t="shared" si="83"/>
        <v>9.7799999999999998E-2</v>
      </c>
      <c r="Z159" s="197">
        <f t="shared" si="84"/>
        <v>5.8933</v>
      </c>
      <c r="AA159" s="197">
        <f t="shared" si="74"/>
        <v>5.7954999999999997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75"/>
        <v>1801</v>
      </c>
      <c r="AE159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59" s="74" t="str">
        <f t="shared" si="77"/>
        <v>"C:\Program Files (x86)\AstroGrep\AstroGrep.exe" /e /r /s /spath="%USERPROFILE%\AppData\Local\Temp\OnboardLogs" /stypes="app*4022*20170806*" /stext=" 12:.+((SYSTEM_STATE.+slice.+state.+changed )|(ment ac)|(multiple cpu faults)|(system.+state.+changed )|(\[timeout)|(PRM\|1\|D)|(kpr)|(kdp)|(train st.+moving)|(\|lc)|(penalty))"</v>
      </c>
      <c r="AG159" s="209" t="str">
        <f t="shared" si="78"/>
        <v>NW</v>
      </c>
      <c r="AH159" s="78" t="str">
        <f t="shared" si="79"/>
        <v>"%USERPROFILE%\Documents\GitHub\eaglep3\Utilities\RefineRTDCRunTimes.py" --tripid 1801-06 --locoid 4022 --swversion DE.1.0.9.0 --startMP 204:978 --initTime 2017-08-06T05:58:57 --startdatetime 2017-08-06T06:21:17 --delay 1 --endMP 300:58933 --enddatetime 2017-08-06T06:35:12 --enforcementcount 0 &gt;&gt;C:\Users\stu\Documents\GitHub\eaglep3-reporting\EC\2017-08-06-refined-times.txt</v>
      </c>
      <c r="AI159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{"issue":{"subject":"","project_id":79,"tracker_id":40,"status_id":1,"priority_id":2,"assigned_to_id":23,"start_date":"2017-08-06","description":"","custom_fields":[{"id":1,"name":"Subdivision","value":"NW"},{"id":4,"name":"Milepost","value":"5.8933"},{"id":17,"name":"Train ID","value":"1801-06"},{"id":16,"name":"Locomotive ID","value":"4022"},{"id":130,"name":"Impact","value":""},{"id":150,"name":"Time of Event (Mountain Time)","value":"06:35:12"},{"id":151,"name":"Denver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81"/>
        <v>start /low /b %USERPROFILE%\Documents\GitHub\eaglep3\Utilities\DownloadLogsFromS3.py --loco 4022 --day 2017-08-06</v>
      </c>
      <c r="AN159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710</v>
      </c>
      <c r="B160" s="7">
        <v>4021</v>
      </c>
      <c r="C160" s="21" t="s">
        <v>198</v>
      </c>
      <c r="D160" s="21" t="s">
        <v>919</v>
      </c>
      <c r="E160" s="13">
        <v>42953.275543981479</v>
      </c>
      <c r="F160" s="13">
        <v>42953.277094907404</v>
      </c>
      <c r="G160" s="7">
        <v>1</v>
      </c>
      <c r="H160" s="21" t="s">
        <v>507</v>
      </c>
      <c r="I160" s="13">
        <v>42953.288217592592</v>
      </c>
      <c r="J160" s="7">
        <v>0</v>
      </c>
      <c r="K160" s="89" t="str">
        <f t="shared" si="70"/>
        <v>4021/4022</v>
      </c>
      <c r="L160" s="21" t="str">
        <f>VLOOKUP(A160,'Trips&amp;Operators'!$C$1:$G$99999,5,FALSE)</f>
        <v>DAVIDSON DAVID</v>
      </c>
      <c r="M160" s="6">
        <f t="shared" si="71"/>
        <v>1.1122685187729076E-2</v>
      </c>
      <c r="N160" s="7">
        <f t="shared" si="69"/>
        <v>16.016666670329869</v>
      </c>
      <c r="O160" s="7"/>
      <c r="P160" s="7"/>
      <c r="Q160" s="22"/>
      <c r="R160" s="170"/>
      <c r="S160" s="213">
        <f t="shared" si="85"/>
        <v>1</v>
      </c>
      <c r="T160" s="195" t="str">
        <f t="shared" si="7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3"/>
        <v>https://d0f6bd738d7f1b3e5a7ca70fe4ff75f0.us-east-1.aws.found.io/app/kibana#/discover/Steve-Slow-Train-Analysis-(2080s-and-2083s)?_g=(refreshInterval:(display:Off,pause:!f,section:0,value:0),time:(from:'2017-08-06T05:36:47-0600',mode:absolute,to:'2017-08-06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97" t="str">
        <f>IF(AA160&lt;VLOOKUP(AG160,Variables!$AC$3:$AD$8,2,FALSE),"Y","N")</f>
        <v>N</v>
      </c>
      <c r="X160" s="197">
        <f t="shared" si="86"/>
        <v>1</v>
      </c>
      <c r="Y160" s="197">
        <f t="shared" si="83"/>
        <v>5.8623000000000003</v>
      </c>
      <c r="Z160" s="197">
        <f t="shared" si="84"/>
        <v>6.9400000000000003E-2</v>
      </c>
      <c r="AA160" s="197">
        <f t="shared" si="74"/>
        <v>5.7929000000000004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75"/>
        <v>1802</v>
      </c>
      <c r="AE160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60" s="74" t="str">
        <f t="shared" si="77"/>
        <v>"C:\Program Files (x86)\AstroGrep\AstroGrep.exe" /e /r /s /spath="%USERPROFILE%\AppData\Local\Temp\OnboardLogs" /stypes="app*4021*20170806*" /stext=" 12:.+((SYSTEM_STATE.+slice.+state.+changed )|(ment ac)|(multiple cpu faults)|(system.+state.+changed )|(\[timeout)|(PRM\|1\|D)|(kpr)|(kdp)|(train st.+moving)|(\|lc)|(penalty))"</v>
      </c>
      <c r="AG160" s="209" t="str">
        <f t="shared" si="78"/>
        <v>NW</v>
      </c>
      <c r="AH160" s="78" t="str">
        <f t="shared" si="79"/>
        <v>"%USERPROFILE%\Documents\GitHub\eaglep3\Utilities\RefineRTDCRunTimes.py" --tripid 1802-06 --locoid 4021 --swversion DE.1.0.9.0 --startMP 300:58623 --initTime 2017-08-06T06:36:47 --startdatetime 2017-08-06T06:39:01 --delay 1 --endMP 204:694 --enddatetime 2017-08-06T06:55:02 --enforcementcount 0 &gt;&gt;C:\Users\stu\Documents\GitHub\eaglep3-reporting\EC\2017-08-06-refined-times.txt</v>
      </c>
      <c r="AI160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{"issue":{"subject":"","project_id":79,"tracker_id":40,"status_id":1,"priority_id":2,"assigned_to_id":23,"start_date":"2017-08-06","description":"","custom_fields":[{"id":1,"name":"Subdivision","value":"NW"},{"id":4,"name":"Milepost","value":"0.0694"},{"id":17,"name":"Train ID","value":"1802-06"},{"id":16,"name":"Locomotive ID","value":"4021"},{"id":130,"name":"Impact","value":""},{"id":150,"name":"Time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81"/>
        <v>start /low /b %USERPROFILE%\Documents\GitHub\eaglep3\Utilities\DownloadLogsFromS3.py --loco 4021 --day 2017-08-06</v>
      </c>
      <c r="AN160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715</v>
      </c>
      <c r="B161" s="7">
        <v>4022</v>
      </c>
      <c r="C161" s="21" t="s">
        <v>198</v>
      </c>
      <c r="D161" s="21" t="s">
        <v>631</v>
      </c>
      <c r="E161" s="13">
        <v>42953.290023148147</v>
      </c>
      <c r="F161" s="13">
        <v>42953.306446759256</v>
      </c>
      <c r="G161" s="7">
        <v>1</v>
      </c>
      <c r="H161" s="21" t="s">
        <v>462</v>
      </c>
      <c r="I161" s="13">
        <v>42953.315868055557</v>
      </c>
      <c r="J161" s="7">
        <v>0</v>
      </c>
      <c r="K161" s="89" t="str">
        <f t="shared" si="70"/>
        <v>4021/4022</v>
      </c>
      <c r="L161" s="21" t="str">
        <f>VLOOKUP(A161,'Trips&amp;Operators'!$C$1:$G$99999,5,FALSE)</f>
        <v>DAVIDSON DAVID</v>
      </c>
      <c r="M161" s="6">
        <f t="shared" si="71"/>
        <v>9.4212963012978435E-3</v>
      </c>
      <c r="N161" s="7">
        <f t="shared" si="69"/>
        <v>13.566666673868895</v>
      </c>
      <c r="O161" s="7"/>
      <c r="P161" s="7"/>
      <c r="Q161" s="22"/>
      <c r="R161" s="170"/>
      <c r="S161" s="213">
        <f t="shared" si="85"/>
        <v>1</v>
      </c>
      <c r="T161" s="195" t="str">
        <f t="shared" si="72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3"/>
        <v>https://d0f6bd738d7f1b3e5a7ca70fe4ff75f0.us-east-1.aws.found.io/app/kibana#/discover/Steve-Slow-Train-Analysis-(2080s-and-2083s)?_g=(refreshInterval:(display:Off,pause:!f,section:0,value:0),time:(from:'2017-08-06T05:57:38-0600',mode:absolute,to:'2017-08-06T08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7" t="str">
        <f>IF(AA161&lt;VLOOKUP(AG161,Variables!$AC$3:$AD$8,2,FALSE),"Y","N")</f>
        <v>N</v>
      </c>
      <c r="X161" s="197">
        <f t="shared" ref="X161:X192" si="87">VALUE(LEFT(AD161,4))-VALUE(LEFT(AD160,4))</f>
        <v>1</v>
      </c>
      <c r="Y161" s="197">
        <f t="shared" si="83"/>
        <v>9.6699999999999994E-2</v>
      </c>
      <c r="Z161" s="197">
        <f t="shared" si="84"/>
        <v>5.8940999999999999</v>
      </c>
      <c r="AA161" s="197">
        <f t="shared" si="74"/>
        <v>5.7973999999999997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75"/>
        <v>1803</v>
      </c>
      <c r="AE161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61" s="74" t="str">
        <f t="shared" si="77"/>
        <v>"C:\Program Files (x86)\AstroGrep\AstroGrep.exe" /e /r /s /spath="%USERPROFILE%\AppData\Local\Temp\OnboardLogs" /stypes="app*4022*20170806*" /stext=" 13:.+((SYSTEM_STATE.+slice.+state.+changed )|(ment ac)|(multiple cpu faults)|(system.+state.+changed )|(\[timeout)|(PRM\|1\|D)|(kpr)|(kdp)|(train st.+moving)|(\|lc)|(penalty))"</v>
      </c>
      <c r="AG161" s="209" t="str">
        <f t="shared" si="78"/>
        <v>NW</v>
      </c>
      <c r="AH161" s="78" t="str">
        <f t="shared" si="79"/>
        <v>"%USERPROFILE%\Documents\GitHub\eaglep3\Utilities\RefineRTDCRunTimes.py" --tripid 1803-06 --locoid 4022 --swversion DE.1.0.9.0 --startMP 204:967 --initTime 2017-08-06T06:57:38 --startdatetime 2017-08-06T07:21:17 --delay 1 --endMP 300:58941 --enddatetime 2017-08-06T07:34:51 --enforcementcount 0 &gt;&gt;C:\Users\stu\Documents\GitHub\eaglep3-reporting\EC\2017-08-06-refined-times.txt</v>
      </c>
      <c r="AI161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{"issue":{"subject":"","project_id":79,"tracker_id":40,"status_id":1,"priority_id":2,"assigned_to_id":23,"start_date":"2017-08-06","description":"","custom_fields":[{"id":1,"name":"Subdivision","value":"NW"},{"id":4,"name":"Milepost","value":"5.8941"},{"id":17,"name":"Train ID","value":"1803-06"},{"id":16,"name":"Locomotive ID","value":"4022"},{"id":130,"name":"Impact","value":""},{"id":150,"name":"Time of Event (Mountain Time)","value":"07:34:51"},{"id":151,"name":"Denver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81"/>
        <v>start /low /b %USERPROFILE%\Documents\GitHub\eaglep3\Utilities\DownloadLogsFromS3.py --loco 4022 --day 2017-08-06</v>
      </c>
      <c r="AN161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720</v>
      </c>
      <c r="B162" s="7">
        <v>4021</v>
      </c>
      <c r="C162" s="21" t="s">
        <v>198</v>
      </c>
      <c r="D162" s="21" t="s">
        <v>920</v>
      </c>
      <c r="E162" s="13">
        <v>42953.317083333335</v>
      </c>
      <c r="F162" s="13">
        <v>42953.318854166668</v>
      </c>
      <c r="G162" s="7">
        <v>1</v>
      </c>
      <c r="H162" s="21" t="s">
        <v>921</v>
      </c>
      <c r="I162" s="13">
        <v>42953.329872685186</v>
      </c>
      <c r="J162" s="7">
        <v>0</v>
      </c>
      <c r="K162" s="89" t="str">
        <f t="shared" si="70"/>
        <v>4021/4022</v>
      </c>
      <c r="L162" s="21" t="str">
        <f>VLOOKUP(A162,'Trips&amp;Operators'!$C$1:$G$99999,5,FALSE)</f>
        <v>DAVIDSON DAVID</v>
      </c>
      <c r="M162" s="6">
        <f t="shared" si="71"/>
        <v>1.1018518518540077E-2</v>
      </c>
      <c r="N162" s="7">
        <f t="shared" si="69"/>
        <v>15.866666666697711</v>
      </c>
      <c r="O162" s="7"/>
      <c r="P162" s="7"/>
      <c r="Q162" s="22"/>
      <c r="R162" s="170"/>
      <c r="S162" s="213">
        <f t="shared" si="85"/>
        <v>1</v>
      </c>
      <c r="T162" s="195" t="str">
        <f t="shared" si="72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3"/>
        <v>https://d0f6bd738d7f1b3e5a7ca70fe4ff75f0.us-east-1.aws.found.io/app/kibana#/discover/Steve-Slow-Train-Analysis-(2080s-and-2083s)?_g=(refreshInterval:(display:Off,pause:!f,section:0,value:0),time:(from:'2017-08-06T06:36:36-0600',mode:absolute,to:'2017-08-06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7" t="str">
        <f>IF(AA162&lt;VLOOKUP(AG162,Variables!$AC$3:$AD$8,2,FALSE),"Y","N")</f>
        <v>N</v>
      </c>
      <c r="X162" s="197">
        <f t="shared" si="87"/>
        <v>1</v>
      </c>
      <c r="Y162" s="197">
        <f t="shared" si="83"/>
        <v>5.8632</v>
      </c>
      <c r="Z162" s="197">
        <f t="shared" si="84"/>
        <v>6.8000000000000005E-2</v>
      </c>
      <c r="AA162" s="197">
        <f t="shared" si="74"/>
        <v>5.7952000000000004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75"/>
        <v>1804</v>
      </c>
      <c r="AE162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62" s="74" t="str">
        <f t="shared" si="77"/>
        <v>"C:\Program Files (x86)\AstroGrep\AstroGrep.exe" /e /r /s /spath="%USERPROFILE%\AppData\Local\Temp\OnboardLogs" /stypes="app*4021*20170806*" /stext=" 13:.+((SYSTEM_STATE.+slice.+state.+changed )|(ment ac)|(multiple cpu faults)|(system.+state.+changed )|(\[timeout)|(PRM\|1\|D)|(kpr)|(kdp)|(train st.+moving)|(\|lc)|(penalty))"</v>
      </c>
      <c r="AG162" s="209" t="str">
        <f t="shared" si="78"/>
        <v>NW</v>
      </c>
      <c r="AH162" s="78" t="str">
        <f t="shared" si="79"/>
        <v>"%USERPROFILE%\Documents\GitHub\eaglep3\Utilities\RefineRTDCRunTimes.py" --tripid 1804-06 --locoid 4021 --swversion DE.1.0.9.0 --startMP 300:58632 --initTime 2017-08-06T07:36:36 --startdatetime 2017-08-06T07:39:09 --delay 1 --endMP 204:680 --enddatetime 2017-08-06T07:55:01 --enforcementcount 0 &gt;&gt;C:\Users\stu\Documents\GitHub\eaglep3-reporting\EC\2017-08-06-refined-times.txt</v>
      </c>
      <c r="AI162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{"issue":{"subject":"","project_id":79,"tracker_id":40,"status_id":1,"priority_id":2,"assigned_to_id":23,"start_date":"2017-08-06","description":"","custom_fields":[{"id":1,"name":"Subdivision","value":"NW"},{"id":4,"name":"Milepost","value":"0.068"},{"id":17,"name":"Train ID","value":"1804-06"},{"id":16,"name":"Locomotive ID","value":"4021"},{"id":130,"name":"Impact","value":""},{"id":150,"name":"Time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81"/>
        <v>start /low /b %USERPROFILE%\Documents\GitHub\eaglep3\Utilities\DownloadLogsFromS3.py --loco 4021 --day 2017-08-06</v>
      </c>
      <c r="AN162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724</v>
      </c>
      <c r="B163" s="7">
        <v>4022</v>
      </c>
      <c r="C163" s="21" t="s">
        <v>198</v>
      </c>
      <c r="D163" s="21" t="s">
        <v>920</v>
      </c>
      <c r="E163" s="13">
        <v>42953.317083333335</v>
      </c>
      <c r="F163" s="13">
        <v>42953.348101851851</v>
      </c>
      <c r="G163" s="7">
        <v>1</v>
      </c>
      <c r="H163" s="21" t="s">
        <v>921</v>
      </c>
      <c r="I163" s="13">
        <v>42953.357592592591</v>
      </c>
      <c r="J163" s="7">
        <v>0</v>
      </c>
      <c r="K163" s="89" t="str">
        <f t="shared" si="70"/>
        <v>4021/4022</v>
      </c>
      <c r="L163" s="21" t="str">
        <f>VLOOKUP(A163,'Trips&amp;Operators'!$C$1:$G$99999,5,FALSE)</f>
        <v>DAVIDSON DAVID</v>
      </c>
      <c r="M163" s="6">
        <f t="shared" si="71"/>
        <v>9.4907407401478849E-3</v>
      </c>
      <c r="N163" s="7">
        <f t="shared" si="69"/>
        <v>13.666666665812954</v>
      </c>
      <c r="O163" s="7"/>
      <c r="P163" s="7"/>
      <c r="Q163" s="22"/>
      <c r="R163" s="170"/>
      <c r="S163" s="213">
        <f t="shared" si="85"/>
        <v>1</v>
      </c>
      <c r="T163" s="195" t="str">
        <f t="shared" si="72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3"/>
        <v>https://d0f6bd738d7f1b3e5a7ca70fe4ff75f0.us-east-1.aws.found.io/app/kibana#/discover/Steve-Slow-Train-Analysis-(2080s-and-2083s)?_g=(refreshInterval:(display:Off,pause:!f,section:0,value:0),time:(from:'2017-08-06T06:36:36-0600',mode:absolute,to:'2017-08-06T09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3" s="197" t="str">
        <f>IF(AA163&lt;VLOOKUP(AG163,Variables!$AC$3:$AD$8,2,FALSE),"Y","N")</f>
        <v>N</v>
      </c>
      <c r="X163" s="197">
        <f t="shared" si="87"/>
        <v>1</v>
      </c>
      <c r="Y163" s="197">
        <v>9.6699999999999994E-2</v>
      </c>
      <c r="Z163" s="197">
        <v>5.8940999999999999</v>
      </c>
      <c r="AA163" s="197">
        <f t="shared" si="74"/>
        <v>5.7973999999999997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75"/>
        <v>1805</v>
      </c>
      <c r="AE163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63" s="74" t="str">
        <f t="shared" si="77"/>
        <v>"C:\Program Files (x86)\AstroGrep\AstroGrep.exe" /e /r /s /spath="%USERPROFILE%\AppData\Local\Temp\OnboardLogs" /stypes="app*4022*20170806*" /stext=" 14:.+((SYSTEM_STATE.+slice.+state.+changed )|(ment ac)|(multiple cpu faults)|(system.+state.+changed )|(\[timeout)|(PRM\|1\|D)|(kpr)|(kdp)|(train st.+moving)|(\|lc)|(penalty))"</v>
      </c>
      <c r="AG163" s="209" t="str">
        <f t="shared" si="78"/>
        <v>NW</v>
      </c>
      <c r="AH163" s="78" t="str">
        <f t="shared" ref="AH163" si="88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1805-06 --locoid 4022 --swversion DE.1.0.9.0 --startMP 300:58632 --initTime 2017-08-06T07:36:36 --startdatetime 2017-08-06T08:21:16 --delay 1 --endMP 204:680 --enddatetime 2017-08-06T08:34:56 --enforcementcount 0 &gt;&gt;C:\Users\stu\Documents\GitHub\eaglep3-reporting\EC\2017-08-06-refined-times.txt</v>
      </c>
      <c r="AI163" s="96" t="str">
        <f t="shared" ref="AI163" si="89"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{"issue":{"subject":"","project_id":79,"tracker_id":40,"status_id":1,"priority_id":2,"assigned_to_id":23,"start_date":"2017-08-06","description":"","custom_fields":[{"id":1,"name":"Subdivision","value":"NW"},{"id":4,"name":"Milepost","value":"5.8941"},{"id":17,"name":"Train ID","value":"1805-06"},{"id":16,"name":"Locomotive ID","value":"4022"},{"id":130,"name":"Impact","value":""},{"id":150,"name":"Time of Event (Mountain Time)","value":"08:34:56"},{"id":151,"name":"Denver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ref="AM163" si="90">"start /low /b "&amp;dls3logs&amp;" --loco "&amp;B163&amp;" --day "&amp;TEXT(F163,"YYYY-MM-DD")</f>
        <v>start /low /b %USERPROFILE%\Documents\GitHub\eaglep3\Utilities\DownloadLogsFromS3.py --loco 4022 --day 2017-08-06</v>
      </c>
      <c r="AN163" s="151" t="str">
        <f t="shared" ref="AN163" si="91"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730</v>
      </c>
      <c r="B164" s="7">
        <v>4021</v>
      </c>
      <c r="C164" s="21" t="s">
        <v>198</v>
      </c>
      <c r="D164" s="21" t="s">
        <v>571</v>
      </c>
      <c r="E164" s="13">
        <v>42953.358819444446</v>
      </c>
      <c r="F164" s="13">
        <v>42953.360173611109</v>
      </c>
      <c r="G164" s="7">
        <v>1</v>
      </c>
      <c r="H164" s="21" t="s">
        <v>921</v>
      </c>
      <c r="I164" s="13">
        <v>42953.371759259258</v>
      </c>
      <c r="J164" s="7">
        <v>0</v>
      </c>
      <c r="K164" s="89" t="str">
        <f t="shared" si="70"/>
        <v>4021/4022</v>
      </c>
      <c r="L164" s="21" t="str">
        <f>VLOOKUP(A164,'Trips&amp;Operators'!$C$1:$G$99999,5,FALSE)</f>
        <v>DAVIDSON DAVID</v>
      </c>
      <c r="M164" s="6">
        <f t="shared" si="71"/>
        <v>1.1585648149775807E-2</v>
      </c>
      <c r="N164" s="7">
        <f t="shared" si="69"/>
        <v>16.683333335677162</v>
      </c>
      <c r="O164" s="7"/>
      <c r="P164" s="7"/>
      <c r="Q164" s="22"/>
      <c r="R164" s="170"/>
      <c r="S164" s="213">
        <f t="shared" si="85"/>
        <v>1</v>
      </c>
      <c r="T164" s="195" t="str">
        <f t="shared" si="72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3"/>
        <v>https://d0f6bd738d7f1b3e5a7ca70fe4ff75f0.us-east-1.aws.found.io/app/kibana#/discover/Steve-Slow-Train-Analysis-(2080s-and-2083s)?_g=(refreshInterval:(display:Off,pause:!f,section:0,value:0),time:(from:'2017-08-06T07:36:42-0600',mode:absolute,to:'2017-08-06T09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4" s="197" t="str">
        <f>IF(AA164&lt;VLOOKUP(AG164,Variables!$AC$3:$AD$8,2,FALSE),"Y","N")</f>
        <v>N</v>
      </c>
      <c r="X164" s="197">
        <f t="shared" si="87"/>
        <v>1</v>
      </c>
      <c r="Y164" s="197">
        <f t="shared" ref="Y164:Y195" si="92">RIGHT(D164,LEN(D164)-4)/10000</f>
        <v>5.8624000000000001</v>
      </c>
      <c r="Z164" s="197">
        <f t="shared" ref="Z164:Z184" si="93">RIGHT(H164,LEN(H164)-4)/10000</f>
        <v>6.8000000000000005E-2</v>
      </c>
      <c r="AA164" s="197">
        <f t="shared" si="74"/>
        <v>5.7944000000000004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75"/>
        <v>1806</v>
      </c>
      <c r="AE164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64" s="74" t="str">
        <f t="shared" si="77"/>
        <v>"C:\Program Files (x86)\AstroGrep\AstroGrep.exe" /e /r /s /spath="%USERPROFILE%\AppData\Local\Temp\OnboardLogs" /stypes="app*4021*20170806*" /stext=" 14:.+((SYSTEM_STATE.+slice.+state.+changed )|(ment ac)|(multiple cpu faults)|(system.+state.+changed )|(\[timeout)|(PRM\|1\|D)|(kpr)|(kdp)|(train st.+moving)|(\|lc)|(penalty))"</v>
      </c>
      <c r="AG164" s="209" t="str">
        <f t="shared" si="78"/>
        <v>NW</v>
      </c>
      <c r="AH164" s="78" t="str">
        <f t="shared" si="79"/>
        <v>"%USERPROFILE%\Documents\GitHub\eaglep3\Utilities\RefineRTDCRunTimes.py" --tripid 1806-06 --locoid 4021 --swversion DE.1.0.9.0 --startMP 300:58624 --initTime 2017-08-06T08:36:42 --startdatetime 2017-08-06T08:38:39 --delay 1 --endMP 204:680 --enddatetime 2017-08-06T08:55:20 --enforcementcount 0 &gt;&gt;C:\Users\stu\Documents\GitHub\eaglep3-reporting\EC\2017-08-06-refined-times.txt</v>
      </c>
      <c r="AI164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{"issue":{"subject":"","project_id":79,"tracker_id":40,"status_id":1,"priority_id":2,"assigned_to_id":23,"start_date":"2017-08-06","description":"","custom_fields":[{"id":1,"name":"Subdivision","value":"NW"},{"id":4,"name":"Milepost","value":"0.068"},{"id":17,"name":"Train ID","value":"1806-06"},{"id":16,"name":"Locomotive ID","value":"4021"},{"id":130,"name":"Impact","value":""},{"id":150,"name":"Time of Event (Mountain Time)","value":"08:55:20"},{"id":151,"name":"Denver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1"/>
        <v>start /low /b %USERPROFILE%\Documents\GitHub\eaglep3\Utilities\DownloadLogsFromS3.py --loco 4021 --day 2017-08-06</v>
      </c>
      <c r="AN164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734</v>
      </c>
      <c r="B165" s="7">
        <v>4022</v>
      </c>
      <c r="C165" s="21" t="s">
        <v>198</v>
      </c>
      <c r="D165" s="21" t="s">
        <v>922</v>
      </c>
      <c r="E165" s="13">
        <v>42953.373437499999</v>
      </c>
      <c r="F165" s="13">
        <v>42953.389756944445</v>
      </c>
      <c r="G165" s="7">
        <v>1</v>
      </c>
      <c r="H165" s="21" t="s">
        <v>634</v>
      </c>
      <c r="I165" s="13">
        <v>42953.399189814816</v>
      </c>
      <c r="J165" s="7">
        <v>0</v>
      </c>
      <c r="K165" s="89" t="str">
        <f t="shared" si="70"/>
        <v>4021/4022</v>
      </c>
      <c r="L165" s="21" t="str">
        <f>VLOOKUP(A165,'Trips&amp;Operators'!$C$1:$G$99999,5,FALSE)</f>
        <v>DAVIDSON DAVID</v>
      </c>
      <c r="M165" s="6">
        <f t="shared" si="71"/>
        <v>9.4328703708015382E-3</v>
      </c>
      <c r="N165" s="7">
        <f t="shared" si="69"/>
        <v>13.583333333954215</v>
      </c>
      <c r="O165" s="7"/>
      <c r="P165" s="7"/>
      <c r="Q165" s="22"/>
      <c r="R165" s="170"/>
      <c r="S165" s="213">
        <f t="shared" si="85"/>
        <v>1</v>
      </c>
      <c r="T165" s="195" t="str">
        <f t="shared" si="72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3"/>
        <v>https://d0f6bd738d7f1b3e5a7ca70fe4ff75f0.us-east-1.aws.found.io/app/kibana#/discover/Steve-Slow-Train-Analysis-(2080s-and-2083s)?_g=(refreshInterval:(display:Off,pause:!f,section:0,value:0),time:(from:'2017-08-06T07:57:45-0600',mode:absolute,to:'2017-08-06T10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7" t="str">
        <f>IF(AA165&lt;VLOOKUP(AG165,Variables!$AC$3:$AD$8,2,FALSE),"Y","N")</f>
        <v>N</v>
      </c>
      <c r="X165" s="197">
        <f t="shared" si="87"/>
        <v>1</v>
      </c>
      <c r="Y165" s="197">
        <f t="shared" si="92"/>
        <v>9.7100000000000006E-2</v>
      </c>
      <c r="Z165" s="197">
        <f t="shared" si="93"/>
        <v>5.8944000000000001</v>
      </c>
      <c r="AA165" s="197">
        <f t="shared" si="74"/>
        <v>5.7972999999999999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75"/>
        <v>1807</v>
      </c>
      <c r="AE165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65" s="74" t="str">
        <f t="shared" si="77"/>
        <v>"C:\Program Files (x86)\AstroGrep\AstroGrep.exe" /e /r /s /spath="%USERPROFILE%\AppData\Local\Temp\OnboardLogs" /stypes="app*4022*20170806*" /stext=" 15:.+((SYSTEM_STATE.+slice.+state.+changed )|(ment ac)|(multiple cpu faults)|(system.+state.+changed )|(\[timeout)|(PRM\|1\|D)|(kpr)|(kdp)|(train st.+moving)|(\|lc)|(penalty))"</v>
      </c>
      <c r="AG165" s="209" t="str">
        <f t="shared" si="78"/>
        <v>NW</v>
      </c>
      <c r="AH165" s="78" t="str">
        <f t="shared" si="79"/>
        <v>"%USERPROFILE%\Documents\GitHub\eaglep3\Utilities\RefineRTDCRunTimes.py" --tripid 1807-06 --locoid 4022 --swversion DE.1.0.9.0 --startMP 204:971 --initTime 2017-08-06T08:57:45 --startdatetime 2017-08-06T09:21:15 --delay 1 --endMP 300:58944 --enddatetime 2017-08-06T09:34:50 --enforcementcount 0 &gt;&gt;C:\Users\stu\Documents\GitHub\eaglep3-reporting\EC\2017-08-06-refined-times.txt</v>
      </c>
      <c r="AI165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{"issue":{"subject":"","project_id":79,"tracker_id":40,"status_id":1,"priority_id":2,"assigned_to_id":23,"start_date":"2017-08-06","description":"","custom_fields":[{"id":1,"name":"Subdivision","value":"NW"},{"id":4,"name":"Milepost","value":"5.8944"},{"id":17,"name":"Train ID","value":"1807-06"},{"id":16,"name":"Locomotive ID","value":"4022"},{"id":130,"name":"Impact","value":""},{"id":150,"name":"Time of Event (Mountain Time)","value":"09:34:50"},{"id":151,"name":"Denver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1"/>
        <v>start /low /b %USERPROFILE%\Documents\GitHub\eaglep3\Utilities\DownloadLogsFromS3.py --loco 4022 --day 2017-08-06</v>
      </c>
      <c r="AN165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739</v>
      </c>
      <c r="B166" s="7">
        <v>4021</v>
      </c>
      <c r="C166" s="21" t="s">
        <v>198</v>
      </c>
      <c r="D166" s="21" t="s">
        <v>923</v>
      </c>
      <c r="E166" s="13">
        <v>42953.400497685187</v>
      </c>
      <c r="F166" s="13">
        <v>42953.402303240742</v>
      </c>
      <c r="G166" s="7">
        <v>1</v>
      </c>
      <c r="H166" s="21" t="s">
        <v>528</v>
      </c>
      <c r="I166" s="13">
        <v>42953.413483796299</v>
      </c>
      <c r="J166" s="7">
        <v>0</v>
      </c>
      <c r="K166" s="89" t="str">
        <f t="shared" si="70"/>
        <v>4021/4022</v>
      </c>
      <c r="L166" s="21" t="str">
        <f>VLOOKUP(A166,'Trips&amp;Operators'!$C$1:$G$99999,5,FALSE)</f>
        <v>DAVIDSON DAVID</v>
      </c>
      <c r="M166" s="6">
        <f t="shared" si="71"/>
        <v>1.1180555557075422E-2</v>
      </c>
      <c r="N166" s="7">
        <f t="shared" si="69"/>
        <v>16.100000002188608</v>
      </c>
      <c r="O166" s="7"/>
      <c r="P166" s="7"/>
      <c r="Q166" s="22"/>
      <c r="R166" s="170"/>
      <c r="S166" s="213">
        <f t="shared" si="85"/>
        <v>1</v>
      </c>
      <c r="T166" s="195" t="str">
        <f t="shared" si="72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3"/>
        <v>https://d0f6bd738d7f1b3e5a7ca70fe4ff75f0.us-east-1.aws.found.io/app/kibana#/discover/Steve-Slow-Train-Analysis-(2080s-and-2083s)?_g=(refreshInterval:(display:Off,pause:!f,section:0,value:0),time:(from:'2017-08-06T08:36:43-0600',mode:absolute,to:'2017-08-06T10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7" t="str">
        <f>IF(AA166&lt;VLOOKUP(AG166,Variables!$AC$3:$AD$8,2,FALSE),"Y","N")</f>
        <v>N</v>
      </c>
      <c r="X166" s="197">
        <f t="shared" si="87"/>
        <v>1</v>
      </c>
      <c r="Y166" s="197">
        <f t="shared" si="92"/>
        <v>5.8640999999999996</v>
      </c>
      <c r="Z166" s="197">
        <f t="shared" si="93"/>
        <v>6.8500000000000005E-2</v>
      </c>
      <c r="AA166" s="197">
        <f t="shared" si="74"/>
        <v>5.7955999999999994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75"/>
        <v>1808</v>
      </c>
      <c r="AE166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66" s="74" t="str">
        <f t="shared" si="77"/>
        <v>"C:\Program Files (x86)\AstroGrep\AstroGrep.exe" /e /r /s /spath="%USERPROFILE%\AppData\Local\Temp\OnboardLogs" /stypes="app*4021*20170806*" /stext=" 15:.+((SYSTEM_STATE.+slice.+state.+changed )|(ment ac)|(multiple cpu faults)|(system.+state.+changed )|(\[timeout)|(PRM\|1\|D)|(kpr)|(kdp)|(train st.+moving)|(\|lc)|(penalty))"</v>
      </c>
      <c r="AG166" s="209" t="str">
        <f t="shared" si="78"/>
        <v>NW</v>
      </c>
      <c r="AH166" s="78" t="str">
        <f t="shared" si="79"/>
        <v>"%USERPROFILE%\Documents\GitHub\eaglep3\Utilities\RefineRTDCRunTimes.py" --tripid 1808-06 --locoid 4021 --swversion DE.1.0.9.0 --startMP 300:58641 --initTime 2017-08-06T09:36:43 --startdatetime 2017-08-06T09:39:19 --delay 1 --endMP 204:685 --enddatetime 2017-08-06T09:55:25 --enforcementcount 0 &gt;&gt;C:\Users\stu\Documents\GitHub\eaglep3-reporting\EC\2017-08-06-refined-times.txt</v>
      </c>
      <c r="AI166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{"issue":{"subject":"","project_id":79,"tracker_id":40,"status_id":1,"priority_id":2,"assigned_to_id":23,"start_date":"2017-08-06","description":"","custom_fields":[{"id":1,"name":"Subdivision","value":"NW"},{"id":4,"name":"Milepost","value":"0.0685"},{"id":17,"name":"Train ID","value":"1808-06"},{"id":16,"name":"Locomotive ID","value":"4021"},{"id":130,"name":"Impact","value":""},{"id":150,"name":"Time of Event (Mountain Time)","value":"09:55:25"},{"id":151,"name":"Denver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81"/>
        <v>start /low /b %USERPROFILE%\Documents\GitHub\eaglep3\Utilities\DownloadLogsFromS3.py --loco 4021 --day 2017-08-06</v>
      </c>
      <c r="AN166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15:55:25"},{"id":29,"name":"Sharepoint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x14ac:dyDescent="0.25">
      <c r="A167" s="32" t="s">
        <v>743</v>
      </c>
      <c r="B167" s="7">
        <v>4022</v>
      </c>
      <c r="C167" s="21" t="s">
        <v>198</v>
      </c>
      <c r="D167" s="21" t="s">
        <v>924</v>
      </c>
      <c r="E167" s="13">
        <v>42953.415810185186</v>
      </c>
      <c r="F167" s="13">
        <v>42953.431435185186</v>
      </c>
      <c r="G167" s="7">
        <v>1</v>
      </c>
      <c r="H167" s="21" t="s">
        <v>508</v>
      </c>
      <c r="I167" s="13">
        <v>42953.440925925926</v>
      </c>
      <c r="J167" s="7">
        <v>0</v>
      </c>
      <c r="K167" s="89" t="str">
        <f t="shared" si="70"/>
        <v>4021/4022</v>
      </c>
      <c r="L167" s="21" t="str">
        <f>VLOOKUP(A167,'Trips&amp;Operators'!$C$1:$G$99999,5,FALSE)</f>
        <v>DAVIDSON DAVID</v>
      </c>
      <c r="M167" s="6">
        <f t="shared" si="71"/>
        <v>9.4907407401478849E-3</v>
      </c>
      <c r="N167" s="7">
        <f t="shared" si="69"/>
        <v>13.666666665812954</v>
      </c>
      <c r="O167" s="7"/>
      <c r="P167" s="7"/>
      <c r="Q167" s="22"/>
      <c r="R167" s="170"/>
      <c r="S167" s="213">
        <f t="shared" si="85"/>
        <v>1</v>
      </c>
      <c r="T167" s="195" t="str">
        <f t="shared" si="72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3"/>
        <v>https://d0f6bd738d7f1b3e5a7ca70fe4ff75f0.us-east-1.aws.found.io/app/kibana#/discover/Steve-Slow-Train-Analysis-(2080s-and-2083s)?_g=(refreshInterval:(display:Off,pause:!f,section:0,value:0),time:(from:'2017-08-06T08:58:46-0600',mode:absolute,to:'2017-08-06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7" s="197" t="str">
        <f>IF(AA167&lt;VLOOKUP(AG167,Variables!$AC$3:$AD$8,2,FALSE),"Y","N")</f>
        <v>N</v>
      </c>
      <c r="X167" s="197">
        <f t="shared" si="87"/>
        <v>1</v>
      </c>
      <c r="Y167" s="197">
        <f t="shared" si="92"/>
        <v>9.5699999999999993E-2</v>
      </c>
      <c r="Z167" s="197">
        <f t="shared" si="93"/>
        <v>5.8936999999999999</v>
      </c>
      <c r="AA167" s="197">
        <f t="shared" si="74"/>
        <v>5.798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75"/>
        <v>1809</v>
      </c>
      <c r="AE167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67" s="74" t="str">
        <f t="shared" si="77"/>
        <v>"C:\Program Files (x86)\AstroGrep\AstroGrep.exe" /e /r /s /spath="%USERPROFILE%\AppData\Local\Temp\OnboardLogs" /stypes="app*4022*20170806*" /stext=" 16:.+((SYSTEM_STATE.+slice.+state.+changed )|(ment ac)|(multiple cpu faults)|(system.+state.+changed )|(\[timeout)|(PRM\|1\|D)|(kpr)|(kdp)|(train st.+moving)|(\|lc)|(penalty))"</v>
      </c>
      <c r="AG167" s="209" t="str">
        <f t="shared" si="78"/>
        <v>NW</v>
      </c>
      <c r="AH167" s="78" t="str">
        <f t="shared" si="79"/>
        <v>"%USERPROFILE%\Documents\GitHub\eaglep3\Utilities\RefineRTDCRunTimes.py" --tripid 1809-06 --locoid 4022 --swversion DE.1.0.9.0 --startMP 204:957 --initTime 2017-08-06T09:58:46 --startdatetime 2017-08-06T10:21:16 --delay 1 --endMP 300:58937 --enddatetime 2017-08-06T10:34:56 --enforcementcount 0 &gt;&gt;C:\Users\stu\Documents\GitHub\eaglep3-reporting\EC\2017-08-06-refined-times.txt</v>
      </c>
      <c r="AI167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{"issue":{"subject":"","project_id":79,"tracker_id":40,"status_id":1,"priority_id":2,"assigned_to_id":23,"start_date":"2017-08-06","description":"","custom_fields":[{"id":1,"name":"Subdivision","value":"NW"},{"id":4,"name":"Milepost","value":"5.8937"},{"id":17,"name":"Train ID","value":"1809-06"},{"id":16,"name":"Locomotive ID","value":"4022"},{"id":130,"name":"Impact","value":""},{"id":150,"name":"Time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81"/>
        <v>start /low /b %USERPROFILE%\Documents\GitHub\eaglep3\Utilities\DownloadLogsFromS3.py --loco 4022 --day 2017-08-06</v>
      </c>
      <c r="AN167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s="20" customFormat="1" x14ac:dyDescent="0.25">
      <c r="A168" s="32" t="s">
        <v>748</v>
      </c>
      <c r="B168" s="7">
        <v>4021</v>
      </c>
      <c r="C168" s="21" t="s">
        <v>198</v>
      </c>
      <c r="D168" s="21" t="s">
        <v>925</v>
      </c>
      <c r="E168" s="13">
        <v>42953.441979166666</v>
      </c>
      <c r="F168" s="13">
        <v>42953.44327546296</v>
      </c>
      <c r="G168" s="7">
        <v>0</v>
      </c>
      <c r="H168" s="21" t="s">
        <v>572</v>
      </c>
      <c r="I168" s="13">
        <v>42953.454918981479</v>
      </c>
      <c r="J168" s="7">
        <v>0</v>
      </c>
      <c r="K168" s="89" t="str">
        <f t="shared" si="70"/>
        <v>4021/4022</v>
      </c>
      <c r="L168" s="21" t="str">
        <f>VLOOKUP(A168,'Trips&amp;Operators'!$C$1:$G$99999,5,FALSE)</f>
        <v>DAVIDSON DAVID</v>
      </c>
      <c r="M168" s="6">
        <f t="shared" si="71"/>
        <v>1.1643518519122154E-2</v>
      </c>
      <c r="N168" s="7">
        <f t="shared" si="69"/>
        <v>16.766666667535901</v>
      </c>
      <c r="O168" s="7"/>
      <c r="P168" s="7"/>
      <c r="Q168" s="22"/>
      <c r="R168" s="170"/>
      <c r="S168" s="213">
        <f t="shared" si="85"/>
        <v>1</v>
      </c>
      <c r="T168" s="195" t="str">
        <f t="shared" si="72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3"/>
        <v>https://d0f6bd738d7f1b3e5a7ca70fe4ff75f0.us-east-1.aws.found.io/app/kibana#/discover/Steve-Slow-Train-Analysis-(2080s-and-2083s)?_g=(refreshInterval:(display:Off,pause:!f,section:0,value:0),time:(from:'2017-08-06T09:36:27-0600',mode:absolute,to:'2017-08-06T11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8" s="197" t="str">
        <f>IF(AA168&lt;VLOOKUP(AG168,Variables!$AC$3:$AD$8,2,FALSE),"Y","N")</f>
        <v>N</v>
      </c>
      <c r="X168" s="197">
        <f t="shared" si="87"/>
        <v>1</v>
      </c>
      <c r="Y168" s="197">
        <f t="shared" si="92"/>
        <v>5.8630000000000004</v>
      </c>
      <c r="Z168" s="197">
        <f t="shared" si="93"/>
        <v>6.8900000000000003E-2</v>
      </c>
      <c r="AA168" s="197">
        <f t="shared" si="74"/>
        <v>5.7941000000000003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75"/>
        <v>1810</v>
      </c>
      <c r="AE168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68" s="74" t="str">
        <f t="shared" si="77"/>
        <v>"C:\Program Files (x86)\AstroGrep\AstroGrep.exe" /e /r /s /spath="%USERPROFILE%\AppData\Local\Temp\OnboardLogs" /stypes="app*4021*20170806*" /stext=" 16:.+((SYSTEM_STATE.+slice.+state.+changed )|(ment ac)|(multiple cpu faults)|(system.+state.+changed )|(\[timeout)|(PRM\|1\|D)|(kpr)|(kdp)|(train st.+moving)|(\|lc)|(penalty))"</v>
      </c>
      <c r="AG168" s="209" t="str">
        <f t="shared" si="78"/>
        <v>NW</v>
      </c>
      <c r="AH168" s="78" t="str">
        <f t="shared" si="79"/>
        <v>"%USERPROFILE%\Documents\GitHub\eaglep3\Utilities\RefineRTDCRunTimes.py" --tripid 1810-06 --locoid 4021 --swversion DE.1.0.9.0 --startMP 300:58630 --initTime 2017-08-06T10:36:27 --startdatetime 2017-08-06T10:38:19 --delay 0 --endMP 204:689 --enddatetime 2017-08-06T10:55:05 --enforcementcount 0 &gt;&gt;C:\Users\stu\Documents\GitHub\eaglep3-reporting\EC\2017-08-06-refined-times.txt</v>
      </c>
      <c r="AI168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{"issue":{"subject":"","project_id":79,"tracker_id":40,"status_id":1,"priority_id":2,"assigned_to_id":23,"start_date":"2017-08-06","description":"","custom_fields":[{"id":1,"name":"Subdivision","value":"NW"},{"id":4,"name":"Milepost","value":"0.0689"},{"id":17,"name":"Train ID","value":"1810-06"},{"id":16,"name":"Locomotive ID","value":"4021"},{"id":130,"name":"Impact","value":""},{"id":150,"name":"Time of Event (Mountain Time)","value":"10:55:05"},{"id":151,"name":"Denver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81"/>
        <v>start /low /b %USERPROFILE%\Documents\GitHub\eaglep3\Utilities\DownloadLogsFromS3.py --loco 4021 --day 2017-08-06</v>
      </c>
      <c r="AN168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16:55:05"},{"id":29,"name":"Sharepoint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753</v>
      </c>
      <c r="B169" s="7">
        <v>4022</v>
      </c>
      <c r="C169" s="21" t="s">
        <v>198</v>
      </c>
      <c r="D169" s="21" t="s">
        <v>926</v>
      </c>
      <c r="E169" s="13">
        <v>42953.456759259258</v>
      </c>
      <c r="F169" s="13">
        <v>42953.473101851851</v>
      </c>
      <c r="G169" s="7">
        <v>1</v>
      </c>
      <c r="H169" s="21" t="s">
        <v>927</v>
      </c>
      <c r="I169" s="13">
        <v>42953.482581018521</v>
      </c>
      <c r="J169" s="7">
        <v>0</v>
      </c>
      <c r="K169" s="89" t="str">
        <f t="shared" si="70"/>
        <v>4021/4022</v>
      </c>
      <c r="L169" s="21" t="str">
        <f>VLOOKUP(A169,'Trips&amp;Operators'!$C$1:$G$99999,5,FALSE)</f>
        <v>DAVIDSON DAVID</v>
      </c>
      <c r="M169" s="6">
        <f t="shared" si="71"/>
        <v>9.4791666706441902E-3</v>
      </c>
      <c r="N169" s="7">
        <f t="shared" si="69"/>
        <v>13.650000005727634</v>
      </c>
      <c r="O169" s="7"/>
      <c r="P169" s="7"/>
      <c r="Q169" s="22"/>
      <c r="R169" s="170"/>
      <c r="S169" s="213">
        <f t="shared" si="85"/>
        <v>1</v>
      </c>
      <c r="T169" s="195" t="str">
        <f t="shared" si="72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3"/>
        <v>https://d0f6bd738d7f1b3e5a7ca70fe4ff75f0.us-east-1.aws.found.io/app/kibana#/discover/Steve-Slow-Train-Analysis-(2080s-and-2083s)?_g=(refreshInterval:(display:Off,pause:!f,section:0,value:0),time:(from:'2017-08-06T09:57:44-0600',mode:absolute,to:'2017-08-06T12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7" t="str">
        <f>IF(AA169&lt;VLOOKUP(AG169,Variables!$AC$3:$AD$8,2,FALSE),"Y","N")</f>
        <v>N</v>
      </c>
      <c r="X169" s="197">
        <f t="shared" si="87"/>
        <v>1</v>
      </c>
      <c r="Y169" s="197">
        <f t="shared" si="92"/>
        <v>9.8799999999999999E-2</v>
      </c>
      <c r="Z169" s="197">
        <f t="shared" si="93"/>
        <v>5.8954000000000004</v>
      </c>
      <c r="AA169" s="197">
        <f t="shared" si="74"/>
        <v>5.7966000000000006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75"/>
        <v>1811</v>
      </c>
      <c r="AE169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69" s="74" t="str">
        <f t="shared" si="77"/>
        <v>"C:\Program Files (x86)\AstroGrep\AstroGrep.exe" /e /r /s /spath="%USERPROFILE%\AppData\Local\Temp\OnboardLogs" /stypes="app*4022*20170806*" /stext=" 17:.+((SYSTEM_STATE.+slice.+state.+changed )|(ment ac)|(multiple cpu faults)|(system.+state.+changed )|(\[timeout)|(PRM\|1\|D)|(kpr)|(kdp)|(train st.+moving)|(\|lc)|(penalty))"</v>
      </c>
      <c r="AG169" s="209" t="str">
        <f t="shared" si="78"/>
        <v>NW</v>
      </c>
      <c r="AH169" s="78" t="str">
        <f t="shared" si="79"/>
        <v>"%USERPROFILE%\Documents\GitHub\eaglep3\Utilities\RefineRTDCRunTimes.py" --tripid 1811-06 --locoid 4022 --swversion DE.1.0.9.0 --startMP 204:988 --initTime 2017-08-06T10:57:44 --startdatetime 2017-08-06T11:21:16 --delay 1 --endMP 300:58954 --enddatetime 2017-08-06T11:34:55 --enforcementcount 0 &gt;&gt;C:\Users\stu\Documents\GitHub\eaglep3-reporting\EC\2017-08-06-refined-times.txt</v>
      </c>
      <c r="AI169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{"issue":{"subject":"","project_id":79,"tracker_id":40,"status_id":1,"priority_id":2,"assigned_to_id":23,"start_date":"2017-08-06","description":"","custom_fields":[{"id":1,"name":"Subdivision","value":"NW"},{"id":4,"name":"Milepost","value":"5.8954"},{"id":17,"name":"Train ID","value":"1811-06"},{"id":16,"name":"Locomotive ID","value":"4022"},{"id":130,"name":"Impact","value":""},{"id":150,"name":"Time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1"/>
        <v>start /low /b %USERPROFILE%\Documents\GitHub\eaglep3\Utilities\DownloadLogsFromS3.py --loco 4022 --day 2017-08-06</v>
      </c>
      <c r="AN169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759</v>
      </c>
      <c r="B170" s="7">
        <v>4021</v>
      </c>
      <c r="C170" s="21" t="s">
        <v>198</v>
      </c>
      <c r="D170" s="21" t="s">
        <v>920</v>
      </c>
      <c r="E170" s="13">
        <v>42953.483761574076</v>
      </c>
      <c r="F170" s="13">
        <v>42953.485196759262</v>
      </c>
      <c r="G170" s="7">
        <v>1</v>
      </c>
      <c r="H170" s="21" t="s">
        <v>928</v>
      </c>
      <c r="I170" s="13">
        <v>42953.496944444443</v>
      </c>
      <c r="J170" s="7">
        <v>0</v>
      </c>
      <c r="K170" s="89" t="str">
        <f t="shared" si="70"/>
        <v>4021/4022</v>
      </c>
      <c r="L170" s="21" t="str">
        <f>VLOOKUP(A170,'Trips&amp;Operators'!$C$1:$G$99999,5,FALSE)</f>
        <v>DAVIDSON DAVID</v>
      </c>
      <c r="M170" s="6">
        <f t="shared" si="71"/>
        <v>1.1747685181035195E-2</v>
      </c>
      <c r="N170" s="7">
        <f t="shared" si="69"/>
        <v>16.91666666069068</v>
      </c>
      <c r="O170" s="7"/>
      <c r="P170" s="7"/>
      <c r="Q170" s="22"/>
      <c r="R170" s="170"/>
      <c r="S170" s="213">
        <f t="shared" si="85"/>
        <v>1</v>
      </c>
      <c r="T170" s="195" t="str">
        <f t="shared" si="72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3"/>
        <v>https://d0f6bd738d7f1b3e5a7ca70fe4ff75f0.us-east-1.aws.found.io/app/kibana#/discover/Steve-Slow-Train-Analysis-(2080s-and-2083s)?_g=(refreshInterval:(display:Off,pause:!f,section:0,value:0),time:(from:'2017-08-06T10:36:37-0600',mode:absolute,to:'2017-08-06T12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7" t="str">
        <f>IF(AA170&lt;VLOOKUP(AG170,Variables!$AC$3:$AD$8,2,FALSE),"Y","N")</f>
        <v>N</v>
      </c>
      <c r="X170" s="197">
        <f t="shared" si="87"/>
        <v>1</v>
      </c>
      <c r="Y170" s="197">
        <f t="shared" si="92"/>
        <v>5.8632</v>
      </c>
      <c r="Z170" s="197">
        <f t="shared" si="93"/>
        <v>6.9599999999999995E-2</v>
      </c>
      <c r="AA170" s="197">
        <f t="shared" si="74"/>
        <v>5.7935999999999996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75"/>
        <v>1812</v>
      </c>
      <c r="AE170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70" s="74" t="str">
        <f t="shared" si="77"/>
        <v>"C:\Program Files (x86)\AstroGrep\AstroGrep.exe" /e /r /s /spath="%USERPROFILE%\AppData\Local\Temp\OnboardLogs" /stypes="app*4021*20170806*" /stext=" 17:.+((SYSTEM_STATE.+slice.+state.+changed )|(ment ac)|(multiple cpu faults)|(system.+state.+changed )|(\[timeout)|(PRM\|1\|D)|(kpr)|(kdp)|(train st.+moving)|(\|lc)|(penalty))"</v>
      </c>
      <c r="AG170" s="209" t="str">
        <f t="shared" si="78"/>
        <v>NW</v>
      </c>
      <c r="AH170" s="78" t="str">
        <f t="shared" si="79"/>
        <v>"%USERPROFILE%\Documents\GitHub\eaglep3\Utilities\RefineRTDCRunTimes.py" --tripid 1812-06 --locoid 4021 --swversion DE.1.0.9.0 --startMP 300:58632 --initTime 2017-08-06T11:36:37 --startdatetime 2017-08-06T11:38:41 --delay 1 --endMP 204:696 --enddatetime 2017-08-06T11:55:36 --enforcementcount 0 &gt;&gt;C:\Users\stu\Documents\GitHub\eaglep3-reporting\EC\2017-08-06-refined-times.txt</v>
      </c>
      <c r="AI170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{"issue":{"subject":"","project_id":79,"tracker_id":40,"status_id":1,"priority_id":2,"assigned_to_id":23,"start_date":"2017-08-06","description":"","custom_fields":[{"id":1,"name":"Subdivision","value":"NW"},{"id":4,"name":"Milepost","value":"0.0696"},{"id":17,"name":"Train ID","value":"1812-06"},{"id":16,"name":"Locomotive ID","value":"4021"},{"id":130,"name":"Impact","value":""},{"id":150,"name":"Time of Event (Mountain Time)","value":"11:55:36"},{"id":151,"name":"Denver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81"/>
        <v>start /low /b %USERPROFILE%\Documents\GitHub\eaglep3\Utilities\DownloadLogsFromS3.py --loco 4021 --day 2017-08-06</v>
      </c>
      <c r="AN170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17:55:36"},{"id":29,"name":"Sharepoint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765</v>
      </c>
      <c r="B171" s="7">
        <v>4022</v>
      </c>
      <c r="C171" s="21" t="s">
        <v>198</v>
      </c>
      <c r="D171" s="21" t="s">
        <v>929</v>
      </c>
      <c r="E171" s="13">
        <v>42953.500636574077</v>
      </c>
      <c r="F171" s="13">
        <v>42953.514849537038</v>
      </c>
      <c r="G171" s="7">
        <v>1</v>
      </c>
      <c r="H171" s="21" t="s">
        <v>930</v>
      </c>
      <c r="I171" s="13">
        <v>42953.524722222224</v>
      </c>
      <c r="J171" s="7">
        <v>0</v>
      </c>
      <c r="K171" s="89" t="str">
        <f t="shared" si="70"/>
        <v>4021/4022</v>
      </c>
      <c r="L171" s="21" t="str">
        <f>VLOOKUP(A171,'Trips&amp;Operators'!$C$1:$G$99999,5,FALSE)</f>
        <v>DAVIDSON DAVID</v>
      </c>
      <c r="M171" s="6">
        <f t="shared" si="71"/>
        <v>9.8726851865649223E-3</v>
      </c>
      <c r="N171" s="7">
        <f t="shared" si="69"/>
        <v>14.216666668653488</v>
      </c>
      <c r="O171" s="7"/>
      <c r="P171" s="7"/>
      <c r="Q171" s="22"/>
      <c r="R171" s="170"/>
      <c r="S171" s="213">
        <f t="shared" si="85"/>
        <v>1</v>
      </c>
      <c r="T171" s="195" t="str">
        <f t="shared" si="72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3"/>
        <v>https://d0f6bd738d7f1b3e5a7ca70fe4ff75f0.us-east-1.aws.found.io/app/kibana#/discover/Steve-Slow-Train-Analysis-(2080s-and-2083s)?_g=(refreshInterval:(display:Off,pause:!f,section:0,value:0),time:(from:'2017-08-06T11:00:55-0600',mode:absolute,to:'2017-08-06T13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1" s="197" t="str">
        <f>IF(AA171&lt;VLOOKUP(AG171,Variables!$AC$3:$AD$8,2,FALSE),"Y","N")</f>
        <v>N</v>
      </c>
      <c r="X171" s="197">
        <f t="shared" si="87"/>
        <v>1</v>
      </c>
      <c r="Y171" s="197">
        <f t="shared" si="92"/>
        <v>0.1</v>
      </c>
      <c r="Z171" s="197">
        <f t="shared" si="93"/>
        <v>5.8952</v>
      </c>
      <c r="AA171" s="197">
        <f t="shared" si="74"/>
        <v>5.7952000000000004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75"/>
        <v>1813</v>
      </c>
      <c r="AE171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71" s="74" t="str">
        <f t="shared" si="77"/>
        <v>"C:\Program Files (x86)\AstroGrep\AstroGrep.exe" /e /r /s /spath="%USERPROFILE%\AppData\Local\Temp\OnboardLogs" /stypes="app*4022*20170806*" /stext=" 18:.+((SYSTEM_STATE.+slice.+state.+changed )|(ment ac)|(multiple cpu faults)|(system.+state.+changed )|(\[timeout)|(PRM\|1\|D)|(kpr)|(kdp)|(train st.+moving)|(\|lc)|(penalty))"</v>
      </c>
      <c r="AG171" s="209" t="str">
        <f t="shared" si="78"/>
        <v>NW</v>
      </c>
      <c r="AH171" s="78" t="str">
        <f t="shared" si="79"/>
        <v>"%USERPROFILE%\Documents\GitHub\eaglep3\Utilities\RefineRTDCRunTimes.py" --tripid 1813-06 --locoid 4022 --swversion DE.1.0.9.0 --startMP 204:1000 --initTime 2017-08-06T12:00:55 --startdatetime 2017-08-06T12:21:23 --delay 1 --endMP 300:58952 --enddatetime 2017-08-06T12:35:36 --enforcementcount 0 &gt;&gt;C:\Users\stu\Documents\GitHub\eaglep3-reporting\EC\2017-08-06-refined-times.txt</v>
      </c>
      <c r="AI171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{"issue":{"subject":"","project_id":79,"tracker_id":40,"status_id":1,"priority_id":2,"assigned_to_id":23,"start_date":"2017-08-06","description":"","custom_fields":[{"id":1,"name":"Subdivision","value":"NW"},{"id":4,"name":"Milepost","value":"5.8952"},{"id":17,"name":"Train ID","value":"1813-06"},{"id":16,"name":"Locomotive ID","value":"4022"},{"id":130,"name":"Impact","value":""},{"id":150,"name":"Time of Event (Mountain Time)","value":"12:35:36"},{"id":151,"name":"Denver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81"/>
        <v>start /low /b %USERPROFILE%\Documents\GitHub\eaglep3\Utilities\DownloadLogsFromS3.py --loco 4022 --day 2017-08-06</v>
      </c>
      <c r="AN171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770</v>
      </c>
      <c r="B172" s="7">
        <v>4021</v>
      </c>
      <c r="C172" s="21" t="s">
        <v>198</v>
      </c>
      <c r="D172" s="21" t="s">
        <v>923</v>
      </c>
      <c r="E172" s="13">
        <v>42953.525682870371</v>
      </c>
      <c r="F172" s="13">
        <v>42953.52716435185</v>
      </c>
      <c r="G172" s="7">
        <v>1</v>
      </c>
      <c r="H172" s="21" t="s">
        <v>931</v>
      </c>
      <c r="I172" s="13">
        <v>42953.538425925923</v>
      </c>
      <c r="J172" s="7">
        <v>0</v>
      </c>
      <c r="K172" s="89" t="str">
        <f t="shared" si="70"/>
        <v>4021/4022</v>
      </c>
      <c r="L172" s="21" t="str">
        <f>VLOOKUP(A172,'Trips&amp;Operators'!$C$1:$G$99999,5,FALSE)</f>
        <v>DAVIDSON DAVID</v>
      </c>
      <c r="M172" s="6">
        <f t="shared" si="71"/>
        <v>1.1261574072705116E-2</v>
      </c>
      <c r="N172" s="7">
        <f t="shared" ref="N172:N190" si="94">24*60*SUM($M172:$M172)</f>
        <v>16.216666664695367</v>
      </c>
      <c r="O172" s="7"/>
      <c r="P172" s="7"/>
      <c r="Q172" s="22"/>
      <c r="R172" s="170"/>
      <c r="S172" s="213">
        <f t="shared" si="85"/>
        <v>1</v>
      </c>
      <c r="T172" s="195" t="str">
        <f t="shared" si="72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3"/>
        <v>https://d0f6bd738d7f1b3e5a7ca70fe4ff75f0.us-east-1.aws.found.io/app/kibana#/discover/Steve-Slow-Train-Analysis-(2080s-and-2083s)?_g=(refreshInterval:(display:Off,pause:!f,section:0,value:0),time:(from:'2017-08-06T11:36:59-0600',mode:absolute,to:'2017-08-06T13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2" s="197" t="str">
        <f>IF(AA172&lt;VLOOKUP(AG172,Variables!$AC$3:$AD$8,2,FALSE),"Y","N")</f>
        <v>N</v>
      </c>
      <c r="X172" s="197">
        <f t="shared" si="87"/>
        <v>1</v>
      </c>
      <c r="Y172" s="197">
        <f t="shared" si="92"/>
        <v>5.8640999999999996</v>
      </c>
      <c r="Z172" s="197">
        <f t="shared" si="93"/>
        <v>7.2400000000000006E-2</v>
      </c>
      <c r="AA172" s="197">
        <f t="shared" si="74"/>
        <v>5.7916999999999996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75"/>
        <v>1814</v>
      </c>
      <c r="AE172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72" s="74" t="str">
        <f t="shared" si="77"/>
        <v>"C:\Program Files (x86)\AstroGrep\AstroGrep.exe" /e /r /s /spath="%USERPROFILE%\AppData\Local\Temp\OnboardLogs" /stypes="app*4021*20170806*" /stext=" 18:.+((SYSTEM_STATE.+slice.+state.+changed )|(ment ac)|(multiple cpu faults)|(system.+state.+changed )|(\[timeout)|(PRM\|1\|D)|(kpr)|(kdp)|(train st.+moving)|(\|lc)|(penalty))"</v>
      </c>
      <c r="AG172" s="209" t="str">
        <f t="shared" si="78"/>
        <v>NW</v>
      </c>
      <c r="AH172" s="78" t="str">
        <f t="shared" si="79"/>
        <v>"%USERPROFILE%\Documents\GitHub\eaglep3\Utilities\RefineRTDCRunTimes.py" --tripid 1814-06 --locoid 4021 --swversion DE.1.0.9.0 --startMP 300:58641 --initTime 2017-08-06T12:36:59 --startdatetime 2017-08-06T12:39:07 --delay 1 --endMP 204:724 --enddatetime 2017-08-06T12:55:20 --enforcementcount 0 &gt;&gt;C:\Users\stu\Documents\GitHub\eaglep3-reporting\EC\2017-08-06-refined-times.txt</v>
      </c>
      <c r="AI172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{"issue":{"subject":"","project_id":79,"tracker_id":40,"status_id":1,"priority_id":2,"assigned_to_id":23,"start_date":"2017-08-06","description":"","custom_fields":[{"id":1,"name":"Subdivision","value":"NW"},{"id":4,"name":"Milepost","value":"0.0724"},{"id":17,"name":"Train ID","value":"1814-06"},{"id":16,"name":"Locomotive ID","value":"4021"},{"id":130,"name":"Impact","value":""},{"id":150,"name":"Time of Event (Mountain Time)","value":"12:55:20"},{"id":151,"name":"Denver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81"/>
        <v>start /low /b %USERPROFILE%\Documents\GitHub\eaglep3\Utilities\DownloadLogsFromS3.py --loco 4021 --day 2017-08-06</v>
      </c>
      <c r="AN172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18:55:20"},{"id":29,"name":"Sharepoint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776</v>
      </c>
      <c r="B173" s="7">
        <v>4022</v>
      </c>
      <c r="C173" s="21" t="s">
        <v>198</v>
      </c>
      <c r="D173" s="21" t="s">
        <v>932</v>
      </c>
      <c r="E173" s="13">
        <v>42953.540949074071</v>
      </c>
      <c r="F173" s="13">
        <v>42953.556921296295</v>
      </c>
      <c r="G173" s="7">
        <v>1</v>
      </c>
      <c r="H173" s="21" t="s">
        <v>632</v>
      </c>
      <c r="I173" s="13">
        <v>42953.565937500003</v>
      </c>
      <c r="J173" s="7">
        <v>0</v>
      </c>
      <c r="K173" s="89" t="str">
        <f t="shared" si="70"/>
        <v>4021/4022</v>
      </c>
      <c r="L173" s="21" t="str">
        <f>VLOOKUP(A173,'Trips&amp;Operators'!$C$1:$G$99999,5,FALSE)</f>
        <v>DAVIDSON DAVID</v>
      </c>
      <c r="M173" s="6">
        <f t="shared" si="71"/>
        <v>9.0162037085974589E-3</v>
      </c>
      <c r="N173" s="7">
        <f t="shared" si="94"/>
        <v>12.983333340380341</v>
      </c>
      <c r="O173" s="7"/>
      <c r="P173" s="7"/>
      <c r="Q173" s="22"/>
      <c r="R173" s="170"/>
      <c r="S173" s="213">
        <f t="shared" si="85"/>
        <v>1</v>
      </c>
      <c r="T173" s="195" t="str">
        <f t="shared" si="72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3"/>
        <v>https://d0f6bd738d7f1b3e5a7ca70fe4ff75f0.us-east-1.aws.found.io/app/kibana#/discover/Steve-Slow-Train-Analysis-(2080s-and-2083s)?_g=(refreshInterval:(display:Off,pause:!f,section:0,value:0),time:(from:'2017-08-06T11:58:58-0600',mode:absolute,to:'2017-08-06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197" t="str">
        <f>IF(AA173&lt;VLOOKUP(AG173,Variables!$AC$3:$AD$8,2,FALSE),"Y","N")</f>
        <v>N</v>
      </c>
      <c r="X173" s="197">
        <f t="shared" si="87"/>
        <v>1</v>
      </c>
      <c r="Y173" s="197">
        <f t="shared" si="92"/>
        <v>0.1021</v>
      </c>
      <c r="Z173" s="197">
        <f t="shared" si="93"/>
        <v>5.8948</v>
      </c>
      <c r="AA173" s="197">
        <f t="shared" si="74"/>
        <v>5.7927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75"/>
        <v>1815</v>
      </c>
      <c r="AE173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73" s="74" t="str">
        <f t="shared" si="77"/>
        <v>"C:\Program Files (x86)\AstroGrep\AstroGrep.exe" /e /r /s /spath="%USERPROFILE%\AppData\Local\Temp\OnboardLogs" /stypes="app*4022*20170806*" /stext=" 19:.+((SYSTEM_STATE.+slice.+state.+changed )|(ment ac)|(multiple cpu faults)|(system.+state.+changed )|(\[timeout)|(PRM\|1\|D)|(kpr)|(kdp)|(train st.+moving)|(\|lc)|(penalty))"</v>
      </c>
      <c r="AG173" s="209" t="str">
        <f t="shared" si="78"/>
        <v>NW</v>
      </c>
      <c r="AH173" s="78" t="str">
        <f t="shared" si="79"/>
        <v>"%USERPROFILE%\Documents\GitHub\eaglep3\Utilities\RefineRTDCRunTimes.py" --tripid 1815-06 --locoid 4022 --swversion DE.1.0.9.0 --startMP 204:1021 --initTime 2017-08-06T12:58:58 --startdatetime 2017-08-06T13:21:58 --delay 1 --endMP 300:58948 --enddatetime 2017-08-06T13:34:57 --enforcementcount 0 &gt;&gt;C:\Users\stu\Documents\GitHub\eaglep3-reporting\EC\2017-08-06-refined-times.txt</v>
      </c>
      <c r="AI173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{"issue":{"subject":"","project_id":79,"tracker_id":40,"status_id":1,"priority_id":2,"assigned_to_id":23,"start_date":"2017-08-06","description":"","custom_fields":[{"id":1,"name":"Subdivision","value":"NW"},{"id":4,"name":"Milepost","value":"5.8948"},{"id":17,"name":"Train ID","value":"1815-06"},{"id":16,"name":"Locomotive ID","value":"4022"},{"id":130,"name":"Impact","value":""},{"id":150,"name":"Time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81"/>
        <v>start /low /b %USERPROFILE%\Documents\GitHub\eaglep3\Utilities\DownloadLogsFromS3.py --loco 4022 --day 2017-08-06</v>
      </c>
      <c r="AN173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783</v>
      </c>
      <c r="B174" s="7">
        <v>4021</v>
      </c>
      <c r="C174" s="21" t="s">
        <v>198</v>
      </c>
      <c r="D174" s="21" t="s">
        <v>629</v>
      </c>
      <c r="E174" s="13">
        <v>42953.567175925928</v>
      </c>
      <c r="F174" s="13">
        <v>42953.568437499998</v>
      </c>
      <c r="G174" s="7">
        <v>1</v>
      </c>
      <c r="H174" s="21" t="s">
        <v>933</v>
      </c>
      <c r="I174" s="13">
        <v>42953.580104166664</v>
      </c>
      <c r="J174" s="7">
        <v>0</v>
      </c>
      <c r="K174" s="89" t="str">
        <f t="shared" si="70"/>
        <v>4021/4022</v>
      </c>
      <c r="L174" s="21" t="str">
        <f>VLOOKUP(A174,'Trips&amp;Operators'!$C$1:$G$99999,5,FALSE)</f>
        <v>DAVIDSON DAVID</v>
      </c>
      <c r="M174" s="6">
        <f t="shared" si="71"/>
        <v>1.1666666665405501E-2</v>
      </c>
      <c r="N174" s="7">
        <f t="shared" si="94"/>
        <v>16.799999998183921</v>
      </c>
      <c r="O174" s="7"/>
      <c r="P174" s="7"/>
      <c r="Q174" s="22"/>
      <c r="R174" s="170"/>
      <c r="S174" s="213">
        <f t="shared" si="85"/>
        <v>1</v>
      </c>
      <c r="T174" s="195" t="str">
        <f t="shared" si="72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3"/>
        <v>https://d0f6bd738d7f1b3e5a7ca70fe4ff75f0.us-east-1.aws.found.io/app/kibana#/discover/Steve-Slow-Train-Analysis-(2080s-and-2083s)?_g=(refreshInterval:(display:Off,pause:!f,section:0,value:0),time:(from:'2017-08-06T12:36:44-0600',mode:absolute,to:'2017-08-06T14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197" t="str">
        <f>IF(AA174&lt;VLOOKUP(AG174,Variables!$AC$3:$AD$8,2,FALSE),"Y","N")</f>
        <v>N</v>
      </c>
      <c r="X174" s="197">
        <f t="shared" si="87"/>
        <v>1</v>
      </c>
      <c r="Y174" s="197">
        <f t="shared" si="92"/>
        <v>5.8625999999999996</v>
      </c>
      <c r="Z174" s="197">
        <f t="shared" si="93"/>
        <v>7.1300000000000002E-2</v>
      </c>
      <c r="AA174" s="197">
        <f t="shared" si="74"/>
        <v>5.7912999999999997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75"/>
        <v>1816</v>
      </c>
      <c r="AE174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74" s="74" t="str">
        <f t="shared" si="77"/>
        <v>"C:\Program Files (x86)\AstroGrep\AstroGrep.exe" /e /r /s /spath="%USERPROFILE%\AppData\Local\Temp\OnboardLogs" /stypes="app*4021*20170806*" /stext=" 19:.+((SYSTEM_STATE.+slice.+state.+changed )|(ment ac)|(multiple cpu faults)|(system.+state.+changed )|(\[timeout)|(PRM\|1\|D)|(kpr)|(kdp)|(train st.+moving)|(\|lc)|(penalty))"</v>
      </c>
      <c r="AG174" s="209" t="str">
        <f t="shared" si="78"/>
        <v>NW</v>
      </c>
      <c r="AH174" s="78" t="str">
        <f t="shared" si="79"/>
        <v>"%USERPROFILE%\Documents\GitHub\eaglep3\Utilities\RefineRTDCRunTimes.py" --tripid 1816-06 --locoid 4021 --swversion DE.1.0.9.0 --startMP 300:58626 --initTime 2017-08-06T13:36:44 --startdatetime 2017-08-06T13:38:33 --delay 1 --endMP 204:713 --enddatetime 2017-08-06T13:55:21 --enforcementcount 0 &gt;&gt;C:\Users\stu\Documents\GitHub\eaglep3-reporting\EC\2017-08-06-refined-times.txt</v>
      </c>
      <c r="AI174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{"issue":{"subject":"","project_id":79,"tracker_id":40,"status_id":1,"priority_id":2,"assigned_to_id":23,"start_date":"2017-08-06","description":"","custom_fields":[{"id":1,"name":"Subdivision","value":"NW"},{"id":4,"name":"Milepost","value":"0.0713"},{"id":17,"name":"Train ID","value":"1816-06"},{"id":16,"name":"Locomotive ID","value":"4021"},{"id":130,"name":"Impact","value":""},{"id":150,"name":"Time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81"/>
        <v>start /low /b %USERPROFILE%\Documents\GitHub\eaglep3\Utilities\DownloadLogsFromS3.py --loco 4021 --day 2017-08-06</v>
      </c>
      <c r="AN174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19:55:21"},{"id":29,"name":"Sharepoint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646</v>
      </c>
      <c r="B175" s="7">
        <v>4022</v>
      </c>
      <c r="C175" s="21" t="s">
        <v>198</v>
      </c>
      <c r="D175" s="21" t="s">
        <v>932</v>
      </c>
      <c r="E175" s="13">
        <v>42953.591157407405</v>
      </c>
      <c r="F175" s="13">
        <v>42953.598078703704</v>
      </c>
      <c r="G175" s="7">
        <v>1</v>
      </c>
      <c r="H175" s="21" t="s">
        <v>934</v>
      </c>
      <c r="I175" s="13">
        <v>42953.608032407406</v>
      </c>
      <c r="J175" s="7">
        <v>0</v>
      </c>
      <c r="K175" s="89" t="str">
        <f t="shared" si="70"/>
        <v>4021/4022</v>
      </c>
      <c r="L175" s="21" t="str">
        <f>VLOOKUP(A175,'Trips&amp;Operators'!$C$1:$G$99999,5,FALSE)</f>
        <v>HOLCOMB KAMDEN</v>
      </c>
      <c r="M175" s="6">
        <f t="shared" si="71"/>
        <v>9.9537037021946162E-3</v>
      </c>
      <c r="N175" s="7">
        <f t="shared" si="94"/>
        <v>14.333333331160247</v>
      </c>
      <c r="O175" s="7"/>
      <c r="P175" s="7"/>
      <c r="Q175" s="22"/>
      <c r="R175" s="170"/>
      <c r="S175" s="213">
        <f t="shared" si="85"/>
        <v>1</v>
      </c>
      <c r="T175" s="195" t="str">
        <f t="shared" si="72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3"/>
        <v>https://d0f6bd738d7f1b3e5a7ca70fe4ff75f0.us-east-1.aws.found.io/app/kibana#/discover/Steve-Slow-Train-Analysis-(2080s-and-2083s)?_g=(refreshInterval:(display:Off,pause:!f,section:0,value:0),time:(from:'2017-08-06T13:11:16-0600',mode:absolute,to:'2017-08-06T15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197" t="str">
        <f>IF(AA175&lt;VLOOKUP(AG175,Variables!$AC$3:$AD$8,2,FALSE),"Y","N")</f>
        <v>N</v>
      </c>
      <c r="X175" s="197">
        <f t="shared" si="87"/>
        <v>1</v>
      </c>
      <c r="Y175" s="197">
        <f t="shared" si="92"/>
        <v>0.1021</v>
      </c>
      <c r="Z175" s="197">
        <f t="shared" si="93"/>
        <v>5.8982000000000001</v>
      </c>
      <c r="AA175" s="197">
        <f t="shared" si="74"/>
        <v>5.7961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75"/>
        <v>1817</v>
      </c>
      <c r="AE175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75" s="74" t="str">
        <f t="shared" si="77"/>
        <v>"C:\Program Files (x86)\AstroGrep\AstroGrep.exe" /e /r /s /spath="%USERPROFILE%\AppData\Local\Temp\OnboardLogs" /stypes="app*4022*20170806*" /stext=" 20:.+((SYSTEM_STATE.+slice.+state.+changed )|(ment ac)|(multiple cpu faults)|(system.+state.+changed )|(\[timeout)|(PRM\|1\|D)|(kpr)|(kdp)|(train st.+moving)|(\|lc)|(penalty))"</v>
      </c>
      <c r="AG175" s="209" t="str">
        <f t="shared" si="78"/>
        <v>NW</v>
      </c>
      <c r="AH175" s="78" t="str">
        <f t="shared" si="79"/>
        <v>"%USERPROFILE%\Documents\GitHub\eaglep3\Utilities\RefineRTDCRunTimes.py" --tripid 1817-06 --locoid 4022 --swversion DE.1.0.9.0 --startMP 204:1021 --initTime 2017-08-06T14:11:16 --startdatetime 2017-08-06T14:21:14 --delay 1 --endMP 300:58982 --enddatetime 2017-08-06T14:35:34 --enforcementcount 0 &gt;&gt;C:\Users\stu\Documents\GitHub\eaglep3-reporting\EC\2017-08-06-refined-times.txt</v>
      </c>
      <c r="AI175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{"issue":{"subject":"","project_id":79,"tracker_id":40,"status_id":1,"priority_id":2,"assigned_to_id":23,"start_date":"2017-08-06","description":"","custom_fields":[{"id":1,"name":"Subdivision","value":"NW"},{"id":4,"name":"Milepost","value":"5.8982"},{"id":17,"name":"Train ID","value":"1817-06"},{"id":16,"name":"Locomotive ID","value":"4022"},{"id":130,"name":"Impact","value":""},{"id":150,"name":"Time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81"/>
        <v>start /low /b %USERPROFILE%\Documents\GitHub\eaglep3\Utilities\DownloadLogsFromS3.py --loco 4022 --day 2017-08-06</v>
      </c>
      <c r="AN175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791</v>
      </c>
      <c r="B176" s="7">
        <v>4021</v>
      </c>
      <c r="C176" s="21" t="s">
        <v>198</v>
      </c>
      <c r="D176" s="21" t="s">
        <v>935</v>
      </c>
      <c r="E176" s="13">
        <v>42953.608981481484</v>
      </c>
      <c r="F176" s="13">
        <v>42953.610312500001</v>
      </c>
      <c r="G176" s="7">
        <v>1</v>
      </c>
      <c r="H176" s="21" t="s">
        <v>936</v>
      </c>
      <c r="I176" s="13">
        <v>42953.621446759258</v>
      </c>
      <c r="J176" s="7">
        <v>0</v>
      </c>
      <c r="K176" s="89" t="str">
        <f t="shared" si="70"/>
        <v>4021/4022</v>
      </c>
      <c r="L176" s="21" t="str">
        <f>VLOOKUP(A176,'Trips&amp;Operators'!$C$1:$G$99999,5,FALSE)</f>
        <v>HOLCOMB KAMDEN</v>
      </c>
      <c r="M176" s="6">
        <f t="shared" si="71"/>
        <v>1.113425925723277E-2</v>
      </c>
      <c r="N176" s="7">
        <f t="shared" si="94"/>
        <v>16.033333330415189</v>
      </c>
      <c r="O176" s="7"/>
      <c r="P176" s="7"/>
      <c r="Q176" s="22"/>
      <c r="R176" s="170"/>
      <c r="S176" s="213">
        <f t="shared" si="85"/>
        <v>1</v>
      </c>
      <c r="T176" s="195" t="str">
        <f t="shared" si="72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3"/>
        <v>https://d0f6bd738d7f1b3e5a7ca70fe4ff75f0.us-east-1.aws.found.io/app/kibana#/discover/Steve-Slow-Train-Analysis-(2080s-and-2083s)?_g=(refreshInterval:(display:Off,pause:!f,section:0,value:0),time:(from:'2017-08-06T13:36:56-0600',mode:absolute,to:'2017-08-06T15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197" t="str">
        <f>IF(AA176&lt;VLOOKUP(AG176,Variables!$AC$3:$AD$8,2,FALSE),"Y","N")</f>
        <v>N</v>
      </c>
      <c r="X176" s="197">
        <f t="shared" si="87"/>
        <v>1</v>
      </c>
      <c r="Y176" s="197">
        <f t="shared" si="92"/>
        <v>5.8672000000000004</v>
      </c>
      <c r="Z176" s="197">
        <f t="shared" si="93"/>
        <v>6.7500000000000004E-2</v>
      </c>
      <c r="AA176" s="197">
        <f t="shared" si="74"/>
        <v>5.7997000000000005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75"/>
        <v>1818</v>
      </c>
      <c r="AE176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76" s="74" t="str">
        <f t="shared" si="77"/>
        <v>"C:\Program Files (x86)\AstroGrep\AstroGrep.exe" /e /r /s /spath="%USERPROFILE%\AppData\Local\Temp\OnboardLogs" /stypes="app*4021*20170806*" /stext=" 20:.+((SYSTEM_STATE.+slice.+state.+changed )|(ment ac)|(multiple cpu faults)|(system.+state.+changed )|(\[timeout)|(PRM\|1\|D)|(kpr)|(kdp)|(train st.+moving)|(\|lc)|(penalty))"</v>
      </c>
      <c r="AG176" s="209" t="str">
        <f t="shared" si="78"/>
        <v>NW</v>
      </c>
      <c r="AH176" s="78" t="str">
        <f t="shared" si="79"/>
        <v>"%USERPROFILE%\Documents\GitHub\eaglep3\Utilities\RefineRTDCRunTimes.py" --tripid 1818-06 --locoid 4021 --swversion DE.1.0.9.0 --startMP 300:58672 --initTime 2017-08-06T14:36:56 --startdatetime 2017-08-06T14:38:51 --delay 1 --endMP 204:675 --enddatetime 2017-08-06T14:54:53 --enforcementcount 0 &gt;&gt;C:\Users\stu\Documents\GitHub\eaglep3-reporting\EC\2017-08-06-refined-times.txt</v>
      </c>
      <c r="AI176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{"issue":{"subject":"","project_id":79,"tracker_id":40,"status_id":1,"priority_id":2,"assigned_to_id":23,"start_date":"2017-08-06","description":"","custom_fields":[{"id":1,"name":"Subdivision","value":"NW"},{"id":4,"name":"Milepost","value":"0.0675"},{"id":17,"name":"Train ID","value":"1818-06"},{"id":16,"name":"Locomotive ID","value":"4021"},{"id":130,"name":"Impact","value":""},{"id":150,"name":"Time of Event (Mountain Time)","value":"14:54:53"},{"id":151,"name":"Denver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81"/>
        <v>start /low /b %USERPROFILE%\Documents\GitHub\eaglep3\Utilities\DownloadLogsFromS3.py --loco 4021 --day 2017-08-06</v>
      </c>
      <c r="AN176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20:54:53"},{"id":29,"name":"Sharepoint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796</v>
      </c>
      <c r="B177" s="7">
        <v>4022</v>
      </c>
      <c r="C177" s="21" t="s">
        <v>198</v>
      </c>
      <c r="D177" s="21" t="s">
        <v>633</v>
      </c>
      <c r="E177" s="13">
        <v>42953.634085648147</v>
      </c>
      <c r="F177" s="13">
        <v>42953.640555555554</v>
      </c>
      <c r="G177" s="7">
        <v>1</v>
      </c>
      <c r="H177" s="21" t="s">
        <v>937</v>
      </c>
      <c r="I177" s="13">
        <v>42953.649756944447</v>
      </c>
      <c r="J177" s="7">
        <v>0</v>
      </c>
      <c r="K177" s="89" t="str">
        <f t="shared" si="70"/>
        <v>4021/4022</v>
      </c>
      <c r="L177" s="21" t="str">
        <f>VLOOKUP(A177,'Trips&amp;Operators'!$C$1:$G$99999,5,FALSE)</f>
        <v>HOLCOMB KAMDEN</v>
      </c>
      <c r="M177" s="6">
        <f t="shared" si="71"/>
        <v>9.2013888934161514E-3</v>
      </c>
      <c r="N177" s="7">
        <f t="shared" si="94"/>
        <v>13.250000006519258</v>
      </c>
      <c r="O177" s="7"/>
      <c r="P177" s="7"/>
      <c r="Q177" s="22"/>
      <c r="R177" s="170"/>
      <c r="S177" s="213">
        <f t="shared" si="85"/>
        <v>1</v>
      </c>
      <c r="T177" s="195" t="str">
        <f t="shared" si="72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3"/>
        <v>https://d0f6bd738d7f1b3e5a7ca70fe4ff75f0.us-east-1.aws.found.io/app/kibana#/discover/Steve-Slow-Train-Analysis-(2080s-and-2083s)?_g=(refreshInterval:(display:Off,pause:!f,section:0,value:0),time:(from:'2017-08-06T14:13:05-0600',mode:absolute,to:'2017-08-06T16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197" t="str">
        <f>IF(AA177&lt;VLOOKUP(AG177,Variables!$AC$3:$AD$8,2,FALSE),"Y","N")</f>
        <v>N</v>
      </c>
      <c r="X177" s="197">
        <f t="shared" si="87"/>
        <v>1</v>
      </c>
      <c r="Y177" s="197">
        <f t="shared" si="92"/>
        <v>9.64E-2</v>
      </c>
      <c r="Z177" s="197">
        <f t="shared" si="93"/>
        <v>5.8983999999999996</v>
      </c>
      <c r="AA177" s="197">
        <f t="shared" si="74"/>
        <v>5.8019999999999996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75"/>
        <v>1819</v>
      </c>
      <c r="AE177" s="77" t="str">
        <f t="shared" si="7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177" s="74" t="str">
        <f t="shared" si="77"/>
        <v>"C:\Program Files (x86)\AstroGrep\AstroGrep.exe" /e /r /s /spath="%USERPROFILE%\AppData\Local\Temp\OnboardLogs" /stypes="app*4022*20170806*" /stext=" 21:.+((SYSTEM_STATE.+slice.+state.+changed )|(ment ac)|(multiple cpu faults)|(system.+state.+changed )|(\[timeout)|(PRM\|1\|D)|(kpr)|(kdp)|(train st.+moving)|(\|lc)|(penalty))"</v>
      </c>
      <c r="AG177" s="209" t="str">
        <f t="shared" si="78"/>
        <v>NW</v>
      </c>
      <c r="AH177" s="78" t="str">
        <f t="shared" si="79"/>
        <v>"%USERPROFILE%\Documents\GitHub\eaglep3\Utilities\RefineRTDCRunTimes.py" --tripid 1819-06 --locoid 4022 --swversion DE.1.0.9.0 --startMP 204:964 --initTime 2017-08-06T15:13:05 --startdatetime 2017-08-06T15:22:24 --delay 1 --endMP 300:58984 --enddatetime 2017-08-06T15:35:39 --enforcementcount 0 &gt;&gt;C:\Users\stu\Documents\GitHub\eaglep3-reporting\EC\2017-08-06-refined-times.txt</v>
      </c>
      <c r="AI177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{"issue":{"subject":"","project_id":79,"tracker_id":40,"status_id":1,"priority_id":2,"assigned_to_id":23,"start_date":"2017-08-06","description":"","custom_fields":[{"id":1,"name":"Subdivision","value":"NW"},{"id":4,"name":"Milepost","value":"5.8984"},{"id":17,"name":"Train ID","value":"1819-06"},{"id":16,"name":"Locomotive ID","value":"4022"},{"id":130,"name":"Impact","value":""},{"id":150,"name":"Time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81"/>
        <v>start /low /b %USERPROFILE%\Documents\GitHub\eaglep3\Utilities\DownloadLogsFromS3.py --loco 4022 --day 2017-08-06</v>
      </c>
      <c r="AN177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652</v>
      </c>
      <c r="B178" s="7">
        <v>4021</v>
      </c>
      <c r="C178" s="21" t="s">
        <v>198</v>
      </c>
      <c r="D178" s="21" t="s">
        <v>938</v>
      </c>
      <c r="E178" s="13">
        <v>42953.65053240741</v>
      </c>
      <c r="F178" s="13">
        <v>42953.652083333334</v>
      </c>
      <c r="G178" s="7">
        <v>1</v>
      </c>
      <c r="H178" s="21" t="s">
        <v>939</v>
      </c>
      <c r="I178" s="13">
        <v>42953.663194444445</v>
      </c>
      <c r="J178" s="7">
        <v>0</v>
      </c>
      <c r="K178" s="89" t="str">
        <f t="shared" si="70"/>
        <v>4021/4022</v>
      </c>
      <c r="L178" s="21" t="str">
        <f>VLOOKUP(A178,'Trips&amp;Operators'!$C$1:$G$99999,5,FALSE)</f>
        <v>HOLCOMB KAMDEN</v>
      </c>
      <c r="M178" s="6">
        <f t="shared" si="71"/>
        <v>1.1111111110949423E-2</v>
      </c>
      <c r="N178" s="7">
        <f t="shared" si="94"/>
        <v>15.999999999767169</v>
      </c>
      <c r="O178" s="7"/>
      <c r="P178" s="7"/>
      <c r="Q178" s="22"/>
      <c r="R178" s="170"/>
      <c r="S178" s="213">
        <f t="shared" si="85"/>
        <v>1</v>
      </c>
      <c r="T178" s="195" t="str">
        <f t="shared" si="72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3"/>
        <v>https://d0f6bd738d7f1b3e5a7ca70fe4ff75f0.us-east-1.aws.found.io/app/kibana#/discover/Steve-Slow-Train-Analysis-(2080s-and-2083s)?_g=(refreshInterval:(display:Off,pause:!f,section:0,value:0),time:(from:'2017-08-06T14:36:46-0600',mode:absolute,to:'2017-08-06T16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197" t="str">
        <f>IF(AA178&lt;VLOOKUP(AG178,Variables!$AC$3:$AD$8,2,FALSE),"Y","N")</f>
        <v>N</v>
      </c>
      <c r="X178" s="197">
        <f t="shared" si="87"/>
        <v>1</v>
      </c>
      <c r="Y178" s="197">
        <f t="shared" si="92"/>
        <v>5.8666</v>
      </c>
      <c r="Z178" s="197">
        <f t="shared" si="93"/>
        <v>1.06E-2</v>
      </c>
      <c r="AA178" s="197">
        <f t="shared" si="74"/>
        <v>5.8559999999999999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75"/>
        <v>1820</v>
      </c>
      <c r="AE178" s="77" t="str">
        <f t="shared" si="76"/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AF178" s="74" t="str">
        <f t="shared" si="77"/>
        <v>"C:\Program Files (x86)\AstroGrep\AstroGrep.exe" /e /r /s /spath="%USERPROFILE%\AppData\Local\Temp\OnboardLogs" /stypes="app*4021*20170806*" /stext=" 21:.+((SYSTEM_STATE.+slice.+state.+changed )|(ment ac)|(multiple cpu faults)|(system.+state.+changed )|(\[timeout)|(PRM\|1\|D)|(kpr)|(kdp)|(train st.+moving)|(\|lc)|(penalty))"</v>
      </c>
      <c r="AG178" s="209" t="str">
        <f t="shared" si="78"/>
        <v>NW</v>
      </c>
      <c r="AH178" s="78" t="str">
        <f t="shared" si="79"/>
        <v>"%USERPROFILE%\Documents\GitHub\eaglep3\Utilities\RefineRTDCRunTimes.py" --tripid 1820-06 --locoid 4021 --swversion DE.1.0.9.0 --startMP 300:58666 --initTime 2017-08-06T15:36:46 --startdatetime 2017-08-06T15:39:00 --delay 1 --endMP 204:106 --enddatetime 2017-08-06T15:55:00 --enforcementcount 0 &gt;&gt;C:\Users\stu\Documents\GitHub\eaglep3-reporting\EC\2017-08-06-refined-times.txt</v>
      </c>
      <c r="AI178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{"issue":{"subject":"","project_id":79,"tracker_id":40,"status_id":1,"priority_id":2,"assigned_to_id":23,"start_date":"2017-08-06","description":"","custom_fields":[{"id":1,"name":"Subdivision","value":"NW"},{"id":4,"name":"Milepost","value":"0.0106"},{"id":17,"name":"Train ID","value":"1820-06"},{"id":16,"name":"Locomotive ID","value":"4021"},{"id":130,"name":"Impact","value":""},{"id":150,"name":"Time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81"/>
        <v>start /low /b %USERPROFILE%\Documents\GitHub\eaglep3\Utilities\DownloadLogsFromS3.py --loco 4021 --day 2017-08-06</v>
      </c>
      <c r="AN178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21:55:00"},{"id":29,"name":"Sharepoint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803</v>
      </c>
      <c r="B179" s="7">
        <v>4040</v>
      </c>
      <c r="C179" s="21" t="s">
        <v>198</v>
      </c>
      <c r="D179" s="21" t="s">
        <v>630</v>
      </c>
      <c r="E179" s="13">
        <v>42953.667974537035</v>
      </c>
      <c r="F179" s="13">
        <v>42953.681423611109</v>
      </c>
      <c r="G179" s="7">
        <v>1</v>
      </c>
      <c r="H179" s="21" t="s">
        <v>937</v>
      </c>
      <c r="I179" s="13">
        <v>42953.691296296296</v>
      </c>
      <c r="J179" s="7">
        <v>0</v>
      </c>
      <c r="K179" s="89" t="str">
        <f t="shared" si="70"/>
        <v>4039/4040</v>
      </c>
      <c r="L179" s="21" t="str">
        <f>VLOOKUP(A179,'Trips&amp;Operators'!$C$1:$G$99999,5,FALSE)</f>
        <v>HOLCOMB KAMDEN</v>
      </c>
      <c r="M179" s="6">
        <f t="shared" si="71"/>
        <v>9.8726851865649223E-3</v>
      </c>
      <c r="N179" s="7">
        <f t="shared" si="94"/>
        <v>14.216666668653488</v>
      </c>
      <c r="O179" s="7"/>
      <c r="P179" s="7"/>
      <c r="Q179" s="22"/>
      <c r="R179" s="170"/>
      <c r="S179" s="213">
        <f t="shared" ref="S179:S215" si="95">1/IF(AG179="EC",12,1)*SUM(U179:U179)</f>
        <v>1</v>
      </c>
      <c r="T179" s="195" t="str">
        <f t="shared" si="72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3"/>
        <v>https://d0f6bd738d7f1b3e5a7ca70fe4ff75f0.us-east-1.aws.found.io/app/kibana#/discover/Steve-Slow-Train-Analysis-(2080s-and-2083s)?_g=(refreshInterval:(display:Off,pause:!f,section:0,value:0),time:(from:'2017-08-06T15:01:53-0600',mode:absolute,to:'2017-08-06T17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9" s="197" t="str">
        <f>IF(AA179&lt;VLOOKUP(AG179,Variables!$AC$3:$AD$8,2,FALSE),"Y","N")</f>
        <v>N</v>
      </c>
      <c r="X179" s="197">
        <f t="shared" si="87"/>
        <v>1</v>
      </c>
      <c r="Y179" s="197">
        <f t="shared" si="92"/>
        <v>9.6500000000000002E-2</v>
      </c>
      <c r="Z179" s="197">
        <f t="shared" si="93"/>
        <v>5.8983999999999996</v>
      </c>
      <c r="AA179" s="197">
        <f t="shared" si="74"/>
        <v>5.8018999999999998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75"/>
        <v>1821</v>
      </c>
      <c r="AE179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79" s="74" t="str">
        <f t="shared" si="77"/>
        <v>"C:\Program Files (x86)\AstroGrep\AstroGrep.exe" /e /r /s /spath="%USERPROFILE%\AppData\Local\Temp\OnboardLogs" /stypes="app*4040*20170806*" /stext=" 22:.+((SYSTEM_STATE.+slice.+state.+changed )|(ment ac)|(multiple cpu faults)|(system.+state.+changed )|(\[timeout)|(PRM\|1\|D)|(kpr)|(kdp)|(train st.+moving)|(\|lc)|(penalty))"</v>
      </c>
      <c r="AG179" s="209" t="str">
        <f t="shared" si="78"/>
        <v>NW</v>
      </c>
      <c r="AH179" s="78" t="str">
        <f t="shared" si="79"/>
        <v>"%USERPROFILE%\Documents\GitHub\eaglep3\Utilities\RefineRTDCRunTimes.py" --tripid 1821-06 --locoid 4040 --swversion DE.1.0.9.0 --startMP 204:965 --initTime 2017-08-06T16:01:53 --startdatetime 2017-08-06T16:21:15 --delay 1 --endMP 300:58984 --enddatetime 2017-08-06T16:35:28 --enforcementcount 0 &gt;&gt;C:\Users\stu\Documents\GitHub\eaglep3-reporting\EC\2017-08-06-refined-times.txt</v>
      </c>
      <c r="AI179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{"issue":{"subject":"","project_id":79,"tracker_id":40,"status_id":1,"priority_id":2,"assigned_to_id":23,"start_date":"2017-08-06","description":"","custom_fields":[{"id":1,"name":"Subdivision","value":"NW"},{"id":4,"name":"Milepost","value":"5.8984"},{"id":17,"name":"Train ID","value":"1821-06"},{"id":16,"name":"Locomotive ID","value":"4040"},{"id":130,"name":"Impact","value":""},{"id":150,"name":"Time of Event (Mountain Time)","value":"16:35:28"},{"id":151,"name":"Denver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81"/>
        <v>start /low /b %USERPROFILE%\Documents\GitHub\eaglep3\Utilities\DownloadLogsFromS3.py --loco 4040 --day 2017-08-06</v>
      </c>
      <c r="AN179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811</v>
      </c>
      <c r="B180" s="7">
        <v>4039</v>
      </c>
      <c r="C180" s="21" t="s">
        <v>198</v>
      </c>
      <c r="D180" s="21" t="s">
        <v>938</v>
      </c>
      <c r="E180" s="13">
        <v>42953.692245370374</v>
      </c>
      <c r="F180" s="13">
        <v>42953.694004629629</v>
      </c>
      <c r="G180" s="7">
        <v>1</v>
      </c>
      <c r="H180" s="21" t="s">
        <v>940</v>
      </c>
      <c r="I180" s="13">
        <v>42953.704768518517</v>
      </c>
      <c r="J180" s="7">
        <v>0</v>
      </c>
      <c r="K180" s="89" t="str">
        <f t="shared" si="70"/>
        <v>4039/4040</v>
      </c>
      <c r="L180" s="21" t="str">
        <f>VLOOKUP(A180,'Trips&amp;Operators'!$C$1:$G$99999,5,FALSE)</f>
        <v>HOLCOMB KAMDEN</v>
      </c>
      <c r="M180" s="6">
        <f t="shared" si="71"/>
        <v>1.0763888887595385E-2</v>
      </c>
      <c r="N180" s="7">
        <f t="shared" si="94"/>
        <v>15.499999998137355</v>
      </c>
      <c r="O180" s="7"/>
      <c r="P180" s="7"/>
      <c r="Q180" s="22"/>
      <c r="R180" s="170"/>
      <c r="S180" s="213">
        <f t="shared" si="95"/>
        <v>1</v>
      </c>
      <c r="T180" s="195" t="str">
        <f t="shared" si="72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3"/>
        <v>https://d0f6bd738d7f1b3e5a7ca70fe4ff75f0.us-east-1.aws.found.io/app/kibana#/discover/Steve-Slow-Train-Analysis-(2080s-and-2083s)?_g=(refreshInterval:(display:Off,pause:!f,section:0,value:0),time:(from:'2017-08-06T15:36:50-0600',mode:absolute,to:'2017-08-06T17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0" s="197" t="str">
        <f>IF(AA180&lt;VLOOKUP(AG180,Variables!$AC$3:$AD$8,2,FALSE),"Y","N")</f>
        <v>N</v>
      </c>
      <c r="X180" s="197">
        <f t="shared" si="87"/>
        <v>1</v>
      </c>
      <c r="Y180" s="197">
        <f t="shared" si="92"/>
        <v>5.8666</v>
      </c>
      <c r="Z180" s="197">
        <f t="shared" si="93"/>
        <v>7.1499999999999994E-2</v>
      </c>
      <c r="AA180" s="197">
        <f t="shared" si="74"/>
        <v>5.7950999999999997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75"/>
        <v>1822</v>
      </c>
      <c r="AE180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80" s="74" t="str">
        <f t="shared" si="77"/>
        <v>"C:\Program Files (x86)\AstroGrep\AstroGrep.exe" /e /r /s /spath="%USERPROFILE%\AppData\Local\Temp\OnboardLogs" /stypes="app*4039*20170806*" /stext=" 22:.+((SYSTEM_STATE.+slice.+state.+changed )|(ment ac)|(multiple cpu faults)|(system.+state.+changed )|(\[timeout)|(PRM\|1\|D)|(kpr)|(kdp)|(train st.+moving)|(\|lc)|(penalty))"</v>
      </c>
      <c r="AG180" s="209" t="str">
        <f t="shared" si="78"/>
        <v>NW</v>
      </c>
      <c r="AH180" s="78" t="str">
        <f t="shared" si="79"/>
        <v>"%USERPROFILE%\Documents\GitHub\eaglep3\Utilities\RefineRTDCRunTimes.py" --tripid 1822-06 --locoid 4039 --swversion DE.1.0.9.0 --startMP 300:58666 --initTime 2017-08-06T16:36:50 --startdatetime 2017-08-06T16:39:22 --delay 1 --endMP 204:715 --enddatetime 2017-08-06T16:54:52 --enforcementcount 0 &gt;&gt;C:\Users\stu\Documents\GitHub\eaglep3-reporting\EC\2017-08-06-refined-times.txt</v>
      </c>
      <c r="AI180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{"issue":{"subject":"","project_id":79,"tracker_id":40,"status_id":1,"priority_id":2,"assigned_to_id":23,"start_date":"2017-08-06","description":"","custom_fields":[{"id":1,"name":"Subdivision","value":"NW"},{"id":4,"name":"Milepost","value":"0.0715"},{"id":17,"name":"Train ID","value":"1822-06"},{"id":16,"name":"Locomotive ID","value":"4039"},{"id":130,"name":"Impact","value":""},{"id":150,"name":"Time of Event (Mountain Time)","value":"16:54:52"},{"id":151,"name":"Denver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81"/>
        <v>start /low /b %USERPROFILE%\Documents\GitHub\eaglep3\Utilities\DownloadLogsFromS3.py --loco 4039 --day 2017-08-06</v>
      </c>
      <c r="AN180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816</v>
      </c>
      <c r="B181" s="7">
        <v>4040</v>
      </c>
      <c r="C181" s="21" t="s">
        <v>198</v>
      </c>
      <c r="D181" s="21" t="s">
        <v>635</v>
      </c>
      <c r="E181" s="13">
        <v>42953.717083333337</v>
      </c>
      <c r="F181" s="13">
        <v>42953.723101851851</v>
      </c>
      <c r="G181" s="7">
        <v>1</v>
      </c>
      <c r="H181" s="21" t="s">
        <v>941</v>
      </c>
      <c r="I181" s="13">
        <v>42953.733020833337</v>
      </c>
      <c r="J181" s="7">
        <v>0</v>
      </c>
      <c r="K181" s="89" t="str">
        <f t="shared" si="70"/>
        <v>4039/4040</v>
      </c>
      <c r="L181" s="21" t="str">
        <f>VLOOKUP(A181,'Trips&amp;Operators'!$C$1:$G$99999,5,FALSE)</f>
        <v>HOLCOMB KAMDEN</v>
      </c>
      <c r="M181" s="6">
        <f t="shared" si="71"/>
        <v>9.9189814864075743E-3</v>
      </c>
      <c r="N181" s="7">
        <f t="shared" si="94"/>
        <v>14.283333340426907</v>
      </c>
      <c r="O181" s="7"/>
      <c r="P181" s="7"/>
      <c r="Q181" s="22"/>
      <c r="R181" s="170"/>
      <c r="S181" s="213">
        <f t="shared" si="95"/>
        <v>1</v>
      </c>
      <c r="T181" s="195" t="str">
        <f t="shared" si="72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3"/>
        <v>https://d0f6bd738d7f1b3e5a7ca70fe4ff75f0.us-east-1.aws.found.io/app/kibana#/discover/Steve-Slow-Train-Analysis-(2080s-and-2083s)?_g=(refreshInterval:(display:Off,pause:!f,section:0,value:0),time:(from:'2017-08-06T16:12:36-0600',mode:absolute,to:'2017-08-06T18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1" s="197" t="str">
        <f>IF(AA181&lt;VLOOKUP(AG181,Variables!$AC$3:$AD$8,2,FALSE),"Y","N")</f>
        <v>N</v>
      </c>
      <c r="X181" s="197">
        <f t="shared" si="87"/>
        <v>1</v>
      </c>
      <c r="Y181" s="197">
        <f t="shared" si="92"/>
        <v>0.1009</v>
      </c>
      <c r="Z181" s="197">
        <f t="shared" si="93"/>
        <v>5.8998999999999997</v>
      </c>
      <c r="AA181" s="197">
        <f t="shared" si="74"/>
        <v>5.7989999999999995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75"/>
        <v>1823</v>
      </c>
      <c r="AE181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81" s="74" t="str">
        <f t="shared" si="77"/>
        <v>"C:\Program Files (x86)\AstroGrep\AstroGrep.exe" /e /r /s /spath="%USERPROFILE%\AppData\Local\Temp\OnboardLogs" /stypes="app*4040*20170806*" /stext=" 23:.+((SYSTEM_STATE.+slice.+state.+changed )|(ment ac)|(multiple cpu faults)|(system.+state.+changed )|(\[timeout)|(PRM\|1\|D)|(kpr)|(kdp)|(train st.+moving)|(\|lc)|(penalty))"</v>
      </c>
      <c r="AG181" s="209" t="str">
        <f t="shared" si="78"/>
        <v>NW</v>
      </c>
      <c r="AH181" s="78" t="str">
        <f t="shared" si="79"/>
        <v>"%USERPROFILE%\Documents\GitHub\eaglep3\Utilities\RefineRTDCRunTimes.py" --tripid 1823-06 --locoid 4040 --swversion DE.1.0.9.0 --startMP 204:1009 --initTime 2017-08-06T17:12:36 --startdatetime 2017-08-06T17:21:16 --delay 1 --endMP 300:58999 --enddatetime 2017-08-06T17:35:33 --enforcementcount 0 &gt;&gt;C:\Users\stu\Documents\GitHub\eaglep3-reporting\EC\2017-08-06-refined-times.txt</v>
      </c>
      <c r="AI181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{"issue":{"subject":"","project_id":79,"tracker_id":40,"status_id":1,"priority_id":2,"assigned_to_id":23,"start_date":"2017-08-06","description":"","custom_fields":[{"id":1,"name":"Subdivision","value":"NW"},{"id":4,"name":"Milepost","value":"5.8999"},{"id":17,"name":"Train ID","value":"1823-06"},{"id":16,"name":"Locomotive ID","value":"4040"},{"id":130,"name":"Impact","value":""},{"id":150,"name":"Time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81"/>
        <v>start /low /b %USERPROFILE%\Documents\GitHub\eaglep3\Utilities\DownloadLogsFromS3.py --loco 4040 --day 2017-08-06</v>
      </c>
      <c r="AN181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820</v>
      </c>
      <c r="B182" s="7">
        <v>4039</v>
      </c>
      <c r="C182" s="21" t="s">
        <v>198</v>
      </c>
      <c r="D182" s="21" t="s">
        <v>942</v>
      </c>
      <c r="E182" s="13">
        <v>42953.734050925923</v>
      </c>
      <c r="F182" s="13">
        <v>42953.735162037039</v>
      </c>
      <c r="G182" s="7">
        <v>1</v>
      </c>
      <c r="H182" s="21" t="s">
        <v>491</v>
      </c>
      <c r="I182" s="13">
        <v>42953.746388888889</v>
      </c>
      <c r="J182" s="7">
        <v>0</v>
      </c>
      <c r="K182" s="89" t="str">
        <f t="shared" si="70"/>
        <v>4039/4040</v>
      </c>
      <c r="L182" s="21" t="str">
        <f>VLOOKUP(A182,'Trips&amp;Operators'!$C$1:$G$99999,5,FALSE)</f>
        <v>HOLCOMB KAMDEN</v>
      </c>
      <c r="M182" s="6">
        <f t="shared" si="71"/>
        <v>1.1226851849642117E-2</v>
      </c>
      <c r="N182" s="7">
        <f t="shared" si="94"/>
        <v>16.166666663484648</v>
      </c>
      <c r="O182" s="7"/>
      <c r="P182" s="7"/>
      <c r="Q182" s="22"/>
      <c r="R182" s="170"/>
      <c r="S182" s="213">
        <f t="shared" si="95"/>
        <v>1</v>
      </c>
      <c r="T182" s="195" t="str">
        <f t="shared" si="72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3"/>
        <v>https://d0f6bd738d7f1b3e5a7ca70fe4ff75f0.us-east-1.aws.found.io/app/kibana#/discover/Steve-Slow-Train-Analysis-(2080s-and-2083s)?_g=(refreshInterval:(display:Off,pause:!f,section:0,value:0),time:(from:'2017-08-06T16:37:02-0600',mode:absolute,to:'2017-08-06T18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2" s="197" t="str">
        <f>IF(AA182&lt;VLOOKUP(AG182,Variables!$AC$3:$AD$8,2,FALSE),"Y","N")</f>
        <v>N</v>
      </c>
      <c r="X182" s="197">
        <f t="shared" si="87"/>
        <v>1</v>
      </c>
      <c r="Y182" s="197">
        <f t="shared" si="92"/>
        <v>5.8678999999999997</v>
      </c>
      <c r="Z182" s="197">
        <f t="shared" si="93"/>
        <v>6.9800000000000001E-2</v>
      </c>
      <c r="AA182" s="197">
        <f t="shared" si="74"/>
        <v>5.7980999999999998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75"/>
        <v>1824</v>
      </c>
      <c r="AE182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82" s="74" t="str">
        <f t="shared" si="77"/>
        <v>"C:\Program Files (x86)\AstroGrep\AstroGrep.exe" /e /r /s /spath="%USERPROFILE%\AppData\Local\Temp\OnboardLogs" /stypes="app*4039*20170806*" /stext=" 23:.+((SYSTEM_STATE.+slice.+state.+changed )|(ment ac)|(multiple cpu faults)|(system.+state.+changed )|(\[timeout)|(PRM\|1\|D)|(kpr)|(kdp)|(train st.+moving)|(\|lc)|(penalty))"</v>
      </c>
      <c r="AG182" s="209" t="str">
        <f t="shared" si="78"/>
        <v>NW</v>
      </c>
      <c r="AH182" s="78" t="str">
        <f t="shared" si="79"/>
        <v>"%USERPROFILE%\Documents\GitHub\eaglep3\Utilities\RefineRTDCRunTimes.py" --tripid 1824-06 --locoid 4039 --swversion DE.1.0.9.0 --startMP 300:58679 --initTime 2017-08-06T17:37:02 --startdatetime 2017-08-06T17:38:38 --delay 1 --endMP 204:698 --enddatetime 2017-08-06T17:54:48 --enforcementcount 0 &gt;&gt;C:\Users\stu\Documents\GitHub\eaglep3-reporting\EC\2017-08-06-refined-times.txt</v>
      </c>
      <c r="AI182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{"issue":{"subject":"","project_id":79,"tracker_id":40,"status_id":1,"priority_id":2,"assigned_to_id":23,"start_date":"2017-08-06","description":"","custom_fields":[{"id":1,"name":"Subdivision","value":"NW"},{"id":4,"name":"Milepost","value":"0.0698"},{"id":17,"name":"Train ID","value":"1824-06"},{"id":16,"name":"Locomotive ID","value":"4039"},{"id":130,"name":"Impact","value":""},{"id":150,"name":"Time of Event (Mountain Time)","value":"17:54:48"},{"id":151,"name":"Denver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81"/>
        <v>start /low /b %USERPROFILE%\Documents\GitHub\eaglep3\Utilities\DownloadLogsFromS3.py --loco 4039 --day 2017-08-06</v>
      </c>
      <c r="AN182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656</v>
      </c>
      <c r="B183" s="7">
        <v>4040</v>
      </c>
      <c r="C183" s="21" t="s">
        <v>198</v>
      </c>
      <c r="D183" s="21" t="s">
        <v>633</v>
      </c>
      <c r="E183" s="13">
        <v>42953.760729166665</v>
      </c>
      <c r="F183" s="13">
        <v>42953.764745370368</v>
      </c>
      <c r="G183" s="7">
        <v>1</v>
      </c>
      <c r="H183" s="21" t="s">
        <v>943</v>
      </c>
      <c r="I183" s="13">
        <v>42953.774328703701</v>
      </c>
      <c r="J183" s="7">
        <v>0</v>
      </c>
      <c r="K183" s="89" t="str">
        <f t="shared" si="70"/>
        <v>4039/4040</v>
      </c>
      <c r="L183" s="21" t="str">
        <f>VLOOKUP(A183,'Trips&amp;Operators'!$C$1:$G$99999,5,FALSE)</f>
        <v>HOLCOMB KAMDEN</v>
      </c>
      <c r="M183" s="6">
        <f t="shared" si="71"/>
        <v>9.5833333325572312E-3</v>
      </c>
      <c r="N183" s="7">
        <f t="shared" si="94"/>
        <v>13.799999998882413</v>
      </c>
      <c r="O183" s="7"/>
      <c r="P183" s="7"/>
      <c r="Q183" s="22"/>
      <c r="R183" s="170"/>
      <c r="S183" s="213">
        <f t="shared" si="95"/>
        <v>1</v>
      </c>
      <c r="T183" s="195" t="str">
        <f t="shared" si="72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3"/>
        <v>https://d0f6bd738d7f1b3e5a7ca70fe4ff75f0.us-east-1.aws.found.io/app/kibana#/discover/Steve-Slow-Train-Analysis-(2080s-and-2083s)?_g=(refreshInterval:(display:Off,pause:!f,section:0,value:0),time:(from:'2017-08-06T17:15:27-0600',mode:absolute,to:'2017-08-06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3" s="197" t="str">
        <f>IF(AA183&lt;VLOOKUP(AG183,Variables!$AC$3:$AD$8,2,FALSE),"Y","N")</f>
        <v>N</v>
      </c>
      <c r="X183" s="197">
        <f t="shared" si="87"/>
        <v>1</v>
      </c>
      <c r="Y183" s="197">
        <f t="shared" si="92"/>
        <v>9.64E-2</v>
      </c>
      <c r="Z183" s="197">
        <f t="shared" si="93"/>
        <v>5.9005000000000001</v>
      </c>
      <c r="AA183" s="197">
        <f t="shared" si="74"/>
        <v>5.8041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75"/>
        <v>1825</v>
      </c>
      <c r="AE183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83" s="74" t="str">
        <f t="shared" si="77"/>
        <v>"C:\Program Files (x86)\AstroGrep\AstroGrep.exe" /e /r /s /spath="%USERPROFILE%\AppData\Local\Temp\OnboardLogs" /stypes="app*4040*20170807*" /stext=" 00:.+((SYSTEM_STATE.+slice.+state.+changed )|(ment ac)|(multiple cpu faults)|(system.+state.+changed )|(\[timeout)|(PRM\|1\|D)|(kpr)|(kdp)|(train st.+moving)|(\|lc)|(penalty))"</v>
      </c>
      <c r="AG183" s="209" t="str">
        <f t="shared" si="78"/>
        <v>NW</v>
      </c>
      <c r="AH183" s="78" t="str">
        <f t="shared" si="79"/>
        <v>"%USERPROFILE%\Documents\GitHub\eaglep3\Utilities\RefineRTDCRunTimes.py" --tripid 1825-06 --locoid 4040 --swversion DE.1.0.9.0 --startMP 204:964 --initTime 2017-08-06T18:15:27 --startdatetime 2017-08-06T18:21:14 --delay 1 --endMP 300:59005 --enddatetime 2017-08-06T18:35:02 --enforcementcount 0 &gt;&gt;C:\Users\stu\Documents\GitHub\eaglep3-reporting\EC\2017-08-06-refined-times.txt</v>
      </c>
      <c r="AI183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{"issue":{"subject":"","project_id":79,"tracker_id":40,"status_id":1,"priority_id":2,"assigned_to_id":23,"start_date":"2017-08-06","description":"","custom_fields":[{"id":1,"name":"Subdivision","value":"NW"},{"id":4,"name":"Milepost","value":"5.9005"},{"id":17,"name":"Train ID","value":"1825-06"},{"id":16,"name":"Locomotive ID","value":"4040"},{"id":130,"name":"Impact","value":""},{"id":150,"name":"Time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81"/>
        <v>start /low /b %USERPROFILE%\Documents\GitHub\eaglep3\Utilities\DownloadLogsFromS3.py --loco 4040 --day 2017-08-06</v>
      </c>
      <c r="AN183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831</v>
      </c>
      <c r="B184" s="7">
        <v>4039</v>
      </c>
      <c r="C184" s="21" t="s">
        <v>198</v>
      </c>
      <c r="D184" s="21" t="s">
        <v>944</v>
      </c>
      <c r="E184" s="13">
        <v>42953.775127314817</v>
      </c>
      <c r="F184" s="13">
        <v>42953.776273148149</v>
      </c>
      <c r="G184" s="7">
        <v>1</v>
      </c>
      <c r="H184" s="21" t="s">
        <v>945</v>
      </c>
      <c r="I184" s="13">
        <v>42953.78869212963</v>
      </c>
      <c r="J184" s="7">
        <v>0</v>
      </c>
      <c r="K184" s="89" t="str">
        <f t="shared" si="70"/>
        <v>4039/4040</v>
      </c>
      <c r="L184" s="21" t="str">
        <f>VLOOKUP(A184,'Trips&amp;Operators'!$C$1:$G$99999,5,FALSE)</f>
        <v>HOLCOMB KAMDEN</v>
      </c>
      <c r="M184" s="6">
        <f t="shared" si="71"/>
        <v>1.2418981481459923E-2</v>
      </c>
      <c r="N184" s="7">
        <f t="shared" si="94"/>
        <v>17.883333333302289</v>
      </c>
      <c r="O184" s="7"/>
      <c r="P184" s="7"/>
      <c r="Q184" s="22"/>
      <c r="R184" s="170"/>
      <c r="S184" s="213">
        <f t="shared" si="95"/>
        <v>1</v>
      </c>
      <c r="T184" s="195" t="str">
        <f t="shared" si="72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3"/>
        <v>https://d0f6bd738d7f1b3e5a7ca70fe4ff75f0.us-east-1.aws.found.io/app/kibana#/discover/Steve-Slow-Train-Analysis-(2080s-and-2083s)?_g=(refreshInterval:(display:Off,pause:!f,section:0,value:0),time:(from:'2017-08-06T17:36:11-0600',mode:absolute,to:'2017-08-06T19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4" s="197" t="str">
        <f>IF(AA184&lt;VLOOKUP(AG184,Variables!$AC$3:$AD$8,2,FALSE),"Y","N")</f>
        <v>N</v>
      </c>
      <c r="X184" s="197">
        <f t="shared" si="87"/>
        <v>1</v>
      </c>
      <c r="Y184" s="197">
        <f t="shared" si="92"/>
        <v>5.8681000000000001</v>
      </c>
      <c r="Z184" s="197">
        <f t="shared" si="93"/>
        <v>7.1999999999999995E-2</v>
      </c>
      <c r="AA184" s="197">
        <f t="shared" si="74"/>
        <v>5.7961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75"/>
        <v>1826</v>
      </c>
      <c r="AE184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84" s="74" t="str">
        <f t="shared" si="77"/>
        <v>"C:\Program Files (x86)\AstroGrep\AstroGrep.exe" /e /r /s /spath="%USERPROFILE%\AppData\Local\Temp\OnboardLogs" /stypes="app*4039*20170807*" /stext=" 00:.+((SYSTEM_STATE.+slice.+state.+changed )|(ment ac)|(multiple cpu faults)|(system.+state.+changed )|(\[timeout)|(PRM\|1\|D)|(kpr)|(kdp)|(train st.+moving)|(\|lc)|(penalty))"</v>
      </c>
      <c r="AG184" s="209" t="str">
        <f t="shared" si="78"/>
        <v>NW</v>
      </c>
      <c r="AH184" s="78" t="str">
        <f t="shared" si="79"/>
        <v>"%USERPROFILE%\Documents\GitHub\eaglep3\Utilities\RefineRTDCRunTimes.py" --tripid 1826-06 --locoid 4039 --swversion DE.1.0.9.0 --startMP 300:58681 --initTime 2017-08-06T18:36:11 --startdatetime 2017-08-06T18:37:50 --delay 1 --endMP 204:720 --enddatetime 2017-08-06T18:55:43 --enforcementcount 0 &gt;&gt;C:\Users\stu\Documents\GitHub\eaglep3-reporting\EC\2017-08-06-refined-times.txt</v>
      </c>
      <c r="AI184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{"issue":{"subject":"","project_id":79,"tracker_id":40,"status_id":1,"priority_id":2,"assigned_to_id":23,"start_date":"2017-08-06","description":"","custom_fields":[{"id":1,"name":"Subdivision","value":"NW"},{"id":4,"name":"Milepost","value":"0.072"},{"id":17,"name":"Train ID","value":"1826-06"},{"id":16,"name":"Locomotive ID","value":"4039"},{"id":130,"name":"Impact","value":""},{"id":150,"name":"Time of Event (Mountain Time)","value":"18:55:43"},{"id":151,"name":"Denver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81"/>
        <v>start /low /b %USERPROFILE%\Documents\GitHub\eaglep3\Utilities\DownloadLogsFromS3.py --loco 4039 --day 2017-08-06</v>
      </c>
      <c r="AN184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658</v>
      </c>
      <c r="B185" s="7">
        <v>4040</v>
      </c>
      <c r="C185" s="21" t="s">
        <v>198</v>
      </c>
      <c r="D185" s="21" t="s">
        <v>946</v>
      </c>
      <c r="E185" s="13">
        <v>42953.799375000002</v>
      </c>
      <c r="F185" s="13">
        <v>42953.806481481479</v>
      </c>
      <c r="G185" s="7">
        <v>1</v>
      </c>
      <c r="H185" s="21" t="s">
        <v>947</v>
      </c>
      <c r="I185" s="13">
        <v>42953.817002314812</v>
      </c>
      <c r="J185" s="7">
        <v>0</v>
      </c>
      <c r="K185" s="89" t="str">
        <f t="shared" si="70"/>
        <v>4039/4040</v>
      </c>
      <c r="L185" s="21" t="str">
        <f>VLOOKUP(A185,'Trips&amp;Operators'!$C$1:$G$99999,5,FALSE)</f>
        <v>HOLCOMB KAMDEN</v>
      </c>
      <c r="M185" s="6">
        <f t="shared" si="71"/>
        <v>1.0520833333430346E-2</v>
      </c>
      <c r="N185" s="7">
        <f t="shared" si="94"/>
        <v>15.150000000139698</v>
      </c>
      <c r="O185" s="7"/>
      <c r="P185" s="7"/>
      <c r="Q185" s="22"/>
      <c r="R185" s="170"/>
      <c r="S185" s="213">
        <f t="shared" si="95"/>
        <v>1</v>
      </c>
      <c r="T185" s="195" t="str">
        <f t="shared" si="72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3"/>
        <v>https://d0f6bd738d7f1b3e5a7ca70fe4ff75f0.us-east-1.aws.found.io/app/kibana#/discover/Steve-Slow-Train-Analysis-(2080s-and-2083s)?_g=(refreshInterval:(display:Off,pause:!f,section:0,value:0),time:(from:'2017-08-06T18:11:06-0600',mode:absolute,to:'2017-08-06T20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5" s="197" t="str">
        <f>IF(AA185&lt;VLOOKUP(AG185,Variables!$AC$3:$AD$8,2,FALSE),"Y","N")</f>
        <v>N</v>
      </c>
      <c r="X185" s="197">
        <f t="shared" si="87"/>
        <v>1</v>
      </c>
      <c r="Y185" s="197">
        <f t="shared" si="92"/>
        <v>0.10059999999999999</v>
      </c>
      <c r="Z185" s="197">
        <v>5.8994999999999997</v>
      </c>
      <c r="AA185" s="197">
        <f t="shared" si="74"/>
        <v>5.7988999999999997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75"/>
        <v>1827</v>
      </c>
      <c r="AE185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85" s="74" t="str">
        <f t="shared" si="77"/>
        <v>"C:\Program Files (x86)\AstroGrep\AstroGrep.exe" /e /r /s /spath="%USERPROFILE%\AppData\Local\Temp\OnboardLogs" /stypes="app*4040*20170807*" /stext=" 01:.+((SYSTEM_STATE.+slice.+state.+changed )|(ment ac)|(multiple cpu faults)|(system.+state.+changed )|(\[timeout)|(PRM\|1\|D)|(kpr)|(kdp)|(train st.+moving)|(\|lc)|(penalty))"</v>
      </c>
      <c r="AG185" s="209" t="str">
        <f t="shared" si="78"/>
        <v>NW</v>
      </c>
      <c r="AH185" s="78" t="str">
        <f t="shared" si="79"/>
        <v>"%USERPROFILE%\Documents\GitHub\eaglep3\Utilities\RefineRTDCRunTimes.py" --tripid 1827-06 --locoid 4040 --swversion DE.1.0.9.0 --startMP 204:1006 --initTime 2017-08-06T19:11:06 --startdatetime 2017-08-06T19:21:20 --delay 1 --endMP 300:37579 --enddatetime 2017-08-06T19:36:29 --enforcementcount 0 &gt;&gt;C:\Users\stu\Documents\GitHub\eaglep3-reporting\EC\2017-08-06-refined-times.txt</v>
      </c>
      <c r="AI185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{"issue":{"subject":"","project_id":79,"tracker_id":40,"status_id":1,"priority_id":2,"assigned_to_id":23,"start_date":"2017-08-06","description":"","custom_fields":[{"id":1,"name":"Subdivision","value":"NW"},{"id":4,"name":"Milepost","value":"5.8995"},{"id":17,"name":"Train ID","value":"1827-06"},{"id":16,"name":"Locomotive ID","value":"4040"},{"id":130,"name":"Impact","value":""},{"id":150,"name":"Time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81"/>
        <v>start /low /b %USERPROFILE%\Documents\GitHub\eaglep3\Utilities\DownloadLogsFromS3.py --loco 4040 --day 2017-08-06</v>
      </c>
      <c r="AN185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841</v>
      </c>
      <c r="B186" s="7">
        <v>4039</v>
      </c>
      <c r="C186" s="21" t="s">
        <v>198</v>
      </c>
      <c r="D186" s="21" t="s">
        <v>948</v>
      </c>
      <c r="E186" s="13">
        <v>42953.817847222221</v>
      </c>
      <c r="F186" s="13">
        <v>42953.819340277776</v>
      </c>
      <c r="G186" s="7">
        <v>1</v>
      </c>
      <c r="H186" s="21" t="s">
        <v>949</v>
      </c>
      <c r="I186" s="13">
        <v>42953.829918981479</v>
      </c>
      <c r="J186" s="7">
        <v>0</v>
      </c>
      <c r="K186" s="89" t="str">
        <f t="shared" si="70"/>
        <v>4039/4040</v>
      </c>
      <c r="L186" s="21" t="str">
        <f>VLOOKUP(A186,'Trips&amp;Operators'!$C$1:$G$99999,5,FALSE)</f>
        <v>HOLCOMB KAMDEN</v>
      </c>
      <c r="M186" s="6">
        <f t="shared" si="71"/>
        <v>1.0578703702776693E-2</v>
      </c>
      <c r="N186" s="7">
        <f t="shared" si="94"/>
        <v>15.233333331998438</v>
      </c>
      <c r="O186" s="7"/>
      <c r="P186" s="7"/>
      <c r="Q186" s="22"/>
      <c r="R186" s="170"/>
      <c r="S186" s="213">
        <f t="shared" si="95"/>
        <v>1</v>
      </c>
      <c r="T186" s="195" t="str">
        <f t="shared" si="72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3"/>
        <v>https://d0f6bd738d7f1b3e5a7ca70fe4ff75f0.us-east-1.aws.found.io/app/kibana#/discover/Steve-Slow-Train-Analysis-(2080s-and-2083s)?_g=(refreshInterval:(display:Off,pause:!f,section:0,value:0),time:(from:'2017-08-06T18:37:42-0600',mode:absolute,to:'2017-08-06T20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6" s="197" t="str">
        <f>IF(AA186&lt;VLOOKUP(AG186,Variables!$AC$3:$AD$8,2,FALSE),"Y","N")</f>
        <v>N</v>
      </c>
      <c r="X186" s="197">
        <f t="shared" si="87"/>
        <v>1</v>
      </c>
      <c r="Y186" s="197">
        <f t="shared" si="92"/>
        <v>5.8677000000000001</v>
      </c>
      <c r="Z186" s="197">
        <f t="shared" ref="Z186:Z215" si="96">RIGHT(H186,LEN(H186)-4)/10000</f>
        <v>7.0999999999999994E-2</v>
      </c>
      <c r="AA186" s="197">
        <f t="shared" si="74"/>
        <v>5.7967000000000004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75"/>
        <v>1828</v>
      </c>
      <c r="AE186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86" s="74" t="str">
        <f t="shared" si="77"/>
        <v>"C:\Program Files (x86)\AstroGrep\AstroGrep.exe" /e /r /s /spath="%USERPROFILE%\AppData\Local\Temp\OnboardLogs" /stypes="app*4039*20170807*" /stext=" 01:.+((SYSTEM_STATE.+slice.+state.+changed )|(ment ac)|(multiple cpu faults)|(system.+state.+changed )|(\[timeout)|(PRM\|1\|D)|(kpr)|(kdp)|(train st.+moving)|(\|lc)|(penalty))"</v>
      </c>
      <c r="AG186" s="209" t="str">
        <f t="shared" si="78"/>
        <v>NW</v>
      </c>
      <c r="AH186" s="78" t="str">
        <f t="shared" si="79"/>
        <v>"%USERPROFILE%\Documents\GitHub\eaglep3\Utilities\RefineRTDCRunTimes.py" --tripid 1828-06 --locoid 4039 --swversion DE.1.0.9.0 --startMP 300:58677 --initTime 2017-08-06T19:37:42 --startdatetime 2017-08-06T19:39:51 --delay 1 --endMP 204:710 --enddatetime 2017-08-06T19:55:05 --enforcementcount 0 &gt;&gt;C:\Users\stu\Documents\GitHub\eaglep3-reporting\EC\2017-08-06-refined-times.txt</v>
      </c>
      <c r="AI186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{"issue":{"subject":"","project_id":79,"tracker_id":40,"status_id":1,"priority_id":2,"assigned_to_id":23,"start_date":"2017-08-06","description":"","custom_fields":[{"id":1,"name":"Subdivision","value":"NW"},{"id":4,"name":"Milepost","value":"0.071"},{"id":17,"name":"Train ID","value":"1828-06"},{"id":16,"name":"Locomotive ID","value":"4039"},{"id":130,"name":"Impact","value":""},{"id":150,"name":"Time of Event (Mountain Time)","value":"19:55:05"},{"id":151,"name":"Denver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81"/>
        <v>start /low /b %USERPROFILE%\Documents\GitHub\eaglep3\Utilities\DownloadLogsFromS3.py --loco 4039 --day 2017-08-06</v>
      </c>
      <c r="AN186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659</v>
      </c>
      <c r="B187" s="7">
        <v>4040</v>
      </c>
      <c r="C187" s="21" t="s">
        <v>198</v>
      </c>
      <c r="D187" s="21" t="s">
        <v>950</v>
      </c>
      <c r="E187" s="13">
        <v>42953.847361111111</v>
      </c>
      <c r="F187" s="13">
        <v>42953.848634259259</v>
      </c>
      <c r="G187" s="7">
        <v>1</v>
      </c>
      <c r="H187" s="21" t="s">
        <v>951</v>
      </c>
      <c r="I187" s="13">
        <v>42953.858449074076</v>
      </c>
      <c r="J187" s="7">
        <v>0</v>
      </c>
      <c r="K187" s="89" t="str">
        <f t="shared" si="70"/>
        <v>4039/4040</v>
      </c>
      <c r="L187" s="21" t="str">
        <f>VLOOKUP(A187,'Trips&amp;Operators'!$C$1:$G$99999,5,FALSE)</f>
        <v>HOLCOMB KAMDEN</v>
      </c>
      <c r="M187" s="6">
        <f t="shared" si="71"/>
        <v>9.8148148172185756E-3</v>
      </c>
      <c r="N187" s="7">
        <f t="shared" si="94"/>
        <v>14.133333336794749</v>
      </c>
      <c r="O187" s="7"/>
      <c r="P187" s="7"/>
      <c r="Q187" s="22"/>
      <c r="R187" s="170"/>
      <c r="S187" s="213">
        <f t="shared" si="95"/>
        <v>1</v>
      </c>
      <c r="T187" s="195" t="str">
        <f t="shared" si="72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3"/>
        <v>https://d0f6bd738d7f1b3e5a7ca70fe4ff75f0.us-east-1.aws.found.io/app/kibana#/discover/Steve-Slow-Train-Analysis-(2080s-and-2083s)?_g=(refreshInterval:(display:Off,pause:!f,section:0,value:0),time:(from:'2017-08-06T19:20:12-0600',mode:absolute,to:'2017-08-06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7" s="197" t="str">
        <f>IF(AA187&lt;VLOOKUP(AG187,Variables!$AC$3:$AD$8,2,FALSE),"Y","N")</f>
        <v>N</v>
      </c>
      <c r="X187" s="197">
        <f t="shared" si="87"/>
        <v>1</v>
      </c>
      <c r="Y187" s="197">
        <f t="shared" si="92"/>
        <v>9.9500000000000005E-2</v>
      </c>
      <c r="Z187" s="197">
        <f t="shared" si="96"/>
        <v>5.9001000000000001</v>
      </c>
      <c r="AA187" s="197">
        <f t="shared" si="74"/>
        <v>5.8006000000000002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75"/>
        <v>1829</v>
      </c>
      <c r="AE187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87" s="74" t="str">
        <f t="shared" si="77"/>
        <v>"C:\Program Files (x86)\AstroGrep\AstroGrep.exe" /e /r /s /spath="%USERPROFILE%\AppData\Local\Temp\OnboardLogs" /stypes="app*4040*20170807*" /stext=" 02:.+((SYSTEM_STATE.+slice.+state.+changed )|(ment ac)|(multiple cpu faults)|(system.+state.+changed )|(\[timeout)|(PRM\|1\|D)|(kpr)|(kdp)|(train st.+moving)|(\|lc)|(penalty))"</v>
      </c>
      <c r="AG187" s="209" t="str">
        <f t="shared" si="78"/>
        <v>NW</v>
      </c>
      <c r="AH187" s="78" t="str">
        <f t="shared" si="79"/>
        <v>"%USERPROFILE%\Documents\GitHub\eaglep3\Utilities\RefineRTDCRunTimes.py" --tripid 1829-06 --locoid 4040 --swversion DE.1.0.9.0 --startMP 204:995 --initTime 2017-08-06T20:20:12 --startdatetime 2017-08-06T20:22:02 --delay 1 --endMP 300:59001 --enddatetime 2017-08-06T20:36:10 --enforcementcount 0 &gt;&gt;C:\Users\stu\Documents\GitHub\eaglep3-reporting\EC\2017-08-06-refined-times.txt</v>
      </c>
      <c r="AI187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{"issue":{"subject":"","project_id":79,"tracker_id":40,"status_id":1,"priority_id":2,"assigned_to_id":23,"start_date":"2017-08-06","description":"","custom_fields":[{"id":1,"name":"Subdivision","value":"NW"},{"id":4,"name":"Milepost","value":"5.9001"},{"id":17,"name":"Train ID","value":"1829-06"},{"id":16,"name":"Locomotive ID","value":"4040"},{"id":130,"name":"Impact","value":""},{"id":150,"name":"Time of Event (Mountain Time)","value":"20:36:10"},{"id":151,"name":"Denver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81"/>
        <v>start /low /b %USERPROFILE%\Documents\GitHub\eaglep3\Utilities\DownloadLogsFromS3.py --loco 4040 --day 2017-08-06</v>
      </c>
      <c r="AN187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660</v>
      </c>
      <c r="B188" s="7">
        <v>4039</v>
      </c>
      <c r="C188" s="21" t="s">
        <v>198</v>
      </c>
      <c r="D188" s="21" t="s">
        <v>948</v>
      </c>
      <c r="E188" s="13">
        <v>42953.859467592592</v>
      </c>
      <c r="F188" s="13">
        <v>42953.860694444447</v>
      </c>
      <c r="G188" s="7">
        <v>0</v>
      </c>
      <c r="H188" s="21" t="s">
        <v>953</v>
      </c>
      <c r="I188" s="13">
        <v>42953.871296296296</v>
      </c>
      <c r="J188" s="7">
        <v>0</v>
      </c>
      <c r="K188" s="89" t="str">
        <f t="shared" si="70"/>
        <v>4039/4040</v>
      </c>
      <c r="L188" s="21" t="str">
        <f>VLOOKUP(A188,'Trips&amp;Operators'!$C$1:$G$99999,5,FALSE)</f>
        <v>HOLCOMB KAMDEN</v>
      </c>
      <c r="M188" s="6">
        <f t="shared" si="71"/>
        <v>1.060185184906004E-2</v>
      </c>
      <c r="N188" s="7">
        <f t="shared" si="94"/>
        <v>15.266666662646458</v>
      </c>
      <c r="O188" s="7"/>
      <c r="P188" s="7"/>
      <c r="Q188" s="22"/>
      <c r="R188" s="170"/>
      <c r="S188" s="213">
        <f t="shared" si="95"/>
        <v>1</v>
      </c>
      <c r="T188" s="195" t="str">
        <f t="shared" si="72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3"/>
        <v>https://d0f6bd738d7f1b3e5a7ca70fe4ff75f0.us-east-1.aws.found.io/app/kibana#/discover/Steve-Slow-Train-Analysis-(2080s-and-2083s)?_g=(refreshInterval:(display:Off,pause:!f,section:0,value:0),time:(from:'2017-08-06T19:37:38-0600',mode:absolute,to:'2017-08-06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8" s="197" t="str">
        <f>IF(AA188&lt;VLOOKUP(AG188,Variables!$AC$3:$AD$8,2,FALSE),"Y","N")</f>
        <v>N</v>
      </c>
      <c r="X188" s="197">
        <f t="shared" si="87"/>
        <v>1</v>
      </c>
      <c r="Y188" s="197">
        <f t="shared" si="92"/>
        <v>5.8677000000000001</v>
      </c>
      <c r="Z188" s="197">
        <f t="shared" si="96"/>
        <v>7.2599999999999998E-2</v>
      </c>
      <c r="AA188" s="197">
        <f t="shared" si="74"/>
        <v>5.7950999999999997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75"/>
        <v>1830</v>
      </c>
      <c r="AE188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88" s="74" t="str">
        <f t="shared" si="77"/>
        <v>"C:\Program Files (x86)\AstroGrep\AstroGrep.exe" /e /r /s /spath="%USERPROFILE%\AppData\Local\Temp\OnboardLogs" /stypes="app*4039*20170807*" /stext=" 02:.+((SYSTEM_STATE.+slice.+state.+changed )|(ment ac)|(multiple cpu faults)|(system.+state.+changed )|(\[timeout)|(PRM\|1\|D)|(kpr)|(kdp)|(train st.+moving)|(\|lc)|(penalty))"</v>
      </c>
      <c r="AG188" s="209" t="str">
        <f t="shared" si="78"/>
        <v>NW</v>
      </c>
      <c r="AH188" s="78" t="str">
        <f t="shared" si="79"/>
        <v>"%USERPROFILE%\Documents\GitHub\eaglep3\Utilities\RefineRTDCRunTimes.py" --tripid 1830-06 --locoid 4039 --swversion DE.1.0.9.0 --startMP 300:58677 --initTime 2017-08-06T20:37:38 --startdatetime 2017-08-06T20:39:24 --delay 0 --endMP 204:726 --enddatetime 2017-08-06T20:54:40 --enforcementcount 0 &gt;&gt;C:\Users\stu\Documents\GitHub\eaglep3-reporting\EC\2017-08-06-refined-times.txt</v>
      </c>
      <c r="AI188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{"issue":{"subject":"","project_id":79,"tracker_id":40,"status_id":1,"priority_id":2,"assigned_to_id":23,"start_date":"2017-08-06","description":"","custom_fields":[{"id":1,"name":"Subdivision","value":"NW"},{"id":4,"name":"Milepost","value":"0.0726"},{"id":17,"name":"Train ID","value":"1830-06"},{"id":16,"name":"Locomotive ID","value":"4039"},{"id":130,"name":"Impact","value":""},{"id":150,"name":"Time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81"/>
        <v>start /low /b %USERPROFILE%\Documents\GitHub\eaglep3\Utilities\DownloadLogsFromS3.py --loco 4039 --day 2017-08-06</v>
      </c>
      <c r="AN188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661</v>
      </c>
      <c r="B189" s="7">
        <v>4040</v>
      </c>
      <c r="C189" s="21" t="s">
        <v>198</v>
      </c>
      <c r="D189" s="21" t="s">
        <v>636</v>
      </c>
      <c r="E189" s="13">
        <v>42953.888449074075</v>
      </c>
      <c r="F189" s="13">
        <v>42953.889861111114</v>
      </c>
      <c r="G189" s="7">
        <v>1</v>
      </c>
      <c r="H189" s="21" t="s">
        <v>954</v>
      </c>
      <c r="I189" s="13">
        <v>42953.898958333331</v>
      </c>
      <c r="J189" s="7">
        <v>0</v>
      </c>
      <c r="K189" s="89" t="str">
        <f t="shared" si="70"/>
        <v>4039/4040</v>
      </c>
      <c r="L189" s="21" t="str">
        <f>VLOOKUP(A189,'Trips&amp;Operators'!$C$1:$G$99999,5,FALSE)</f>
        <v>HOLCOMB KAMDEN</v>
      </c>
      <c r="M189" s="6">
        <f t="shared" si="71"/>
        <v>9.0972222169511952E-3</v>
      </c>
      <c r="N189" s="7">
        <f t="shared" si="94"/>
        <v>13.099999992409721</v>
      </c>
      <c r="O189" s="7"/>
      <c r="P189" s="7"/>
      <c r="Q189" s="22"/>
      <c r="R189" s="170"/>
      <c r="S189" s="213">
        <f t="shared" si="95"/>
        <v>1</v>
      </c>
      <c r="T189" s="195" t="str">
        <f t="shared" si="72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3"/>
        <v>https://d0f6bd738d7f1b3e5a7ca70fe4ff75f0.us-east-1.aws.found.io/app/kibana#/discover/Steve-Slow-Train-Analysis-(2080s-and-2083s)?_g=(refreshInterval:(display:Off,pause:!f,section:0,value:0),time:(from:'2017-08-06T20:19:22-0600',mode:absolute,to:'2017-08-06T22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9" s="197" t="str">
        <f>IF(AA189&lt;VLOOKUP(AG189,Variables!$AC$3:$AD$8,2,FALSE),"Y","N")</f>
        <v>N</v>
      </c>
      <c r="X189" s="197">
        <f t="shared" si="87"/>
        <v>1</v>
      </c>
      <c r="Y189" s="197">
        <f t="shared" si="92"/>
        <v>0.1014</v>
      </c>
      <c r="Z189" s="197">
        <f t="shared" si="96"/>
        <v>5.8973000000000004</v>
      </c>
      <c r="AA189" s="197">
        <f t="shared" si="74"/>
        <v>5.7959000000000005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75"/>
        <v>1831</v>
      </c>
      <c r="AE189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89" s="74" t="str">
        <f t="shared" si="77"/>
        <v>"C:\Program Files (x86)\AstroGrep\AstroGrep.exe" /e /r /s /spath="%USERPROFILE%\AppData\Local\Temp\OnboardLogs" /stypes="app*4040*20170807*" /stext=" 03:.+((SYSTEM_STATE.+slice.+state.+changed )|(ment ac)|(multiple cpu faults)|(system.+state.+changed )|(\[timeout)|(PRM\|1\|D)|(kpr)|(kdp)|(train st.+moving)|(\|lc)|(penalty))"</v>
      </c>
      <c r="AG189" s="209" t="str">
        <f t="shared" si="78"/>
        <v>NW</v>
      </c>
      <c r="AH189" s="78" t="str">
        <f t="shared" si="79"/>
        <v>"%USERPROFILE%\Documents\GitHub\eaglep3\Utilities\RefineRTDCRunTimes.py" --tripid 1831-06 --locoid 4040 --swversion DE.1.0.9.0 --startMP 204:1014 --initTime 2017-08-06T21:19:22 --startdatetime 2017-08-06T21:21:24 --delay 1 --endMP 300:58973 --enddatetime 2017-08-06T21:34:30 --enforcementcount 0 &gt;&gt;C:\Users\stu\Documents\GitHub\eaglep3-reporting\EC\2017-08-06-refined-times.txt</v>
      </c>
      <c r="AI189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{"issue":{"subject":"","project_id":79,"tracker_id":40,"status_id":1,"priority_id":2,"assigned_to_id":23,"start_date":"2017-08-06","description":"","custom_fields":[{"id":1,"name":"Subdivision","value":"NW"},{"id":4,"name":"Milepost","value":"5.8973"},{"id":17,"name":"Train ID","value":"1831-06"},{"id":16,"name":"Locomotive ID","value":"4040"},{"id":130,"name":"Impact","value":""},{"id":150,"name":"Time of Event (Mountain Time)","value":"21:34:30"},{"id":151,"name":"Denver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81"/>
        <v>start /low /b %USERPROFILE%\Documents\GitHub\eaglep3\Utilities\DownloadLogsFromS3.py --loco 4040 --day 2017-08-06</v>
      </c>
      <c r="AN189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850</v>
      </c>
      <c r="B190" s="7">
        <v>4039</v>
      </c>
      <c r="C190" s="21" t="s">
        <v>198</v>
      </c>
      <c r="D190" s="21" t="s">
        <v>955</v>
      </c>
      <c r="E190" s="13">
        <v>42953.899872685186</v>
      </c>
      <c r="F190" s="13">
        <v>42953.901678240742</v>
      </c>
      <c r="G190" s="7">
        <v>0</v>
      </c>
      <c r="H190" s="21" t="s">
        <v>956</v>
      </c>
      <c r="I190" s="13">
        <v>42953.912800925929</v>
      </c>
      <c r="J190" s="7">
        <v>0</v>
      </c>
      <c r="K190" s="89" t="str">
        <f t="shared" si="70"/>
        <v>4039/4040</v>
      </c>
      <c r="L190" s="21" t="str">
        <f>VLOOKUP(A190,'Trips&amp;Operators'!$C$1:$G$99999,5,FALSE)</f>
        <v>HOLCOMB KAMDEN</v>
      </c>
      <c r="M190" s="6">
        <f t="shared" si="71"/>
        <v>1.1122685187729076E-2</v>
      </c>
      <c r="N190" s="7">
        <f t="shared" si="94"/>
        <v>16.016666670329869</v>
      </c>
      <c r="O190" s="7"/>
      <c r="P190" s="7"/>
      <c r="Q190" s="22"/>
      <c r="R190" s="170"/>
      <c r="S190" s="213">
        <f t="shared" si="95"/>
        <v>1</v>
      </c>
      <c r="T190" s="195" t="str">
        <f t="shared" si="72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3"/>
        <v>https://d0f6bd738d7f1b3e5a7ca70fe4ff75f0.us-east-1.aws.found.io/app/kibana#/discover/Steve-Slow-Train-Analysis-(2080s-and-2083s)?_g=(refreshInterval:(display:Off,pause:!f,section:0,value:0),time:(from:'2017-08-06T20:35:49-0600',mode:absolute,to:'2017-08-06T22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0" s="197" t="str">
        <f>IF(AA190&lt;VLOOKUP(AG190,Variables!$AC$3:$AD$8,2,FALSE),"Y","N")</f>
        <v>N</v>
      </c>
      <c r="X190" s="197">
        <f t="shared" si="87"/>
        <v>1</v>
      </c>
      <c r="Y190" s="197">
        <f t="shared" si="92"/>
        <v>5.8658000000000001</v>
      </c>
      <c r="Z190" s="197">
        <f t="shared" si="96"/>
        <v>7.0300000000000001E-2</v>
      </c>
      <c r="AA190" s="197">
        <f t="shared" si="74"/>
        <v>5.7955000000000005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75"/>
        <v>1832</v>
      </c>
      <c r="AE190" s="77" t="str">
        <f t="shared" si="7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190" s="74" t="str">
        <f t="shared" si="77"/>
        <v>"C:\Program Files (x86)\AstroGrep\AstroGrep.exe" /e /r /s /spath="%USERPROFILE%\AppData\Local\Temp\OnboardLogs" /stypes="app*4039*20170807*" /stext=" 03:.+((SYSTEM_STATE.+slice.+state.+changed )|(ment ac)|(multiple cpu faults)|(system.+state.+changed )|(\[timeout)|(PRM\|1\|D)|(kpr)|(kdp)|(train st.+moving)|(\|lc)|(penalty))"</v>
      </c>
      <c r="AG190" s="209" t="str">
        <f t="shared" si="78"/>
        <v>NW</v>
      </c>
      <c r="AH190" s="78" t="str">
        <f t="shared" si="79"/>
        <v>"%USERPROFILE%\Documents\GitHub\eaglep3\Utilities\RefineRTDCRunTimes.py" --tripid 1832-06 --locoid 4039 --swversion DE.1.0.9.0 --startMP 300:58658 --initTime 2017-08-06T21:35:49 --startdatetime 2017-08-06T21:38:25 --delay 0 --endMP 204:703 --enddatetime 2017-08-06T21:54:26 --enforcementcount 0 &gt;&gt;C:\Users\stu\Documents\GitHub\eaglep3-reporting\EC\2017-08-06-refined-times.txt</v>
      </c>
      <c r="AI190" s="96" t="str">
        <f t="shared" si="80"/>
        <v>echo {"issue":{"subject":"","project_id":79,"tracker_id":40,"status_id":1,"priority_id":2,"assigned_to_id":23,"start_date":"2017-08-06","description":"","custom_fields":[{"id":1,"name":"Subdivision","value":"NW"},{"id":4,"name":"Milepost","value":"0.0703"},{"id":17,"name":"Train ID","value":"1832-06"},{"id":16,"name":"Locomotive ID","value":"4039"},{"id":130,"name":"Impact","value":""},{"id":150,"name":"Time of Event (Mountain Time)","value":"21:54:26"},{"id":151,"name":"Denver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81"/>
        <v>start /low /b %USERPROFILE%\Documents\GitHub\eaglep3\Utilities\DownloadLogsFromS3.py --loco 4039 --day 2017-08-06</v>
      </c>
      <c r="AN190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663</v>
      </c>
      <c r="B191" s="7">
        <v>4040</v>
      </c>
      <c r="C191" s="21" t="s">
        <v>198</v>
      </c>
      <c r="D191" s="21" t="s">
        <v>573</v>
      </c>
      <c r="E191" s="13">
        <v>42953.928935185184</v>
      </c>
      <c r="F191" s="13">
        <v>42953.931550925925</v>
      </c>
      <c r="G191" s="7">
        <v>1</v>
      </c>
      <c r="H191" s="21" t="s">
        <v>957</v>
      </c>
      <c r="I191" s="13">
        <v>42953.934687499997</v>
      </c>
      <c r="J191" s="7">
        <v>0</v>
      </c>
      <c r="K191" s="89" t="str">
        <f t="shared" si="70"/>
        <v>4039/4040</v>
      </c>
      <c r="L191" s="21" t="str">
        <f>VLOOKUP(A191,'Trips&amp;Operators'!$C$1:$G$99999,5,FALSE)</f>
        <v>HOLCOMB KAMDEN</v>
      </c>
      <c r="M191" s="6">
        <f t="shared" si="71"/>
        <v>3.1365740724140778E-3</v>
      </c>
      <c r="N191" s="7"/>
      <c r="O191" s="7"/>
      <c r="P191" s="7">
        <f>24*60*SUM($M191:$M191)</f>
        <v>4.5166666642762721</v>
      </c>
      <c r="Q191" s="22"/>
      <c r="R191" s="170" t="s">
        <v>529</v>
      </c>
      <c r="S191" s="213">
        <f t="shared" si="95"/>
        <v>1</v>
      </c>
      <c r="T191" s="195" t="str">
        <f t="shared" si="72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3"/>
        <v>https://d0f6bd738d7f1b3e5a7ca70fe4ff75f0.us-east-1.aws.found.io/app/kibana#/discover/Steve-Slow-Train-Analysis-(2080s-and-2083s)?_g=(refreshInterval:(display:Off,pause:!f,section:0,value:0),time:(from:'2017-08-06T21:17:40-0600',mode:absolute,to:'2017-08-06T23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197" t="str">
        <f>IF(AA191&lt;VLOOKUP(AG191,Variables!$AC$3:$AD$8,2,FALSE),"Y","N")</f>
        <v>Y</v>
      </c>
      <c r="X191" s="197">
        <f t="shared" si="87"/>
        <v>1</v>
      </c>
      <c r="Y191" s="197">
        <f t="shared" si="92"/>
        <v>9.7600000000000006E-2</v>
      </c>
      <c r="Z191" s="197">
        <f t="shared" si="96"/>
        <v>2.1267</v>
      </c>
      <c r="AA191" s="197">
        <f t="shared" si="74"/>
        <v>2.0291000000000001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75"/>
        <v>1833</v>
      </c>
      <c r="AE191" s="77" t="str">
        <f t="shared" si="7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191" s="74" t="str">
        <f t="shared" si="77"/>
        <v>"C:\Program Files (x86)\AstroGrep\AstroGrep.exe" /e /r /s /spath="%USERPROFILE%\AppData\Local\Temp\OnboardLogs" /stypes="app*4040*20170807*" /stext=" 04:.+((SYSTEM_STATE.+slice.+state.+changed )|(ment ac)|(multiple cpu faults)|(system.+state.+changed )|(\[timeout)|(PRM\|1\|D)|(kpr)|(kdp)|(train st.+moving)|(\|lc)|(penalty))"</v>
      </c>
      <c r="AG191" s="209" t="str">
        <f t="shared" si="78"/>
        <v>NW</v>
      </c>
      <c r="AH191" s="78" t="str">
        <f t="shared" si="79"/>
        <v>"%USERPROFILE%\Documents\GitHub\eaglep3\Utilities\RefineRTDCRunTimes.py" --tripid 1833-06 --locoid 4040 --swversion DE.1.0.9.0 --startMP 204:976 --initTime 2017-08-06T22:17:40 --startdatetime 2017-08-06T22:21:26 --delay 1 --endMP 300:21267 --enddatetime 2017-08-06T22:25:57 --enforcementcount 0 &gt;&gt;C:\Users\stu\Documents\GitHub\eaglep3-reporting\EC\2017-08-06-refined-times.txt</v>
      </c>
      <c r="AI191" s="96" t="str">
        <f t="shared" si="80"/>
        <v>echo {"issue":{"subject":"Wi-MAX data drop","project_id":79,"tracker_id":40,"status_id":1,"priority_id":2,"assigned_to_id":23,"start_date":"2017-08-06","description":"","custom_fields":[{"id":1,"name":"Subdivision","value":"NW"},{"id":4,"name":"Milepost","value":"2.1267"},{"id":17,"name":"Train ID","value":"1833-06"},{"id":16,"name":"Locomotive ID","value":"4040"},{"id":130,"name":"Impact","value":""},{"id":150,"name":"Time of Event (Mountain Time)","value":"22:25:57"},{"id":151,"name":"Denver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81"/>
        <v>start /low /b %USERPROFILE%\Documents\GitHub\eaglep3\Utilities\DownloadLogsFromS3.py --loco 4040 --day 2017-08-06</v>
      </c>
      <c r="AN191" s="151" t="str">
        <f t="shared" si="82"/>
        <v>echo {"issue":{"subject":"Wi-MAX data drop","project_id":30,"tracker_id":4,"status_id":1,"priority_id":1,"assigned_to_id":10,"start_date":"2017-08-07","description":"","custom_fields":[{"id":30,"name":"Category","value":"Issue"},{"id":3,"name":"Functional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832</v>
      </c>
      <c r="B192" s="7">
        <v>4066</v>
      </c>
      <c r="C192" s="21" t="s">
        <v>198</v>
      </c>
      <c r="D192" s="21" t="s">
        <v>994</v>
      </c>
      <c r="E192" s="13">
        <v>42953.776643518519</v>
      </c>
      <c r="F192" s="13">
        <v>42953.778599537036</v>
      </c>
      <c r="G192" s="7">
        <v>2</v>
      </c>
      <c r="H192" s="21" t="s">
        <v>506</v>
      </c>
      <c r="I192" s="13">
        <v>42953.785231481481</v>
      </c>
      <c r="J192" s="7">
        <v>0</v>
      </c>
      <c r="K192" s="89" t="str">
        <f t="shared" si="70"/>
        <v>4065/4066</v>
      </c>
      <c r="L192" s="21" t="str">
        <f>VLOOKUP(A192,'Trips&amp;Operators'!$C$1:$G$99999,5,FALSE)</f>
        <v>BRUDER RICHARD</v>
      </c>
      <c r="M192" s="6">
        <f t="shared" si="71"/>
        <v>6.6319444449618459E-3</v>
      </c>
      <c r="N192" s="7">
        <f t="shared" ref="N192:N215" si="97">24*60*SUM($M192:$M192)</f>
        <v>9.5500000007450581</v>
      </c>
      <c r="O192" s="7"/>
      <c r="P192" s="7"/>
      <c r="Q192" s="22"/>
      <c r="R192" s="170"/>
      <c r="S192" s="213">
        <f t="shared" si="95"/>
        <v>1</v>
      </c>
      <c r="T192" s="195" t="str">
        <f t="shared" si="72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3"/>
        <v>https://d0f6bd738d7f1b3e5a7ca70fe4ff75f0.us-east-1.aws.found.io/app/kibana#/discover/Steve-Slow-Train-Analysis-(2080s-and-2083s)?_g=(refreshInterval:(display:Off,pause:!f,section:0,value:0),time:(from:'2017-08-06T17:38:22-0600',mode:absolute,to:'2017-08-06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2" s="197" t="str">
        <f>IF(AA192&lt;VLOOKUP(AG192,Variables!$AC$3:$AD$8,2,FALSE),"Y","N")</f>
        <v>Y</v>
      </c>
      <c r="X192" s="197">
        <f t="shared" si="87"/>
        <v>-1532</v>
      </c>
      <c r="Y192" s="197">
        <f t="shared" si="92"/>
        <v>4.0099999999999997E-2</v>
      </c>
      <c r="Z192" s="197">
        <f t="shared" si="96"/>
        <v>2.3302</v>
      </c>
      <c r="AA192" s="197">
        <f t="shared" si="74"/>
        <v>2.2901000000000002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75"/>
        <v>301</v>
      </c>
      <c r="AE192" s="77" t="str">
        <f t="shared" si="76"/>
        <v>aws s3 cp s3://rtdc.mdm.uploadarchive.raw/RTDC4066/ "%USERPROFILE%\AppData\Local\Temp\OnboardLogs"\RTDC4066\2017-08-06 --exclude "*" --recursive --include "*20170806*" &amp; "%USERPROFILE%\Documents\GitHub\mrs-test-scripts\Headless Mode &amp; Sideloading\WalkAndUnGZ.bat" "%USERPROFILE%\AppData\Local\Temp\OnboardLogs"\RTDC4066\2017-08-06 &amp; aws s3 cp s3://rtdc.mdm.uploadarchive.raw/RTDC4066/ "%USERPROFILE%\AppData\Local\Temp\OnboardLogs"\RTDC4066\2017-08-07 --exclude "*" --recursive --include "*20170807*" &amp; "%USERPROFILE%\Documents\GitHub\mrs-test-scripts\Headless Mode &amp; Sideloading\WalkAndUnGZ.bat" "%USERPROFILE%\AppData\Local\Temp\OnboardLogs"\RTDC4066\2017-08-07</v>
      </c>
      <c r="AF192" s="74" t="str">
        <f t="shared" si="77"/>
        <v>"C:\Program Files (x86)\AstroGrep\AstroGrep.exe" /e /r /s /spath="%USERPROFILE%\AppData\Local\Temp\OnboardLogs" /stypes="app*4066*20170807*" /stext=" 00:.+((SYSTEM_STATE.+slice.+state.+changed )|(ment ac)|(multiple cpu faults)|(system.+state.+changed )|(\[timeout)|(PRM\|1\|D)|(kpr)|(kdp)|(train st.+moving)|(\|lc)|(penalty))"</v>
      </c>
      <c r="AG192" s="209" t="str">
        <f t="shared" si="78"/>
        <v>Other</v>
      </c>
      <c r="AH192" s="78" t="str">
        <f t="shared" si="79"/>
        <v>"%USERPROFILE%\Documents\GitHub\eaglep3\Utilities\RefineRTDCRunTimes.py" --tripid 301-06 --locoid 4066 --swversion DE.1.0.9.0 --startMP 204:401 --initTime 2017-08-06T18:38:22 --startdatetime 2017-08-06T18:41:11 --delay 2 --endMP 300:23302 --enddatetime 2017-08-06T18:50:44 --enforcementcount 0 &gt;&gt;C:\Users\stu\Documents\GitHub\eaglep3-reporting\EC\2017-08-06-refined-times.txt</v>
      </c>
      <c r="AI192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{"issue":{"subject":"","project_id":79,"tracker_id":40,"status_id":1,"priority_id":2,"assigned_to_id":23,"start_date":"2017-08-06","description":"","custom_fields":[{"id":1,"name":"Subdivision","value":"Other"},{"id":4,"name":"Milepost","value":"2.3302"},{"id":17,"name":"Train ID","value":"301-06"},{"id":16,"name":"Locomotive ID","value":"4066"},{"id":130,"name":"Impact","value":""},{"id":150,"name":"Time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81"/>
        <v>start /low /b %USERPROFILE%\Documents\GitHub\eaglep3\Utilities\DownloadLogsFromS3.py --loco 4066 --day 2017-08-06</v>
      </c>
      <c r="AN192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637</v>
      </c>
      <c r="B193" s="7">
        <v>4043</v>
      </c>
      <c r="C193" s="21" t="s">
        <v>198</v>
      </c>
      <c r="D193" s="21" t="s">
        <v>490</v>
      </c>
      <c r="E193" s="13">
        <v>42953.145439814813</v>
      </c>
      <c r="F193" s="13">
        <v>42953.196018518516</v>
      </c>
      <c r="G193" s="7">
        <v>0</v>
      </c>
      <c r="H193" s="21" t="s">
        <v>490</v>
      </c>
      <c r="I193" s="13">
        <v>42953.225763888891</v>
      </c>
      <c r="J193" s="7">
        <v>0</v>
      </c>
      <c r="K193" s="89" t="str">
        <f t="shared" si="70"/>
        <v>4043/4044</v>
      </c>
      <c r="L193" s="21" t="str">
        <f>VLOOKUP(A193,'Trips&amp;Operators'!$C$1:$G$99999,5,FALSE)</f>
        <v>WILLIAMS DONTE</v>
      </c>
      <c r="M193" s="6">
        <f t="shared" si="71"/>
        <v>2.9745370375167113E-2</v>
      </c>
      <c r="N193" s="7">
        <f t="shared" si="97"/>
        <v>42.833333340240642</v>
      </c>
      <c r="O193" s="7"/>
      <c r="P193" s="7"/>
      <c r="Q193" s="22"/>
      <c r="R193" s="170"/>
      <c r="S193" s="213">
        <f t="shared" si="95"/>
        <v>0</v>
      </c>
      <c r="T193" s="195" t="str">
        <f t="shared" si="72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196" t="str">
        <f t="shared" si="73"/>
        <v>https://d0f6bd738d7f1b3e5a7ca70fe4ff75f0.us-east-1.aws.found.io/app/kibana#/discover/Steve-Slow-Train-Analysis-(2080s-and-2083s)?_g=(refreshInterval:(display:Off,pause:!f,section:0,value:0),time:(from:'2017-08-06T02:29:26-0600',mode:absolute,to:'2017-08-06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7" t="str">
        <f>IF(AA193&lt;VLOOKUP(AG193,Variables!$AC$3:$AD$8,2,FALSE),"Y","N")</f>
        <v>Y</v>
      </c>
      <c r="X193" s="197">
        <f t="shared" ref="X193:X215" si="98">VALUE(LEFT(AD193,4))-VALUE(LEFT(AD192,4))</f>
        <v>1</v>
      </c>
      <c r="Y193" s="197">
        <f t="shared" si="92"/>
        <v>1.5599999999999999E-2</v>
      </c>
      <c r="Z193" s="197">
        <f t="shared" si="96"/>
        <v>1.5599999999999999E-2</v>
      </c>
      <c r="AA193" s="197">
        <f t="shared" si="74"/>
        <v>0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75"/>
        <v>302</v>
      </c>
      <c r="AE193" s="77" t="str">
        <f t="shared" si="7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93" s="74" t="str">
        <f t="shared" si="77"/>
        <v>"C:\Program Files (x86)\AstroGrep\AstroGrep.exe" /e /r /s /spath="%USERPROFILE%\AppData\Local\Temp\OnboardLogs" /stypes="app*4043*20170806*" /stext=" 11:.+((SYSTEM_STATE.+slice.+state.+changed )|(ment ac)|(multiple cpu faults)|(system.+state.+changed )|(\[timeout)|(PRM\|1\|D)|(kpr)|(kdp)|(train st.+moving)|(\|lc)|(penalty))"</v>
      </c>
      <c r="AG193" s="209" t="str">
        <f t="shared" si="78"/>
        <v>Other</v>
      </c>
      <c r="AH193" s="78" t="str">
        <f t="shared" si="79"/>
        <v>"%USERPROFILE%\Documents\GitHub\eaglep3\Utilities\RefineRTDCRunTimes.py" --tripid 302-06 --locoid 4043 --swversion DE.1.0.9.0 --startMP 204:156 --initTime 2017-08-06T03:29:26 --startdatetime 2017-08-06T04:42:16 --delay 0 --endMP 204:156 --enddatetime 2017-08-06T05:25:06 --enforcementcount 0 &gt;&gt;C:\Users\stu\Documents\GitHub\eaglep3-reporting\EC\2017-08-06-refined-times.txt</v>
      </c>
      <c r="AI193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{"issue":{"subject":"","project_id":79,"tracker_id":40,"status_id":1,"priority_id":2,"assigned_to_id":23,"start_date":"2017-08-06","description":"","custom_fields":[{"id":1,"name":"Subdivision","value":"Other"},{"id":4,"name":"Milepost","value":"0.0156"},{"id":17,"name":"Train ID","value":"302-06"},{"id":16,"name":"Locomotive ID","value":"4043"},{"id":130,"name":"Impact","value":""},{"id":150,"name":"Time of Event (Mountain Time)","value":"05:25:06"},{"id":151,"name":"Denver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81"/>
        <v>start /low /b %USERPROFILE%\Documents\GitHub\eaglep3\Utilities\DownloadLogsFromS3.py --loco 4043 --day 2017-08-06</v>
      </c>
      <c r="AN193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637</v>
      </c>
      <c r="B194" s="7">
        <v>4043</v>
      </c>
      <c r="C194" s="21" t="s">
        <v>198</v>
      </c>
      <c r="D194" s="21" t="s">
        <v>995</v>
      </c>
      <c r="E194" s="13">
        <v>42953.134664351855</v>
      </c>
      <c r="F194" s="13">
        <v>42953.196018518516</v>
      </c>
      <c r="G194" s="7">
        <v>4</v>
      </c>
      <c r="H194" s="21" t="s">
        <v>996</v>
      </c>
      <c r="I194" s="13">
        <v>42953.225763888891</v>
      </c>
      <c r="J194" s="7">
        <v>0</v>
      </c>
      <c r="K194" s="89" t="str">
        <f t="shared" si="70"/>
        <v>4043/4044</v>
      </c>
      <c r="L194" s="21" t="str">
        <f>VLOOKUP(A194,'Trips&amp;Operators'!$C$1:$G$99999,5,FALSE)</f>
        <v>WILLIAMS DONTE</v>
      </c>
      <c r="M194" s="6">
        <f t="shared" si="71"/>
        <v>2.9745370375167113E-2</v>
      </c>
      <c r="N194" s="7">
        <f t="shared" si="97"/>
        <v>42.833333340240642</v>
      </c>
      <c r="O194" s="7"/>
      <c r="P194" s="7"/>
      <c r="Q194" s="22"/>
      <c r="R194" s="170"/>
      <c r="S194" s="213">
        <f t="shared" si="95"/>
        <v>0</v>
      </c>
      <c r="T194" s="195" t="str">
        <f t="shared" si="72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196" t="str">
        <f t="shared" si="73"/>
        <v>https://d0f6bd738d7f1b3e5a7ca70fe4ff75f0.us-east-1.aws.found.io/app/kibana#/discover/Steve-Slow-Train-Analysis-(2080s-and-2083s)?_g=(refreshInterval:(display:Off,pause:!f,section:0,value:0),time:(from:'2017-08-06T02:13:55-0600',mode:absolute,to:'2017-08-06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97" t="str">
        <f>IF(AA194&lt;VLOOKUP(AG194,Variables!$AC$3:$AD$8,2,FALSE),"Y","N")</f>
        <v>Y</v>
      </c>
      <c r="X194" s="197">
        <f t="shared" si="98"/>
        <v>0</v>
      </c>
      <c r="Y194" s="197">
        <f t="shared" si="92"/>
        <v>2.3794</v>
      </c>
      <c r="Z194" s="197">
        <f t="shared" si="96"/>
        <v>2.2978000000000001</v>
      </c>
      <c r="AA194" s="197">
        <f t="shared" si="74"/>
        <v>8.1599999999999895E-2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75"/>
        <v>302</v>
      </c>
      <c r="AE194" s="77" t="str">
        <f t="shared" si="76"/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AF194" s="74" t="str">
        <f t="shared" si="77"/>
        <v>"C:\Program Files (x86)\AstroGrep\AstroGrep.exe" /e /r /s /spath="%USERPROFILE%\AppData\Local\Temp\OnboardLogs" /stypes="app*4043*20170806*" /stext=" 11:.+((SYSTEM_STATE.+slice.+state.+changed )|(ment ac)|(multiple cpu faults)|(system.+state.+changed )|(\[timeout)|(PRM\|1\|D)|(kpr)|(kdp)|(train st.+moving)|(\|lc)|(penalty))"</v>
      </c>
      <c r="AG194" s="209" t="str">
        <f t="shared" si="78"/>
        <v>Other</v>
      </c>
      <c r="AH194" s="78" t="str">
        <f t="shared" si="79"/>
        <v>"%USERPROFILE%\Documents\GitHub\eaglep3\Utilities\RefineRTDCRunTimes.py" --tripid 302-06 --locoid 4043 --swversion DE.1.0.9.0 --startMP 300:23794 --initTime 2017-08-06T03:13:55 --startdatetime 2017-08-06T04:42:16 --delay 4 --endMP 300:22978 --enddatetime 2017-08-06T05:25:06 --enforcementcount 0 &gt;&gt;C:\Users\stu\Documents\GitHub\eaglep3-reporting\EC\2017-08-06-refined-times.txt</v>
      </c>
      <c r="AI194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{"issue":{"subject":"","project_id":79,"tracker_id":40,"status_id":1,"priority_id":2,"assigned_to_id":23,"start_date":"2017-08-06","description":"","custom_fields":[{"id":1,"name":"Subdivision","value":"Other"},{"id":4,"name":"Milepost","value":"2.2978"},{"id":17,"name":"Train ID","value":"302-06"},{"id":16,"name":"Locomotive ID","value":"4043"},{"id":130,"name":"Impact","value":""},{"id":150,"name":"Time of Event (Mountain Time)","value":"05:25:06"},{"id":151,"name":"Denver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81"/>
        <v>start /low /b %USERPROFILE%\Documents\GitHub\eaglep3\Utilities\DownloadLogsFromS3.py --loco 4043 --day 2017-08-06</v>
      </c>
      <c r="AN194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838</v>
      </c>
      <c r="B195" s="7">
        <v>4002</v>
      </c>
      <c r="C195" s="21" t="s">
        <v>198</v>
      </c>
      <c r="D195" s="21" t="s">
        <v>988</v>
      </c>
      <c r="E195" s="13">
        <v>42953.797013888892</v>
      </c>
      <c r="F195" s="13">
        <v>42953.798402777778</v>
      </c>
      <c r="G195" s="7">
        <v>1</v>
      </c>
      <c r="H195" s="21" t="s">
        <v>506</v>
      </c>
      <c r="I195" s="13">
        <v>42953.804930555554</v>
      </c>
      <c r="J195" s="7">
        <v>0</v>
      </c>
      <c r="K195" s="89" t="str">
        <f t="shared" si="70"/>
        <v>4001/4002</v>
      </c>
      <c r="L195" s="21" t="str">
        <f>VLOOKUP(A195,'Trips&amp;Operators'!$C$1:$G$99999,5,FALSE)</f>
        <v>DELGADO DIANAH</v>
      </c>
      <c r="M195" s="6">
        <f t="shared" si="71"/>
        <v>6.5277777757728472E-3</v>
      </c>
      <c r="N195" s="7">
        <f t="shared" si="97"/>
        <v>9.3999999971129</v>
      </c>
      <c r="O195" s="7"/>
      <c r="P195" s="7"/>
      <c r="Q195" s="22"/>
      <c r="R195" s="170"/>
      <c r="S195" s="213">
        <f t="shared" si="95"/>
        <v>1</v>
      </c>
      <c r="T195" s="195" t="str">
        <f t="shared" si="72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3"/>
        <v>https://d0f6bd738d7f1b3e5a7ca70fe4ff75f0.us-east-1.aws.found.io/app/kibana#/discover/Steve-Slow-Train-Analysis-(2080s-and-2083s)?_g=(refreshInterval:(display:Off,pause:!f,section:0,value:0),time:(from:'2017-08-06T18:07:42-0600',mode:absolute,to:'2017-08-06T20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5" s="197" t="str">
        <f>IF(AA195&lt;VLOOKUP(AG195,Variables!$AC$3:$AD$8,2,FALSE),"Y","N")</f>
        <v>Y</v>
      </c>
      <c r="X195" s="197">
        <f t="shared" si="98"/>
        <v>1</v>
      </c>
      <c r="Y195" s="197">
        <f t="shared" si="92"/>
        <v>4.8599999999999997E-2</v>
      </c>
      <c r="Z195" s="197">
        <f t="shared" si="96"/>
        <v>2.3302</v>
      </c>
      <c r="AA195" s="197">
        <f t="shared" si="74"/>
        <v>2.2816000000000001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75"/>
        <v>303</v>
      </c>
      <c r="AE195" s="77" t="str">
        <f t="shared" si="76"/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AF195" s="74" t="str">
        <f t="shared" si="77"/>
        <v>"C:\Program Files (x86)\AstroGrep\AstroGrep.exe" /e /r /s /spath="%USERPROFILE%\AppData\Local\Temp\OnboardLogs" /stypes="app*4002*20170807*" /stext=" 01:.+((SYSTEM_STATE.+slice.+state.+changed )|(ment ac)|(multiple cpu faults)|(system.+state.+changed )|(\[timeout)|(PRM\|1\|D)|(kpr)|(kdp)|(train st.+moving)|(\|lc)|(penalty))"</v>
      </c>
      <c r="AG195" s="209" t="str">
        <f t="shared" si="78"/>
        <v>Other</v>
      </c>
      <c r="AH195" s="78" t="str">
        <f t="shared" si="79"/>
        <v>"%USERPROFILE%\Documents\GitHub\eaglep3\Utilities\RefineRTDCRunTimes.py" --tripid 303-06 --locoid 4002 --swversion DE.1.0.9.0 --startMP 204:486 --initTime 2017-08-06T19:07:42 --startdatetime 2017-08-06T19:09:42 --delay 1 --endMP 300:23302 --enddatetime 2017-08-06T19:19:06 --enforcementcount 0 &gt;&gt;C:\Users\stu\Documents\GitHub\eaglep3-reporting\EC\2017-08-06-refined-times.txt</v>
      </c>
      <c r="AI195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{"issue":{"subject":"","project_id":79,"tracker_id":40,"status_id":1,"priority_id":2,"assigned_to_id":23,"start_date":"2017-08-06","description":"","custom_fields":[{"id":1,"name":"Subdivision","value":"Other"},{"id":4,"name":"Milepost","value":"2.3302"},{"id":17,"name":"Train ID","value":"303-06"},{"id":16,"name":"Locomotive ID","value":"4002"},{"id":130,"name":"Impact","value":""},{"id":150,"name":"Time of Event (Mountain Time)","value":"19:19:06"},{"id":151,"name":"Denver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81"/>
        <v>start /low /b %USERPROFILE%\Documents\GitHub\eaglep3\Utilities\DownloadLogsFromS3.py --loco 4002 --day 2017-08-06</v>
      </c>
      <c r="AN195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01:19:06"},{"id":29,"name":"Sharepoint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677</v>
      </c>
      <c r="B196" s="7">
        <v>4005</v>
      </c>
      <c r="C196" s="21" t="s">
        <v>198</v>
      </c>
      <c r="D196" s="21" t="s">
        <v>997</v>
      </c>
      <c r="E196" s="13">
        <v>42953.156041666669</v>
      </c>
      <c r="F196" s="13">
        <v>42953.159467592595</v>
      </c>
      <c r="G196" s="7">
        <v>4</v>
      </c>
      <c r="H196" s="21" t="s">
        <v>499</v>
      </c>
      <c r="I196" s="13">
        <v>42953.164849537039</v>
      </c>
      <c r="J196" s="7">
        <v>0</v>
      </c>
      <c r="K196" s="89" t="str">
        <f t="shared" si="70"/>
        <v>4005/4006</v>
      </c>
      <c r="L196" s="21" t="str">
        <f>VLOOKUP(A196,'Trips&amp;Operators'!$C$1:$G$99999,5,FALSE)</f>
        <v>DAVIS WENDY</v>
      </c>
      <c r="M196" s="6">
        <f t="shared" si="71"/>
        <v>5.3819444437976927E-3</v>
      </c>
      <c r="N196" s="7">
        <f t="shared" si="97"/>
        <v>7.7499999990686774</v>
      </c>
      <c r="O196" s="7"/>
      <c r="P196" s="7"/>
      <c r="Q196" s="22"/>
      <c r="R196" s="170"/>
      <c r="S196" s="213">
        <f t="shared" si="95"/>
        <v>1</v>
      </c>
      <c r="T196" s="195" t="str">
        <f t="shared" si="72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3"/>
        <v>https://d0f6bd738d7f1b3e5a7ca70fe4ff75f0.us-east-1.aws.found.io/app/kibana#/discover/Steve-Slow-Train-Analysis-(2080s-and-2083s)?_g=(refreshInterval:(display:Off,pause:!f,section:0,value:0),time:(from:'2017-08-06T02:44:42-0600',mode:absolute,to:'2017-08-06T04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197" t="str">
        <f>IF(AA196&lt;VLOOKUP(AG196,Variables!$AC$3:$AD$8,2,FALSE),"Y","N")</f>
        <v>Y</v>
      </c>
      <c r="X196" s="197">
        <f t="shared" si="98"/>
        <v>1</v>
      </c>
      <c r="Y196" s="197">
        <f t="shared" ref="Y196:Y215" si="99">RIGHT(D196,LEN(D196)-4)/10000</f>
        <v>2.2968000000000002</v>
      </c>
      <c r="Z196" s="197">
        <f t="shared" si="96"/>
        <v>1.61E-2</v>
      </c>
      <c r="AA196" s="197">
        <f t="shared" si="74"/>
        <v>2.2807000000000004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75"/>
        <v>304</v>
      </c>
      <c r="AE196" s="77" t="str">
        <f t="shared" si="76"/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AF196" s="74" t="str">
        <f t="shared" si="77"/>
        <v>"C:\Program Files (x86)\AstroGrep\AstroGrep.exe" /e /r /s /spath="%USERPROFILE%\AppData\Local\Temp\OnboardLogs" /stypes="app*4005*20170806*" /stext=" 09:.+((SYSTEM_STATE.+slice.+state.+changed )|(ment ac)|(multiple cpu faults)|(system.+state.+changed )|(\[timeout)|(PRM\|1\|D)|(kpr)|(kdp)|(train st.+moving)|(\|lc)|(penalty))"</v>
      </c>
      <c r="AG196" s="209" t="str">
        <f t="shared" si="78"/>
        <v>Other</v>
      </c>
      <c r="AH196" s="78" t="str">
        <f t="shared" si="79"/>
        <v>"%USERPROFILE%\Documents\GitHub\eaglep3\Utilities\RefineRTDCRunTimes.py" --tripid 304-06 --locoid 4005 --swversion DE.1.0.9.0 --startMP 300:22968 --initTime 2017-08-06T03:44:42 --startdatetime 2017-08-06T03:49:38 --delay 4 --endMP 204:161 --enddatetime 2017-08-06T03:57:23 --enforcementcount 0 &gt;&gt;C:\Users\stu\Documents\GitHub\eaglep3-reporting\EC\2017-08-06-refined-times.txt</v>
      </c>
      <c r="AI196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{"issue":{"subject":"","project_id":79,"tracker_id":40,"status_id":1,"priority_id":2,"assigned_to_id":23,"start_date":"2017-08-06","description":"","custom_fields":[{"id":1,"name":"Subdivision","value":"Other"},{"id":4,"name":"Milepost","value":"0.0161"},{"id":17,"name":"Train ID","value":"304-06"},{"id":16,"name":"Locomotive ID","value":"4005"},{"id":130,"name":"Impact","value":""},{"id":150,"name":"Time of Event (Mountain Time)","value":"03:57:23"},{"id":151,"name":"Denver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81"/>
        <v>start /low /b %USERPROFILE%\Documents\GitHub\eaglep3\Utilities\DownloadLogsFromS3.py --loco 4005 --day 2017-08-06</v>
      </c>
      <c r="AN196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09:57:23"},{"id":29,"name":"Sharepoint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678</v>
      </c>
      <c r="B197" s="7">
        <v>4003</v>
      </c>
      <c r="C197" s="21" t="s">
        <v>198</v>
      </c>
      <c r="D197" s="21" t="s">
        <v>996</v>
      </c>
      <c r="E197" s="13">
        <v>42953.166956018518</v>
      </c>
      <c r="F197" s="13">
        <v>42953.169768518521</v>
      </c>
      <c r="G197" s="7">
        <v>3</v>
      </c>
      <c r="H197" s="21" t="s">
        <v>517</v>
      </c>
      <c r="I197" s="13">
        <v>42953.179976851854</v>
      </c>
      <c r="J197" s="7">
        <v>0</v>
      </c>
      <c r="K197" s="89" t="str">
        <f t="shared" si="70"/>
        <v>4003/4004</v>
      </c>
      <c r="L197" s="21" t="str">
        <f>VLOOKUP(A197,'Trips&amp;Operators'!$C$1:$G$99999,5,FALSE)</f>
        <v>NEWELL JAMES</v>
      </c>
      <c r="M197" s="6">
        <f t="shared" si="71"/>
        <v>1.0208333333139308E-2</v>
      </c>
      <c r="N197" s="7">
        <f t="shared" si="97"/>
        <v>14.699999999720603</v>
      </c>
      <c r="O197" s="7"/>
      <c r="P197" s="7"/>
      <c r="Q197" s="22"/>
      <c r="R197" s="170"/>
      <c r="S197" s="213">
        <f t="shared" si="95"/>
        <v>1</v>
      </c>
      <c r="T197" s="195" t="str">
        <f t="shared" si="72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3"/>
        <v>https://d0f6bd738d7f1b3e5a7ca70fe4ff75f0.us-east-1.aws.found.io/app/kibana#/discover/Steve-Slow-Train-Analysis-(2080s-and-2083s)?_g=(refreshInterval:(display:Off,pause:!f,section:0,value:0),time:(from:'2017-08-06T03:00:25-0600',mode:absolute,to:'2017-08-06T05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197" t="str">
        <f>IF(AA197&lt;VLOOKUP(AG197,Variables!$AC$3:$AD$8,2,FALSE),"Y","N")</f>
        <v>Y</v>
      </c>
      <c r="X197" s="197">
        <f t="shared" si="98"/>
        <v>2</v>
      </c>
      <c r="Y197" s="197">
        <f t="shared" si="99"/>
        <v>2.2978000000000001</v>
      </c>
      <c r="Z197" s="197">
        <f t="shared" si="96"/>
        <v>1.6E-2</v>
      </c>
      <c r="AA197" s="197">
        <f t="shared" si="74"/>
        <v>2.2818000000000001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75"/>
        <v>306</v>
      </c>
      <c r="AE197" s="77" t="str">
        <f t="shared" si="76"/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AF197" s="74" t="str">
        <f t="shared" si="77"/>
        <v>"C:\Program Files (x86)\AstroGrep\AstroGrep.exe" /e /r /s /spath="%USERPROFILE%\AppData\Local\Temp\OnboardLogs" /stypes="app*4003*20170806*" /stext=" 10:.+((SYSTEM_STATE.+slice.+state.+changed )|(ment ac)|(multiple cpu faults)|(system.+state.+changed )|(\[timeout)|(PRM\|1\|D)|(kpr)|(kdp)|(train st.+moving)|(\|lc)|(penalty))"</v>
      </c>
      <c r="AG197" s="209" t="str">
        <f t="shared" si="78"/>
        <v>Other</v>
      </c>
      <c r="AH197" s="78" t="str">
        <f t="shared" si="79"/>
        <v>"%USERPROFILE%\Documents\GitHub\eaglep3\Utilities\RefineRTDCRunTimes.py" --tripid 306-06 --locoid 4003 --swversion DE.1.0.9.0 --startMP 300:22978 --initTime 2017-08-06T04:00:25 --startdatetime 2017-08-06T04:04:28 --delay 3 --endMP 204:160 --enddatetime 2017-08-06T04:19:10 --enforcementcount 0 &gt;&gt;C:\Users\stu\Documents\GitHub\eaglep3-reporting\EC\2017-08-06-refined-times.txt</v>
      </c>
      <c r="AI197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{"issue":{"subject":"","project_id":79,"tracker_id":40,"status_id":1,"priority_id":2,"assigned_to_id":23,"start_date":"2017-08-06","description":"","custom_fields":[{"id":1,"name":"Subdivision","value":"Other"},{"id":4,"name":"Milepost","value":"0.016"},{"id":17,"name":"Train ID","value":"306-06"},{"id":16,"name":"Locomotive ID","value":"4003"},{"id":130,"name":"Impact","value":""},{"id":150,"name":"Time of Event (Mountain Time)","value":"04:19:10"},{"id":151,"name":"Denver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81"/>
        <v>start /low /b %USERPROFILE%\Documents\GitHub\eaglep3\Utilities\DownloadLogsFromS3.py --loco 4003 --day 2017-08-06</v>
      </c>
      <c r="AN197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863</v>
      </c>
      <c r="B198" s="7">
        <v>4032</v>
      </c>
      <c r="C198" s="21" t="s">
        <v>198</v>
      </c>
      <c r="D198" s="21" t="s">
        <v>998</v>
      </c>
      <c r="E198" s="13">
        <v>42954.031192129631</v>
      </c>
      <c r="F198" s="13">
        <v>42954.037048611113</v>
      </c>
      <c r="G198" s="7">
        <v>1</v>
      </c>
      <c r="H198" s="21" t="s">
        <v>628</v>
      </c>
      <c r="I198" s="13">
        <v>42954.046261574076</v>
      </c>
      <c r="J198" s="7">
        <v>0</v>
      </c>
      <c r="K198" s="89" t="str">
        <f t="shared" si="70"/>
        <v>4031/4032</v>
      </c>
      <c r="L198" s="21" t="str">
        <f>VLOOKUP(A198,'Trips&amp;Operators'!$C$1:$G$99999,5,FALSE)</f>
        <v>ZEWDU DEREJE</v>
      </c>
      <c r="M198" s="6">
        <f t="shared" si="71"/>
        <v>9.2129629629198462E-3</v>
      </c>
      <c r="N198" s="7">
        <f t="shared" si="97"/>
        <v>13.266666666604578</v>
      </c>
      <c r="O198" s="7"/>
      <c r="P198" s="7"/>
      <c r="Q198" s="22"/>
      <c r="R198" s="170"/>
      <c r="S198" s="213">
        <f t="shared" si="95"/>
        <v>1</v>
      </c>
      <c r="T198" s="195" t="str">
        <f t="shared" si="72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3"/>
        <v>https://d0f6bd738d7f1b3e5a7ca70fe4ff75f0.us-east-1.aws.found.io/app/kibana#/discover/Steve-Slow-Train-Analysis-(2080s-and-2083s)?_g=(refreshInterval:(display:Off,pause:!f,section:0,value:0),time:(from:'2017-08-06T23:44:55-0600',mode:absolute,to:'2017-08-07T02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97" t="str">
        <f>IF(AA198&lt;VLOOKUP(AG198,Variables!$AC$3:$AD$8,2,FALSE),"Y","N")</f>
        <v>Y</v>
      </c>
      <c r="X198" s="197">
        <f t="shared" si="98"/>
        <v>1</v>
      </c>
      <c r="Y198" s="197">
        <f t="shared" si="99"/>
        <v>4.9299999999999997E-2</v>
      </c>
      <c r="Z198" s="197">
        <f t="shared" si="96"/>
        <v>2.3306</v>
      </c>
      <c r="AA198" s="197">
        <f t="shared" si="74"/>
        <v>2.2812999999999999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75"/>
        <v>307</v>
      </c>
      <c r="AE198" s="77" t="str">
        <f t="shared" si="76"/>
        <v>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 &amp; aws s3 cp s3://rtdc.mdm.uploadarchive.raw/RTDC4032/ "%USERPROFILE%\AppData\Local\Temp\OnboardLogs"\RTDC4032\2017-08-08 --exclude "*" --recursive --include "*20170808*" &amp; "%USERPROFILE%\Documents\GitHub\mrs-test-scripts\Headless Mode &amp; Sideloading\WalkAndUnGZ.bat" "%USERPROFILE%\AppData\Local\Temp\OnboardLogs"\RTDC4032\2017-08-08</v>
      </c>
      <c r="AF198" s="74" t="str">
        <f t="shared" si="77"/>
        <v>"C:\Program Files (x86)\AstroGrep\AstroGrep.exe" /e /r /s /spath="%USERPROFILE%\AppData\Local\Temp\OnboardLogs" /stypes="app*4032*20170807*" /stext=" 07:.+((SYSTEM_STATE.+slice.+state.+changed )|(ment ac)|(multiple cpu faults)|(system.+state.+changed )|(\[timeout)|(PRM\|1\|D)|(kpr)|(kdp)|(train st.+moving)|(\|lc)|(penalty))"</v>
      </c>
      <c r="AG198" s="209" t="str">
        <f t="shared" si="78"/>
        <v>Other</v>
      </c>
      <c r="AH198" s="78" t="str">
        <f t="shared" si="79"/>
        <v>"%USERPROFILE%\Documents\GitHub\eaglep3\Utilities\RefineRTDCRunTimes.py" --tripid 307-06 --locoid 4032 --swversion DE.1.0.9.0 --startMP 204:493 --initTime 2017-08-07T00:44:55 --startdatetime 2017-08-07T00:53:21 --delay 1 --endMP 300:23306 --enddatetime 2017-08-07T01:06:37 --enforcementcount 0 &gt;&gt;C:\Users\stu\Documents\GitHub\eaglep3-reporting\EC\2017-08-06-refined-times.txt</v>
      </c>
      <c r="AI198" s="96" t="str">
        <f t="shared" si="80"/>
        <v>echo {"issue":{"subject":"","project_id":79,"tracker_id":40,"status_id":1,"priority_id":2,"assigned_to_id":23,"start_date":"2017-08-07","description":"","custom_fields":[{"id":1,"name":"Subdivision","value":"Other"},{"id":4,"name":"Milepost","value":"2.3306"},{"id":17,"name":"Train ID","value":"307-06"},{"id":16,"name":"Locomotive ID","value":"4032"},{"id":130,"name":"Impact","value":""},{"id":150,"name":"Time of Event (Mountain Time)","value":"01:06:37"},{"id":151,"name":"Denver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81"/>
        <v>start /low /b %USERPROFILE%\Documents\GitHub\eaglep3\Utilities\DownloadLogsFromS3.py --loco 4032 --day 2017-08-07</v>
      </c>
      <c r="AN198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07:06:37"},{"id":29,"name":"Sharepoint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682</v>
      </c>
      <c r="B199" s="7">
        <v>4065</v>
      </c>
      <c r="C199" s="21" t="s">
        <v>198</v>
      </c>
      <c r="D199" s="21" t="s">
        <v>626</v>
      </c>
      <c r="E199" s="13">
        <v>42953.178831018522</v>
      </c>
      <c r="F199" s="13">
        <v>42953.183344907404</v>
      </c>
      <c r="G199" s="7">
        <v>6</v>
      </c>
      <c r="H199" s="21" t="s">
        <v>517</v>
      </c>
      <c r="I199" s="13">
        <v>42953.190300925926</v>
      </c>
      <c r="J199" s="7">
        <v>0</v>
      </c>
      <c r="K199" s="89" t="str">
        <f t="shared" si="70"/>
        <v>4065/4066</v>
      </c>
      <c r="L199" s="21" t="str">
        <f>VLOOKUP(A199,'Trips&amp;Operators'!$C$1:$G$99999,5,FALSE)</f>
        <v>GEBRETEKLE DAGNEW</v>
      </c>
      <c r="M199" s="6">
        <f t="shared" si="71"/>
        <v>6.9560185220325366E-3</v>
      </c>
      <c r="N199" s="7">
        <f t="shared" si="97"/>
        <v>10.016666671726853</v>
      </c>
      <c r="O199" s="7"/>
      <c r="P199" s="7"/>
      <c r="Q199" s="22"/>
      <c r="R199" s="170"/>
      <c r="S199" s="213">
        <f t="shared" si="95"/>
        <v>1</v>
      </c>
      <c r="T199" s="195" t="str">
        <f t="shared" si="72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3"/>
        <v>https://d0f6bd738d7f1b3e5a7ca70fe4ff75f0.us-east-1.aws.found.io/app/kibana#/discover/Steve-Slow-Train-Analysis-(2080s-and-2083s)?_g=(refreshInterval:(display:Off,pause:!f,section:0,value:0),time:(from:'2017-08-06T03:17:31-0600',mode:absolute,to:'2017-08-06T05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9" s="197" t="str">
        <f>IF(AA199&lt;VLOOKUP(AG199,Variables!$AC$3:$AD$8,2,FALSE),"Y","N")</f>
        <v>Y</v>
      </c>
      <c r="X199" s="197">
        <f t="shared" si="98"/>
        <v>1</v>
      </c>
      <c r="Y199" s="197">
        <f t="shared" si="99"/>
        <v>2.3504</v>
      </c>
      <c r="Z199" s="197">
        <f t="shared" si="96"/>
        <v>1.6E-2</v>
      </c>
      <c r="AA199" s="197">
        <f t="shared" si="74"/>
        <v>2.3344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75"/>
        <v>308</v>
      </c>
      <c r="AE199" s="77" t="str">
        <f t="shared" si="76"/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AF199" s="74" t="str">
        <f t="shared" si="77"/>
        <v>"C:\Program Files (x86)\AstroGrep\AstroGrep.exe" /e /r /s /spath="%USERPROFILE%\AppData\Local\Temp\OnboardLogs" /stypes="app*4065*20170806*" /stext=" 10:.+((SYSTEM_STATE.+slice.+state.+changed )|(ment ac)|(multiple cpu faults)|(system.+state.+changed )|(\[timeout)|(PRM\|1\|D)|(kpr)|(kdp)|(train st.+moving)|(\|lc)|(penalty))"</v>
      </c>
      <c r="AG199" s="209" t="str">
        <f t="shared" si="78"/>
        <v>Other</v>
      </c>
      <c r="AH199" s="78" t="str">
        <f t="shared" si="79"/>
        <v>"%USERPROFILE%\Documents\GitHub\eaglep3\Utilities\RefineRTDCRunTimes.py" --tripid 308-06 --locoid 4065 --swversion DE.1.0.9.0 --startMP 300:23504 --initTime 2017-08-06T04:17:31 --startdatetime 2017-08-06T04:24:01 --delay 6 --endMP 204:160 --enddatetime 2017-08-06T04:34:02 --enforcementcount 0 &gt;&gt;C:\Users\stu\Documents\GitHub\eaglep3-reporting\EC\2017-08-06-refined-times.txt</v>
      </c>
      <c r="AI199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{"issue":{"subject":"","project_id":79,"tracker_id":40,"status_id":1,"priority_id":2,"assigned_to_id":23,"start_date":"2017-08-06","description":"","custom_fields":[{"id":1,"name":"Subdivision","value":"Other"},{"id":4,"name":"Milepost","value":"0.016"},{"id":17,"name":"Train ID","value":"308-06"},{"id":16,"name":"Locomotive ID","value":"4065"},{"id":130,"name":"Impact","value":""},{"id":150,"name":"Time of Event (Mountain Time)","value":"04:34:02"},{"id":151,"name":"Denver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81"/>
        <v>start /low /b %USERPROFILE%\Documents\GitHub\eaglep3\Utilities\DownloadLogsFromS3.py --loco 4065 --day 2017-08-06</v>
      </c>
      <c r="AN199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10:34:02"},{"id":29,"name":"Sharepoint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865</v>
      </c>
      <c r="B200" s="7">
        <v>4044</v>
      </c>
      <c r="C200" s="21" t="s">
        <v>198</v>
      </c>
      <c r="D200" s="21" t="s">
        <v>876</v>
      </c>
      <c r="E200" s="13">
        <v>42954.047453703701</v>
      </c>
      <c r="F200" s="13">
        <v>42954.04954861111</v>
      </c>
      <c r="G200" s="7">
        <v>1</v>
      </c>
      <c r="H200" s="21" t="s">
        <v>999</v>
      </c>
      <c r="I200" s="13">
        <v>42954.057546296295</v>
      </c>
      <c r="J200" s="7">
        <v>0</v>
      </c>
      <c r="K200" s="89" t="str">
        <f t="shared" si="70"/>
        <v>4043/4044</v>
      </c>
      <c r="L200" s="21" t="str">
        <f>VLOOKUP(A200,'Trips&amp;Operators'!$C$1:$G$99999,5,FALSE)</f>
        <v>SMITH MICHAEL</v>
      </c>
      <c r="M200" s="6">
        <f t="shared" si="71"/>
        <v>7.9976851848186925E-3</v>
      </c>
      <c r="N200" s="7">
        <f t="shared" si="97"/>
        <v>11.516666666138917</v>
      </c>
      <c r="O200" s="7"/>
      <c r="P200" s="7"/>
      <c r="Q200" s="22"/>
      <c r="R200" s="170"/>
      <c r="S200" s="213">
        <f t="shared" si="95"/>
        <v>1</v>
      </c>
      <c r="T200" s="195" t="str">
        <f t="shared" si="72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3"/>
        <v>https://d0f6bd738d7f1b3e5a7ca70fe4ff75f0.us-east-1.aws.found.io/app/kibana#/discover/Steve-Slow-Train-Analysis-(2080s-and-2083s)?_g=(refreshInterval:(display:Off,pause:!f,section:0,value:0),time:(from:'2017-08-07T00:08:20-0600',mode:absolute,to:'2017-08-07T02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7" t="str">
        <f>IF(AA200&lt;VLOOKUP(AG200,Variables!$AC$3:$AD$8,2,FALSE),"Y","N")</f>
        <v>Y</v>
      </c>
      <c r="X200" s="197">
        <f t="shared" si="98"/>
        <v>1</v>
      </c>
      <c r="Y200" s="197">
        <f t="shared" si="99"/>
        <v>4.3700000000000003E-2</v>
      </c>
      <c r="Z200" s="197">
        <f t="shared" si="96"/>
        <v>2.331</v>
      </c>
      <c r="AA200" s="197">
        <f t="shared" si="74"/>
        <v>2.2873000000000001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75"/>
        <v>309</v>
      </c>
      <c r="AE200" s="77" t="str">
        <f t="shared" si="76"/>
        <v>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 &amp; aws s3 cp s3://rtdc.mdm.uploadarchive.raw/RTDC4044/ "%USERPROFILE%\AppData\Local\Temp\OnboardLogs"\RTDC4044\2017-08-08 --exclude "*" --recursive --include "*20170808*" &amp; "%USERPROFILE%\Documents\GitHub\mrs-test-scripts\Headless Mode &amp; Sideloading\WalkAndUnGZ.bat" "%USERPROFILE%\AppData\Local\Temp\OnboardLogs"\RTDC4044\2017-08-08</v>
      </c>
      <c r="AF200" s="74" t="str">
        <f t="shared" si="77"/>
        <v>"C:\Program Files (x86)\AstroGrep\AstroGrep.exe" /e /r /s /spath="%USERPROFILE%\AppData\Local\Temp\OnboardLogs" /stypes="app*4044*20170807*" /stext=" 07:.+((SYSTEM_STATE.+slice.+state.+changed )|(ment ac)|(multiple cpu faults)|(system.+state.+changed )|(\[timeout)|(PRM\|1\|D)|(kpr)|(kdp)|(train st.+moving)|(\|lc)|(penalty))"</v>
      </c>
      <c r="AG200" s="209" t="str">
        <f t="shared" si="78"/>
        <v>Other</v>
      </c>
      <c r="AH200" s="78" t="str">
        <f t="shared" si="79"/>
        <v>"%USERPROFILE%\Documents\GitHub\eaglep3\Utilities\RefineRTDCRunTimes.py" --tripid 309-06 --locoid 4044 --swversion DE.1.0.9.0 --startMP 204:437 --initTime 2017-08-07T01:08:20 --startdatetime 2017-08-07T01:11:21 --delay 1 --endMP 300:23310 --enddatetime 2017-08-07T01:22:52 --enforcementcount 0 &gt;&gt;C:\Users\stu\Documents\GitHub\eaglep3-reporting\EC\2017-08-06-refined-times.txt</v>
      </c>
      <c r="AI200" s="96" t="str">
        <f t="shared" si="80"/>
        <v>echo {"issue":{"subject":"","project_id":79,"tracker_id":40,"status_id":1,"priority_id":2,"assigned_to_id":23,"start_date":"2017-08-07","description":"","custom_fields":[{"id":1,"name":"Subdivision","value":"Other"},{"id":4,"name":"Milepost","value":"2.331"},{"id":17,"name":"Train ID","value":"309-06"},{"id":16,"name":"Locomotive ID","value":"4044"},{"id":130,"name":"Impact","value":""},{"id":150,"name":"Time of Event (Mountain Time)","value":"01:22:52"},{"id":151,"name":"Denver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81"/>
        <v>start /low /b %USERPROFILE%\Documents\GitHub\eaglep3\Utilities\DownloadLogsFromS3.py --loco 4044 --day 2017-08-07</v>
      </c>
      <c r="AN200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07:22:52"},{"id":29,"name":"Sharepoint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688</v>
      </c>
      <c r="B201" s="7">
        <v>4001</v>
      </c>
      <c r="C201" s="21" t="s">
        <v>198</v>
      </c>
      <c r="D201" s="21" t="s">
        <v>1000</v>
      </c>
      <c r="E201" s="13">
        <v>42953.198842592596</v>
      </c>
      <c r="F201" s="13">
        <v>42953.202488425923</v>
      </c>
      <c r="G201" s="7">
        <v>5</v>
      </c>
      <c r="H201" s="21" t="s">
        <v>497</v>
      </c>
      <c r="I201" s="13">
        <v>42953.21130787037</v>
      </c>
      <c r="J201" s="7">
        <v>0</v>
      </c>
      <c r="K201" s="89" t="str">
        <f t="shared" si="70"/>
        <v>4001/4002</v>
      </c>
      <c r="L201" s="21" t="str">
        <f>VLOOKUP(A201,'Trips&amp;Operators'!$C$1:$G$99999,5,FALSE)</f>
        <v>GUZMAN DANNY</v>
      </c>
      <c r="M201" s="6">
        <f t="shared" si="71"/>
        <v>8.819444446999114E-3</v>
      </c>
      <c r="N201" s="7">
        <f t="shared" si="97"/>
        <v>12.700000003678724</v>
      </c>
      <c r="O201" s="7"/>
      <c r="P201" s="7"/>
      <c r="Q201" s="22"/>
      <c r="R201" s="170"/>
      <c r="S201" s="213">
        <f t="shared" si="95"/>
        <v>1</v>
      </c>
      <c r="T201" s="195" t="str">
        <f t="shared" si="72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3"/>
        <v>https://d0f6bd738d7f1b3e5a7ca70fe4ff75f0.us-east-1.aws.found.io/app/kibana#/discover/Steve-Slow-Train-Analysis-(2080s-and-2083s)?_g=(refreshInterval:(display:Off,pause:!f,section:0,value:0),time:(from:'2017-08-06T03:46:20-0600',mode:absolute,to:'2017-08-06T06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1" s="197" t="str">
        <f>IF(AA201&lt;VLOOKUP(AG201,Variables!$AC$3:$AD$8,2,FALSE),"Y","N")</f>
        <v>Y</v>
      </c>
      <c r="X201" s="197">
        <f t="shared" si="98"/>
        <v>1</v>
      </c>
      <c r="Y201" s="197">
        <f t="shared" si="99"/>
        <v>2.3603000000000001</v>
      </c>
      <c r="Z201" s="197">
        <f t="shared" si="96"/>
        <v>1.4500000000000001E-2</v>
      </c>
      <c r="AA201" s="197">
        <f t="shared" si="74"/>
        <v>2.3458000000000001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75"/>
        <v>310</v>
      </c>
      <c r="AE201" s="77" t="str">
        <f t="shared" si="76"/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AF201" s="74" t="str">
        <f t="shared" si="77"/>
        <v>"C:\Program Files (x86)\AstroGrep\AstroGrep.exe" /e /r /s /spath="%USERPROFILE%\AppData\Local\Temp\OnboardLogs" /stypes="app*4001*20170806*" /stext=" 11:.+((SYSTEM_STATE.+slice.+state.+changed )|(ment ac)|(multiple cpu faults)|(system.+state.+changed )|(\[timeout)|(PRM\|1\|D)|(kpr)|(kdp)|(train st.+moving)|(\|lc)|(penalty))"</v>
      </c>
      <c r="AG201" s="209" t="str">
        <f t="shared" si="78"/>
        <v>Other</v>
      </c>
      <c r="AH201" s="78" t="str">
        <f t="shared" si="79"/>
        <v>"%USERPROFILE%\Documents\GitHub\eaglep3\Utilities\RefineRTDCRunTimes.py" --tripid 310-06 --locoid 4001 --swversion DE.1.0.9.0 --startMP 300:23603 --initTime 2017-08-06T04:46:20 --startdatetime 2017-08-06T04:51:35 --delay 5 --endMP 204:145 --enddatetime 2017-08-06T05:04:17 --enforcementcount 0 &gt;&gt;C:\Users\stu\Documents\GitHub\eaglep3-reporting\EC\2017-08-06-refined-times.txt</v>
      </c>
      <c r="AI201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{"issue":{"subject":"","project_id":79,"tracker_id":40,"status_id":1,"priority_id":2,"assigned_to_id":23,"start_date":"2017-08-06","description":"","custom_fields":[{"id":1,"name":"Subdivision","value":"Other"},{"id":4,"name":"Milepost","value":"0.0145"},{"id":17,"name":"Train ID","value":"310-06"},{"id":16,"name":"Locomotive ID","value":"4001"},{"id":130,"name":"Impact","value":""},{"id":150,"name":"Time of Event (Mountain Time)","value":"05:04:17"},{"id":151,"name":"Denver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81"/>
        <v>start /low /b %USERPROFILE%\Documents\GitHub\eaglep3\Utilities\DownloadLogsFromS3.py --loco 4001 --day 2017-08-06</v>
      </c>
      <c r="AN201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439</v>
      </c>
      <c r="B202" s="7">
        <v>4008</v>
      </c>
      <c r="C202" s="21" t="s">
        <v>198</v>
      </c>
      <c r="D202" s="21" t="s">
        <v>347</v>
      </c>
      <c r="E202" s="13">
        <v>42953.088587962964</v>
      </c>
      <c r="F202" s="13">
        <v>42953.089583333334</v>
      </c>
      <c r="G202" s="7">
        <v>1</v>
      </c>
      <c r="H202" s="21" t="s">
        <v>346</v>
      </c>
      <c r="I202" s="13">
        <v>42953.098634259259</v>
      </c>
      <c r="J202" s="7">
        <v>0</v>
      </c>
      <c r="K202" s="89" t="str">
        <f t="shared" si="70"/>
        <v>4007/4008</v>
      </c>
      <c r="L202" s="21" t="str">
        <f>VLOOKUP(A202,'Trips&amp;Operators'!$C$1:$G$99999,5,FALSE)</f>
        <v>FORTUNATO FRANK</v>
      </c>
      <c r="M202" s="6">
        <f t="shared" si="71"/>
        <v>9.0509259243845008E-3</v>
      </c>
      <c r="N202" s="7">
        <f t="shared" si="97"/>
        <v>13.033333331113681</v>
      </c>
      <c r="O202" s="7"/>
      <c r="P202" s="7"/>
      <c r="Q202" s="22"/>
      <c r="R202" s="170"/>
      <c r="S202" s="213">
        <f t="shared" si="95"/>
        <v>1</v>
      </c>
      <c r="T202" s="195" t="str">
        <f t="shared" si="72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3"/>
        <v>https://d0f6bd738d7f1b3e5a7ca70fe4ff75f0.us-east-1.aws.found.io/app/kibana#/discover/Steve-Slow-Train-Analysis-(2080s-and-2083s)?_g=(refreshInterval:(display:Off,pause:!f,section:0,value:0),time:(from:'2017-08-06T01:07:34-0600',mode:absolute,to:'2017-08-06T03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97" t="str">
        <f>IF(AA202&lt;VLOOKUP(AG202,Variables!$AC$3:$AD$8,2,FALSE),"Y","N")</f>
        <v>Y</v>
      </c>
      <c r="X202" s="197">
        <f t="shared" si="98"/>
        <v>1</v>
      </c>
      <c r="Y202" s="197">
        <f t="shared" si="99"/>
        <v>4.53E-2</v>
      </c>
      <c r="Z202" s="197">
        <f t="shared" si="96"/>
        <v>2.3346</v>
      </c>
      <c r="AA202" s="197">
        <f t="shared" si="74"/>
        <v>2.2892999999999999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75"/>
        <v>311</v>
      </c>
      <c r="AE202" s="77" t="str">
        <f t="shared" si="76"/>
        <v>aws s3 cp s3://rtdc.mdm.uploadarchive.raw/RTDC4008/ "%USERPROFILE%\AppData\Local\Temp\OnboardLogs"\RTDC4008\2017-08-06 --exclude "*" --recursive --include "*20170806*" &amp; "%USERPROFILE%\Documents\GitHub\mrs-test-scripts\Headless Mode &amp; Sideloading\WalkAndUnGZ.bat" "%USERPROFILE%\AppData\Local\Temp\OnboardLogs"\RTDC4008\2017-08-06 &amp; aws s3 cp s3://rtdc.mdm.uploadarchive.raw/RTDC4008/ "%USERPROFILE%\AppData\Local\Temp\OnboardLogs"\RTDC4008\2017-08-07 --exclude "*" --recursive --include "*20170807*" &amp; "%USERPROFILE%\Documents\GitHub\mrs-test-scripts\Headless Mode &amp; Sideloading\WalkAndUnGZ.bat" "%USERPROFILE%\AppData\Local\Temp\OnboardLogs"\RTDC4008\2017-08-07</v>
      </c>
      <c r="AF202" s="74" t="str">
        <f t="shared" si="77"/>
        <v>"C:\Program Files (x86)\AstroGrep\AstroGrep.exe" /e /r /s /spath="%USERPROFILE%\AppData\Local\Temp\OnboardLogs" /stypes="app*4008*20170806*" /stext=" 08:.+((SYSTEM_STATE.+slice.+state.+changed )|(ment ac)|(multiple cpu faults)|(system.+state.+changed )|(\[timeout)|(PRM\|1\|D)|(kpr)|(kdp)|(train st.+moving)|(\|lc)|(penalty))"</v>
      </c>
      <c r="AG202" s="209" t="str">
        <f t="shared" si="78"/>
        <v>Other</v>
      </c>
      <c r="AH202" s="78" t="str">
        <f t="shared" si="79"/>
        <v>"%USERPROFILE%\Documents\GitHub\eaglep3\Utilities\RefineRTDCRunTimes.py" --tripid 311-05 --locoid 4008 --swversion DE.1.0.9.0 --startMP 204:453 --initTime 2017-08-06T02:07:34 --startdatetime 2017-08-06T02:09:00 --delay 1 --endMP 300:23346 --enddatetime 2017-08-06T02:22:02 --enforcementcount 0 &gt;&gt;C:\Users\stu\Documents\GitHub\eaglep3-reporting\EC\2017-08-06-refined-times.txt</v>
      </c>
      <c r="AI202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{"issue":{"subject":"","project_id":79,"tracker_id":40,"status_id":1,"priority_id":2,"assigned_to_id":23,"start_date":"2017-08-06","description":"","custom_fields":[{"id":1,"name":"Subdivision","value":"Other"},{"id":4,"name":"Milepost","value":"2.3346"},{"id":17,"name":"Train ID","value":"311-05"},{"id":16,"name":"Locomotive ID","value":"4008"},{"id":130,"name":"Impact","value":""},{"id":150,"name":"Time of Event (Mountain Time)","value":"02:22:02"},{"id":151,"name":"Denver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81"/>
        <v>start /low /b %USERPROFILE%\Documents\GitHub\eaglep3\Utilities\DownloadLogsFromS3.py --loco 4008 --day 2017-08-06</v>
      </c>
      <c r="AN202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695</v>
      </c>
      <c r="B203" s="7">
        <v>4029</v>
      </c>
      <c r="C203" s="21" t="s">
        <v>198</v>
      </c>
      <c r="D203" s="21" t="s">
        <v>1001</v>
      </c>
      <c r="E203" s="13">
        <v>42953.222187500003</v>
      </c>
      <c r="F203" s="13">
        <v>42953.227500000001</v>
      </c>
      <c r="G203" s="7">
        <v>4</v>
      </c>
      <c r="H203" s="21" t="s">
        <v>490</v>
      </c>
      <c r="I203" s="13">
        <v>42953.232800925929</v>
      </c>
      <c r="J203" s="7">
        <v>0</v>
      </c>
      <c r="K203" s="89" t="str">
        <f t="shared" si="70"/>
        <v>4029/4030</v>
      </c>
      <c r="L203" s="21" t="str">
        <f>VLOOKUP(A203,'Trips&amp;Operators'!$C$1:$G$99999,5,FALSE)</f>
        <v>MACDONALD THOMAS</v>
      </c>
      <c r="M203" s="6">
        <f t="shared" si="71"/>
        <v>5.3009259281679988E-3</v>
      </c>
      <c r="N203" s="7">
        <f t="shared" si="97"/>
        <v>7.6333333365619183</v>
      </c>
      <c r="O203" s="7"/>
      <c r="P203" s="7"/>
      <c r="Q203" s="22"/>
      <c r="R203" s="170"/>
      <c r="S203" s="213">
        <f t="shared" si="95"/>
        <v>1</v>
      </c>
      <c r="T203" s="195" t="str">
        <f t="shared" si="72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3"/>
        <v>https://d0f6bd738d7f1b3e5a7ca70fe4ff75f0.us-east-1.aws.found.io/app/kibana#/discover/Steve-Slow-Train-Analysis-(2080s-and-2083s)?_g=(refreshInterval:(display:Off,pause:!f,section:0,value:0),time:(from:'2017-08-06T04:19:57-0600',mode:absolute,to:'2017-08-06T06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3" s="197" t="str">
        <f>IF(AA203&lt;VLOOKUP(AG203,Variables!$AC$3:$AD$8,2,FALSE),"Y","N")</f>
        <v>Y</v>
      </c>
      <c r="X203" s="197">
        <f t="shared" si="98"/>
        <v>1</v>
      </c>
      <c r="Y203" s="197">
        <f t="shared" si="99"/>
        <v>2.5764</v>
      </c>
      <c r="Z203" s="197">
        <f t="shared" si="96"/>
        <v>1.5599999999999999E-2</v>
      </c>
      <c r="AA203" s="197">
        <f t="shared" si="74"/>
        <v>2.5608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75"/>
        <v>312</v>
      </c>
      <c r="AE203" s="77" t="str">
        <f t="shared" si="76"/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AF203" s="74" t="str">
        <f t="shared" si="77"/>
        <v>"C:\Program Files (x86)\AstroGrep\AstroGrep.exe" /e /r /s /spath="%USERPROFILE%\AppData\Local\Temp\OnboardLogs" /stypes="app*4029*20170806*" /stext=" 11:.+((SYSTEM_STATE.+slice.+state.+changed )|(ment ac)|(multiple cpu faults)|(system.+state.+changed )|(\[timeout)|(PRM\|1\|D)|(kpr)|(kdp)|(train st.+moving)|(\|lc)|(penalty))"</v>
      </c>
      <c r="AG203" s="209" t="str">
        <f t="shared" si="78"/>
        <v>Other</v>
      </c>
      <c r="AH203" s="78" t="str">
        <f t="shared" si="79"/>
        <v>"%USERPROFILE%\Documents\GitHub\eaglep3\Utilities\RefineRTDCRunTimes.py" --tripid 312-06 --locoid 4029 --swversion DE.1.0.9.0 --startMP 300:25764 --initTime 2017-08-06T05:19:57 --startdatetime 2017-08-06T05:27:36 --delay 4 --endMP 204:156 --enddatetime 2017-08-06T05:35:14 --enforcementcount 0 &gt;&gt;C:\Users\stu\Documents\GitHub\eaglep3-reporting\EC\2017-08-06-refined-times.txt</v>
      </c>
      <c r="AI203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{"issue":{"subject":"","project_id":79,"tracker_id":40,"status_id":1,"priority_id":2,"assigned_to_id":23,"start_date":"2017-08-06","description":"","custom_fields":[{"id":1,"name":"Subdivision","value":"Other"},{"id":4,"name":"Milepost","value":"0.0156"},{"id":17,"name":"Train ID","value":"312-06"},{"id":16,"name":"Locomotive ID","value":"4029"},{"id":130,"name":"Impact","value":""},{"id":150,"name":"Time of Event (Mountain Time)","value":"05:35:14"},{"id":151,"name":"Denver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81"/>
        <v>start /low /b %USERPROFILE%\Documents\GitHub\eaglep3\Utilities\DownloadLogsFromS3.py --loco 4029 --day 2017-08-06</v>
      </c>
      <c r="AN203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440</v>
      </c>
      <c r="B204" s="7">
        <v>4054</v>
      </c>
      <c r="C204" s="21" t="s">
        <v>198</v>
      </c>
      <c r="D204" s="21" t="s">
        <v>1002</v>
      </c>
      <c r="E204" s="13">
        <v>42953.110266203701</v>
      </c>
      <c r="F204" s="13">
        <v>42953.111539351848</v>
      </c>
      <c r="G204" s="7">
        <v>0</v>
      </c>
      <c r="H204" s="21" t="s">
        <v>346</v>
      </c>
      <c r="I204" s="13">
        <v>42953.119421296295</v>
      </c>
      <c r="J204" s="7">
        <v>0</v>
      </c>
      <c r="K204" s="89" t="str">
        <f t="shared" si="70"/>
        <v>4053/4054</v>
      </c>
      <c r="L204" s="21" t="str">
        <f>VLOOKUP(A204,'Trips&amp;Operators'!$C$1:$G$99999,5,FALSE)</f>
        <v>LAMAR NEKESHA</v>
      </c>
      <c r="M204" s="6">
        <f t="shared" si="71"/>
        <v>7.8819444461259991E-3</v>
      </c>
      <c r="N204" s="7">
        <f t="shared" si="97"/>
        <v>11.350000002421439</v>
      </c>
      <c r="O204" s="7"/>
      <c r="P204" s="7"/>
      <c r="Q204" s="22"/>
      <c r="R204" s="170"/>
      <c r="S204" s="213">
        <f t="shared" si="95"/>
        <v>1</v>
      </c>
      <c r="T204" s="195" t="str">
        <f t="shared" si="72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3"/>
        <v>https://d0f6bd738d7f1b3e5a7ca70fe4ff75f0.us-east-1.aws.found.io/app/kibana#/discover/Steve-Slow-Train-Analysis-(2080s-and-2083s)?_g=(refreshInterval:(display:Off,pause:!f,section:0,value:0),time:(from:'2017-08-06T01:38:47-0600',mode:absolute,to:'2017-08-06T03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97" t="str">
        <f>IF(AA204&lt;VLOOKUP(AG204,Variables!$AC$3:$AD$8,2,FALSE),"Y","N")</f>
        <v>Y</v>
      </c>
      <c r="X204" s="197">
        <f t="shared" si="98"/>
        <v>1</v>
      </c>
      <c r="Y204" s="197">
        <f t="shared" si="99"/>
        <v>5.04E-2</v>
      </c>
      <c r="Z204" s="197">
        <f t="shared" si="96"/>
        <v>2.3346</v>
      </c>
      <c r="AA204" s="197">
        <f t="shared" si="74"/>
        <v>2.2842000000000002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75"/>
        <v>313</v>
      </c>
      <c r="AE204" s="77" t="str">
        <f t="shared" si="76"/>
        <v>aws s3 cp s3://rtdc.mdm.uploadarchive.raw/RTDC4054/ "%USERPROFILE%\AppData\Local\Temp\OnboardLogs"\RTDC4054\2017-08-06 --exclude "*" --recursive --include "*20170806*" &amp; "%USERPROFILE%\Documents\GitHub\mrs-test-scripts\Headless Mode &amp; Sideloading\WalkAndUnGZ.bat" "%USERPROFILE%\AppData\Local\Temp\OnboardLogs"\RTDC4054\2017-08-06 &amp; aws s3 cp s3://rtdc.mdm.uploadarchive.raw/RTDC4054/ "%USERPROFILE%\AppData\Local\Temp\OnboardLogs"\RTDC4054\2017-08-07 --exclude "*" --recursive --include "*20170807*" &amp; "%USERPROFILE%\Documents\GitHub\mrs-test-scripts\Headless Mode &amp; Sideloading\WalkAndUnGZ.bat" "%USERPROFILE%\AppData\Local\Temp\OnboardLogs"\RTDC4054\2017-08-07</v>
      </c>
      <c r="AF204" s="74" t="str">
        <f t="shared" si="77"/>
        <v>"C:\Program Files (x86)\AstroGrep\AstroGrep.exe" /e /r /s /spath="%USERPROFILE%\AppData\Local\Temp\OnboardLogs" /stypes="app*4054*20170806*" /stext=" 08:.+((SYSTEM_STATE.+slice.+state.+changed )|(ment ac)|(multiple cpu faults)|(system.+state.+changed )|(\[timeout)|(PRM\|1\|D)|(kpr)|(kdp)|(train st.+moving)|(\|lc)|(penalty))"</v>
      </c>
      <c r="AG204" s="209" t="str">
        <f t="shared" si="78"/>
        <v>Other</v>
      </c>
      <c r="AH204" s="78" t="str">
        <f t="shared" si="79"/>
        <v>"%USERPROFILE%\Documents\GitHub\eaglep3\Utilities\RefineRTDCRunTimes.py" --tripid 313-05 --locoid 4054 --swversion DE.1.0.9.0 --startMP 204:504 --initTime 2017-08-06T02:38:47 --startdatetime 2017-08-06T02:40:37 --delay 0 --endMP 300:23346 --enddatetime 2017-08-06T02:51:58 --enforcementcount 0 &gt;&gt;C:\Users\stu\Documents\GitHub\eaglep3-reporting\EC\2017-08-06-refined-times.txt</v>
      </c>
      <c r="AI204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{"issue":{"subject":"","project_id":79,"tracker_id":40,"status_id":1,"priority_id":2,"assigned_to_id":23,"start_date":"2017-08-06","description":"","custom_fields":[{"id":1,"name":"Subdivision","value":"Other"},{"id":4,"name":"Milepost","value":"2.3346"},{"id":17,"name":"Train ID","value":"313-05"},{"id":16,"name":"Locomotive ID","value":"4054"},{"id":130,"name":"Impact","value":""},{"id":150,"name":"Time of Event (Mountain Time)","value":"02:51:58"},{"id":151,"name":"Denver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1"/>
        <v>start /low /b %USERPROFILE%\Documents\GitHub\eaglep3\Utilities\DownloadLogsFromS3.py --loco 4054 --day 2017-08-06</v>
      </c>
      <c r="AN204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08:51:58"},{"id":29,"name":"Sharepoint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693</v>
      </c>
      <c r="B205" s="7">
        <v>4022</v>
      </c>
      <c r="C205" s="21" t="s">
        <v>198</v>
      </c>
      <c r="D205" s="21" t="s">
        <v>962</v>
      </c>
      <c r="E205" s="13">
        <v>42953.219861111109</v>
      </c>
      <c r="F205" s="13">
        <v>42953.224756944444</v>
      </c>
      <c r="G205" s="7">
        <v>6</v>
      </c>
      <c r="H205" s="21" t="s">
        <v>927</v>
      </c>
      <c r="I205" s="13">
        <v>42953.230717592596</v>
      </c>
      <c r="J205" s="7">
        <v>0</v>
      </c>
      <c r="K205" s="89" t="str">
        <f t="shared" ref="K205:K215" si="100">IF(ISEVEN(B205),(B205-1)&amp;"/"&amp;B205,B205&amp;"/"&amp;(B205+1))</f>
        <v>4021/4022</v>
      </c>
      <c r="L205" s="21" t="str">
        <f>VLOOKUP(A205,'Trips&amp;Operators'!$C$1:$G$99999,5,FALSE)</f>
        <v>DAVIDSON DAVID</v>
      </c>
      <c r="M205" s="6">
        <f t="shared" ref="M205:M215" si="101">I205-F205</f>
        <v>5.9606481518130749E-3</v>
      </c>
      <c r="N205" s="7">
        <f t="shared" si="97"/>
        <v>8.5833333386108279</v>
      </c>
      <c r="O205" s="7"/>
      <c r="P205" s="7"/>
      <c r="Q205" s="22"/>
      <c r="R205" s="170"/>
      <c r="S205" s="213">
        <f t="shared" si="95"/>
        <v>0</v>
      </c>
      <c r="T205" s="195" t="str">
        <f t="shared" ref="T205:T215" si="102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6" t="str">
        <f t="shared" ref="V205:V215" si="10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-06T04:16:36-0600',mode:absolute,to:'2017-08-06T06:32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197" t="str">
        <f>IF(AA205&lt;VLOOKUP(AG205,Variables!$AC$3:$AD$8,2,FALSE),"Y","N")</f>
        <v>Y</v>
      </c>
      <c r="X205" s="197">
        <f t="shared" si="98"/>
        <v>1588</v>
      </c>
      <c r="Y205" s="197">
        <f t="shared" si="99"/>
        <v>3.0169000000000001</v>
      </c>
      <c r="Z205" s="197">
        <f t="shared" si="96"/>
        <v>5.8954000000000004</v>
      </c>
      <c r="AA205" s="197">
        <f t="shared" ref="AA205:AA215" si="104">ABS(Z205-Y205)</f>
        <v>2.8785000000000003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15" si="105">VALUE(LEFT(A205,LEN(A205)-3))</f>
        <v>1901</v>
      </c>
      <c r="AE205" s="77" t="str">
        <f t="shared" ref="AE205:AE215" si="10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205" s="74" t="str">
        <f t="shared" ref="AF205:AF215" si="10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/stypes="app*4022*20170806*" /stext=" 11:.+((SYSTEM_STATE.+slice.+state.+changed )|(ment ac)|(multiple cpu faults)|(system.+state.+changed )|(\[timeout)|(PRM\|1\|D)|(kpr)|(kdp)|(train st.+moving)|(\|lc)|(penalty))"</v>
      </c>
      <c r="AG205" s="209" t="str">
        <f t="shared" ref="AG205:AG215" si="108">DetSubdiv(A205)</f>
        <v>Other</v>
      </c>
      <c r="AH205" s="78" t="str">
        <f t="shared" si="79"/>
        <v>"%USERPROFILE%\Documents\GitHub\eaglep3\Utilities\RefineRTDCRunTimes.py" --tripid 1901-06 --locoid 4022 --swversion DE.1.0.9.0 --startMP 300:30169 --initTime 2017-08-06T05:16:36 --startdatetime 2017-08-06T05:23:39 --delay 6 --endMP 300:58954 --enddatetime 2017-08-06T05:32:14 --enforcementcount 0 &gt;&gt;C:\Users\stu\Documents\GitHub\eaglep3-reporting\EC\2017-08-06-refined-times.txt</v>
      </c>
      <c r="AI205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{"issue":{"subject":"","project_id":79,"tracker_id":40,"status_id":1,"priority_id":2,"assigned_to_id":23,"start_date":"2017-08-06","description":"","custom_fields":[{"id":1,"name":"Subdivision","value":"Other"},{"id":4,"name":"Milepost","value":"5.8954"},{"id":17,"name":"Train ID","value":"1901-06"},{"id":16,"name":"Locomotive ID","value":"4022"},{"id":130,"name":"Impact","value":""},{"id":150,"name":"Time of Event (Mountain Time)","value":"05:32:14"},{"id":151,"name":"Denver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81"/>
        <v>start /low /b %USERPROFILE%\Documents\GitHub\eaglep3\Utilities\DownloadLogsFromS3.py --loco 4022 --day 2017-08-06</v>
      </c>
      <c r="AN205" s="151" t="str">
        <f t="shared" si="8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11:32:14"},{"id":29,"name":"Sharepoint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664</v>
      </c>
      <c r="B206" s="7">
        <v>4039</v>
      </c>
      <c r="C206" s="21" t="s">
        <v>198</v>
      </c>
      <c r="D206" s="21" t="s">
        <v>963</v>
      </c>
      <c r="E206" s="13">
        <v>42953.942395833335</v>
      </c>
      <c r="F206" s="13">
        <v>42953.95113425926</v>
      </c>
      <c r="G206" s="7">
        <v>1</v>
      </c>
      <c r="H206" s="21" t="s">
        <v>964</v>
      </c>
      <c r="I206" s="13">
        <v>42953.951273148145</v>
      </c>
      <c r="J206" s="7">
        <v>0</v>
      </c>
      <c r="K206" s="89" t="str">
        <f t="shared" si="100"/>
        <v>4039/4040</v>
      </c>
      <c r="L206" s="21" t="str">
        <f>VLOOKUP(A206,'Trips&amp;Operators'!$C$1:$G$99999,5,FALSE)</f>
        <v>HOLCOMB KAMDEN</v>
      </c>
      <c r="M206" s="6">
        <f t="shared" si="101"/>
        <v>1.3888888497604057E-4</v>
      </c>
      <c r="N206" s="7">
        <f t="shared" si="97"/>
        <v>0.19999999436549842</v>
      </c>
      <c r="O206" s="7"/>
      <c r="P206" s="7"/>
      <c r="Q206" s="22"/>
      <c r="R206" s="170"/>
      <c r="S206" s="213">
        <f t="shared" si="95"/>
        <v>0</v>
      </c>
      <c r="T206" s="195" t="str">
        <f t="shared" si="102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 t="shared" si="103"/>
        <v>https://d0f6bd738d7f1b3e5a7ca70fe4ff75f0.us-east-1.aws.found.io/app/kibana#/discover/Steve-Slow-Train-Analysis-(2080s-and-2083s)?_g=(refreshInterval:(display:Off,pause:!f,section:0,value:0),time:(from:'2017-08-06T21:37:03-0600',mode:absolute,to:'2017-08-06T23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6" s="197" t="str">
        <f>IF(AA206&lt;VLOOKUP(AG206,Variables!$AC$3:$AD$8,2,FALSE),"Y","N")</f>
        <v>Y</v>
      </c>
      <c r="X206" s="197">
        <f t="shared" si="98"/>
        <v>1</v>
      </c>
      <c r="Y206" s="197">
        <f t="shared" si="99"/>
        <v>5.867</v>
      </c>
      <c r="Z206" s="197">
        <f t="shared" si="96"/>
        <v>2.1349999999999998</v>
      </c>
      <c r="AA206" s="197">
        <f t="shared" si="104"/>
        <v>3.7320000000000002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105"/>
        <v>1902</v>
      </c>
      <c r="AE206" s="77" t="str">
        <f t="shared" si="10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206" s="74" t="str">
        <f t="shared" si="107"/>
        <v>"C:\Program Files (x86)\AstroGrep\AstroGrep.exe" /e /r /s /spath="%USERPROFILE%\AppData\Local\Temp\OnboardLogs" /stypes="app*4039*20170807*" /stext=" 04:.+((SYSTEM_STATE.+slice.+state.+changed )|(ment ac)|(multiple cpu faults)|(system.+state.+changed )|(\[timeout)|(PRM\|1\|D)|(kpr)|(kdp)|(train st.+moving)|(\|lc)|(penalty))"</v>
      </c>
      <c r="AG206" s="209" t="str">
        <f t="shared" si="108"/>
        <v>Other</v>
      </c>
      <c r="AH206" s="78" t="str">
        <f t="shared" si="79"/>
        <v>"%USERPROFILE%\Documents\GitHub\eaglep3\Utilities\RefineRTDCRunTimes.py" --tripid 1902-06 --locoid 4039 --swversion DE.1.0.9.0 --startMP 300:58670 --initTime 2017-08-06T22:37:03 --startdatetime 2017-08-06T22:49:38 --delay 1 --endMP 300:21350 --enddatetime 2017-08-06T22:49:50 --enforcementcount 0 &gt;&gt;C:\Users\stu\Documents\GitHub\eaglep3-reporting\EC\2017-08-06-refined-times.txt</v>
      </c>
      <c r="AI206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{"issue":{"subject":"","project_id":79,"tracker_id":40,"status_id":1,"priority_id":2,"assigned_to_id":23,"start_date":"2017-08-06","description":"","custom_fields":[{"id":1,"name":"Subdivision","value":"Other"},{"id":4,"name":"Milepost","value":"2.135"},{"id":17,"name":"Train ID","value":"1902-06"},{"id":16,"name":"Locomotive ID","value":"4039"},{"id":130,"name":"Impact","value":""},{"id":150,"name":"Time of Event (Mountain Time)","value":"22:49:50"},{"id":151,"name":"Denver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1"/>
        <v>start /low /b %USERPROFILE%\Documents\GitHub\eaglep3\Utilities\DownloadLogsFromS3.py --loco 4039 --day 2017-08-06</v>
      </c>
      <c r="AN206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664</v>
      </c>
      <c r="B207" s="7">
        <v>4040</v>
      </c>
      <c r="C207" s="21" t="s">
        <v>198</v>
      </c>
      <c r="D207" s="21" t="s">
        <v>965</v>
      </c>
      <c r="E207" s="13">
        <v>42953.949328703704</v>
      </c>
      <c r="F207" s="13">
        <v>42953.95113425926</v>
      </c>
      <c r="G207" s="7">
        <v>2</v>
      </c>
      <c r="H207" s="21" t="s">
        <v>966</v>
      </c>
      <c r="I207" s="13">
        <v>42953.951273148145</v>
      </c>
      <c r="J207" s="7">
        <v>0</v>
      </c>
      <c r="K207" s="89" t="str">
        <f t="shared" si="100"/>
        <v>4039/4040</v>
      </c>
      <c r="L207" s="21" t="str">
        <f>VLOOKUP(A207,'Trips&amp;Operators'!$C$1:$G$99999,5,FALSE)</f>
        <v>HOLCOMB KAMDEN</v>
      </c>
      <c r="M207" s="6">
        <f t="shared" si="101"/>
        <v>1.3888888497604057E-4</v>
      </c>
      <c r="N207" s="7">
        <f t="shared" si="97"/>
        <v>0.19999999436549842</v>
      </c>
      <c r="O207" s="7"/>
      <c r="P207" s="7"/>
      <c r="Q207" s="22"/>
      <c r="R207" s="170"/>
      <c r="S207" s="213">
        <f t="shared" si="95"/>
        <v>0</v>
      </c>
      <c r="T207" s="195" t="str">
        <f t="shared" si="102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6" t="str">
        <f t="shared" si="103"/>
        <v>https://d0f6bd738d7f1b3e5a7ca70fe4ff75f0.us-east-1.aws.found.io/app/kibana#/discover/Steve-Slow-Train-Analysis-(2080s-and-2083s)?_g=(refreshInterval:(display:Off,pause:!f,section:0,value:0),time:(from:'2017-08-06T21:47:02-0600',mode:absolute,to:'2017-08-06T23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97" t="str">
        <f>IF(AA207&lt;VLOOKUP(AG207,Variables!$AC$3:$AD$8,2,FALSE),"Y","N")</f>
        <v>Y</v>
      </c>
      <c r="X207" s="197">
        <f t="shared" si="98"/>
        <v>0</v>
      </c>
      <c r="Y207" s="197">
        <f t="shared" si="99"/>
        <v>2.1913999999999998</v>
      </c>
      <c r="Z207" s="197">
        <f t="shared" si="96"/>
        <v>2.2033999999999998</v>
      </c>
      <c r="AA207" s="197">
        <f t="shared" si="104"/>
        <v>1.2000000000000011E-2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105"/>
        <v>1902</v>
      </c>
      <c r="AE207" s="77" t="str">
        <f t="shared" si="10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207" s="74" t="str">
        <f t="shared" si="107"/>
        <v>"C:\Program Files (x86)\AstroGrep\AstroGrep.exe" /e /r /s /spath="%USERPROFILE%\AppData\Local\Temp\OnboardLogs" /stypes="app*4040*20170807*" /stext=" 04:.+((SYSTEM_STATE.+slice.+state.+changed )|(ment ac)|(multiple cpu faults)|(system.+state.+changed )|(\[timeout)|(PRM\|1\|D)|(kpr)|(kdp)|(train st.+moving)|(\|lc)|(penalty))"</v>
      </c>
      <c r="AG207" s="209" t="str">
        <f t="shared" si="108"/>
        <v>Other</v>
      </c>
      <c r="AH207" s="78" t="str">
        <f t="shared" si="79"/>
        <v>"%USERPROFILE%\Documents\GitHub\eaglep3\Utilities\RefineRTDCRunTimes.py" --tripid 1902-06 --locoid 4040 --swversion DE.1.0.9.0 --startMP 300:21914 --initTime 2017-08-06T22:47:02 --startdatetime 2017-08-06T22:49:38 --delay 2 --endMP 300:22034 --enddatetime 2017-08-06T22:49:50 --enforcementcount 0 &gt;&gt;C:\Users\stu\Documents\GitHub\eaglep3-reporting\EC\2017-08-06-refined-times.txt</v>
      </c>
      <c r="AI207" s="96" t="str">
        <f t="shared" si="80"/>
        <v>echo {"issue":{"subject":"","project_id":79,"tracker_id":40,"status_id":1,"priority_id":2,"assigned_to_id":23,"start_date":"2017-08-06","description":"","custom_fields":[{"id":1,"name":"Subdivision","value":"Other"},{"id":4,"name":"Milepost","value":"2.2034"},{"id":17,"name":"Train ID","value":"1902-06"},{"id":16,"name":"Locomotive ID","value":"4040"},{"id":130,"name":"Impact","value":""},{"id":150,"name":"Time of Event (Mountain Time)","value":"22:49:50"},{"id":151,"name":"Denver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1"/>
        <v>start /low /b %USERPROFILE%\Documents\GitHub\eaglep3\Utilities\DownloadLogsFromS3.py --loco 4040 --day 2017-08-06</v>
      </c>
      <c r="AN207" s="151" t="str">
        <f t="shared" si="8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04:49:50"},{"id":29,"name":"Sharepoint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672</v>
      </c>
      <c r="B208" s="7">
        <v>4040</v>
      </c>
      <c r="C208" s="21" t="s">
        <v>198</v>
      </c>
      <c r="D208" s="21" t="s">
        <v>627</v>
      </c>
      <c r="E208" s="13">
        <v>42953.135034722225</v>
      </c>
      <c r="F208" s="13">
        <v>42953.137106481481</v>
      </c>
      <c r="G208" s="7">
        <v>1</v>
      </c>
      <c r="H208" s="21" t="s">
        <v>1003</v>
      </c>
      <c r="I208" s="13">
        <v>42953.138402777775</v>
      </c>
      <c r="J208" s="7">
        <v>0</v>
      </c>
      <c r="K208" s="89" t="str">
        <f t="shared" si="100"/>
        <v>4039/4040</v>
      </c>
      <c r="L208" s="21" t="str">
        <f>VLOOKUP(A208,'Trips&amp;Operators'!$C$1:$G$99999,5,FALSE)</f>
        <v>CHANDLER KELVIN</v>
      </c>
      <c r="M208" s="6">
        <f t="shared" si="101"/>
        <v>1.2962962937308475E-3</v>
      </c>
      <c r="N208" s="7">
        <f t="shared" si="97"/>
        <v>1.8666666629724205</v>
      </c>
      <c r="O208" s="7"/>
      <c r="P208" s="7"/>
      <c r="Q208" s="22"/>
      <c r="R208" s="170"/>
      <c r="S208" s="213">
        <f t="shared" si="95"/>
        <v>0</v>
      </c>
      <c r="T208" s="195" t="str">
        <f t="shared" si="102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6" t="str">
        <f t="shared" si="103"/>
        <v>https://d0f6bd738d7f1b3e5a7ca70fe4ff75f0.us-east-1.aws.found.io/app/kibana#/discover/Steve-Slow-Train-Analysis-(2080s-and-2083s)?_g=(refreshInterval:(display:Off,pause:!f,section:0,value:0),time:(from:'2017-08-06T02:14:27-0600',mode:absolute,to:'2017-08-06T04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97" t="str">
        <f>IF(AA208&lt;VLOOKUP(AG208,Variables!$AC$3:$AD$8,2,FALSE),"Y","N")</f>
        <v>Y</v>
      </c>
      <c r="X208" s="197">
        <f t="shared" si="98"/>
        <v>-1851</v>
      </c>
      <c r="Y208" s="197">
        <f t="shared" si="99"/>
        <v>4.2700000000000002E-2</v>
      </c>
      <c r="Z208" s="197">
        <f t="shared" si="96"/>
        <v>0.34989999999999999</v>
      </c>
      <c r="AA208" s="197">
        <f t="shared" si="104"/>
        <v>0.30719999999999997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105"/>
        <v>51</v>
      </c>
      <c r="AE208" s="77" t="str">
        <f t="shared" si="10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208" s="74" t="str">
        <f t="shared" si="107"/>
        <v>"C:\Program Files (x86)\AstroGrep\AstroGrep.exe" /e /r /s /spath="%USERPROFILE%\AppData\Local\Temp\OnboardLogs" /stypes="app*4040*20170806*" /stext=" 09:.+((SYSTEM_STATE.+slice.+state.+changed )|(ment ac)|(multiple cpu faults)|(system.+state.+changed )|(\[timeout)|(PRM\|1\|D)|(kpr)|(kdp)|(train st.+moving)|(\|lc)|(penalty))"</v>
      </c>
      <c r="AG208" s="209" t="str">
        <f t="shared" si="108"/>
        <v>Shuttle/Test</v>
      </c>
      <c r="AH208" s="78" t="str">
        <f t="shared" ref="AH208:AH215" si="109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51-06 --locoid 4040 --swversion DE.1.0.9.0 --startMP 204:427 --initTime 2017-08-06T03:14:27 --startdatetime 2017-08-06T03:17:26 --delay 1 --endMP 204:3499 --enddatetime 2017-08-06T03:19:18 --enforcementcount 0 &gt;&gt;C:\Users\stu\Documents\GitHub\eaglep3-reporting\EC\2017-08-06-refined-times.txt</v>
      </c>
      <c r="AI208" s="96" t="str">
        <f t="shared" ref="AI208:AI215" si="110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-06","description":"","custom_fields":[{"id":1,"name":"Subdivision","value":"Shuttle/Test"},{"id":4,"name":"Milepost","value":"0.3499"},{"id":17,"name":"Train ID","value":"51-06"},{"id":16,"name":"Locomotive ID","value":"4040"},{"id":130,"name":"Impact","value":""},{"id":150,"name":"Time of Event (Mountain Time)","value":"03:19:18"},{"id":151,"name":"Denver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15" si="111">"start /low /b "&amp;dls3logs&amp;" --loco "&amp;B208&amp;" --day "&amp;TEXT(F208,"YYYY-MM-DD")</f>
        <v>start /low /b %USERPROFILE%\Documents\GitHub\eaglep3\Utilities\DownloadLogsFromS3.py --loco 4040 --day 2017-08-06</v>
      </c>
      <c r="AN208" s="151" t="str">
        <f t="shared" ref="AN208:AN215" si="112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09:19:18"},{"id":29,"name":"Sharepoint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675</v>
      </c>
      <c r="B209" s="7">
        <v>4039</v>
      </c>
      <c r="C209" s="21" t="s">
        <v>198</v>
      </c>
      <c r="D209" s="21" t="s">
        <v>1004</v>
      </c>
      <c r="E209" s="13">
        <v>42953.139363425929</v>
      </c>
      <c r="F209" s="13">
        <v>42953.140729166669</v>
      </c>
      <c r="G209" s="7">
        <v>1</v>
      </c>
      <c r="H209" s="21" t="s">
        <v>1005</v>
      </c>
      <c r="I209" s="13">
        <v>42953.141828703701</v>
      </c>
      <c r="J209" s="7">
        <v>0</v>
      </c>
      <c r="K209" s="89" t="str">
        <f t="shared" si="100"/>
        <v>4039/4040</v>
      </c>
      <c r="L209" s="21" t="str">
        <f>VLOOKUP(A209,'Trips&amp;Operators'!$C$1:$G$99999,5,FALSE)</f>
        <v>CHANDLER KELVIN</v>
      </c>
      <c r="M209" s="6">
        <f t="shared" si="101"/>
        <v>1.0995370321325026E-3</v>
      </c>
      <c r="N209" s="7">
        <f t="shared" si="97"/>
        <v>1.5833333262708038</v>
      </c>
      <c r="O209" s="7"/>
      <c r="P209" s="7"/>
      <c r="Q209" s="22"/>
      <c r="R209" s="170"/>
      <c r="S209" s="213">
        <f t="shared" si="95"/>
        <v>0</v>
      </c>
      <c r="T209" s="195" t="str">
        <f t="shared" si="10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103"/>
        <v>https://d0f6bd738d7f1b3e5a7ca70fe4ff75f0.us-east-1.aws.found.io/app/kibana#/discover/Steve-Slow-Train-Analysis-(2080s-and-2083s)?_g=(refreshInterval:(display:Off,pause:!f,section:0,value:0),time:(from:'2017-08-06T02:20:41-0600',mode:absolute,to:'2017-08-06T04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97" t="str">
        <f>IF(AA209&lt;VLOOKUP(AG209,Variables!$AC$3:$AD$8,2,FALSE),"Y","N")</f>
        <v>Y</v>
      </c>
      <c r="X209" s="197">
        <f t="shared" si="98"/>
        <v>1</v>
      </c>
      <c r="Y209" s="197">
        <f t="shared" si="99"/>
        <v>0.31569999999999998</v>
      </c>
      <c r="Z209" s="197">
        <f t="shared" si="96"/>
        <v>0.1158</v>
      </c>
      <c r="AA209" s="197">
        <f t="shared" si="104"/>
        <v>0.19989999999999997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105"/>
        <v>52</v>
      </c>
      <c r="AE209" s="77" t="str">
        <f t="shared" si="10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209" s="74" t="str">
        <f t="shared" si="107"/>
        <v>"C:\Program Files (x86)\AstroGrep\AstroGrep.exe" /e /r /s /spath="%USERPROFILE%\AppData\Local\Temp\OnboardLogs" /stypes="app*4039*20170806*" /stext=" 09:.+((SYSTEM_STATE.+slice.+state.+changed )|(ment ac)|(multiple cpu faults)|(system.+state.+changed )|(\[timeout)|(PRM\|1\|D)|(kpr)|(kdp)|(train st.+moving)|(\|lc)|(penalty))"</v>
      </c>
      <c r="AG209" s="209" t="str">
        <f t="shared" si="108"/>
        <v>Shuttle/Test</v>
      </c>
      <c r="AH209" s="78" t="str">
        <f t="shared" si="109"/>
        <v>"%USERPROFILE%\Documents\GitHub\eaglep3\Utilities\RefineRTDCRunTimes.py" --tripid 52-06 --locoid 4039 --swversion DE.1.0.9.0 --startMP 204:3157 --initTime 2017-08-06T03:20:41 --startdatetime 2017-08-06T03:22:39 --delay 1 --endMP 204:1158 --enddatetime 2017-08-06T03:24:14 --enforcementcount 0 &gt;&gt;C:\Users\stu\Documents\GitHub\eaglep3-reporting\EC\2017-08-06-refined-times.txt</v>
      </c>
      <c r="AI209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0.1158"},{"id":17,"name":"Train ID","value":"52-06"},{"id":16,"name":"Locomotive ID","value":"4039"},{"id":130,"name":"Impact","value":""},{"id":150,"name":"Time of Event (Mountain Time)","value":"03:24:14"},{"id":151,"name":"Denver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11"/>
        <v>start /low /b %USERPROFILE%\Documents\GitHub\eaglep3\Utilities\DownloadLogsFromS3.py --loco 4039 --day 2017-08-06</v>
      </c>
      <c r="AN209" s="151" t="str">
        <f t="shared" si="11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09:24:14"},{"id":29,"name":"Sharepoint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824</v>
      </c>
      <c r="B210" s="7">
        <v>4019</v>
      </c>
      <c r="C210" s="21" t="s">
        <v>198</v>
      </c>
      <c r="D210" s="21" t="s">
        <v>1006</v>
      </c>
      <c r="E210" s="13">
        <v>42953.74181712963</v>
      </c>
      <c r="F210" s="13">
        <v>42953.745682870373</v>
      </c>
      <c r="G210" s="7">
        <v>6</v>
      </c>
      <c r="H210" s="21" t="s">
        <v>1007</v>
      </c>
      <c r="I210" s="13">
        <v>42953.750821759262</v>
      </c>
      <c r="J210" s="7">
        <v>0</v>
      </c>
      <c r="K210" s="89" t="str">
        <f t="shared" si="100"/>
        <v>4019/4020</v>
      </c>
      <c r="L210" s="21" t="str">
        <f>VLOOKUP(A210,'Trips&amp;Operators'!$C$1:$G$99999,5,FALSE)</f>
        <v>HUFFSMITH MONTY</v>
      </c>
      <c r="M210" s="6">
        <f t="shared" si="101"/>
        <v>5.1388888896326534E-3</v>
      </c>
      <c r="N210" s="7">
        <f t="shared" si="97"/>
        <v>7.400000001071021</v>
      </c>
      <c r="O210" s="7"/>
      <c r="P210" s="7"/>
      <c r="Q210" s="22"/>
      <c r="R210" s="170"/>
      <c r="S210" s="213">
        <f t="shared" si="95"/>
        <v>1</v>
      </c>
      <c r="T210" s="195" t="str">
        <f t="shared" si="102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03"/>
        <v>https://d0f6bd738d7f1b3e5a7ca70fe4ff75f0.us-east-1.aws.found.io/app/kibana#/discover/Steve-Slow-Train-Analysis-(2080s-and-2083s)?_g=(refreshInterval:(display:Off,pause:!f,section:0,value:0),time:(from:'2017-08-06T16:48:13-0600',mode:absolute,to:'2017-08-06T19:01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97" t="str">
        <f>IF(AA210&lt;VLOOKUP(AG210,Variables!$AC$3:$AD$8,2,FALSE),"Y","N")</f>
        <v>Y</v>
      </c>
      <c r="X210" s="197">
        <f t="shared" si="98"/>
        <v>18</v>
      </c>
      <c r="Y210" s="197">
        <f t="shared" si="99"/>
        <v>2.1875</v>
      </c>
      <c r="Z210" s="197">
        <f t="shared" si="96"/>
        <v>0.18540000000000001</v>
      </c>
      <c r="AA210" s="197">
        <f t="shared" si="104"/>
        <v>2.0021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105"/>
        <v>70</v>
      </c>
      <c r="AE210" s="77" t="str">
        <f t="shared" si="106"/>
        <v>aws s3 cp s3://rtdc.mdm.uploadarchive.raw/RTDC4019/ "%USERPROFILE%\AppData\Local\Temp\OnboardLogs"\RTDC4019\2017-08-06 --exclude "*" --recursive --include "*20170806*" &amp; "%USERPROFILE%\Documents\GitHub\mrs-test-scripts\Headless Mode &amp; Sideloading\WalkAndUnGZ.bat" "%USERPROFILE%\AppData\Local\Temp\OnboardLogs"\RTDC4019\2017-08-06 &amp; 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</v>
      </c>
      <c r="AF210" s="74" t="str">
        <f t="shared" si="107"/>
        <v>"C:\Program Files (x86)\AstroGrep\AstroGrep.exe" /e /r /s /spath="%USERPROFILE%\AppData\Local\Temp\OnboardLogs" /stypes="app*4019*20170807*" /stext=" 00:.+((SYSTEM_STATE.+slice.+state.+changed )|(ment ac)|(multiple cpu faults)|(system.+state.+changed )|(\[timeout)|(PRM\|1\|D)|(kpr)|(kdp)|(train st.+moving)|(\|lc)|(penalty))"</v>
      </c>
      <c r="AG210" s="209" t="str">
        <f t="shared" si="108"/>
        <v>Shuttle/Test</v>
      </c>
      <c r="AH210" s="78" t="str">
        <f t="shared" si="109"/>
        <v>"%USERPROFILE%\Documents\GitHub\eaglep3\Utilities\RefineRTDCRunTimes.py" --tripid 70-06 --locoid 4019 --swversion DE.1.0.9.0 --startMP 300:21875 --initTime 2017-08-06T17:48:13 --startdatetime 2017-08-06T17:53:47 --delay 6 --endMP 204:1854 --enddatetime 2017-08-06T18:01:11 --enforcementcount 0 &gt;&gt;C:\Users\stu\Documents\GitHub\eaglep3-reporting\EC\2017-08-06-refined-times.txt</v>
      </c>
      <c r="AI210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0.1854"},{"id":17,"name":"Train ID","value":"70-06"},{"id":16,"name":"Locomotive ID","value":"4019"},{"id":130,"name":"Impact","value":""},{"id":150,"name":"Time of Event (Mountain Time)","value":"18:01:11"},{"id":151,"name":"Denver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11"/>
        <v>start /low /b %USERPROFILE%\Documents\GitHub\eaglep3\Utilities\DownloadLogsFromS3.py --loco 4019 --day 2017-08-06</v>
      </c>
      <c r="AN210" s="151" t="str">
        <f t="shared" si="11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00:01:11"},{"id":29,"name":"Sharepoint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824</v>
      </c>
      <c r="B211" s="7">
        <v>4019</v>
      </c>
      <c r="C211" s="21" t="s">
        <v>198</v>
      </c>
      <c r="D211" s="21" t="s">
        <v>1008</v>
      </c>
      <c r="E211" s="13">
        <v>42953.74181712963</v>
      </c>
      <c r="F211" s="13">
        <v>42953.745682870373</v>
      </c>
      <c r="G211" s="7">
        <v>5</v>
      </c>
      <c r="H211" s="21" t="s">
        <v>1007</v>
      </c>
      <c r="I211" s="13">
        <v>42953.750821759262</v>
      </c>
      <c r="J211" s="7">
        <v>0</v>
      </c>
      <c r="K211" s="89" t="str">
        <f t="shared" si="100"/>
        <v>4019/4020</v>
      </c>
      <c r="L211" s="21" t="str">
        <f>VLOOKUP(A211,'Trips&amp;Operators'!$C$1:$G$99999,5,FALSE)</f>
        <v>HUFFSMITH MONTY</v>
      </c>
      <c r="M211" s="6">
        <f t="shared" si="101"/>
        <v>5.1388888896326534E-3</v>
      </c>
      <c r="N211" s="7">
        <f t="shared" si="97"/>
        <v>7.400000001071021</v>
      </c>
      <c r="O211" s="7"/>
      <c r="P211" s="7"/>
      <c r="Q211" s="22"/>
      <c r="R211" s="170"/>
      <c r="S211" s="213">
        <f t="shared" si="95"/>
        <v>1</v>
      </c>
      <c r="T211" s="195" t="str">
        <f t="shared" si="102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03"/>
        <v>https://d0f6bd738d7f1b3e5a7ca70fe4ff75f0.us-east-1.aws.found.io/app/kibana#/discover/Steve-Slow-Train-Analysis-(2080s-and-2083s)?_g=(refreshInterval:(display:Off,pause:!f,section:0,value:0),time:(from:'2017-08-06T16:48:13-0600',mode:absolute,to:'2017-08-06T19:01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1" s="197" t="str">
        <f>IF(AA211&lt;VLOOKUP(AG211,Variables!$AC$3:$AD$8,2,FALSE),"Y","N")</f>
        <v>Y</v>
      </c>
      <c r="X211" s="197">
        <f t="shared" si="98"/>
        <v>0</v>
      </c>
      <c r="Y211" s="197">
        <f t="shared" si="99"/>
        <v>2.3220000000000001</v>
      </c>
      <c r="Z211" s="197">
        <f t="shared" si="96"/>
        <v>0.18540000000000001</v>
      </c>
      <c r="AA211" s="197">
        <f t="shared" si="104"/>
        <v>2.1366000000000001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105"/>
        <v>70</v>
      </c>
      <c r="AE211" s="77" t="str">
        <f t="shared" si="106"/>
        <v>aws s3 cp s3://rtdc.mdm.uploadarchive.raw/RTDC4019/ "%USERPROFILE%\AppData\Local\Temp\OnboardLogs"\RTDC4019\2017-08-06 --exclude "*" --recursive --include "*20170806*" &amp; "%USERPROFILE%\Documents\GitHub\mrs-test-scripts\Headless Mode &amp; Sideloading\WalkAndUnGZ.bat" "%USERPROFILE%\AppData\Local\Temp\OnboardLogs"\RTDC4019\2017-08-06 &amp; aws s3 cp s3://rtdc.mdm.uploadarchive.raw/RTDC4019/ "%USERPROFILE%\AppData\Local\Temp\OnboardLogs"\RTDC4019\2017-08-07 --exclude "*" --recursive --include "*20170807*" &amp; "%USERPROFILE%\Documents\GitHub\mrs-test-scripts\Headless Mode &amp; Sideloading\WalkAndUnGZ.bat" "%USERPROFILE%\AppData\Local\Temp\OnboardLogs"\RTDC4019\2017-08-07</v>
      </c>
      <c r="AF211" s="74" t="str">
        <f t="shared" si="107"/>
        <v>"C:\Program Files (x86)\AstroGrep\AstroGrep.exe" /e /r /s /spath="%USERPROFILE%\AppData\Local\Temp\OnboardLogs" /stypes="app*4019*20170807*" /stext=" 00:.+((SYSTEM_STATE.+slice.+state.+changed )|(ment ac)|(multiple cpu faults)|(system.+state.+changed )|(\[timeout)|(PRM\|1\|D)|(kpr)|(kdp)|(train st.+moving)|(\|lc)|(penalty))"</v>
      </c>
      <c r="AG211" s="209" t="str">
        <f t="shared" si="108"/>
        <v>Shuttle/Test</v>
      </c>
      <c r="AH211" s="78" t="str">
        <f t="shared" si="109"/>
        <v>"%USERPROFILE%\Documents\GitHub\eaglep3\Utilities\RefineRTDCRunTimes.py" --tripid 70-06 --locoid 4019 --swversion DE.1.0.9.0 --startMP 300:23220 --initTime 2017-08-06T17:48:13 --startdatetime 2017-08-06T17:53:47 --delay 5 --endMP 204:1854 --enddatetime 2017-08-06T18:01:11 --enforcementcount 0 &gt;&gt;C:\Users\stu\Documents\GitHub\eaglep3-reporting\EC\2017-08-06-refined-times.txt</v>
      </c>
      <c r="AI211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0.1854"},{"id":17,"name":"Train ID","value":"70-06"},{"id":16,"name":"Locomotive ID","value":"4019"},{"id":130,"name":"Impact","value":""},{"id":150,"name":"Time of Event (Mountain Time)","value":"18:01:11"},{"id":151,"name":"Denver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1"/>
        <v>start /low /b %USERPROFILE%\Documents\GitHub\eaglep3\Utilities\DownloadLogsFromS3.py --loco 4019 --day 2017-08-06</v>
      </c>
      <c r="AN211" s="151" t="str">
        <f t="shared" si="112"/>
        <v>echo {"issue":{"subject":"","project_id":30,"tracker_id":4,"status_id":1,"priority_id":1,"assigned_to_id":10,"start_date":"2017-08-07","description":"","custom_fields":[{"id":30,"name":"Category","value":"Issue"},{"id":3,"name":"Functional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UTC","value":"2017-08-07 00:01:11"},{"id":29,"name":"Sharepoint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798</v>
      </c>
      <c r="B212" s="7">
        <v>4022</v>
      </c>
      <c r="C212" s="21" t="s">
        <v>198</v>
      </c>
      <c r="D212" s="21" t="s">
        <v>1009</v>
      </c>
      <c r="E212" s="13">
        <v>42953.671168981484</v>
      </c>
      <c r="F212" s="13">
        <v>42953.673321759263</v>
      </c>
      <c r="G212" s="7">
        <v>2</v>
      </c>
      <c r="H212" s="21" t="s">
        <v>1010</v>
      </c>
      <c r="I212" s="13">
        <v>42953.683287037034</v>
      </c>
      <c r="J212" s="7">
        <v>0</v>
      </c>
      <c r="K212" s="89" t="str">
        <f t="shared" si="100"/>
        <v>4021/4022</v>
      </c>
      <c r="L212" s="21" t="str">
        <f>VLOOKUP(A212,'Trips&amp;Operators'!$C$1:$G$99999,5,FALSE)</f>
        <v>NELSON ARIANE</v>
      </c>
      <c r="M212" s="6">
        <f t="shared" si="101"/>
        <v>9.965277771698311E-3</v>
      </c>
      <c r="N212" s="7">
        <f t="shared" si="97"/>
        <v>14.349999991245568</v>
      </c>
      <c r="O212" s="7"/>
      <c r="P212" s="7"/>
      <c r="Q212" s="22"/>
      <c r="R212" s="170"/>
      <c r="S212" s="213">
        <f t="shared" si="95"/>
        <v>1</v>
      </c>
      <c r="T212" s="195" t="str">
        <f t="shared" si="102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03"/>
        <v>https://d0f6bd738d7f1b3e5a7ca70fe4ff75f0.us-east-1.aws.found.io/app/kibana#/discover/Steve-Slow-Train-Analysis-(2080s-and-2083s)?_g=(refreshInterval:(display:Off,pause:!f,section:0,value:0),time:(from:'2017-08-06T15:06:29-0600',mode:absolute,to:'2017-08-06T17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2" s="197" t="str">
        <f>IF(AA212&lt;VLOOKUP(AG212,Variables!$AC$3:$AD$8,2,FALSE),"Y","N")</f>
        <v>Y</v>
      </c>
      <c r="X212" s="197">
        <f t="shared" si="98"/>
        <v>5</v>
      </c>
      <c r="Y212" s="197">
        <f t="shared" si="99"/>
        <v>4.2099999999999999E-2</v>
      </c>
      <c r="Z212" s="197">
        <f t="shared" si="96"/>
        <v>2.4251999999999998</v>
      </c>
      <c r="AA212" s="197">
        <f t="shared" si="104"/>
        <v>2.3830999999999998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105"/>
        <v>75</v>
      </c>
      <c r="AE212" s="77" t="str">
        <f t="shared" si="106"/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AF212" s="74" t="str">
        <f t="shared" si="107"/>
        <v>"C:\Program Files (x86)\AstroGrep\AstroGrep.exe" /e /r /s /spath="%USERPROFILE%\AppData\Local\Temp\OnboardLogs" /stypes="app*4022*20170806*" /stext=" 22:.+((SYSTEM_STATE.+slice.+state.+changed )|(ment ac)|(multiple cpu faults)|(system.+state.+changed )|(\[timeout)|(PRM\|1\|D)|(kpr)|(kdp)|(train st.+moving)|(\|lc)|(penalty))"</v>
      </c>
      <c r="AG212" s="209" t="str">
        <f t="shared" si="108"/>
        <v>Shuttle/Test</v>
      </c>
      <c r="AH212" s="78" t="str">
        <f t="shared" si="109"/>
        <v>"%USERPROFILE%\Documents\GitHub\eaglep3\Utilities\RefineRTDCRunTimes.py" --tripid 75-06 --locoid 4022 --swversion DE.1.0.9.0 --startMP 204:421 --initTime 2017-08-06T16:06:29 --startdatetime 2017-08-06T16:09:35 --delay 2 --endMP 300:24252 --enddatetime 2017-08-06T16:23:56 --enforcementcount 0 &gt;&gt;C:\Users\stu\Documents\GitHub\eaglep3-reporting\EC\2017-08-06-refined-times.txt</v>
      </c>
      <c r="AI212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2.4252"},{"id":17,"name":"Train ID","value":"75-06"},{"id":16,"name":"Locomotive ID","value":"4022"},{"id":130,"name":"Impact","value":""},{"id":150,"name":"Time of Event (Mountain Time)","value":"16:23:56"},{"id":151,"name":"Denver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11"/>
        <v>start /low /b %USERPROFILE%\Documents\GitHub\eaglep3\Utilities\DownloadLogsFromS3.py --loco 4022 --day 2017-08-06</v>
      </c>
      <c r="AN212" s="151" t="str">
        <f t="shared" si="11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798</v>
      </c>
      <c r="B213" s="7">
        <v>4039</v>
      </c>
      <c r="C213" s="21" t="s">
        <v>198</v>
      </c>
      <c r="D213" s="21" t="s">
        <v>1011</v>
      </c>
      <c r="E213" s="13">
        <v>42953.658935185187</v>
      </c>
      <c r="F213" s="13">
        <v>42953.673321759263</v>
      </c>
      <c r="G213" s="7">
        <v>2</v>
      </c>
      <c r="H213" s="21" t="s">
        <v>1012</v>
      </c>
      <c r="I213" s="13">
        <v>42953.683287037034</v>
      </c>
      <c r="J213" s="7">
        <v>0</v>
      </c>
      <c r="K213" s="89" t="str">
        <f t="shared" si="100"/>
        <v>4039/4040</v>
      </c>
      <c r="L213" s="21" t="str">
        <f>VLOOKUP(A213,'Trips&amp;Operators'!$C$1:$G$99999,5,FALSE)</f>
        <v>NELSON ARIANE</v>
      </c>
      <c r="M213" s="6">
        <f t="shared" si="101"/>
        <v>9.965277771698311E-3</v>
      </c>
      <c r="N213" s="7">
        <f t="shared" si="97"/>
        <v>14.349999991245568</v>
      </c>
      <c r="O213" s="7"/>
      <c r="P213" s="7"/>
      <c r="Q213" s="22"/>
      <c r="R213" s="170"/>
      <c r="S213" s="213">
        <f t="shared" si="95"/>
        <v>0</v>
      </c>
      <c r="T213" s="195" t="str">
        <f t="shared" si="10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103"/>
        <v>https://d0f6bd738d7f1b3e5a7ca70fe4ff75f0.us-east-1.aws.found.io/app/kibana#/discover/Steve-Slow-Train-Analysis-(2080s-and-2083s)?_g=(refreshInterval:(display:Off,pause:!f,section:0,value:0),time:(from:'2017-08-06T14:48:52-0600',mode:absolute,to:'2017-08-06T17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97" t="str">
        <f>IF(AA213&lt;VLOOKUP(AG213,Variables!$AC$3:$AD$8,2,FALSE),"Y","N")</f>
        <v>Y</v>
      </c>
      <c r="X213" s="197">
        <f t="shared" si="98"/>
        <v>0</v>
      </c>
      <c r="Y213" s="197">
        <f t="shared" si="99"/>
        <v>0.51780000000000004</v>
      </c>
      <c r="Z213" s="197">
        <f t="shared" si="96"/>
        <v>6.6400000000000001E-2</v>
      </c>
      <c r="AA213" s="197">
        <f t="shared" si="104"/>
        <v>0.45140000000000002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105"/>
        <v>75</v>
      </c>
      <c r="AE213" s="77" t="str">
        <f t="shared" si="106"/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AF213" s="74" t="str">
        <f t="shared" si="107"/>
        <v>"C:\Program Files (x86)\AstroGrep\AstroGrep.exe" /e /r /s /spath="%USERPROFILE%\AppData\Local\Temp\OnboardLogs" /stypes="app*4039*20170806*" /stext=" 22:.+((SYSTEM_STATE.+slice.+state.+changed )|(ment ac)|(multiple cpu faults)|(system.+state.+changed )|(\[timeout)|(PRM\|1\|D)|(kpr)|(kdp)|(train st.+moving)|(\|lc)|(penalty))"</v>
      </c>
      <c r="AG213" s="209" t="str">
        <f t="shared" si="108"/>
        <v>Shuttle/Test</v>
      </c>
      <c r="AH213" s="78" t="str">
        <f t="shared" si="109"/>
        <v>"%USERPROFILE%\Documents\GitHub\eaglep3\Utilities\RefineRTDCRunTimes.py" --tripid 75-06 --locoid 4039 --swversion DE.1.0.9.0 --startMP 300:5178 --initTime 2017-08-06T15:48:52 --startdatetime 2017-08-06T16:09:35 --delay 2 --endMP 204:664 --enddatetime 2017-08-06T16:23:56 --enforcementcount 0 &gt;&gt;C:\Users\stu\Documents\GitHub\eaglep3-reporting\EC\2017-08-06-refined-times.txt</v>
      </c>
      <c r="AI213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0.0664"},{"id":17,"name":"Train ID","value":"75-06"},{"id":16,"name":"Locomotive ID","value":"4039"},{"id":130,"name":"Impact","value":""},{"id":150,"name":"Time of Event (Mountain Time)","value":"16:23:56"},{"id":151,"name":"Denver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11"/>
        <v>start /low /b %USERPROFILE%\Documents\GitHub\eaglep3\Utilities\DownloadLogsFromS3.py --loco 4039 --day 2017-08-06</v>
      </c>
      <c r="AN213" s="151" t="str">
        <f t="shared" si="11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798</v>
      </c>
      <c r="B214" s="7">
        <v>4040</v>
      </c>
      <c r="C214" s="21" t="s">
        <v>198</v>
      </c>
      <c r="D214" s="21" t="s">
        <v>1013</v>
      </c>
      <c r="E214" s="13">
        <v>42953.653969907406</v>
      </c>
      <c r="F214" s="13">
        <v>42953.673321759263</v>
      </c>
      <c r="G214" s="7">
        <v>1</v>
      </c>
      <c r="H214" s="21" t="s">
        <v>1014</v>
      </c>
      <c r="I214" s="13">
        <v>42953.683287037034</v>
      </c>
      <c r="J214" s="7">
        <v>0</v>
      </c>
      <c r="K214" s="89" t="str">
        <f t="shared" si="100"/>
        <v>4039/4040</v>
      </c>
      <c r="L214" s="21" t="str">
        <f>VLOOKUP(A214,'Trips&amp;Operators'!$C$1:$G$99999,5,FALSE)</f>
        <v>NELSON ARIANE</v>
      </c>
      <c r="M214" s="6">
        <f t="shared" si="101"/>
        <v>9.965277771698311E-3</v>
      </c>
      <c r="N214" s="7">
        <f t="shared" si="97"/>
        <v>14.349999991245568</v>
      </c>
      <c r="O214" s="7"/>
      <c r="P214" s="7"/>
      <c r="Q214" s="22"/>
      <c r="R214" s="170"/>
      <c r="S214" s="213">
        <f t="shared" si="95"/>
        <v>0</v>
      </c>
      <c r="T214" s="195" t="str">
        <f t="shared" si="10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103"/>
        <v>https://d0f6bd738d7f1b3e5a7ca70fe4ff75f0.us-east-1.aws.found.io/app/kibana#/discover/Steve-Slow-Train-Analysis-(2080s-and-2083s)?_g=(refreshInterval:(display:Off,pause:!f,section:0,value:0),time:(from:'2017-08-06T14:41:43-0600',mode:absolute,to:'2017-08-06T17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7" t="str">
        <f>IF(AA214&lt;VLOOKUP(AG214,Variables!$AC$3:$AD$8,2,FALSE),"Y","N")</f>
        <v>Y</v>
      </c>
      <c r="X214" s="197">
        <f t="shared" si="98"/>
        <v>0</v>
      </c>
      <c r="Y214" s="197">
        <f t="shared" si="99"/>
        <v>0.14879999999999999</v>
      </c>
      <c r="Z214" s="197">
        <f t="shared" si="96"/>
        <v>0.54330000000000001</v>
      </c>
      <c r="AA214" s="197">
        <f t="shared" si="104"/>
        <v>0.39450000000000002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105"/>
        <v>75</v>
      </c>
      <c r="AE214" s="77" t="str">
        <f t="shared" si="106"/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AF214" s="74" t="str">
        <f t="shared" si="107"/>
        <v>"C:\Program Files (x86)\AstroGrep\AstroGrep.exe" /e /r /s /spath="%USERPROFILE%\AppData\Local\Temp\OnboardLogs" /stypes="app*4040*20170806*" /stext=" 22:.+((SYSTEM_STATE.+slice.+state.+changed )|(ment ac)|(multiple cpu faults)|(system.+state.+changed )|(\[timeout)|(PRM\|1\|D)|(kpr)|(kdp)|(train st.+moving)|(\|lc)|(penalty))"</v>
      </c>
      <c r="AG214" s="209" t="str">
        <f t="shared" si="108"/>
        <v>Shuttle/Test</v>
      </c>
      <c r="AH214" s="78" t="str">
        <f t="shared" si="109"/>
        <v>"%USERPROFILE%\Documents\GitHub\eaglep3\Utilities\RefineRTDCRunTimes.py" --tripid 75-06 --locoid 4040 --swversion DE.1.0.9.0 --startMP 204:1488 --initTime 2017-08-06T15:41:43 --startdatetime 2017-08-06T16:09:35 --delay 1 --endMP 300:5433 --enddatetime 2017-08-06T16:23:56 --enforcementcount 0 &gt;&gt;C:\Users\stu\Documents\GitHub\eaglep3-reporting\EC\2017-08-06-refined-times.txt</v>
      </c>
      <c r="AI214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0.5433"},{"id":17,"name":"Train ID","value":"75-06"},{"id":16,"name":"Locomotive ID","value":"4040"},{"id":130,"name":"Impact","value":""},{"id":150,"name":"Time of Event (Mountain Time)","value":"16:23:56"},{"id":151,"name":"Denver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11"/>
        <v>start /low /b %USERPROFILE%\Documents\GitHub\eaglep3\Utilities\DownloadLogsFromS3.py --loco 4040 --day 2017-08-06</v>
      </c>
      <c r="AN214" s="151" t="str">
        <f t="shared" si="11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22:23:56"},{"id":29,"name":"Sharepoint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798</v>
      </c>
      <c r="B215" s="7">
        <v>4056</v>
      </c>
      <c r="C215" s="21" t="s">
        <v>198</v>
      </c>
      <c r="D215" s="21" t="s">
        <v>1015</v>
      </c>
      <c r="E215" s="13">
        <v>42953.72152777778</v>
      </c>
      <c r="F215" s="13">
        <v>42953.732870370368</v>
      </c>
      <c r="G215" s="7">
        <v>3</v>
      </c>
      <c r="H215" s="21" t="s">
        <v>346</v>
      </c>
      <c r="I215" s="13">
        <v>42953.740578703706</v>
      </c>
      <c r="J215" s="7">
        <v>0</v>
      </c>
      <c r="K215" s="89" t="str">
        <f t="shared" si="100"/>
        <v>4055/4056</v>
      </c>
      <c r="L215" s="21" t="str">
        <f>VLOOKUP(A215,'Trips&amp;Operators'!$C$1:$G$99999,5,FALSE)</f>
        <v>NELSON ARIANE</v>
      </c>
      <c r="M215" s="6">
        <f t="shared" si="101"/>
        <v>7.708333338086959E-3</v>
      </c>
      <c r="N215" s="7">
        <f t="shared" si="97"/>
        <v>11.100000006845221</v>
      </c>
      <c r="O215" s="7"/>
      <c r="P215" s="7"/>
      <c r="Q215" s="22"/>
      <c r="R215" s="170"/>
      <c r="S215" s="213">
        <f t="shared" si="95"/>
        <v>1</v>
      </c>
      <c r="T215" s="195" t="str">
        <f t="shared" si="102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03"/>
        <v>https://d0f6bd738d7f1b3e5a7ca70fe4ff75f0.us-east-1.aws.found.io/app/kibana#/discover/Steve-Slow-Train-Analysis-(2080s-and-2083s)?_g=(refreshInterval:(display:Off,pause:!f,section:0,value:0),time:(from:'2017-08-06T16:19:00-0600',mode:absolute,to:'2017-08-06T18:46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197" t="str">
        <f>IF(AA215&lt;VLOOKUP(AG215,Variables!$AC$3:$AD$8,2,FALSE),"Y","N")</f>
        <v>Y</v>
      </c>
      <c r="X215" s="197">
        <f t="shared" si="98"/>
        <v>0</v>
      </c>
      <c r="Y215" s="197">
        <f t="shared" si="99"/>
        <v>0.1154</v>
      </c>
      <c r="Z215" s="197">
        <f t="shared" si="96"/>
        <v>2.3346</v>
      </c>
      <c r="AA215" s="197">
        <f t="shared" si="104"/>
        <v>2.2191999999999998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105"/>
        <v>75</v>
      </c>
      <c r="AE215" s="77" t="str">
        <f t="shared" si="106"/>
        <v>aws s3 cp s3://rtdc.mdm.uploadarchive.raw/RTDC4056/ "%USERPROFILE%\AppData\Local\Temp\OnboardLogs"\RTDC4056\2017-08-06 --exclude "*" --recursive --include "*20170806*" &amp; "%USERPROFILE%\Documents\GitHub\mrs-test-scripts\Headless Mode &amp; Sideloading\WalkAndUnGZ.bat" "%USERPROFILE%\AppData\Local\Temp\OnboardLogs"\RTDC4056\2017-08-06 &amp; aws s3 cp s3://rtdc.mdm.uploadarchive.raw/RTDC4056/ "%USERPROFILE%\AppData\Local\Temp\OnboardLogs"\RTDC4056\2017-08-07 --exclude "*" --recursive --include "*20170807*" &amp; "%USERPROFILE%\Documents\GitHub\mrs-test-scripts\Headless Mode &amp; Sideloading\WalkAndUnGZ.bat" "%USERPROFILE%\AppData\Local\Temp\OnboardLogs"\RTDC4056\2017-08-07</v>
      </c>
      <c r="AF215" s="74" t="str">
        <f t="shared" si="107"/>
        <v>"C:\Program Files (x86)\AstroGrep\AstroGrep.exe" /e /r /s /spath="%USERPROFILE%\AppData\Local\Temp\OnboardLogs" /stypes="app*4056*20170806*" /stext=" 23:.+((SYSTEM_STATE.+slice.+state.+changed )|(ment ac)|(multiple cpu faults)|(system.+state.+changed )|(\[timeout)|(PRM\|1\|D)|(kpr)|(kdp)|(train st.+moving)|(\|lc)|(penalty))"</v>
      </c>
      <c r="AG215" s="209" t="str">
        <f t="shared" si="108"/>
        <v>Shuttle/Test</v>
      </c>
      <c r="AH215" s="78" t="str">
        <f t="shared" si="109"/>
        <v>"%USERPROFILE%\Documents\GitHub\eaglep3\Utilities\RefineRTDCRunTimes.py" --tripid 75-06 --locoid 4056 --swversion DE.1.0.9.0 --startMP 204:1154 --initTime 2017-08-06T17:19:00 --startdatetime 2017-08-06T17:35:20 --delay 3 --endMP 300:23346 --enddatetime 2017-08-06T17:46:26 --enforcementcount 0 &gt;&gt;C:\Users\stu\Documents\GitHub\eaglep3-reporting\EC\2017-08-06-refined-times.txt</v>
      </c>
      <c r="AI215" s="96" t="str">
        <f t="shared" si="110"/>
        <v>echo {"issue":{"subject":"","project_id":79,"tracker_id":40,"status_id":1,"priority_id":2,"assigned_to_id":23,"start_date":"2017-08-06","description":"","custom_fields":[{"id":1,"name":"Subdivision","value":"Shuttle/Test"},{"id":4,"name":"Milepost","value":"2.3346"},{"id":17,"name":"Train ID","value":"75-06"},{"id":16,"name":"Locomotive ID","value":"4056"},{"id":130,"name":"Impact","value":""},{"id":150,"name":"Time of Event (Mountain Time)","value":"17:46:26"},{"id":151,"name":"Denver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1"/>
        <v>start /low /b %USERPROFILE%\Documents\GitHub\eaglep3\Utilities\DownloadLogsFromS3.py --loco 4056 --day 2017-08-06</v>
      </c>
      <c r="AN215" s="151" t="str">
        <f t="shared" si="112"/>
        <v>echo {"issue":{"subject":"","project_id":30,"tracker_id":4,"status_id":1,"priority_id":1,"assigned_to_id":10,"start_date":"2017-08-06","description":"","custom_fields":[{"id":30,"name":"Category","value":"Issue"},{"id":3,"name":"Functional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UTC","value":"2017-08-06 23:46:26"},{"id":29,"name":"Sharepoint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M217"/>
      <c r="AO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M218"/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4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4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4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4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4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4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4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4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4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</sheetData>
  <autoFilter ref="A12:AG258">
    <sortState ref="A13:AG258">
      <sortCondition ref="AG13:AG215"/>
      <sortCondition ref="AD13:AD215"/>
    </sortState>
  </autoFilter>
  <sortState ref="A13:AN214">
    <sortCondition ref="AG13:AG214"/>
    <sortCondition ref="AD13:AD214"/>
  </sortState>
  <mergeCells count="1">
    <mergeCell ref="A11:P11"/>
  </mergeCells>
  <conditionalFormatting sqref="W11:W12 W264:X1048576 W13:X215">
    <cfRule type="cellIs" dxfId="10" priority="415" operator="equal">
      <formula>"Y"</formula>
    </cfRule>
  </conditionalFormatting>
  <conditionalFormatting sqref="X264:X1048576 X13:X215">
    <cfRule type="cellIs" dxfId="9" priority="398" operator="greaterThan">
      <formula>1</formula>
    </cfRule>
  </conditionalFormatting>
  <conditionalFormatting sqref="X264:X1048576 X12:X215">
    <cfRule type="cellIs" dxfId="8" priority="395" operator="equal">
      <formula>0</formula>
    </cfRule>
  </conditionalFormatting>
  <conditionalFormatting sqref="A13:S21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27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42953.650925925926</v>
      </c>
      <c r="B7" s="30" t="s">
        <v>648</v>
      </c>
      <c r="C7" s="30" t="s">
        <v>649</v>
      </c>
      <c r="D7" s="30" t="s">
        <v>49</v>
      </c>
      <c r="E7" s="30" t="s">
        <v>187</v>
      </c>
      <c r="F7" s="42">
        <v>0</v>
      </c>
      <c r="G7" s="42">
        <v>226</v>
      </c>
      <c r="H7" s="42">
        <v>26987</v>
      </c>
      <c r="I7" s="42">
        <v>27302</v>
      </c>
      <c r="J7" s="30" t="s">
        <v>188</v>
      </c>
      <c r="K7" s="42">
        <v>27053</v>
      </c>
      <c r="L7" s="131" t="s">
        <v>50</v>
      </c>
      <c r="M7" s="132">
        <f t="shared" ref="M7:M35" si="0">CONVERT((I7-K7)/10000,"mi","ft")*IF(L7="Increasing Mileposts (1)",-1,1)</f>
        <v>-131.47200000000001</v>
      </c>
      <c r="N7" s="133" t="str">
        <f>VLOOKUP(C7,'Trips&amp;Operators'!$C$1:$G$99999,5,FALSE)</f>
        <v>SULLIVAN BRANDON</v>
      </c>
      <c r="O7" s="203" t="s">
        <v>180</v>
      </c>
      <c r="P7" s="134" t="s">
        <v>574</v>
      </c>
      <c r="Q7" s="30"/>
      <c r="R7" s="81" t="str">
        <f>VLOOKUP(C7,'Train Runs'!$A$13:$AE$9917,31,0)</f>
        <v>aws s3 cp s3://rtdc.mdm.uploadarchive.raw/RTDC4032/ "%USERPROFILE%\AppData\Local\Temp\OnboardLogs"\RTDC4032\2017-08-06 --exclude "*" --recursive --include "*20170806*" &amp; "%USERPROFILE%\Documents\GitHub\mrs-test-scripts\Headless Mode &amp; Sideloading\WalkAndUnGZ.bat" "%USERPROFILE%\AppData\Local\Temp\OnboardLogs"\RTDC4032\2017-08-06 &amp; aws s3 cp s3://rtdc.mdm.uploadarchive.raw/RTDC4032/ "%USERPROFILE%\AppData\Local\Temp\OnboardLogs"\RTDC4032\2017-08-07 --exclude "*" --recursive --include "*20170807*" &amp; "%USERPROFILE%\Documents\GitHub\mrs-test-scripts\Headless Mode &amp; Sideloading\WalkAndUnGZ.bat" "%USERPROFILE%\AppData\Local\Temp\OnboardLogs"\RTDC4032\2017-08-07</v>
      </c>
      <c r="S7" s="84" t="str">
        <f>VLOOKUP(C7,'Train Runs'!$A$13:$AE$9917,22,0)</f>
        <v>https://d0f6bd738d7f1b3e5a7ca70fe4ff75f0.us-east-1.aws.found.io/app/kibana#/discover/Steve-Slow-Train-Analysis-(2080s-and-2083s)?_g=(refreshInterval:(display:Off,pause:!f,section:0,value:0),time:(from:'2017-08-06T14:24:29-0600',mode:absolute,to:'2017-08-06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6" t="str">
        <f t="shared" ref="T7:T3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/stypes="*4032*201708062*" /stext=" 21:.+((SYSTEM_STATE.+slice.+state.+changed )|(ment ac)|(multiple cpu faults)|(system.+state.+changed )|(\[timeout)|(PRM\|1\|D)|(kpr)|(kdp)|(train st.+moving)|(\|lc)|(penalty))"</v>
      </c>
      <c r="U7" s="9" t="str">
        <f t="shared" ref="U7:U35" si="2">MID(B7,13,4)</f>
        <v>4032</v>
      </c>
      <c r="V7" s="31">
        <f t="shared" ref="V7:V35" si="3">A7-utc_offset/24</f>
        <v>42953.900925925926</v>
      </c>
      <c r="W7" s="45" t="str">
        <f t="shared" ref="W7:W35" si="4">DetSubdiv(C7)</f>
        <v>EC</v>
      </c>
      <c r="X7" s="22">
        <f t="shared" ref="X7:X35" si="5">VALUE(LEFT(C7,LEN(C7)-3))</f>
        <v>195</v>
      </c>
      <c r="Y7" s="96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arrival","project_id":79,"tracker_id":40,"status_id":1,"priority_id":2,"assigned_to_id":23,"start_date":"2017-08-06","description":"","custom_fields":[{"id":1,"name":"Subdivision","value":"EC"},{"id":4,"name":"Milepost","value":"2.7053"},{"id":17,"name":"Train ID","value":"195-06"},{"id":16,"name":"Locomotive ID","value":"4032"},{"id":130,"name":"Impact","value":""},{"id":150,"name":"Time of Event (Mountain Time)","value":"15:37:20"},{"id":151,"name":"Denver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/c/Users/stu/AppData/Local/Temp/OnboardLogs/RTDC4032 --include="*4032*201708062*"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"%USERPROFILE%\AppData\Local\Temp\OnboardLogs"\RTDC4032\*4032*201708062* &gt;&gt; 2017-08-06-SliceDisagreementCheck.txt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4032 --day 2017-08-06</v>
      </c>
    </row>
    <row r="8" spans="1:32" s="1" customFormat="1" x14ac:dyDescent="0.25">
      <c r="A8" s="31">
        <v>42953.780138888891</v>
      </c>
      <c r="B8" s="30" t="s">
        <v>441</v>
      </c>
      <c r="C8" s="30" t="s">
        <v>657</v>
      </c>
      <c r="D8" s="30" t="s">
        <v>96</v>
      </c>
      <c r="E8" s="30" t="s">
        <v>187</v>
      </c>
      <c r="F8" s="42">
        <v>130</v>
      </c>
      <c r="G8" s="42">
        <v>180</v>
      </c>
      <c r="H8" s="42">
        <v>27042</v>
      </c>
      <c r="I8" s="42">
        <v>26637</v>
      </c>
      <c r="J8" s="30" t="s">
        <v>188</v>
      </c>
      <c r="K8" s="42">
        <v>27350</v>
      </c>
      <c r="L8" s="131" t="s">
        <v>51</v>
      </c>
      <c r="M8" s="132">
        <f t="shared" si="0"/>
        <v>-376.464</v>
      </c>
      <c r="N8" s="133" t="str">
        <f>VLOOKUP(C8,'Trips&amp;Operators'!$C$1:$G$99999,5,FALSE)</f>
        <v>ZEWDU DEREJE</v>
      </c>
      <c r="O8" s="203" t="s">
        <v>180</v>
      </c>
      <c r="P8" s="134" t="s">
        <v>574</v>
      </c>
      <c r="Q8" s="30"/>
      <c r="R8" s="81" t="str">
        <f>VLOOKUP(C8,'Train Runs'!$A$13:$AE$9917,31,0)</f>
        <v>aws s3 cp s3://rtdc.mdm.uploadarchive.raw/RTDC4031/ "%USERPROFILE%\AppData\Local\Temp\OnboardLogs"\RTDC4031\2017-08-06 --exclude "*" --recursive --include "*20170806*" &amp; "%USERPROFILE%\Documents\GitHub\mrs-test-scripts\Headless Mode &amp; Sideloading\WalkAndUnGZ.bat" "%USERPROFILE%\AppData\Local\Temp\OnboardLogs"\RTDC4031\2017-08-06 &amp; aws s3 cp s3://rtdc.mdm.uploadarchive.raw/RTDC4031/ "%USERPROFILE%\AppData\Local\Temp\OnboardLogs"\RTDC4031\2017-08-07 --exclude "*" --recursive --include "*20170807*" &amp; "%USERPROFILE%\Documents\GitHub\mrs-test-scripts\Headless Mode &amp; Sideloading\WalkAndUnGZ.bat" "%USERPROFILE%\AppData\Local\Temp\OnboardLogs"\RTDC4031\2017-08-07</v>
      </c>
      <c r="S8" s="84" t="str">
        <f>VLOOKUP(C8,'Train Runs'!$A$13:$AE$9917,22,0)</f>
        <v>https://d0f6bd738d7f1b3e5a7ca70fe4ff75f0.us-east-1.aws.found.io/app/kibana#/discover/Steve-Slow-Train-Analysis-(2080s-and-2083s)?_g=(refreshInterval:(display:Off,pause:!f,section:0,value:0),time:(from:'2017-08-06T16:55:39-0600',mode:absolute,to:'2017-08-06T19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6" t="str">
        <f t="shared" si="1"/>
        <v>"C:\Program Files (x86)\AstroGrep\AstroGrep.exe" /e /r /s /spath="%USERPROFILE%\AppData\Local\Temp\OnboardLogs" /stypes="*4031*201708070*" /stext=" 00:.+((SYSTEM_STATE.+slice.+state.+changed )|(ment ac)|(multiple cpu faults)|(system.+state.+changed )|(\[timeout)|(PRM\|1\|D)|(kpr)|(kdp)|(train st.+moving)|(\|lc)|(penalty))"</v>
      </c>
      <c r="U8" s="9" t="str">
        <f t="shared" si="2"/>
        <v>4031</v>
      </c>
      <c r="V8" s="31">
        <f t="shared" si="3"/>
        <v>42954.030138888891</v>
      </c>
      <c r="W8" s="45" t="str">
        <f t="shared" si="4"/>
        <v>EC</v>
      </c>
      <c r="X8" s="22">
        <f t="shared" si="5"/>
        <v>210</v>
      </c>
      <c r="Y8" s="96" t="str">
        <f t="shared" si="6"/>
        <v>echo {"issue":{"subject":"Early arrival","project_id":79,"tracker_id":40,"status_id":1,"priority_id":2,"assigned_to_id":23,"start_date":"2017-08-06","description":"","custom_fields":[{"id":1,"name":"Subdivision","value":"EC"},{"id":4,"name":"Milepost","value":"2.735"},{"id":17,"name":"Train ID","value":"210-06"},{"id":16,"name":"Locomotive ID","value":"4031"},{"id":130,"name":"Impact","value":""},{"id":150,"name":"Time of Event (Mountain Time)","value":"18:43:24"},{"id":151,"name":"Denver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/c/Users/stu/AppData/Local/Temp/OnboardLogs/RTDC4031 --include="*4031*201708070*"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"%USERPROFILE%\AppData\Local\Temp\OnboardLogs"\RTDC4031\*4031*201708070* &gt;&gt; 2017-08-06-SliceDisagreementCheck.txt</v>
      </c>
      <c r="AE8" s="145" t="str">
        <f t="shared" ref="AE8:AE35" si="9">"start /low /b "&amp;dls3logs&amp;" --loco "&amp;U8&amp;" --day "&amp;TEXT(V8,"YYYY-MM-DD")</f>
        <v>start /low /b %USERPROFILE%\Documents\GitHub\eaglep3\Utilities\DownloadLogsFromS3.py --loco 4031 --day 2017-08-07</v>
      </c>
    </row>
    <row r="9" spans="1:32" s="1" customFormat="1" x14ac:dyDescent="0.25">
      <c r="A9" s="31">
        <v>42953.539907407408</v>
      </c>
      <c r="B9" s="30" t="s">
        <v>463</v>
      </c>
      <c r="C9" s="30" t="s">
        <v>645</v>
      </c>
      <c r="D9" s="30" t="s">
        <v>96</v>
      </c>
      <c r="E9" s="30" t="s">
        <v>187</v>
      </c>
      <c r="F9" s="42">
        <v>180</v>
      </c>
      <c r="G9" s="42">
        <v>234</v>
      </c>
      <c r="H9" s="42">
        <v>33206</v>
      </c>
      <c r="I9" s="42">
        <v>32704</v>
      </c>
      <c r="J9" s="30" t="s">
        <v>188</v>
      </c>
      <c r="K9" s="42">
        <v>33257</v>
      </c>
      <c r="L9" s="131" t="s">
        <v>51</v>
      </c>
      <c r="M9" s="132">
        <f t="shared" si="0"/>
        <v>-291.98399999999998</v>
      </c>
      <c r="N9" s="133" t="str">
        <f>VLOOKUP(C9,'Trips&amp;Operators'!$C$1:$G$99999,5,FALSE)</f>
        <v>THOMPSON LESTER</v>
      </c>
      <c r="O9" s="203" t="s">
        <v>180</v>
      </c>
      <c r="P9" s="134" t="s">
        <v>574</v>
      </c>
      <c r="Q9" s="30"/>
      <c r="R9" s="81" t="str">
        <f>VLOOKUP(C9,'Train Runs'!$A$13:$AE$9917,31,0)</f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S9" s="84" t="str">
        <f>VLOOKUP(C9,'Train Runs'!$A$13:$AE$9917,22,0)</f>
        <v>https://d0f6bd738d7f1b3e5a7ca70fe4ff75f0.us-east-1.aws.found.io/app/kibana#/discover/Steve-Slow-Train-Analysis-(2080s-and-2083s)?_g=(refreshInterval:(display:Off,pause:!f,section:0,value:0),time:(from:'2017-08-06T11:24:11-0600',mode:absolute,to:'2017-08-06T14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6" t="str">
        <f t="shared" si="1"/>
        <v>"C:\Program Files (x86)\AstroGrep\AstroGrep.exe" /e /r /s /spath="%USERPROFILE%\AppData\Local\Temp\OnboardLogs" /stypes="*4003*201708061*"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42953.789907407408</v>
      </c>
      <c r="W9" s="45" t="str">
        <f t="shared" si="4"/>
        <v>EC</v>
      </c>
      <c r="X9" s="22">
        <f t="shared" si="5"/>
        <v>164</v>
      </c>
      <c r="Y9" s="96" t="str">
        <f t="shared" si="6"/>
        <v>echo {"issue":{"subject":"Early arrival","project_id":79,"tracker_id":40,"status_id":1,"priority_id":2,"assigned_to_id":23,"start_date":"2017-08-06","description":"","custom_fields":[{"id":1,"name":"Subdivision","value":"EC"},{"id":4,"name":"Milepost","value":"3.3257"},{"id":17,"name":"Train ID","value":"164-06"},{"id":16,"name":"Locomotive ID","value":"4003"},{"id":130,"name":"Impact","value":""},{"id":150,"name":"Time of Event (Mountain Time)","value":"12:57:28"},{"id":151,"name":"Denver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/c/Users/stu/AppData/Local/Temp/OnboardLogs/RTDC4003 --include="*4003*201708061*"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"%USERPROFILE%\AppData\Local\Temp\OnboardLogs"\RTDC4003\*4003*201708061* &gt;&gt; 2017-08-06-SliceDisagreementCheck.txt</v>
      </c>
      <c r="AE9" s="145" t="str">
        <f t="shared" si="9"/>
        <v>start /low /b %USERPROFILE%\Documents\GitHub\eaglep3\Utilities\DownloadLogsFromS3.py --loco 4003 --day 2017-08-06</v>
      </c>
    </row>
    <row r="10" spans="1:32" s="1" customFormat="1" x14ac:dyDescent="0.25">
      <c r="A10" s="31">
        <v>42953.495451388888</v>
      </c>
      <c r="B10" s="30" t="s">
        <v>386</v>
      </c>
      <c r="C10" s="30" t="s">
        <v>643</v>
      </c>
      <c r="D10" s="30" t="s">
        <v>49</v>
      </c>
      <c r="E10" s="30" t="s">
        <v>187</v>
      </c>
      <c r="F10" s="42">
        <v>0</v>
      </c>
      <c r="G10" s="42">
        <v>478</v>
      </c>
      <c r="H10" s="42">
        <v>50413</v>
      </c>
      <c r="I10" s="42">
        <v>48800</v>
      </c>
      <c r="J10" s="30" t="s">
        <v>188</v>
      </c>
      <c r="K10" s="42">
        <v>48048</v>
      </c>
      <c r="L10" s="131" t="s">
        <v>51</v>
      </c>
      <c r="M10" s="132">
        <f t="shared" si="0"/>
        <v>397.05599999999998</v>
      </c>
      <c r="N10" s="133" t="str">
        <f>VLOOKUP(C10,'Trips&amp;Operators'!$C$1:$G$99999,5,FALSE)</f>
        <v>GUZMAN DANNY</v>
      </c>
      <c r="O10" s="203" t="s">
        <v>492</v>
      </c>
      <c r="P10" s="134" t="s">
        <v>1037</v>
      </c>
      <c r="Q10" s="30"/>
      <c r="R10" s="81" t="str">
        <f>VLOOKUP(C10,'Train Runs'!$A$13:$AE$9917,31,0)</f>
        <v>aws s3 cp s3://rtdc.mdm.uploadarchive.raw/RTDC4001/ "%USERPROFILE%\AppData\Local\Temp\OnboardLogs"\RTDC4001\2017-08-06 --exclude "*" --recursive --include "*20170806*" &amp; "%USERPROFILE%\Documents\GitHub\mrs-test-scripts\Headless Mode &amp; Sideloading\WalkAndUnGZ.bat" "%USERPROFILE%\AppData\Local\Temp\OnboardLogs"\RTDC4001\2017-08-06 &amp; aws s3 cp s3://rtdc.mdm.uploadarchive.raw/RTDC4001/ "%USERPROFILE%\AppData\Local\Temp\OnboardLogs"\RTDC4001\2017-08-07 --exclude "*" --recursive --include "*20170807*" &amp; "%USERPROFILE%\Documents\GitHub\mrs-test-scripts\Headless Mode &amp; Sideloading\WalkAndUnGZ.bat" "%USERPROFILE%\AppData\Local\Temp\OnboardLogs"\RTDC4001\2017-08-07</v>
      </c>
      <c r="S10" s="84" t="str">
        <f>VLOOKUP(C10,'Train Runs'!$A$13:$AE$9917,22,0)</f>
        <v>https://d0f6bd738d7f1b3e5a7ca70fe4ff75f0.us-east-1.aws.found.io/app/kibana#/discover/Steve-Slow-Train-Analysis-(2080s-and-2083s)?_g=(refreshInterval:(display:Off,pause:!f,section:0,value:0),time:(from:'2017-08-06T10:09:53-0600',mode:absolute,to:'2017-08-06T13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86" t="str">
        <f t="shared" si="1"/>
        <v>"C:\Program Files (x86)\AstroGrep\AstroGrep.exe" /e /r /s /spath="%USERPROFILE%\AppData\Local\Temp\OnboardLogs" /stypes="*4001*201708061*"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4001</v>
      </c>
      <c r="V10" s="31">
        <f t="shared" si="3"/>
        <v>42953.745451388888</v>
      </c>
      <c r="W10" s="45" t="str">
        <f t="shared" si="4"/>
        <v>EC</v>
      </c>
      <c r="X10" s="22">
        <f t="shared" si="5"/>
        <v>156</v>
      </c>
      <c r="Y10" s="96" t="str">
        <f t="shared" si="6"/>
        <v>echo {"issue":{"subject":"Early arrival due to Wi-MAX data drop","project_id":79,"tracker_id":40,"status_id":1,"priority_id":2,"assigned_to_id":23,"start_date":"2017-08-06","description":"","custom_fields":[{"id":1,"name":"Subdivision","value":"EC"},{"id":4,"name":"Milepost","value":"4.8048"},{"id":17,"name":"Train ID","value":"156-06"},{"id":16,"name":"Locomotive ID","value":"4001"},{"id":130,"name":"Impact","value":""},{"id":150,"name":"Time of Event (Mountain Time)","value":"11:53:27"},{"id":151,"name":"Denver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/c/Users/stu/AppData/Local/Temp/OnboardLogs/RTDC4001 --include="*4001*201708061*"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"%USERPROFILE%\AppData\Local\Temp\OnboardLogs"\RTDC4001\*4001*201708061* &gt;&gt; 2017-08-06-SliceDisagreementCheck.txt</v>
      </c>
      <c r="AE10" s="145" t="str">
        <f t="shared" si="9"/>
        <v>start /low /b %USERPROFILE%\Documents\GitHub\eaglep3\Utilities\DownloadLogsFromS3.py --loco 4001 --day 2017-08-06</v>
      </c>
    </row>
    <row r="11" spans="1:32" s="1" customFormat="1" x14ac:dyDescent="0.25">
      <c r="A11" s="31">
        <v>42953.665451388886</v>
      </c>
      <c r="B11" s="30" t="s">
        <v>387</v>
      </c>
      <c r="C11" s="30" t="s">
        <v>653</v>
      </c>
      <c r="D11" s="30" t="s">
        <v>49</v>
      </c>
      <c r="E11" s="30" t="s">
        <v>187</v>
      </c>
      <c r="F11" s="42">
        <v>0</v>
      </c>
      <c r="G11" s="42">
        <v>164</v>
      </c>
      <c r="H11" s="42">
        <v>58188</v>
      </c>
      <c r="I11" s="42">
        <v>58292</v>
      </c>
      <c r="J11" s="30" t="s">
        <v>188</v>
      </c>
      <c r="K11" s="42">
        <v>58783</v>
      </c>
      <c r="L11" s="131" t="s">
        <v>50</v>
      </c>
      <c r="M11" s="132">
        <f t="shared" si="0"/>
        <v>259.24799999999999</v>
      </c>
      <c r="N11" s="133" t="str">
        <f>VLOOKUP(C11,'Trips&amp;Operators'!$C$1:$G$99999,5,FALSE)</f>
        <v>DELGADO DIANAH</v>
      </c>
      <c r="O11" s="203" t="s">
        <v>180</v>
      </c>
      <c r="P11" s="134" t="s">
        <v>1035</v>
      </c>
      <c r="Q11" s="30"/>
      <c r="R11" s="81" t="str">
        <f>VLOOKUP(C11,'Train Runs'!$A$13:$AE$9917,31,0)</f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S11" s="84" t="str">
        <f>VLOOKUP(C11,'Train Runs'!$A$13:$AE$9917,22,0)</f>
        <v>https://d0f6bd738d7f1b3e5a7ca70fe4ff75f0.us-east-1.aws.found.io/app/kibana#/discover/Steve-Slow-Train-Analysis-(2080s-and-2083s)?_g=(refreshInterval:(display:Off,pause:!f,section:0,value:0),time:(from:'2017-08-06T14:39:47-0600',mode:absolute,to:'2017-08-06T17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1" s="86" t="str">
        <f t="shared" si="1"/>
        <v>"C:\Program Files (x86)\AstroGrep\AstroGrep.exe" /e /r /s /spath="%USERPROFILE%\AppData\Local\Temp\OnboardLogs" /stypes="*4002*201708062*" /stext=" 21:.+((SYSTEM_STATE.+slice.+state.+changed )|(ment ac)|(multiple cpu faults)|(system.+state.+changed )|(\[timeout)|(PRM\|1\|D)|(kpr)|(kdp)|(train st.+moving)|(\|lc)|(penalty))"</v>
      </c>
      <c r="U11" s="9" t="str">
        <f t="shared" si="2"/>
        <v>4002</v>
      </c>
      <c r="V11" s="31">
        <f t="shared" si="3"/>
        <v>42953.915451388886</v>
      </c>
      <c r="W11" s="45" t="str">
        <f t="shared" si="4"/>
        <v>EC</v>
      </c>
      <c r="X11" s="22">
        <f t="shared" si="5"/>
        <v>197</v>
      </c>
      <c r="Y11" s="96" t="str">
        <f t="shared" si="6"/>
        <v>echo {"issue":{"subject":"Form C","project_id":79,"tracker_id":40,"status_id":1,"priority_id":2,"assigned_to_id":23,"start_date":"2017-08-06","description":"","custom_fields":[{"id":1,"name":"Subdivision","value":"EC"},{"id":4,"name":"Milepost","value":"5.8783"},{"id":17,"name":"Train ID","value":"197-06"},{"id":16,"name":"Locomotive ID","value":"4002"},{"id":130,"name":"Impact","value":""},{"id":150,"name":"Time of Event (Mountain Time)","value":"15:58:15"},{"id":151,"name":"Denver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/c/Users/stu/AppData/Local/Temp/OnboardLogs/RTDC4002 --include="*4002*201708062*"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"%USERPROFILE%\AppData\Local\Temp\OnboardLogs"\RTDC4002\*4002*201708062* &gt;&gt; 2017-08-06-SliceDisagreementCheck.txt</v>
      </c>
      <c r="AE11" s="145" t="str">
        <f t="shared" si="9"/>
        <v>start /low /b %USERPROFILE%\Documents\GitHub\eaglep3\Utilities\DownloadLogsFromS3.py --loco 4002 --day 2017-08-06</v>
      </c>
    </row>
    <row r="12" spans="1:32" s="1" customFormat="1" x14ac:dyDescent="0.25">
      <c r="A12" s="31">
        <v>42953.489247685182</v>
      </c>
      <c r="B12" s="30" t="s">
        <v>467</v>
      </c>
      <c r="C12" s="30" t="s">
        <v>642</v>
      </c>
      <c r="D12" s="30" t="s">
        <v>49</v>
      </c>
      <c r="E12" s="30" t="s">
        <v>187</v>
      </c>
      <c r="F12" s="42">
        <v>320</v>
      </c>
      <c r="G12" s="42">
        <v>477</v>
      </c>
      <c r="H12" s="42">
        <v>61913</v>
      </c>
      <c r="I12" s="42">
        <v>63187</v>
      </c>
      <c r="J12" s="30" t="s">
        <v>188</v>
      </c>
      <c r="K12" s="42">
        <v>63069</v>
      </c>
      <c r="L12" s="131" t="s">
        <v>50</v>
      </c>
      <c r="M12" s="132">
        <f t="shared" si="0"/>
        <v>-62.304000000000002</v>
      </c>
      <c r="N12" s="133" t="str">
        <f>VLOOKUP(C12,'Trips&amp;Operators'!$C$1:$G$99999,5,FALSE)</f>
        <v>THOMPSON LESTER</v>
      </c>
      <c r="O12" s="203" t="s">
        <v>180</v>
      </c>
      <c r="P12" s="134" t="s">
        <v>574</v>
      </c>
      <c r="Q12" s="30"/>
      <c r="R12" s="81" t="str">
        <f>VLOOKUP(C12,'Train Runs'!$A$13:$AE$9917,31,0)</f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S12" s="84" t="str">
        <f>VLOOKUP(C12,'Train Runs'!$A$13:$AE$9917,22,0)</f>
        <v>https://d0f6bd738d7f1b3e5a7ca70fe4ff75f0.us-east-1.aws.found.io/app/kibana#/discover/Steve-Slow-Train-Analysis-(2080s-and-2083s)?_g=(refreshInterval:(display:Off,pause:!f,section:0,value:0),time:(from:'2017-08-06T10:23:52-0600',mode:absolute,to:'2017-08-06T13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2" s="86" t="str">
        <f t="shared" si="1"/>
        <v>"C:\Program Files (x86)\AstroGrep\AstroGrep.exe" /e /r /s /spath="%USERPROFILE%\AppData\Local\Temp\OnboardLogs" /stypes="*4004*201708061*"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4004</v>
      </c>
      <c r="V12" s="31">
        <f t="shared" si="3"/>
        <v>42953.739247685182</v>
      </c>
      <c r="W12" s="45" t="str">
        <f t="shared" si="4"/>
        <v>EC</v>
      </c>
      <c r="X12" s="22">
        <f t="shared" si="5"/>
        <v>163</v>
      </c>
      <c r="Y12" s="96" t="str">
        <f t="shared" si="6"/>
        <v>echo {"issue":{"subject":"Early arrival","project_id":79,"tracker_id":40,"status_id":1,"priority_id":2,"assigned_to_id":23,"start_date":"2017-08-06","description":"","custom_fields":[{"id":1,"name":"Subdivision","value":"EC"},{"id":4,"name":"Milepost","value":"6.3069"},{"id":17,"name":"Train ID","value":"163-06"},{"id":16,"name":"Locomotive ID","value":"4004"},{"id":130,"name":"Impact","value":""},{"id":150,"name":"Time of Event (Mountain Time)","value":"11:44:31"},{"id":151,"name":"Denver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/c/Users/stu/AppData/Local/Temp/OnboardLogs/RTDC4004 --include="*4004*201708061*"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"%USERPROFILE%\AppData\Local\Temp\OnboardLogs"\RTDC4004\*4004*201708061* &gt;&gt; 2017-08-06-SliceDisagreementCheck.txt</v>
      </c>
      <c r="AE12" s="145" t="str">
        <f t="shared" si="9"/>
        <v>start /low /b %USERPROFILE%\Documents\GitHub\eaglep3\Utilities\DownloadLogsFromS3.py --loco 4004 --day 2017-08-06</v>
      </c>
    </row>
    <row r="13" spans="1:32" x14ac:dyDescent="0.25">
      <c r="A13" s="31">
        <v>42953.910983796297</v>
      </c>
      <c r="B13" s="30" t="s">
        <v>463</v>
      </c>
      <c r="C13" s="30" t="s">
        <v>662</v>
      </c>
      <c r="D13" s="30" t="s">
        <v>49</v>
      </c>
      <c r="E13" s="30" t="s">
        <v>187</v>
      </c>
      <c r="F13" s="42">
        <v>0</v>
      </c>
      <c r="G13" s="42">
        <v>101</v>
      </c>
      <c r="H13" s="42">
        <v>63339</v>
      </c>
      <c r="I13" s="42">
        <v>63247</v>
      </c>
      <c r="J13" s="30" t="s">
        <v>188</v>
      </c>
      <c r="K13" s="42">
        <v>63309</v>
      </c>
      <c r="L13" s="131" t="s">
        <v>51</v>
      </c>
      <c r="M13" s="132">
        <f t="shared" si="0"/>
        <v>-32.735999999999997</v>
      </c>
      <c r="N13" s="133" t="str">
        <f>VLOOKUP(C13,'Trips&amp;Operators'!$C$1:$G$99999,5,FALSE)</f>
        <v>HAITHCOX MICHAEL</v>
      </c>
      <c r="O13" s="203" t="s">
        <v>180</v>
      </c>
      <c r="P13" s="134" t="s">
        <v>574</v>
      </c>
      <c r="Q13" s="30"/>
      <c r="R13" s="81" t="str">
        <f>VLOOKUP(C13,'Train Runs'!$A$13:$AE$9917,31,0)</f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S13" s="84" t="str">
        <f>VLOOKUP(C13,'Train Runs'!$A$13:$AE$9917,22,0)</f>
        <v>https://d0f6bd738d7f1b3e5a7ca70fe4ff75f0.us-east-1.aws.found.io/app/kibana#/discover/Steve-Slow-Train-Analysis-(2080s-and-2083s)?_g=(refreshInterval:(display:Off,pause:!f,section:0,value:0),time:(from:'2017-08-06T20:11:34-0600',mode:absolute,to:'2017-08-06T23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 t="shared" si="1"/>
        <v>"C:\Program Files (x86)\AstroGrep\AstroGrep.exe" /e /r /s /spath="%USERPROFILE%\AppData\Local\Temp\OnboardLogs" /stypes="*4003*201708070*"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4003</v>
      </c>
      <c r="V13" s="31">
        <f t="shared" si="3"/>
        <v>42954.160983796297</v>
      </c>
      <c r="W13" s="45" t="str">
        <f t="shared" si="4"/>
        <v>EC</v>
      </c>
      <c r="X13" s="22">
        <f t="shared" si="5"/>
        <v>228</v>
      </c>
      <c r="Y13" s="96" t="str">
        <f t="shared" si="6"/>
        <v>echo {"issue":{"subject":"Early arrival","project_id":79,"tracker_id":40,"status_id":1,"priority_id":2,"assigned_to_id":23,"start_date":"2017-08-06","description":"","custom_fields":[{"id":1,"name":"Subdivision","value":"EC"},{"id":4,"name":"Milepost","value":"6.3309"},{"id":17,"name":"Train ID","value":"228-06"},{"id":16,"name":"Locomotive ID","value":"4003"},{"id":130,"name":"Impact","value":""},{"id":150,"name":"Time of Event (Mountain Time)","value":"21:51:49"},{"id":151,"name":"Denver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/c/Users/stu/AppData/Local/Temp/OnboardLogs/RTDC4003 --include="*4003*201708070*"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"%USERPROFILE%\AppData\Local\Temp\OnboardLogs"\RTDC4003\*4003*201708070* &gt;&gt; 2017-08-06-SliceDisagreementCheck.txt</v>
      </c>
      <c r="AE13" s="145" t="str">
        <f t="shared" si="9"/>
        <v>start /low /b %USERPROFILE%\Documents\GitHub\eaglep3\Utilities\DownloadLogsFromS3.py --loco 4003 --day 2017-08-07</v>
      </c>
      <c r="AF13" s="1"/>
    </row>
    <row r="14" spans="1:32" x14ac:dyDescent="0.25">
      <c r="A14" s="31">
        <v>42953.447824074072</v>
      </c>
      <c r="B14" s="30" t="s">
        <v>483</v>
      </c>
      <c r="C14" s="30" t="s">
        <v>640</v>
      </c>
      <c r="D14" s="30" t="s">
        <v>96</v>
      </c>
      <c r="E14" s="30" t="s">
        <v>196</v>
      </c>
      <c r="F14" s="42">
        <v>300</v>
      </c>
      <c r="G14" s="42">
        <v>352</v>
      </c>
      <c r="H14" s="42">
        <v>20238</v>
      </c>
      <c r="I14" s="42">
        <v>19447</v>
      </c>
      <c r="J14" s="30" t="s">
        <v>197</v>
      </c>
      <c r="K14" s="42">
        <v>21848</v>
      </c>
      <c r="L14" s="131" t="s">
        <v>51</v>
      </c>
      <c r="M14" s="132">
        <f t="shared" si="0"/>
        <v>-1267.7280000000001</v>
      </c>
      <c r="N14" s="133" t="str">
        <f>VLOOKUP(C14,'Trips&amp;Operators'!$C$1:$G$99999,5,FALSE)</f>
        <v>MACDONALD THOMAS</v>
      </c>
      <c r="O14" s="203" t="s">
        <v>180</v>
      </c>
      <c r="P14" s="134"/>
      <c r="Q14" s="30"/>
      <c r="R14" s="81" t="str">
        <f>VLOOKUP(C14,'Train Runs'!$A$13:$AE$9917,31,0)</f>
        <v>aws s3 cp s3://rtdc.mdm.uploadarchive.raw/RTDC4029/ "%USERPROFILE%\AppData\Local\Temp\OnboardLogs"\RTDC4029\2017-08-06 --exclude "*" --recursive --include "*20170806*" &amp; "%USERPROFILE%\Documents\GitHub\mrs-test-scripts\Headless Mode &amp; Sideloading\WalkAndUnGZ.bat" "%USERPROFILE%\AppData\Local\Temp\OnboardLogs"\RTDC4029\2017-08-06 &amp; aws s3 cp s3://rtdc.mdm.uploadarchive.raw/RTDC4029/ "%USERPROFILE%\AppData\Local\Temp\OnboardLogs"\RTDC4029\2017-08-07 --exclude "*" --recursive --include "*20170807*" &amp; "%USERPROFILE%\Documents\GitHub\mrs-test-scripts\Headless Mode &amp; Sideloading\WalkAndUnGZ.bat" "%USERPROFILE%\AppData\Local\Temp\OnboardLogs"\RTDC4029\2017-08-07</v>
      </c>
      <c r="S14" s="84" t="str">
        <f>VLOOKUP(C14,'Train Runs'!$A$13:$AE$9917,22,0)</f>
        <v>https://d0f6bd738d7f1b3e5a7ca70fe4ff75f0.us-east-1.aws.found.io/app/kibana#/discover/Steve-Slow-Train-Analysis-(2080s-and-2083s)?_g=(refreshInterval:(display:Off,pause:!f,section:0,value:0),time:(from:'2017-08-06T08:56:59-0600',mode:absolute,to:'2017-08-06T11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86" t="str">
        <f t="shared" si="1"/>
        <v>"C:\Program Files (x86)\AstroGrep\AstroGrep.exe" /e /r /s /spath="%USERPROFILE%\AppData\Local\Temp\OnboardLogs" /stypes="*4029*201708061*"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4029</v>
      </c>
      <c r="V14" s="31">
        <f t="shared" si="3"/>
        <v>42953.697824074072</v>
      </c>
      <c r="W14" s="45" t="str">
        <f t="shared" si="4"/>
        <v>EC</v>
      </c>
      <c r="X14" s="22">
        <f t="shared" si="5"/>
        <v>146</v>
      </c>
      <c r="Y14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{"issue":{"subject":"","project_id":79,"tracker_id":40,"status_id":1,"priority_id":2,"assigned_to_id":23,"start_date":"2017-08-06","description":"","custom_fields":[{"id":1,"name":"Subdivision","value":"EC"},{"id":4,"name":"Milepost","value":"2.1848"},{"id":17,"name":"Train ID","value":"146-06"},{"id":16,"name":"Locomotive ID","value":"4029"},{"id":130,"name":"Impact","value":""},{"id":150,"name":"Time of Event (Mountain Time)","value":"10:44:52"},{"id":151,"name":"Denver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/c/Users/stu/AppData/Local/Temp/OnboardLogs/RTDC4029 --include="*4029*201708061*"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"%USERPROFILE%\AppData\Local\Temp\OnboardLogs"\RTDC4029\*4029*201708061* &gt;&gt; 2017-08-06-SliceDisagreementCheck.txt</v>
      </c>
      <c r="AE14" s="145" t="str">
        <f t="shared" si="9"/>
        <v>start /low /b %USERPROFILE%\Documents\GitHub\eaglep3\Utilities\DownloadLogsFromS3.py --loco 4029 --day 2017-08-06</v>
      </c>
      <c r="AF14" s="1"/>
    </row>
    <row r="15" spans="1:32" x14ac:dyDescent="0.25">
      <c r="A15" s="31">
        <v>42953.917604166665</v>
      </c>
      <c r="B15" s="30" t="s">
        <v>463</v>
      </c>
      <c r="C15" s="30" t="s">
        <v>662</v>
      </c>
      <c r="D15" s="30" t="s">
        <v>49</v>
      </c>
      <c r="E15" s="30" t="s">
        <v>196</v>
      </c>
      <c r="F15" s="42">
        <v>300</v>
      </c>
      <c r="G15" s="42">
        <v>369</v>
      </c>
      <c r="H15" s="42">
        <v>22997</v>
      </c>
      <c r="I15" s="42">
        <v>21888</v>
      </c>
      <c r="J15" s="30" t="s">
        <v>197</v>
      </c>
      <c r="K15" s="42">
        <v>21848</v>
      </c>
      <c r="L15" s="131" t="s">
        <v>51</v>
      </c>
      <c r="M15" s="132">
        <f t="shared" si="0"/>
        <v>21.12</v>
      </c>
      <c r="N15" s="133" t="str">
        <f>VLOOKUP(C15,'Trips&amp;Operators'!$C$1:$G$99999,5,FALSE)</f>
        <v>HAITHCOX MICHAEL</v>
      </c>
      <c r="O15" s="203" t="s">
        <v>180</v>
      </c>
      <c r="P15" s="134"/>
      <c r="Q15" s="30"/>
      <c r="R15" s="81" t="str">
        <f>VLOOKUP(C15,'Train Runs'!$A$13:$AE$9917,31,0)</f>
        <v>aws s3 cp s3://rtdc.mdm.uploadarchive.raw/RTDC4003/ "%USERPROFILE%\AppData\Local\Temp\OnboardLogs"\RTDC4003\2017-08-06 --exclude "*" --recursive --include "*20170806*" &amp; "%USERPROFILE%\Documents\GitHub\mrs-test-scripts\Headless Mode &amp; Sideloading\WalkAndUnGZ.bat" "%USERPROFILE%\AppData\Local\Temp\OnboardLogs"\RTDC4003\2017-08-06 &amp; aws s3 cp s3://rtdc.mdm.uploadarchive.raw/RTDC4003/ "%USERPROFILE%\AppData\Local\Temp\OnboardLogs"\RTDC4003\2017-08-07 --exclude "*" --recursive --include "*20170807*" &amp; "%USERPROFILE%\Documents\GitHub\mrs-test-scripts\Headless Mode &amp; Sideloading\WalkAndUnGZ.bat" "%USERPROFILE%\AppData\Local\Temp\OnboardLogs"\RTDC4003\2017-08-07</v>
      </c>
      <c r="S15" s="84" t="str">
        <f>VLOOKUP(C15,'Train Runs'!$A$13:$AE$9917,22,0)</f>
        <v>https://d0f6bd738d7f1b3e5a7ca70fe4ff75f0.us-east-1.aws.found.io/app/kibana#/discover/Steve-Slow-Train-Analysis-(2080s-and-2083s)?_g=(refreshInterval:(display:Off,pause:!f,section:0,value:0),time:(from:'2017-08-06T20:11:34-0600',mode:absolute,to:'2017-08-06T23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5" s="86" t="str">
        <f t="shared" si="1"/>
        <v>"C:\Program Files (x86)\AstroGrep\AstroGrep.exe" /e /r /s /spath="%USERPROFILE%\AppData\Local\Temp\OnboardLogs" /stypes="*4003*201708070*" /stext=" 04:.+((SYSTEM_STATE.+slice.+state.+changed )|(ment ac)|(multiple cpu faults)|(system.+state.+changed )|(\[timeout)|(PRM\|1\|D)|(kpr)|(kdp)|(train st.+moving)|(\|lc)|(penalty))"</v>
      </c>
      <c r="U15" s="9" t="str">
        <f t="shared" si="2"/>
        <v>4003</v>
      </c>
      <c r="V15" s="31">
        <f t="shared" si="3"/>
        <v>42954.167604166665</v>
      </c>
      <c r="W15" s="45" t="str">
        <f t="shared" si="4"/>
        <v>EC</v>
      </c>
      <c r="X15" s="22">
        <f t="shared" si="5"/>
        <v>228</v>
      </c>
      <c r="Y15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{"issue":{"subject":"","project_id":79,"tracker_id":40,"status_id":1,"priority_id":2,"assigned_to_id":23,"start_date":"2017-08-06","description":"","custom_fields":[{"id":1,"name":"Subdivision","value":"EC"},{"id":4,"name":"Milepost","value":"2.1848"},{"id":17,"name":"Train ID","value":"228-06"},{"id":16,"name":"Locomotive ID","value":"4003"},{"id":130,"name":"Impact","value":""},{"id":150,"name":"Time of Event (Mountain Time)","value":"22:01:21"},{"id":151,"name":"Denver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/c/Users/stu/AppData/Local/Temp/OnboardLogs/RTDC4003 --include="*4003*201708070*"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"%USERPROFILE%\AppData\Local\Temp\OnboardLogs"\RTDC4003\*4003*201708070* &gt;&gt; 2017-08-06-SliceDisagreementCheck.txt</v>
      </c>
      <c r="AE15" s="145" t="str">
        <f t="shared" si="9"/>
        <v>start /low /b %USERPROFILE%\Documents\GitHub\eaglep3\Utilities\DownloadLogsFromS3.py --loco 4003 --day 2017-08-07</v>
      </c>
      <c r="AF15" s="1"/>
    </row>
    <row r="16" spans="1:32" x14ac:dyDescent="0.25">
      <c r="A16" s="31">
        <v>42953.459108796298</v>
      </c>
      <c r="B16" s="30" t="s">
        <v>484</v>
      </c>
      <c r="C16" s="30" t="s">
        <v>641</v>
      </c>
      <c r="D16" s="30" t="s">
        <v>49</v>
      </c>
      <c r="E16" s="30" t="s">
        <v>464</v>
      </c>
      <c r="F16" s="42">
        <v>0</v>
      </c>
      <c r="G16" s="42">
        <v>146</v>
      </c>
      <c r="H16" s="42">
        <v>1038</v>
      </c>
      <c r="I16" s="42">
        <v>1227</v>
      </c>
      <c r="J16" s="30" t="s">
        <v>465</v>
      </c>
      <c r="K16" s="42">
        <v>1692</v>
      </c>
      <c r="L16" s="131" t="s">
        <v>50</v>
      </c>
      <c r="M16" s="132">
        <f t="shared" si="0"/>
        <v>245.52</v>
      </c>
      <c r="N16" s="133" t="str">
        <f>VLOOKUP(C16,'Trips&amp;Operators'!$C$1:$G$99999,5,FALSE)</f>
        <v>MACDONALD THOMAS</v>
      </c>
      <c r="O16" s="203" t="s">
        <v>180</v>
      </c>
      <c r="P16" s="134" t="s">
        <v>1034</v>
      </c>
      <c r="Q16" s="30"/>
      <c r="R16" s="81" t="str">
        <f>VLOOKUP(C16,'Train Runs'!$A$13:$AE$9917,31,0)</f>
        <v>aws s3 cp s3://rtdc.mdm.uploadarchive.raw/RTDC4030/ "%USERPROFILE%\AppData\Local\Temp\OnboardLogs"\RTDC4030\2017-08-06 --exclude "*" --recursive --include "*20170806*" &amp; "%USERPROFILE%\Documents\GitHub\mrs-test-scripts\Headless Mode &amp; Sideloading\WalkAndUnGZ.bat" "%USERPROFILE%\AppData\Local\Temp\OnboardLogs"\RTDC4030\2017-08-06 &amp; aws s3 cp s3://rtdc.mdm.uploadarchive.raw/RTDC4030/ "%USERPROFILE%\AppData\Local\Temp\OnboardLogs"\RTDC4030\2017-08-07 --exclude "*" --recursive --include "*20170807*" &amp; "%USERPROFILE%\Documents\GitHub\mrs-test-scripts\Headless Mode &amp; Sideloading\WalkAndUnGZ.bat" "%USERPROFILE%\AppData\Local\Temp\OnboardLogs"\RTDC4030\2017-08-07</v>
      </c>
      <c r="S16" s="84" t="str">
        <f>VLOOKUP(C16,'Train Runs'!$A$13:$AE$9917,22,0)</f>
        <v>https://d0f6bd738d7f1b3e5a7ca70fe4ff75f0.us-east-1.aws.found.io/app/kibana#/discover/Steve-Slow-Train-Analysis-(2080s-and-2083s)?_g=(refreshInterval:(display:Off,pause:!f,section:0,value:0),time:(from:'2017-08-06T09:57:25-0600',mode:absolute,to:'2017-08-06T12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86" t="str">
        <f t="shared" si="1"/>
        <v>"C:\Program Files (x86)\AstroGrep\AstroGrep.exe" /e /r /s /spath="%USERPROFILE%\AppData\Local\Temp\OnboardLogs" /stypes="*4030*201708061*"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4030</v>
      </c>
      <c r="V16" s="31">
        <f t="shared" si="3"/>
        <v>42953.709108796298</v>
      </c>
      <c r="W16" s="45" t="str">
        <f t="shared" si="4"/>
        <v>EC</v>
      </c>
      <c r="X16" s="22">
        <f t="shared" si="5"/>
        <v>159</v>
      </c>
      <c r="Y16" s="96" t="str">
        <f t="shared" si="6"/>
        <v>echo {"issue":{"subject":"Selected wrong track","project_id":79,"tracker_id":40,"status_id":1,"priority_id":2,"assigned_to_id":23,"start_date":"2017-08-06","description":"","custom_fields":[{"id":1,"name":"Subdivision","value":"EC"},{"id":4,"name":"Milepost","value":"0.1692"},{"id":17,"name":"Train ID","value":"159-06"},{"id":16,"name":"Locomotive ID","value":"4030"},{"id":130,"name":"Impact","value":""},{"id":150,"name":"Time of Event (Mountain Time)","value":"11:01:07"},{"id":151,"name":"Denver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/c/Users/stu/AppData/Local/Temp/OnboardLogs/RTDC4030 --include="*4030*201708061*"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"%USERPROFILE%\AppData\Local\Temp\OnboardLogs"\RTDC4030\*4030*201708061* &gt;&gt; 2017-08-06-SliceDisagreementCheck.txt</v>
      </c>
      <c r="AE16" s="145" t="str">
        <f t="shared" si="9"/>
        <v>start /low /b %USERPROFILE%\Documents\GitHub\eaglep3\Utilities\DownloadLogsFromS3.py --loco 4030 --day 2017-08-06</v>
      </c>
      <c r="AF16" s="1"/>
    </row>
    <row r="17" spans="1:32" x14ac:dyDescent="0.25">
      <c r="A17" s="31">
        <v>42953.263611111113</v>
      </c>
      <c r="B17" s="30" t="s">
        <v>530</v>
      </c>
      <c r="C17" s="30" t="s">
        <v>638</v>
      </c>
      <c r="D17" s="30" t="s">
        <v>49</v>
      </c>
      <c r="E17" s="30" t="s">
        <v>181</v>
      </c>
      <c r="F17" s="42">
        <v>0</v>
      </c>
      <c r="G17" s="42">
        <v>77</v>
      </c>
      <c r="H17" s="42">
        <v>271</v>
      </c>
      <c r="I17" s="42">
        <v>189</v>
      </c>
      <c r="J17" s="30" t="s">
        <v>182</v>
      </c>
      <c r="K17" s="42">
        <v>1</v>
      </c>
      <c r="L17" s="131" t="s">
        <v>51</v>
      </c>
      <c r="M17" s="132">
        <f t="shared" si="0"/>
        <v>99.263999999999996</v>
      </c>
      <c r="N17" s="133" t="str">
        <f>VLOOKUP(C17,'Trips&amp;Operators'!$C$1:$G$99999,5,FALSE)</f>
        <v>GEBRETEKLE DAGNEW</v>
      </c>
      <c r="O17" s="203" t="s">
        <v>180</v>
      </c>
      <c r="P17" s="134"/>
      <c r="Q17" s="30"/>
      <c r="R17" s="81" t="str">
        <f>VLOOKUP(C17,'Train Runs'!$A$13:$AE$9917,31,0)</f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S17" s="84" t="str">
        <f>VLOOKUP(C17,'Train Runs'!$A$13:$AE$9917,22,0)</f>
        <v>https://d0f6bd738d7f1b3e5a7ca70fe4ff75f0.us-east-1.aws.found.io/app/kibana#/discover/Steve-Slow-Train-Analysis-(2080s-and-2083s)?_g=(refreshInterval:(display:Off,pause:!f,section:0,value:0),time:(from:'2017-08-06T04:22:54-0600',mode:absolute,to:'2017-08-06T07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7" s="86" t="str">
        <f t="shared" si="1"/>
        <v>"C:\Program Files (x86)\AstroGrep\AstroGrep.exe" /e /r /s /spath="%USERPROFILE%\AppData\Local\Temp\OnboardLogs" /stypes="*4065*201708061*"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4065</v>
      </c>
      <c r="V17" s="31">
        <f t="shared" si="3"/>
        <v>42953.513611111113</v>
      </c>
      <c r="W17" s="45" t="str">
        <f t="shared" si="4"/>
        <v>EC</v>
      </c>
      <c r="X17" s="22">
        <f t="shared" si="5"/>
        <v>110</v>
      </c>
      <c r="Y17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{"issue":{"subject":"","project_id":79,"tracker_id":40,"status_id":1,"priority_id":2,"assigned_to_id":23,"start_date":"2017-08-06","description":"","custom_fields":[{"id":1,"name":"Subdivision","value":"EC"},{"id":4,"name":"Milepost","value":"0.0001"},{"id":17,"name":"Train ID","value":"110-06"},{"id":16,"name":"Locomotive ID","value":"4065"},{"id":130,"name":"Impact","value":""},{"id":150,"name":"Time of Event (Mountain Time)","value":"06:19:36"},{"id":151,"name":"Denver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/c/Users/stu/AppData/Local/Temp/OnboardLogs/RTDC4065 --include="*4065*201708061*"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"%USERPROFILE%\AppData\Local\Temp\OnboardLogs"\RTDC4065\*4065*201708061* &gt;&gt; 2017-08-06-SliceDisagreementCheck.txt</v>
      </c>
      <c r="AE17" s="145" t="str">
        <f t="shared" si="9"/>
        <v>start /low /b %USERPROFILE%\Documents\GitHub\eaglep3\Utilities\DownloadLogsFromS3.py --loco 4065 --day 2017-08-06</v>
      </c>
      <c r="AF17" s="1"/>
    </row>
    <row r="18" spans="1:32" x14ac:dyDescent="0.25">
      <c r="A18" s="31">
        <v>42953.629687499997</v>
      </c>
      <c r="B18" s="30" t="s">
        <v>530</v>
      </c>
      <c r="C18" s="30" t="s">
        <v>647</v>
      </c>
      <c r="D18" s="30" t="s">
        <v>49</v>
      </c>
      <c r="E18" s="30" t="s">
        <v>181</v>
      </c>
      <c r="F18" s="42">
        <v>0</v>
      </c>
      <c r="G18" s="42">
        <v>53</v>
      </c>
      <c r="H18" s="42">
        <v>192</v>
      </c>
      <c r="I18" s="42">
        <v>121</v>
      </c>
      <c r="J18" s="30" t="s">
        <v>182</v>
      </c>
      <c r="K18" s="42">
        <v>1</v>
      </c>
      <c r="L18" s="131" t="s">
        <v>51</v>
      </c>
      <c r="M18" s="132">
        <f t="shared" si="0"/>
        <v>63.36</v>
      </c>
      <c r="N18" s="133" t="str">
        <f>VLOOKUP(C18,'Trips&amp;Operators'!$C$1:$G$99999,5,FALSE)</f>
        <v>BRUDER RICHARD</v>
      </c>
      <c r="O18" s="203" t="s">
        <v>180</v>
      </c>
      <c r="P18" s="134"/>
      <c r="Q18" s="30"/>
      <c r="R18" s="81" t="str">
        <f>VLOOKUP(C18,'Train Runs'!$A$13:$AE$9917,31,0)</f>
        <v>aws s3 cp s3://rtdc.mdm.uploadarchive.raw/RTDC4065/ "%USERPROFILE%\AppData\Local\Temp\OnboardLogs"\RTDC4065\2017-08-06 --exclude "*" --recursive --include "*20170806*" &amp; "%USERPROFILE%\Documents\GitHub\mrs-test-scripts\Headless Mode &amp; Sideloading\WalkAndUnGZ.bat" "%USERPROFILE%\AppData\Local\Temp\OnboardLogs"\RTDC4065\2017-08-06 &amp; aws s3 cp s3://rtdc.mdm.uploadarchive.raw/RTDC4065/ "%USERPROFILE%\AppData\Local\Temp\OnboardLogs"\RTDC4065\2017-08-07 --exclude "*" --recursive --include "*20170807*" &amp; "%USERPROFILE%\Documents\GitHub\mrs-test-scripts\Headless Mode &amp; Sideloading\WalkAndUnGZ.bat" "%USERPROFILE%\AppData\Local\Temp\OnboardLogs"\RTDC4065\2017-08-07</v>
      </c>
      <c r="S18" s="84" t="str">
        <f>VLOOKUP(C18,'Train Runs'!$A$13:$AE$9917,22,0)</f>
        <v>https://d0f6bd738d7f1b3e5a7ca70fe4ff75f0.us-east-1.aws.found.io/app/kibana#/discover/Steve-Slow-Train-Analysis-(2080s-and-2083s)?_g=(refreshInterval:(display:Off,pause:!f,section:0,value:0),time:(from:'2017-08-06T13:23:09-0600',mode:absolute,to:'2017-08-06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8" s="86" t="str">
        <f t="shared" si="1"/>
        <v>"C:\Program Files (x86)\AstroGrep\AstroGrep.exe" /e /r /s /spath="%USERPROFILE%\AppData\Local\Temp\OnboardLogs" /stypes="*4065*201708062*"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4065</v>
      </c>
      <c r="V18" s="31">
        <f t="shared" si="3"/>
        <v>42953.879687499997</v>
      </c>
      <c r="W18" s="45" t="str">
        <f t="shared" si="4"/>
        <v>EC</v>
      </c>
      <c r="X18" s="22">
        <f t="shared" si="5"/>
        <v>180</v>
      </c>
      <c r="Y18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{"issue":{"subject":"","project_id":79,"tracker_id":40,"status_id":1,"priority_id":2,"assigned_to_id":23,"start_date":"2017-08-06","description":"","custom_fields":[{"id":1,"name":"Subdivision","value":"EC"},{"id":4,"name":"Milepost","value":"0.0001"},{"id":17,"name":"Train ID","value":"180-06"},{"id":16,"name":"Locomotive ID","value":"4065"},{"id":130,"name":"Impact","value":""},{"id":150,"name":"Time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/c/Users/stu/AppData/Local/Temp/OnboardLogs/RTDC4065 --include="*4065*201708062*"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"%USERPROFILE%\AppData\Local\Temp\OnboardLogs"\RTDC4065\*4065*201708062* &gt;&gt; 2017-08-06-SliceDisagreementCheck.txt</v>
      </c>
      <c r="AE18" s="145" t="str">
        <f t="shared" si="9"/>
        <v>start /low /b %USERPROFILE%\Documents\GitHub\eaglep3\Utilities\DownloadLogsFromS3.py --loco 4065 --day 2017-08-06</v>
      </c>
      <c r="AF18" s="1"/>
    </row>
    <row r="19" spans="1:32" x14ac:dyDescent="0.25">
      <c r="A19" s="31">
        <v>42953.683379629627</v>
      </c>
      <c r="B19" s="30" t="s">
        <v>513</v>
      </c>
      <c r="C19" s="30" t="s">
        <v>654</v>
      </c>
      <c r="D19" s="30" t="s">
        <v>49</v>
      </c>
      <c r="E19" s="30" t="s">
        <v>181</v>
      </c>
      <c r="F19" s="42">
        <v>0</v>
      </c>
      <c r="G19" s="42">
        <v>98</v>
      </c>
      <c r="H19" s="42">
        <v>365</v>
      </c>
      <c r="I19" s="42">
        <v>276</v>
      </c>
      <c r="J19" s="30" t="s">
        <v>182</v>
      </c>
      <c r="K19" s="42">
        <v>1</v>
      </c>
      <c r="L19" s="131" t="s">
        <v>51</v>
      </c>
      <c r="M19" s="132">
        <f t="shared" si="0"/>
        <v>145.19999999999999</v>
      </c>
      <c r="N19" s="133" t="str">
        <f>VLOOKUP(C19,'Trips&amp;Operators'!$C$1:$G$99999,5,FALSE)</f>
        <v>DAVIS MICHAEL</v>
      </c>
      <c r="O19" s="203" t="s">
        <v>180</v>
      </c>
      <c r="P19" s="134"/>
      <c r="Q19" s="30"/>
      <c r="R19" s="81" t="str">
        <f>VLOOKUP(C19,'Train Runs'!$A$13:$AE$9917,31,0)</f>
        <v>aws s3 cp s3://rtdc.mdm.uploadarchive.raw/RTDC4005/ "%USERPROFILE%\AppData\Local\Temp\OnboardLogs"\RTDC4005\2017-08-06 --exclude "*" --recursive --include "*20170806*" &amp; "%USERPROFILE%\Documents\GitHub\mrs-test-scripts\Headless Mode &amp; Sideloading\WalkAndUnGZ.bat" "%USERPROFILE%\AppData\Local\Temp\OnboardLogs"\RTDC4005\2017-08-06 &amp; aws s3 cp s3://rtdc.mdm.uploadarchive.raw/RTDC4005/ "%USERPROFILE%\AppData\Local\Temp\OnboardLogs"\RTDC4005\2017-08-07 --exclude "*" --recursive --include "*20170807*" &amp; "%USERPROFILE%\Documents\GitHub\mrs-test-scripts\Headless Mode &amp; Sideloading\WalkAndUnGZ.bat" "%USERPROFILE%\AppData\Local\Temp\OnboardLogs"\RTDC4005\2017-08-07</v>
      </c>
      <c r="S19" s="84" t="str">
        <f>VLOOKUP(C19,'Train Runs'!$A$13:$AE$9917,22,0)</f>
        <v>https://d0f6bd738d7f1b3e5a7ca70fe4ff75f0.us-east-1.aws.found.io/app/kibana#/discover/Steve-Slow-Train-Analysis-(2080s-and-2083s)?_g=(refreshInterval:(display:Off,pause:!f,section:0,value:0),time:(from:'2017-08-06T14:39:11-0600',mode:absolute,to:'2017-08-06T17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9" s="86" t="str">
        <f t="shared" si="1"/>
        <v>"C:\Program Files (x86)\AstroGrep\AstroGrep.exe" /e /r /s /spath="%USERPROFILE%\AppData\Local\Temp\OnboardLogs" /stypes="*4005*201708062*"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4005</v>
      </c>
      <c r="V19" s="31">
        <f t="shared" si="3"/>
        <v>42953.933379629627</v>
      </c>
      <c r="W19" s="45" t="str">
        <f t="shared" si="4"/>
        <v>EC</v>
      </c>
      <c r="X19" s="22">
        <f t="shared" si="5"/>
        <v>190</v>
      </c>
      <c r="Y19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{"issue":{"subject":"","project_id":79,"tracker_id":40,"status_id":1,"priority_id":2,"assigned_to_id":23,"start_date":"2017-08-06","description":"","custom_fields":[{"id":1,"name":"Subdivision","value":"EC"},{"id":4,"name":"Milepost","value":"0.0001"},{"id":17,"name":"Train ID","value":"190-06"},{"id":16,"name":"Locomotive ID","value":"4005"},{"id":130,"name":"Impact","value":""},{"id":150,"name":"Time of Event (Mountain Time)","value":"16:24:04"},{"id":151,"name":"Denver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/c/Users/stu/AppData/Local/Temp/OnboardLogs/RTDC4005 --include="*4005*201708062*"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"%USERPROFILE%\AppData\Local\Temp\OnboardLogs"\RTDC4005\*4005*201708062* &gt;&gt; 2017-08-06-SliceDisagreementCheck.txt</v>
      </c>
      <c r="AE19" s="145" t="str">
        <f t="shared" si="9"/>
        <v>start /low /b %USERPROFILE%\Documents\GitHub\eaglep3\Utilities\DownloadLogsFromS3.py --loco 4005 --day 2017-08-06</v>
      </c>
      <c r="AF19" s="1"/>
    </row>
    <row r="20" spans="1:32" x14ac:dyDescent="0.25">
      <c r="A20" s="31">
        <v>42953.401238425926</v>
      </c>
      <c r="B20" s="30" t="s">
        <v>576</v>
      </c>
      <c r="C20" s="30" t="s">
        <v>639</v>
      </c>
      <c r="D20" s="30" t="s">
        <v>49</v>
      </c>
      <c r="E20" s="30" t="s">
        <v>181</v>
      </c>
      <c r="F20" s="42">
        <v>0</v>
      </c>
      <c r="G20" s="42">
        <v>43</v>
      </c>
      <c r="H20" s="42">
        <v>233323</v>
      </c>
      <c r="I20" s="42">
        <v>233347</v>
      </c>
      <c r="J20" s="30" t="s">
        <v>182</v>
      </c>
      <c r="K20" s="42">
        <v>233491</v>
      </c>
      <c r="L20" s="131" t="s">
        <v>50</v>
      </c>
      <c r="M20" s="132">
        <f t="shared" si="0"/>
        <v>76.031999999999996</v>
      </c>
      <c r="N20" s="133" t="str">
        <f>VLOOKUP(C20,'Trips&amp;Operators'!$C$1:$G$99999,5,FALSE)</f>
        <v>WILLIAMS DONTE</v>
      </c>
      <c r="O20" s="203" t="s">
        <v>180</v>
      </c>
      <c r="P20" s="134"/>
      <c r="Q20" s="30"/>
      <c r="R20" s="81" t="str">
        <f>VLOOKUP(C20,'Train Runs'!$A$13:$AE$9917,31,0)</f>
        <v>aws s3 cp s3://rtdc.mdm.uploadarchive.raw/RTDC4044/ "%USERPROFILE%\AppData\Local\Temp\OnboardLogs"\RTDC4044\2017-08-06 --exclude "*" --recursive --include "*20170806*" &amp; "%USERPROFILE%\Documents\GitHub\mrs-test-scripts\Headless Mode &amp; Sideloading\WalkAndUnGZ.bat" "%USERPROFILE%\AppData\Local\Temp\OnboardLogs"\RTDC4044\2017-08-06 &amp; aws s3 cp s3://rtdc.mdm.uploadarchive.raw/RTDC4044/ "%USERPROFILE%\AppData\Local\Temp\OnboardLogs"\RTDC4044\2017-08-07 --exclude "*" --recursive --include "*20170807*" &amp; "%USERPROFILE%\Documents\GitHub\mrs-test-scripts\Headless Mode &amp; Sideloading\WalkAndUnGZ.bat" "%USERPROFILE%\AppData\Local\Temp\OnboardLogs"\RTDC4044\2017-08-07</v>
      </c>
      <c r="S20" s="84" t="str">
        <f>VLOOKUP(C20,'Train Runs'!$A$13:$AE$9917,22,0)</f>
        <v>https://d0f6bd738d7f1b3e5a7ca70fe4ff75f0.us-east-1.aws.found.io/app/kibana#/discover/Steve-Slow-Train-Analysis-(2080s-and-2083s)?_g=(refreshInterval:(display:Off,pause:!f,section:0,value:0),time:(from:'2017-08-06T07:53:58-0600',mode:absolute,to:'2017-08-06T10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0" s="86" t="str">
        <f t="shared" si="1"/>
        <v>"C:\Program Files (x86)\AstroGrep\AstroGrep.exe" /e /r /s /spath="%USERPROFILE%\AppData\Local\Temp\OnboardLogs" /stypes="*4044*201708061*" /stext=" 15:.+((SYSTEM_STATE.+slice.+state.+changed )|(ment ac)|(multiple cpu faults)|(system.+state.+changed )|(\[timeout)|(PRM\|1\|D)|(kpr)|(kdp)|(train st.+moving)|(\|lc)|(penalty))"</v>
      </c>
      <c r="U20" s="9" t="str">
        <f t="shared" si="2"/>
        <v>4044</v>
      </c>
      <c r="V20" s="31">
        <f t="shared" si="3"/>
        <v>42953.651238425926</v>
      </c>
      <c r="W20" s="45" t="str">
        <f t="shared" si="4"/>
        <v>EC</v>
      </c>
      <c r="X20" s="22">
        <f t="shared" si="5"/>
        <v>143</v>
      </c>
      <c r="Y20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{"issue":{"subject":"","project_id":79,"tracker_id":40,"status_id":1,"priority_id":2,"assigned_to_id":23,"start_date":"2017-08-06","description":"","custom_fields":[{"id":1,"name":"Subdivision","value":"EC"},{"id":4,"name":"Milepost","value":"23.3491"},{"id":17,"name":"Train ID","value":"143-06"},{"id":16,"name":"Locomotive ID","value":"4044"},{"id":130,"name":"Impact","value":""},{"id":150,"name":"Time of Event (Mountain Time)","value":"09:37:47"},{"id":151,"name":"Denver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/c/Users/stu/AppData/Local/Temp/OnboardLogs/RTDC4044 --include="*4044*201708061*"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"%USERPROFILE%\AppData\Local\Temp\OnboardLogs"\RTDC4044\*4044*201708061* &gt;&gt; 2017-08-06-SliceDisagreementCheck.txt</v>
      </c>
      <c r="AE20" s="145" t="str">
        <f t="shared" si="9"/>
        <v>start /low /b %USERPROFILE%\Documents\GitHub\eaglep3\Utilities\DownloadLogsFromS3.py --loco 4044 --day 2017-08-06</v>
      </c>
      <c r="AF20" s="1"/>
    </row>
    <row r="21" spans="1:32" x14ac:dyDescent="0.25">
      <c r="A21" s="31">
        <v>42953.534641203703</v>
      </c>
      <c r="B21" s="30" t="s">
        <v>387</v>
      </c>
      <c r="C21" s="30" t="s">
        <v>644</v>
      </c>
      <c r="D21" s="30" t="s">
        <v>49</v>
      </c>
      <c r="E21" s="30" t="s">
        <v>181</v>
      </c>
      <c r="F21" s="42">
        <v>0</v>
      </c>
      <c r="G21" s="42">
        <v>165</v>
      </c>
      <c r="H21" s="42">
        <v>232773</v>
      </c>
      <c r="I21" s="42">
        <v>233011</v>
      </c>
      <c r="J21" s="30" t="s">
        <v>182</v>
      </c>
      <c r="K21" s="42">
        <v>233491</v>
      </c>
      <c r="L21" s="131" t="s">
        <v>50</v>
      </c>
      <c r="M21" s="132">
        <f t="shared" si="0"/>
        <v>253.44</v>
      </c>
      <c r="N21" s="133" t="str">
        <f>VLOOKUP(C21,'Trips&amp;Operators'!$C$1:$G$99999,5,FALSE)</f>
        <v>DELGADO DIANAH</v>
      </c>
      <c r="O21" s="203" t="s">
        <v>180</v>
      </c>
      <c r="P21" s="134"/>
      <c r="Q21" s="30"/>
      <c r="R21" s="81" t="str">
        <f>VLOOKUP(C21,'Train Runs'!$A$13:$AE$9917,31,0)</f>
        <v>aws s3 cp s3://rtdc.mdm.uploadarchive.raw/RTDC4002/ "%USERPROFILE%\AppData\Local\Temp\OnboardLogs"\RTDC4002\2017-08-06 --exclude "*" --recursive --include "*20170806*" &amp; "%USERPROFILE%\Documents\GitHub\mrs-test-scripts\Headless Mode &amp; Sideloading\WalkAndUnGZ.bat" "%USERPROFILE%\AppData\Local\Temp\OnboardLogs"\RTDC4002\2017-08-06 &amp; aws s3 cp s3://rtdc.mdm.uploadarchive.raw/RTDC4002/ "%USERPROFILE%\AppData\Local\Temp\OnboardLogs"\RTDC4002\2017-08-07 --exclude "*" --recursive --include "*20170807*" &amp; "%USERPROFILE%\Documents\GitHub\mrs-test-scripts\Headless Mode &amp; Sideloading\WalkAndUnGZ.bat" "%USERPROFILE%\AppData\Local\Temp\OnboardLogs"\RTDC4002\2017-08-07</v>
      </c>
      <c r="S21" s="84" t="str">
        <f>VLOOKUP(C21,'Train Runs'!$A$13:$AE$9917,22,0)</f>
        <v>https://d0f6bd738d7f1b3e5a7ca70fe4ff75f0.us-east-1.aws.found.io/app/kibana#/discover/Steve-Slow-Train-Analysis-(2080s-and-2083s)?_g=(refreshInterval:(display:Off,pause:!f,section:0,value:0),time:(from:'2017-08-06T11:09:17-0600',mode:absolute,to:'2017-08-06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 t="shared" si="1"/>
        <v>"C:\Program Files (x86)\AstroGrep\AstroGrep.exe" /e /r /s /spath="%USERPROFILE%\AppData\Local\Temp\OnboardLogs" /stypes="*4002*201708061*"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4002</v>
      </c>
      <c r="V21" s="31">
        <f t="shared" si="3"/>
        <v>42953.784641203703</v>
      </c>
      <c r="W21" s="45" t="str">
        <f t="shared" si="4"/>
        <v>EC</v>
      </c>
      <c r="X21" s="22">
        <f t="shared" si="5"/>
        <v>169</v>
      </c>
      <c r="Y21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{"issue":{"subject":"","project_id":79,"tracker_id":40,"status_id":1,"priority_id":2,"assigned_to_id":23,"start_date":"2017-08-06","description":"","custom_fields":[{"id":1,"name":"Subdivision","value":"EC"},{"id":4,"name":"Milepost","value":"23.3491"},{"id":17,"name":"Train ID","value":"169-06"},{"id":16,"name":"Locomotive ID","value":"4002"},{"id":130,"name":"Impact","value":""},{"id":150,"name":"Time of Event (Mountain Time)","value":"12:49:53"},{"id":151,"name":"Denver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/c/Users/stu/AppData/Local/Temp/OnboardLogs/RTDC4002 --include="*4002*201708061*"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"%USERPROFILE%\AppData\Local\Temp\OnboardLogs"\RTDC4002\*4002*201708061* &gt;&gt; 2017-08-06-SliceDisagreementCheck.txt</v>
      </c>
      <c r="AE21" s="145" t="str">
        <f t="shared" si="9"/>
        <v>start /low /b %USERPROFILE%\Documents\GitHub\eaglep3\Utilities\DownloadLogsFromS3.py --loco 4002 --day 2017-08-06</v>
      </c>
      <c r="AF21" s="1"/>
    </row>
    <row r="22" spans="1:32" x14ac:dyDescent="0.25">
      <c r="A22" s="31">
        <v>42953.652256944442</v>
      </c>
      <c r="B22" s="30" t="s">
        <v>467</v>
      </c>
      <c r="C22" s="30" t="s">
        <v>650</v>
      </c>
      <c r="D22" s="30" t="s">
        <v>49</v>
      </c>
      <c r="E22" s="30" t="s">
        <v>181</v>
      </c>
      <c r="F22" s="42">
        <v>0</v>
      </c>
      <c r="G22" s="42">
        <v>41</v>
      </c>
      <c r="H22" s="42">
        <v>233366</v>
      </c>
      <c r="I22" s="42">
        <v>233391</v>
      </c>
      <c r="J22" s="30" t="s">
        <v>182</v>
      </c>
      <c r="K22" s="42">
        <v>233491</v>
      </c>
      <c r="L22" s="131" t="s">
        <v>50</v>
      </c>
      <c r="M22" s="132">
        <f t="shared" si="0"/>
        <v>52.8</v>
      </c>
      <c r="N22" s="133" t="str">
        <f>VLOOKUP(C22,'Trips&amp;Operators'!$C$1:$G$99999,5,FALSE)</f>
        <v>THOMPSON LESTER</v>
      </c>
      <c r="O22" s="203" t="s">
        <v>180</v>
      </c>
      <c r="P22" s="134"/>
      <c r="Q22" s="30"/>
      <c r="R22" s="81" t="str">
        <f>VLOOKUP(C22,'Train Runs'!$A$13:$AE$9917,31,0)</f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S22" s="84" t="str">
        <f>VLOOKUP(C22,'Train Runs'!$A$13:$AE$9917,22,0)</f>
        <v>https://d0f6bd738d7f1b3e5a7ca70fe4ff75f0.us-east-1.aws.found.io/app/kibana#/discover/Steve-Slow-Train-Analysis-(2080s-and-2083s)?_g=(refreshInterval:(display:Off,pause:!f,section:0,value:0),time:(from:'2017-08-06T13:58:44-0600',mode:absolute,to:'2017-08-06T16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86" t="str">
        <f t="shared" si="1"/>
        <v>"C:\Program Files (x86)\AstroGrep\AstroGrep.exe" /e /r /s /spath="%USERPROFILE%\AppData\Local\Temp\OnboardLogs" /stypes="*4004*201708062*" /stext=" 21:.+((SYSTEM_STATE.+slice.+state.+changed )|(ment ac)|(multiple cpu faults)|(system.+state.+changed )|(\[timeout)|(PRM\|1\|D)|(kpr)|(kdp)|(train st.+moving)|(\|lc)|(penalty))"</v>
      </c>
      <c r="U22" s="9" t="str">
        <f t="shared" si="2"/>
        <v>4004</v>
      </c>
      <c r="V22" s="31">
        <f t="shared" si="3"/>
        <v>42953.902256944442</v>
      </c>
      <c r="W22" s="45" t="str">
        <f t="shared" si="4"/>
        <v>EC</v>
      </c>
      <c r="X22" s="22">
        <f t="shared" si="5"/>
        <v>191</v>
      </c>
      <c r="Y22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{"issue":{"subject":"","project_id":79,"tracker_id":40,"status_id":1,"priority_id":2,"assigned_to_id":23,"start_date":"2017-08-06","description":"","custom_fields":[{"id":1,"name":"Subdivision","value":"EC"},{"id":4,"name":"Milepost","value":"23.3491"},{"id":17,"name":"Train ID","value":"191-06"},{"id":16,"name":"Locomotive ID","value":"4004"},{"id":130,"name":"Impact","value":""},{"id":150,"name":"Time of Event (Mountain Time)","value":"15:39:15"},{"id":151,"name":"Denver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/c/Users/stu/AppData/Local/Temp/OnboardLogs/RTDC4004 --include="*4004*201708062*"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"%USERPROFILE%\AppData\Local\Temp\OnboardLogs"\RTDC4004\*4004*201708062* &gt;&gt; 2017-08-06-SliceDisagreementCheck.txt</v>
      </c>
      <c r="AE22" s="145" t="str">
        <f t="shared" si="9"/>
        <v>start /low /b %USERPROFILE%\Documents\GitHub\eaglep3\Utilities\DownloadLogsFromS3.py --loco 4004 --day 2017-08-06</v>
      </c>
      <c r="AF22" s="1"/>
    </row>
    <row r="23" spans="1:32" x14ac:dyDescent="0.25">
      <c r="A23" s="31">
        <v>42953.724907407406</v>
      </c>
      <c r="B23" s="30" t="s">
        <v>467</v>
      </c>
      <c r="C23" s="30" t="s">
        <v>655</v>
      </c>
      <c r="D23" s="30" t="s">
        <v>49</v>
      </c>
      <c r="E23" s="30" t="s">
        <v>181</v>
      </c>
      <c r="F23" s="42">
        <v>0</v>
      </c>
      <c r="G23" s="42">
        <v>73</v>
      </c>
      <c r="H23" s="42">
        <v>233234</v>
      </c>
      <c r="I23" s="42">
        <v>233345</v>
      </c>
      <c r="J23" s="30" t="s">
        <v>182</v>
      </c>
      <c r="K23" s="42">
        <v>233491</v>
      </c>
      <c r="L23" s="131" t="s">
        <v>50</v>
      </c>
      <c r="M23" s="132">
        <f t="shared" si="0"/>
        <v>77.087999999999994</v>
      </c>
      <c r="N23" s="133" t="str">
        <f>VLOOKUP(C23,'Trips&amp;Operators'!$C$1:$G$99999,5,FALSE)</f>
        <v>THOMPSON LESTER</v>
      </c>
      <c r="O23" s="203" t="s">
        <v>180</v>
      </c>
      <c r="P23" s="134"/>
      <c r="Q23" s="30"/>
      <c r="R23" s="81" t="str">
        <f>VLOOKUP(C23,'Train Runs'!$A$13:$AE$9917,31,0)</f>
        <v>aws s3 cp s3://rtdc.mdm.uploadarchive.raw/RTDC4004/ "%USERPROFILE%\AppData\Local\Temp\OnboardLogs"\RTDC4004\2017-08-06 --exclude "*" --recursive --include "*20170806*" &amp; "%USERPROFILE%\Documents\GitHub\mrs-test-scripts\Headless Mode &amp; Sideloading\WalkAndUnGZ.bat" "%USERPROFILE%\AppData\Local\Temp\OnboardLogs"\RTDC4004\2017-08-06 &amp; aws s3 cp s3://rtdc.mdm.uploadarchive.raw/RTDC4004/ "%USERPROFILE%\AppData\Local\Temp\OnboardLogs"\RTDC4004\2017-08-07 --exclude "*" --recursive --include "*20170807*" &amp; "%USERPROFILE%\Documents\GitHub\mrs-test-scripts\Headless Mode &amp; Sideloading\WalkAndUnGZ.bat" "%USERPROFILE%\AppData\Local\Temp\OnboardLogs"\RTDC4004\2017-08-07</v>
      </c>
      <c r="S23" s="84" t="str">
        <f>VLOOKUP(C23,'Train Runs'!$A$13:$AE$9917,22,0)</f>
        <v>https://d0f6bd738d7f1b3e5a7ca70fe4ff75f0.us-east-1.aws.found.io/app/kibana#/discover/Steve-Slow-Train-Analysis-(2080s-and-2083s)?_g=(refreshInterval:(display:Off,pause:!f,section:0,value:0),time:(from:'2017-08-06T15:42:35-0600',mode:absolute,to:'2017-08-06T18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3" s="86" t="str">
        <f t="shared" si="1"/>
        <v>"C:\Program Files (x86)\AstroGrep\AstroGrep.exe" /e /r /s /spath="%USERPROFILE%\AppData\Local\Temp\OnboardLogs" /stypes="*4004*201708062*"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4004</v>
      </c>
      <c r="V23" s="31">
        <f t="shared" si="3"/>
        <v>42953.974907407406</v>
      </c>
      <c r="W23" s="45" t="str">
        <f t="shared" si="4"/>
        <v>EC</v>
      </c>
      <c r="X23" s="22">
        <f t="shared" si="5"/>
        <v>205</v>
      </c>
      <c r="Y23" s="96" t="str">
        <f t="shared" si="6"/>
        <v>echo {"issue":{"subject":"","project_id":79,"tracker_id":40,"status_id":1,"priority_id":2,"assigned_to_id":23,"start_date":"2017-08-06","description":"","custom_fields":[{"id":1,"name":"Subdivision","value":"EC"},{"id":4,"name":"Milepost","value":"23.3491"},{"id":17,"name":"Train ID","value":"205-06"},{"id":16,"name":"Locomotive ID","value":"4004"},{"id":130,"name":"Impact","value":""},{"id":150,"name":"Time of Event (Mountain Time)","value":"17:23:52"},{"id":151,"name":"Denver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/c/Users/stu/AppData/Local/Temp/OnboardLogs/RTDC4004 --include="*4004*201708062*"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"%USERPROFILE%\AppData\Local\Temp\OnboardLogs"\RTDC4004\*4004*201708062* &gt;&gt; 2017-08-06-SliceDisagreementCheck.txt</v>
      </c>
      <c r="AE23" s="145" t="str">
        <f t="shared" si="9"/>
        <v>start /low /b %USERPROFILE%\Documents\GitHub\eaglep3\Utilities\DownloadLogsFromS3.py --loco 4004 --day 2017-08-06</v>
      </c>
      <c r="AF23" s="1"/>
    </row>
    <row r="24" spans="1:32" x14ac:dyDescent="0.25">
      <c r="A24" s="31">
        <v>42953.599328703705</v>
      </c>
      <c r="B24" s="30" t="s">
        <v>335</v>
      </c>
      <c r="C24" s="30" t="s">
        <v>646</v>
      </c>
      <c r="D24" s="30" t="s">
        <v>96</v>
      </c>
      <c r="E24" s="30" t="s">
        <v>196</v>
      </c>
      <c r="F24" s="42">
        <v>150</v>
      </c>
      <c r="G24" s="42">
        <v>205</v>
      </c>
      <c r="H24" s="42">
        <v>5312</v>
      </c>
      <c r="I24" s="42">
        <v>5654</v>
      </c>
      <c r="J24" s="30" t="s">
        <v>197</v>
      </c>
      <c r="K24" s="42">
        <v>574</v>
      </c>
      <c r="L24" s="131" t="s">
        <v>50</v>
      </c>
      <c r="M24" s="132">
        <f t="shared" si="0"/>
        <v>-2682.24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Runs'!$A$13:$AE$9917,31,0)</f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S24" s="84" t="str">
        <f>VLOOKUP(C24,'Train Runs'!$A$13:$AE$9917,22,0)</f>
        <v>https://d0f6bd738d7f1b3e5a7ca70fe4ff75f0.us-east-1.aws.found.io/app/kibana#/discover/Steve-Slow-Train-Analysis-(2080s-and-2083s)?_g=(refreshInterval:(display:Off,pause:!f,section:0,value:0),time:(from:'2017-08-06T13:11:16-0600',mode:absolute,to:'2017-08-06T15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4" s="86" t="str">
        <f t="shared" si="1"/>
        <v>"C:\Program Files (x86)\AstroGrep\AstroGrep.exe" /e /r /s /spath="%USERPROFILE%\AppData\Local\Temp\OnboardLogs" /stypes="*4022*201708062*"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4022</v>
      </c>
      <c r="V24" s="31">
        <f t="shared" si="3"/>
        <v>42953.849328703705</v>
      </c>
      <c r="W24" s="45" t="str">
        <f t="shared" si="4"/>
        <v>NW</v>
      </c>
      <c r="X24" s="22">
        <f t="shared" si="5"/>
        <v>1817</v>
      </c>
      <c r="Y24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{"issue":{"subject":"","project_id":79,"tracker_id":40,"status_id":1,"priority_id":2,"assigned_to_id":23,"start_date":"2017-08-06","description":"","custom_fields":[{"id":1,"name":"Subdivision","value":"NW"},{"id":4,"name":"Milepost","value":"0.0574"},{"id":17,"name":"Train ID","value":"1817-06"},{"id":16,"name":"Locomotive ID","value":"4022"},{"id":130,"name":"Impact","value":""},{"id":150,"name":"Time of Event (Mountain Time)","value":"14:23:02"},{"id":151,"name":"Denver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/c/Users/stu/AppData/Local/Temp/OnboardLogs/RTDC4022 --include="*4022*201708062*"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"%USERPROFILE%\AppData\Local\Temp\OnboardLogs"\RTDC4022\*4022*201708062* &gt;&gt; 2017-08-06-SliceDisagreementCheck.txt</v>
      </c>
      <c r="AE24" s="145" t="str">
        <f t="shared" si="9"/>
        <v>start /low /b %USERPROFILE%\Documents\GitHub\eaglep3\Utilities\DownloadLogsFromS3.py --loco 4022 --day 2017-08-06</v>
      </c>
      <c r="AF24" s="1"/>
    </row>
    <row r="25" spans="1:32" x14ac:dyDescent="0.25">
      <c r="A25" s="31">
        <v>42953.851956018516</v>
      </c>
      <c r="B25" s="30" t="s">
        <v>361</v>
      </c>
      <c r="C25" s="30" t="s">
        <v>659</v>
      </c>
      <c r="D25" s="30" t="s">
        <v>49</v>
      </c>
      <c r="E25" s="30" t="s">
        <v>196</v>
      </c>
      <c r="F25" s="42">
        <v>300</v>
      </c>
      <c r="G25" s="42">
        <v>354</v>
      </c>
      <c r="H25" s="42">
        <v>20551</v>
      </c>
      <c r="I25" s="42">
        <v>21541</v>
      </c>
      <c r="J25" s="30" t="s">
        <v>197</v>
      </c>
      <c r="K25" s="42">
        <v>21299</v>
      </c>
      <c r="L25" s="131" t="s">
        <v>50</v>
      </c>
      <c r="M25" s="132">
        <f t="shared" si="0"/>
        <v>-127.776</v>
      </c>
      <c r="N25" s="133" t="str">
        <f>VLOOKUP(C25,'Trips&amp;Operators'!$C$1:$G$99999,5,FALSE)</f>
        <v>HOLCOMB KAMDEN</v>
      </c>
      <c r="O25" s="203" t="s">
        <v>180</v>
      </c>
      <c r="P25" s="134"/>
      <c r="Q25" s="30"/>
      <c r="R25" s="81" t="str">
        <f>VLOOKUP(C25,'Train Runs'!$A$13:$AE$9917,31,0)</f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S25" s="84" t="str">
        <f>VLOOKUP(C25,'Train Runs'!$A$13:$AE$9917,22,0)</f>
        <v>https://d0f6bd738d7f1b3e5a7ca70fe4ff75f0.us-east-1.aws.found.io/app/kibana#/discover/Steve-Slow-Train-Analysis-(2080s-and-2083s)?_g=(refreshInterval:(display:Off,pause:!f,section:0,value:0),time:(from:'2017-08-06T19:20:12-0600',mode:absolute,to:'2017-08-06T21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/stypes="*4040*201708070*"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42954.101956018516</v>
      </c>
      <c r="W25" s="45" t="str">
        <f t="shared" si="4"/>
        <v>NW</v>
      </c>
      <c r="X25" s="22">
        <f t="shared" si="5"/>
        <v>1829</v>
      </c>
      <c r="Y25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{"issue":{"subject":"","project_id":79,"tracker_id":40,"status_id":1,"priority_id":2,"assigned_to_id":23,"start_date":"2017-08-06","description":"","custom_fields":[{"id":1,"name":"Subdivision","value":"NW"},{"id":4,"name":"Milepost","value":"2.1299"},{"id":17,"name":"Train ID","value":"1829-06"},{"id":16,"name":"Locomotive ID","value":"4040"},{"id":130,"name":"Impact","value":""},{"id":150,"name":"Time of Event (Mountain Time)","value":"20:26:49"},{"id":151,"name":"Denver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/c/Users/stu/AppData/Local/Temp/OnboardLogs/RTDC4040 --include="*4040*201708070*"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25" s="145" t="str">
        <f t="shared" si="9"/>
        <v>start /low /b %USERPROFILE%\Documents\GitHub\eaglep3\Utilities\DownloadLogsFromS3.py --loco 4040 --day 2017-08-07</v>
      </c>
      <c r="AF25" s="1"/>
    </row>
    <row r="26" spans="1:32" x14ac:dyDescent="0.25">
      <c r="A26" s="31">
        <v>42953.934687499997</v>
      </c>
      <c r="B26" s="30" t="s">
        <v>361</v>
      </c>
      <c r="C26" s="30" t="s">
        <v>663</v>
      </c>
      <c r="D26" s="30" t="s">
        <v>49</v>
      </c>
      <c r="E26" s="30" t="s">
        <v>196</v>
      </c>
      <c r="F26" s="42">
        <v>300</v>
      </c>
      <c r="G26" s="42">
        <v>353</v>
      </c>
      <c r="H26" s="42">
        <v>20396</v>
      </c>
      <c r="I26" s="42">
        <v>21407</v>
      </c>
      <c r="J26" s="30" t="s">
        <v>197</v>
      </c>
      <c r="K26" s="42">
        <v>21299</v>
      </c>
      <c r="L26" s="131" t="s">
        <v>50</v>
      </c>
      <c r="M26" s="132">
        <f t="shared" si="0"/>
        <v>-57.024000000000001</v>
      </c>
      <c r="N26" s="133" t="str">
        <f>VLOOKUP(C26,'Trips&amp;Operators'!$C$1:$G$99999,5,FALSE)</f>
        <v>HOLCOMB KAMDEN</v>
      </c>
      <c r="O26" s="203" t="s">
        <v>180</v>
      </c>
      <c r="P26" s="134"/>
      <c r="Q26" s="30"/>
      <c r="R26" s="81" t="str">
        <f>VLOOKUP(C26,'Train Runs'!$A$13:$AE$9917,31,0)</f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S26" s="84" t="str">
        <f>VLOOKUP(C26,'Train Runs'!$A$13:$AE$9917,22,0)</f>
        <v>https://d0f6bd738d7f1b3e5a7ca70fe4ff75f0.us-east-1.aws.found.io/app/kibana#/discover/Steve-Slow-Train-Analysis-(2080s-and-2083s)?_g=(refreshInterval:(display:Off,pause:!f,section:0,value:0),time:(from:'2017-08-06T21:17:40-0600',mode:absolute,to:'2017-08-06T23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 t="shared" si="1"/>
        <v>"C:\Program Files (x86)\AstroGrep\AstroGrep.exe" /e /r /s /spath="%USERPROFILE%\AppData\Local\Temp\OnboardLogs" /stypes="*4040*201708070*"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42954.184687499997</v>
      </c>
      <c r="W26" s="45" t="str">
        <f t="shared" si="4"/>
        <v>NW</v>
      </c>
      <c r="X26" s="22">
        <f t="shared" si="5"/>
        <v>1833</v>
      </c>
      <c r="Y26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{"issue":{"subject":"","project_id":79,"tracker_id":40,"status_id":1,"priority_id":2,"assigned_to_id":23,"start_date":"2017-08-06","description":"","custom_fields":[{"id":1,"name":"Subdivision","value":"NW"},{"id":4,"name":"Milepost","value":"2.1299"},{"id":17,"name":"Train ID","value":"1833-06"},{"id":16,"name":"Locomotive ID","value":"4040"},{"id":130,"name":"Impact","value":""},{"id":150,"name":"Time of Event (Mountain Time)","value":"22:25:57"},{"id":151,"name":"Denver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/c/Users/stu/AppData/Local/Temp/OnboardLogs/RTDC4040 --include="*4040*201708070*"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26" s="145" t="str">
        <f t="shared" si="9"/>
        <v>start /low /b %USERPROFILE%\Documents\GitHub\eaglep3\Utilities\DownloadLogsFromS3.py --loco 4040 --day 2017-08-07</v>
      </c>
      <c r="AF26" s="1"/>
    </row>
    <row r="27" spans="1:32" x14ac:dyDescent="0.25">
      <c r="A27" s="31">
        <v>42953.605428240742</v>
      </c>
      <c r="B27" s="30" t="s">
        <v>335</v>
      </c>
      <c r="C27" s="30" t="s">
        <v>646</v>
      </c>
      <c r="D27" s="30" t="s">
        <v>49</v>
      </c>
      <c r="E27" s="30" t="s">
        <v>196</v>
      </c>
      <c r="F27" s="42">
        <v>150</v>
      </c>
      <c r="G27" s="42">
        <v>352</v>
      </c>
      <c r="H27" s="42">
        <v>55102</v>
      </c>
      <c r="I27" s="42">
        <v>55780</v>
      </c>
      <c r="J27" s="30" t="s">
        <v>197</v>
      </c>
      <c r="K27" s="42">
        <v>57008</v>
      </c>
      <c r="L27" s="131" t="s">
        <v>50</v>
      </c>
      <c r="M27" s="132">
        <f t="shared" si="0"/>
        <v>648.38400000000001</v>
      </c>
      <c r="N27" s="133" t="str">
        <f>VLOOKUP(C27,'Trips&amp;Operators'!$C$1:$G$99999,5,FALSE)</f>
        <v>HOLCOMB KAMDEN</v>
      </c>
      <c r="O27" s="203" t="s">
        <v>180</v>
      </c>
      <c r="P27" s="134"/>
      <c r="Q27" s="30"/>
      <c r="R27" s="81" t="str">
        <f>VLOOKUP(C27,'Train Runs'!$A$13:$AE$9917,31,0)</f>
        <v>aws s3 cp s3://rtdc.mdm.uploadarchive.raw/RTDC4022/ "%USERPROFILE%\AppData\Local\Temp\OnboardLogs"\RTDC4022\2017-08-06 --exclude "*" --recursive --include "*20170806*" &amp; "%USERPROFILE%\Documents\GitHub\mrs-test-scripts\Headless Mode &amp; Sideloading\WalkAndUnGZ.bat" "%USERPROFILE%\AppData\Local\Temp\OnboardLogs"\RTDC4022\2017-08-06 &amp; aws s3 cp s3://rtdc.mdm.uploadarchive.raw/RTDC4022/ "%USERPROFILE%\AppData\Local\Temp\OnboardLogs"\RTDC4022\2017-08-07 --exclude "*" --recursive --include "*20170807*" &amp; "%USERPROFILE%\Documents\GitHub\mrs-test-scripts\Headless Mode &amp; Sideloading\WalkAndUnGZ.bat" "%USERPROFILE%\AppData\Local\Temp\OnboardLogs"\RTDC4022\2017-08-07</v>
      </c>
      <c r="S27" s="84" t="str">
        <f>VLOOKUP(C27,'Train Runs'!$A$13:$AE$9917,22,0)</f>
        <v>https://d0f6bd738d7f1b3e5a7ca70fe4ff75f0.us-east-1.aws.found.io/app/kibana#/discover/Steve-Slow-Train-Analysis-(2080s-and-2083s)?_g=(refreshInterval:(display:Off,pause:!f,section:0,value:0),time:(from:'2017-08-06T13:11:16-0600',mode:absolute,to:'2017-08-06T15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7" s="86" t="str">
        <f t="shared" si="1"/>
        <v>"C:\Program Files (x86)\AstroGrep\AstroGrep.exe" /e /r /s /spath="%USERPROFILE%\AppData\Local\Temp\OnboardLogs" /stypes="*4022*201708062*"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4022</v>
      </c>
      <c r="V27" s="31">
        <f t="shared" si="3"/>
        <v>42953.855428240742</v>
      </c>
      <c r="W27" s="45" t="str">
        <f t="shared" si="4"/>
        <v>NW</v>
      </c>
      <c r="X27" s="22">
        <f t="shared" si="5"/>
        <v>1817</v>
      </c>
      <c r="Y27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{"issue":{"subject":"","project_id":79,"tracker_id":40,"status_id":1,"priority_id":2,"assigned_to_id":23,"start_date":"2017-08-06","description":"","custom_fields":[{"id":1,"name":"Subdivision","value":"NW"},{"id":4,"name":"Milepost","value":"5.7008"},{"id":17,"name":"Train ID","value":"1817-06"},{"id":16,"name":"Locomotive ID","value":"4022"},{"id":130,"name":"Impact","value":""},{"id":150,"name":"Time of Event (Mountain Time)","value":"14:31:49"},{"id":151,"name":"Denver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/c/Users/stu/AppData/Local/Temp/OnboardLogs/RTDC4022 --include="*4022*201708062*"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"%USERPROFILE%\AppData\Local\Temp\OnboardLogs"\RTDC4022\*4022*201708062* &gt;&gt; 2017-08-06-SliceDisagreementCheck.txt</v>
      </c>
      <c r="AE27" s="145" t="str">
        <f t="shared" si="9"/>
        <v>start /low /b %USERPROFILE%\Documents\GitHub\eaglep3\Utilities\DownloadLogsFromS3.py --loco 4022 --day 2017-08-06</v>
      </c>
      <c r="AF27" s="1"/>
    </row>
    <row r="28" spans="1:32" x14ac:dyDescent="0.25">
      <c r="A28" s="31">
        <v>42953.811296296299</v>
      </c>
      <c r="B28" s="30" t="s">
        <v>361</v>
      </c>
      <c r="C28" s="30" t="s">
        <v>658</v>
      </c>
      <c r="D28" s="30" t="s">
        <v>49</v>
      </c>
      <c r="E28" s="30" t="s">
        <v>464</v>
      </c>
      <c r="F28" s="42">
        <v>0</v>
      </c>
      <c r="G28" s="42">
        <v>297</v>
      </c>
      <c r="H28" s="42">
        <v>36702</v>
      </c>
      <c r="I28" s="42">
        <v>37615</v>
      </c>
      <c r="J28" s="30" t="s">
        <v>465</v>
      </c>
      <c r="K28" s="42">
        <v>37575</v>
      </c>
      <c r="L28" s="131" t="s">
        <v>50</v>
      </c>
      <c r="M28" s="132">
        <f t="shared" si="0"/>
        <v>-21.12</v>
      </c>
      <c r="N28" s="133" t="str">
        <f>VLOOKUP(C28,'Trips&amp;Operators'!$C$1:$G$99999,5,FALSE)</f>
        <v>HOLCOMB KAMDEN</v>
      </c>
      <c r="O28" s="203" t="s">
        <v>492</v>
      </c>
      <c r="P28" s="134" t="s">
        <v>529</v>
      </c>
      <c r="Q28" s="30"/>
      <c r="R28" s="81" t="str">
        <f>VLOOKUP(C28,'Train Runs'!$A$13:$AE$9917,31,0)</f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S28" s="84" t="str">
        <f>VLOOKUP(C28,'Train Runs'!$A$13:$AE$9917,22,0)</f>
        <v>https://d0f6bd738d7f1b3e5a7ca70fe4ff75f0.us-east-1.aws.found.io/app/kibana#/discover/Steve-Slow-Train-Analysis-(2080s-and-2083s)?_g=(refreshInterval:(display:Off,pause:!f,section:0,value:0),time:(from:'2017-08-06T18:11:06-0600',mode:absolute,to:'2017-08-06T20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86" t="str">
        <f t="shared" si="1"/>
        <v>"C:\Program Files (x86)\AstroGrep\AstroGrep.exe" /e /r /s /spath="%USERPROFILE%\AppData\Local\Temp\OnboardLogs" /stypes="*4040*201708070*" /stext=" 01:.+((SYSTEM_STATE.+slice.+state.+changed )|(ment ac)|(multiple cpu faults)|(system.+state.+changed )|(\[timeout)|(PRM\|1\|D)|(kpr)|(kdp)|(train st.+moving)|(\|lc)|(penalty))"</v>
      </c>
      <c r="U28" s="9" t="str">
        <f t="shared" si="2"/>
        <v>4040</v>
      </c>
      <c r="V28" s="31">
        <f t="shared" si="3"/>
        <v>42954.061296296299</v>
      </c>
      <c r="W28" s="45" t="str">
        <f t="shared" si="4"/>
        <v>NW</v>
      </c>
      <c r="X28" s="22">
        <f t="shared" si="5"/>
        <v>1827</v>
      </c>
      <c r="Y28" s="96" t="str">
        <f t="shared" si="6"/>
        <v>echo {"issue":{"subject":"Wi-MAX data drop","project_id":79,"tracker_id":40,"status_id":1,"priority_id":2,"assigned_to_id":23,"start_date":"2017-08-06","description":"","custom_fields":[{"id":1,"name":"Subdivision","value":"NW"},{"id":4,"name":"Milepost","value":"3.7575"},{"id":17,"name":"Train ID","value":"1827-06"},{"id":16,"name":"Locomotive ID","value":"4040"},{"id":130,"name":"Impact","value":""},{"id":150,"name":"Time of Event (Mountain Time)","value":"19:28:16"},{"id":151,"name":"Denver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/c/Users/stu/AppData/Local/Temp/OnboardLogs/RTDC4040 --include="*4040*201708070*"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28" s="145" t="str">
        <f t="shared" si="9"/>
        <v>start /low /b %USERPROFILE%\Documents\GitHub\eaglep3\Utilities\DownloadLogsFromS3.py --loco 4040 --day 2017-08-07</v>
      </c>
      <c r="AF28" s="1"/>
    </row>
    <row r="29" spans="1:32" x14ac:dyDescent="0.25">
      <c r="A29" s="31">
        <v>42953.663194444445</v>
      </c>
      <c r="B29" s="30" t="s">
        <v>651</v>
      </c>
      <c r="C29" s="30" t="s">
        <v>652</v>
      </c>
      <c r="D29" s="30" t="s">
        <v>49</v>
      </c>
      <c r="E29" s="30" t="s">
        <v>181</v>
      </c>
      <c r="F29" s="42">
        <v>0</v>
      </c>
      <c r="G29" s="42">
        <v>37</v>
      </c>
      <c r="H29" s="42">
        <v>99</v>
      </c>
      <c r="I29" s="42">
        <v>86</v>
      </c>
      <c r="J29" s="30" t="s">
        <v>182</v>
      </c>
      <c r="K29" s="42">
        <v>1</v>
      </c>
      <c r="L29" s="131" t="s">
        <v>51</v>
      </c>
      <c r="M29" s="132">
        <f t="shared" si="0"/>
        <v>44.88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Runs'!$A$13:$AE$9917,31,0)</f>
        <v>aws s3 cp s3://rtdc.mdm.uploadarchive.raw/RTDC4021/ "%USERPROFILE%\AppData\Local\Temp\OnboardLogs"\RTDC4021\2017-08-06 --exclude "*" --recursive --include "*20170806*" &amp; "%USERPROFILE%\Documents\GitHub\mrs-test-scripts\Headless Mode &amp; Sideloading\WalkAndUnGZ.bat" "%USERPROFILE%\AppData\Local\Temp\OnboardLogs"\RTDC4021\2017-08-06 &amp; aws s3 cp s3://rtdc.mdm.uploadarchive.raw/RTDC4021/ "%USERPROFILE%\AppData\Local\Temp\OnboardLogs"\RTDC4021\2017-08-07 --exclude "*" --recursive --include "*20170807*" &amp; "%USERPROFILE%\Documents\GitHub\mrs-test-scripts\Headless Mode &amp; Sideloading\WalkAndUnGZ.bat" "%USERPROFILE%\AppData\Local\Temp\OnboardLogs"\RTDC4021\2017-08-07</v>
      </c>
      <c r="S29" s="84" t="str">
        <f>VLOOKUP(C29,'Train Runs'!$A$13:$AE$9917,22,0)</f>
        <v>https://d0f6bd738d7f1b3e5a7ca70fe4ff75f0.us-east-1.aws.found.io/app/kibana#/discover/Steve-Slow-Train-Analysis-(2080s-and-2083s)?_g=(refreshInterval:(display:Off,pause:!f,section:0,value:0),time:(from:'2017-08-06T14:36:46-0600',mode:absolute,to:'2017-08-06T16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86" t="str">
        <f t="shared" si="1"/>
        <v>"C:\Program Files (x86)\AstroGrep\AstroGrep.exe" /e /r /s /spath="%USERPROFILE%\AppData\Local\Temp\OnboardLogs" /stypes="*4021*201708062*"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4021</v>
      </c>
      <c r="V29" s="31">
        <f t="shared" si="3"/>
        <v>42953.913194444445</v>
      </c>
      <c r="W29" s="45" t="str">
        <f t="shared" si="4"/>
        <v>NW</v>
      </c>
      <c r="X29" s="22">
        <f t="shared" si="5"/>
        <v>1820</v>
      </c>
      <c r="Y29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{"issue":{"subject":"","project_id":79,"tracker_id":40,"status_id":1,"priority_id":2,"assigned_to_id":23,"start_date":"2017-08-06","description":"","custom_fields":[{"id":1,"name":"Subdivision","value":"NW"},{"id":4,"name":"Milepost","value":"0.0001"},{"id":17,"name":"Train ID","value":"1820-06"},{"id":16,"name":"Locomotive ID","value":"4021"},{"id":130,"name":"Impact","value":""},{"id":150,"name":"Time of Event (Mountain Time)","value":"15:55:00"},{"id":151,"name":"Denver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/c/Users/stu/AppData/Local/Temp/OnboardLogs/RTDC4021 --include="*4021*201708062*"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"%USERPROFILE%\AppData\Local\Temp\OnboardLogs"\RTDC4021\*4021*201708062* &gt;&gt; 2017-08-06-SliceDisagreementCheck.txt</v>
      </c>
      <c r="AE29" s="145" t="str">
        <f t="shared" si="9"/>
        <v>start /low /b %USERPROFILE%\Documents\GitHub\eaglep3\Utilities\DownloadLogsFromS3.py --loco 4021 --day 2017-08-06</v>
      </c>
      <c r="AF29" s="1"/>
    </row>
    <row r="30" spans="1:32" x14ac:dyDescent="0.25">
      <c r="A30" s="31">
        <v>42953.871296296296</v>
      </c>
      <c r="B30" s="30" t="s">
        <v>358</v>
      </c>
      <c r="C30" s="30" t="s">
        <v>660</v>
      </c>
      <c r="D30" s="30" t="s">
        <v>49</v>
      </c>
      <c r="E30" s="30" t="s">
        <v>181</v>
      </c>
      <c r="F30" s="42">
        <v>0</v>
      </c>
      <c r="G30" s="42">
        <v>47</v>
      </c>
      <c r="H30" s="42">
        <v>719</v>
      </c>
      <c r="I30" s="42">
        <v>691</v>
      </c>
      <c r="J30" s="30" t="s">
        <v>182</v>
      </c>
      <c r="K30" s="42">
        <v>575</v>
      </c>
      <c r="L30" s="131" t="s">
        <v>51</v>
      </c>
      <c r="M30" s="132">
        <f t="shared" si="0"/>
        <v>61.247999999999998</v>
      </c>
      <c r="N30" s="133" t="str">
        <f>VLOOKUP(C30,'Trips&amp;Operators'!$C$1:$G$99999,5,FALSE)</f>
        <v>HOLCOMB KAMDEN</v>
      </c>
      <c r="O30" s="203" t="s">
        <v>180</v>
      </c>
      <c r="P30" s="134"/>
      <c r="Q30" s="30"/>
      <c r="R30" s="81" t="str">
        <f>VLOOKUP(C30,'Train Runs'!$A$13:$AE$9917,31,0)</f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S30" s="84" t="str">
        <f>VLOOKUP(C30,'Train Runs'!$A$13:$AE$9917,22,0)</f>
        <v>https://d0f6bd738d7f1b3e5a7ca70fe4ff75f0.us-east-1.aws.found.io/app/kibana#/discover/Steve-Slow-Train-Analysis-(2080s-and-2083s)?_g=(refreshInterval:(display:Off,pause:!f,section:0,value:0),time:(from:'2017-08-06T19:37:38-0600',mode:absolute,to:'2017-08-06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86" t="str">
        <f t="shared" si="1"/>
        <v>"C:\Program Files (x86)\AstroGrep\AstroGrep.exe" /e /r /s /spath="%USERPROFILE%\AppData\Local\Temp\OnboardLogs" /stypes="*4039*201708070*" /stext=" 02:.+((SYSTEM_STATE.+slice.+state.+changed )|(ment ac)|(multiple cpu faults)|(system.+state.+changed )|(\[timeout)|(PRM\|1\|D)|(kpr)|(kdp)|(train st.+moving)|(\|lc)|(penalty))"</v>
      </c>
      <c r="U30" s="9" t="str">
        <f t="shared" si="2"/>
        <v>4039</v>
      </c>
      <c r="V30" s="31">
        <f t="shared" si="3"/>
        <v>42954.121296296296</v>
      </c>
      <c r="W30" s="45" t="str">
        <f t="shared" si="4"/>
        <v>NW</v>
      </c>
      <c r="X30" s="22">
        <f t="shared" si="5"/>
        <v>1830</v>
      </c>
      <c r="Y30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{"issue":{"subject":"","project_id":79,"tracker_id":40,"status_id":1,"priority_id":2,"assigned_to_id":23,"start_date":"2017-08-06","description":"","custom_fields":[{"id":1,"name":"Subdivision","value":"NW"},{"id":4,"name":"Milepost","value":"0.0575"},{"id":17,"name":"Train ID","value":"1830-06"},{"id":16,"name":"Locomotive ID","value":"4039"},{"id":130,"name":"Impact","value":""},{"id":150,"name":"Time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/c/Users/stu/AppData/Local/Temp/OnboardLogs/RTDC4039 --include="*4039*201708070*"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"%USERPROFILE%\AppData\Local\Temp\OnboardLogs"\RTDC4039\*4039*201708070* &gt;&gt; 2017-08-06-SliceDisagreementCheck.txt</v>
      </c>
      <c r="AE30" s="145" t="str">
        <f t="shared" si="9"/>
        <v>start /low /b %USERPROFILE%\Documents\GitHub\eaglep3\Utilities\DownloadLogsFromS3.py --loco 4039 --day 2017-08-07</v>
      </c>
      <c r="AF30" s="1"/>
    </row>
    <row r="31" spans="1:32" x14ac:dyDescent="0.25">
      <c r="A31" s="31">
        <v>42953.774328703701</v>
      </c>
      <c r="B31" s="30" t="s">
        <v>361</v>
      </c>
      <c r="C31" s="30" t="s">
        <v>656</v>
      </c>
      <c r="D31" s="30" t="s">
        <v>49</v>
      </c>
      <c r="E31" s="30" t="s">
        <v>181</v>
      </c>
      <c r="F31" s="42">
        <v>0</v>
      </c>
      <c r="G31" s="42">
        <v>16</v>
      </c>
      <c r="H31" s="42">
        <v>59031</v>
      </c>
      <c r="I31" s="42">
        <v>59037</v>
      </c>
      <c r="J31" s="30" t="s">
        <v>182</v>
      </c>
      <c r="K31" s="42">
        <v>59048</v>
      </c>
      <c r="L31" s="131" t="s">
        <v>50</v>
      </c>
      <c r="M31" s="132">
        <f t="shared" si="0"/>
        <v>5.8079999999999998</v>
      </c>
      <c r="N31" s="133" t="str">
        <f>VLOOKUP(C31,'Trips&amp;Operators'!$C$1:$G$99999,5,FALSE)</f>
        <v>HOLCOMB KAMDEN</v>
      </c>
      <c r="O31" s="203" t="s">
        <v>180</v>
      </c>
      <c r="P31" s="134"/>
      <c r="Q31" s="30"/>
      <c r="R31" s="81" t="str">
        <f>VLOOKUP(C31,'Train Runs'!$A$13:$AE$9917,31,0)</f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S31" s="84" t="str">
        <f>VLOOKUP(C31,'Train Runs'!$A$13:$AE$9917,22,0)</f>
        <v>https://d0f6bd738d7f1b3e5a7ca70fe4ff75f0.us-east-1.aws.found.io/app/kibana#/discover/Steve-Slow-Train-Analysis-(2080s-and-2083s)?_g=(refreshInterval:(display:Off,pause:!f,section:0,value:0),time:(from:'2017-08-06T17:15:27-0600',mode:absolute,to:'2017-08-06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/stypes="*4040*201708070*"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42954.024328703701</v>
      </c>
      <c r="W31" s="45" t="str">
        <f t="shared" si="4"/>
        <v>NW</v>
      </c>
      <c r="X31" s="22">
        <f t="shared" si="5"/>
        <v>1825</v>
      </c>
      <c r="Y31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{"issue":{"subject":"","project_id":79,"tracker_id":40,"status_id":1,"priority_id":2,"assigned_to_id":23,"start_date":"2017-08-06","description":"","custom_fields":[{"id":1,"name":"Subdivision","value":"NW"},{"id":4,"name":"Milepost","value":"5.9048"},{"id":17,"name":"Train ID","value":"1825-06"},{"id":16,"name":"Locomotive ID","value":"4040"},{"id":130,"name":"Impact","value":""},{"id":150,"name":"Time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/c/Users/stu/AppData/Local/Temp/OnboardLogs/RTDC4040 --include="*4040*201708070*"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31" s="145" t="str">
        <f t="shared" si="9"/>
        <v>start /low /b %USERPROFILE%\Documents\GitHub\eaglep3\Utilities\DownloadLogsFromS3.py --loco 4040 --day 2017-08-07</v>
      </c>
      <c r="AF31" s="1"/>
    </row>
    <row r="32" spans="1:32" x14ac:dyDescent="0.25">
      <c r="A32" s="31">
        <v>42953.898958333331</v>
      </c>
      <c r="B32" s="30" t="s">
        <v>361</v>
      </c>
      <c r="C32" s="30" t="s">
        <v>661</v>
      </c>
      <c r="D32" s="30" t="s">
        <v>49</v>
      </c>
      <c r="E32" s="30" t="s">
        <v>181</v>
      </c>
      <c r="F32" s="42">
        <v>0</v>
      </c>
      <c r="G32" s="42">
        <v>35</v>
      </c>
      <c r="H32" s="42">
        <v>58976</v>
      </c>
      <c r="I32" s="42">
        <v>59007</v>
      </c>
      <c r="J32" s="30" t="s">
        <v>182</v>
      </c>
      <c r="K32" s="42">
        <v>59048</v>
      </c>
      <c r="L32" s="131" t="s">
        <v>50</v>
      </c>
      <c r="M32" s="132">
        <f t="shared" si="0"/>
        <v>21.648000000000003</v>
      </c>
      <c r="N32" s="133" t="str">
        <f>VLOOKUP(C32,'Trips&amp;Operators'!$C$1:$G$99999,5,FALSE)</f>
        <v>HOLCOMB KAMDEN</v>
      </c>
      <c r="O32" s="203" t="s">
        <v>180</v>
      </c>
      <c r="P32" s="134"/>
      <c r="Q32" s="30"/>
      <c r="R32" s="81" t="str">
        <f>VLOOKUP(C32,'Train Runs'!$A$13:$AE$9917,31,0)</f>
        <v>aws s3 cp s3://rtdc.mdm.uploadarchive.raw/RTDC4040/ "%USERPROFILE%\AppData\Local\Temp\OnboardLogs"\RTDC4040\2017-08-06 --exclude "*" --recursive --include "*20170806*" &amp; "%USERPROFILE%\Documents\GitHub\mrs-test-scripts\Headless Mode &amp; Sideloading\WalkAndUnGZ.bat" "%USERPROFILE%\AppData\Local\Temp\OnboardLogs"\RTDC4040\2017-08-06 &amp; aws s3 cp s3://rtdc.mdm.uploadarchive.raw/RTDC4040/ "%USERPROFILE%\AppData\Local\Temp\OnboardLogs"\RTDC4040\2017-08-07 --exclude "*" --recursive --include "*20170807*" &amp; "%USERPROFILE%\Documents\GitHub\mrs-test-scripts\Headless Mode &amp; Sideloading\WalkAndUnGZ.bat" "%USERPROFILE%\AppData\Local\Temp\OnboardLogs"\RTDC4040\2017-08-07</v>
      </c>
      <c r="S32" s="84" t="str">
        <f>VLOOKUP(C32,'Train Runs'!$A$13:$AE$9917,22,0)</f>
        <v>https://d0f6bd738d7f1b3e5a7ca70fe4ff75f0.us-east-1.aws.found.io/app/kibana#/discover/Steve-Slow-Train-Analysis-(2080s-and-2083s)?_g=(refreshInterval:(display:Off,pause:!f,section:0,value:0),time:(from:'2017-08-06T20:19:22-0600',mode:absolute,to:'2017-08-06T22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6" t="str">
        <f t="shared" si="1"/>
        <v>"C:\Program Files (x86)\AstroGrep\AstroGrep.exe" /e /r /s /spath="%USERPROFILE%\AppData\Local\Temp\OnboardLogs" /stypes="*4040*201708070*" /stext=" 03:.+((SYSTEM_STATE.+slice.+state.+changed )|(ment ac)|(multiple cpu faults)|(system.+state.+changed )|(\[timeout)|(PRM\|1\|D)|(kpr)|(kdp)|(train st.+moving)|(\|lc)|(penalty))"</v>
      </c>
      <c r="U32" s="9" t="str">
        <f t="shared" si="2"/>
        <v>4040</v>
      </c>
      <c r="V32" s="31">
        <f t="shared" si="3"/>
        <v>42954.148958333331</v>
      </c>
      <c r="W32" s="45" t="str">
        <f t="shared" si="4"/>
        <v>NW</v>
      </c>
      <c r="X32" s="22">
        <f t="shared" si="5"/>
        <v>1831</v>
      </c>
      <c r="Y32" s="96" t="str">
        <f t="shared" si="6"/>
        <v>echo {"issue":{"subject":"","project_id":79,"tracker_id":40,"status_id":1,"priority_id":2,"assigned_to_id":23,"start_date":"2017-08-06","description":"","custom_fields":[{"id":1,"name":"Subdivision","value":"NW"},{"id":4,"name":"Milepost","value":"5.9048"},{"id":17,"name":"Train ID","value":"1831-06"},{"id":16,"name":"Locomotive ID","value":"4040"},{"id":130,"name":"Impact","value":""},{"id":150,"name":"Time of Event (Mountain Time)","value":"21:34:30"},{"id":151,"name":"Denver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/c/Users/stu/AppData/Local/Temp/OnboardLogs/RTDC4040 --include="*4040*201708070*"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32" s="145" t="str">
        <f t="shared" si="9"/>
        <v>start /low /b %USERPROFILE%\Documents\GitHub\eaglep3\Utilities\DownloadLogsFromS3.py --loco 4040 --day 2017-08-07</v>
      </c>
      <c r="AF32" s="1"/>
    </row>
    <row r="33" spans="1:32" x14ac:dyDescent="0.25">
      <c r="A33" s="31">
        <v>42953.951273148145</v>
      </c>
      <c r="B33" s="30" t="s">
        <v>361</v>
      </c>
      <c r="C33" s="30" t="s">
        <v>664</v>
      </c>
      <c r="D33" s="30" t="s">
        <v>49</v>
      </c>
      <c r="E33" s="30" t="s">
        <v>464</v>
      </c>
      <c r="F33" s="42">
        <v>0</v>
      </c>
      <c r="G33" s="42">
        <v>62</v>
      </c>
      <c r="H33" s="42">
        <v>22022</v>
      </c>
      <c r="I33" s="42">
        <v>22072</v>
      </c>
      <c r="J33" s="30" t="s">
        <v>465</v>
      </c>
      <c r="K33" s="42">
        <v>22206</v>
      </c>
      <c r="L33" s="131" t="s">
        <v>50</v>
      </c>
      <c r="M33" s="132">
        <f t="shared" si="0"/>
        <v>70.751999999999995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Runs'!$A$13:$AE$9917,31,0)</f>
        <v>aws s3 cp s3://rtdc.mdm.uploadarchive.raw/RTDC4039/ "%USERPROFILE%\AppData\Local\Temp\OnboardLogs"\RTDC4039\2017-08-06 --exclude "*" --recursive --include "*20170806*" &amp; "%USERPROFILE%\Documents\GitHub\mrs-test-scripts\Headless Mode &amp; Sideloading\WalkAndUnGZ.bat" "%USERPROFILE%\AppData\Local\Temp\OnboardLogs"\RTDC4039\2017-08-06 &amp; aws s3 cp s3://rtdc.mdm.uploadarchive.raw/RTDC4039/ "%USERPROFILE%\AppData\Local\Temp\OnboardLogs"\RTDC4039\2017-08-07 --exclude "*" --recursive --include "*20170807*" &amp; "%USERPROFILE%\Documents\GitHub\mrs-test-scripts\Headless Mode &amp; Sideloading\WalkAndUnGZ.bat" "%USERPROFILE%\AppData\Local\Temp\OnboardLogs"\RTDC4039\2017-08-07</v>
      </c>
      <c r="S33" s="84" t="str">
        <f>VLOOKUP(C33,'Train Runs'!$A$13:$AE$9917,22,0)</f>
        <v>https://d0f6bd738d7f1b3e5a7ca70fe4ff75f0.us-east-1.aws.found.io/app/kibana#/discover/Steve-Slow-Train-Analysis-(2080s-and-2083s)?_g=(refreshInterval:(display:Off,pause:!f,section:0,value:0),time:(from:'2017-08-06T21:37:03-0600',mode:absolute,to:'2017-08-06T23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/stypes="*4040*201708070*" /stext=" 04:.+((SYSTEM_STATE.+slice.+state.+changed )|(ment ac)|(multiple cpu faults)|(system.+state.+changed )|(\[timeout)|(PRM\|1\|D)|(kpr)|(kdp)|(train st.+moving)|(\|lc)|(penalty))"</v>
      </c>
      <c r="U33" s="9" t="str">
        <f t="shared" si="2"/>
        <v>4040</v>
      </c>
      <c r="V33" s="31">
        <f t="shared" si="3"/>
        <v>42954.201273148145</v>
      </c>
      <c r="W33" s="45" t="str">
        <f t="shared" si="4"/>
        <v>Other</v>
      </c>
      <c r="X33" s="22">
        <f t="shared" si="5"/>
        <v>1902</v>
      </c>
      <c r="Y33" s="96" t="str">
        <f t="shared" si="6"/>
        <v>echo {"issue":{"subject":"","project_id":79,"tracker_id":40,"status_id":1,"priority_id":2,"assigned_to_id":23,"start_date":"2017-08-06","description":"","custom_fields":[{"id":1,"name":"Subdivision","value":"Other"},{"id":4,"name":"Milepost","value":"2.2206"},{"id":17,"name":"Train ID","value":"1902-06"},{"id":16,"name":"Locomotive ID","value":"4040"},{"id":130,"name":"Impact","value":""},{"id":150,"name":"Time of Event (Mountain Time)","value":"22:49:50"},{"id":151,"name":"Denver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/c/Users/stu/AppData/Local/Temp/OnboardLogs/RTDC4040 --include="*4040*201708070*"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"%USERPROFILE%\AppData\Local\Temp\OnboardLogs"\RTDC4040\*4040*201708070* &gt;&gt; 2017-08-06-SliceDisagreementCheck.txt</v>
      </c>
      <c r="AE33" s="145" t="str">
        <f t="shared" si="9"/>
        <v>start /low /b %USERPROFILE%\Documents\GitHub\eaglep3\Utilities\DownloadLogsFromS3.py --loco 4040 --day 2017-08-07</v>
      </c>
      <c r="AF33" s="1"/>
    </row>
    <row r="34" spans="1:32" x14ac:dyDescent="0.25">
      <c r="A34" s="31">
        <v>42953.138356481482</v>
      </c>
      <c r="B34" s="30" t="s">
        <v>577</v>
      </c>
      <c r="C34" s="30" t="s">
        <v>637</v>
      </c>
      <c r="D34" s="30" t="s">
        <v>96</v>
      </c>
      <c r="E34" s="30" t="s">
        <v>464</v>
      </c>
      <c r="F34" s="42">
        <v>0</v>
      </c>
      <c r="G34" s="42">
        <v>145</v>
      </c>
      <c r="H34" s="42">
        <v>23084</v>
      </c>
      <c r="I34" s="42">
        <v>22961</v>
      </c>
      <c r="J34" s="30" t="s">
        <v>465</v>
      </c>
      <c r="K34" s="42">
        <v>24161</v>
      </c>
      <c r="L34" s="131" t="s">
        <v>51</v>
      </c>
      <c r="M34" s="132">
        <f t="shared" si="0"/>
        <v>-633.6</v>
      </c>
      <c r="N34" s="133" t="str">
        <f>VLOOKUP(C34,'Trips&amp;Operators'!$C$1:$G$99999,5,FALSE)</f>
        <v>WILLIAMS DONTE</v>
      </c>
      <c r="O34" s="203" t="s">
        <v>180</v>
      </c>
      <c r="P34" s="134"/>
      <c r="Q34" s="30"/>
      <c r="R34" s="81" t="str">
        <f>VLOOKUP(C34,'Train Runs'!$A$13:$AE$9917,31,0)</f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S34" s="84" t="str">
        <f>VLOOKUP(C34,'Train Runs'!$A$13:$AE$9917,22,0)</f>
        <v>https://d0f6bd738d7f1b3e5a7ca70fe4ff75f0.us-east-1.aws.found.io/app/kibana#/discover/Steve-Slow-Train-Analysis-(2080s-and-2083s)?_g=(refreshInterval:(display:Off,pause:!f,section:0,value:0),time:(from:'2017-08-06T02:29:26-0600',mode:absolute,to:'2017-08-06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 t="shared" si="1"/>
        <v>"C:\Program Files (x86)\AstroGrep\AstroGrep.exe" /e /r /s /spath="%USERPROFILE%\AppData\Local\Temp\OnboardLogs" /stypes="*4043*201708060*" /stext=" 09:.+((SYSTEM_STATE.+slice.+state.+changed )|(ment ac)|(multiple cpu faults)|(system.+state.+changed )|(\[timeout)|(PRM\|1\|D)|(kpr)|(kdp)|(train st.+moving)|(\|lc)|(penalty))"</v>
      </c>
      <c r="U34" s="9" t="str">
        <f t="shared" si="2"/>
        <v>4043</v>
      </c>
      <c r="V34" s="31">
        <f t="shared" si="3"/>
        <v>42953.388356481482</v>
      </c>
      <c r="W34" s="45" t="str">
        <f t="shared" si="4"/>
        <v>Other</v>
      </c>
      <c r="X34" s="22">
        <f t="shared" si="5"/>
        <v>302</v>
      </c>
      <c r="Y34" s="96" t="str">
        <f t="shared" si="6"/>
        <v>echo {"issue":{"subject":"","project_id":79,"tracker_id":40,"status_id":1,"priority_id":2,"assigned_to_id":23,"start_date":"2017-08-06","description":"","custom_fields":[{"id":1,"name":"Subdivision","value":"Other"},{"id":4,"name":"Milepost","value":"2.4161"},{"id":17,"name":"Train ID","value":"302-06"},{"id":16,"name":"Locomotive ID","value":"4043"},{"id":130,"name":"Impact","value":""},{"id":150,"name":"Time of Event (Mountain Time)","value":"03:19:14"},{"id":151,"name":"Denver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/c/Users/stu/AppData/Local/Temp/OnboardLogs/RTDC4043 --include="*4043*201708060*"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"%USERPROFILE%\AppData\Local\Temp\OnboardLogs"\RTDC4043\*4043*201708060* &gt;&gt; 2017-08-06-SliceDisagreementCheck.txt</v>
      </c>
      <c r="AE34" s="145" t="str">
        <f t="shared" si="9"/>
        <v>start /low /b %USERPROFILE%\Documents\GitHub\eaglep3\Utilities\DownloadLogsFromS3.py --loco 4043 --day 2017-08-06</v>
      </c>
      <c r="AF34" s="1"/>
    </row>
    <row r="35" spans="1:32" x14ac:dyDescent="0.25">
      <c r="A35" s="31">
        <v>42953.138796296298</v>
      </c>
      <c r="B35" s="30" t="s">
        <v>577</v>
      </c>
      <c r="C35" s="30" t="s">
        <v>637</v>
      </c>
      <c r="D35" s="30" t="s">
        <v>96</v>
      </c>
      <c r="E35" s="30" t="s">
        <v>464</v>
      </c>
      <c r="F35" s="42">
        <v>0</v>
      </c>
      <c r="G35" s="42">
        <v>11</v>
      </c>
      <c r="H35" s="42">
        <v>22968</v>
      </c>
      <c r="I35" s="42">
        <v>22938</v>
      </c>
      <c r="J35" s="30" t="s">
        <v>465</v>
      </c>
      <c r="K35" s="42">
        <v>24161</v>
      </c>
      <c r="L35" s="131" t="s">
        <v>51</v>
      </c>
      <c r="M35" s="132">
        <f t="shared" si="0"/>
        <v>-645.74400000000003</v>
      </c>
      <c r="N35" s="133" t="str">
        <f>VLOOKUP(C35,'Trips&amp;Operators'!$C$1:$G$99999,5,FALSE)</f>
        <v>WILLIAMS DONTE</v>
      </c>
      <c r="O35" s="203" t="s">
        <v>180</v>
      </c>
      <c r="P35" s="134"/>
      <c r="Q35" s="30"/>
      <c r="R35" s="81" t="str">
        <f>VLOOKUP(C35,'Train Runs'!$A$13:$AE$9917,31,0)</f>
        <v>aws s3 cp s3://rtdc.mdm.uploadarchive.raw/RTDC4043/ "%USERPROFILE%\AppData\Local\Temp\OnboardLogs"\RTDC4043\2017-08-06 --exclude "*" --recursive --include "*20170806*" &amp; "%USERPROFILE%\Documents\GitHub\mrs-test-scripts\Headless Mode &amp; Sideloading\WalkAndUnGZ.bat" "%USERPROFILE%\AppData\Local\Temp\OnboardLogs"\RTDC4043\2017-08-06 &amp; aws s3 cp s3://rtdc.mdm.uploadarchive.raw/RTDC4043/ "%USERPROFILE%\AppData\Local\Temp\OnboardLogs"\RTDC4043\2017-08-07 --exclude "*" --recursive --include "*20170807*" &amp; "%USERPROFILE%\Documents\GitHub\mrs-test-scripts\Headless Mode &amp; Sideloading\WalkAndUnGZ.bat" "%USERPROFILE%\AppData\Local\Temp\OnboardLogs"\RTDC4043\2017-08-07</v>
      </c>
      <c r="S35" s="84" t="str">
        <f>VLOOKUP(C35,'Train Runs'!$A$13:$AE$9917,22,0)</f>
        <v>https://d0f6bd738d7f1b3e5a7ca70fe4ff75f0.us-east-1.aws.found.io/app/kibana#/discover/Steve-Slow-Train-Analysis-(2080s-and-2083s)?_g=(refreshInterval:(display:Off,pause:!f,section:0,value:0),time:(from:'2017-08-06T02:29:26-0600',mode:absolute,to:'2017-08-06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5" s="86" t="str">
        <f t="shared" si="1"/>
        <v>"C:\Program Files (x86)\AstroGrep\AstroGrep.exe" /e /r /s /spath="%USERPROFILE%\AppData\Local\Temp\OnboardLogs" /stypes="*4043*201708060*" /stext=" 09:.+((SYSTEM_STATE.+slice.+state.+changed )|(ment ac)|(multiple cpu faults)|(system.+state.+changed )|(\[timeout)|(PRM\|1\|D)|(kpr)|(kdp)|(train st.+moving)|(\|lc)|(penalty))"</v>
      </c>
      <c r="U35" s="9" t="str">
        <f t="shared" si="2"/>
        <v>4043</v>
      </c>
      <c r="V35" s="31">
        <f t="shared" si="3"/>
        <v>42953.388796296298</v>
      </c>
      <c r="W35" s="45" t="str">
        <f t="shared" si="4"/>
        <v>Other</v>
      </c>
      <c r="X35" s="22">
        <f t="shared" si="5"/>
        <v>302</v>
      </c>
      <c r="Y35" s="96" t="str">
        <f t="shared" si="6"/>
        <v>echo {"issue":{"subject":"","project_id":79,"tracker_id":40,"status_id":1,"priority_id":2,"assigned_to_id":23,"start_date":"2017-08-06","description":"","custom_fields":[{"id":1,"name":"Subdivision","value":"Other"},{"id":4,"name":"Milepost","value":"2.4161"},{"id":17,"name":"Train ID","value":"302-06"},{"id":16,"name":"Locomotive ID","value":"4043"},{"id":130,"name":"Impact","value":""},{"id":150,"name":"Time of Event (Mountain Time)","value":"03:19:52"},{"id":151,"name":"Denver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/c/Users/stu/AppData/Local/Temp/OnboardLogs/RTDC4043 --include="*4043*201708060*"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"%USERPROFILE%\AppData\Local\Temp\OnboardLogs"\RTDC4043\*4043*201708060* &gt;&gt; 2017-08-06-SliceDisagreementCheck.txt</v>
      </c>
      <c r="AE35" s="145" t="str">
        <f t="shared" si="9"/>
        <v>start /low /b %USERPROFILE%\Documents\GitHub\eaglep3\Utilities\DownloadLogsFromS3.py --loco 4043 --day 2017-08-06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35"/>
      <sortCondition ref="E7:E35"/>
      <sortCondition ref="K7:K35"/>
      <sortCondition ref="F7:F35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topLeftCell="A2"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Runs'!$A$13:$A$99914,1,FALSE)</f>
        <v>#N/A</v>
      </c>
    </row>
    <row r="4" spans="1:10" x14ac:dyDescent="0.25">
      <c r="A4" s="195"/>
      <c r="B4" s="42" t="str">
        <f>A4&amp;"-"&amp;IF(DAY(Variables!$A$2)&lt;10,0,"")&amp;DAY(Variables!$A$2)</f>
        <v>-06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Runs'!$A$13:$A$99914,1,FALSE)</f>
        <v>#N/A</v>
      </c>
    </row>
    <row r="5" spans="1:10" x14ac:dyDescent="0.25">
      <c r="A5" s="195"/>
      <c r="B5" s="42" t="str">
        <f>A5&amp;"-"&amp;IF(DAY(Variables!$A$2)&lt;10,0,"")&amp;DAY(Variables!$A$2)</f>
        <v>-06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Runs'!$A$13:$A$99914,1,FALSE)</f>
        <v>#N/A</v>
      </c>
    </row>
    <row r="6" spans="1:10" x14ac:dyDescent="0.25">
      <c r="A6" s="195"/>
      <c r="B6" s="42" t="str">
        <f>A6&amp;"-"&amp;IF(DAY(Variables!$A$2)&lt;10,0,"")&amp;DAY(Variables!$A$2)</f>
        <v>-06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Runs'!$A$13:$A$99914,1,FALSE)</f>
        <v>#N/A</v>
      </c>
    </row>
    <row r="7" spans="1:10" x14ac:dyDescent="0.25">
      <c r="A7" s="195"/>
      <c r="B7" s="42" t="str">
        <f>A7&amp;"-"&amp;IF(DAY(Variables!$A$2)&lt;10,0,"")&amp;DAY(Variables!$A$2)</f>
        <v>-06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Runs'!$A$13:$A$99914,1,FALSE)</f>
        <v>#N/A</v>
      </c>
    </row>
    <row r="8" spans="1:10" x14ac:dyDescent="0.25">
      <c r="A8" s="195"/>
      <c r="B8" s="42" t="str">
        <f>A8&amp;"-"&amp;IF(DAY(Variables!$A$2)&lt;10,0,"")&amp;DAY(Variables!$A$2)</f>
        <v>-06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Runs'!$A$13:$A$99914,1,FALSE)</f>
        <v>#N/A</v>
      </c>
    </row>
    <row r="9" spans="1:10" x14ac:dyDescent="0.25">
      <c r="A9" s="195"/>
      <c r="B9" s="42" t="str">
        <f>A9&amp;"-"&amp;IF(DAY(Variables!$A$2)&lt;10,0,"")&amp;DAY(Variables!$A$2)</f>
        <v>-06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Runs'!$A$13:$A$99914,1,FALSE)</f>
        <v>#N/A</v>
      </c>
    </row>
    <row r="10" spans="1:10" x14ac:dyDescent="0.25">
      <c r="A10" s="195"/>
      <c r="B10" s="42" t="str">
        <f>A10&amp;"-"&amp;IF(DAY(Variables!$A$2)&lt;10,0,"")&amp;DAY(Variables!$A$2)</f>
        <v>-06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Runs'!$A$13:$A$99914,1,FALSE)</f>
        <v>#N/A</v>
      </c>
    </row>
    <row r="11" spans="1:10" x14ac:dyDescent="0.25">
      <c r="A11" s="195"/>
      <c r="B11" s="42" t="str">
        <f>A11&amp;"-"&amp;IF(DAY(Variables!$A$2)&lt;10,0,"")&amp;DAY(Variables!$A$2)</f>
        <v>-06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Runs'!$A$13:$A$99914,1,FALSE)</f>
        <v>#N/A</v>
      </c>
    </row>
    <row r="12" spans="1:10" x14ac:dyDescent="0.25">
      <c r="A12" s="195"/>
      <c r="B12" s="42" t="str">
        <f>A12&amp;"-"&amp;IF(DAY(Variables!$A$2)&lt;10,0,"")&amp;DAY(Variables!$A$2)</f>
        <v>-06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Runs'!$A$13:$A$99914,1,FALSE)</f>
        <v>#N/A</v>
      </c>
    </row>
    <row r="13" spans="1:10" x14ac:dyDescent="0.25">
      <c r="A13" s="195"/>
      <c r="B13" s="42" t="str">
        <f>A13&amp;"-"&amp;IF(DAY(Variables!$A$2)&lt;10,0,"")&amp;DAY(Variables!$A$2)</f>
        <v>-06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Runs'!$A$13:$A$99914,1,FALSE)</f>
        <v>#N/A</v>
      </c>
    </row>
    <row r="14" spans="1:10" x14ac:dyDescent="0.25">
      <c r="A14" s="195"/>
      <c r="B14" s="42" t="str">
        <f>A14&amp;"-"&amp;IF(DAY(Variables!$A$2)&lt;10,0,"")&amp;DAY(Variables!$A$2)</f>
        <v>-06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Runs'!$A$13:$A$99914,1,FALSE)</f>
        <v>#N/A</v>
      </c>
    </row>
    <row r="15" spans="1:10" x14ac:dyDescent="0.25">
      <c r="A15" s="195"/>
      <c r="B15" s="42" t="str">
        <f>A15&amp;"-"&amp;IF(DAY(Variables!$A$2)&lt;10,0,"")&amp;DAY(Variables!$A$2)</f>
        <v>-06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Runs'!$A$13:$A$99914,1,FALSE)</f>
        <v>#N/A</v>
      </c>
    </row>
    <row r="16" spans="1:10" x14ac:dyDescent="0.25">
      <c r="A16" s="195"/>
      <c r="B16" s="42" t="str">
        <f>A16&amp;"-"&amp;IF(DAY(Variables!$A$2)&lt;10,0,"")&amp;DAY(Variables!$A$2)</f>
        <v>-06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Runs'!$A$13:$A$99914,1,FALSE)</f>
        <v>#N/A</v>
      </c>
    </row>
    <row r="17" spans="1:10" x14ac:dyDescent="0.25">
      <c r="A17" s="195"/>
      <c r="B17" s="42" t="str">
        <f>A17&amp;"-"&amp;IF(DAY(Variables!$A$2)&lt;10,0,"")&amp;DAY(Variables!$A$2)</f>
        <v>-06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Runs'!$A$13:$A$99914,1,FALSE)</f>
        <v>#N/A</v>
      </c>
    </row>
    <row r="18" spans="1:10" x14ac:dyDescent="0.25">
      <c r="A18" s="195"/>
      <c r="B18" s="42" t="str">
        <f>A18&amp;"-"&amp;IF(DAY(Variables!$A$2)&lt;10,0,"")&amp;DAY(Variables!$A$2)</f>
        <v>-06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Runs'!$A$13:$A$99914,1,FALSE)</f>
        <v>#N/A</v>
      </c>
    </row>
    <row r="19" spans="1:10" x14ac:dyDescent="0.25">
      <c r="A19" s="195"/>
      <c r="B19" s="42" t="str">
        <f>A19&amp;"-"&amp;IF(DAY(Variables!$A$2)&lt;10,0,"")&amp;DAY(Variables!$A$2)</f>
        <v>-06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Runs'!$A$13:$A$99914,1,FALSE)</f>
        <v>#N/A</v>
      </c>
    </row>
    <row r="20" spans="1:10" x14ac:dyDescent="0.25">
      <c r="A20" s="195"/>
      <c r="B20" s="42" t="str">
        <f>A20&amp;"-"&amp;IF(DAY(Variables!$A$2)&lt;10,0,"")&amp;DAY(Variables!$A$2)</f>
        <v>-06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Runs'!$A$13:$A$99914,1,FALSE)</f>
        <v>#N/A</v>
      </c>
    </row>
    <row r="21" spans="1:10" x14ac:dyDescent="0.25">
      <c r="A21" s="195"/>
      <c r="B21" s="42" t="str">
        <f>A21&amp;"-"&amp;IF(DAY(Variables!$A$2)&lt;10,0,"")&amp;DAY(Variables!$A$2)</f>
        <v>-06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Runs'!$A$13:$A$99914,1,FALSE)</f>
        <v>#N/A</v>
      </c>
    </row>
    <row r="22" spans="1:10" x14ac:dyDescent="0.25">
      <c r="A22" s="195"/>
      <c r="B22" s="42" t="str">
        <f>A22&amp;"-"&amp;IF(DAY(Variables!$A$2)&lt;10,0,"")&amp;DAY(Variables!$A$2)</f>
        <v>-06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Runs'!$A$13:$A$99914,1,FALSE)</f>
        <v>#N/A</v>
      </c>
    </row>
    <row r="23" spans="1:10" x14ac:dyDescent="0.25">
      <c r="A23" s="195"/>
      <c r="B23" s="42" t="str">
        <f>A23&amp;"-"&amp;IF(DAY(Variables!$A$2)&lt;10,0,"")&amp;DAY(Variables!$A$2)</f>
        <v>-06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Runs'!$A$13:$A$99914,1,FALSE)</f>
        <v>#N/A</v>
      </c>
    </row>
    <row r="24" spans="1:10" x14ac:dyDescent="0.25">
      <c r="A24" s="195"/>
      <c r="B24" s="42" t="str">
        <f>A24&amp;"-"&amp;IF(DAY(Variables!$A$2)&lt;10,0,"")&amp;DAY(Variables!$A$2)</f>
        <v>-06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Runs'!$A$13:$A$99914,1,FALSE)</f>
        <v>#N/A</v>
      </c>
    </row>
    <row r="25" spans="1:10" x14ac:dyDescent="0.25">
      <c r="A25" s="195"/>
      <c r="B25" s="42" t="str">
        <f>A25&amp;"-"&amp;IF(DAY(Variables!$A$2)&lt;10,0,"")&amp;DAY(Variables!$A$2)</f>
        <v>-06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Runs'!$A$13:$A$99914,1,FALSE)</f>
        <v>#N/A</v>
      </c>
    </row>
    <row r="26" spans="1:10" x14ac:dyDescent="0.25">
      <c r="A26" s="195"/>
      <c r="B26" s="42" t="str">
        <f>A26&amp;"-"&amp;IF(DAY(Variables!$A$2)&lt;10,0,"")&amp;DAY(Variables!$A$2)</f>
        <v>-06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Runs'!$A$13:$A$99914,1,FALSE)</f>
        <v>#N/A</v>
      </c>
    </row>
    <row r="27" spans="1:10" x14ac:dyDescent="0.25">
      <c r="A27" s="195"/>
      <c r="B27" s="42" t="str">
        <f>A27&amp;"-"&amp;IF(DAY(Variables!$A$2)&lt;10,0,"")&amp;DAY(Variables!$A$2)</f>
        <v>-06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Runs'!$A$13:$A$99914,1,FALSE)</f>
        <v>#N/A</v>
      </c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</sheetData>
  <autoFilter ref="A2:J35"/>
  <sortState ref="A3:J114">
    <sortCondition ref="A3:A114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42953.035590277781</v>
      </c>
      <c r="B2" s="20" t="s">
        <v>468</v>
      </c>
      <c r="C2" s="20" t="s">
        <v>665</v>
      </c>
      <c r="D2" s="138">
        <v>2620000</v>
      </c>
      <c r="E2" s="20" t="s">
        <v>583</v>
      </c>
      <c r="F2" s="20" t="s">
        <v>584</v>
      </c>
      <c r="G2" s="8" t="str">
        <f>E2&amp;" "&amp;F2</f>
        <v>PERKINS DARREN</v>
      </c>
    </row>
    <row r="3" spans="1:7" x14ac:dyDescent="0.25">
      <c r="A3" s="8">
        <v>42953.036770833336</v>
      </c>
      <c r="B3" s="20" t="s">
        <v>486</v>
      </c>
      <c r="C3" s="20" t="s">
        <v>666</v>
      </c>
      <c r="D3" s="138">
        <v>3090000</v>
      </c>
      <c r="E3" s="20" t="s">
        <v>364</v>
      </c>
      <c r="F3" s="20" t="s">
        <v>365</v>
      </c>
      <c r="G3" s="8" t="str">
        <f t="shared" ref="G3:G66" si="0">E3&amp;" "&amp;F3</f>
        <v>LAMAR NEKESHA</v>
      </c>
    </row>
    <row r="4" spans="1:7" x14ac:dyDescent="0.25">
      <c r="A4" s="8">
        <v>42953.04755787037</v>
      </c>
      <c r="B4" s="20" t="s">
        <v>536</v>
      </c>
      <c r="C4" s="20" t="s">
        <v>436</v>
      </c>
      <c r="D4" s="138">
        <v>2730000</v>
      </c>
      <c r="E4" s="20" t="s">
        <v>511</v>
      </c>
      <c r="F4" s="20" t="s">
        <v>512</v>
      </c>
      <c r="G4" s="8" t="str">
        <f t="shared" si="0"/>
        <v>YANG JAN</v>
      </c>
    </row>
    <row r="5" spans="1:7" x14ac:dyDescent="0.25">
      <c r="A5" s="8">
        <v>42953.049085648148</v>
      </c>
      <c r="B5" s="20" t="s">
        <v>407</v>
      </c>
      <c r="C5" s="20" t="s">
        <v>438</v>
      </c>
      <c r="D5" s="138">
        <v>3000000</v>
      </c>
      <c r="E5" s="20" t="s">
        <v>382</v>
      </c>
      <c r="F5" s="20" t="s">
        <v>383</v>
      </c>
      <c r="G5" s="8" t="str">
        <f t="shared" si="0"/>
        <v>FORTUNATO FRANK</v>
      </c>
    </row>
    <row r="6" spans="1:7" x14ac:dyDescent="0.25">
      <c r="A6" s="8">
        <v>42953.069282407407</v>
      </c>
      <c r="B6" s="20" t="s">
        <v>469</v>
      </c>
      <c r="C6" s="20" t="s">
        <v>437</v>
      </c>
      <c r="D6" s="138">
        <v>2620000</v>
      </c>
      <c r="E6" s="20" t="s">
        <v>583</v>
      </c>
      <c r="F6" s="20" t="s">
        <v>584</v>
      </c>
      <c r="G6" s="8" t="str">
        <f t="shared" si="0"/>
        <v>PERKINS DARREN</v>
      </c>
    </row>
    <row r="7" spans="1:7" x14ac:dyDescent="0.25">
      <c r="A7" s="8">
        <v>42953.076215277775</v>
      </c>
      <c r="B7" s="20" t="s">
        <v>485</v>
      </c>
      <c r="C7" s="20" t="s">
        <v>667</v>
      </c>
      <c r="D7" s="138">
        <v>3090000</v>
      </c>
      <c r="E7" s="20" t="s">
        <v>364</v>
      </c>
      <c r="F7" s="20" t="s">
        <v>365</v>
      </c>
      <c r="G7" s="8" t="str">
        <f t="shared" si="0"/>
        <v>LAMAR NEKESHA</v>
      </c>
    </row>
    <row r="8" spans="1:7" x14ac:dyDescent="0.25">
      <c r="A8" s="8">
        <v>42953.088877314818</v>
      </c>
      <c r="B8" s="20" t="s">
        <v>378</v>
      </c>
      <c r="C8" s="20" t="s">
        <v>439</v>
      </c>
      <c r="D8" s="138">
        <v>3000000</v>
      </c>
      <c r="E8" s="20" t="s">
        <v>382</v>
      </c>
      <c r="F8" s="20" t="s">
        <v>383</v>
      </c>
      <c r="G8" s="8" t="str">
        <f t="shared" si="0"/>
        <v>FORTUNATO FRANK</v>
      </c>
    </row>
    <row r="9" spans="1:7" ht="15.75" thickBot="1" x14ac:dyDescent="0.3">
      <c r="A9" s="24">
        <v>42953.110567129632</v>
      </c>
      <c r="B9" s="20" t="s">
        <v>486</v>
      </c>
      <c r="C9" s="20" t="s">
        <v>440</v>
      </c>
      <c r="D9" s="138">
        <v>3090000</v>
      </c>
      <c r="E9" s="20" t="s">
        <v>364</v>
      </c>
      <c r="F9" s="20" t="s">
        <v>365</v>
      </c>
      <c r="G9" s="8" t="str">
        <f t="shared" si="0"/>
        <v>LAMAR NEKESHA</v>
      </c>
    </row>
    <row r="10" spans="1:7" x14ac:dyDescent="0.25">
      <c r="A10" s="8">
        <v>42953.115416666667</v>
      </c>
      <c r="B10" s="20" t="s">
        <v>358</v>
      </c>
      <c r="C10" s="20" t="s">
        <v>668</v>
      </c>
      <c r="D10" s="138">
        <v>2010000</v>
      </c>
      <c r="E10" s="20" t="s">
        <v>669</v>
      </c>
      <c r="F10" s="20" t="s">
        <v>670</v>
      </c>
      <c r="G10" s="8" t="str">
        <f t="shared" si="0"/>
        <v>MAELZER KURT</v>
      </c>
    </row>
    <row r="11" spans="1:7" x14ac:dyDescent="0.25">
      <c r="A11" s="8">
        <v>42953.115995370368</v>
      </c>
      <c r="B11" s="20" t="s">
        <v>358</v>
      </c>
      <c r="C11" s="20" t="s">
        <v>668</v>
      </c>
      <c r="D11" s="138">
        <v>2010000</v>
      </c>
      <c r="E11" s="20" t="s">
        <v>669</v>
      </c>
      <c r="F11" s="20" t="s">
        <v>670</v>
      </c>
      <c r="G11" s="8" t="str">
        <f t="shared" si="0"/>
        <v>MAELZER KURT</v>
      </c>
    </row>
    <row r="12" spans="1:7" x14ac:dyDescent="0.25">
      <c r="A12" s="8">
        <v>42953.117592592593</v>
      </c>
      <c r="B12" s="20" t="s">
        <v>358</v>
      </c>
      <c r="C12" s="20" t="s">
        <v>668</v>
      </c>
      <c r="D12" s="138">
        <v>2010000</v>
      </c>
      <c r="E12" s="20" t="s">
        <v>669</v>
      </c>
      <c r="F12" s="20" t="s">
        <v>670</v>
      </c>
      <c r="G12" s="8" t="str">
        <f t="shared" si="0"/>
        <v>MAELZER KURT</v>
      </c>
    </row>
    <row r="13" spans="1:7" x14ac:dyDescent="0.25">
      <c r="A13" s="8">
        <v>42953.133159722223</v>
      </c>
      <c r="B13" s="20" t="s">
        <v>648</v>
      </c>
      <c r="C13" s="20" t="s">
        <v>671</v>
      </c>
      <c r="D13" s="138">
        <v>2010000</v>
      </c>
      <c r="E13" s="20" t="s">
        <v>669</v>
      </c>
      <c r="F13" s="20" t="s">
        <v>670</v>
      </c>
      <c r="G13" s="8" t="str">
        <f t="shared" si="0"/>
        <v>MAELZER KURT</v>
      </c>
    </row>
    <row r="14" spans="1:7" x14ac:dyDescent="0.25">
      <c r="A14" s="8">
        <v>42953.135347222225</v>
      </c>
      <c r="B14" s="20" t="s">
        <v>577</v>
      </c>
      <c r="C14" s="20" t="s">
        <v>637</v>
      </c>
      <c r="D14" s="138">
        <v>3040000</v>
      </c>
      <c r="E14" s="20" t="s">
        <v>369</v>
      </c>
      <c r="F14" s="20" t="s">
        <v>370</v>
      </c>
      <c r="G14" s="8" t="str">
        <f t="shared" si="0"/>
        <v>WILLIAMS DONTE</v>
      </c>
    </row>
    <row r="15" spans="1:7" x14ac:dyDescent="0.25">
      <c r="A15" s="8">
        <v>42953.135740740741</v>
      </c>
      <c r="B15" s="20" t="s">
        <v>361</v>
      </c>
      <c r="C15" s="20" t="s">
        <v>672</v>
      </c>
      <c r="D15" s="138">
        <v>1800000</v>
      </c>
      <c r="E15" s="20" t="s">
        <v>673</v>
      </c>
      <c r="F15" s="20" t="s">
        <v>674</v>
      </c>
      <c r="G15" s="8" t="str">
        <f t="shared" si="0"/>
        <v>CHANDLER KELVIN</v>
      </c>
    </row>
    <row r="16" spans="1:7" x14ac:dyDescent="0.25">
      <c r="A16" s="8">
        <v>42953.139849537038</v>
      </c>
      <c r="B16" s="20" t="s">
        <v>358</v>
      </c>
      <c r="C16" s="20" t="s">
        <v>675</v>
      </c>
      <c r="D16" s="138">
        <v>1800000</v>
      </c>
      <c r="E16" s="20" t="s">
        <v>673</v>
      </c>
      <c r="F16" s="20" t="s">
        <v>674</v>
      </c>
      <c r="G16" s="8" t="str">
        <f t="shared" si="0"/>
        <v>CHANDLER KELVIN</v>
      </c>
    </row>
    <row r="17" spans="1:7" x14ac:dyDescent="0.25">
      <c r="A17" s="8">
        <v>42953.145613425928</v>
      </c>
      <c r="B17" s="20" t="s">
        <v>577</v>
      </c>
      <c r="C17" s="20" t="s">
        <v>637</v>
      </c>
      <c r="D17" s="138">
        <v>3040000</v>
      </c>
      <c r="E17" s="20" t="s">
        <v>369</v>
      </c>
      <c r="F17" s="20" t="s">
        <v>370</v>
      </c>
      <c r="G17" s="8" t="str">
        <f t="shared" si="0"/>
        <v>WILLIAMS DONTE</v>
      </c>
    </row>
    <row r="18" spans="1:7" x14ac:dyDescent="0.25">
      <c r="A18" s="8">
        <v>42953.148553240739</v>
      </c>
      <c r="B18" s="20" t="s">
        <v>576</v>
      </c>
      <c r="C18" s="20" t="s">
        <v>676</v>
      </c>
      <c r="D18" s="138">
        <v>3040000</v>
      </c>
      <c r="E18" s="20" t="s">
        <v>369</v>
      </c>
      <c r="F18" s="20" t="s">
        <v>370</v>
      </c>
      <c r="G18" s="8" t="str">
        <f t="shared" si="0"/>
        <v>WILLIAMS DONTE</v>
      </c>
    </row>
    <row r="19" spans="1:7" x14ac:dyDescent="0.25">
      <c r="A19" s="8">
        <v>42953.156585648147</v>
      </c>
      <c r="B19" s="20" t="s">
        <v>513</v>
      </c>
      <c r="C19" s="20" t="s">
        <v>677</v>
      </c>
      <c r="D19" s="138">
        <v>1990000</v>
      </c>
      <c r="E19" s="20" t="s">
        <v>379</v>
      </c>
      <c r="F19" s="20" t="s">
        <v>532</v>
      </c>
      <c r="G19" s="8" t="str">
        <f t="shared" si="0"/>
        <v>DAVIS WENDY</v>
      </c>
    </row>
    <row r="20" spans="1:7" x14ac:dyDescent="0.25">
      <c r="A20" s="8">
        <v>42953.167523148149</v>
      </c>
      <c r="B20" s="20" t="s">
        <v>463</v>
      </c>
      <c r="C20" s="20" t="s">
        <v>678</v>
      </c>
      <c r="D20" s="138">
        <v>1810000</v>
      </c>
      <c r="E20" s="20" t="s">
        <v>679</v>
      </c>
      <c r="F20" s="20" t="s">
        <v>189</v>
      </c>
      <c r="G20" s="8" t="str">
        <f t="shared" si="0"/>
        <v>NEWELL JAMES</v>
      </c>
    </row>
    <row r="21" spans="1:7" x14ac:dyDescent="0.25">
      <c r="A21" s="8">
        <v>42953.167800925927</v>
      </c>
      <c r="B21" s="20" t="s">
        <v>514</v>
      </c>
      <c r="C21" s="20" t="s">
        <v>680</v>
      </c>
      <c r="D21" s="138">
        <v>1990000</v>
      </c>
      <c r="E21" s="20" t="s">
        <v>379</v>
      </c>
      <c r="F21" s="20" t="s">
        <v>532</v>
      </c>
      <c r="G21" s="8" t="str">
        <f t="shared" si="0"/>
        <v>DAVIS WENDY</v>
      </c>
    </row>
    <row r="22" spans="1:7" x14ac:dyDescent="0.25">
      <c r="A22" s="26">
        <v>42953.171747685185</v>
      </c>
      <c r="B22" s="20" t="s">
        <v>441</v>
      </c>
      <c r="C22" s="20" t="s">
        <v>681</v>
      </c>
      <c r="D22" s="138">
        <v>2010000</v>
      </c>
      <c r="E22" s="20" t="s">
        <v>669</v>
      </c>
      <c r="F22" s="20" t="s">
        <v>670</v>
      </c>
      <c r="G22" s="8" t="str">
        <f t="shared" si="0"/>
        <v>MAELZER KURT</v>
      </c>
    </row>
    <row r="23" spans="1:7" x14ac:dyDescent="0.25">
      <c r="A23" s="8">
        <v>42953.179363425923</v>
      </c>
      <c r="B23" s="20" t="s">
        <v>530</v>
      </c>
      <c r="C23" s="20" t="s">
        <v>682</v>
      </c>
      <c r="D23" s="138">
        <v>1100000</v>
      </c>
      <c r="E23" s="20" t="s">
        <v>683</v>
      </c>
      <c r="F23" s="20" t="s">
        <v>684</v>
      </c>
      <c r="G23" s="8" t="str">
        <f t="shared" si="0"/>
        <v>GEBRETEKLE DAGNEW</v>
      </c>
    </row>
    <row r="24" spans="1:7" x14ac:dyDescent="0.25">
      <c r="A24" s="8">
        <v>42953.185972222222</v>
      </c>
      <c r="B24" s="20" t="s">
        <v>467</v>
      </c>
      <c r="C24" s="20" t="s">
        <v>685</v>
      </c>
      <c r="D24" s="138">
        <v>1810000</v>
      </c>
      <c r="E24" s="20" t="s">
        <v>679</v>
      </c>
      <c r="F24" s="20" t="s">
        <v>189</v>
      </c>
      <c r="G24" s="8" t="str">
        <f t="shared" si="0"/>
        <v>NEWELL JAMES</v>
      </c>
    </row>
    <row r="25" spans="1:7" x14ac:dyDescent="0.25">
      <c r="A25" s="8">
        <v>42953.193414351852</v>
      </c>
      <c r="B25" s="20" t="s">
        <v>577</v>
      </c>
      <c r="C25" s="20" t="s">
        <v>686</v>
      </c>
      <c r="D25" s="138">
        <v>3040000</v>
      </c>
      <c r="E25" s="20" t="s">
        <v>369</v>
      </c>
      <c r="F25" s="20" t="s">
        <v>370</v>
      </c>
      <c r="G25" s="8" t="str">
        <f t="shared" si="0"/>
        <v>WILLIAMS DONTE</v>
      </c>
    </row>
    <row r="26" spans="1:7" x14ac:dyDescent="0.25">
      <c r="A26" s="8">
        <v>42953.193668981483</v>
      </c>
      <c r="B26" s="20" t="s">
        <v>466</v>
      </c>
      <c r="C26" s="20" t="s">
        <v>687</v>
      </c>
      <c r="D26" s="138">
        <v>1100000</v>
      </c>
      <c r="E26" s="20" t="s">
        <v>683</v>
      </c>
      <c r="F26" s="20" t="s">
        <v>684</v>
      </c>
      <c r="G26" s="8" t="str">
        <f t="shared" si="0"/>
        <v>GEBRETEKLE DAGNEW</v>
      </c>
    </row>
    <row r="27" spans="1:7" x14ac:dyDescent="0.25">
      <c r="A27" s="8">
        <v>42953.199305555558</v>
      </c>
      <c r="B27" s="20" t="s">
        <v>386</v>
      </c>
      <c r="C27" s="20" t="s">
        <v>688</v>
      </c>
      <c r="D27" s="138">
        <v>2970000</v>
      </c>
      <c r="E27" s="20" t="s">
        <v>366</v>
      </c>
      <c r="F27" s="20" t="s">
        <v>367</v>
      </c>
      <c r="G27" s="8" t="str">
        <f t="shared" si="0"/>
        <v>GUZMAN DANNY</v>
      </c>
    </row>
    <row r="28" spans="1:7" x14ac:dyDescent="0.25">
      <c r="A28" s="8">
        <v>42953.206516203703</v>
      </c>
      <c r="B28" s="20" t="s">
        <v>648</v>
      </c>
      <c r="C28" s="20" t="s">
        <v>689</v>
      </c>
      <c r="D28" s="138">
        <v>2010000</v>
      </c>
      <c r="E28" s="20" t="s">
        <v>669</v>
      </c>
      <c r="F28" s="20" t="s">
        <v>670</v>
      </c>
      <c r="G28" s="8" t="str">
        <f t="shared" si="0"/>
        <v>MAELZER KURT</v>
      </c>
    </row>
    <row r="29" spans="1:7" x14ac:dyDescent="0.25">
      <c r="A29" s="8">
        <v>42953.214375000003</v>
      </c>
      <c r="B29" s="20" t="s">
        <v>387</v>
      </c>
      <c r="C29" s="20" t="s">
        <v>690</v>
      </c>
      <c r="D29" s="138">
        <v>2970000</v>
      </c>
      <c r="E29" s="20" t="s">
        <v>366</v>
      </c>
      <c r="F29" s="20" t="s">
        <v>367</v>
      </c>
      <c r="G29" s="8" t="str">
        <f t="shared" si="0"/>
        <v>GUZMAN DANNY</v>
      </c>
    </row>
    <row r="30" spans="1:7" x14ac:dyDescent="0.25">
      <c r="A30" s="8">
        <v>42953.214907407404</v>
      </c>
      <c r="B30" s="20" t="s">
        <v>513</v>
      </c>
      <c r="C30" s="20" t="s">
        <v>691</v>
      </c>
      <c r="D30" s="138">
        <v>1990000</v>
      </c>
      <c r="E30" s="20" t="s">
        <v>379</v>
      </c>
      <c r="F30" s="20" t="s">
        <v>532</v>
      </c>
      <c r="G30" s="8" t="str">
        <f t="shared" si="0"/>
        <v>DAVIS WENDY</v>
      </c>
    </row>
    <row r="31" spans="1:7" x14ac:dyDescent="0.25">
      <c r="A31" s="8">
        <v>42953.219224537039</v>
      </c>
      <c r="B31" s="20" t="s">
        <v>463</v>
      </c>
      <c r="C31" s="20" t="s">
        <v>692</v>
      </c>
      <c r="D31" s="138">
        <v>1810000</v>
      </c>
      <c r="E31" s="20" t="s">
        <v>679</v>
      </c>
      <c r="F31" s="20" t="s">
        <v>189</v>
      </c>
      <c r="G31" s="8" t="str">
        <f t="shared" si="0"/>
        <v>NEWELL JAMES</v>
      </c>
    </row>
    <row r="32" spans="1:7" x14ac:dyDescent="0.25">
      <c r="A32" s="8">
        <v>42953.220891203702</v>
      </c>
      <c r="B32" s="20" t="s">
        <v>335</v>
      </c>
      <c r="C32" s="20" t="s">
        <v>693</v>
      </c>
      <c r="D32" s="138">
        <v>2600000</v>
      </c>
      <c r="E32" s="20" t="s">
        <v>694</v>
      </c>
      <c r="F32" s="20" t="s">
        <v>533</v>
      </c>
      <c r="G32" s="8" t="str">
        <f t="shared" si="0"/>
        <v>DAVIDSON DAVID</v>
      </c>
    </row>
    <row r="33" spans="1:7" x14ac:dyDescent="0.25">
      <c r="A33" s="8">
        <v>42953.224629629629</v>
      </c>
      <c r="B33" s="20" t="s">
        <v>530</v>
      </c>
      <c r="C33" s="20" t="s">
        <v>638</v>
      </c>
      <c r="D33" s="138">
        <v>1100000</v>
      </c>
      <c r="E33" s="20" t="s">
        <v>683</v>
      </c>
      <c r="F33" s="20" t="s">
        <v>684</v>
      </c>
      <c r="G33" s="8" t="str">
        <f t="shared" si="0"/>
        <v>GEBRETEKLE DAGNEW</v>
      </c>
    </row>
    <row r="34" spans="1:7" x14ac:dyDescent="0.25">
      <c r="A34" s="8">
        <v>42953.224652777775</v>
      </c>
      <c r="B34" s="20" t="s">
        <v>483</v>
      </c>
      <c r="C34" s="20" t="s">
        <v>695</v>
      </c>
      <c r="D34" s="138">
        <v>2560000</v>
      </c>
      <c r="E34" s="20" t="s">
        <v>696</v>
      </c>
      <c r="F34" s="20" t="s">
        <v>356</v>
      </c>
      <c r="G34" s="8" t="str">
        <f t="shared" si="0"/>
        <v>MACDONALD THOMAS</v>
      </c>
    </row>
    <row r="35" spans="1:7" x14ac:dyDescent="0.25">
      <c r="A35" s="8">
        <v>42953.229039351849</v>
      </c>
      <c r="B35" s="20" t="s">
        <v>576</v>
      </c>
      <c r="C35" s="20" t="s">
        <v>697</v>
      </c>
      <c r="D35" s="138">
        <v>3040000</v>
      </c>
      <c r="E35" s="20" t="s">
        <v>369</v>
      </c>
      <c r="F35" s="20" t="s">
        <v>370</v>
      </c>
      <c r="G35" s="8" t="str">
        <f t="shared" si="0"/>
        <v>WILLIAMS DONTE</v>
      </c>
    </row>
    <row r="36" spans="1:7" x14ac:dyDescent="0.25">
      <c r="A36" s="8">
        <v>42953.232314814813</v>
      </c>
      <c r="B36" s="20" t="s">
        <v>651</v>
      </c>
      <c r="C36" s="20" t="s">
        <v>698</v>
      </c>
      <c r="D36" s="138">
        <v>2600000</v>
      </c>
      <c r="E36" s="20" t="s">
        <v>694</v>
      </c>
      <c r="F36" s="20" t="s">
        <v>533</v>
      </c>
      <c r="G36" s="8" t="str">
        <f t="shared" si="0"/>
        <v>DAVIDSON DAVID</v>
      </c>
    </row>
    <row r="37" spans="1:7" x14ac:dyDescent="0.25">
      <c r="A37" s="8">
        <v>42953.235752314817</v>
      </c>
      <c r="B37" s="20" t="s">
        <v>484</v>
      </c>
      <c r="C37" s="20" t="s">
        <v>699</v>
      </c>
      <c r="D37" s="138">
        <v>2560000</v>
      </c>
      <c r="E37" s="20" t="s">
        <v>696</v>
      </c>
      <c r="F37" s="20" t="s">
        <v>356</v>
      </c>
      <c r="G37" s="8" t="str">
        <f t="shared" si="0"/>
        <v>MACDONALD THOMAS</v>
      </c>
    </row>
    <row r="38" spans="1:7" x14ac:dyDescent="0.25">
      <c r="A38" s="8">
        <v>42953.242777777778</v>
      </c>
      <c r="B38" s="20" t="s">
        <v>441</v>
      </c>
      <c r="C38" s="20" t="s">
        <v>700</v>
      </c>
      <c r="D38" s="138">
        <v>2010000</v>
      </c>
      <c r="E38" s="20" t="s">
        <v>669</v>
      </c>
      <c r="F38" s="20" t="s">
        <v>670</v>
      </c>
      <c r="G38" s="8" t="str">
        <f t="shared" si="0"/>
        <v>MAELZER KURT</v>
      </c>
    </row>
    <row r="39" spans="1:7" x14ac:dyDescent="0.25">
      <c r="A39" s="8">
        <v>42953.246168981481</v>
      </c>
      <c r="B39" s="20" t="s">
        <v>386</v>
      </c>
      <c r="C39" s="20" t="s">
        <v>701</v>
      </c>
      <c r="D39" s="138">
        <v>2970000</v>
      </c>
      <c r="E39" s="20" t="s">
        <v>366</v>
      </c>
      <c r="F39" s="20" t="s">
        <v>367</v>
      </c>
      <c r="G39" s="8" t="str">
        <f t="shared" si="0"/>
        <v>GUZMAN DANNY</v>
      </c>
    </row>
    <row r="40" spans="1:7" x14ac:dyDescent="0.25">
      <c r="A40" s="8">
        <v>42953.246377314812</v>
      </c>
      <c r="B40" s="25" t="s">
        <v>514</v>
      </c>
      <c r="C40" s="20" t="s">
        <v>702</v>
      </c>
      <c r="D40" s="138">
        <v>1990000</v>
      </c>
      <c r="E40" s="20" t="s">
        <v>379</v>
      </c>
      <c r="F40" s="20" t="s">
        <v>532</v>
      </c>
      <c r="G40" s="8" t="str">
        <f t="shared" si="0"/>
        <v>DAVIS WENDY</v>
      </c>
    </row>
    <row r="41" spans="1:7" x14ac:dyDescent="0.25">
      <c r="A41" s="8">
        <v>42953.24962962963</v>
      </c>
      <c r="B41" s="20" t="s">
        <v>335</v>
      </c>
      <c r="C41" s="20" t="s">
        <v>703</v>
      </c>
      <c r="D41" s="138">
        <v>2600000</v>
      </c>
      <c r="E41" s="20" t="s">
        <v>694</v>
      </c>
      <c r="F41" s="20" t="s">
        <v>533</v>
      </c>
      <c r="G41" s="8" t="str">
        <f t="shared" si="0"/>
        <v>DAVIDSON DAVID</v>
      </c>
    </row>
    <row r="42" spans="1:7" x14ac:dyDescent="0.25">
      <c r="A42" s="8">
        <v>42953.256516203706</v>
      </c>
      <c r="B42" s="20" t="s">
        <v>467</v>
      </c>
      <c r="C42" s="20" t="s">
        <v>704</v>
      </c>
      <c r="D42" s="138">
        <v>2530000</v>
      </c>
      <c r="E42" s="20" t="s">
        <v>705</v>
      </c>
      <c r="F42" s="20" t="s">
        <v>706</v>
      </c>
      <c r="G42" s="8" t="str">
        <f t="shared" si="0"/>
        <v>LALONDE GREGORY</v>
      </c>
    </row>
    <row r="43" spans="1:7" x14ac:dyDescent="0.25">
      <c r="A43" s="8">
        <v>42953.266215277778</v>
      </c>
      <c r="B43" s="20" t="s">
        <v>577</v>
      </c>
      <c r="C43" s="20" t="s">
        <v>707</v>
      </c>
      <c r="D43" s="138">
        <v>3040000</v>
      </c>
      <c r="E43" s="20" t="s">
        <v>369</v>
      </c>
      <c r="F43" s="20" t="s">
        <v>370</v>
      </c>
      <c r="G43" s="8" t="str">
        <f t="shared" si="0"/>
        <v>WILLIAMS DONTE</v>
      </c>
    </row>
    <row r="44" spans="1:7" x14ac:dyDescent="0.25">
      <c r="A44" s="8">
        <v>42953.267222222225</v>
      </c>
      <c r="B44" s="20" t="s">
        <v>466</v>
      </c>
      <c r="C44" s="20" t="s">
        <v>708</v>
      </c>
      <c r="D44" s="138">
        <v>1100000</v>
      </c>
      <c r="E44" s="20" t="s">
        <v>683</v>
      </c>
      <c r="F44" s="20" t="s">
        <v>684</v>
      </c>
      <c r="G44" s="8" t="str">
        <f t="shared" si="0"/>
        <v>GEBRETEKLE DAGNEW</v>
      </c>
    </row>
    <row r="45" spans="1:7" x14ac:dyDescent="0.25">
      <c r="A45" s="8">
        <v>42953.268113425926</v>
      </c>
      <c r="B45" s="20" t="s">
        <v>483</v>
      </c>
      <c r="C45" s="20" t="s">
        <v>709</v>
      </c>
      <c r="D45" s="138">
        <v>2560000</v>
      </c>
      <c r="E45" s="20" t="s">
        <v>696</v>
      </c>
      <c r="F45" s="20" t="s">
        <v>356</v>
      </c>
      <c r="G45" s="8" t="str">
        <f t="shared" si="0"/>
        <v>MACDONALD THOMAS</v>
      </c>
    </row>
    <row r="46" spans="1:7" x14ac:dyDescent="0.25">
      <c r="A46" s="8">
        <v>42953.275960648149</v>
      </c>
      <c r="B46" s="20" t="s">
        <v>651</v>
      </c>
      <c r="C46" s="20" t="s">
        <v>710</v>
      </c>
      <c r="D46" s="138">
        <v>2600000</v>
      </c>
      <c r="E46" s="20" t="s">
        <v>694</v>
      </c>
      <c r="F46" s="20" t="s">
        <v>533</v>
      </c>
      <c r="G46" s="8" t="str">
        <f t="shared" si="0"/>
        <v>DAVIDSON DAVID</v>
      </c>
    </row>
    <row r="47" spans="1:7" x14ac:dyDescent="0.25">
      <c r="A47" s="8">
        <v>42953.276782407411</v>
      </c>
      <c r="B47" s="20" t="s">
        <v>648</v>
      </c>
      <c r="C47" s="20" t="s">
        <v>711</v>
      </c>
      <c r="D47" s="138">
        <v>2010000</v>
      </c>
      <c r="E47" s="20" t="s">
        <v>669</v>
      </c>
      <c r="F47" s="20" t="s">
        <v>670</v>
      </c>
      <c r="G47" s="8" t="str">
        <f t="shared" si="0"/>
        <v>MAELZER KURT</v>
      </c>
    </row>
    <row r="48" spans="1:7" x14ac:dyDescent="0.25">
      <c r="A48" s="8">
        <v>42953.284722222219</v>
      </c>
      <c r="B48" s="20" t="s">
        <v>513</v>
      </c>
      <c r="C48" s="20" t="s">
        <v>712</v>
      </c>
      <c r="D48" s="138">
        <v>1990000</v>
      </c>
      <c r="E48" s="20" t="s">
        <v>379</v>
      </c>
      <c r="F48" s="20" t="s">
        <v>532</v>
      </c>
      <c r="G48" s="8" t="str">
        <f t="shared" si="0"/>
        <v>DAVIS WENDY</v>
      </c>
    </row>
    <row r="49" spans="1:7" x14ac:dyDescent="0.25">
      <c r="A49" s="8">
        <v>42953.286770833336</v>
      </c>
      <c r="B49" s="20" t="s">
        <v>463</v>
      </c>
      <c r="C49" s="20" t="s">
        <v>713</v>
      </c>
      <c r="D49" s="138">
        <v>2530000</v>
      </c>
      <c r="E49" s="20" t="s">
        <v>705</v>
      </c>
      <c r="F49" s="20" t="s">
        <v>706</v>
      </c>
      <c r="G49" s="8" t="str">
        <f t="shared" si="0"/>
        <v>LALONDE GREGORY</v>
      </c>
    </row>
    <row r="50" spans="1:7" x14ac:dyDescent="0.25">
      <c r="A50" s="8">
        <v>42953.286990740744</v>
      </c>
      <c r="B50" s="20" t="s">
        <v>387</v>
      </c>
      <c r="C50" s="20" t="s">
        <v>714</v>
      </c>
      <c r="D50" s="138">
        <v>2970000</v>
      </c>
      <c r="E50" s="20" t="s">
        <v>366</v>
      </c>
      <c r="F50" s="20" t="s">
        <v>367</v>
      </c>
      <c r="G50" s="8" t="str">
        <f t="shared" si="0"/>
        <v>GUZMAN DANNY</v>
      </c>
    </row>
    <row r="51" spans="1:7" x14ac:dyDescent="0.25">
      <c r="A51" s="8">
        <v>42953.290358796294</v>
      </c>
      <c r="B51" s="20" t="s">
        <v>335</v>
      </c>
      <c r="C51" s="20" t="s">
        <v>715</v>
      </c>
      <c r="D51" s="138">
        <v>2600000</v>
      </c>
      <c r="E51" s="20" t="s">
        <v>694</v>
      </c>
      <c r="F51" s="20" t="s">
        <v>533</v>
      </c>
      <c r="G51" s="8" t="str">
        <f t="shared" si="0"/>
        <v>DAVIDSON DAVID</v>
      </c>
    </row>
    <row r="52" spans="1:7" x14ac:dyDescent="0.25">
      <c r="A52" s="8">
        <v>42953.297372685185</v>
      </c>
      <c r="B52" s="20" t="s">
        <v>530</v>
      </c>
      <c r="C52" s="20" t="s">
        <v>716</v>
      </c>
      <c r="D52" s="138">
        <v>1100000</v>
      </c>
      <c r="E52" s="20" t="s">
        <v>683</v>
      </c>
      <c r="F52" s="20" t="s">
        <v>684</v>
      </c>
      <c r="G52" s="8" t="str">
        <f t="shared" si="0"/>
        <v>GEBRETEKLE DAGNEW</v>
      </c>
    </row>
    <row r="53" spans="1:7" x14ac:dyDescent="0.25">
      <c r="A53" s="8">
        <v>42953.298333333332</v>
      </c>
      <c r="B53" s="20" t="s">
        <v>576</v>
      </c>
      <c r="C53" s="20" t="s">
        <v>717</v>
      </c>
      <c r="D53" s="138">
        <v>3040000</v>
      </c>
      <c r="E53" s="20" t="s">
        <v>369</v>
      </c>
      <c r="F53" s="20" t="s">
        <v>370</v>
      </c>
      <c r="G53" s="8" t="str">
        <f t="shared" si="0"/>
        <v>WILLIAMS DONTE</v>
      </c>
    </row>
    <row r="54" spans="1:7" x14ac:dyDescent="0.25">
      <c r="A54" s="8">
        <v>42953.310949074075</v>
      </c>
      <c r="B54" s="20" t="s">
        <v>484</v>
      </c>
      <c r="C54" s="20" t="s">
        <v>718</v>
      </c>
      <c r="D54" s="138">
        <v>2560000</v>
      </c>
      <c r="E54" s="20" t="s">
        <v>696</v>
      </c>
      <c r="F54" s="20" t="s">
        <v>356</v>
      </c>
      <c r="G54" s="8" t="str">
        <f t="shared" si="0"/>
        <v>MACDONALD THOMAS</v>
      </c>
    </row>
    <row r="55" spans="1:7" x14ac:dyDescent="0.25">
      <c r="A55" s="8">
        <v>42953.311018518521</v>
      </c>
      <c r="B55" s="20" t="s">
        <v>441</v>
      </c>
      <c r="C55" s="20" t="s">
        <v>719</v>
      </c>
      <c r="D55" s="138">
        <v>2010000</v>
      </c>
      <c r="E55" s="20" t="s">
        <v>669</v>
      </c>
      <c r="F55" s="20" t="s">
        <v>670</v>
      </c>
      <c r="G55" s="8" t="str">
        <f t="shared" si="0"/>
        <v>MAELZER KURT</v>
      </c>
    </row>
    <row r="56" spans="1:7" x14ac:dyDescent="0.25">
      <c r="A56" s="8">
        <v>42953.317430555559</v>
      </c>
      <c r="B56" s="20" t="s">
        <v>651</v>
      </c>
      <c r="C56" s="20" t="s">
        <v>720</v>
      </c>
      <c r="D56" s="138">
        <v>2600000</v>
      </c>
      <c r="E56" s="20" t="s">
        <v>694</v>
      </c>
      <c r="F56" s="20" t="s">
        <v>533</v>
      </c>
      <c r="G56" s="8" t="str">
        <f t="shared" si="0"/>
        <v>DAVIDSON DAVID</v>
      </c>
    </row>
    <row r="57" spans="1:7" x14ac:dyDescent="0.25">
      <c r="A57" s="8">
        <v>42953.318356481483</v>
      </c>
      <c r="B57" s="20" t="s">
        <v>514</v>
      </c>
      <c r="C57" s="20" t="s">
        <v>721</v>
      </c>
      <c r="D57" s="138">
        <v>1990000</v>
      </c>
      <c r="E57" s="20" t="s">
        <v>379</v>
      </c>
      <c r="F57" s="20" t="s">
        <v>532</v>
      </c>
      <c r="G57" s="8" t="str">
        <f t="shared" si="0"/>
        <v>DAVIS WENDY</v>
      </c>
    </row>
    <row r="58" spans="1:7" x14ac:dyDescent="0.25">
      <c r="A58" s="8">
        <v>42953.326574074075</v>
      </c>
      <c r="B58" s="20" t="s">
        <v>386</v>
      </c>
      <c r="C58" s="20" t="s">
        <v>722</v>
      </c>
      <c r="D58" s="138">
        <v>2970000</v>
      </c>
      <c r="E58" s="20" t="s">
        <v>366</v>
      </c>
      <c r="F58" s="20" t="s">
        <v>367</v>
      </c>
      <c r="G58" s="8" t="str">
        <f t="shared" si="0"/>
        <v>GUZMAN DANNY</v>
      </c>
    </row>
    <row r="59" spans="1:7" x14ac:dyDescent="0.25">
      <c r="A59" s="8">
        <v>42953.329386574071</v>
      </c>
      <c r="B59" s="20" t="s">
        <v>467</v>
      </c>
      <c r="C59" s="20" t="s">
        <v>723</v>
      </c>
      <c r="D59" s="138">
        <v>2530000</v>
      </c>
      <c r="E59" s="20" t="s">
        <v>705</v>
      </c>
      <c r="F59" s="20" t="s">
        <v>706</v>
      </c>
      <c r="G59" s="8" t="str">
        <f t="shared" si="0"/>
        <v>LALONDE GREGORY</v>
      </c>
    </row>
    <row r="60" spans="1:7" x14ac:dyDescent="0.25">
      <c r="A60" s="8">
        <v>42953.332048611112</v>
      </c>
      <c r="B60" s="20" t="s">
        <v>335</v>
      </c>
      <c r="C60" s="20" t="s">
        <v>724</v>
      </c>
      <c r="D60" s="138">
        <v>2600000</v>
      </c>
      <c r="E60" s="20" t="s">
        <v>694</v>
      </c>
      <c r="F60" s="20" t="s">
        <v>533</v>
      </c>
      <c r="G60" s="8" t="str">
        <f t="shared" si="0"/>
        <v>DAVIDSON DAVID</v>
      </c>
    </row>
    <row r="61" spans="1:7" x14ac:dyDescent="0.25">
      <c r="A61" s="8">
        <v>42953.338680555556</v>
      </c>
      <c r="B61" s="20" t="s">
        <v>577</v>
      </c>
      <c r="C61" s="20" t="s">
        <v>725</v>
      </c>
      <c r="D61" s="138">
        <v>3040000</v>
      </c>
      <c r="E61" s="20" t="s">
        <v>369</v>
      </c>
      <c r="F61" s="20" t="s">
        <v>370</v>
      </c>
      <c r="G61" s="8" t="str">
        <f t="shared" si="0"/>
        <v>WILLIAMS DONTE</v>
      </c>
    </row>
    <row r="62" spans="1:7" x14ac:dyDescent="0.25">
      <c r="A62" s="8">
        <v>42953.339641203704</v>
      </c>
      <c r="B62" s="20" t="s">
        <v>466</v>
      </c>
      <c r="C62" s="20" t="s">
        <v>726</v>
      </c>
      <c r="D62" s="138">
        <v>1100000</v>
      </c>
      <c r="E62" s="20" t="s">
        <v>683</v>
      </c>
      <c r="F62" s="20" t="s">
        <v>684</v>
      </c>
      <c r="G62" s="8" t="str">
        <f t="shared" si="0"/>
        <v>GEBRETEKLE DAGNEW</v>
      </c>
    </row>
    <row r="63" spans="1:7" x14ac:dyDescent="0.25">
      <c r="A63" s="8">
        <v>42953.341284722221</v>
      </c>
      <c r="B63" s="20" t="s">
        <v>483</v>
      </c>
      <c r="C63" s="20" t="s">
        <v>727</v>
      </c>
      <c r="D63" s="138">
        <v>2560000</v>
      </c>
      <c r="E63" s="20" t="s">
        <v>696</v>
      </c>
      <c r="F63" s="20" t="s">
        <v>356</v>
      </c>
      <c r="G63" s="8" t="str">
        <f t="shared" si="0"/>
        <v>MACDONALD THOMAS</v>
      </c>
    </row>
    <row r="64" spans="1:7" x14ac:dyDescent="0.25">
      <c r="A64" s="26">
        <v>42953.351574074077</v>
      </c>
      <c r="B64" s="20" t="s">
        <v>648</v>
      </c>
      <c r="C64" s="20" t="s">
        <v>728</v>
      </c>
      <c r="D64" s="138">
        <v>2010000</v>
      </c>
      <c r="E64" s="20" t="s">
        <v>669</v>
      </c>
      <c r="F64" s="20" t="s">
        <v>670</v>
      </c>
      <c r="G64" s="8" t="str">
        <f t="shared" si="0"/>
        <v>MAELZER KURT</v>
      </c>
    </row>
    <row r="65" spans="1:7" x14ac:dyDescent="0.25">
      <c r="A65" s="8">
        <v>42953.3591087963</v>
      </c>
      <c r="B65" s="20" t="s">
        <v>513</v>
      </c>
      <c r="C65" s="20" t="s">
        <v>729</v>
      </c>
      <c r="D65" s="138">
        <v>1990000</v>
      </c>
      <c r="E65" s="20" t="s">
        <v>379</v>
      </c>
      <c r="F65" s="20" t="s">
        <v>532</v>
      </c>
      <c r="G65" s="8" t="str">
        <f t="shared" si="0"/>
        <v>DAVIS WENDY</v>
      </c>
    </row>
    <row r="66" spans="1:7" x14ac:dyDescent="0.25">
      <c r="A66" s="8">
        <v>42953.359212962961</v>
      </c>
      <c r="B66" s="20" t="s">
        <v>651</v>
      </c>
      <c r="C66" s="20" t="s">
        <v>730</v>
      </c>
      <c r="D66" s="138">
        <v>2600000</v>
      </c>
      <c r="E66" s="20" t="s">
        <v>694</v>
      </c>
      <c r="F66" s="20" t="s">
        <v>533</v>
      </c>
      <c r="G66" s="8" t="str">
        <f t="shared" si="0"/>
        <v>DAVIDSON DAVID</v>
      </c>
    </row>
    <row r="67" spans="1:7" x14ac:dyDescent="0.25">
      <c r="A67" s="8">
        <v>42953.359988425924</v>
      </c>
      <c r="B67" s="20" t="s">
        <v>387</v>
      </c>
      <c r="C67" s="20" t="s">
        <v>731</v>
      </c>
      <c r="D67" s="138">
        <v>2970000</v>
      </c>
      <c r="E67" s="20" t="s">
        <v>366</v>
      </c>
      <c r="F67" s="20" t="s">
        <v>367</v>
      </c>
      <c r="G67" s="8" t="str">
        <f t="shared" ref="G67:G130" si="1">E67&amp;" "&amp;F67</f>
        <v>GUZMAN DANNY</v>
      </c>
    </row>
    <row r="68" spans="1:7" x14ac:dyDescent="0.25">
      <c r="A68" s="8">
        <v>42953.360752314817</v>
      </c>
      <c r="B68" s="20" t="s">
        <v>463</v>
      </c>
      <c r="C68" s="20" t="s">
        <v>732</v>
      </c>
      <c r="D68" s="138">
        <v>2530000</v>
      </c>
      <c r="E68" s="20" t="s">
        <v>705</v>
      </c>
      <c r="F68" s="20" t="s">
        <v>706</v>
      </c>
      <c r="G68" s="8" t="str">
        <f t="shared" si="1"/>
        <v>LALONDE GREGORY</v>
      </c>
    </row>
    <row r="69" spans="1:7" x14ac:dyDescent="0.25">
      <c r="A69" s="8">
        <v>42953.36986111111</v>
      </c>
      <c r="B69" s="20" t="s">
        <v>530</v>
      </c>
      <c r="C69" s="20" t="s">
        <v>733</v>
      </c>
      <c r="D69" s="138">
        <v>1100000</v>
      </c>
      <c r="E69" s="20" t="s">
        <v>683</v>
      </c>
      <c r="F69" s="20" t="s">
        <v>684</v>
      </c>
      <c r="G69" s="8" t="str">
        <f t="shared" si="1"/>
        <v>GEBRETEKLE DAGNEW</v>
      </c>
    </row>
    <row r="70" spans="1:7" x14ac:dyDescent="0.25">
      <c r="A70" s="8">
        <v>42953.37122685185</v>
      </c>
      <c r="B70" s="20" t="s">
        <v>576</v>
      </c>
      <c r="C70" s="20" t="s">
        <v>639</v>
      </c>
      <c r="D70" s="138">
        <v>3040000</v>
      </c>
      <c r="E70" s="20" t="s">
        <v>369</v>
      </c>
      <c r="F70" s="20" t="s">
        <v>370</v>
      </c>
      <c r="G70" s="8" t="str">
        <f t="shared" si="1"/>
        <v>WILLIAMS DONTE</v>
      </c>
    </row>
    <row r="71" spans="1:7" x14ac:dyDescent="0.25">
      <c r="A71" s="8">
        <v>42953.373900462961</v>
      </c>
      <c r="B71" s="20" t="s">
        <v>335</v>
      </c>
      <c r="C71" s="20" t="s">
        <v>734</v>
      </c>
      <c r="D71" s="138">
        <v>2600000</v>
      </c>
      <c r="E71" s="20" t="s">
        <v>694</v>
      </c>
      <c r="F71" s="20" t="s">
        <v>533</v>
      </c>
      <c r="G71" s="8" t="str">
        <f t="shared" si="1"/>
        <v>DAVIDSON DAVID</v>
      </c>
    </row>
    <row r="72" spans="1:7" x14ac:dyDescent="0.25">
      <c r="A72" s="8">
        <v>42953.381030092591</v>
      </c>
      <c r="B72" s="20" t="s">
        <v>484</v>
      </c>
      <c r="C72" s="20" t="s">
        <v>735</v>
      </c>
      <c r="D72" s="138">
        <v>2560000</v>
      </c>
      <c r="E72" s="20" t="s">
        <v>696</v>
      </c>
      <c r="F72" s="20" t="s">
        <v>356</v>
      </c>
      <c r="G72" s="8" t="str">
        <f t="shared" si="1"/>
        <v>MACDONALD THOMAS</v>
      </c>
    </row>
    <row r="73" spans="1:7" x14ac:dyDescent="0.25">
      <c r="A73" s="8">
        <v>42953.384108796294</v>
      </c>
      <c r="B73" s="20" t="s">
        <v>441</v>
      </c>
      <c r="C73" s="20" t="s">
        <v>736</v>
      </c>
      <c r="D73" s="138">
        <v>2010000</v>
      </c>
      <c r="E73" s="20" t="s">
        <v>669</v>
      </c>
      <c r="F73" s="20" t="s">
        <v>670</v>
      </c>
      <c r="G73" s="8" t="str">
        <f t="shared" si="1"/>
        <v>MAELZER KURT</v>
      </c>
    </row>
    <row r="74" spans="1:7" x14ac:dyDescent="0.25">
      <c r="A74" s="8">
        <v>42953.391458333332</v>
      </c>
      <c r="B74" s="20" t="s">
        <v>514</v>
      </c>
      <c r="C74" s="20" t="s">
        <v>737</v>
      </c>
      <c r="D74" s="138">
        <v>1990000</v>
      </c>
      <c r="E74" s="20" t="s">
        <v>379</v>
      </c>
      <c r="F74" s="20" t="s">
        <v>532</v>
      </c>
      <c r="G74" s="8" t="str">
        <f t="shared" si="1"/>
        <v>DAVIS WENDY</v>
      </c>
    </row>
    <row r="75" spans="1:7" x14ac:dyDescent="0.25">
      <c r="A75" s="8">
        <v>42953.392060185186</v>
      </c>
      <c r="B75" s="20" t="s">
        <v>386</v>
      </c>
      <c r="C75" s="20" t="s">
        <v>738</v>
      </c>
      <c r="D75" s="138">
        <v>2970000</v>
      </c>
      <c r="E75" s="20" t="s">
        <v>366</v>
      </c>
      <c r="F75" s="20" t="s">
        <v>367</v>
      </c>
      <c r="G75" s="8" t="str">
        <f t="shared" si="1"/>
        <v>GUZMAN DANNY</v>
      </c>
    </row>
    <row r="76" spans="1:7" x14ac:dyDescent="0.25">
      <c r="A76" s="8">
        <v>42953.400856481479</v>
      </c>
      <c r="B76" s="20" t="s">
        <v>651</v>
      </c>
      <c r="C76" s="20" t="s">
        <v>739</v>
      </c>
      <c r="D76" s="138">
        <v>2600000</v>
      </c>
      <c r="E76" s="20" t="s">
        <v>694</v>
      </c>
      <c r="F76" s="20" t="s">
        <v>533</v>
      </c>
      <c r="G76" s="8" t="str">
        <f t="shared" si="1"/>
        <v>DAVIDSON DAVID</v>
      </c>
    </row>
    <row r="77" spans="1:7" x14ac:dyDescent="0.25">
      <c r="A77" s="8">
        <v>42953.401608796295</v>
      </c>
      <c r="B77" s="20" t="s">
        <v>467</v>
      </c>
      <c r="C77" s="20" t="s">
        <v>740</v>
      </c>
      <c r="D77" s="138">
        <v>2530000</v>
      </c>
      <c r="E77" s="20" t="s">
        <v>705</v>
      </c>
      <c r="F77" s="20" t="s">
        <v>706</v>
      </c>
      <c r="G77" s="8" t="str">
        <f t="shared" si="1"/>
        <v>LALONDE GREGORY</v>
      </c>
    </row>
    <row r="78" spans="1:7" x14ac:dyDescent="0.25">
      <c r="A78" s="8">
        <v>42953.411921296298</v>
      </c>
      <c r="B78" s="20" t="s">
        <v>577</v>
      </c>
      <c r="C78" s="20" t="s">
        <v>741</v>
      </c>
      <c r="D78" s="138">
        <v>3040000</v>
      </c>
      <c r="E78" s="20" t="s">
        <v>369</v>
      </c>
      <c r="F78" s="20" t="s">
        <v>370</v>
      </c>
      <c r="G78" s="8" t="str">
        <f t="shared" si="1"/>
        <v>WILLIAMS DONTE</v>
      </c>
    </row>
    <row r="79" spans="1:7" x14ac:dyDescent="0.25">
      <c r="A79" s="8">
        <v>42953.412511574075</v>
      </c>
      <c r="B79" s="20" t="s">
        <v>466</v>
      </c>
      <c r="C79" s="20" t="s">
        <v>742</v>
      </c>
      <c r="D79" s="138">
        <v>1100000</v>
      </c>
      <c r="E79" s="20" t="s">
        <v>683</v>
      </c>
      <c r="F79" s="20" t="s">
        <v>684</v>
      </c>
      <c r="G79" s="8" t="str">
        <f t="shared" si="1"/>
        <v>GEBRETEKLE DAGNEW</v>
      </c>
    </row>
    <row r="80" spans="1:7" x14ac:dyDescent="0.25">
      <c r="A80" s="8">
        <v>42953.414942129632</v>
      </c>
      <c r="B80" s="20" t="s">
        <v>483</v>
      </c>
      <c r="C80" s="20" t="s">
        <v>640</v>
      </c>
      <c r="D80" s="138">
        <v>2560000</v>
      </c>
      <c r="E80" s="20" t="s">
        <v>696</v>
      </c>
      <c r="F80" s="20" t="s">
        <v>356</v>
      </c>
      <c r="G80" s="8" t="str">
        <f t="shared" si="1"/>
        <v>MACDONALD THOMAS</v>
      </c>
    </row>
    <row r="81" spans="1:7" x14ac:dyDescent="0.25">
      <c r="A81" s="8">
        <v>42953.416365740741</v>
      </c>
      <c r="B81" s="20" t="s">
        <v>335</v>
      </c>
      <c r="C81" s="20" t="s">
        <v>743</v>
      </c>
      <c r="D81" s="138">
        <v>2600000</v>
      </c>
      <c r="E81" s="20" t="s">
        <v>694</v>
      </c>
      <c r="F81" s="20" t="s">
        <v>533</v>
      </c>
      <c r="G81" s="8" t="str">
        <f t="shared" si="1"/>
        <v>DAVIDSON DAVID</v>
      </c>
    </row>
    <row r="82" spans="1:7" x14ac:dyDescent="0.25">
      <c r="A82" s="8">
        <v>42953.422615740739</v>
      </c>
      <c r="B82" s="20" t="s">
        <v>648</v>
      </c>
      <c r="C82" s="20" t="s">
        <v>744</v>
      </c>
      <c r="D82" s="138">
        <v>3010000</v>
      </c>
      <c r="E82" s="20" t="s">
        <v>582</v>
      </c>
      <c r="F82" s="20" t="s">
        <v>447</v>
      </c>
      <c r="G82" s="8" t="str">
        <f t="shared" si="1"/>
        <v>SULLIVAN BRANDON</v>
      </c>
    </row>
    <row r="83" spans="1:7" x14ac:dyDescent="0.25">
      <c r="A83" s="8">
        <v>42953.43204861111</v>
      </c>
      <c r="B83" s="20" t="s">
        <v>513</v>
      </c>
      <c r="C83" s="20" t="s">
        <v>745</v>
      </c>
      <c r="D83" s="138">
        <v>1990000</v>
      </c>
      <c r="E83" s="20" t="s">
        <v>379</v>
      </c>
      <c r="F83" s="20" t="s">
        <v>532</v>
      </c>
      <c r="G83" s="8" t="str">
        <f t="shared" si="1"/>
        <v>DAVIS WENDY</v>
      </c>
    </row>
    <row r="84" spans="1:7" x14ac:dyDescent="0.25">
      <c r="A84" s="8">
        <v>42953.433981481481</v>
      </c>
      <c r="B84" s="20" t="s">
        <v>463</v>
      </c>
      <c r="C84" s="20" t="s">
        <v>746</v>
      </c>
      <c r="D84" s="138">
        <v>2530000</v>
      </c>
      <c r="E84" s="20" t="s">
        <v>705</v>
      </c>
      <c r="F84" s="20" t="s">
        <v>706</v>
      </c>
      <c r="G84" s="8" t="str">
        <f t="shared" si="1"/>
        <v>LALONDE GREGORY</v>
      </c>
    </row>
    <row r="85" spans="1:7" x14ac:dyDescent="0.25">
      <c r="A85" s="8">
        <v>42953.434178240743</v>
      </c>
      <c r="B85" s="20" t="s">
        <v>387</v>
      </c>
      <c r="C85" s="20" t="s">
        <v>747</v>
      </c>
      <c r="D85" s="138">
        <v>2970000</v>
      </c>
      <c r="E85" s="20" t="s">
        <v>366</v>
      </c>
      <c r="F85" s="20" t="s">
        <v>367</v>
      </c>
      <c r="G85" s="8" t="str">
        <f t="shared" si="1"/>
        <v>GUZMAN DANNY</v>
      </c>
    </row>
    <row r="86" spans="1:7" x14ac:dyDescent="0.25">
      <c r="A86" s="8">
        <v>42953.442326388889</v>
      </c>
      <c r="B86" s="20" t="s">
        <v>651</v>
      </c>
      <c r="C86" s="20" t="s">
        <v>748</v>
      </c>
      <c r="D86" s="138">
        <v>2600000</v>
      </c>
      <c r="E86" s="20" t="s">
        <v>694</v>
      </c>
      <c r="F86" s="20" t="s">
        <v>533</v>
      </c>
      <c r="G86" s="8" t="str">
        <f t="shared" si="1"/>
        <v>DAVIDSON DAVID</v>
      </c>
    </row>
    <row r="87" spans="1:7" x14ac:dyDescent="0.25">
      <c r="A87" s="8">
        <v>42953.443310185183</v>
      </c>
      <c r="B87" s="20" t="s">
        <v>530</v>
      </c>
      <c r="C87" s="20" t="s">
        <v>749</v>
      </c>
      <c r="D87" s="138">
        <v>1100000</v>
      </c>
      <c r="E87" s="20" t="s">
        <v>683</v>
      </c>
      <c r="F87" s="20" t="s">
        <v>684</v>
      </c>
      <c r="G87" s="8" t="str">
        <f t="shared" si="1"/>
        <v>GEBRETEKLE DAGNEW</v>
      </c>
    </row>
    <row r="88" spans="1:7" x14ac:dyDescent="0.25">
      <c r="A88" s="8">
        <v>42953.444502314815</v>
      </c>
      <c r="B88" s="20" t="s">
        <v>576</v>
      </c>
      <c r="C88" s="20" t="s">
        <v>750</v>
      </c>
      <c r="D88" s="138">
        <v>2470000</v>
      </c>
      <c r="E88" s="20" t="s">
        <v>751</v>
      </c>
      <c r="F88" s="20" t="s">
        <v>752</v>
      </c>
      <c r="G88" s="8" t="str">
        <f t="shared" si="1"/>
        <v>ROMERO CHAD</v>
      </c>
    </row>
    <row r="89" spans="1:7" x14ac:dyDescent="0.25">
      <c r="A89" s="8">
        <v>42953.45689814815</v>
      </c>
      <c r="B89" s="20" t="s">
        <v>484</v>
      </c>
      <c r="C89" s="20" t="s">
        <v>641</v>
      </c>
      <c r="D89" s="138">
        <v>2560000</v>
      </c>
      <c r="E89" s="20" t="s">
        <v>696</v>
      </c>
      <c r="F89" s="20" t="s">
        <v>356</v>
      </c>
      <c r="G89" s="8" t="str">
        <f t="shared" si="1"/>
        <v>MACDONALD THOMAS</v>
      </c>
    </row>
    <row r="90" spans="1:7" x14ac:dyDescent="0.25">
      <c r="A90" s="8">
        <v>42953.457141203704</v>
      </c>
      <c r="B90" s="20" t="s">
        <v>335</v>
      </c>
      <c r="C90" s="20" t="s">
        <v>753</v>
      </c>
      <c r="D90" s="138">
        <v>2600000</v>
      </c>
      <c r="E90" s="20" t="s">
        <v>694</v>
      </c>
      <c r="F90" s="20" t="s">
        <v>533</v>
      </c>
      <c r="G90" s="8" t="str">
        <f t="shared" si="1"/>
        <v>DAVIDSON DAVID</v>
      </c>
    </row>
    <row r="91" spans="1:7" x14ac:dyDescent="0.25">
      <c r="A91" s="8">
        <v>42953.460717592592</v>
      </c>
      <c r="B91" s="20" t="s">
        <v>441</v>
      </c>
      <c r="C91" s="20" t="s">
        <v>754</v>
      </c>
      <c r="D91" s="138">
        <v>3010000</v>
      </c>
      <c r="E91" s="20" t="s">
        <v>582</v>
      </c>
      <c r="F91" s="20" t="s">
        <v>447</v>
      </c>
      <c r="G91" s="8" t="str">
        <f t="shared" si="1"/>
        <v>SULLIVAN BRANDON</v>
      </c>
    </row>
    <row r="92" spans="1:7" x14ac:dyDescent="0.25">
      <c r="A92" s="8">
        <v>42953.465543981481</v>
      </c>
      <c r="B92" s="20" t="s">
        <v>386</v>
      </c>
      <c r="C92" s="20" t="s">
        <v>643</v>
      </c>
      <c r="D92" s="138">
        <v>2970000</v>
      </c>
      <c r="E92" s="20" t="s">
        <v>366</v>
      </c>
      <c r="F92" s="20" t="s">
        <v>367</v>
      </c>
      <c r="G92" s="8" t="str">
        <f t="shared" si="1"/>
        <v>GUZMAN DANNY</v>
      </c>
    </row>
    <row r="93" spans="1:7" x14ac:dyDescent="0.25">
      <c r="A93" s="8">
        <v>42953.466249999998</v>
      </c>
      <c r="B93" s="20" t="s">
        <v>514</v>
      </c>
      <c r="C93" s="20" t="s">
        <v>755</v>
      </c>
      <c r="D93" s="138">
        <v>920000</v>
      </c>
      <c r="E93" s="20" t="s">
        <v>379</v>
      </c>
      <c r="F93" s="20" t="s">
        <v>192</v>
      </c>
      <c r="G93" s="8" t="str">
        <f t="shared" si="1"/>
        <v>DAVIS MICHAEL</v>
      </c>
    </row>
    <row r="94" spans="1:7" x14ac:dyDescent="0.25">
      <c r="A94" s="8">
        <v>42953.474780092591</v>
      </c>
      <c r="B94" s="20" t="s">
        <v>577</v>
      </c>
      <c r="C94" s="20" t="s">
        <v>756</v>
      </c>
      <c r="D94" s="138">
        <v>2470000</v>
      </c>
      <c r="E94" s="20" t="s">
        <v>751</v>
      </c>
      <c r="F94" s="20" t="s">
        <v>752</v>
      </c>
      <c r="G94" s="8" t="str">
        <f t="shared" si="1"/>
        <v>ROMERO CHAD</v>
      </c>
    </row>
    <row r="95" spans="1:7" x14ac:dyDescent="0.25">
      <c r="A95" s="8">
        <v>42953.475775462961</v>
      </c>
      <c r="B95" s="20" t="s">
        <v>467</v>
      </c>
      <c r="C95" s="20" t="s">
        <v>642</v>
      </c>
      <c r="D95" s="138">
        <v>3120000</v>
      </c>
      <c r="E95" s="20" t="s">
        <v>757</v>
      </c>
      <c r="F95" s="20" t="s">
        <v>758</v>
      </c>
      <c r="G95" s="8" t="str">
        <f t="shared" si="1"/>
        <v>THOMPSON LESTER</v>
      </c>
    </row>
    <row r="96" spans="1:7" x14ac:dyDescent="0.25">
      <c r="A96" s="8">
        <v>42953.484212962961</v>
      </c>
      <c r="B96" s="20" t="s">
        <v>651</v>
      </c>
      <c r="C96" s="20" t="s">
        <v>759</v>
      </c>
      <c r="D96" s="138">
        <v>2600000</v>
      </c>
      <c r="E96" s="20" t="s">
        <v>694</v>
      </c>
      <c r="F96" s="20" t="s">
        <v>533</v>
      </c>
      <c r="G96" s="8" t="str">
        <f t="shared" si="1"/>
        <v>DAVIDSON DAVID</v>
      </c>
    </row>
    <row r="97" spans="1:7" x14ac:dyDescent="0.25">
      <c r="A97" s="8">
        <v>42953.486180555556</v>
      </c>
      <c r="B97" s="20" t="s">
        <v>466</v>
      </c>
      <c r="C97" s="20" t="s">
        <v>760</v>
      </c>
      <c r="D97" s="138">
        <v>1770000</v>
      </c>
      <c r="E97" s="20" t="s">
        <v>761</v>
      </c>
      <c r="F97" s="20" t="s">
        <v>762</v>
      </c>
      <c r="G97" s="8" t="str">
        <f t="shared" si="1"/>
        <v>BRUDER RICHARD</v>
      </c>
    </row>
    <row r="98" spans="1:7" x14ac:dyDescent="0.25">
      <c r="A98" s="8">
        <v>42953.495393518519</v>
      </c>
      <c r="B98" s="20" t="s">
        <v>648</v>
      </c>
      <c r="C98" s="20" t="s">
        <v>763</v>
      </c>
      <c r="D98" s="138">
        <v>3010000</v>
      </c>
      <c r="E98" s="20" t="s">
        <v>582</v>
      </c>
      <c r="F98" s="20" t="s">
        <v>447</v>
      </c>
      <c r="G98" s="8" t="str">
        <f t="shared" si="1"/>
        <v>SULLIVAN BRANDON</v>
      </c>
    </row>
    <row r="99" spans="1:7" x14ac:dyDescent="0.25">
      <c r="A99" s="8">
        <v>42953.497025462966</v>
      </c>
      <c r="B99" s="20" t="s">
        <v>483</v>
      </c>
      <c r="C99" s="20" t="s">
        <v>764</v>
      </c>
      <c r="D99" s="138">
        <v>2560000</v>
      </c>
      <c r="E99" s="20" t="s">
        <v>696</v>
      </c>
      <c r="F99" s="20" t="s">
        <v>356</v>
      </c>
      <c r="G99" s="8" t="str">
        <f t="shared" si="1"/>
        <v>MACDONALD THOMAS</v>
      </c>
    </row>
    <row r="100" spans="1:7" x14ac:dyDescent="0.25">
      <c r="A100" s="8">
        <v>42953.50104166667</v>
      </c>
      <c r="B100" s="20" t="s">
        <v>335</v>
      </c>
      <c r="C100" s="20" t="s">
        <v>765</v>
      </c>
      <c r="D100" s="138">
        <v>2600000</v>
      </c>
      <c r="E100" s="20" t="s">
        <v>694</v>
      </c>
      <c r="F100" s="20" t="s">
        <v>533</v>
      </c>
      <c r="G100" s="8" t="str">
        <f t="shared" si="1"/>
        <v>DAVIDSON DAVID</v>
      </c>
    </row>
    <row r="101" spans="1:7" x14ac:dyDescent="0.25">
      <c r="A101" s="8">
        <v>42953.507152777776</v>
      </c>
      <c r="B101" s="20" t="s">
        <v>387</v>
      </c>
      <c r="C101" s="20" t="s">
        <v>644</v>
      </c>
      <c r="D101" s="138">
        <v>2370000</v>
      </c>
      <c r="E101" s="20" t="s">
        <v>766</v>
      </c>
      <c r="F101" s="20" t="s">
        <v>767</v>
      </c>
      <c r="G101" s="8" t="str">
        <f t="shared" si="1"/>
        <v>DELGADO DIANAH</v>
      </c>
    </row>
    <row r="102" spans="1:7" x14ac:dyDescent="0.25">
      <c r="A102" s="8">
        <v>42953.507511574076</v>
      </c>
      <c r="B102" s="20" t="s">
        <v>513</v>
      </c>
      <c r="C102" s="20" t="s">
        <v>768</v>
      </c>
      <c r="D102" s="138">
        <v>920000</v>
      </c>
      <c r="E102" s="20" t="s">
        <v>379</v>
      </c>
      <c r="F102" s="20" t="s">
        <v>192</v>
      </c>
      <c r="G102" s="8" t="str">
        <f t="shared" si="1"/>
        <v>DAVIS MICHAEL</v>
      </c>
    </row>
    <row r="103" spans="1:7" x14ac:dyDescent="0.25">
      <c r="A103" s="8">
        <v>42953.51730324074</v>
      </c>
      <c r="B103" s="20" t="s">
        <v>463</v>
      </c>
      <c r="C103" s="20" t="s">
        <v>645</v>
      </c>
      <c r="D103" s="138">
        <v>3120000</v>
      </c>
      <c r="E103" s="20" t="s">
        <v>757</v>
      </c>
      <c r="F103" s="20" t="s">
        <v>758</v>
      </c>
      <c r="G103" s="8" t="str">
        <f t="shared" si="1"/>
        <v>THOMPSON LESTER</v>
      </c>
    </row>
    <row r="104" spans="1:7" x14ac:dyDescent="0.25">
      <c r="A104" s="8">
        <v>42953.517418981479</v>
      </c>
      <c r="B104" s="20" t="s">
        <v>576</v>
      </c>
      <c r="C104" s="20" t="s">
        <v>769</v>
      </c>
      <c r="D104" s="138">
        <v>2470000</v>
      </c>
      <c r="E104" s="20" t="s">
        <v>751</v>
      </c>
      <c r="F104" s="20" t="s">
        <v>752</v>
      </c>
      <c r="G104" s="8" t="str">
        <f t="shared" si="1"/>
        <v>ROMERO CHAD</v>
      </c>
    </row>
    <row r="105" spans="1:7" x14ac:dyDescent="0.25">
      <c r="A105" s="8">
        <v>42953.52615740741</v>
      </c>
      <c r="B105" s="20" t="s">
        <v>651</v>
      </c>
      <c r="C105" s="20" t="s">
        <v>770</v>
      </c>
      <c r="D105" s="138">
        <v>2600000</v>
      </c>
      <c r="E105" s="20" t="s">
        <v>694</v>
      </c>
      <c r="F105" s="20" t="s">
        <v>533</v>
      </c>
      <c r="G105" s="8" t="str">
        <f t="shared" si="1"/>
        <v>DAVIDSON DAVID</v>
      </c>
    </row>
    <row r="106" spans="1:7" x14ac:dyDescent="0.25">
      <c r="A106" s="8">
        <v>42953.526574074072</v>
      </c>
      <c r="B106" s="20" t="s">
        <v>530</v>
      </c>
      <c r="C106" s="20" t="s">
        <v>771</v>
      </c>
      <c r="D106" s="138">
        <v>1770000</v>
      </c>
      <c r="E106" s="20" t="s">
        <v>761</v>
      </c>
      <c r="F106" s="20" t="s">
        <v>762</v>
      </c>
      <c r="G106" s="8" t="str">
        <f t="shared" si="1"/>
        <v>BRUDER RICHARD</v>
      </c>
    </row>
    <row r="107" spans="1:7" x14ac:dyDescent="0.25">
      <c r="A107" s="8">
        <v>42953.528148148151</v>
      </c>
      <c r="B107" s="20" t="s">
        <v>484</v>
      </c>
      <c r="C107" s="20" t="s">
        <v>772</v>
      </c>
      <c r="D107" s="138">
        <v>2540000</v>
      </c>
      <c r="E107" s="20" t="s">
        <v>773</v>
      </c>
      <c r="F107" s="20" t="s">
        <v>774</v>
      </c>
      <c r="G107" s="8" t="str">
        <f t="shared" si="1"/>
        <v>MCREYNOLDS KYLE</v>
      </c>
    </row>
    <row r="108" spans="1:7" x14ac:dyDescent="0.25">
      <c r="A108" s="8">
        <v>42953.535173611112</v>
      </c>
      <c r="B108" s="20" t="s">
        <v>441</v>
      </c>
      <c r="C108" s="20" t="s">
        <v>775</v>
      </c>
      <c r="D108" s="138">
        <v>3010000</v>
      </c>
      <c r="E108" s="20" t="s">
        <v>582</v>
      </c>
      <c r="F108" s="20" t="s">
        <v>447</v>
      </c>
      <c r="G108" s="8" t="str">
        <f t="shared" si="1"/>
        <v>SULLIVAN BRANDON</v>
      </c>
    </row>
    <row r="109" spans="1:7" x14ac:dyDescent="0.25">
      <c r="A109" s="8">
        <v>42953.541296296295</v>
      </c>
      <c r="B109" s="20" t="s">
        <v>335</v>
      </c>
      <c r="C109" s="20" t="s">
        <v>776</v>
      </c>
      <c r="D109" s="138">
        <v>2600000</v>
      </c>
      <c r="E109" s="20" t="s">
        <v>694</v>
      </c>
      <c r="F109" s="20" t="s">
        <v>533</v>
      </c>
      <c r="G109" s="8" t="str">
        <f t="shared" si="1"/>
        <v>DAVIDSON DAVID</v>
      </c>
    </row>
    <row r="110" spans="1:7" x14ac:dyDescent="0.25">
      <c r="A110" s="8">
        <v>42953.542175925926</v>
      </c>
      <c r="B110" s="20" t="s">
        <v>514</v>
      </c>
      <c r="C110" s="20" t="s">
        <v>777</v>
      </c>
      <c r="D110" s="138">
        <v>920000</v>
      </c>
      <c r="E110" s="20" t="s">
        <v>379</v>
      </c>
      <c r="F110" s="20" t="s">
        <v>192</v>
      </c>
      <c r="G110" s="8" t="str">
        <f t="shared" si="1"/>
        <v>DAVIS MICHAEL</v>
      </c>
    </row>
    <row r="111" spans="1:7" x14ac:dyDescent="0.25">
      <c r="A111" s="8">
        <v>42953.542743055557</v>
      </c>
      <c r="B111" s="20" t="s">
        <v>386</v>
      </c>
      <c r="C111" s="20" t="s">
        <v>778</v>
      </c>
      <c r="D111" s="138">
        <v>2370000</v>
      </c>
      <c r="E111" s="20" t="s">
        <v>766</v>
      </c>
      <c r="F111" s="20" t="s">
        <v>767</v>
      </c>
      <c r="G111" s="8" t="str">
        <f t="shared" si="1"/>
        <v>DELGADO DIANAH</v>
      </c>
    </row>
    <row r="112" spans="1:7" x14ac:dyDescent="0.25">
      <c r="A112" s="8">
        <v>42953.550451388888</v>
      </c>
      <c r="B112" s="20" t="s">
        <v>467</v>
      </c>
      <c r="C112" s="20" t="s">
        <v>779</v>
      </c>
      <c r="D112" s="138">
        <v>3120000</v>
      </c>
      <c r="E112" s="20" t="s">
        <v>757</v>
      </c>
      <c r="F112" s="20" t="s">
        <v>758</v>
      </c>
      <c r="G112" s="8" t="str">
        <f t="shared" si="1"/>
        <v>THOMPSON LESTER</v>
      </c>
    </row>
    <row r="113" spans="1:7" x14ac:dyDescent="0.25">
      <c r="A113" s="8">
        <v>42953.554259259261</v>
      </c>
      <c r="B113" s="20" t="s">
        <v>577</v>
      </c>
      <c r="C113" s="20" t="s">
        <v>780</v>
      </c>
      <c r="D113" s="138">
        <v>2470000</v>
      </c>
      <c r="E113" s="20" t="s">
        <v>751</v>
      </c>
      <c r="F113" s="20" t="s">
        <v>752</v>
      </c>
      <c r="G113" s="8" t="str">
        <f t="shared" si="1"/>
        <v>ROMERO CHAD</v>
      </c>
    </row>
    <row r="114" spans="1:7" x14ac:dyDescent="0.25">
      <c r="A114" s="8">
        <v>42953.55872685185</v>
      </c>
      <c r="B114" s="20" t="s">
        <v>466</v>
      </c>
      <c r="C114" s="20" t="s">
        <v>781</v>
      </c>
      <c r="D114" s="138">
        <v>1770000</v>
      </c>
      <c r="E114" s="20" t="s">
        <v>761</v>
      </c>
      <c r="F114" s="20" t="s">
        <v>762</v>
      </c>
      <c r="G114" s="8" t="str">
        <f t="shared" si="1"/>
        <v>BRUDER RICHARD</v>
      </c>
    </row>
    <row r="115" spans="1:7" x14ac:dyDescent="0.25">
      <c r="A115" s="8">
        <v>42953.561377314814</v>
      </c>
      <c r="B115" s="20" t="s">
        <v>483</v>
      </c>
      <c r="C115" s="20" t="s">
        <v>782</v>
      </c>
      <c r="D115" s="138">
        <v>2540000</v>
      </c>
      <c r="E115" s="20" t="s">
        <v>773</v>
      </c>
      <c r="F115" s="20" t="s">
        <v>774</v>
      </c>
      <c r="G115" s="8" t="str">
        <f t="shared" si="1"/>
        <v>MCREYNOLDS KYLE</v>
      </c>
    </row>
    <row r="116" spans="1:7" x14ac:dyDescent="0.25">
      <c r="A116" s="8">
        <v>42953.567499999997</v>
      </c>
      <c r="B116" s="20" t="s">
        <v>651</v>
      </c>
      <c r="C116" s="20" t="s">
        <v>783</v>
      </c>
      <c r="D116" s="138">
        <v>2600000</v>
      </c>
      <c r="E116" s="20" t="s">
        <v>694</v>
      </c>
      <c r="F116" s="20" t="s">
        <v>533</v>
      </c>
      <c r="G116" s="8" t="str">
        <f t="shared" si="1"/>
        <v>DAVIDSON DAVID</v>
      </c>
    </row>
    <row r="117" spans="1:7" x14ac:dyDescent="0.25">
      <c r="A117" s="8">
        <v>42953.568310185183</v>
      </c>
      <c r="B117" s="20" t="s">
        <v>648</v>
      </c>
      <c r="C117" s="20" t="s">
        <v>784</v>
      </c>
      <c r="D117" s="138">
        <v>3010000</v>
      </c>
      <c r="E117" s="20" t="s">
        <v>582</v>
      </c>
      <c r="F117" s="20" t="s">
        <v>447</v>
      </c>
      <c r="G117" s="8" t="str">
        <f t="shared" si="1"/>
        <v>SULLIVAN BRANDON</v>
      </c>
    </row>
    <row r="118" spans="1:7" x14ac:dyDescent="0.25">
      <c r="A118" s="8">
        <v>42953.578379629631</v>
      </c>
      <c r="B118" s="20" t="s">
        <v>387</v>
      </c>
      <c r="C118" s="20" t="s">
        <v>785</v>
      </c>
      <c r="D118" s="138">
        <v>2370000</v>
      </c>
      <c r="E118" s="20" t="s">
        <v>766</v>
      </c>
      <c r="F118" s="20" t="s">
        <v>767</v>
      </c>
      <c r="G118" s="8" t="str">
        <f t="shared" si="1"/>
        <v>DELGADO DIANAH</v>
      </c>
    </row>
    <row r="119" spans="1:7" x14ac:dyDescent="0.25">
      <c r="A119" s="8">
        <v>42953.578634259262</v>
      </c>
      <c r="B119" s="20" t="s">
        <v>513</v>
      </c>
      <c r="C119" s="20" t="s">
        <v>786</v>
      </c>
      <c r="D119" s="138">
        <v>920000</v>
      </c>
      <c r="E119" s="20" t="s">
        <v>379</v>
      </c>
      <c r="F119" s="20" t="s">
        <v>192</v>
      </c>
      <c r="G119" s="8" t="str">
        <f t="shared" si="1"/>
        <v>DAVIS MICHAEL</v>
      </c>
    </row>
    <row r="120" spans="1:7" x14ac:dyDescent="0.25">
      <c r="A120" s="8">
        <v>42953.588784722226</v>
      </c>
      <c r="B120" s="20" t="s">
        <v>463</v>
      </c>
      <c r="C120" s="20" t="s">
        <v>787</v>
      </c>
      <c r="D120" s="138">
        <v>3120000</v>
      </c>
      <c r="E120" s="20" t="s">
        <v>757</v>
      </c>
      <c r="F120" s="20" t="s">
        <v>758</v>
      </c>
      <c r="G120" s="8" t="str">
        <f t="shared" si="1"/>
        <v>THOMPSON LESTER</v>
      </c>
    </row>
    <row r="121" spans="1:7" x14ac:dyDescent="0.25">
      <c r="A121" s="8">
        <v>42953.591504629629</v>
      </c>
      <c r="B121" s="20" t="s">
        <v>576</v>
      </c>
      <c r="C121" s="20" t="s">
        <v>788</v>
      </c>
      <c r="D121" s="138">
        <v>2470000</v>
      </c>
      <c r="E121" s="20" t="s">
        <v>751</v>
      </c>
      <c r="F121" s="20" t="s">
        <v>752</v>
      </c>
      <c r="G121" s="8" t="str">
        <f t="shared" si="1"/>
        <v>ROMERO CHAD</v>
      </c>
    </row>
    <row r="122" spans="1:7" x14ac:dyDescent="0.25">
      <c r="A122" s="8">
        <v>42953.59165509259</v>
      </c>
      <c r="B122" s="25" t="s">
        <v>335</v>
      </c>
      <c r="C122" s="20" t="s">
        <v>646</v>
      </c>
      <c r="D122" s="138">
        <v>2420000</v>
      </c>
      <c r="E122" s="20" t="s">
        <v>534</v>
      </c>
      <c r="F122" s="20" t="s">
        <v>535</v>
      </c>
      <c r="G122" s="8" t="str">
        <f t="shared" si="1"/>
        <v>HOLCOMB KAMDEN</v>
      </c>
    </row>
    <row r="123" spans="1:7" x14ac:dyDescent="0.25">
      <c r="A123" s="8">
        <v>42953.600543981483</v>
      </c>
      <c r="B123" s="20" t="s">
        <v>484</v>
      </c>
      <c r="C123" s="20" t="s">
        <v>789</v>
      </c>
      <c r="D123" s="138">
        <v>2540000</v>
      </c>
      <c r="E123" s="20" t="s">
        <v>773</v>
      </c>
      <c r="F123" s="20" t="s">
        <v>774</v>
      </c>
      <c r="G123" s="8" t="str">
        <f t="shared" si="1"/>
        <v>MCREYNOLDS KYLE</v>
      </c>
    </row>
    <row r="124" spans="1:7" x14ac:dyDescent="0.25">
      <c r="A124" s="8">
        <v>42953.600601851853</v>
      </c>
      <c r="B124" s="20" t="s">
        <v>530</v>
      </c>
      <c r="C124" s="20" t="s">
        <v>647</v>
      </c>
      <c r="D124" s="138">
        <v>1770000</v>
      </c>
      <c r="E124" s="20" t="s">
        <v>761</v>
      </c>
      <c r="F124" s="20" t="s">
        <v>762</v>
      </c>
      <c r="G124" s="8" t="str">
        <f t="shared" si="1"/>
        <v>BRUDER RICHARD</v>
      </c>
    </row>
    <row r="125" spans="1:7" x14ac:dyDescent="0.25">
      <c r="A125" s="8">
        <v>42953.606793981482</v>
      </c>
      <c r="B125" s="20" t="s">
        <v>441</v>
      </c>
      <c r="C125" s="20" t="s">
        <v>790</v>
      </c>
      <c r="D125" s="138">
        <v>3010000</v>
      </c>
      <c r="E125" s="20" t="s">
        <v>582</v>
      </c>
      <c r="F125" s="20" t="s">
        <v>447</v>
      </c>
      <c r="G125" s="8" t="str">
        <f t="shared" si="1"/>
        <v>SULLIVAN BRANDON</v>
      </c>
    </row>
    <row r="126" spans="1:7" x14ac:dyDescent="0.25">
      <c r="A126" s="8">
        <v>42953.609375</v>
      </c>
      <c r="B126" s="20" t="s">
        <v>651</v>
      </c>
      <c r="C126" s="20" t="s">
        <v>791</v>
      </c>
      <c r="D126" s="138">
        <v>2420000</v>
      </c>
      <c r="E126" s="20" t="s">
        <v>534</v>
      </c>
      <c r="F126" s="20" t="s">
        <v>535</v>
      </c>
      <c r="G126" s="8" t="str">
        <f t="shared" si="1"/>
        <v>HOLCOMB KAMDEN</v>
      </c>
    </row>
    <row r="127" spans="1:7" x14ac:dyDescent="0.25">
      <c r="A127" s="8">
        <v>42953.613900462966</v>
      </c>
      <c r="B127" s="20" t="s">
        <v>514</v>
      </c>
      <c r="C127" s="20" t="s">
        <v>792</v>
      </c>
      <c r="D127" s="138">
        <v>920000</v>
      </c>
      <c r="E127" s="20" t="s">
        <v>379</v>
      </c>
      <c r="F127" s="20" t="s">
        <v>192</v>
      </c>
      <c r="G127" s="8" t="str">
        <f t="shared" si="1"/>
        <v>DAVIS MICHAEL</v>
      </c>
    </row>
    <row r="128" spans="1:7" x14ac:dyDescent="0.25">
      <c r="A128" s="8">
        <v>42953.619351851848</v>
      </c>
      <c r="B128" s="20" t="s">
        <v>386</v>
      </c>
      <c r="C128" s="20" t="s">
        <v>793</v>
      </c>
      <c r="D128" s="138">
        <v>2370000</v>
      </c>
      <c r="E128" s="20" t="s">
        <v>766</v>
      </c>
      <c r="F128" s="20" t="s">
        <v>767</v>
      </c>
      <c r="G128" s="8" t="str">
        <f t="shared" si="1"/>
        <v>DELGADO DIANAH</v>
      </c>
    </row>
    <row r="129" spans="1:7" x14ac:dyDescent="0.25">
      <c r="A129" s="8">
        <v>42953.621724537035</v>
      </c>
      <c r="B129" s="20" t="s">
        <v>577</v>
      </c>
      <c r="C129" s="20" t="s">
        <v>794</v>
      </c>
      <c r="D129" s="138">
        <v>2470000</v>
      </c>
      <c r="E129" s="20" t="s">
        <v>751</v>
      </c>
      <c r="F129" s="20" t="s">
        <v>752</v>
      </c>
      <c r="G129" s="8" t="str">
        <f t="shared" si="1"/>
        <v>ROMERO CHAD</v>
      </c>
    </row>
    <row r="130" spans="1:7" x14ac:dyDescent="0.25">
      <c r="A130" s="8">
        <v>42953.624479166669</v>
      </c>
      <c r="B130" s="20" t="s">
        <v>467</v>
      </c>
      <c r="C130" s="20" t="s">
        <v>650</v>
      </c>
      <c r="D130" s="138">
        <v>3120000</v>
      </c>
      <c r="E130" s="20" t="s">
        <v>757</v>
      </c>
      <c r="F130" s="20" t="s">
        <v>758</v>
      </c>
      <c r="G130" s="8" t="str">
        <f t="shared" si="1"/>
        <v>THOMPSON LESTER</v>
      </c>
    </row>
    <row r="131" spans="1:7" x14ac:dyDescent="0.25">
      <c r="A131" s="8">
        <v>42953.631932870368</v>
      </c>
      <c r="B131" s="20" t="s">
        <v>466</v>
      </c>
      <c r="C131" s="20" t="s">
        <v>795</v>
      </c>
      <c r="D131" s="138">
        <v>1770000</v>
      </c>
      <c r="E131" s="20" t="s">
        <v>761</v>
      </c>
      <c r="F131" s="20" t="s">
        <v>762</v>
      </c>
      <c r="G131" s="8" t="str">
        <f t="shared" ref="G131:G194" si="2">E131&amp;" "&amp;F131</f>
        <v>BRUDER RICHARD</v>
      </c>
    </row>
    <row r="132" spans="1:7" x14ac:dyDescent="0.25">
      <c r="A132" s="8">
        <v>42953.634652777779</v>
      </c>
      <c r="B132" s="20" t="s">
        <v>335</v>
      </c>
      <c r="C132" s="20" t="s">
        <v>796</v>
      </c>
      <c r="D132" s="138">
        <v>2420000</v>
      </c>
      <c r="E132" s="20" t="s">
        <v>534</v>
      </c>
      <c r="F132" s="20" t="s">
        <v>535</v>
      </c>
      <c r="G132" s="8" t="str">
        <f t="shared" si="2"/>
        <v>HOLCOMB KAMDEN</v>
      </c>
    </row>
    <row r="133" spans="1:7" x14ac:dyDescent="0.25">
      <c r="A133" s="8">
        <v>42953.637986111113</v>
      </c>
      <c r="B133" s="20" t="s">
        <v>483</v>
      </c>
      <c r="C133" s="20" t="s">
        <v>797</v>
      </c>
      <c r="D133" s="138">
        <v>2540000</v>
      </c>
      <c r="E133" s="20" t="s">
        <v>773</v>
      </c>
      <c r="F133" s="20" t="s">
        <v>774</v>
      </c>
      <c r="G133" s="8" t="str">
        <f t="shared" si="2"/>
        <v>MCREYNOLDS KYLE</v>
      </c>
    </row>
    <row r="134" spans="1:7" x14ac:dyDescent="0.25">
      <c r="A134" s="8">
        <v>42953.642361111109</v>
      </c>
      <c r="B134" s="20" t="s">
        <v>648</v>
      </c>
      <c r="C134" s="20" t="s">
        <v>649</v>
      </c>
      <c r="D134" s="138">
        <v>3010000</v>
      </c>
      <c r="E134" s="20" t="s">
        <v>582</v>
      </c>
      <c r="F134" s="20" t="s">
        <v>447</v>
      </c>
      <c r="G134" s="8" t="str">
        <f t="shared" si="2"/>
        <v>SULLIVAN BRANDON</v>
      </c>
    </row>
    <row r="135" spans="1:7" x14ac:dyDescent="0.25">
      <c r="A135" s="8">
        <v>42953.650833333333</v>
      </c>
      <c r="B135" s="20" t="s">
        <v>651</v>
      </c>
      <c r="C135" s="20" t="s">
        <v>652</v>
      </c>
      <c r="D135" s="138">
        <v>2420000</v>
      </c>
      <c r="E135" s="20" t="s">
        <v>534</v>
      </c>
      <c r="F135" s="20" t="s">
        <v>535</v>
      </c>
      <c r="G135" s="8" t="str">
        <f t="shared" si="2"/>
        <v>HOLCOMB KAMDEN</v>
      </c>
    </row>
    <row r="136" spans="1:7" x14ac:dyDescent="0.25">
      <c r="A136" s="8">
        <v>42953.652743055558</v>
      </c>
      <c r="B136" s="20" t="s">
        <v>513</v>
      </c>
      <c r="C136" s="20" t="s">
        <v>654</v>
      </c>
      <c r="D136" s="138">
        <v>920000</v>
      </c>
      <c r="E136" s="20" t="s">
        <v>379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42953.65347222222</v>
      </c>
      <c r="B137" s="20" t="s">
        <v>387</v>
      </c>
      <c r="C137" s="20" t="s">
        <v>653</v>
      </c>
      <c r="D137" s="138">
        <v>2370000</v>
      </c>
      <c r="E137" s="20" t="s">
        <v>766</v>
      </c>
      <c r="F137" s="20" t="s">
        <v>767</v>
      </c>
      <c r="G137" s="8" t="str">
        <f t="shared" si="2"/>
        <v>DELGADO DIANAH</v>
      </c>
    </row>
    <row r="138" spans="1:7" x14ac:dyDescent="0.25">
      <c r="A138" s="8">
        <v>42953.654444444444</v>
      </c>
      <c r="B138" s="20" t="s">
        <v>361</v>
      </c>
      <c r="C138" s="20" t="s">
        <v>798</v>
      </c>
      <c r="D138" s="138">
        <v>2450000</v>
      </c>
      <c r="E138" s="20" t="s">
        <v>799</v>
      </c>
      <c r="F138" s="20" t="s">
        <v>800</v>
      </c>
      <c r="G138" s="8" t="str">
        <f t="shared" si="2"/>
        <v>NELSON ARIANE</v>
      </c>
    </row>
    <row r="139" spans="1:7" x14ac:dyDescent="0.25">
      <c r="A139" s="8">
        <v>42953.659618055557</v>
      </c>
      <c r="B139" s="20" t="s">
        <v>358</v>
      </c>
      <c r="C139" s="20" t="s">
        <v>798</v>
      </c>
      <c r="D139" s="138">
        <v>2450000</v>
      </c>
      <c r="E139" s="20" t="s">
        <v>799</v>
      </c>
      <c r="F139" s="20" t="s">
        <v>800</v>
      </c>
      <c r="G139" s="8" t="str">
        <f t="shared" si="2"/>
        <v>NELSON ARIANE</v>
      </c>
    </row>
    <row r="140" spans="1:7" x14ac:dyDescent="0.25">
      <c r="A140" s="8">
        <v>42953.663425925923</v>
      </c>
      <c r="B140" s="20" t="s">
        <v>463</v>
      </c>
      <c r="C140" s="20" t="s">
        <v>801</v>
      </c>
      <c r="D140" s="138">
        <v>3120000</v>
      </c>
      <c r="E140" s="20" t="s">
        <v>757</v>
      </c>
      <c r="F140" s="20" t="s">
        <v>758</v>
      </c>
      <c r="G140" s="8" t="str">
        <f t="shared" si="2"/>
        <v>THOMPSON LESTER</v>
      </c>
    </row>
    <row r="141" spans="1:7" x14ac:dyDescent="0.25">
      <c r="A141" s="8">
        <v>42953.664525462962</v>
      </c>
      <c r="B141" s="20" t="s">
        <v>576</v>
      </c>
      <c r="C141" s="20" t="s">
        <v>802</v>
      </c>
      <c r="D141" s="138">
        <v>2470000</v>
      </c>
      <c r="E141" s="20" t="s">
        <v>751</v>
      </c>
      <c r="F141" s="20" t="s">
        <v>752</v>
      </c>
      <c r="G141" s="8" t="str">
        <f t="shared" si="2"/>
        <v>ROMERO CHAD</v>
      </c>
    </row>
    <row r="142" spans="1:7" x14ac:dyDescent="0.25">
      <c r="A142" s="8">
        <v>42953.668680555558</v>
      </c>
      <c r="B142" s="20" t="s">
        <v>361</v>
      </c>
      <c r="C142" s="20" t="s">
        <v>803</v>
      </c>
      <c r="D142" s="138">
        <v>2420000</v>
      </c>
      <c r="E142" s="20" t="s">
        <v>534</v>
      </c>
      <c r="F142" s="20" t="s">
        <v>535</v>
      </c>
      <c r="G142" s="8" t="str">
        <f t="shared" si="2"/>
        <v>HOLCOMB KAMDEN</v>
      </c>
    </row>
    <row r="143" spans="1:7" x14ac:dyDescent="0.25">
      <c r="A143" s="8">
        <v>42953.671875</v>
      </c>
      <c r="B143" s="20" t="s">
        <v>530</v>
      </c>
      <c r="C143" s="20" t="s">
        <v>804</v>
      </c>
      <c r="D143" s="138">
        <v>1770000</v>
      </c>
      <c r="E143" s="20" t="s">
        <v>761</v>
      </c>
      <c r="F143" s="20" t="s">
        <v>762</v>
      </c>
      <c r="G143" s="8" t="str">
        <f t="shared" si="2"/>
        <v>BRUDER RICHARD</v>
      </c>
    </row>
    <row r="144" spans="1:7" x14ac:dyDescent="0.25">
      <c r="A144" s="8">
        <v>42953.672303240739</v>
      </c>
      <c r="B144" s="20" t="s">
        <v>335</v>
      </c>
      <c r="C144" s="20" t="s">
        <v>798</v>
      </c>
      <c r="D144" s="138">
        <v>2270000</v>
      </c>
      <c r="E144" s="20" t="s">
        <v>805</v>
      </c>
      <c r="F144" s="20" t="s">
        <v>806</v>
      </c>
      <c r="G144" s="8" t="str">
        <f t="shared" si="2"/>
        <v>BROWN JACOB</v>
      </c>
    </row>
    <row r="145" spans="1:7" x14ac:dyDescent="0.25">
      <c r="A145" s="8">
        <v>42953.674953703703</v>
      </c>
      <c r="B145" s="20" t="s">
        <v>484</v>
      </c>
      <c r="C145" s="20" t="s">
        <v>807</v>
      </c>
      <c r="D145" s="138">
        <v>2540000</v>
      </c>
      <c r="E145" s="20" t="s">
        <v>773</v>
      </c>
      <c r="F145" s="20" t="s">
        <v>774</v>
      </c>
      <c r="G145" s="8" t="str">
        <f t="shared" si="2"/>
        <v>MCREYNOLDS KYLE</v>
      </c>
    </row>
    <row r="146" spans="1:7" x14ac:dyDescent="0.25">
      <c r="A146" s="8">
        <v>42953.680092592593</v>
      </c>
      <c r="B146" s="20" t="s">
        <v>441</v>
      </c>
      <c r="C146" s="20" t="s">
        <v>808</v>
      </c>
      <c r="D146" s="138">
        <v>3010000</v>
      </c>
      <c r="E146" s="20" t="s">
        <v>582</v>
      </c>
      <c r="F146" s="20" t="s">
        <v>447</v>
      </c>
      <c r="G146" s="8" t="str">
        <f t="shared" si="2"/>
        <v>SULLIVAN BRANDON</v>
      </c>
    </row>
    <row r="147" spans="1:7" x14ac:dyDescent="0.25">
      <c r="A147" s="8">
        <v>42953.685034722221</v>
      </c>
      <c r="B147" s="20" t="s">
        <v>386</v>
      </c>
      <c r="C147" s="20" t="s">
        <v>809</v>
      </c>
      <c r="D147" s="138">
        <v>2370000</v>
      </c>
      <c r="E147" s="20" t="s">
        <v>766</v>
      </c>
      <c r="F147" s="20" t="s">
        <v>767</v>
      </c>
      <c r="G147" s="8" t="str">
        <f t="shared" si="2"/>
        <v>DELGADO DIANAH</v>
      </c>
    </row>
    <row r="148" spans="1:7" x14ac:dyDescent="0.25">
      <c r="A148" s="8">
        <v>42953.687465277777</v>
      </c>
      <c r="B148" s="20" t="s">
        <v>514</v>
      </c>
      <c r="C148" s="20" t="s">
        <v>810</v>
      </c>
      <c r="D148" s="138">
        <v>920000</v>
      </c>
      <c r="E148" s="20" t="s">
        <v>379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42953.692835648151</v>
      </c>
      <c r="B149" s="20" t="s">
        <v>358</v>
      </c>
      <c r="C149" s="20" t="s">
        <v>811</v>
      </c>
      <c r="D149" s="138">
        <v>2420000</v>
      </c>
      <c r="E149" s="20" t="s">
        <v>534</v>
      </c>
      <c r="F149" s="20" t="s">
        <v>535</v>
      </c>
      <c r="G149" s="8" t="str">
        <f t="shared" si="2"/>
        <v>HOLCOMB KAMDEN</v>
      </c>
    </row>
    <row r="150" spans="1:7" x14ac:dyDescent="0.25">
      <c r="A150" s="8">
        <v>42953.696631944447</v>
      </c>
      <c r="B150" s="20" t="s">
        <v>467</v>
      </c>
      <c r="C150" s="20" t="s">
        <v>655</v>
      </c>
      <c r="D150" s="138">
        <v>3120000</v>
      </c>
      <c r="E150" s="20" t="s">
        <v>757</v>
      </c>
      <c r="F150" s="20" t="s">
        <v>758</v>
      </c>
      <c r="G150" s="8" t="str">
        <f t="shared" si="2"/>
        <v>THOMPSON LESTER</v>
      </c>
    </row>
    <row r="151" spans="1:7" x14ac:dyDescent="0.25">
      <c r="A151" s="8">
        <v>42953.696666666663</v>
      </c>
      <c r="B151" s="20" t="s">
        <v>577</v>
      </c>
      <c r="C151" s="20" t="s">
        <v>812</v>
      </c>
      <c r="D151" s="138">
        <v>2470000</v>
      </c>
      <c r="E151" s="20" t="s">
        <v>751</v>
      </c>
      <c r="F151" s="20" t="s">
        <v>752</v>
      </c>
      <c r="G151" s="8" t="str">
        <f t="shared" si="2"/>
        <v>ROMERO CHAD</v>
      </c>
    </row>
    <row r="152" spans="1:7" x14ac:dyDescent="0.25">
      <c r="A152" s="8">
        <v>42953.703900462962</v>
      </c>
      <c r="B152" s="20" t="s">
        <v>483</v>
      </c>
      <c r="C152" s="20" t="s">
        <v>813</v>
      </c>
      <c r="D152" s="138">
        <v>2540000</v>
      </c>
      <c r="E152" s="20" t="s">
        <v>773</v>
      </c>
      <c r="F152" s="20" t="s">
        <v>774</v>
      </c>
      <c r="G152" s="8" t="str">
        <f t="shared" si="2"/>
        <v>MCREYNOLDS KYLE</v>
      </c>
    </row>
    <row r="153" spans="1:7" x14ac:dyDescent="0.25">
      <c r="A153" s="8">
        <v>42953.705254629633</v>
      </c>
      <c r="B153" s="20" t="s">
        <v>466</v>
      </c>
      <c r="C153" s="20" t="s">
        <v>814</v>
      </c>
      <c r="D153" s="138">
        <v>1770000</v>
      </c>
      <c r="E153" s="20" t="s">
        <v>761</v>
      </c>
      <c r="F153" s="20" t="s">
        <v>762</v>
      </c>
      <c r="G153" s="8" t="str">
        <f t="shared" si="2"/>
        <v>BRUDER RICHARD</v>
      </c>
    </row>
    <row r="154" spans="1:7" x14ac:dyDescent="0.25">
      <c r="A154" s="8">
        <v>42953.715486111112</v>
      </c>
      <c r="B154" s="20" t="s">
        <v>648</v>
      </c>
      <c r="C154" s="20" t="s">
        <v>815</v>
      </c>
      <c r="D154" s="138">
        <v>3130000</v>
      </c>
      <c r="E154" s="20" t="s">
        <v>371</v>
      </c>
      <c r="F154" s="20" t="s">
        <v>372</v>
      </c>
      <c r="G154" s="8" t="str">
        <f t="shared" si="2"/>
        <v>ZEWDU DEREJE</v>
      </c>
    </row>
    <row r="155" spans="1:7" x14ac:dyDescent="0.25">
      <c r="A155" s="8">
        <v>42953.717731481483</v>
      </c>
      <c r="B155" s="20" t="s">
        <v>361</v>
      </c>
      <c r="C155" s="20" t="s">
        <v>816</v>
      </c>
      <c r="D155" s="138">
        <v>2420000</v>
      </c>
      <c r="E155" s="20" t="s">
        <v>534</v>
      </c>
      <c r="F155" s="20" t="s">
        <v>535</v>
      </c>
      <c r="G155" s="8" t="str">
        <f t="shared" si="2"/>
        <v>HOLCOMB KAMDEN</v>
      </c>
    </row>
    <row r="156" spans="1:7" x14ac:dyDescent="0.25">
      <c r="A156" s="8">
        <v>42953.722581018519</v>
      </c>
      <c r="B156" s="20" t="s">
        <v>817</v>
      </c>
      <c r="C156" s="20" t="s">
        <v>798</v>
      </c>
      <c r="D156" s="138">
        <v>2450000</v>
      </c>
      <c r="E156" s="20" t="s">
        <v>799</v>
      </c>
      <c r="F156" s="20" t="s">
        <v>800</v>
      </c>
      <c r="G156" s="8" t="str">
        <f t="shared" si="2"/>
        <v>NELSON ARIANE</v>
      </c>
    </row>
    <row r="157" spans="1:7" x14ac:dyDescent="0.25">
      <c r="A157" s="8">
        <v>42953.725393518522</v>
      </c>
      <c r="B157" s="20" t="s">
        <v>513</v>
      </c>
      <c r="C157" s="20" t="s">
        <v>818</v>
      </c>
      <c r="D157" s="138">
        <v>920000</v>
      </c>
      <c r="E157" s="20" t="s">
        <v>379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42953.725775462961</v>
      </c>
      <c r="B158" s="20" t="s">
        <v>387</v>
      </c>
      <c r="C158" s="20" t="s">
        <v>819</v>
      </c>
      <c r="D158" s="138">
        <v>2370000</v>
      </c>
      <c r="E158" s="20" t="s">
        <v>766</v>
      </c>
      <c r="F158" s="20" t="s">
        <v>767</v>
      </c>
      <c r="G158" s="8" t="str">
        <f t="shared" si="2"/>
        <v>DELGADO DIANAH</v>
      </c>
    </row>
    <row r="159" spans="1:7" x14ac:dyDescent="0.25">
      <c r="A159" s="8">
        <v>42953.734386574077</v>
      </c>
      <c r="B159" s="20" t="s">
        <v>358</v>
      </c>
      <c r="C159" s="20" t="s">
        <v>820</v>
      </c>
      <c r="D159" s="138">
        <v>2420000</v>
      </c>
      <c r="E159" s="20" t="s">
        <v>534</v>
      </c>
      <c r="F159" s="20" t="s">
        <v>535</v>
      </c>
      <c r="G159" s="8" t="str">
        <f t="shared" si="2"/>
        <v>HOLCOMB KAMDEN</v>
      </c>
    </row>
    <row r="160" spans="1:7" x14ac:dyDescent="0.25">
      <c r="A160" s="8">
        <v>42953.735335648147</v>
      </c>
      <c r="B160" s="20" t="s">
        <v>576</v>
      </c>
      <c r="C160" s="20" t="s">
        <v>821</v>
      </c>
      <c r="D160" s="138">
        <v>2230000</v>
      </c>
      <c r="E160" s="20" t="s">
        <v>336</v>
      </c>
      <c r="F160" s="20" t="s">
        <v>192</v>
      </c>
      <c r="G160" s="8" t="str">
        <f t="shared" si="2"/>
        <v>SMITH MICHAEL</v>
      </c>
    </row>
    <row r="161" spans="1:7" x14ac:dyDescent="0.25">
      <c r="A161" s="8">
        <v>42953.736666666664</v>
      </c>
      <c r="B161" s="20" t="s">
        <v>463</v>
      </c>
      <c r="C161" s="20" t="s">
        <v>822</v>
      </c>
      <c r="D161" s="138">
        <v>3120000</v>
      </c>
      <c r="E161" s="20" t="s">
        <v>757</v>
      </c>
      <c r="F161" s="20" t="s">
        <v>758</v>
      </c>
      <c r="G161" s="8" t="str">
        <f t="shared" si="2"/>
        <v>THOMPSON LESTER</v>
      </c>
    </row>
    <row r="162" spans="1:7" x14ac:dyDescent="0.25">
      <c r="A162" s="8">
        <v>42953.7422337963</v>
      </c>
      <c r="B162" s="20" t="s">
        <v>823</v>
      </c>
      <c r="C162" s="20" t="s">
        <v>824</v>
      </c>
      <c r="D162" s="138">
        <v>3180000</v>
      </c>
      <c r="E162" s="20" t="s">
        <v>585</v>
      </c>
      <c r="F162" s="20" t="s">
        <v>586</v>
      </c>
      <c r="G162" s="8" t="str">
        <f t="shared" si="2"/>
        <v>HUFFSMITH MONTY</v>
      </c>
    </row>
    <row r="163" spans="1:7" x14ac:dyDescent="0.25">
      <c r="A163" s="8">
        <v>42953.745636574073</v>
      </c>
      <c r="B163" s="20" t="s">
        <v>530</v>
      </c>
      <c r="C163" s="20" t="s">
        <v>825</v>
      </c>
      <c r="D163" s="138">
        <v>1770000</v>
      </c>
      <c r="E163" s="20" t="s">
        <v>761</v>
      </c>
      <c r="F163" s="20" t="s">
        <v>762</v>
      </c>
      <c r="G163" s="8" t="str">
        <f t="shared" si="2"/>
        <v>BRUDER RICHARD</v>
      </c>
    </row>
    <row r="164" spans="1:7" x14ac:dyDescent="0.25">
      <c r="A164" s="8">
        <v>42953.745752314811</v>
      </c>
      <c r="B164" s="20" t="s">
        <v>484</v>
      </c>
      <c r="C164" s="20" t="s">
        <v>826</v>
      </c>
      <c r="D164" s="138">
        <v>2540000</v>
      </c>
      <c r="E164" s="20" t="s">
        <v>773</v>
      </c>
      <c r="F164" s="20" t="s">
        <v>774</v>
      </c>
      <c r="G164" s="8" t="str">
        <f t="shared" si="2"/>
        <v>MCREYNOLDS KYLE</v>
      </c>
    </row>
    <row r="165" spans="1:7" x14ac:dyDescent="0.25">
      <c r="A165" s="8">
        <v>42953.747812499998</v>
      </c>
      <c r="B165" s="20" t="s">
        <v>441</v>
      </c>
      <c r="C165" s="20" t="s">
        <v>657</v>
      </c>
      <c r="D165" s="138">
        <v>3130000</v>
      </c>
      <c r="E165" s="20" t="s">
        <v>371</v>
      </c>
      <c r="F165" s="20" t="s">
        <v>372</v>
      </c>
      <c r="G165" s="8" t="str">
        <f t="shared" si="2"/>
        <v>ZEWDU DEREJE</v>
      </c>
    </row>
    <row r="166" spans="1:7" x14ac:dyDescent="0.25">
      <c r="A166" s="8">
        <v>42953.756168981483</v>
      </c>
      <c r="B166" s="20" t="s">
        <v>386</v>
      </c>
      <c r="C166" s="20" t="s">
        <v>827</v>
      </c>
      <c r="D166" s="138">
        <v>2370000</v>
      </c>
      <c r="E166" s="20" t="s">
        <v>766</v>
      </c>
      <c r="F166" s="20" t="s">
        <v>767</v>
      </c>
      <c r="G166" s="8" t="str">
        <f t="shared" si="2"/>
        <v>DELGADO DIANAH</v>
      </c>
    </row>
    <row r="167" spans="1:7" x14ac:dyDescent="0.25">
      <c r="A167" s="8">
        <v>42953.758240740739</v>
      </c>
      <c r="B167" s="20" t="s">
        <v>514</v>
      </c>
      <c r="C167" s="20" t="s">
        <v>828</v>
      </c>
      <c r="D167" s="138">
        <v>3030000</v>
      </c>
      <c r="E167" s="20" t="s">
        <v>368</v>
      </c>
      <c r="F167" s="20" t="s">
        <v>356</v>
      </c>
      <c r="G167" s="8" t="str">
        <f t="shared" si="2"/>
        <v>BIRENBAUM THOMAS</v>
      </c>
    </row>
    <row r="168" spans="1:7" x14ac:dyDescent="0.25">
      <c r="A168" s="8">
        <v>42953.761122685188</v>
      </c>
      <c r="B168" s="20" t="s">
        <v>361</v>
      </c>
      <c r="C168" s="20" t="s">
        <v>656</v>
      </c>
      <c r="D168" s="138">
        <v>2420000</v>
      </c>
      <c r="E168" s="20" t="s">
        <v>534</v>
      </c>
      <c r="F168" s="20" t="s">
        <v>535</v>
      </c>
      <c r="G168" s="8" t="str">
        <f t="shared" si="2"/>
        <v>HOLCOMB KAMDEN</v>
      </c>
    </row>
    <row r="169" spans="1:7" x14ac:dyDescent="0.25">
      <c r="A169" s="8">
        <v>42953.767962962964</v>
      </c>
      <c r="B169" s="20" t="s">
        <v>467</v>
      </c>
      <c r="C169" s="20" t="s">
        <v>829</v>
      </c>
      <c r="D169" s="138">
        <v>2090000</v>
      </c>
      <c r="E169" s="20" t="s">
        <v>391</v>
      </c>
      <c r="F169" s="20" t="s">
        <v>192</v>
      </c>
      <c r="G169" s="8" t="str">
        <f t="shared" si="2"/>
        <v>HAITHCOX MICHAEL</v>
      </c>
    </row>
    <row r="170" spans="1:7" x14ac:dyDescent="0.25">
      <c r="A170" s="8">
        <v>42953.771770833337</v>
      </c>
      <c r="B170" s="20" t="s">
        <v>577</v>
      </c>
      <c r="C170" s="20" t="s">
        <v>830</v>
      </c>
      <c r="D170" s="138">
        <v>2230000</v>
      </c>
      <c r="E170" s="20" t="s">
        <v>336</v>
      </c>
      <c r="F170" s="20" t="s">
        <v>192</v>
      </c>
      <c r="G170" s="8" t="str">
        <f t="shared" si="2"/>
        <v>SMITH MICHAEL</v>
      </c>
    </row>
    <row r="171" spans="1:7" x14ac:dyDescent="0.25">
      <c r="A171" s="8">
        <v>42953.775543981479</v>
      </c>
      <c r="B171" s="20" t="s">
        <v>358</v>
      </c>
      <c r="C171" s="20" t="s">
        <v>831</v>
      </c>
      <c r="D171" s="138">
        <v>2420000</v>
      </c>
      <c r="E171" s="20" t="s">
        <v>534</v>
      </c>
      <c r="F171" s="20" t="s">
        <v>535</v>
      </c>
      <c r="G171" s="8" t="str">
        <f t="shared" si="2"/>
        <v>HOLCOMB KAMDEN</v>
      </c>
    </row>
    <row r="172" spans="1:7" x14ac:dyDescent="0.25">
      <c r="A172" s="8">
        <v>42953.77753472222</v>
      </c>
      <c r="B172" s="20" t="s">
        <v>466</v>
      </c>
      <c r="C172" s="20" t="s">
        <v>832</v>
      </c>
      <c r="D172" s="138">
        <v>1770000</v>
      </c>
      <c r="E172" s="20" t="s">
        <v>761</v>
      </c>
      <c r="F172" s="20" t="s">
        <v>762</v>
      </c>
      <c r="G172" s="8" t="str">
        <f t="shared" si="2"/>
        <v>BRUDER RICHARD</v>
      </c>
    </row>
    <row r="173" spans="1:7" x14ac:dyDescent="0.25">
      <c r="A173" s="8">
        <v>42953.783437500002</v>
      </c>
      <c r="B173" s="20" t="s">
        <v>483</v>
      </c>
      <c r="C173" s="20" t="s">
        <v>833</v>
      </c>
      <c r="D173" s="138">
        <v>2540000</v>
      </c>
      <c r="E173" s="20" t="s">
        <v>773</v>
      </c>
      <c r="F173" s="20" t="s">
        <v>774</v>
      </c>
      <c r="G173" s="8" t="str">
        <f t="shared" si="2"/>
        <v>MCREYNOLDS KYLE</v>
      </c>
    </row>
    <row r="174" spans="1:7" x14ac:dyDescent="0.25">
      <c r="A174" s="8">
        <v>42953.7891087963</v>
      </c>
      <c r="B174" s="20" t="s">
        <v>648</v>
      </c>
      <c r="C174" s="20" t="s">
        <v>834</v>
      </c>
      <c r="D174" s="138">
        <v>3200000</v>
      </c>
      <c r="E174" s="20" t="s">
        <v>835</v>
      </c>
      <c r="F174" s="20" t="s">
        <v>836</v>
      </c>
      <c r="G174" s="8" t="str">
        <f t="shared" si="2"/>
        <v>MILLER KEVIN</v>
      </c>
    </row>
    <row r="175" spans="1:7" x14ac:dyDescent="0.25">
      <c r="A175" s="8">
        <v>42953.790914351855</v>
      </c>
      <c r="B175" s="20" t="s">
        <v>648</v>
      </c>
      <c r="C175" s="20" t="s">
        <v>834</v>
      </c>
      <c r="D175" s="138">
        <v>3200000</v>
      </c>
      <c r="E175" s="20" t="s">
        <v>835</v>
      </c>
      <c r="F175" s="20" t="s">
        <v>836</v>
      </c>
      <c r="G175" s="8" t="str">
        <f t="shared" si="2"/>
        <v>MILLER KEVIN</v>
      </c>
    </row>
    <row r="176" spans="1:7" x14ac:dyDescent="0.25">
      <c r="A176" s="8">
        <v>42953.797106481485</v>
      </c>
      <c r="B176" s="20" t="s">
        <v>513</v>
      </c>
      <c r="C176" s="20" t="s">
        <v>837</v>
      </c>
      <c r="D176" s="138">
        <v>3030000</v>
      </c>
      <c r="E176" s="20" t="s">
        <v>368</v>
      </c>
      <c r="F176" s="20" t="s">
        <v>356</v>
      </c>
      <c r="G176" s="8" t="str">
        <f t="shared" si="2"/>
        <v>BIRENBAUM THOMAS</v>
      </c>
    </row>
    <row r="177" spans="1:7" x14ac:dyDescent="0.25">
      <c r="A177" s="8">
        <v>42953.797442129631</v>
      </c>
      <c r="B177" s="20" t="s">
        <v>387</v>
      </c>
      <c r="C177" s="20" t="s">
        <v>838</v>
      </c>
      <c r="D177" s="138">
        <v>2370000</v>
      </c>
      <c r="E177" s="20" t="s">
        <v>766</v>
      </c>
      <c r="F177" s="20" t="s">
        <v>767</v>
      </c>
      <c r="G177" s="8" t="str">
        <f t="shared" si="2"/>
        <v>DELGADO DIANAH</v>
      </c>
    </row>
    <row r="178" spans="1:7" x14ac:dyDescent="0.25">
      <c r="A178" s="8">
        <v>42953.799756944441</v>
      </c>
      <c r="B178" s="20" t="s">
        <v>361</v>
      </c>
      <c r="C178" s="20" t="s">
        <v>658</v>
      </c>
      <c r="D178" s="138">
        <v>2420000</v>
      </c>
      <c r="E178" s="20" t="s">
        <v>534</v>
      </c>
      <c r="F178" s="20" t="s">
        <v>535</v>
      </c>
      <c r="G178" s="8" t="str">
        <f t="shared" si="2"/>
        <v>HOLCOMB KAMDEN</v>
      </c>
    </row>
    <row r="179" spans="1:7" x14ac:dyDescent="0.25">
      <c r="A179" s="8">
        <v>42953.800879629627</v>
      </c>
      <c r="B179" s="20" t="s">
        <v>463</v>
      </c>
      <c r="C179" s="20" t="s">
        <v>839</v>
      </c>
      <c r="D179" s="138">
        <v>2090000</v>
      </c>
      <c r="E179" s="20" t="s">
        <v>391</v>
      </c>
      <c r="F179" s="20" t="s">
        <v>192</v>
      </c>
      <c r="G179" s="8" t="str">
        <f t="shared" si="2"/>
        <v>HAITHCOX MICHAEL</v>
      </c>
    </row>
    <row r="180" spans="1:7" x14ac:dyDescent="0.25">
      <c r="A180" s="8">
        <v>42953.807650462964</v>
      </c>
      <c r="B180" s="20" t="s">
        <v>576</v>
      </c>
      <c r="C180" s="20" t="s">
        <v>840</v>
      </c>
      <c r="D180" s="138">
        <v>2230000</v>
      </c>
      <c r="E180" s="20" t="s">
        <v>336</v>
      </c>
      <c r="F180" s="20" t="s">
        <v>192</v>
      </c>
      <c r="G180" s="8" t="str">
        <f t="shared" si="2"/>
        <v>SMITH MICHAEL</v>
      </c>
    </row>
    <row r="181" spans="1:7" x14ac:dyDescent="0.25">
      <c r="A181" s="8">
        <v>42953.81821759259</v>
      </c>
      <c r="B181" s="20" t="s">
        <v>358</v>
      </c>
      <c r="C181" s="20" t="s">
        <v>841</v>
      </c>
      <c r="D181" s="138">
        <v>2420000</v>
      </c>
      <c r="E181" s="20" t="s">
        <v>534</v>
      </c>
      <c r="F181" s="20" t="s">
        <v>535</v>
      </c>
      <c r="G181" s="8" t="str">
        <f t="shared" si="2"/>
        <v>HOLCOMB KAMDEN</v>
      </c>
    </row>
    <row r="182" spans="1:7" x14ac:dyDescent="0.25">
      <c r="A182" s="8">
        <v>42953.819120370368</v>
      </c>
      <c r="B182" s="20" t="s">
        <v>484</v>
      </c>
      <c r="C182" s="20" t="s">
        <v>842</v>
      </c>
      <c r="D182" s="138">
        <v>2540000</v>
      </c>
      <c r="E182" s="20" t="s">
        <v>773</v>
      </c>
      <c r="F182" s="20" t="s">
        <v>774</v>
      </c>
      <c r="G182" s="8" t="str">
        <f t="shared" si="2"/>
        <v>MCREYNOLDS KYLE</v>
      </c>
    </row>
    <row r="183" spans="1:7" x14ac:dyDescent="0.25">
      <c r="A183" s="8">
        <v>42953.827476851853</v>
      </c>
      <c r="B183" s="20" t="s">
        <v>441</v>
      </c>
      <c r="C183" s="20" t="s">
        <v>843</v>
      </c>
      <c r="D183" s="138">
        <v>3200000</v>
      </c>
      <c r="E183" s="20" t="s">
        <v>835</v>
      </c>
      <c r="F183" s="20" t="s">
        <v>836</v>
      </c>
      <c r="G183" s="8" t="str">
        <f t="shared" si="2"/>
        <v>MILLER KEVIN</v>
      </c>
    </row>
    <row r="184" spans="1:7" x14ac:dyDescent="0.25">
      <c r="A184" s="8">
        <v>42953.828587962962</v>
      </c>
      <c r="B184" s="20" t="s">
        <v>514</v>
      </c>
      <c r="C184" s="20" t="s">
        <v>844</v>
      </c>
      <c r="D184" s="138">
        <v>3030000</v>
      </c>
      <c r="E184" s="20" t="s">
        <v>368</v>
      </c>
      <c r="F184" s="20" t="s">
        <v>356</v>
      </c>
      <c r="G184" s="8" t="str">
        <f t="shared" si="2"/>
        <v>BIRENBAUM THOMAS</v>
      </c>
    </row>
    <row r="185" spans="1:7" x14ac:dyDescent="0.25">
      <c r="A185" s="8">
        <v>42953.840509259258</v>
      </c>
      <c r="B185" s="20" t="s">
        <v>467</v>
      </c>
      <c r="C185" s="20" t="s">
        <v>845</v>
      </c>
      <c r="D185" s="138">
        <v>2090000</v>
      </c>
      <c r="E185" s="20" t="s">
        <v>391</v>
      </c>
      <c r="F185" s="20" t="s">
        <v>192</v>
      </c>
      <c r="G185" s="8" t="str">
        <f t="shared" si="2"/>
        <v>HAITHCOX MICHAEL</v>
      </c>
    </row>
    <row r="186" spans="1:7" x14ac:dyDescent="0.25">
      <c r="A186" s="8">
        <v>42953.843738425923</v>
      </c>
      <c r="B186" s="20" t="s">
        <v>577</v>
      </c>
      <c r="C186" s="20" t="s">
        <v>846</v>
      </c>
      <c r="D186" s="138">
        <v>2230000</v>
      </c>
      <c r="E186" s="20" t="s">
        <v>336</v>
      </c>
      <c r="F186" s="20" t="s">
        <v>192</v>
      </c>
      <c r="G186" s="8" t="str">
        <f t="shared" si="2"/>
        <v>SMITH MICHAEL</v>
      </c>
    </row>
    <row r="187" spans="1:7" x14ac:dyDescent="0.25">
      <c r="A187" s="8">
        <v>42953.847754629627</v>
      </c>
      <c r="B187" s="20" t="s">
        <v>361</v>
      </c>
      <c r="C187" s="20" t="s">
        <v>659</v>
      </c>
      <c r="D187" s="138">
        <v>2420000</v>
      </c>
      <c r="E187" s="20" t="s">
        <v>534</v>
      </c>
      <c r="F187" s="20" t="s">
        <v>535</v>
      </c>
      <c r="G187" s="8" t="str">
        <f t="shared" si="2"/>
        <v>HOLCOMB KAMDEN</v>
      </c>
    </row>
    <row r="188" spans="1:7" x14ac:dyDescent="0.25">
      <c r="A188" s="8">
        <v>42953.859791666669</v>
      </c>
      <c r="B188" s="20" t="s">
        <v>358</v>
      </c>
      <c r="C188" s="20" t="s">
        <v>660</v>
      </c>
      <c r="D188" s="138">
        <v>2420000</v>
      </c>
      <c r="E188" s="20" t="s">
        <v>534</v>
      </c>
      <c r="F188" s="20" t="s">
        <v>535</v>
      </c>
      <c r="G188" s="8" t="str">
        <f t="shared" si="2"/>
        <v>HOLCOMB KAMDEN</v>
      </c>
    </row>
    <row r="189" spans="1:7" x14ac:dyDescent="0.25">
      <c r="A189" s="8">
        <v>42953.867222222223</v>
      </c>
      <c r="B189" s="20" t="s">
        <v>648</v>
      </c>
      <c r="C189" s="20" t="s">
        <v>847</v>
      </c>
      <c r="D189" s="138">
        <v>3130000</v>
      </c>
      <c r="E189" s="20" t="s">
        <v>371</v>
      </c>
      <c r="F189" s="20" t="s">
        <v>372</v>
      </c>
      <c r="G189" s="8" t="str">
        <f t="shared" si="2"/>
        <v>ZEWDU DEREJE</v>
      </c>
    </row>
    <row r="190" spans="1:7" x14ac:dyDescent="0.25">
      <c r="A190" s="8">
        <v>42953.870046296295</v>
      </c>
      <c r="B190" s="20" t="s">
        <v>513</v>
      </c>
      <c r="C190" s="20" t="s">
        <v>848</v>
      </c>
      <c r="D190" s="138">
        <v>3030000</v>
      </c>
      <c r="E190" s="20" t="s">
        <v>368</v>
      </c>
      <c r="F190" s="20" t="s">
        <v>356</v>
      </c>
      <c r="G190" s="8" t="str">
        <f t="shared" si="2"/>
        <v>BIRENBAUM THOMAS</v>
      </c>
    </row>
    <row r="191" spans="1:7" x14ac:dyDescent="0.25">
      <c r="A191" s="8">
        <v>42953.883252314816</v>
      </c>
      <c r="B191" s="20" t="s">
        <v>576</v>
      </c>
      <c r="C191" s="20" t="s">
        <v>849</v>
      </c>
      <c r="D191" s="138">
        <v>2230000</v>
      </c>
      <c r="E191" s="20" t="s">
        <v>336</v>
      </c>
      <c r="F191" s="20" t="s">
        <v>192</v>
      </c>
      <c r="G191" s="8" t="str">
        <f t="shared" si="2"/>
        <v>SMITH MICHAEL</v>
      </c>
    </row>
    <row r="192" spans="1:7" x14ac:dyDescent="0.25">
      <c r="A192" s="8">
        <v>42953.883368055554</v>
      </c>
      <c r="B192" s="20" t="s">
        <v>463</v>
      </c>
      <c r="C192" s="20" t="s">
        <v>662</v>
      </c>
      <c r="D192" s="138">
        <v>2090000</v>
      </c>
      <c r="E192" s="20" t="s">
        <v>391</v>
      </c>
      <c r="F192" s="20" t="s">
        <v>192</v>
      </c>
      <c r="G192" s="8" t="str">
        <f t="shared" si="2"/>
        <v>HAITHCOX MICHAEL</v>
      </c>
    </row>
    <row r="193" spans="1:7" x14ac:dyDescent="0.25">
      <c r="A193" s="8">
        <v>42953.888784722221</v>
      </c>
      <c r="B193" s="20" t="s">
        <v>361</v>
      </c>
      <c r="C193" s="20" t="s">
        <v>661</v>
      </c>
      <c r="D193" s="138">
        <v>2420000</v>
      </c>
      <c r="E193" s="20" t="s">
        <v>534</v>
      </c>
      <c r="F193" s="20" t="s">
        <v>535</v>
      </c>
      <c r="G193" s="8" t="str">
        <f t="shared" si="2"/>
        <v>HOLCOMB KAMDEN</v>
      </c>
    </row>
    <row r="194" spans="1:7" x14ac:dyDescent="0.25">
      <c r="A194" s="8">
        <v>42953.900231481479</v>
      </c>
      <c r="B194" s="20" t="s">
        <v>358</v>
      </c>
      <c r="C194" s="20" t="s">
        <v>850</v>
      </c>
      <c r="D194" s="138">
        <v>2420000</v>
      </c>
      <c r="E194" s="20" t="s">
        <v>534</v>
      </c>
      <c r="F194" s="20" t="s">
        <v>535</v>
      </c>
      <c r="G194" s="8" t="str">
        <f t="shared" si="2"/>
        <v>HOLCOMB KAMDEN</v>
      </c>
    </row>
    <row r="195" spans="1:7" x14ac:dyDescent="0.25">
      <c r="A195" s="8">
        <v>42953.906400462962</v>
      </c>
      <c r="B195" s="20" t="s">
        <v>441</v>
      </c>
      <c r="C195" s="20" t="s">
        <v>851</v>
      </c>
      <c r="D195" s="138">
        <v>3130000</v>
      </c>
      <c r="E195" s="20" t="s">
        <v>371</v>
      </c>
      <c r="F195" s="20" t="s">
        <v>372</v>
      </c>
      <c r="G195" s="8" t="str">
        <f t="shared" ref="G195:G258" si="3">E195&amp;" "&amp;F195</f>
        <v>ZEWDU DEREJE</v>
      </c>
    </row>
    <row r="196" spans="1:7" x14ac:dyDescent="0.25">
      <c r="A196" s="8">
        <v>42953.913506944446</v>
      </c>
      <c r="B196" s="20" t="s">
        <v>514</v>
      </c>
      <c r="C196" s="20" t="s">
        <v>852</v>
      </c>
      <c r="D196" s="138">
        <v>3030000</v>
      </c>
      <c r="E196" s="20" t="s">
        <v>368</v>
      </c>
      <c r="F196" s="20" t="s">
        <v>356</v>
      </c>
      <c r="G196" s="8" t="str">
        <f t="shared" si="3"/>
        <v>BIRENBAUM THOMAS</v>
      </c>
    </row>
    <row r="197" spans="1:7" x14ac:dyDescent="0.25">
      <c r="A197" s="8">
        <v>42953.924085648148</v>
      </c>
      <c r="B197" s="20" t="s">
        <v>467</v>
      </c>
      <c r="C197" s="20" t="s">
        <v>853</v>
      </c>
      <c r="D197" s="138">
        <v>2090000</v>
      </c>
      <c r="E197" s="20" t="s">
        <v>391</v>
      </c>
      <c r="F197" s="20" t="s">
        <v>192</v>
      </c>
      <c r="G197" s="8" t="str">
        <f t="shared" si="3"/>
        <v>HAITHCOX MICHAEL</v>
      </c>
    </row>
    <row r="198" spans="1:7" x14ac:dyDescent="0.25">
      <c r="A198" s="8">
        <v>42953.928159722222</v>
      </c>
      <c r="B198" s="20" t="s">
        <v>577</v>
      </c>
      <c r="C198" s="20" t="s">
        <v>854</v>
      </c>
      <c r="D198" s="138">
        <v>2230000</v>
      </c>
      <c r="E198" s="20" t="s">
        <v>336</v>
      </c>
      <c r="F198" s="20" t="s">
        <v>192</v>
      </c>
      <c r="G198" s="8" t="str">
        <f t="shared" si="3"/>
        <v>SMITH MICHAEL</v>
      </c>
    </row>
    <row r="199" spans="1:7" x14ac:dyDescent="0.25">
      <c r="A199" s="8">
        <v>42953.929340277777</v>
      </c>
      <c r="B199" s="20" t="s">
        <v>361</v>
      </c>
      <c r="C199" s="20" t="s">
        <v>663</v>
      </c>
      <c r="D199" s="138">
        <v>2420000</v>
      </c>
      <c r="E199" s="20" t="s">
        <v>534</v>
      </c>
      <c r="F199" s="20" t="s">
        <v>535</v>
      </c>
      <c r="G199" s="8" t="str">
        <f t="shared" si="3"/>
        <v>HOLCOMB KAMDEN</v>
      </c>
    </row>
    <row r="200" spans="1:7" x14ac:dyDescent="0.25">
      <c r="A200" s="8">
        <v>42953.942696759259</v>
      </c>
      <c r="B200" s="20" t="s">
        <v>358</v>
      </c>
      <c r="C200" s="20" t="s">
        <v>664</v>
      </c>
      <c r="D200" s="138">
        <v>2420000</v>
      </c>
      <c r="E200" s="20" t="s">
        <v>534</v>
      </c>
      <c r="F200" s="20" t="s">
        <v>535</v>
      </c>
      <c r="G200" s="8" t="str">
        <f t="shared" si="3"/>
        <v>HOLCOMB KAMDEN</v>
      </c>
    </row>
    <row r="201" spans="1:7" x14ac:dyDescent="0.25">
      <c r="A201" s="8">
        <v>42953.944641203707</v>
      </c>
      <c r="B201" s="20" t="s">
        <v>648</v>
      </c>
      <c r="C201" s="20" t="s">
        <v>855</v>
      </c>
      <c r="D201" s="138">
        <v>3130000</v>
      </c>
      <c r="E201" s="20" t="s">
        <v>371</v>
      </c>
      <c r="F201" s="20" t="s">
        <v>372</v>
      </c>
      <c r="G201" s="8" t="str">
        <f t="shared" si="3"/>
        <v>ZEWDU DEREJE</v>
      </c>
    </row>
    <row r="202" spans="1:7" x14ac:dyDescent="0.25">
      <c r="A202" s="26">
        <v>42953.949965277781</v>
      </c>
      <c r="B202" s="20" t="s">
        <v>361</v>
      </c>
      <c r="C202" s="20" t="s">
        <v>664</v>
      </c>
      <c r="D202" s="138">
        <v>2420000</v>
      </c>
      <c r="E202" s="20" t="s">
        <v>534</v>
      </c>
      <c r="F202" s="20" t="s">
        <v>535</v>
      </c>
      <c r="G202" s="8" t="str">
        <f t="shared" si="3"/>
        <v>HOLCOMB KAMDEN</v>
      </c>
    </row>
    <row r="203" spans="1:7" x14ac:dyDescent="0.25">
      <c r="A203" s="8">
        <v>42953.954224537039</v>
      </c>
      <c r="B203" s="20" t="s">
        <v>513</v>
      </c>
      <c r="C203" s="20" t="s">
        <v>856</v>
      </c>
      <c r="D203" s="138">
        <v>3030000</v>
      </c>
      <c r="E203" s="20" t="s">
        <v>368</v>
      </c>
      <c r="F203" s="20" t="s">
        <v>356</v>
      </c>
      <c r="G203" s="8" t="str">
        <f t="shared" si="3"/>
        <v>BIRENBAUM THOMAS</v>
      </c>
    </row>
    <row r="204" spans="1:7" x14ac:dyDescent="0.25">
      <c r="A204" s="8">
        <v>42953.964745370373</v>
      </c>
      <c r="B204" s="20" t="s">
        <v>576</v>
      </c>
      <c r="C204" s="20" t="s">
        <v>857</v>
      </c>
      <c r="D204" s="138">
        <v>2230000</v>
      </c>
      <c r="E204" s="20" t="s">
        <v>336</v>
      </c>
      <c r="F204" s="20" t="s">
        <v>192</v>
      </c>
      <c r="G204" s="8" t="str">
        <f t="shared" si="3"/>
        <v>SMITH MICHAEL</v>
      </c>
    </row>
    <row r="205" spans="1:7" x14ac:dyDescent="0.25">
      <c r="A205" s="8">
        <v>42953.965011574073</v>
      </c>
      <c r="B205" s="20" t="s">
        <v>463</v>
      </c>
      <c r="C205" s="20" t="s">
        <v>858</v>
      </c>
      <c r="D205" s="138">
        <v>2090000</v>
      </c>
      <c r="E205" s="20" t="s">
        <v>391</v>
      </c>
      <c r="F205" s="20" t="s">
        <v>192</v>
      </c>
      <c r="G205" s="8" t="str">
        <f t="shared" si="3"/>
        <v>HAITHCOX MICHAEL</v>
      </c>
    </row>
    <row r="206" spans="1:7" x14ac:dyDescent="0.25">
      <c r="A206" s="8">
        <v>42953.994467592594</v>
      </c>
      <c r="B206" s="20" t="s">
        <v>441</v>
      </c>
      <c r="C206" s="20" t="s">
        <v>859</v>
      </c>
      <c r="D206" s="138">
        <v>3130000</v>
      </c>
      <c r="E206" s="20" t="s">
        <v>371</v>
      </c>
      <c r="F206" s="20" t="s">
        <v>372</v>
      </c>
      <c r="G206" s="8" t="str">
        <f t="shared" si="3"/>
        <v>ZEWDU DEREJE</v>
      </c>
    </row>
    <row r="207" spans="1:7" x14ac:dyDescent="0.25">
      <c r="A207" s="8">
        <v>42953.997569444444</v>
      </c>
      <c r="B207" s="20" t="s">
        <v>514</v>
      </c>
      <c r="C207" s="20" t="s">
        <v>860</v>
      </c>
      <c r="D207" s="138">
        <v>3030000</v>
      </c>
      <c r="E207" s="20" t="s">
        <v>368</v>
      </c>
      <c r="F207" s="20" t="s">
        <v>356</v>
      </c>
      <c r="G207" s="8" t="str">
        <f t="shared" si="3"/>
        <v>BIRENBAUM THOMAS</v>
      </c>
    </row>
    <row r="208" spans="1:7" x14ac:dyDescent="0.25">
      <c r="A208" s="8">
        <v>42954.006643518522</v>
      </c>
      <c r="B208" s="20" t="s">
        <v>467</v>
      </c>
      <c r="C208" s="20" t="s">
        <v>861</v>
      </c>
      <c r="D208" s="138">
        <v>2090000</v>
      </c>
      <c r="E208" s="20" t="s">
        <v>391</v>
      </c>
      <c r="F208" s="20" t="s">
        <v>192</v>
      </c>
      <c r="G208" s="8" t="str">
        <f t="shared" si="3"/>
        <v>HAITHCOX MICHAEL</v>
      </c>
    </row>
    <row r="209" spans="1:7" x14ac:dyDescent="0.25">
      <c r="A209" s="8">
        <v>42954.009918981479</v>
      </c>
      <c r="B209" s="20" t="s">
        <v>577</v>
      </c>
      <c r="C209" s="20" t="s">
        <v>862</v>
      </c>
      <c r="D209" s="138">
        <v>2230000</v>
      </c>
      <c r="E209" s="20" t="s">
        <v>336</v>
      </c>
      <c r="F209" s="20" t="s">
        <v>192</v>
      </c>
      <c r="G209" s="8" t="str">
        <f t="shared" si="3"/>
        <v>SMITH MICHAEL</v>
      </c>
    </row>
    <row r="210" spans="1:7" x14ac:dyDescent="0.25">
      <c r="A210" s="8">
        <v>42954.028368055559</v>
      </c>
      <c r="B210" s="20" t="s">
        <v>648</v>
      </c>
      <c r="C210" s="20" t="s">
        <v>863</v>
      </c>
      <c r="D210" s="138">
        <v>3130000</v>
      </c>
      <c r="E210" s="20" t="s">
        <v>371</v>
      </c>
      <c r="F210" s="20" t="s">
        <v>372</v>
      </c>
      <c r="G210" s="8" t="str">
        <f t="shared" si="3"/>
        <v>ZEWDU DEREJE</v>
      </c>
    </row>
    <row r="211" spans="1:7" x14ac:dyDescent="0.25">
      <c r="A211" s="8">
        <v>42954.02915509259</v>
      </c>
      <c r="B211" s="20" t="s">
        <v>648</v>
      </c>
      <c r="C211" s="20" t="s">
        <v>863</v>
      </c>
      <c r="D211" s="138">
        <v>3130000</v>
      </c>
      <c r="E211" s="20" t="s">
        <v>371</v>
      </c>
      <c r="F211" s="20" t="s">
        <v>372</v>
      </c>
      <c r="G211" s="8" t="str">
        <f t="shared" si="3"/>
        <v>ZEWDU DEREJE</v>
      </c>
    </row>
    <row r="212" spans="1:7" x14ac:dyDescent="0.25">
      <c r="A212" s="8">
        <v>42954.0315162037</v>
      </c>
      <c r="B212" s="20" t="s">
        <v>648</v>
      </c>
      <c r="C212" s="20" t="s">
        <v>863</v>
      </c>
      <c r="D212" s="138">
        <v>3130000</v>
      </c>
      <c r="E212" s="20" t="s">
        <v>371</v>
      </c>
      <c r="F212" s="20" t="s">
        <v>372</v>
      </c>
      <c r="G212" s="8" t="str">
        <f t="shared" si="3"/>
        <v>ZEWDU DEREJE</v>
      </c>
    </row>
    <row r="213" spans="1:7" x14ac:dyDescent="0.25">
      <c r="A213" s="8">
        <v>42954.034837962965</v>
      </c>
      <c r="B213" s="20" t="s">
        <v>513</v>
      </c>
      <c r="C213" s="20" t="s">
        <v>864</v>
      </c>
      <c r="D213" s="138">
        <v>3030000</v>
      </c>
      <c r="E213" s="20" t="s">
        <v>368</v>
      </c>
      <c r="F213" s="20" t="s">
        <v>356</v>
      </c>
      <c r="G213" s="8" t="str">
        <f t="shared" si="3"/>
        <v>BIRENBAUM THOMAS</v>
      </c>
    </row>
    <row r="214" spans="1:7" x14ac:dyDescent="0.25">
      <c r="A214" s="8">
        <v>42954.047800925924</v>
      </c>
      <c r="B214" s="20" t="s">
        <v>576</v>
      </c>
      <c r="C214" s="20" t="s">
        <v>865</v>
      </c>
      <c r="D214" s="138">
        <v>2230000</v>
      </c>
      <c r="E214" s="20" t="s">
        <v>336</v>
      </c>
      <c r="F214" s="20" t="s">
        <v>192</v>
      </c>
      <c r="G214" s="8" t="str">
        <f t="shared" si="3"/>
        <v>SMITH MICHAEL</v>
      </c>
    </row>
    <row r="215" spans="1:7" x14ac:dyDescent="0.25">
      <c r="A215" s="8">
        <v>42954.051504629628</v>
      </c>
      <c r="B215" s="20" t="s">
        <v>463</v>
      </c>
      <c r="C215" s="20" t="s">
        <v>866</v>
      </c>
      <c r="D215" s="138">
        <v>2090000</v>
      </c>
      <c r="E215" s="20" t="s">
        <v>391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42954.067777777775</v>
      </c>
      <c r="B216" s="20" t="s">
        <v>514</v>
      </c>
      <c r="C216" s="20" t="s">
        <v>867</v>
      </c>
      <c r="D216" s="138">
        <v>3030000</v>
      </c>
      <c r="E216" s="20" t="s">
        <v>368</v>
      </c>
      <c r="F216" s="20" t="s">
        <v>356</v>
      </c>
      <c r="G216" s="8" t="str">
        <f t="shared" si="3"/>
        <v>BIRENBAUM THOMAS</v>
      </c>
    </row>
    <row r="217" spans="1:7" x14ac:dyDescent="0.25">
      <c r="A217" s="8">
        <v>42954.08966435185</v>
      </c>
      <c r="B217" s="20" t="s">
        <v>467</v>
      </c>
      <c r="C217" s="20" t="s">
        <v>868</v>
      </c>
      <c r="D217" s="138">
        <v>2090000</v>
      </c>
      <c r="E217" s="20" t="s">
        <v>391</v>
      </c>
      <c r="F217" s="20" t="s">
        <v>192</v>
      </c>
      <c r="G217" s="8" t="str">
        <f t="shared" si="3"/>
        <v>HAITHCOX MICHAEL</v>
      </c>
    </row>
    <row r="218" spans="1:7" x14ac:dyDescent="0.25">
      <c r="A218" s="8">
        <v>42950.902129629627</v>
      </c>
      <c r="B218" s="20" t="s">
        <v>577</v>
      </c>
      <c r="C218" s="20" t="s">
        <v>587</v>
      </c>
      <c r="D218" s="138">
        <v>3180000</v>
      </c>
      <c r="E218" s="20" t="s">
        <v>585</v>
      </c>
      <c r="F218" s="20" t="s">
        <v>586</v>
      </c>
      <c r="G218" s="8" t="str">
        <f t="shared" si="3"/>
        <v>HUFFSMITH MONTY</v>
      </c>
    </row>
    <row r="219" spans="1:7" x14ac:dyDescent="0.25">
      <c r="A219" s="8">
        <v>42950.907916666663</v>
      </c>
      <c r="B219" s="20" t="s">
        <v>536</v>
      </c>
      <c r="C219" s="20" t="s">
        <v>588</v>
      </c>
      <c r="D219" s="138">
        <v>2620000</v>
      </c>
      <c r="E219" s="20" t="s">
        <v>583</v>
      </c>
      <c r="F219" s="20" t="s">
        <v>584</v>
      </c>
      <c r="G219" s="8" t="str">
        <f t="shared" si="3"/>
        <v>PERKINS DARREN</v>
      </c>
    </row>
    <row r="220" spans="1:7" x14ac:dyDescent="0.25">
      <c r="A220" s="8">
        <v>42950.910497685189</v>
      </c>
      <c r="B220" s="20" t="s">
        <v>485</v>
      </c>
      <c r="C220" s="20" t="s">
        <v>589</v>
      </c>
      <c r="D220" s="138">
        <v>3090000</v>
      </c>
      <c r="E220" s="20" t="s">
        <v>364</v>
      </c>
      <c r="F220" s="20" t="s">
        <v>365</v>
      </c>
      <c r="G220" s="8" t="str">
        <f t="shared" si="3"/>
        <v>LAMAR NEKESHA</v>
      </c>
    </row>
    <row r="221" spans="1:7" x14ac:dyDescent="0.25">
      <c r="A221" s="8">
        <v>42950.922638888886</v>
      </c>
      <c r="B221" s="20" t="s">
        <v>576</v>
      </c>
      <c r="C221" s="20" t="s">
        <v>578</v>
      </c>
      <c r="D221" s="138">
        <v>2090000</v>
      </c>
      <c r="E221" s="20" t="s">
        <v>391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42950.923935185187</v>
      </c>
      <c r="B222" s="20" t="s">
        <v>469</v>
      </c>
      <c r="C222" s="20" t="s">
        <v>590</v>
      </c>
      <c r="D222" s="138">
        <v>3000000</v>
      </c>
      <c r="E222" s="20" t="s">
        <v>382</v>
      </c>
      <c r="F222" s="20" t="s">
        <v>383</v>
      </c>
      <c r="G222" s="8" t="str">
        <f t="shared" si="3"/>
        <v>FORTUNATO FRANK</v>
      </c>
    </row>
    <row r="223" spans="1:7" x14ac:dyDescent="0.25">
      <c r="A223" s="8">
        <v>42950.931631944448</v>
      </c>
      <c r="B223" s="20" t="s">
        <v>509</v>
      </c>
      <c r="C223" s="20" t="s">
        <v>579</v>
      </c>
      <c r="D223" s="138">
        <v>3260000</v>
      </c>
      <c r="E223" s="20" t="s">
        <v>454</v>
      </c>
      <c r="F223" s="20" t="s">
        <v>455</v>
      </c>
      <c r="G223" s="8" t="str">
        <f t="shared" si="3"/>
        <v>PAGE MARCUS</v>
      </c>
    </row>
    <row r="224" spans="1:7" x14ac:dyDescent="0.25">
      <c r="A224" s="8">
        <v>42950.943020833336</v>
      </c>
      <c r="B224" t="s">
        <v>577</v>
      </c>
      <c r="C224" t="s">
        <v>591</v>
      </c>
      <c r="D224" s="138">
        <v>2090000</v>
      </c>
      <c r="E224" t="s">
        <v>391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42950.949560185189</v>
      </c>
      <c r="B225" t="s">
        <v>575</v>
      </c>
      <c r="C225" t="s">
        <v>592</v>
      </c>
      <c r="D225" s="138">
        <v>2620000</v>
      </c>
      <c r="E225" t="s">
        <v>583</v>
      </c>
      <c r="F225" s="20" t="s">
        <v>584</v>
      </c>
      <c r="G225" s="8" t="str">
        <f t="shared" si="3"/>
        <v>PERKINS DARREN</v>
      </c>
    </row>
    <row r="226" spans="1:7" x14ac:dyDescent="0.25">
      <c r="A226" s="8">
        <v>42950.956712962965</v>
      </c>
      <c r="B226" t="s">
        <v>486</v>
      </c>
      <c r="C226" t="s">
        <v>593</v>
      </c>
      <c r="D226" s="138">
        <v>3030000</v>
      </c>
      <c r="E226" t="s">
        <v>368</v>
      </c>
      <c r="F226" s="20" t="s">
        <v>356</v>
      </c>
      <c r="G226" s="8" t="str">
        <f t="shared" si="3"/>
        <v>BIRENBAUM THOMAS</v>
      </c>
    </row>
    <row r="227" spans="1:7" x14ac:dyDescent="0.25">
      <c r="A227" s="8">
        <v>42950.969444444447</v>
      </c>
      <c r="B227" t="s">
        <v>468</v>
      </c>
      <c r="C227" t="s">
        <v>594</v>
      </c>
      <c r="D227" s="138">
        <v>3000000</v>
      </c>
      <c r="E227" t="s">
        <v>382</v>
      </c>
      <c r="F227" s="20" t="s">
        <v>383</v>
      </c>
      <c r="G227" s="8" t="str">
        <f t="shared" si="3"/>
        <v>FORTUNATO FRANK</v>
      </c>
    </row>
    <row r="228" spans="1:7" x14ac:dyDescent="0.25">
      <c r="A228" s="8">
        <v>42950.976365740738</v>
      </c>
      <c r="B228" t="s">
        <v>510</v>
      </c>
      <c r="C228" t="s">
        <v>580</v>
      </c>
      <c r="D228" s="138">
        <v>3260000</v>
      </c>
      <c r="E228" t="s">
        <v>454</v>
      </c>
      <c r="F228" s="20" t="s">
        <v>455</v>
      </c>
      <c r="G228" s="8" t="str">
        <f t="shared" si="3"/>
        <v>PAGE MARCUS</v>
      </c>
    </row>
    <row r="229" spans="1:7" x14ac:dyDescent="0.25">
      <c r="A229" s="8">
        <v>42950.985185185185</v>
      </c>
      <c r="B229" t="s">
        <v>536</v>
      </c>
      <c r="C229" t="s">
        <v>581</v>
      </c>
      <c r="D229" s="138">
        <v>2620000</v>
      </c>
      <c r="E229" t="s">
        <v>583</v>
      </c>
      <c r="F229" s="20" t="s">
        <v>584</v>
      </c>
      <c r="G229" s="8" t="str">
        <f t="shared" si="3"/>
        <v>PERKINS DARREN</v>
      </c>
    </row>
    <row r="230" spans="1:7" x14ac:dyDescent="0.25">
      <c r="A230" s="8">
        <v>42950.995266203703</v>
      </c>
      <c r="B230" t="s">
        <v>485</v>
      </c>
      <c r="C230" t="s">
        <v>595</v>
      </c>
      <c r="D230" s="138">
        <v>3030000</v>
      </c>
      <c r="E230" t="s">
        <v>368</v>
      </c>
      <c r="F230" s="20" t="s">
        <v>356</v>
      </c>
      <c r="G230" s="8" t="str">
        <f t="shared" si="3"/>
        <v>BIRENBAUM THOMAS</v>
      </c>
    </row>
    <row r="231" spans="1:7" x14ac:dyDescent="0.25">
      <c r="A231" s="8">
        <v>42951.007337962961</v>
      </c>
      <c r="B231" t="s">
        <v>469</v>
      </c>
      <c r="C231" t="s">
        <v>596</v>
      </c>
      <c r="D231" s="138">
        <v>3000000</v>
      </c>
      <c r="E231" t="s">
        <v>382</v>
      </c>
      <c r="F231" s="20" t="s">
        <v>383</v>
      </c>
      <c r="G231" s="8" t="str">
        <f t="shared" si="3"/>
        <v>FORTUNATO FRANK</v>
      </c>
    </row>
    <row r="232" spans="1:7" x14ac:dyDescent="0.25">
      <c r="A232" s="8">
        <v>42951.015914351854</v>
      </c>
      <c r="B232" t="s">
        <v>509</v>
      </c>
      <c r="C232" t="s">
        <v>597</v>
      </c>
      <c r="D232" s="138">
        <v>3260000</v>
      </c>
      <c r="E232" t="s">
        <v>454</v>
      </c>
      <c r="F232" s="20" t="s">
        <v>455</v>
      </c>
      <c r="G232" s="8" t="str">
        <f t="shared" si="3"/>
        <v>PAGE MARCUS</v>
      </c>
    </row>
    <row r="233" spans="1:7" x14ac:dyDescent="0.25">
      <c r="A233" s="8">
        <v>42951.027569444443</v>
      </c>
      <c r="B233" t="s">
        <v>486</v>
      </c>
      <c r="C233" t="s">
        <v>598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42951.03334490741</v>
      </c>
      <c r="B234" t="s">
        <v>575</v>
      </c>
      <c r="C234" t="s">
        <v>599</v>
      </c>
      <c r="D234" s="138">
        <v>2620000</v>
      </c>
      <c r="E234" t="s">
        <v>583</v>
      </c>
      <c r="F234" s="20" t="s">
        <v>584</v>
      </c>
      <c r="G234" s="8" t="str">
        <f t="shared" si="3"/>
        <v>PERKINS DARREN</v>
      </c>
    </row>
    <row r="235" spans="1:7" x14ac:dyDescent="0.25">
      <c r="A235" s="8">
        <v>42951.047407407408</v>
      </c>
      <c r="B235" t="s">
        <v>510</v>
      </c>
      <c r="C235" t="s">
        <v>600</v>
      </c>
      <c r="D235" s="138">
        <v>3260000</v>
      </c>
      <c r="E235" t="s">
        <v>454</v>
      </c>
      <c r="F235" s="20" t="s">
        <v>455</v>
      </c>
      <c r="G235" s="8" t="str">
        <f t="shared" si="3"/>
        <v>PAGE MARCUS</v>
      </c>
    </row>
    <row r="236" spans="1:7" x14ac:dyDescent="0.25">
      <c r="A236" s="8">
        <v>42951.054745370369</v>
      </c>
      <c r="B236" t="s">
        <v>468</v>
      </c>
      <c r="C236" t="s">
        <v>601</v>
      </c>
      <c r="D236" s="138">
        <v>3000000</v>
      </c>
      <c r="E236" t="s">
        <v>382</v>
      </c>
      <c r="F236" s="20" t="s">
        <v>383</v>
      </c>
      <c r="G236" s="8" t="str">
        <f t="shared" si="3"/>
        <v>FORTUNATO FRANK</v>
      </c>
    </row>
    <row r="237" spans="1:7" x14ac:dyDescent="0.25">
      <c r="A237" s="8">
        <v>42951.068611111114</v>
      </c>
      <c r="B237" t="s">
        <v>536</v>
      </c>
      <c r="C237" t="s">
        <v>602</v>
      </c>
      <c r="D237" s="138">
        <v>2620000</v>
      </c>
      <c r="E237" t="s">
        <v>583</v>
      </c>
      <c r="F237" s="20" t="s">
        <v>584</v>
      </c>
      <c r="G237" s="8" t="str">
        <f t="shared" si="3"/>
        <v>PERKINS DARREN</v>
      </c>
    </row>
    <row r="238" spans="1:7" x14ac:dyDescent="0.25">
      <c r="A238" s="8">
        <v>42951.089108796295</v>
      </c>
      <c r="B238" t="s">
        <v>469</v>
      </c>
      <c r="C238" t="s">
        <v>603</v>
      </c>
      <c r="D238" s="138">
        <v>3000000</v>
      </c>
      <c r="E238" t="s">
        <v>382</v>
      </c>
      <c r="F238" s="20" t="s">
        <v>383</v>
      </c>
      <c r="G238" s="8" t="str">
        <f t="shared" si="3"/>
        <v>FORTUNATO FRANK</v>
      </c>
    </row>
    <row r="239" spans="1:7" x14ac:dyDescent="0.25">
      <c r="A239" s="8">
        <v>42949.944131944445</v>
      </c>
      <c r="B239" t="s">
        <v>378</v>
      </c>
      <c r="C239" t="s">
        <v>537</v>
      </c>
      <c r="D239" s="138">
        <v>3000000</v>
      </c>
      <c r="E239" t="s">
        <v>382</v>
      </c>
      <c r="F239" s="20" t="s">
        <v>383</v>
      </c>
      <c r="G239" s="8" t="str">
        <f t="shared" si="3"/>
        <v>FORTUNATO FRANK</v>
      </c>
    </row>
    <row r="240" spans="1:7" x14ac:dyDescent="0.25">
      <c r="A240" s="8">
        <v>42949.948321759257</v>
      </c>
      <c r="B240" t="s">
        <v>412</v>
      </c>
      <c r="C240" t="s">
        <v>538</v>
      </c>
      <c r="D240" s="138">
        <v>3300000</v>
      </c>
      <c r="E240" t="s">
        <v>493</v>
      </c>
      <c r="F240" s="20" t="s">
        <v>494</v>
      </c>
      <c r="G240" s="8" t="str">
        <f t="shared" si="3"/>
        <v>LANGERAK WILLIAM</v>
      </c>
    </row>
    <row r="241" spans="1:7" x14ac:dyDescent="0.25">
      <c r="A241" s="8">
        <v>42949.966620370367</v>
      </c>
      <c r="B241" t="s">
        <v>484</v>
      </c>
      <c r="C241" t="s">
        <v>539</v>
      </c>
      <c r="D241" s="138">
        <v>2090000</v>
      </c>
      <c r="E241" t="s">
        <v>391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42949.967685185184</v>
      </c>
      <c r="B242" t="s">
        <v>513</v>
      </c>
      <c r="C242" t="s">
        <v>540</v>
      </c>
      <c r="D242" s="138">
        <v>3220000</v>
      </c>
      <c r="E242" t="s">
        <v>470</v>
      </c>
      <c r="F242" s="20" t="s">
        <v>471</v>
      </c>
      <c r="G242" s="8" t="str">
        <f t="shared" si="3"/>
        <v>RESPASS AARON</v>
      </c>
    </row>
    <row r="243" spans="1:7" x14ac:dyDescent="0.25">
      <c r="A243" s="8">
        <v>42949.985752314817</v>
      </c>
      <c r="B243" t="s">
        <v>350</v>
      </c>
      <c r="C243" t="s">
        <v>541</v>
      </c>
      <c r="D243" s="138">
        <v>3300000</v>
      </c>
      <c r="E243" t="s">
        <v>493</v>
      </c>
      <c r="F243" s="20" t="s">
        <v>494</v>
      </c>
      <c r="G243" s="8" t="str">
        <f t="shared" si="3"/>
        <v>LANGERAK WILLIAM</v>
      </c>
    </row>
    <row r="244" spans="1:7" x14ac:dyDescent="0.25">
      <c r="A244" s="8">
        <v>42949.98809027778</v>
      </c>
      <c r="B244" t="s">
        <v>407</v>
      </c>
      <c r="C244" t="s">
        <v>542</v>
      </c>
      <c r="D244" s="138">
        <v>3000000</v>
      </c>
      <c r="E244" t="s">
        <v>382</v>
      </c>
      <c r="F244" s="20" t="s">
        <v>383</v>
      </c>
      <c r="G244" s="8" t="str">
        <f t="shared" si="3"/>
        <v>FORTUNATO FRANK</v>
      </c>
    </row>
    <row r="245" spans="1:7" x14ac:dyDescent="0.25">
      <c r="A245" s="8">
        <v>42950.008009259262</v>
      </c>
      <c r="B245" t="s">
        <v>514</v>
      </c>
      <c r="C245" t="s">
        <v>543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42950.010729166665</v>
      </c>
      <c r="B246" t="s">
        <v>483</v>
      </c>
      <c r="C246" t="s">
        <v>531</v>
      </c>
      <c r="D246" s="138">
        <v>2090000</v>
      </c>
      <c r="E246" t="s">
        <v>391</v>
      </c>
      <c r="F246" s="20" t="s">
        <v>192</v>
      </c>
      <c r="G246" s="8" t="str">
        <f t="shared" si="3"/>
        <v>HAITHCOX MICHAEL</v>
      </c>
    </row>
    <row r="247" spans="1:7" x14ac:dyDescent="0.25">
      <c r="A247" s="8">
        <v>42950.014722222222</v>
      </c>
      <c r="B247" t="s">
        <v>387</v>
      </c>
      <c r="C247" t="s">
        <v>544</v>
      </c>
      <c r="D247" s="138">
        <v>0</v>
      </c>
      <c r="E247" t="s">
        <v>545</v>
      </c>
      <c r="F247" s="20" t="s">
        <v>383</v>
      </c>
      <c r="G247" s="8" t="str">
        <f t="shared" si="3"/>
        <v>HAUSER FRANK</v>
      </c>
    </row>
    <row r="248" spans="1:7" x14ac:dyDescent="0.25">
      <c r="A248" s="8">
        <v>42950.026504629626</v>
      </c>
      <c r="B248" t="s">
        <v>386</v>
      </c>
      <c r="C248" t="s">
        <v>546</v>
      </c>
      <c r="D248" s="138">
        <v>0</v>
      </c>
      <c r="E248" t="s">
        <v>545</v>
      </c>
      <c r="F248" s="20" t="s">
        <v>383</v>
      </c>
      <c r="G248" s="8" t="str">
        <f t="shared" si="3"/>
        <v>HAUSER FRANK</v>
      </c>
    </row>
    <row r="249" spans="1:7" x14ac:dyDescent="0.25">
      <c r="A249" s="8">
        <v>42950.030173611114</v>
      </c>
      <c r="B249" t="s">
        <v>378</v>
      </c>
      <c r="C249" t="s">
        <v>547</v>
      </c>
      <c r="D249" s="138">
        <v>3000000</v>
      </c>
      <c r="E249" t="s">
        <v>382</v>
      </c>
      <c r="F249" s="20" t="s">
        <v>383</v>
      </c>
      <c r="G249" s="8" t="str">
        <f t="shared" si="3"/>
        <v>FORTUNATO FRANK</v>
      </c>
    </row>
    <row r="250" spans="1:7" x14ac:dyDescent="0.25">
      <c r="A250" s="8">
        <v>42950.034826388888</v>
      </c>
      <c r="B250" t="s">
        <v>412</v>
      </c>
      <c r="C250" t="s">
        <v>548</v>
      </c>
      <c r="D250" s="138">
        <v>3300000</v>
      </c>
      <c r="E250" t="s">
        <v>493</v>
      </c>
      <c r="F250" s="20" t="s">
        <v>494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387</v>
      </c>
      <c r="C251" t="s">
        <v>549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513</v>
      </c>
      <c r="C252" t="s">
        <v>550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350</v>
      </c>
      <c r="C253" t="s">
        <v>551</v>
      </c>
      <c r="D253" s="138">
        <v>3300000</v>
      </c>
      <c r="E253" t="s">
        <v>493</v>
      </c>
      <c r="F253" s="20" t="s">
        <v>494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514</v>
      </c>
      <c r="C254" t="s">
        <v>552</v>
      </c>
      <c r="D254" s="138">
        <v>3090000</v>
      </c>
      <c r="E254" t="s">
        <v>364</v>
      </c>
      <c r="F254" s="20" t="s">
        <v>365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463</v>
      </c>
      <c r="C255" t="s">
        <v>553</v>
      </c>
      <c r="D255" s="138">
        <v>900000</v>
      </c>
      <c r="E255" t="s">
        <v>554</v>
      </c>
      <c r="F255" s="20" t="s">
        <v>555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467</v>
      </c>
      <c r="C256" t="s">
        <v>472</v>
      </c>
      <c r="D256" s="138">
        <v>3260000</v>
      </c>
      <c r="E256" t="s">
        <v>454</v>
      </c>
      <c r="F256" s="20" t="s">
        <v>455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473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448</v>
      </c>
      <c r="C258" t="s">
        <v>474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475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463</v>
      </c>
      <c r="C260" t="s">
        <v>476</v>
      </c>
      <c r="D260" s="138">
        <v>3260000</v>
      </c>
      <c r="E260" t="s">
        <v>454</v>
      </c>
      <c r="F260" s="20" t="s">
        <v>455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477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477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451</v>
      </c>
      <c r="C263" t="s">
        <v>478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467</v>
      </c>
      <c r="C264" t="s">
        <v>479</v>
      </c>
      <c r="D264" s="138">
        <v>3260000</v>
      </c>
      <c r="E264" t="s">
        <v>454</v>
      </c>
      <c r="F264" s="20" t="s">
        <v>455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448</v>
      </c>
      <c r="C265" t="s">
        <v>480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441</v>
      </c>
      <c r="C266" t="s">
        <v>442</v>
      </c>
      <c r="D266" s="138">
        <v>1110000</v>
      </c>
      <c r="E266" t="s">
        <v>410</v>
      </c>
      <c r="F266" s="20" t="s">
        <v>411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416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417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418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419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416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420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419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414</v>
      </c>
      <c r="C274" t="s">
        <v>421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423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424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425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426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413</v>
      </c>
      <c r="C280" t="s">
        <v>427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428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426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429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430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412</v>
      </c>
      <c r="C285" t="s">
        <v>431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432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414</v>
      </c>
      <c r="C287" t="s">
        <v>433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415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435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413</v>
      </c>
      <c r="C291" t="s">
        <v>436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437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438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439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440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440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440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456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59.66</v>
      </c>
      <c r="B2" s="172">
        <v>0.03</v>
      </c>
      <c r="C2" s="172">
        <v>54.35</v>
      </c>
      <c r="D2" s="8">
        <v>42953</v>
      </c>
      <c r="E2" s="172">
        <v>0.83</v>
      </c>
      <c r="F2" s="172" t="s">
        <v>495</v>
      </c>
      <c r="G2" s="172">
        <v>286.99</v>
      </c>
      <c r="H2" s="172">
        <v>0</v>
      </c>
      <c r="I2" s="172">
        <v>0</v>
      </c>
      <c r="J2" s="172"/>
      <c r="K2" s="172">
        <v>1013.41</v>
      </c>
      <c r="L2" s="172" t="s">
        <v>487</v>
      </c>
      <c r="M2" s="172">
        <v>59.66</v>
      </c>
      <c r="N2" s="172">
        <v>1501999200</v>
      </c>
      <c r="O2" s="172">
        <v>0</v>
      </c>
      <c r="P2" s="172">
        <v>3.69</v>
      </c>
      <c r="Q2" s="172">
        <v>226</v>
      </c>
      <c r="R2" s="172">
        <v>4.95</v>
      </c>
      <c r="S2" s="172">
        <v>1.1000000000000001</v>
      </c>
    </row>
    <row r="3" spans="1:19" x14ac:dyDescent="0.25">
      <c r="A3" s="172">
        <v>58.96</v>
      </c>
      <c r="B3" s="172">
        <v>0.03</v>
      </c>
      <c r="C3" s="172">
        <v>54.2</v>
      </c>
      <c r="D3" s="8">
        <v>42953.041666666664</v>
      </c>
      <c r="E3" s="172">
        <v>0.84</v>
      </c>
      <c r="F3" s="172" t="s">
        <v>495</v>
      </c>
      <c r="G3" s="172">
        <v>286.99</v>
      </c>
      <c r="H3" s="172">
        <v>0</v>
      </c>
      <c r="I3" s="172">
        <v>0</v>
      </c>
      <c r="J3" s="172"/>
      <c r="K3" s="172">
        <v>1012.73</v>
      </c>
      <c r="L3" s="172" t="s">
        <v>487</v>
      </c>
      <c r="M3" s="172">
        <v>58.96</v>
      </c>
      <c r="N3" s="172">
        <v>1502002800</v>
      </c>
      <c r="O3" s="172">
        <v>0</v>
      </c>
      <c r="P3" s="172">
        <v>3.69</v>
      </c>
      <c r="Q3" s="172">
        <v>201</v>
      </c>
      <c r="R3" s="172">
        <v>3.61</v>
      </c>
      <c r="S3" s="172">
        <v>1.25</v>
      </c>
    </row>
    <row r="4" spans="1:19" x14ac:dyDescent="0.25">
      <c r="A4" s="172">
        <v>58.21</v>
      </c>
      <c r="B4" s="172">
        <v>0.03</v>
      </c>
      <c r="C4" s="172">
        <v>53.69</v>
      </c>
      <c r="D4" s="8">
        <v>42953.083333333336</v>
      </c>
      <c r="E4" s="172">
        <v>0.85</v>
      </c>
      <c r="F4" s="172" t="s">
        <v>495</v>
      </c>
      <c r="G4" s="172">
        <v>287.22000000000003</v>
      </c>
      <c r="H4" s="172">
        <v>0</v>
      </c>
      <c r="I4" s="172">
        <v>0</v>
      </c>
      <c r="J4" s="172"/>
      <c r="K4" s="172">
        <v>1011.48</v>
      </c>
      <c r="L4" s="172" t="s">
        <v>487</v>
      </c>
      <c r="M4" s="172">
        <v>58.21</v>
      </c>
      <c r="N4" s="172">
        <v>1502006400</v>
      </c>
      <c r="O4" s="172">
        <v>0</v>
      </c>
      <c r="P4" s="172">
        <v>3.69</v>
      </c>
      <c r="Q4" s="172">
        <v>215</v>
      </c>
      <c r="R4" s="172">
        <v>3.01</v>
      </c>
      <c r="S4" s="172">
        <v>0.67</v>
      </c>
    </row>
    <row r="5" spans="1:19" x14ac:dyDescent="0.25">
      <c r="A5" s="172">
        <v>57.1</v>
      </c>
      <c r="B5" s="172">
        <v>0.03</v>
      </c>
      <c r="C5" s="172">
        <v>53.05</v>
      </c>
      <c r="D5" s="8">
        <v>42953.125</v>
      </c>
      <c r="E5" s="172">
        <v>0.86</v>
      </c>
      <c r="F5" s="172" t="s">
        <v>495</v>
      </c>
      <c r="G5" s="172">
        <v>287.22000000000003</v>
      </c>
      <c r="H5" s="172">
        <v>0</v>
      </c>
      <c r="I5" s="172">
        <v>0</v>
      </c>
      <c r="J5" s="172"/>
      <c r="K5" s="172">
        <v>1011.22</v>
      </c>
      <c r="L5" s="172" t="s">
        <v>487</v>
      </c>
      <c r="M5" s="172">
        <v>57.1</v>
      </c>
      <c r="N5" s="172">
        <v>1502010000</v>
      </c>
      <c r="O5" s="172">
        <v>0</v>
      </c>
      <c r="P5" s="172">
        <v>3.79</v>
      </c>
      <c r="Q5" s="172">
        <v>209</v>
      </c>
      <c r="R5" s="172">
        <v>2.1800000000000002</v>
      </c>
      <c r="S5" s="172">
        <v>0.19</v>
      </c>
    </row>
    <row r="6" spans="1:19" x14ac:dyDescent="0.25">
      <c r="A6" s="172">
        <v>56.01</v>
      </c>
      <c r="B6" s="172">
        <v>0.02</v>
      </c>
      <c r="C6" s="172">
        <v>52.43</v>
      </c>
      <c r="D6" s="8">
        <v>42953.166666666664</v>
      </c>
      <c r="E6" s="172">
        <v>0.88</v>
      </c>
      <c r="F6" s="172" t="s">
        <v>495</v>
      </c>
      <c r="G6" s="172">
        <v>286.98</v>
      </c>
      <c r="H6" s="172">
        <v>0</v>
      </c>
      <c r="I6" s="172">
        <v>0</v>
      </c>
      <c r="J6" s="172"/>
      <c r="K6" s="172">
        <v>1011.22</v>
      </c>
      <c r="L6" s="172" t="s">
        <v>487</v>
      </c>
      <c r="M6" s="172">
        <v>56.01</v>
      </c>
      <c r="N6" s="172">
        <v>1502013600</v>
      </c>
      <c r="O6" s="172">
        <v>0</v>
      </c>
      <c r="P6" s="172">
        <v>3.48</v>
      </c>
      <c r="Q6" s="172">
        <v>233</v>
      </c>
      <c r="R6" s="172">
        <v>4.25</v>
      </c>
      <c r="S6" s="172">
        <v>0.33</v>
      </c>
    </row>
    <row r="7" spans="1:19" x14ac:dyDescent="0.25">
      <c r="A7" s="172">
        <v>55.24</v>
      </c>
      <c r="B7" s="172">
        <v>0.05</v>
      </c>
      <c r="C7" s="172">
        <v>52.27</v>
      </c>
      <c r="D7" s="8">
        <v>42953.208333333336</v>
      </c>
      <c r="E7" s="172">
        <v>0.9</v>
      </c>
      <c r="F7" s="172" t="s">
        <v>495</v>
      </c>
      <c r="G7" s="172">
        <v>286.63</v>
      </c>
      <c r="H7" s="172">
        <v>0</v>
      </c>
      <c r="I7" s="172">
        <v>0</v>
      </c>
      <c r="J7" s="172"/>
      <c r="K7" s="172">
        <v>1013.48</v>
      </c>
      <c r="L7" s="172" t="s">
        <v>487</v>
      </c>
      <c r="M7" s="172">
        <v>55.24</v>
      </c>
      <c r="N7" s="172">
        <v>1502017200</v>
      </c>
      <c r="O7" s="172">
        <v>0</v>
      </c>
      <c r="P7" s="172">
        <v>3.36</v>
      </c>
      <c r="Q7" s="172">
        <v>25</v>
      </c>
      <c r="R7" s="172">
        <v>6.82</v>
      </c>
      <c r="S7" s="172">
        <v>1.47</v>
      </c>
    </row>
    <row r="8" spans="1:19" x14ac:dyDescent="0.25">
      <c r="A8" s="172">
        <v>56.53</v>
      </c>
      <c r="B8" s="172">
        <v>0.46</v>
      </c>
      <c r="C8" s="172">
        <v>53.61</v>
      </c>
      <c r="D8" s="8">
        <v>42953.25</v>
      </c>
      <c r="E8" s="172">
        <v>0.9</v>
      </c>
      <c r="F8" s="172" t="s">
        <v>556</v>
      </c>
      <c r="G8" s="172">
        <v>287.43</v>
      </c>
      <c r="H8" s="172">
        <v>0</v>
      </c>
      <c r="I8" s="172">
        <v>0</v>
      </c>
      <c r="J8" s="172"/>
      <c r="K8" s="172">
        <v>1014.39</v>
      </c>
      <c r="L8" s="172" t="s">
        <v>557</v>
      </c>
      <c r="M8" s="172">
        <v>56.53</v>
      </c>
      <c r="N8" s="172">
        <v>1502020800</v>
      </c>
      <c r="O8" s="172">
        <v>0</v>
      </c>
      <c r="P8" s="172">
        <v>3.02</v>
      </c>
      <c r="Q8" s="172">
        <v>2</v>
      </c>
      <c r="R8" s="172">
        <v>10.62</v>
      </c>
      <c r="S8" s="172">
        <v>1.48</v>
      </c>
    </row>
    <row r="9" spans="1:19" x14ac:dyDescent="0.25">
      <c r="A9" s="172">
        <v>57.32</v>
      </c>
      <c r="B9" s="172">
        <v>0.81</v>
      </c>
      <c r="C9" s="172">
        <v>54.25</v>
      </c>
      <c r="D9" s="8">
        <v>42953.291666666664</v>
      </c>
      <c r="E9" s="172">
        <v>0.89</v>
      </c>
      <c r="F9" s="172" t="s">
        <v>604</v>
      </c>
      <c r="G9" s="172">
        <v>287.08</v>
      </c>
      <c r="H9" s="172">
        <v>0</v>
      </c>
      <c r="I9" s="172">
        <v>0</v>
      </c>
      <c r="J9" s="172"/>
      <c r="K9" s="172">
        <v>1015.7</v>
      </c>
      <c r="L9" s="172" t="s">
        <v>558</v>
      </c>
      <c r="M9" s="172">
        <v>57.32</v>
      </c>
      <c r="N9" s="172">
        <v>1502024400</v>
      </c>
      <c r="O9" s="172">
        <v>0</v>
      </c>
      <c r="P9" s="172">
        <v>3.21</v>
      </c>
      <c r="Q9" s="172">
        <v>320</v>
      </c>
      <c r="R9" s="172">
        <v>7.29</v>
      </c>
      <c r="S9" s="172">
        <v>1.05</v>
      </c>
    </row>
    <row r="10" spans="1:19" x14ac:dyDescent="0.25">
      <c r="A10" s="172">
        <v>58.16</v>
      </c>
      <c r="B10" s="172">
        <v>0.84</v>
      </c>
      <c r="C10" s="172">
        <v>54.73</v>
      </c>
      <c r="D10" s="8">
        <v>42953.333333333336</v>
      </c>
      <c r="E10" s="172">
        <v>0.88</v>
      </c>
      <c r="F10" s="172" t="s">
        <v>604</v>
      </c>
      <c r="G10" s="172">
        <v>286.62</v>
      </c>
      <c r="H10" s="172">
        <v>0</v>
      </c>
      <c r="I10" s="172">
        <v>0</v>
      </c>
      <c r="J10" s="172"/>
      <c r="K10" s="172">
        <v>1016.96</v>
      </c>
      <c r="L10" s="172" t="s">
        <v>558</v>
      </c>
      <c r="M10" s="172">
        <v>58.16</v>
      </c>
      <c r="N10" s="172">
        <v>1502028000</v>
      </c>
      <c r="O10" s="172">
        <v>1</v>
      </c>
      <c r="P10" s="172">
        <v>2.99</v>
      </c>
      <c r="Q10" s="172">
        <v>322</v>
      </c>
      <c r="R10" s="172">
        <v>7.31</v>
      </c>
      <c r="S10" s="172">
        <v>0.6</v>
      </c>
    </row>
    <row r="11" spans="1:19" x14ac:dyDescent="0.25">
      <c r="A11" s="172">
        <v>58.92</v>
      </c>
      <c r="B11" s="172">
        <v>0.95</v>
      </c>
      <c r="C11" s="172">
        <v>55.43</v>
      </c>
      <c r="D11" s="8">
        <v>42953.375</v>
      </c>
      <c r="E11" s="172">
        <v>0.88</v>
      </c>
      <c r="F11" s="172" t="s">
        <v>605</v>
      </c>
      <c r="G11" s="172">
        <v>286.16000000000003</v>
      </c>
      <c r="H11" s="172">
        <v>0</v>
      </c>
      <c r="I11" s="172">
        <v>0</v>
      </c>
      <c r="J11" s="172"/>
      <c r="K11" s="172">
        <v>1017.5</v>
      </c>
      <c r="L11" s="172" t="s">
        <v>606</v>
      </c>
      <c r="M11" s="172">
        <v>58.92</v>
      </c>
      <c r="N11" s="172">
        <v>1502031600</v>
      </c>
      <c r="O11" s="172">
        <v>1</v>
      </c>
      <c r="P11" s="172">
        <v>3.01</v>
      </c>
      <c r="Q11" s="172">
        <v>334</v>
      </c>
      <c r="R11" s="172">
        <v>4.54</v>
      </c>
      <c r="S11" s="172">
        <v>0.28000000000000003</v>
      </c>
    </row>
    <row r="12" spans="1:19" x14ac:dyDescent="0.25">
      <c r="A12" s="172">
        <v>61.08</v>
      </c>
      <c r="B12" s="172">
        <v>0.84</v>
      </c>
      <c r="C12" s="172">
        <v>55.94</v>
      </c>
      <c r="D12" s="8">
        <v>42953.416666666664</v>
      </c>
      <c r="E12" s="172">
        <v>0.83</v>
      </c>
      <c r="F12" s="172" t="s">
        <v>604</v>
      </c>
      <c r="G12" s="172">
        <v>285.47000000000003</v>
      </c>
      <c r="H12" s="172">
        <v>0</v>
      </c>
      <c r="I12" s="172">
        <v>0</v>
      </c>
      <c r="J12" s="172"/>
      <c r="K12" s="172">
        <v>1017.44</v>
      </c>
      <c r="L12" s="172" t="s">
        <v>558</v>
      </c>
      <c r="M12" s="172">
        <v>61.08</v>
      </c>
      <c r="N12" s="172">
        <v>1502035200</v>
      </c>
      <c r="O12" s="172">
        <v>3</v>
      </c>
      <c r="P12" s="172">
        <v>3.53</v>
      </c>
      <c r="Q12" s="172">
        <v>222</v>
      </c>
      <c r="R12" s="172">
        <v>4.47</v>
      </c>
      <c r="S12" s="172">
        <v>0.28999999999999998</v>
      </c>
    </row>
    <row r="13" spans="1:19" x14ac:dyDescent="0.25">
      <c r="A13" s="172">
        <v>64.180000000000007</v>
      </c>
      <c r="B13" s="172">
        <v>0.68</v>
      </c>
      <c r="C13" s="172">
        <v>56.41</v>
      </c>
      <c r="D13" s="8">
        <v>42953.458333333336</v>
      </c>
      <c r="E13" s="172">
        <v>0.76</v>
      </c>
      <c r="F13" s="172" t="s">
        <v>604</v>
      </c>
      <c r="G13" s="172">
        <v>284.77999999999997</v>
      </c>
      <c r="H13" s="172">
        <v>0</v>
      </c>
      <c r="I13" s="172">
        <v>0</v>
      </c>
      <c r="J13" s="172"/>
      <c r="K13" s="172">
        <v>1016.89</v>
      </c>
      <c r="L13" s="172" t="s">
        <v>558</v>
      </c>
      <c r="M13" s="172">
        <v>64.180000000000007</v>
      </c>
      <c r="N13" s="172">
        <v>1502038800</v>
      </c>
      <c r="O13" s="172">
        <v>5</v>
      </c>
      <c r="P13" s="172">
        <v>3.65</v>
      </c>
      <c r="Q13" s="172">
        <v>101</v>
      </c>
      <c r="R13" s="172">
        <v>4.99</v>
      </c>
      <c r="S13" s="172">
        <v>0.36</v>
      </c>
    </row>
    <row r="14" spans="1:19" x14ac:dyDescent="0.25">
      <c r="A14" s="172">
        <v>67.53</v>
      </c>
      <c r="B14" s="172">
        <v>0.64</v>
      </c>
      <c r="C14" s="172">
        <v>56.25</v>
      </c>
      <c r="D14" s="8">
        <v>42953.5</v>
      </c>
      <c r="E14" s="172">
        <v>0.67</v>
      </c>
      <c r="F14" s="172" t="s">
        <v>604</v>
      </c>
      <c r="G14" s="172">
        <v>285.93</v>
      </c>
      <c r="H14" s="172">
        <v>0</v>
      </c>
      <c r="I14" s="172">
        <v>0</v>
      </c>
      <c r="J14" s="172"/>
      <c r="K14" s="172">
        <v>1016.23</v>
      </c>
      <c r="L14" s="172" t="s">
        <v>558</v>
      </c>
      <c r="M14" s="172">
        <v>67.53</v>
      </c>
      <c r="N14" s="172">
        <v>1502042400</v>
      </c>
      <c r="O14" s="172">
        <v>7</v>
      </c>
      <c r="P14" s="172">
        <v>3.69</v>
      </c>
      <c r="Q14" s="172">
        <v>104</v>
      </c>
      <c r="R14" s="172">
        <v>5.03</v>
      </c>
      <c r="S14" s="172">
        <v>0.76</v>
      </c>
    </row>
    <row r="15" spans="1:19" x14ac:dyDescent="0.25">
      <c r="A15" s="172">
        <v>69.930000000000007</v>
      </c>
      <c r="B15" s="172">
        <v>0.54</v>
      </c>
      <c r="C15" s="172">
        <v>55.78</v>
      </c>
      <c r="D15" s="8">
        <v>42953.541666666664</v>
      </c>
      <c r="E15" s="172">
        <v>0.61</v>
      </c>
      <c r="F15" s="172" t="s">
        <v>604</v>
      </c>
      <c r="G15" s="172">
        <v>285.36</v>
      </c>
      <c r="H15" s="172">
        <v>0</v>
      </c>
      <c r="I15" s="172">
        <v>0</v>
      </c>
      <c r="J15" s="172"/>
      <c r="K15" s="172">
        <v>1015.41</v>
      </c>
      <c r="L15" s="172" t="s">
        <v>557</v>
      </c>
      <c r="M15" s="172">
        <v>69.930000000000007</v>
      </c>
      <c r="N15" s="172">
        <v>1502046000</v>
      </c>
      <c r="O15" s="172">
        <v>9</v>
      </c>
      <c r="P15" s="172">
        <v>3.69</v>
      </c>
      <c r="Q15" s="172">
        <v>106</v>
      </c>
      <c r="R15" s="172">
        <v>5.75</v>
      </c>
      <c r="S15" s="172">
        <v>1.1399999999999999</v>
      </c>
    </row>
    <row r="16" spans="1:19" x14ac:dyDescent="0.25">
      <c r="A16" s="172">
        <v>72.45</v>
      </c>
      <c r="B16" s="172">
        <v>0.65</v>
      </c>
      <c r="C16" s="172">
        <v>55.54</v>
      </c>
      <c r="D16" s="8">
        <v>42953.583333333336</v>
      </c>
      <c r="E16" s="172">
        <v>0.55000000000000004</v>
      </c>
      <c r="F16" s="172" t="s">
        <v>604</v>
      </c>
      <c r="G16" s="172">
        <v>284.54000000000002</v>
      </c>
      <c r="H16" s="172">
        <v>0</v>
      </c>
      <c r="I16" s="172">
        <v>0</v>
      </c>
      <c r="J16" s="172"/>
      <c r="K16" s="172">
        <v>1014.08</v>
      </c>
      <c r="L16" s="172" t="s">
        <v>558</v>
      </c>
      <c r="M16" s="172">
        <v>72.45</v>
      </c>
      <c r="N16" s="172">
        <v>1502049600</v>
      </c>
      <c r="O16" s="172">
        <v>7</v>
      </c>
      <c r="P16" s="172">
        <v>3.69</v>
      </c>
      <c r="Q16" s="172">
        <v>84</v>
      </c>
      <c r="R16" s="172">
        <v>6.84</v>
      </c>
      <c r="S16" s="172">
        <v>1.53</v>
      </c>
    </row>
    <row r="17" spans="1:19" x14ac:dyDescent="0.25">
      <c r="A17" s="172">
        <v>74.09</v>
      </c>
      <c r="B17" s="172">
        <v>0.57999999999999996</v>
      </c>
      <c r="C17" s="172">
        <v>55.28</v>
      </c>
      <c r="D17" s="8">
        <v>42953.625</v>
      </c>
      <c r="E17" s="172">
        <v>0.52</v>
      </c>
      <c r="F17" s="172" t="s">
        <v>604</v>
      </c>
      <c r="G17" s="172">
        <v>283.85000000000002</v>
      </c>
      <c r="H17" s="172">
        <v>0</v>
      </c>
      <c r="I17" s="172">
        <v>0</v>
      </c>
      <c r="J17" s="172"/>
      <c r="K17" s="172">
        <v>1013.56</v>
      </c>
      <c r="L17" s="172" t="s">
        <v>557</v>
      </c>
      <c r="M17" s="172">
        <v>74.09</v>
      </c>
      <c r="N17" s="172">
        <v>1502053200</v>
      </c>
      <c r="O17" s="172">
        <v>6</v>
      </c>
      <c r="P17" s="172">
        <v>3.81</v>
      </c>
      <c r="Q17" s="172">
        <v>71</v>
      </c>
      <c r="R17" s="172">
        <v>7.99</v>
      </c>
      <c r="S17" s="172">
        <v>1.46</v>
      </c>
    </row>
    <row r="18" spans="1:19" x14ac:dyDescent="0.25">
      <c r="A18" s="172">
        <v>73.25</v>
      </c>
      <c r="B18" s="172">
        <v>0.43</v>
      </c>
      <c r="C18" s="172">
        <v>55.53</v>
      </c>
      <c r="D18" s="8">
        <v>42953.666666666664</v>
      </c>
      <c r="E18" s="172">
        <v>0.54</v>
      </c>
      <c r="F18" s="172" t="s">
        <v>604</v>
      </c>
      <c r="G18" s="172">
        <v>283.16000000000003</v>
      </c>
      <c r="H18" s="172">
        <v>3.0999999999999999E-3</v>
      </c>
      <c r="I18" s="172">
        <v>0.01</v>
      </c>
      <c r="J18" s="172" t="s">
        <v>457</v>
      </c>
      <c r="K18" s="172">
        <v>1014.01</v>
      </c>
      <c r="L18" s="172" t="s">
        <v>557</v>
      </c>
      <c r="M18" s="172">
        <v>73.25</v>
      </c>
      <c r="N18" s="172">
        <v>1502056800</v>
      </c>
      <c r="O18" s="172">
        <v>4</v>
      </c>
      <c r="P18" s="172">
        <v>3.83</v>
      </c>
      <c r="Q18" s="172">
        <v>59</v>
      </c>
      <c r="R18" s="172">
        <v>9.2200000000000006</v>
      </c>
      <c r="S18" s="172">
        <v>1.42</v>
      </c>
    </row>
    <row r="19" spans="1:19" x14ac:dyDescent="0.25">
      <c r="A19" s="172">
        <v>72.5</v>
      </c>
      <c r="B19" s="172">
        <v>0.59</v>
      </c>
      <c r="C19" s="172">
        <v>56.37</v>
      </c>
      <c r="D19" s="8">
        <v>42953.708333333336</v>
      </c>
      <c r="E19" s="172">
        <v>0.56999999999999995</v>
      </c>
      <c r="F19" s="172" t="s">
        <v>457</v>
      </c>
      <c r="G19" s="172">
        <v>282.45999999999998</v>
      </c>
      <c r="H19" s="172">
        <v>5.7999999999999996E-3</v>
      </c>
      <c r="I19" s="172">
        <v>0.02</v>
      </c>
      <c r="J19" s="172" t="s">
        <v>457</v>
      </c>
      <c r="K19" s="172">
        <v>1013.66</v>
      </c>
      <c r="L19" s="172" t="s">
        <v>869</v>
      </c>
      <c r="M19" s="172">
        <v>72.5</v>
      </c>
      <c r="N19" s="172">
        <v>1502060400</v>
      </c>
      <c r="O19" s="172">
        <v>2</v>
      </c>
      <c r="P19" s="172">
        <v>3.61</v>
      </c>
      <c r="Q19" s="172">
        <v>4</v>
      </c>
      <c r="R19" s="172">
        <v>9.16</v>
      </c>
      <c r="S19" s="172">
        <v>1.63</v>
      </c>
    </row>
    <row r="20" spans="1:19" x14ac:dyDescent="0.25">
      <c r="A20" s="172">
        <v>69.64</v>
      </c>
      <c r="B20" s="172">
        <v>0.47</v>
      </c>
      <c r="C20" s="172">
        <v>58.62</v>
      </c>
      <c r="D20" s="8">
        <v>42953.75</v>
      </c>
      <c r="E20" s="172">
        <v>0.68</v>
      </c>
      <c r="F20" s="172" t="s">
        <v>457</v>
      </c>
      <c r="G20" s="172">
        <v>281.05</v>
      </c>
      <c r="H20" s="172">
        <v>6.1999999999999998E-3</v>
      </c>
      <c r="I20" s="172">
        <v>0.04</v>
      </c>
      <c r="J20" s="172" t="s">
        <v>457</v>
      </c>
      <c r="K20" s="172">
        <v>1013.91</v>
      </c>
      <c r="L20" s="172" t="s">
        <v>869</v>
      </c>
      <c r="M20" s="172">
        <v>69.64</v>
      </c>
      <c r="N20" s="172">
        <v>1502064000</v>
      </c>
      <c r="O20" s="172">
        <v>1</v>
      </c>
      <c r="P20" s="172">
        <v>3.69</v>
      </c>
      <c r="Q20" s="172">
        <v>21</v>
      </c>
      <c r="R20" s="172">
        <v>6.05</v>
      </c>
      <c r="S20" s="172">
        <v>1.26</v>
      </c>
    </row>
    <row r="21" spans="1:19" x14ac:dyDescent="0.25">
      <c r="A21" s="172">
        <v>68.84</v>
      </c>
      <c r="B21" s="172">
        <v>0.37</v>
      </c>
      <c r="C21" s="172">
        <v>58.84</v>
      </c>
      <c r="D21" s="8">
        <v>42953.791666666664</v>
      </c>
      <c r="E21" s="172">
        <v>0.7</v>
      </c>
      <c r="F21" s="172" t="s">
        <v>604</v>
      </c>
      <c r="G21" s="172">
        <v>281.3</v>
      </c>
      <c r="H21" s="172">
        <v>3.8E-3</v>
      </c>
      <c r="I21" s="172">
        <v>0.05</v>
      </c>
      <c r="J21" s="172" t="s">
        <v>457</v>
      </c>
      <c r="K21" s="172">
        <v>1014.51</v>
      </c>
      <c r="L21" s="172" t="s">
        <v>557</v>
      </c>
      <c r="M21" s="172">
        <v>68.84</v>
      </c>
      <c r="N21" s="172">
        <v>1502067600</v>
      </c>
      <c r="O21" s="172">
        <v>0</v>
      </c>
      <c r="P21" s="172">
        <v>3.69</v>
      </c>
      <c r="Q21" s="172">
        <v>335</v>
      </c>
      <c r="R21" s="172">
        <v>4.03</v>
      </c>
      <c r="S21" s="172">
        <v>1.67</v>
      </c>
    </row>
    <row r="22" spans="1:19" x14ac:dyDescent="0.25">
      <c r="A22" s="172">
        <v>67.66</v>
      </c>
      <c r="B22" s="172">
        <v>0.56999999999999995</v>
      </c>
      <c r="C22" s="172">
        <v>57.81</v>
      </c>
      <c r="D22" s="8">
        <v>42953.833333333336</v>
      </c>
      <c r="E22" s="172">
        <v>0.71</v>
      </c>
      <c r="F22" s="172" t="s">
        <v>604</v>
      </c>
      <c r="G22" s="172">
        <v>282.24</v>
      </c>
      <c r="H22" s="172">
        <v>0</v>
      </c>
      <c r="I22" s="172">
        <v>0</v>
      </c>
      <c r="J22" s="172"/>
      <c r="K22" s="172">
        <v>1015.03</v>
      </c>
      <c r="L22" s="172" t="s">
        <v>557</v>
      </c>
      <c r="M22" s="172">
        <v>67.66</v>
      </c>
      <c r="N22" s="172">
        <v>1502071200</v>
      </c>
      <c r="O22" s="172">
        <v>0</v>
      </c>
      <c r="P22" s="172">
        <v>3.69</v>
      </c>
      <c r="Q22" s="172">
        <v>331</v>
      </c>
      <c r="R22" s="172">
        <v>7.38</v>
      </c>
      <c r="S22" s="172">
        <v>2.4900000000000002</v>
      </c>
    </row>
    <row r="23" spans="1:19" x14ac:dyDescent="0.25">
      <c r="A23" s="172">
        <v>65.52</v>
      </c>
      <c r="B23" s="172">
        <v>0.54</v>
      </c>
      <c r="C23" s="172">
        <v>57</v>
      </c>
      <c r="D23" s="8">
        <v>42953.875</v>
      </c>
      <c r="E23" s="172">
        <v>0.74</v>
      </c>
      <c r="F23" s="172" t="s">
        <v>556</v>
      </c>
      <c r="G23" s="172">
        <v>283.06</v>
      </c>
      <c r="H23" s="172">
        <v>0</v>
      </c>
      <c r="I23" s="172">
        <v>0</v>
      </c>
      <c r="J23" s="172"/>
      <c r="K23" s="172">
        <v>1016</v>
      </c>
      <c r="L23" s="172" t="s">
        <v>557</v>
      </c>
      <c r="M23" s="172">
        <v>65.52</v>
      </c>
      <c r="N23" s="172">
        <v>1502074800</v>
      </c>
      <c r="O23" s="172">
        <v>0</v>
      </c>
      <c r="P23" s="172">
        <v>3.69</v>
      </c>
      <c r="Q23" s="172">
        <v>339</v>
      </c>
      <c r="R23" s="172">
        <v>12.18</v>
      </c>
      <c r="S23" s="172">
        <v>3.35</v>
      </c>
    </row>
    <row r="24" spans="1:19" x14ac:dyDescent="0.25">
      <c r="A24" s="172">
        <v>64.48</v>
      </c>
      <c r="B24" s="172">
        <v>0.5</v>
      </c>
      <c r="C24" s="172">
        <v>56.17</v>
      </c>
      <c r="D24" s="8">
        <v>42953.916666666664</v>
      </c>
      <c r="E24" s="172">
        <v>0.74</v>
      </c>
      <c r="F24" s="172" t="s">
        <v>556</v>
      </c>
      <c r="G24" s="172">
        <v>283.77</v>
      </c>
      <c r="H24" s="172">
        <v>0</v>
      </c>
      <c r="I24" s="172">
        <v>0</v>
      </c>
      <c r="J24" s="172"/>
      <c r="K24" s="172">
        <v>1016.6</v>
      </c>
      <c r="L24" s="172" t="s">
        <v>557</v>
      </c>
      <c r="M24" s="172">
        <v>64.48</v>
      </c>
      <c r="N24" s="172">
        <v>1502078400</v>
      </c>
      <c r="O24" s="172">
        <v>0</v>
      </c>
      <c r="P24" s="172">
        <v>3.83</v>
      </c>
      <c r="Q24" s="172">
        <v>341</v>
      </c>
      <c r="R24" s="172">
        <v>9.56</v>
      </c>
      <c r="S24" s="172">
        <v>2.6</v>
      </c>
    </row>
    <row r="25" spans="1:19" x14ac:dyDescent="0.25">
      <c r="A25" s="172">
        <v>63.66</v>
      </c>
      <c r="B25" s="172">
        <v>0.63</v>
      </c>
      <c r="C25" s="172">
        <v>55.8</v>
      </c>
      <c r="D25" s="8">
        <v>42953.958333333336</v>
      </c>
      <c r="E25" s="172">
        <v>0.76</v>
      </c>
      <c r="F25" s="172" t="s">
        <v>556</v>
      </c>
      <c r="G25" s="172">
        <v>284.47000000000003</v>
      </c>
      <c r="H25" s="172">
        <v>0</v>
      </c>
      <c r="I25" s="172">
        <v>0</v>
      </c>
      <c r="J25" s="172"/>
      <c r="K25" s="172">
        <v>1016.85</v>
      </c>
      <c r="L25" s="172" t="s">
        <v>558</v>
      </c>
      <c r="M25" s="172">
        <v>63.66</v>
      </c>
      <c r="N25" s="172">
        <v>1502082000</v>
      </c>
      <c r="O25" s="172">
        <v>0</v>
      </c>
      <c r="P25" s="172">
        <v>3.83</v>
      </c>
      <c r="Q25" s="172">
        <v>331</v>
      </c>
      <c r="R25" s="172">
        <v>6.65</v>
      </c>
      <c r="S25" s="172">
        <v>1.37</v>
      </c>
    </row>
    <row r="26" spans="1:19" x14ac:dyDescent="0.25">
      <c r="A26" s="172">
        <v>63.11</v>
      </c>
      <c r="B26" s="172">
        <v>0.7</v>
      </c>
      <c r="C26" s="172">
        <v>55.04</v>
      </c>
      <c r="D26" s="8">
        <v>42954</v>
      </c>
      <c r="E26" s="172">
        <v>0.75</v>
      </c>
      <c r="F26" s="172" t="s">
        <v>556</v>
      </c>
      <c r="G26" s="172">
        <v>284.93</v>
      </c>
      <c r="H26" s="172">
        <v>0</v>
      </c>
      <c r="I26" s="172">
        <v>0</v>
      </c>
      <c r="J26" s="172"/>
      <c r="K26" s="172">
        <v>1017.2</v>
      </c>
      <c r="L26" s="172" t="s">
        <v>558</v>
      </c>
      <c r="M26" s="172">
        <v>63.11</v>
      </c>
      <c r="N26" s="172">
        <v>1502085600</v>
      </c>
      <c r="O26" s="172">
        <v>0</v>
      </c>
      <c r="P26" s="172">
        <v>3.69</v>
      </c>
      <c r="Q26" s="172">
        <v>338</v>
      </c>
      <c r="R26" s="172">
        <v>6.76</v>
      </c>
      <c r="S26" s="172">
        <v>1.19</v>
      </c>
    </row>
    <row r="27" spans="1:19" x14ac:dyDescent="0.25">
      <c r="A27" s="172">
        <v>62.11</v>
      </c>
      <c r="B27" s="172">
        <v>0.54</v>
      </c>
      <c r="C27" s="172">
        <v>53.7</v>
      </c>
      <c r="D27" s="8">
        <v>42954.041666666664</v>
      </c>
      <c r="E27" s="172">
        <v>0.74</v>
      </c>
      <c r="F27" s="172" t="s">
        <v>556</v>
      </c>
      <c r="G27" s="172">
        <v>285.27999999999997</v>
      </c>
      <c r="H27" s="172">
        <v>0</v>
      </c>
      <c r="I27" s="172">
        <v>0</v>
      </c>
      <c r="J27" s="172"/>
      <c r="K27" s="172">
        <v>1017.48</v>
      </c>
      <c r="L27" s="172" t="s">
        <v>557</v>
      </c>
      <c r="M27" s="172">
        <v>62.11</v>
      </c>
      <c r="N27" s="172">
        <v>1502089200</v>
      </c>
      <c r="O27" s="172">
        <v>0</v>
      </c>
      <c r="P27" s="172">
        <v>3.83</v>
      </c>
      <c r="Q27" s="172">
        <v>1</v>
      </c>
      <c r="R27" s="172">
        <v>8.15</v>
      </c>
      <c r="S27" s="172">
        <v>2.5299999999999998</v>
      </c>
    </row>
    <row r="28" spans="1:19" x14ac:dyDescent="0.25">
      <c r="A28" s="172">
        <v>61.32</v>
      </c>
      <c r="B28" s="172">
        <v>0.71</v>
      </c>
      <c r="C28" s="172">
        <v>54.05</v>
      </c>
      <c r="D28" s="8">
        <v>42954.083333333336</v>
      </c>
      <c r="E28" s="172">
        <v>0.77</v>
      </c>
      <c r="F28" s="172" t="s">
        <v>556</v>
      </c>
      <c r="G28" s="172">
        <v>285.39999999999998</v>
      </c>
      <c r="H28" s="172">
        <v>0</v>
      </c>
      <c r="I28" s="172">
        <v>0</v>
      </c>
      <c r="J28" s="172"/>
      <c r="K28" s="172">
        <v>1017.38</v>
      </c>
      <c r="L28" s="172" t="s">
        <v>558</v>
      </c>
      <c r="M28" s="172">
        <v>61.32</v>
      </c>
      <c r="N28" s="172">
        <v>1502092800</v>
      </c>
      <c r="O28" s="172">
        <v>0</v>
      </c>
      <c r="P28" s="172">
        <v>3.69</v>
      </c>
      <c r="Q28" s="172">
        <v>349</v>
      </c>
      <c r="R28" s="172">
        <v>9.5399999999999991</v>
      </c>
      <c r="S28" s="172">
        <v>2.3199999999999998</v>
      </c>
    </row>
    <row r="29" spans="1:19" x14ac:dyDescent="0.25">
      <c r="A29" s="172">
        <v>60.66</v>
      </c>
      <c r="B29" s="172">
        <v>0.93</v>
      </c>
      <c r="C29" s="172">
        <v>55.21</v>
      </c>
      <c r="D29" s="8">
        <v>42954.125</v>
      </c>
      <c r="E29" s="172">
        <v>0.82</v>
      </c>
      <c r="F29" s="172" t="s">
        <v>556</v>
      </c>
      <c r="G29" s="172">
        <v>285.63</v>
      </c>
      <c r="H29" s="172">
        <v>0</v>
      </c>
      <c r="I29" s="172">
        <v>0</v>
      </c>
      <c r="J29" s="172"/>
      <c r="K29" s="172">
        <v>1017.07</v>
      </c>
      <c r="L29" s="172" t="s">
        <v>558</v>
      </c>
      <c r="M29" s="172">
        <v>60.66</v>
      </c>
      <c r="N29" s="172">
        <v>1502096400</v>
      </c>
      <c r="O29" s="172">
        <v>0</v>
      </c>
      <c r="P29" s="172">
        <v>3.53</v>
      </c>
      <c r="Q29" s="172">
        <v>350</v>
      </c>
      <c r="R29" s="172">
        <v>11.57</v>
      </c>
      <c r="S29" s="172">
        <v>2.5299999999999998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I11" sqref="I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1018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1019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1023</v>
      </c>
      <c r="J25" s="140" t="s">
        <v>146</v>
      </c>
      <c r="M25" s="154" t="b">
        <v>1</v>
      </c>
    </row>
    <row r="26" spans="3:24" x14ac:dyDescent="0.25">
      <c r="C26" t="s">
        <v>1024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C:\Users\stu\Documents\GitHub\eaglep3-reporting\EC\2017-08-06-refined-times.txt</v>
      </c>
    </row>
    <row r="27" spans="3:24" x14ac:dyDescent="0.25">
      <c r="C27" t="s">
        <v>1025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C:\Users\stu\Documents\GitHub\eaglep3-reporting\EC\2017-08-06-Enforcements.txt</v>
      </c>
    </row>
    <row r="28" spans="3:24" x14ac:dyDescent="0.25">
      <c r="C28" t="s">
        <v>1026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C:\Users\stu\Documents\GitHub\eaglep3-reporting\EC\2017-08-06-Runs-refined.txt</v>
      </c>
    </row>
    <row r="29" spans="3:24" x14ac:dyDescent="0.25">
      <c r="C29" t="s">
        <v>1027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C:\Users\stu\Documents\GitHub\eaglep3-reporting\EC\2017-08-06-Trips.txt</v>
      </c>
    </row>
    <row r="30" spans="3:24" x14ac:dyDescent="0.25">
      <c r="C30" t="s">
        <v>1028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C:\Users\stu\Documents\GitHub\eaglep3-reporting\EC\2017-08-06-Weather.txt</v>
      </c>
    </row>
    <row r="31" spans="3:24" x14ac:dyDescent="0.25">
      <c r="C31" t="s">
        <v>1029</v>
      </c>
      <c r="J31" s="140" t="s">
        <v>194</v>
      </c>
      <c r="M31" s="154" t="s">
        <v>195</v>
      </c>
    </row>
    <row r="32" spans="3:24" x14ac:dyDescent="0.25">
      <c r="C32" t="s">
        <v>1030</v>
      </c>
    </row>
    <row r="33" spans="3:3" x14ac:dyDescent="0.25">
      <c r="C33" t="s">
        <v>1031</v>
      </c>
    </row>
    <row r="34" spans="3:3" x14ac:dyDescent="0.25">
      <c r="C34" t="s">
        <v>1032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2017-08-08T16:17:58Z</dcterms:modified>
</cp:coreProperties>
</file>