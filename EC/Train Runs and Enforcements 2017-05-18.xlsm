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Enforcements!$A$6:$AC$60</definedName>
    <definedName name="_xlnm._FilterDatabase" localSheetId="2" hidden="1">'Missing Trips'!$A$2:$J$76</definedName>
    <definedName name="_xlnm._FilterDatabase" localSheetId="0" hidden="1">'Train Runs'!$A$12:$AG$268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S26" i="3" s="1"/>
  <c r="Y17" i="1"/>
  <c r="Z17" i="1"/>
  <c r="AB17" i="1"/>
  <c r="AC17" i="1"/>
  <c r="AD17" i="1"/>
  <c r="T17" i="1" s="1"/>
  <c r="AE17" i="1"/>
  <c r="R26" i="3" s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S12" i="3" s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P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R13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10" i="3" s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G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R7" i="3" s="1"/>
  <c r="AF51" i="1"/>
  <c r="AH51" i="1"/>
  <c r="AM51" i="1"/>
  <c r="AN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G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S22" i="3" s="1"/>
  <c r="Y54" i="1"/>
  <c r="Z54" i="1"/>
  <c r="AB54" i="1"/>
  <c r="AC54" i="1"/>
  <c r="AD54" i="1"/>
  <c r="T54" i="1" s="1"/>
  <c r="AE54" i="1"/>
  <c r="R22" i="3" s="1"/>
  <c r="AF54" i="1"/>
  <c r="AH54" i="1"/>
  <c r="AM54" i="1"/>
  <c r="AN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R14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R16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T81" i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X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S9" i="3" s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P101" i="1" s="1"/>
  <c r="V101" i="1"/>
  <c r="S29" i="3" s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G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G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R21" i="3" s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I142" i="1" s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R11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X150" i="1" s="1"/>
  <c r="AE150" i="1"/>
  <c r="R23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S18" i="3" s="1"/>
  <c r="Y153" i="1"/>
  <c r="Z153" i="1"/>
  <c r="AA153" i="1" s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I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AG216" i="1" s="1"/>
  <c r="AE216" i="1"/>
  <c r="AF216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T235" i="1"/>
  <c r="V235" i="1"/>
  <c r="Y235" i="1"/>
  <c r="Z235" i="1"/>
  <c r="AB235" i="1"/>
  <c r="AC235" i="1"/>
  <c r="AD235" i="1"/>
  <c r="AG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I239" i="1" s="1"/>
  <c r="AB239" i="1"/>
  <c r="AC239" i="1"/>
  <c r="AD239" i="1"/>
  <c r="AG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3" i="1"/>
  <c r="AM193" i="1"/>
  <c r="AN193" i="1"/>
  <c r="K157" i="1"/>
  <c r="L157" i="1"/>
  <c r="M157" i="1"/>
  <c r="N157" i="1" s="1"/>
  <c r="V157" i="1"/>
  <c r="S36" i="3" s="1"/>
  <c r="Y157" i="1"/>
  <c r="Z157" i="1"/>
  <c r="AB157" i="1"/>
  <c r="AC157" i="1"/>
  <c r="AD157" i="1"/>
  <c r="T157" i="1" s="1"/>
  <c r="AE157" i="1"/>
  <c r="R36" i="3" s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6" i="1"/>
  <c r="AM196" i="1"/>
  <c r="AN196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7" i="1"/>
  <c r="AM197" i="1"/>
  <c r="AN19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8" i="1"/>
  <c r="AM198" i="1"/>
  <c r="AN198" i="1"/>
  <c r="K162" i="1"/>
  <c r="L162" i="1"/>
  <c r="M162" i="1"/>
  <c r="N162" i="1" s="1"/>
  <c r="V162" i="1"/>
  <c r="S32" i="3" s="1"/>
  <c r="Y162" i="1"/>
  <c r="Z162" i="1"/>
  <c r="AB162" i="1"/>
  <c r="AC162" i="1"/>
  <c r="AD162" i="1"/>
  <c r="AG162" i="1" s="1"/>
  <c r="AE162" i="1"/>
  <c r="R32" i="3" s="1"/>
  <c r="AF162" i="1"/>
  <c r="AH199" i="1"/>
  <c r="AM199" i="1"/>
  <c r="AN19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0" i="1"/>
  <c r="AM200" i="1"/>
  <c r="AN20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1" i="1"/>
  <c r="AM201" i="1"/>
  <c r="AN20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2" i="1"/>
  <c r="AM202" i="1"/>
  <c r="AN20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3" i="1"/>
  <c r="AM203" i="1"/>
  <c r="AN20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204" i="1"/>
  <c r="AM204" i="1"/>
  <c r="AN20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1" i="1"/>
  <c r="AM211" i="1"/>
  <c r="AN2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15" i="1"/>
  <c r="AM215" i="1"/>
  <c r="AN21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7" i="1"/>
  <c r="AM217" i="1"/>
  <c r="AN2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9" i="1"/>
  <c r="AM219" i="1"/>
  <c r="AN219" i="1"/>
  <c r="K183" i="1"/>
  <c r="L183" i="1"/>
  <c r="M183" i="1"/>
  <c r="N183" i="1" s="1"/>
  <c r="V183" i="1"/>
  <c r="S37" i="3" s="1"/>
  <c r="Y183" i="1"/>
  <c r="Z183" i="1"/>
  <c r="AB183" i="1"/>
  <c r="AC183" i="1"/>
  <c r="AD183" i="1"/>
  <c r="AE183" i="1"/>
  <c r="AF183" i="1"/>
  <c r="AH220" i="1"/>
  <c r="AM220" i="1"/>
  <c r="AN2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2" i="1"/>
  <c r="AM222" i="1"/>
  <c r="AN2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3" i="1"/>
  <c r="AM223" i="1"/>
  <c r="AN22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24" i="1"/>
  <c r="AM224" i="1"/>
  <c r="AN2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5" i="1"/>
  <c r="AM225" i="1"/>
  <c r="AN2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6" i="1"/>
  <c r="AM226" i="1"/>
  <c r="AN22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27" i="1"/>
  <c r="AM227" i="1"/>
  <c r="AN227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28" i="1"/>
  <c r="AM228" i="1"/>
  <c r="AN228" i="1"/>
  <c r="K192" i="1"/>
  <c r="L192" i="1"/>
  <c r="M192" i="1"/>
  <c r="N192" i="1" s="1"/>
  <c r="V192" i="1"/>
  <c r="S38" i="3" s="1"/>
  <c r="Y192" i="1"/>
  <c r="Z192" i="1"/>
  <c r="AB192" i="1"/>
  <c r="AC192" i="1"/>
  <c r="AD192" i="1"/>
  <c r="T192" i="1" s="1"/>
  <c r="AE192" i="1"/>
  <c r="AF192" i="1"/>
  <c r="AH229" i="1"/>
  <c r="AM229" i="1"/>
  <c r="AN229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30" i="1"/>
  <c r="AM230" i="1"/>
  <c r="AN230" i="1"/>
  <c r="K194" i="1"/>
  <c r="L194" i="1"/>
  <c r="M194" i="1"/>
  <c r="N194" i="1" s="1"/>
  <c r="T194" i="1"/>
  <c r="V194" i="1"/>
  <c r="Y194" i="1"/>
  <c r="Z194" i="1"/>
  <c r="AB194" i="1"/>
  <c r="AC194" i="1"/>
  <c r="AD194" i="1"/>
  <c r="AG194" i="1" s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32" i="1"/>
  <c r="AM232" i="1"/>
  <c r="AN232" i="1"/>
  <c r="K196" i="1"/>
  <c r="L196" i="1"/>
  <c r="M196" i="1"/>
  <c r="N196" i="1" s="1"/>
  <c r="V196" i="1"/>
  <c r="S31" i="3" s="1"/>
  <c r="Y196" i="1"/>
  <c r="Z196" i="1"/>
  <c r="AB196" i="1"/>
  <c r="AC196" i="1"/>
  <c r="AD196" i="1"/>
  <c r="T196" i="1" s="1"/>
  <c r="AE196" i="1"/>
  <c r="AF196" i="1"/>
  <c r="AH233" i="1"/>
  <c r="AM233" i="1"/>
  <c r="AN23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4" i="1"/>
  <c r="AM234" i="1"/>
  <c r="AN234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35" i="1"/>
  <c r="AI235" i="1"/>
  <c r="AM235" i="1"/>
  <c r="AN23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36" i="1"/>
  <c r="AM236" i="1"/>
  <c r="AN23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7" i="1"/>
  <c r="AM237" i="1"/>
  <c r="AN23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8" i="1"/>
  <c r="AM238" i="1"/>
  <c r="AN23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9" i="1"/>
  <c r="AM239" i="1"/>
  <c r="AN239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40" i="1"/>
  <c r="AM240" i="1"/>
  <c r="AN240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41" i="1"/>
  <c r="AM241" i="1"/>
  <c r="AN241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242" i="1"/>
  <c r="AM242" i="1"/>
  <c r="AN242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R42" i="3" s="1"/>
  <c r="AF249" i="1"/>
  <c r="AH243" i="1"/>
  <c r="AI243" i="1"/>
  <c r="AM243" i="1"/>
  <c r="AN243" i="1"/>
  <c r="K217" i="1"/>
  <c r="L217" i="1"/>
  <c r="M217" i="1"/>
  <c r="N217" i="1" s="1"/>
  <c r="V217" i="1"/>
  <c r="S39" i="3" s="1"/>
  <c r="Y217" i="1"/>
  <c r="Z217" i="1"/>
  <c r="AB217" i="1"/>
  <c r="AC217" i="1"/>
  <c r="AD217" i="1"/>
  <c r="AG217" i="1" s="1"/>
  <c r="AE217" i="1"/>
  <c r="AF217" i="1"/>
  <c r="AH244" i="1"/>
  <c r="AM244" i="1"/>
  <c r="AN24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45" i="1"/>
  <c r="AM245" i="1"/>
  <c r="AN24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46" i="1"/>
  <c r="AM246" i="1"/>
  <c r="AN24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7" i="1"/>
  <c r="AM247" i="1"/>
  <c r="AN247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48" i="1"/>
  <c r="AM248" i="1"/>
  <c r="AN24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9" i="1"/>
  <c r="AM249" i="1"/>
  <c r="AN249" i="1"/>
  <c r="M39" i="3"/>
  <c r="R39" i="3"/>
  <c r="U39" i="3"/>
  <c r="T39" i="3" s="1"/>
  <c r="V39" i="3"/>
  <c r="W39" i="3"/>
  <c r="X39" i="3"/>
  <c r="M26" i="3"/>
  <c r="U26" i="3"/>
  <c r="T26" i="3" s="1"/>
  <c r="V26" i="3"/>
  <c r="W26" i="3"/>
  <c r="X26" i="3"/>
  <c r="AC26" i="3"/>
  <c r="M36" i="3"/>
  <c r="U36" i="3"/>
  <c r="AC36" i="3" s="1"/>
  <c r="V36" i="3"/>
  <c r="W36" i="3"/>
  <c r="X36" i="3"/>
  <c r="Y36" i="3"/>
  <c r="M12" i="3"/>
  <c r="R12" i="3"/>
  <c r="U12" i="3"/>
  <c r="AC12" i="3" s="1"/>
  <c r="V12" i="3"/>
  <c r="W12" i="3"/>
  <c r="X12" i="3"/>
  <c r="M13" i="3"/>
  <c r="S13" i="3"/>
  <c r="U13" i="3"/>
  <c r="AC13" i="3" s="1"/>
  <c r="V13" i="3"/>
  <c r="W13" i="3"/>
  <c r="X13" i="3"/>
  <c r="AD12" i="3"/>
  <c r="M32" i="3"/>
  <c r="U32" i="3"/>
  <c r="T32" i="3" s="1"/>
  <c r="V32" i="3"/>
  <c r="W32" i="3"/>
  <c r="X32" i="3"/>
  <c r="AC32" i="3"/>
  <c r="M10" i="3"/>
  <c r="R10" i="3"/>
  <c r="U10" i="3"/>
  <c r="AC10" i="3" s="1"/>
  <c r="V10" i="3"/>
  <c r="W10" i="3"/>
  <c r="X10" i="3"/>
  <c r="M7" i="3"/>
  <c r="S7" i="3"/>
  <c r="U7" i="3"/>
  <c r="AC7" i="3" s="1"/>
  <c r="V7" i="3"/>
  <c r="W7" i="3"/>
  <c r="X7" i="3"/>
  <c r="M15" i="3"/>
  <c r="R15" i="3"/>
  <c r="S15" i="3"/>
  <c r="T15" i="3"/>
  <c r="U15" i="3"/>
  <c r="AC15" i="3" s="1"/>
  <c r="V15" i="3"/>
  <c r="W15" i="3"/>
  <c r="X15" i="3"/>
  <c r="M14" i="3"/>
  <c r="S14" i="3"/>
  <c r="U14" i="3"/>
  <c r="T14" i="3" s="1"/>
  <c r="V14" i="3"/>
  <c r="W14" i="3"/>
  <c r="X14" i="3"/>
  <c r="AC14" i="3"/>
  <c r="M22" i="3"/>
  <c r="U22" i="3"/>
  <c r="AC22" i="3" s="1"/>
  <c r="V22" i="3"/>
  <c r="W22" i="3"/>
  <c r="Y22" i="3" s="1"/>
  <c r="X22" i="3"/>
  <c r="M40" i="3"/>
  <c r="R40" i="3"/>
  <c r="S40" i="3"/>
  <c r="U40" i="3"/>
  <c r="AC40" i="3" s="1"/>
  <c r="V40" i="3"/>
  <c r="W40" i="3"/>
  <c r="X40" i="3"/>
  <c r="M16" i="3"/>
  <c r="S16" i="3"/>
  <c r="U16" i="3"/>
  <c r="AC16" i="3" s="1"/>
  <c r="V16" i="3"/>
  <c r="W16" i="3"/>
  <c r="X16" i="3"/>
  <c r="M17" i="3"/>
  <c r="R17" i="3"/>
  <c r="S17" i="3"/>
  <c r="U17" i="3"/>
  <c r="V17" i="3"/>
  <c r="W17" i="3"/>
  <c r="X17" i="3"/>
  <c r="AC17" i="3"/>
  <c r="M19" i="3"/>
  <c r="R19" i="3"/>
  <c r="S19" i="3"/>
  <c r="U19" i="3"/>
  <c r="AC19" i="3" s="1"/>
  <c r="V19" i="3"/>
  <c r="W19" i="3"/>
  <c r="X19" i="3"/>
  <c r="M27" i="3"/>
  <c r="R27" i="3"/>
  <c r="S27" i="3"/>
  <c r="U27" i="3"/>
  <c r="AC27" i="3" s="1"/>
  <c r="V27" i="3"/>
  <c r="W27" i="3"/>
  <c r="X27" i="3"/>
  <c r="M9" i="3"/>
  <c r="R9" i="3"/>
  <c r="U9" i="3"/>
  <c r="AC9" i="3" s="1"/>
  <c r="V9" i="3"/>
  <c r="W9" i="3"/>
  <c r="X9" i="3"/>
  <c r="M8" i="3"/>
  <c r="R8" i="3"/>
  <c r="S8" i="3"/>
  <c r="U8" i="3"/>
  <c r="T8" i="3" s="1"/>
  <c r="V8" i="3"/>
  <c r="W8" i="3"/>
  <c r="Y8" i="3" s="1"/>
  <c r="X8" i="3"/>
  <c r="AC8" i="3"/>
  <c r="M28" i="3"/>
  <c r="R28" i="3"/>
  <c r="U28" i="3"/>
  <c r="AD26" i="3" s="1"/>
  <c r="V28" i="3"/>
  <c r="W28" i="3"/>
  <c r="X28" i="3"/>
  <c r="Y28" i="3"/>
  <c r="M29" i="3"/>
  <c r="R29" i="3"/>
  <c r="U29" i="3"/>
  <c r="AC29" i="3" s="1"/>
  <c r="V29" i="3"/>
  <c r="W29" i="3"/>
  <c r="X29" i="3"/>
  <c r="M37" i="3"/>
  <c r="R37" i="3"/>
  <c r="U37" i="3"/>
  <c r="AC37" i="3" s="1"/>
  <c r="V37" i="3"/>
  <c r="W37" i="3"/>
  <c r="X37" i="3"/>
  <c r="M21" i="3"/>
  <c r="S21" i="3"/>
  <c r="U21" i="3"/>
  <c r="T21" i="3" s="1"/>
  <c r="V21" i="3"/>
  <c r="W21" i="3"/>
  <c r="X21" i="3"/>
  <c r="AC21" i="3"/>
  <c r="M24" i="3"/>
  <c r="R24" i="3"/>
  <c r="S24" i="3"/>
  <c r="U24" i="3"/>
  <c r="V24" i="3"/>
  <c r="W24" i="3"/>
  <c r="X24" i="3"/>
  <c r="Y24" i="3"/>
  <c r="M34" i="3"/>
  <c r="R34" i="3"/>
  <c r="U34" i="3"/>
  <c r="AC34" i="3" s="1"/>
  <c r="V34" i="3"/>
  <c r="W34" i="3"/>
  <c r="X34" i="3"/>
  <c r="M38" i="3"/>
  <c r="R38" i="3"/>
  <c r="U38" i="3"/>
  <c r="AC38" i="3" s="1"/>
  <c r="V38" i="3"/>
  <c r="W38" i="3"/>
  <c r="X38" i="3"/>
  <c r="AD32" i="3"/>
  <c r="M31" i="3"/>
  <c r="R31" i="3"/>
  <c r="U31" i="3"/>
  <c r="V31" i="3"/>
  <c r="W31" i="3"/>
  <c r="X31" i="3"/>
  <c r="AC31" i="3"/>
  <c r="M20" i="3"/>
  <c r="R20" i="3"/>
  <c r="S20" i="3"/>
  <c r="U20" i="3"/>
  <c r="AD34" i="3" s="1"/>
  <c r="V20" i="3"/>
  <c r="W20" i="3"/>
  <c r="X20" i="3"/>
  <c r="M35" i="3"/>
  <c r="R35" i="3"/>
  <c r="U35" i="3"/>
  <c r="AC35" i="3" s="1"/>
  <c r="V35" i="3"/>
  <c r="W35" i="3"/>
  <c r="Y35" i="3" s="1"/>
  <c r="X35" i="3"/>
  <c r="M41" i="3"/>
  <c r="R41" i="3"/>
  <c r="S41" i="3"/>
  <c r="U41" i="3"/>
  <c r="AC41" i="3" s="1"/>
  <c r="V41" i="3"/>
  <c r="W41" i="3"/>
  <c r="X41" i="3"/>
  <c r="M33" i="3"/>
  <c r="R33" i="3"/>
  <c r="S33" i="3"/>
  <c r="U33" i="3"/>
  <c r="T33" i="3" s="1"/>
  <c r="V33" i="3"/>
  <c r="W33" i="3"/>
  <c r="X33" i="3"/>
  <c r="AC33" i="3"/>
  <c r="M11" i="3"/>
  <c r="S11" i="3"/>
  <c r="U11" i="3"/>
  <c r="V11" i="3"/>
  <c r="W11" i="3"/>
  <c r="X11" i="3"/>
  <c r="AC11" i="3"/>
  <c r="M30" i="3"/>
  <c r="R30" i="3"/>
  <c r="S30" i="3"/>
  <c r="U30" i="3"/>
  <c r="AC30" i="3" s="1"/>
  <c r="V30" i="3"/>
  <c r="W30" i="3"/>
  <c r="Y30" i="3" s="1"/>
  <c r="X30" i="3"/>
  <c r="M18" i="3"/>
  <c r="R18" i="3"/>
  <c r="U18" i="3"/>
  <c r="AC18" i="3" s="1"/>
  <c r="V18" i="3"/>
  <c r="W18" i="3"/>
  <c r="Y18" i="3" s="1"/>
  <c r="X18" i="3"/>
  <c r="AD40" i="3"/>
  <c r="M42" i="3"/>
  <c r="S42" i="3"/>
  <c r="U42" i="3"/>
  <c r="T42" i="3" s="1"/>
  <c r="V42" i="3"/>
  <c r="W42" i="3"/>
  <c r="X42" i="3"/>
  <c r="M23" i="3"/>
  <c r="S23" i="3"/>
  <c r="U23" i="3"/>
  <c r="V23" i="3"/>
  <c r="W23" i="3"/>
  <c r="X23" i="3"/>
  <c r="AC23" i="3"/>
  <c r="AG184" i="1" l="1"/>
  <c r="X171" i="1"/>
  <c r="AI207" i="1"/>
  <c r="AA138" i="1"/>
  <c r="AA88" i="1"/>
  <c r="AG76" i="1"/>
  <c r="AI76" i="1" s="1"/>
  <c r="X38" i="1"/>
  <c r="AG37" i="1"/>
  <c r="AA130" i="1"/>
  <c r="X111" i="1"/>
  <c r="AA81" i="1"/>
  <c r="AA80" i="1"/>
  <c r="AA65" i="1"/>
  <c r="AG180" i="1"/>
  <c r="S28" i="3"/>
  <c r="X195" i="1"/>
  <c r="AA182" i="1"/>
  <c r="W182" i="1" s="1"/>
  <c r="AA242" i="1"/>
  <c r="AA238" i="1"/>
  <c r="T237" i="1"/>
  <c r="AA236" i="1"/>
  <c r="AA231" i="1"/>
  <c r="W231" i="1" s="1"/>
  <c r="AA133" i="1"/>
  <c r="AA129" i="1"/>
  <c r="X99" i="1"/>
  <c r="AI52" i="1"/>
  <c r="AA46" i="1"/>
  <c r="AA186" i="1"/>
  <c r="AG209" i="1"/>
  <c r="AA152" i="1"/>
  <c r="AG134" i="1"/>
  <c r="AA117" i="1"/>
  <c r="AA113" i="1"/>
  <c r="AI110" i="1"/>
  <c r="AA91" i="1"/>
  <c r="AA69" i="1"/>
  <c r="AA15" i="1"/>
  <c r="X148" i="1"/>
  <c r="AA218" i="1"/>
  <c r="AG196" i="1"/>
  <c r="AI231" i="1"/>
  <c r="AI187" i="1"/>
  <c r="AG186" i="1"/>
  <c r="AG176" i="1"/>
  <c r="AA168" i="1"/>
  <c r="AA162" i="1"/>
  <c r="T159" i="1"/>
  <c r="AG154" i="1"/>
  <c r="AA149" i="1"/>
  <c r="AG139" i="1"/>
  <c r="X139" i="1"/>
  <c r="T135" i="1"/>
  <c r="X131" i="1"/>
  <c r="T66" i="1"/>
  <c r="AG45" i="1"/>
  <c r="AI45" i="1" s="1"/>
  <c r="AI17" i="1"/>
  <c r="X147" i="1"/>
  <c r="AA222" i="1"/>
  <c r="AA198" i="1"/>
  <c r="AA190" i="1"/>
  <c r="W190" i="1" s="1"/>
  <c r="AA178" i="1"/>
  <c r="AA161" i="1"/>
  <c r="AA159" i="1"/>
  <c r="AA158" i="1"/>
  <c r="AA233" i="1"/>
  <c r="W233" i="1" s="1"/>
  <c r="T231" i="1"/>
  <c r="X213" i="1"/>
  <c r="AA109" i="1"/>
  <c r="AA72" i="1"/>
  <c r="X70" i="1"/>
  <c r="T46" i="1"/>
  <c r="AA23" i="1"/>
  <c r="AA19" i="1"/>
  <c r="X146" i="1"/>
  <c r="W45" i="1"/>
  <c r="X149" i="1"/>
  <c r="X145" i="1"/>
  <c r="T17" i="3"/>
  <c r="AD17" i="3"/>
  <c r="AD20" i="3"/>
  <c r="AD38" i="3"/>
  <c r="AD36" i="3"/>
  <c r="AE32" i="3"/>
  <c r="S34" i="3"/>
  <c r="T12" i="3"/>
  <c r="T190" i="1"/>
  <c r="U190" i="1" s="1"/>
  <c r="S190" i="1" s="1"/>
  <c r="AA189" i="1"/>
  <c r="W186" i="1"/>
  <c r="AG179" i="1"/>
  <c r="X179" i="1"/>
  <c r="T74" i="1"/>
  <c r="AG74" i="1"/>
  <c r="T35" i="1"/>
  <c r="AG35" i="1"/>
  <c r="T228" i="1"/>
  <c r="AG228" i="1"/>
  <c r="T126" i="1"/>
  <c r="X126" i="1"/>
  <c r="AG126" i="1"/>
  <c r="AI126" i="1" s="1"/>
  <c r="AD28" i="3"/>
  <c r="AG172" i="1"/>
  <c r="U172" i="1" s="1"/>
  <c r="S172" i="1" s="1"/>
  <c r="T160" i="1"/>
  <c r="AG160" i="1"/>
  <c r="T103" i="1"/>
  <c r="AG103" i="1"/>
  <c r="AG195" i="1"/>
  <c r="AI195" i="1" s="1"/>
  <c r="T195" i="1"/>
  <c r="AG192" i="1"/>
  <c r="AI192" i="1" s="1"/>
  <c r="Y20" i="3"/>
  <c r="AG229" i="1"/>
  <c r="X229" i="1"/>
  <c r="AI211" i="1"/>
  <c r="AA141" i="1"/>
  <c r="W141" i="1" s="1"/>
  <c r="AE11" i="3"/>
  <c r="Y34" i="3"/>
  <c r="Y21" i="3"/>
  <c r="Y19" i="3"/>
  <c r="AE40" i="3"/>
  <c r="Y12" i="3"/>
  <c r="Y39" i="3"/>
  <c r="AA194" i="1"/>
  <c r="W194" i="1" s="1"/>
  <c r="AI191" i="1"/>
  <c r="AA185" i="1"/>
  <c r="AA174" i="1"/>
  <c r="W174" i="1" s="1"/>
  <c r="AA166" i="1"/>
  <c r="AA235" i="1"/>
  <c r="W235" i="1" s="1"/>
  <c r="AA230" i="1"/>
  <c r="X227" i="1"/>
  <c r="AG226" i="1"/>
  <c r="W226" i="1" s="1"/>
  <c r="X216" i="1"/>
  <c r="X208" i="1"/>
  <c r="X153" i="1"/>
  <c r="AA151" i="1"/>
  <c r="AG149" i="1"/>
  <c r="AA148" i="1"/>
  <c r="W148" i="1" s="1"/>
  <c r="AG146" i="1"/>
  <c r="AI146" i="1" s="1"/>
  <c r="AA139" i="1"/>
  <c r="AA137" i="1"/>
  <c r="AA135" i="1"/>
  <c r="AA134" i="1"/>
  <c r="W134" i="1" s="1"/>
  <c r="AA122" i="1"/>
  <c r="AA120" i="1"/>
  <c r="AA110" i="1"/>
  <c r="W110" i="1" s="1"/>
  <c r="AA105" i="1"/>
  <c r="AA100" i="1"/>
  <c r="AG98" i="1"/>
  <c r="AI98" i="1" s="1"/>
  <c r="AA97" i="1"/>
  <c r="AA76" i="1"/>
  <c r="AG70" i="1"/>
  <c r="U70" i="1" s="1"/>
  <c r="S70" i="1" s="1"/>
  <c r="X69" i="1"/>
  <c r="AG66" i="1"/>
  <c r="AG60" i="1"/>
  <c r="U60" i="1" s="1"/>
  <c r="S60" i="1" s="1"/>
  <c r="AA56" i="1"/>
  <c r="W56" i="1" s="1"/>
  <c r="AA52" i="1"/>
  <c r="W52" i="1" s="1"/>
  <c r="AG46" i="1"/>
  <c r="AA44" i="1"/>
  <c r="AA28" i="1"/>
  <c r="X25" i="1"/>
  <c r="Y27" i="3"/>
  <c r="AE19" i="3"/>
  <c r="Y10" i="3"/>
  <c r="Y32" i="3"/>
  <c r="Y26" i="3"/>
  <c r="AA195" i="1"/>
  <c r="AA157" i="1"/>
  <c r="AA228" i="1"/>
  <c r="X209" i="1"/>
  <c r="X154" i="1"/>
  <c r="T150" i="1"/>
  <c r="AA140" i="1"/>
  <c r="AA123" i="1"/>
  <c r="X110" i="1"/>
  <c r="AA106" i="1"/>
  <c r="AA103" i="1"/>
  <c r="T99" i="1"/>
  <c r="AA89" i="1"/>
  <c r="AA84" i="1"/>
  <c r="AA68" i="1"/>
  <c r="AA64" i="1"/>
  <c r="AI49" i="1"/>
  <c r="AA35" i="1"/>
  <c r="X30" i="1"/>
  <c r="AA24" i="1"/>
  <c r="AA20" i="1"/>
  <c r="W20" i="1" s="1"/>
  <c r="W198" i="1"/>
  <c r="S35" i="3"/>
  <c r="AI180" i="1"/>
  <c r="W178" i="1"/>
  <c r="AG174" i="1"/>
  <c r="T174" i="1"/>
  <c r="T168" i="1"/>
  <c r="AG168" i="1"/>
  <c r="W168" i="1" s="1"/>
  <c r="T167" i="1"/>
  <c r="X240" i="1"/>
  <c r="T239" i="1"/>
  <c r="AA220" i="1"/>
  <c r="X217" i="1"/>
  <c r="AA247" i="1"/>
  <c r="AA202" i="1"/>
  <c r="AI199" i="1"/>
  <c r="T198" i="1"/>
  <c r="AA197" i="1"/>
  <c r="AA191" i="1"/>
  <c r="T191" i="1"/>
  <c r="U191" i="1" s="1"/>
  <c r="S191" i="1" s="1"/>
  <c r="X187" i="1"/>
  <c r="T178" i="1"/>
  <c r="AG178" i="1"/>
  <c r="X175" i="1"/>
  <c r="T164" i="1"/>
  <c r="AG164" i="1"/>
  <c r="W162" i="1"/>
  <c r="T246" i="1"/>
  <c r="AG246" i="1"/>
  <c r="AG183" i="1"/>
  <c r="AI183" i="1" s="1"/>
  <c r="X183" i="1"/>
  <c r="T244" i="1"/>
  <c r="AG244" i="1"/>
  <c r="AA249" i="1"/>
  <c r="AI203" i="1"/>
  <c r="AA200" i="1"/>
  <c r="X191" i="1"/>
  <c r="AG188" i="1"/>
  <c r="AI188" i="1" s="1"/>
  <c r="T182" i="1"/>
  <c r="AA181" i="1"/>
  <c r="T170" i="1"/>
  <c r="AG170" i="1"/>
  <c r="AI170" i="1" s="1"/>
  <c r="AG163" i="1"/>
  <c r="X163" i="1"/>
  <c r="T162" i="1"/>
  <c r="U162" i="1" s="1"/>
  <c r="S162" i="1" s="1"/>
  <c r="T242" i="1"/>
  <c r="AG242" i="1"/>
  <c r="T241" i="1"/>
  <c r="T230" i="1"/>
  <c r="X230" i="1"/>
  <c r="AG230" i="1"/>
  <c r="W230" i="1" s="1"/>
  <c r="X94" i="1"/>
  <c r="T82" i="1"/>
  <c r="U37" i="1"/>
  <c r="S37" i="1" s="1"/>
  <c r="AI175" i="1"/>
  <c r="AA173" i="1"/>
  <c r="AA160" i="1"/>
  <c r="AA244" i="1"/>
  <c r="AA241" i="1"/>
  <c r="W241" i="1" s="1"/>
  <c r="AA240" i="1"/>
  <c r="AA237" i="1"/>
  <c r="W237" i="1" s="1"/>
  <c r="X237" i="1"/>
  <c r="AG223" i="1"/>
  <c r="AI223" i="1" s="1"/>
  <c r="AA215" i="1"/>
  <c r="W215" i="1" s="1"/>
  <c r="AA214" i="1"/>
  <c r="AG212" i="1"/>
  <c r="AA207" i="1"/>
  <c r="W207" i="1" s="1"/>
  <c r="AA206" i="1"/>
  <c r="AG204" i="1"/>
  <c r="AI204" i="1" s="1"/>
  <c r="AA156" i="1"/>
  <c r="W156" i="1" s="1"/>
  <c r="AA146" i="1"/>
  <c r="W146" i="1" s="1"/>
  <c r="AA142" i="1"/>
  <c r="W142" i="1" s="1"/>
  <c r="AA132" i="1"/>
  <c r="AG130" i="1"/>
  <c r="AI130" i="1" s="1"/>
  <c r="X130" i="1"/>
  <c r="X114" i="1"/>
  <c r="AA98" i="1"/>
  <c r="W98" i="1" s="1"/>
  <c r="AA93" i="1"/>
  <c r="AG91" i="1"/>
  <c r="W91" i="1" s="1"/>
  <c r="X91" i="1"/>
  <c r="X89" i="1"/>
  <c r="AA87" i="1"/>
  <c r="T86" i="1"/>
  <c r="AA85" i="1"/>
  <c r="W85" i="1" s="1"/>
  <c r="T85" i="1"/>
  <c r="U85" i="1" s="1"/>
  <c r="S85" i="1" s="1"/>
  <c r="AG84" i="1"/>
  <c r="AI84" i="1" s="1"/>
  <c r="AA78" i="1"/>
  <c r="AA74" i="1"/>
  <c r="W74" i="1" s="1"/>
  <c r="X73" i="1"/>
  <c r="AG72" i="1"/>
  <c r="U72" i="1" s="1"/>
  <c r="S72" i="1" s="1"/>
  <c r="AG68" i="1"/>
  <c r="AI68" i="1" s="1"/>
  <c r="T65" i="1"/>
  <c r="U65" i="1" s="1"/>
  <c r="S65" i="1" s="1"/>
  <c r="AA60" i="1"/>
  <c r="AG58" i="1"/>
  <c r="X58" i="1"/>
  <c r="X57" i="1"/>
  <c r="T50" i="1"/>
  <c r="X49" i="1"/>
  <c r="AG43" i="1"/>
  <c r="AI43" i="1" s="1"/>
  <c r="AA38" i="1"/>
  <c r="T38" i="1"/>
  <c r="AA36" i="1"/>
  <c r="AA33" i="1"/>
  <c r="AA30" i="1"/>
  <c r="T30" i="1"/>
  <c r="AG29" i="1"/>
  <c r="AI29" i="1" s="1"/>
  <c r="X29" i="1"/>
  <c r="AG26" i="1"/>
  <c r="AI26" i="1" s="1"/>
  <c r="X26" i="1"/>
  <c r="X21" i="1"/>
  <c r="AA21" i="1"/>
  <c r="AG18" i="1"/>
  <c r="AI18" i="1" s="1"/>
  <c r="T213" i="1"/>
  <c r="T205" i="1"/>
  <c r="W152" i="1"/>
  <c r="W149" i="1"/>
  <c r="T131" i="1"/>
  <c r="W76" i="1"/>
  <c r="X74" i="1"/>
  <c r="T25" i="1"/>
  <c r="AI179" i="1"/>
  <c r="AA177" i="1"/>
  <c r="AA170" i="1"/>
  <c r="AA167" i="1"/>
  <c r="X158" i="1"/>
  <c r="AA239" i="1"/>
  <c r="W239" i="1" s="1"/>
  <c r="AA234" i="1"/>
  <c r="AA232" i="1"/>
  <c r="W232" i="1" s="1"/>
  <c r="T227" i="1"/>
  <c r="AG214" i="1"/>
  <c r="U214" i="1" s="1"/>
  <c r="S214" i="1" s="1"/>
  <c r="AA213" i="1"/>
  <c r="AA212" i="1"/>
  <c r="AG206" i="1"/>
  <c r="U206" i="1" s="1"/>
  <c r="AA205" i="1"/>
  <c r="AA204" i="1"/>
  <c r="AA145" i="1"/>
  <c r="AG143" i="1"/>
  <c r="U143" i="1" s="1"/>
  <c r="S143" i="1" s="1"/>
  <c r="X143" i="1"/>
  <c r="AA131" i="1"/>
  <c r="AA125" i="1"/>
  <c r="W125" i="1" s="1"/>
  <c r="X123" i="1"/>
  <c r="AG122" i="1"/>
  <c r="AI122" i="1" s="1"/>
  <c r="AA121" i="1"/>
  <c r="AA118" i="1"/>
  <c r="AA114" i="1"/>
  <c r="W114" i="1" s="1"/>
  <c r="AA104" i="1"/>
  <c r="AG86" i="1"/>
  <c r="X85" i="1"/>
  <c r="AA83" i="1"/>
  <c r="AA67" i="1"/>
  <c r="AA62" i="1"/>
  <c r="W62" i="1" s="1"/>
  <c r="AA59" i="1"/>
  <c r="AA57" i="1"/>
  <c r="W57" i="1" s="1"/>
  <c r="T57" i="1"/>
  <c r="T56" i="1"/>
  <c r="AA55" i="1"/>
  <c r="X54" i="1"/>
  <c r="AG50" i="1"/>
  <c r="AA49" i="1"/>
  <c r="W49" i="1" s="1"/>
  <c r="AA43" i="1"/>
  <c r="T41" i="1"/>
  <c r="U41" i="1" s="1"/>
  <c r="S41" i="1" s="1"/>
  <c r="AG38" i="1"/>
  <c r="AA37" i="1"/>
  <c r="W37" i="1" s="1"/>
  <c r="X34" i="1"/>
  <c r="AG30" i="1"/>
  <c r="W30" i="1" s="1"/>
  <c r="AA27" i="1"/>
  <c r="AA26" i="1"/>
  <c r="AA17" i="1"/>
  <c r="AI153" i="1"/>
  <c r="T158" i="1"/>
  <c r="T240" i="1"/>
  <c r="T236" i="1"/>
  <c r="X223" i="1"/>
  <c r="W216" i="1"/>
  <c r="U212" i="1"/>
  <c r="S212" i="1" s="1"/>
  <c r="W208" i="1"/>
  <c r="W153" i="1"/>
  <c r="U149" i="1"/>
  <c r="S149" i="1" s="1"/>
  <c r="U134" i="1"/>
  <c r="S134" i="1" s="1"/>
  <c r="AI134" i="1"/>
  <c r="T115" i="1"/>
  <c r="X115" i="1"/>
  <c r="AG115" i="1"/>
  <c r="AI115" i="1" s="1"/>
  <c r="X102" i="1"/>
  <c r="X103" i="1"/>
  <c r="AG102" i="1"/>
  <c r="AI102" i="1" s="1"/>
  <c r="U56" i="1"/>
  <c r="S56" i="1" s="1"/>
  <c r="AI56" i="1"/>
  <c r="AI41" i="1"/>
  <c r="AG222" i="1"/>
  <c r="U222" i="1" s="1"/>
  <c r="S222" i="1" s="1"/>
  <c r="AA221" i="1"/>
  <c r="W221" i="1" s="1"/>
  <c r="T221" i="1"/>
  <c r="U221" i="1" s="1"/>
  <c r="S221" i="1" s="1"/>
  <c r="AG220" i="1"/>
  <c r="U220" i="1" s="1"/>
  <c r="S220" i="1" s="1"/>
  <c r="AG218" i="1"/>
  <c r="W218" i="1" s="1"/>
  <c r="AA217" i="1"/>
  <c r="W217" i="1" s="1"/>
  <c r="T217" i="1"/>
  <c r="U217" i="1" s="1"/>
  <c r="S217" i="1" s="1"/>
  <c r="AG249" i="1"/>
  <c r="U249" i="1" s="1"/>
  <c r="S249" i="1" s="1"/>
  <c r="AG247" i="1"/>
  <c r="AI247" i="1" s="1"/>
  <c r="AA203" i="1"/>
  <c r="W203" i="1" s="1"/>
  <c r="T203" i="1"/>
  <c r="AG202" i="1"/>
  <c r="U202" i="1" s="1"/>
  <c r="S202" i="1" s="1"/>
  <c r="AG200" i="1"/>
  <c r="W200" i="1" s="1"/>
  <c r="AA199" i="1"/>
  <c r="W199" i="1" s="1"/>
  <c r="T199" i="1"/>
  <c r="U199" i="1" s="1"/>
  <c r="S199" i="1" s="1"/>
  <c r="AA196" i="1"/>
  <c r="W196" i="1" s="1"/>
  <c r="AA192" i="1"/>
  <c r="W192" i="1" s="1"/>
  <c r="AA188" i="1"/>
  <c r="AA184" i="1"/>
  <c r="W184" i="1" s="1"/>
  <c r="AA180" i="1"/>
  <c r="W180" i="1" s="1"/>
  <c r="AA176" i="1"/>
  <c r="W176" i="1" s="1"/>
  <c r="AA172" i="1"/>
  <c r="AA169" i="1"/>
  <c r="AG166" i="1"/>
  <c r="U166" i="1" s="1"/>
  <c r="S166" i="1" s="1"/>
  <c r="AA164" i="1"/>
  <c r="W164" i="1" s="1"/>
  <c r="AG158" i="1"/>
  <c r="U158" i="1" s="1"/>
  <c r="S158" i="1" s="1"/>
  <c r="X245" i="1"/>
  <c r="X244" i="1"/>
  <c r="X243" i="1"/>
  <c r="AG240" i="1"/>
  <c r="AG238" i="1"/>
  <c r="W238" i="1" s="1"/>
  <c r="AG236" i="1"/>
  <c r="AG234" i="1"/>
  <c r="X226" i="1"/>
  <c r="AG224" i="1"/>
  <c r="U224" i="1" s="1"/>
  <c r="S224" i="1" s="1"/>
  <c r="T216" i="1"/>
  <c r="U216" i="1" s="1"/>
  <c r="S216" i="1" s="1"/>
  <c r="X212" i="1"/>
  <c r="AG210" i="1"/>
  <c r="U210" i="1" s="1"/>
  <c r="S210" i="1" s="1"/>
  <c r="T208" i="1"/>
  <c r="U208" i="1" s="1"/>
  <c r="S208" i="1" s="1"/>
  <c r="X204" i="1"/>
  <c r="T153" i="1"/>
  <c r="U153" i="1" s="1"/>
  <c r="S153" i="1" s="1"/>
  <c r="X142" i="1"/>
  <c r="X138" i="1"/>
  <c r="AG138" i="1"/>
  <c r="AG133" i="1"/>
  <c r="W133" i="1" s="1"/>
  <c r="T133" i="1"/>
  <c r="T127" i="1"/>
  <c r="X127" i="1"/>
  <c r="AG127" i="1"/>
  <c r="AG121" i="1"/>
  <c r="AI121" i="1" s="1"/>
  <c r="X121" i="1"/>
  <c r="T118" i="1"/>
  <c r="X118" i="1"/>
  <c r="AG118" i="1"/>
  <c r="U198" i="1"/>
  <c r="S198" i="1" s="1"/>
  <c r="U194" i="1"/>
  <c r="S194" i="1" s="1"/>
  <c r="AA187" i="1"/>
  <c r="W187" i="1" s="1"/>
  <c r="T187" i="1"/>
  <c r="U187" i="1" s="1"/>
  <c r="S187" i="1" s="1"/>
  <c r="U186" i="1"/>
  <c r="S186" i="1" s="1"/>
  <c r="AA183" i="1"/>
  <c r="T183" i="1"/>
  <c r="U182" i="1"/>
  <c r="S182" i="1" s="1"/>
  <c r="AA179" i="1"/>
  <c r="T179" i="1"/>
  <c r="U178" i="1"/>
  <c r="S178" i="1" s="1"/>
  <c r="AA175" i="1"/>
  <c r="W175" i="1" s="1"/>
  <c r="T175" i="1"/>
  <c r="AA171" i="1"/>
  <c r="W171" i="1" s="1"/>
  <c r="T171" i="1"/>
  <c r="U171" i="1" s="1"/>
  <c r="S171" i="1" s="1"/>
  <c r="X167" i="1"/>
  <c r="AA163" i="1"/>
  <c r="T163" i="1"/>
  <c r="X159" i="1"/>
  <c r="AA246" i="1"/>
  <c r="X241" i="1"/>
  <c r="X239" i="1"/>
  <c r="X236" i="1"/>
  <c r="X235" i="1"/>
  <c r="T233" i="1"/>
  <c r="AA229" i="1"/>
  <c r="T229" i="1"/>
  <c r="U229" i="1" s="1"/>
  <c r="S229" i="1" s="1"/>
  <c r="AG227" i="1"/>
  <c r="AI227" i="1" s="1"/>
  <c r="AA223" i="1"/>
  <c r="AG213" i="1"/>
  <c r="AA209" i="1"/>
  <c r="W209" i="1" s="1"/>
  <c r="AG205" i="1"/>
  <c r="AI205" i="1" s="1"/>
  <c r="AA154" i="1"/>
  <c r="W154" i="1" s="1"/>
  <c r="AG150" i="1"/>
  <c r="W150" i="1" s="1"/>
  <c r="AI149" i="1"/>
  <c r="X125" i="1"/>
  <c r="X122" i="1"/>
  <c r="AI114" i="1"/>
  <c r="T102" i="1"/>
  <c r="AI94" i="1"/>
  <c r="W88" i="1"/>
  <c r="X221" i="1"/>
  <c r="AA219" i="1"/>
  <c r="AA248" i="1"/>
  <c r="X203" i="1"/>
  <c r="AA201" i="1"/>
  <c r="X199" i="1"/>
  <c r="U170" i="1"/>
  <c r="S170" i="1" s="1"/>
  <c r="AA165" i="1"/>
  <c r="AA245" i="1"/>
  <c r="W245" i="1" s="1"/>
  <c r="T245" i="1"/>
  <c r="U245" i="1" s="1"/>
  <c r="S245" i="1" s="1"/>
  <c r="AA243" i="1"/>
  <c r="W243" i="1" s="1"/>
  <c r="T243" i="1"/>
  <c r="AA225" i="1"/>
  <c r="W225" i="1" s="1"/>
  <c r="AA224" i="1"/>
  <c r="AA211" i="1"/>
  <c r="W211" i="1" s="1"/>
  <c r="AA210" i="1"/>
  <c r="AA155" i="1"/>
  <c r="AA147" i="1"/>
  <c r="T142" i="1"/>
  <c r="U142" i="1" s="1"/>
  <c r="S142" i="1" s="1"/>
  <c r="W139" i="1"/>
  <c r="T121" i="1"/>
  <c r="X119" i="1"/>
  <c r="X107" i="1"/>
  <c r="X106" i="1"/>
  <c r="AG106" i="1"/>
  <c r="AI106" i="1" s="1"/>
  <c r="AI88" i="1"/>
  <c r="X134" i="1"/>
  <c r="T110" i="1"/>
  <c r="U110" i="1" s="1"/>
  <c r="S110" i="1" s="1"/>
  <c r="AA108" i="1"/>
  <c r="AA107" i="1"/>
  <c r="X98" i="1"/>
  <c r="AG95" i="1"/>
  <c r="AI95" i="1" s="1"/>
  <c r="X95" i="1"/>
  <c r="W94" i="1"/>
  <c r="X90" i="1"/>
  <c r="T88" i="1"/>
  <c r="U88" i="1" s="1"/>
  <c r="S88" i="1" s="1"/>
  <c r="AA82" i="1"/>
  <c r="AG80" i="1"/>
  <c r="W80" i="1" s="1"/>
  <c r="AG78" i="1"/>
  <c r="X78" i="1"/>
  <c r="X77" i="1"/>
  <c r="AI72" i="1"/>
  <c r="W69" i="1"/>
  <c r="T69" i="1"/>
  <c r="U69" i="1" s="1"/>
  <c r="S69" i="1" s="1"/>
  <c r="AA66" i="1"/>
  <c r="W66" i="1" s="1"/>
  <c r="AG64" i="1"/>
  <c r="W64" i="1" s="1"/>
  <c r="AG62" i="1"/>
  <c r="X62" i="1"/>
  <c r="X61" i="1"/>
  <c r="AA53" i="1"/>
  <c r="W53" i="1" s="1"/>
  <c r="T53" i="1"/>
  <c r="X52" i="1"/>
  <c r="AG47" i="1"/>
  <c r="AI47" i="1" s="1"/>
  <c r="AG42" i="1"/>
  <c r="U42" i="1" s="1"/>
  <c r="S42" i="1" s="1"/>
  <c r="X42" i="1"/>
  <c r="W41" i="1"/>
  <c r="AA40" i="1"/>
  <c r="W40" i="1" s="1"/>
  <c r="AA39" i="1"/>
  <c r="AG33" i="1"/>
  <c r="AG31" i="1"/>
  <c r="U31" i="1" s="1"/>
  <c r="AA29" i="1"/>
  <c r="W29" i="1" s="1"/>
  <c r="T28" i="1"/>
  <c r="U28" i="1" s="1"/>
  <c r="S28" i="1" s="1"/>
  <c r="AA25" i="1"/>
  <c r="T24" i="1"/>
  <c r="AA22" i="1"/>
  <c r="T21" i="1"/>
  <c r="X17" i="1"/>
  <c r="AA144" i="1"/>
  <c r="AA143" i="1"/>
  <c r="W143" i="1" s="1"/>
  <c r="AG135" i="1"/>
  <c r="W135" i="1" s="1"/>
  <c r="AG131" i="1"/>
  <c r="T129" i="1"/>
  <c r="AA126" i="1"/>
  <c r="W126" i="1" s="1"/>
  <c r="T125" i="1"/>
  <c r="U125" i="1" s="1"/>
  <c r="S125" i="1" s="1"/>
  <c r="T114" i="1"/>
  <c r="U114" i="1" s="1"/>
  <c r="S114" i="1" s="1"/>
  <c r="AA112" i="1"/>
  <c r="AG99" i="1"/>
  <c r="U99" i="1" s="1"/>
  <c r="S99" i="1" s="1"/>
  <c r="T94" i="1"/>
  <c r="U94" i="1" s="1"/>
  <c r="S94" i="1" s="1"/>
  <c r="AA92" i="1"/>
  <c r="U84" i="1"/>
  <c r="S84" i="1" s="1"/>
  <c r="AG82" i="1"/>
  <c r="AI82" i="1" s="1"/>
  <c r="X81" i="1"/>
  <c r="AA75" i="1"/>
  <c r="AA73" i="1"/>
  <c r="T73" i="1"/>
  <c r="AA70" i="1"/>
  <c r="W70" i="1" s="1"/>
  <c r="X65" i="1"/>
  <c r="AI60" i="1"/>
  <c r="AA54" i="1"/>
  <c r="U52" i="1"/>
  <c r="S52" i="1" s="1"/>
  <c r="W46" i="1"/>
  <c r="U45" i="1"/>
  <c r="S45" i="1" s="1"/>
  <c r="AI37" i="1"/>
  <c r="AG25" i="1"/>
  <c r="AI25" i="1" s="1"/>
  <c r="T20" i="1"/>
  <c r="U20" i="1" s="1"/>
  <c r="S20" i="1" s="1"/>
  <c r="T16" i="1"/>
  <c r="AA14" i="1"/>
  <c r="W130" i="1"/>
  <c r="AA128" i="1"/>
  <c r="AA127" i="1"/>
  <c r="AA124" i="1"/>
  <c r="AA116" i="1"/>
  <c r="AA96" i="1"/>
  <c r="T90" i="1"/>
  <c r="AA79" i="1"/>
  <c r="AA77" i="1"/>
  <c r="W77" i="1" s="1"/>
  <c r="T77" i="1"/>
  <c r="AA63" i="1"/>
  <c r="AA61" i="1"/>
  <c r="W61" i="1" s="1"/>
  <c r="T61" i="1"/>
  <c r="AA58" i="1"/>
  <c r="W58" i="1" s="1"/>
  <c r="AG54" i="1"/>
  <c r="AI54" i="1" s="1"/>
  <c r="X53" i="1"/>
  <c r="AA48" i="1"/>
  <c r="AA42" i="1"/>
  <c r="AG39" i="1"/>
  <c r="U39" i="1" s="1"/>
  <c r="S39" i="1" s="1"/>
  <c r="AG34" i="1"/>
  <c r="W34" i="1" s="1"/>
  <c r="AA32" i="1"/>
  <c r="W32" i="1" s="1"/>
  <c r="AA31" i="1"/>
  <c r="X28" i="1"/>
  <c r="X24" i="1"/>
  <c r="AG22" i="1"/>
  <c r="AG21" i="1"/>
  <c r="AI21" i="1" s="1"/>
  <c r="AA18" i="1"/>
  <c r="AG16" i="1"/>
  <c r="U98" i="1"/>
  <c r="S98" i="1" s="1"/>
  <c r="U76" i="1"/>
  <c r="S76" i="1" s="1"/>
  <c r="U49" i="1"/>
  <c r="S49" i="1" s="1"/>
  <c r="X20" i="1"/>
  <c r="W17" i="1"/>
  <c r="U167" i="1"/>
  <c r="S167" i="1" s="1"/>
  <c r="AI196" i="1"/>
  <c r="U159" i="1"/>
  <c r="S159" i="1" s="1"/>
  <c r="U241" i="1"/>
  <c r="S241" i="1" s="1"/>
  <c r="U239" i="1"/>
  <c r="S239" i="1" s="1"/>
  <c r="AI186" i="1"/>
  <c r="U235" i="1"/>
  <c r="S235" i="1" s="1"/>
  <c r="AI182" i="1"/>
  <c r="AI244" i="1"/>
  <c r="AI240" i="1"/>
  <c r="U203" i="1"/>
  <c r="S203" i="1" s="1"/>
  <c r="AI236" i="1"/>
  <c r="W195" i="1"/>
  <c r="W191" i="1"/>
  <c r="W183" i="1"/>
  <c r="W179" i="1"/>
  <c r="AI184" i="1"/>
  <c r="U237" i="1"/>
  <c r="S237" i="1" s="1"/>
  <c r="AI232" i="1"/>
  <c r="U195" i="1"/>
  <c r="S195" i="1" s="1"/>
  <c r="AI228" i="1"/>
  <c r="AI220" i="1"/>
  <c r="U183" i="1"/>
  <c r="S183" i="1" s="1"/>
  <c r="AI216" i="1"/>
  <c r="AI212" i="1"/>
  <c r="U175" i="1"/>
  <c r="S175" i="1" s="1"/>
  <c r="AI208" i="1"/>
  <c r="AI200" i="1"/>
  <c r="W167" i="1"/>
  <c r="W159" i="1"/>
  <c r="U243" i="1"/>
  <c r="S243" i="1" s="1"/>
  <c r="AI190" i="1"/>
  <c r="AI249" i="1"/>
  <c r="X220" i="1"/>
  <c r="X249" i="1"/>
  <c r="X202" i="1"/>
  <c r="X198" i="1"/>
  <c r="X194" i="1"/>
  <c r="X190" i="1"/>
  <c r="X186" i="1"/>
  <c r="X182" i="1"/>
  <c r="X178" i="1"/>
  <c r="X174" i="1"/>
  <c r="X170" i="1"/>
  <c r="X166" i="1"/>
  <c r="X162" i="1"/>
  <c r="X233" i="1"/>
  <c r="T232" i="1"/>
  <c r="U232" i="1" s="1"/>
  <c r="S232" i="1" s="1"/>
  <c r="X232" i="1"/>
  <c r="X231" i="1"/>
  <c r="AI137" i="1"/>
  <c r="U196" i="1"/>
  <c r="S196" i="1" s="1"/>
  <c r="U184" i="1"/>
  <c r="S184" i="1" s="1"/>
  <c r="U180" i="1"/>
  <c r="S180" i="1" s="1"/>
  <c r="U176" i="1"/>
  <c r="S176" i="1" s="1"/>
  <c r="U160" i="1"/>
  <c r="S160" i="1" s="1"/>
  <c r="U246" i="1"/>
  <c r="S246" i="1" s="1"/>
  <c r="W229" i="1"/>
  <c r="AI160" i="1"/>
  <c r="AI152" i="1"/>
  <c r="W145" i="1"/>
  <c r="AI141" i="1"/>
  <c r="W129" i="1"/>
  <c r="AI125" i="1"/>
  <c r="X222" i="1"/>
  <c r="AG219" i="1"/>
  <c r="AI219" i="1" s="1"/>
  <c r="X218" i="1"/>
  <c r="AG248" i="1"/>
  <c r="X247" i="1"/>
  <c r="AG201" i="1"/>
  <c r="AI201" i="1" s="1"/>
  <c r="X200" i="1"/>
  <c r="AG197" i="1"/>
  <c r="X196" i="1"/>
  <c r="AG193" i="1"/>
  <c r="AI193" i="1" s="1"/>
  <c r="X192" i="1"/>
  <c r="AG189" i="1"/>
  <c r="X188" i="1"/>
  <c r="AG185" i="1"/>
  <c r="AI185" i="1" s="1"/>
  <c r="X184" i="1"/>
  <c r="AG181" i="1"/>
  <c r="X180" i="1"/>
  <c r="AG177" i="1"/>
  <c r="AI177" i="1" s="1"/>
  <c r="X176" i="1"/>
  <c r="AG173" i="1"/>
  <c r="X172" i="1"/>
  <c r="AG169" i="1"/>
  <c r="AI169" i="1" s="1"/>
  <c r="X168" i="1"/>
  <c r="AG165" i="1"/>
  <c r="AI165" i="1" s="1"/>
  <c r="X164" i="1"/>
  <c r="AG161" i="1"/>
  <c r="AI161" i="1" s="1"/>
  <c r="X160" i="1"/>
  <c r="AG157" i="1"/>
  <c r="X246" i="1"/>
  <c r="X242" i="1"/>
  <c r="X238" i="1"/>
  <c r="X234" i="1"/>
  <c r="U233" i="1"/>
  <c r="S233" i="1" s="1"/>
  <c r="AI176" i="1"/>
  <c r="AI145" i="1"/>
  <c r="U129" i="1"/>
  <c r="S129" i="1" s="1"/>
  <c r="AI129" i="1"/>
  <c r="X219" i="1"/>
  <c r="AI245" i="1"/>
  <c r="X248" i="1"/>
  <c r="AI241" i="1"/>
  <c r="X201" i="1"/>
  <c r="AI237" i="1"/>
  <c r="X197" i="1"/>
  <c r="AI233" i="1"/>
  <c r="X193" i="1"/>
  <c r="AI229" i="1"/>
  <c r="X189" i="1"/>
  <c r="AI225" i="1"/>
  <c r="X185" i="1"/>
  <c r="AI221" i="1"/>
  <c r="X181" i="1"/>
  <c r="AI217" i="1"/>
  <c r="X177" i="1"/>
  <c r="X173" i="1"/>
  <c r="AI209" i="1"/>
  <c r="X169" i="1"/>
  <c r="X165" i="1"/>
  <c r="X161" i="1"/>
  <c r="X157" i="1"/>
  <c r="AI178" i="1"/>
  <c r="U231" i="1"/>
  <c r="S231" i="1" s="1"/>
  <c r="AI172" i="1"/>
  <c r="AI164" i="1"/>
  <c r="AI156" i="1"/>
  <c r="AI148" i="1"/>
  <c r="W137" i="1"/>
  <c r="U133" i="1"/>
  <c r="S133" i="1" s="1"/>
  <c r="AI133" i="1"/>
  <c r="X225" i="1"/>
  <c r="T225" i="1"/>
  <c r="U225" i="1" s="1"/>
  <c r="S225" i="1" s="1"/>
  <c r="AI171" i="1"/>
  <c r="X215" i="1"/>
  <c r="T215" i="1"/>
  <c r="U215" i="1" s="1"/>
  <c r="S215" i="1" s="1"/>
  <c r="AI167" i="1"/>
  <c r="X211" i="1"/>
  <c r="T211" i="1"/>
  <c r="U211" i="1" s="1"/>
  <c r="S211" i="1" s="1"/>
  <c r="X207" i="1"/>
  <c r="T207" i="1"/>
  <c r="U207" i="1" s="1"/>
  <c r="S207" i="1" s="1"/>
  <c r="AI159" i="1"/>
  <c r="S206" i="1"/>
  <c r="X156" i="1"/>
  <c r="T156" i="1"/>
  <c r="U156" i="1" s="1"/>
  <c r="S156" i="1" s="1"/>
  <c r="X152" i="1"/>
  <c r="T152" i="1"/>
  <c r="U152" i="1" s="1"/>
  <c r="S152" i="1" s="1"/>
  <c r="T148" i="1"/>
  <c r="U148" i="1" s="1"/>
  <c r="S148" i="1" s="1"/>
  <c r="T145" i="1"/>
  <c r="U145" i="1" s="1"/>
  <c r="S145" i="1" s="1"/>
  <c r="X141" i="1"/>
  <c r="T141" i="1"/>
  <c r="U141" i="1" s="1"/>
  <c r="S141" i="1" s="1"/>
  <c r="X137" i="1"/>
  <c r="T137" i="1"/>
  <c r="U137" i="1" s="1"/>
  <c r="S137" i="1" s="1"/>
  <c r="X133" i="1"/>
  <c r="U130" i="1"/>
  <c r="S130" i="1" s="1"/>
  <c r="X129" i="1"/>
  <c r="U126" i="1"/>
  <c r="S126" i="1" s="1"/>
  <c r="AA119" i="1"/>
  <c r="AI118" i="1"/>
  <c r="AA115" i="1"/>
  <c r="T112" i="1"/>
  <c r="X112" i="1"/>
  <c r="AG112" i="1"/>
  <c r="W112" i="1" s="1"/>
  <c r="AI107" i="1"/>
  <c r="AA99" i="1"/>
  <c r="T96" i="1"/>
  <c r="X96" i="1"/>
  <c r="AG96" i="1"/>
  <c r="W96" i="1" s="1"/>
  <c r="AI91" i="1"/>
  <c r="U90" i="1"/>
  <c r="S90" i="1" s="1"/>
  <c r="AI90" i="1"/>
  <c r="AI81" i="1"/>
  <c r="U81" i="1"/>
  <c r="S81" i="1" s="1"/>
  <c r="AI65" i="1"/>
  <c r="U227" i="1"/>
  <c r="S227" i="1" s="1"/>
  <c r="U223" i="1"/>
  <c r="S223" i="1" s="1"/>
  <c r="U209" i="1"/>
  <c r="S209" i="1" s="1"/>
  <c r="U205" i="1"/>
  <c r="S205" i="1" s="1"/>
  <c r="U154" i="1"/>
  <c r="S154" i="1" s="1"/>
  <c r="U139" i="1"/>
  <c r="S139" i="1" s="1"/>
  <c r="U135" i="1"/>
  <c r="S135" i="1" s="1"/>
  <c r="T120" i="1"/>
  <c r="X120" i="1"/>
  <c r="T119" i="1"/>
  <c r="T116" i="1"/>
  <c r="X116" i="1"/>
  <c r="AG116" i="1"/>
  <c r="AI111" i="1"/>
  <c r="T100" i="1"/>
  <c r="X100" i="1"/>
  <c r="AG100" i="1"/>
  <c r="T87" i="1"/>
  <c r="X87" i="1"/>
  <c r="AG87" i="1"/>
  <c r="W87" i="1" s="1"/>
  <c r="X88" i="1"/>
  <c r="AA86" i="1"/>
  <c r="W86" i="1" s="1"/>
  <c r="AG155" i="1"/>
  <c r="AG151" i="1"/>
  <c r="W151" i="1" s="1"/>
  <c r="AG147" i="1"/>
  <c r="AG144" i="1"/>
  <c r="AG140" i="1"/>
  <c r="AG136" i="1"/>
  <c r="W136" i="1" s="1"/>
  <c r="AG132" i="1"/>
  <c r="AG128" i="1"/>
  <c r="AG124" i="1"/>
  <c r="T123" i="1"/>
  <c r="AG120" i="1"/>
  <c r="AG119" i="1"/>
  <c r="W107" i="1"/>
  <c r="U107" i="1"/>
  <c r="S107" i="1" s="1"/>
  <c r="T104" i="1"/>
  <c r="X104" i="1"/>
  <c r="AG104" i="1"/>
  <c r="U102" i="1"/>
  <c r="S102" i="1" s="1"/>
  <c r="X228" i="1"/>
  <c r="AI174" i="1"/>
  <c r="X224" i="1"/>
  <c r="X214" i="1"/>
  <c r="AI166" i="1"/>
  <c r="X210" i="1"/>
  <c r="AI162" i="1"/>
  <c r="X206" i="1"/>
  <c r="AI158" i="1"/>
  <c r="X155" i="1"/>
  <c r="AI154" i="1"/>
  <c r="X151" i="1"/>
  <c r="AI150" i="1"/>
  <c r="X144" i="1"/>
  <c r="AI143" i="1"/>
  <c r="X140" i="1"/>
  <c r="AI139" i="1"/>
  <c r="X136" i="1"/>
  <c r="X132" i="1"/>
  <c r="X128" i="1"/>
  <c r="AI127" i="1"/>
  <c r="X124" i="1"/>
  <c r="AG123" i="1"/>
  <c r="W123" i="1" s="1"/>
  <c r="AA111" i="1"/>
  <c r="W111" i="1" s="1"/>
  <c r="U111" i="1"/>
  <c r="S111" i="1" s="1"/>
  <c r="T108" i="1"/>
  <c r="X108" i="1"/>
  <c r="AG108" i="1"/>
  <c r="W108" i="1" s="1"/>
  <c r="AI103" i="1"/>
  <c r="AA95" i="1"/>
  <c r="W95" i="1" s="1"/>
  <c r="T92" i="1"/>
  <c r="X92" i="1"/>
  <c r="AG92" i="1"/>
  <c r="W90" i="1"/>
  <c r="AI86" i="1"/>
  <c r="AI85" i="1"/>
  <c r="W73" i="1"/>
  <c r="AI69" i="1"/>
  <c r="AI53" i="1"/>
  <c r="U53" i="1"/>
  <c r="S53" i="1" s="1"/>
  <c r="AG117" i="1"/>
  <c r="AG113" i="1"/>
  <c r="W113" i="1" s="1"/>
  <c r="AG109" i="1"/>
  <c r="AG105" i="1"/>
  <c r="AG101" i="1"/>
  <c r="AG97" i="1"/>
  <c r="AG93" i="1"/>
  <c r="W93" i="1" s="1"/>
  <c r="AG89" i="1"/>
  <c r="T89" i="1"/>
  <c r="AI73" i="1"/>
  <c r="U73" i="1"/>
  <c r="S73" i="1" s="1"/>
  <c r="AI57" i="1"/>
  <c r="U57" i="1"/>
  <c r="S57" i="1" s="1"/>
  <c r="X117" i="1"/>
  <c r="X113" i="1"/>
  <c r="X109" i="1"/>
  <c r="X105" i="1"/>
  <c r="X101" i="1"/>
  <c r="X97" i="1"/>
  <c r="X93" i="1"/>
  <c r="W81" i="1"/>
  <c r="AI77" i="1"/>
  <c r="U77" i="1"/>
  <c r="S77" i="1" s="1"/>
  <c r="W65" i="1"/>
  <c r="AI61" i="1"/>
  <c r="U61" i="1"/>
  <c r="S61" i="1" s="1"/>
  <c r="X84" i="1"/>
  <c r="X80" i="1"/>
  <c r="X76" i="1"/>
  <c r="X72" i="1"/>
  <c r="X68" i="1"/>
  <c r="X64" i="1"/>
  <c r="X60" i="1"/>
  <c r="X56" i="1"/>
  <c r="AA50" i="1"/>
  <c r="W50" i="1" s="1"/>
  <c r="AG48" i="1"/>
  <c r="T48" i="1"/>
  <c r="X48" i="1"/>
  <c r="AG44" i="1"/>
  <c r="W44" i="1" s="1"/>
  <c r="X45" i="1"/>
  <c r="T44" i="1"/>
  <c r="X44" i="1"/>
  <c r="AI28" i="1"/>
  <c r="U24" i="1"/>
  <c r="S24" i="1" s="1"/>
  <c r="AI24" i="1"/>
  <c r="U82" i="1"/>
  <c r="S82" i="1" s="1"/>
  <c r="U78" i="1"/>
  <c r="S78" i="1" s="1"/>
  <c r="U66" i="1"/>
  <c r="S66" i="1" s="1"/>
  <c r="U62" i="1"/>
  <c r="S62" i="1" s="1"/>
  <c r="U58" i="1"/>
  <c r="S58" i="1" s="1"/>
  <c r="T51" i="1"/>
  <c r="X51" i="1"/>
  <c r="AI40" i="1"/>
  <c r="W36" i="1"/>
  <c r="AI20" i="1"/>
  <c r="AG83" i="1"/>
  <c r="AG79" i="1"/>
  <c r="AG75" i="1"/>
  <c r="W75" i="1" s="1"/>
  <c r="AG71" i="1"/>
  <c r="AG67" i="1"/>
  <c r="W67" i="1" s="1"/>
  <c r="AG63" i="1"/>
  <c r="AG59" i="1"/>
  <c r="AG55" i="1"/>
  <c r="W55" i="1" s="1"/>
  <c r="AG51" i="1"/>
  <c r="W51" i="1" s="1"/>
  <c r="AI50" i="1"/>
  <c r="AI36" i="1"/>
  <c r="X83" i="1"/>
  <c r="X79" i="1"/>
  <c r="AI78" i="1"/>
  <c r="X75" i="1"/>
  <c r="X71" i="1"/>
  <c r="AI70" i="1"/>
  <c r="X67" i="1"/>
  <c r="AI66" i="1"/>
  <c r="X63" i="1"/>
  <c r="AI62" i="1"/>
  <c r="X59" i="1"/>
  <c r="AI58" i="1"/>
  <c r="X55" i="1"/>
  <c r="AA47" i="1"/>
  <c r="W47" i="1" s="1"/>
  <c r="AI32" i="1"/>
  <c r="W28" i="1"/>
  <c r="W24" i="1"/>
  <c r="X40" i="1"/>
  <c r="T40" i="1"/>
  <c r="U40" i="1" s="1"/>
  <c r="S40" i="1" s="1"/>
  <c r="AI39" i="1"/>
  <c r="X36" i="1"/>
  <c r="T36" i="1"/>
  <c r="U36" i="1" s="1"/>
  <c r="S36" i="1" s="1"/>
  <c r="AI35" i="1"/>
  <c r="X32" i="1"/>
  <c r="T32" i="1"/>
  <c r="U32" i="1" s="1"/>
  <c r="S32" i="1" s="1"/>
  <c r="AI31" i="1"/>
  <c r="S31" i="1"/>
  <c r="U29" i="1"/>
  <c r="S29" i="1" s="1"/>
  <c r="U17" i="1"/>
  <c r="S17" i="1" s="1"/>
  <c r="U46" i="1"/>
  <c r="S46" i="1" s="1"/>
  <c r="X41" i="1"/>
  <c r="U38" i="1"/>
  <c r="S38" i="1" s="1"/>
  <c r="X37" i="1"/>
  <c r="X33" i="1"/>
  <c r="U30" i="1"/>
  <c r="S30" i="1" s="1"/>
  <c r="U26" i="1"/>
  <c r="S26" i="1" s="1"/>
  <c r="U22" i="1"/>
  <c r="S22" i="1" s="1"/>
  <c r="AG14" i="1"/>
  <c r="W14" i="1" s="1"/>
  <c r="AG27" i="1"/>
  <c r="W27" i="1" s="1"/>
  <c r="AG23" i="1"/>
  <c r="W23" i="1" s="1"/>
  <c r="X22" i="1"/>
  <c r="AG19" i="1"/>
  <c r="W19" i="1" s="1"/>
  <c r="X18" i="1"/>
  <c r="AG15" i="1"/>
  <c r="X47" i="1"/>
  <c r="AI46" i="1"/>
  <c r="X43" i="1"/>
  <c r="X39" i="1"/>
  <c r="AI38" i="1"/>
  <c r="X35" i="1"/>
  <c r="X31" i="1"/>
  <c r="AI30" i="1"/>
  <c r="X27" i="1"/>
  <c r="X23" i="1"/>
  <c r="AI22" i="1"/>
  <c r="X19" i="1"/>
  <c r="X15" i="1"/>
  <c r="AD30" i="3"/>
  <c r="AD24" i="3"/>
  <c r="T38" i="3"/>
  <c r="AD42" i="3"/>
  <c r="T18" i="3"/>
  <c r="Y11" i="3"/>
  <c r="Y41" i="3"/>
  <c r="AD33" i="3"/>
  <c r="AC24" i="3"/>
  <c r="AE24" i="3"/>
  <c r="Y40" i="3"/>
  <c r="Y14" i="3"/>
  <c r="AD16" i="3"/>
  <c r="AD9" i="3"/>
  <c r="AC42" i="3"/>
  <c r="AD29" i="3"/>
  <c r="AE29" i="3"/>
  <c r="T9" i="3"/>
  <c r="Y42" i="3"/>
  <c r="AD37" i="3"/>
  <c r="AE37" i="3"/>
  <c r="Y29" i="3"/>
  <c r="Y9" i="3"/>
  <c r="Y16" i="3"/>
  <c r="T40" i="3"/>
  <c r="AE16" i="3"/>
  <c r="Y7" i="3"/>
  <c r="AD8" i="3"/>
  <c r="AD41" i="3"/>
  <c r="AE41" i="3"/>
  <c r="Y33" i="3"/>
  <c r="AE36" i="3"/>
  <c r="AC20" i="3"/>
  <c r="T31" i="3"/>
  <c r="Y38" i="3"/>
  <c r="T37" i="3"/>
  <c r="T27" i="3"/>
  <c r="AE20" i="3"/>
  <c r="Y15" i="3"/>
  <c r="AE15" i="3"/>
  <c r="AD13" i="3"/>
  <c r="T13" i="3"/>
  <c r="Y31" i="3"/>
  <c r="Y37" i="3"/>
  <c r="Y17" i="3"/>
  <c r="Y13" i="3"/>
  <c r="T41" i="3"/>
  <c r="AE33" i="3"/>
  <c r="AE28" i="3"/>
  <c r="AC28" i="3"/>
  <c r="AE23" i="3"/>
  <c r="AD21" i="3"/>
  <c r="T16" i="3"/>
  <c r="T7" i="3"/>
  <c r="AE12" i="3"/>
  <c r="AE35" i="3"/>
  <c r="T35" i="3"/>
  <c r="AE31" i="3"/>
  <c r="T34" i="3"/>
  <c r="AE27" i="3"/>
  <c r="AE42" i="3"/>
  <c r="T23" i="3"/>
  <c r="AD39" i="3"/>
  <c r="AE38" i="3"/>
  <c r="T11" i="3"/>
  <c r="AD35" i="3"/>
  <c r="AE34" i="3"/>
  <c r="T20" i="3"/>
  <c r="AD31" i="3"/>
  <c r="AE30" i="3"/>
  <c r="T24" i="3"/>
  <c r="AD27" i="3"/>
  <c r="AE26" i="3"/>
  <c r="T28" i="3"/>
  <c r="AD23" i="3"/>
  <c r="AE22" i="3"/>
  <c r="T19" i="3"/>
  <c r="AD19" i="3"/>
  <c r="AE18" i="3"/>
  <c r="T22" i="3"/>
  <c r="AD15" i="3"/>
  <c r="AE14" i="3"/>
  <c r="T10" i="3"/>
  <c r="AD11" i="3"/>
  <c r="AE10" i="3"/>
  <c r="T36" i="3"/>
  <c r="AC39" i="3"/>
  <c r="Y23" i="3"/>
  <c r="AE39" i="3"/>
  <c r="T30" i="3"/>
  <c r="T29" i="3"/>
  <c r="AD22" i="3"/>
  <c r="AE21" i="3"/>
  <c r="AD18" i="3"/>
  <c r="AE17" i="3"/>
  <c r="AD14" i="3"/>
  <c r="AE13" i="3"/>
  <c r="AD10" i="3"/>
  <c r="AE9" i="3"/>
  <c r="AE8" i="3"/>
  <c r="M25" i="3"/>
  <c r="R25" i="3"/>
  <c r="S25" i="3"/>
  <c r="U25" i="3"/>
  <c r="T25" i="3" s="1"/>
  <c r="V25" i="3"/>
  <c r="W25" i="3"/>
  <c r="X25" i="3"/>
  <c r="AC25" i="3"/>
  <c r="U228" i="1" l="1"/>
  <c r="S228" i="1" s="1"/>
  <c r="U74" i="1"/>
  <c r="S74" i="1" s="1"/>
  <c r="U21" i="1"/>
  <c r="S21" i="1" s="1"/>
  <c r="W234" i="1"/>
  <c r="W213" i="1"/>
  <c r="W35" i="1"/>
  <c r="W127" i="1"/>
  <c r="W222" i="1"/>
  <c r="W99" i="1"/>
  <c r="W131" i="1"/>
  <c r="U127" i="1"/>
  <c r="S127" i="1" s="1"/>
  <c r="W43" i="1"/>
  <c r="W212" i="1"/>
  <c r="W206" i="1"/>
  <c r="U244" i="1"/>
  <c r="S244" i="1" s="1"/>
  <c r="U164" i="1"/>
  <c r="S164" i="1" s="1"/>
  <c r="U174" i="1"/>
  <c r="S174" i="1" s="1"/>
  <c r="U103" i="1"/>
  <c r="S103" i="1" s="1"/>
  <c r="U35" i="1"/>
  <c r="S35" i="1" s="1"/>
  <c r="U179" i="1"/>
  <c r="S179" i="1" s="1"/>
  <c r="W78" i="1"/>
  <c r="U86" i="1"/>
  <c r="S86" i="1" s="1"/>
  <c r="U242" i="1"/>
  <c r="S242" i="1" s="1"/>
  <c r="U163" i="1"/>
  <c r="S163" i="1" s="1"/>
  <c r="W115" i="1"/>
  <c r="U200" i="1"/>
  <c r="S200" i="1" s="1"/>
  <c r="W18" i="1"/>
  <c r="U18" i="1"/>
  <c r="S18" i="1" s="1"/>
  <c r="AI74" i="1"/>
  <c r="U47" i="1"/>
  <c r="S47" i="1" s="1"/>
  <c r="U43" i="1"/>
  <c r="S43" i="1" s="1"/>
  <c r="U54" i="1"/>
  <c r="S54" i="1" s="1"/>
  <c r="U91" i="1"/>
  <c r="S91" i="1" s="1"/>
  <c r="W155" i="1"/>
  <c r="AI213" i="1"/>
  <c r="U234" i="1"/>
  <c r="S234" i="1" s="1"/>
  <c r="U247" i="1"/>
  <c r="S247" i="1" s="1"/>
  <c r="AI224" i="1"/>
  <c r="W42" i="1"/>
  <c r="W26" i="1"/>
  <c r="W102" i="1"/>
  <c r="U146" i="1"/>
  <c r="S146" i="1" s="1"/>
  <c r="W242" i="1"/>
  <c r="W223" i="1"/>
  <c r="W214" i="1"/>
  <c r="W228" i="1"/>
  <c r="W244" i="1"/>
  <c r="U230" i="1"/>
  <c r="S230" i="1" s="1"/>
  <c r="AI135" i="1"/>
  <c r="W116" i="1"/>
  <c r="AI163" i="1"/>
  <c r="U218" i="1"/>
  <c r="S218" i="1" s="1"/>
  <c r="W163" i="1"/>
  <c r="U122" i="1"/>
  <c r="S122" i="1" s="1"/>
  <c r="W210" i="1"/>
  <c r="AI34" i="1"/>
  <c r="AI42" i="1"/>
  <c r="U34" i="1"/>
  <c r="S34" i="1" s="1"/>
  <c r="AI99" i="1"/>
  <c r="U150" i="1"/>
  <c r="S150" i="1" s="1"/>
  <c r="U213" i="1"/>
  <c r="S213" i="1" s="1"/>
  <c r="U192" i="1"/>
  <c r="S192" i="1" s="1"/>
  <c r="U68" i="1"/>
  <c r="S68" i="1" s="1"/>
  <c r="U121" i="1"/>
  <c r="S121" i="1" s="1"/>
  <c r="W224" i="1"/>
  <c r="W246" i="1"/>
  <c r="U240" i="1"/>
  <c r="S240" i="1" s="1"/>
  <c r="W172" i="1"/>
  <c r="U226" i="1"/>
  <c r="S226" i="1" s="1"/>
  <c r="W170" i="1"/>
  <c r="U50" i="1"/>
  <c r="S50" i="1" s="1"/>
  <c r="W60" i="1"/>
  <c r="W160" i="1"/>
  <c r="W72" i="1"/>
  <c r="W68" i="1"/>
  <c r="W103" i="1"/>
  <c r="W248" i="1"/>
  <c r="AI168" i="1"/>
  <c r="U238" i="1"/>
  <c r="S238" i="1" s="1"/>
  <c r="W31" i="1"/>
  <c r="W188" i="1"/>
  <c r="U204" i="1"/>
  <c r="S204" i="1" s="1"/>
  <c r="W38" i="1"/>
  <c r="W84" i="1"/>
  <c r="U25" i="1"/>
  <c r="S25" i="1" s="1"/>
  <c r="W83" i="1"/>
  <c r="U168" i="1"/>
  <c r="S168" i="1" s="1"/>
  <c r="W22" i="1"/>
  <c r="U118" i="1"/>
  <c r="S118" i="1" s="1"/>
  <c r="U115" i="1"/>
  <c r="S115" i="1" s="1"/>
  <c r="W122" i="1"/>
  <c r="U95" i="1"/>
  <c r="S95" i="1" s="1"/>
  <c r="U106" i="1"/>
  <c r="S106" i="1" s="1"/>
  <c r="AI131" i="1"/>
  <c r="U131" i="1"/>
  <c r="S131" i="1" s="1"/>
  <c r="U188" i="1"/>
  <c r="S188" i="1" s="1"/>
  <c r="W82" i="1"/>
  <c r="U236" i="1"/>
  <c r="S236" i="1" s="1"/>
  <c r="W204" i="1"/>
  <c r="W119" i="1"/>
  <c r="W54" i="1"/>
  <c r="W118" i="1"/>
  <c r="U138" i="1"/>
  <c r="S138" i="1" s="1"/>
  <c r="AI138" i="1"/>
  <c r="W121" i="1"/>
  <c r="W138" i="1"/>
  <c r="W227" i="1"/>
  <c r="W247" i="1"/>
  <c r="W240" i="1"/>
  <c r="W157" i="1"/>
  <c r="AI157" i="1"/>
  <c r="W173" i="1"/>
  <c r="AI173" i="1"/>
  <c r="W181" i="1"/>
  <c r="AI181" i="1"/>
  <c r="W189" i="1"/>
  <c r="AI189" i="1"/>
  <c r="W197" i="1"/>
  <c r="AI197" i="1"/>
  <c r="U16" i="1"/>
  <c r="S16" i="1" s="1"/>
  <c r="AI16" i="1"/>
  <c r="W39" i="1"/>
  <c r="W205" i="1"/>
  <c r="W249" i="1"/>
  <c r="W202" i="1"/>
  <c r="W21" i="1"/>
  <c r="U64" i="1"/>
  <c r="S64" i="1" s="1"/>
  <c r="AI64" i="1"/>
  <c r="U80" i="1"/>
  <c r="S80" i="1" s="1"/>
  <c r="AI80" i="1"/>
  <c r="W106" i="1"/>
  <c r="W158" i="1"/>
  <c r="W220" i="1"/>
  <c r="AI248" i="1"/>
  <c r="W25" i="1"/>
  <c r="U33" i="1"/>
  <c r="S33" i="1" s="1"/>
  <c r="AI33" i="1"/>
  <c r="W33" i="1"/>
  <c r="W16" i="1"/>
  <c r="W166" i="1"/>
  <c r="W236" i="1"/>
  <c r="AI100" i="1"/>
  <c r="U100" i="1"/>
  <c r="S100" i="1" s="1"/>
  <c r="AI112" i="1"/>
  <c r="U112" i="1"/>
  <c r="S112" i="1" s="1"/>
  <c r="U63" i="1"/>
  <c r="S63" i="1" s="1"/>
  <c r="AI63" i="1"/>
  <c r="U79" i="1"/>
  <c r="S79" i="1" s="1"/>
  <c r="AI79" i="1"/>
  <c r="U89" i="1"/>
  <c r="S89" i="1" s="1"/>
  <c r="AI89" i="1"/>
  <c r="W89" i="1"/>
  <c r="U105" i="1"/>
  <c r="S105" i="1" s="1"/>
  <c r="W105" i="1"/>
  <c r="AI105" i="1"/>
  <c r="AI119" i="1"/>
  <c r="U119" i="1"/>
  <c r="S119" i="1" s="1"/>
  <c r="U128" i="1"/>
  <c r="S128" i="1" s="1"/>
  <c r="AI128" i="1"/>
  <c r="U144" i="1"/>
  <c r="S144" i="1" s="1"/>
  <c r="AI144" i="1"/>
  <c r="U15" i="1"/>
  <c r="S15" i="1" s="1"/>
  <c r="AI15" i="1"/>
  <c r="U23" i="1"/>
  <c r="S23" i="1" s="1"/>
  <c r="AI23" i="1"/>
  <c r="U51" i="1"/>
  <c r="S51" i="1" s="1"/>
  <c r="AI51" i="1"/>
  <c r="U67" i="1"/>
  <c r="S67" i="1" s="1"/>
  <c r="AI67" i="1"/>
  <c r="U83" i="1"/>
  <c r="S83" i="1" s="1"/>
  <c r="AI83" i="1"/>
  <c r="W63" i="1"/>
  <c r="U93" i="1"/>
  <c r="S93" i="1" s="1"/>
  <c r="AI93" i="1"/>
  <c r="U109" i="1"/>
  <c r="S109" i="1" s="1"/>
  <c r="AI109" i="1"/>
  <c r="U120" i="1"/>
  <c r="S120" i="1" s="1"/>
  <c r="AI120" i="1"/>
  <c r="U132" i="1"/>
  <c r="S132" i="1" s="1"/>
  <c r="AI132" i="1"/>
  <c r="U147" i="1"/>
  <c r="S147" i="1" s="1"/>
  <c r="AI147" i="1"/>
  <c r="AI96" i="1"/>
  <c r="U96" i="1"/>
  <c r="S96" i="1" s="1"/>
  <c r="W100" i="1"/>
  <c r="W132" i="1"/>
  <c r="W128" i="1"/>
  <c r="W147" i="1"/>
  <c r="U161" i="1"/>
  <c r="S161" i="1" s="1"/>
  <c r="AI198" i="1"/>
  <c r="U169" i="1"/>
  <c r="S169" i="1" s="1"/>
  <c r="AI206" i="1"/>
  <c r="U177" i="1"/>
  <c r="S177" i="1" s="1"/>
  <c r="AI214" i="1"/>
  <c r="U185" i="1"/>
  <c r="S185" i="1" s="1"/>
  <c r="AI222" i="1"/>
  <c r="U193" i="1"/>
  <c r="S193" i="1" s="1"/>
  <c r="AI230" i="1"/>
  <c r="U201" i="1"/>
  <c r="S201" i="1" s="1"/>
  <c r="AI238" i="1"/>
  <c r="U219" i="1"/>
  <c r="S219" i="1" s="1"/>
  <c r="AI246" i="1"/>
  <c r="W109" i="1"/>
  <c r="W185" i="1"/>
  <c r="W201" i="1"/>
  <c r="U48" i="1"/>
  <c r="S48" i="1" s="1"/>
  <c r="AI48" i="1"/>
  <c r="U97" i="1"/>
  <c r="S97" i="1" s="1"/>
  <c r="AI97" i="1"/>
  <c r="AI92" i="1"/>
  <c r="U92" i="1"/>
  <c r="S92" i="1" s="1"/>
  <c r="AI123" i="1"/>
  <c r="U123" i="1"/>
  <c r="S123" i="1" s="1"/>
  <c r="U136" i="1"/>
  <c r="S136" i="1" s="1"/>
  <c r="AI136" i="1"/>
  <c r="U151" i="1"/>
  <c r="S151" i="1" s="1"/>
  <c r="AI151" i="1"/>
  <c r="AI116" i="1"/>
  <c r="U116" i="1"/>
  <c r="S116" i="1" s="1"/>
  <c r="W120" i="1"/>
  <c r="U27" i="1"/>
  <c r="S27" i="1" s="1"/>
  <c r="AI27" i="1"/>
  <c r="U55" i="1"/>
  <c r="S55" i="1" s="1"/>
  <c r="AI55" i="1"/>
  <c r="U71" i="1"/>
  <c r="S71" i="1" s="1"/>
  <c r="AI71" i="1"/>
  <c r="W79" i="1"/>
  <c r="U113" i="1"/>
  <c r="S113" i="1" s="1"/>
  <c r="AI113" i="1"/>
  <c r="W97" i="1"/>
  <c r="U19" i="1"/>
  <c r="S19" i="1" s="1"/>
  <c r="AI19" i="1"/>
  <c r="AI14" i="1"/>
  <c r="U14" i="1"/>
  <c r="S14" i="1" s="1"/>
  <c r="W48" i="1"/>
  <c r="U59" i="1"/>
  <c r="S59" i="1" s="1"/>
  <c r="AI59" i="1"/>
  <c r="U75" i="1"/>
  <c r="S75" i="1" s="1"/>
  <c r="AI75" i="1"/>
  <c r="W15" i="1"/>
  <c r="U44" i="1"/>
  <c r="S44" i="1" s="1"/>
  <c r="AI44" i="1"/>
  <c r="U101" i="1"/>
  <c r="S101" i="1" s="1"/>
  <c r="AI101" i="1"/>
  <c r="W101" i="1"/>
  <c r="U117" i="1"/>
  <c r="S117" i="1" s="1"/>
  <c r="AI117" i="1"/>
  <c r="W117" i="1"/>
  <c r="W59" i="1"/>
  <c r="AI108" i="1"/>
  <c r="U108" i="1"/>
  <c r="S108" i="1" s="1"/>
  <c r="W92" i="1"/>
  <c r="AI104" i="1"/>
  <c r="U104" i="1"/>
  <c r="S104" i="1" s="1"/>
  <c r="U124" i="1"/>
  <c r="S124" i="1" s="1"/>
  <c r="AI124" i="1"/>
  <c r="U140" i="1"/>
  <c r="S140" i="1" s="1"/>
  <c r="AI140" i="1"/>
  <c r="U155" i="1"/>
  <c r="S155" i="1" s="1"/>
  <c r="AI155" i="1"/>
  <c r="U87" i="1"/>
  <c r="S87" i="1" s="1"/>
  <c r="AI87" i="1"/>
  <c r="W104" i="1"/>
  <c r="W71" i="1"/>
  <c r="W124" i="1"/>
  <c r="U157" i="1"/>
  <c r="S157" i="1" s="1"/>
  <c r="AI194" i="1"/>
  <c r="U165" i="1"/>
  <c r="S165" i="1" s="1"/>
  <c r="AI202" i="1"/>
  <c r="U173" i="1"/>
  <c r="S173" i="1" s="1"/>
  <c r="AI210" i="1"/>
  <c r="U181" i="1"/>
  <c r="S181" i="1" s="1"/>
  <c r="AI218" i="1"/>
  <c r="U189" i="1"/>
  <c r="S189" i="1" s="1"/>
  <c r="AI226" i="1"/>
  <c r="U197" i="1"/>
  <c r="S197" i="1" s="1"/>
  <c r="AI234" i="1"/>
  <c r="U248" i="1"/>
  <c r="S248" i="1" s="1"/>
  <c r="AI242" i="1"/>
  <c r="W144" i="1"/>
  <c r="W140" i="1"/>
  <c r="W177" i="1"/>
  <c r="W193" i="1"/>
  <c r="W165" i="1"/>
  <c r="W219" i="1"/>
  <c r="W161" i="1"/>
  <c r="W169" i="1"/>
  <c r="AE25" i="3"/>
  <c r="AD25" i="3"/>
  <c r="Y25" i="3"/>
  <c r="B6" i="6" l="1"/>
  <c r="J6" i="6" s="1"/>
  <c r="B7" i="6" l="1"/>
  <c r="F6" i="6"/>
  <c r="I6" i="6"/>
  <c r="G6" i="6"/>
  <c r="G7" i="6" l="1"/>
  <c r="I7" i="6"/>
  <c r="J7" i="6"/>
  <c r="F7" i="6"/>
  <c r="B8" i="6"/>
  <c r="F8" i="6" l="1"/>
  <c r="G8" i="6"/>
  <c r="I8" i="6"/>
  <c r="J8" i="6"/>
  <c r="B9" i="6"/>
  <c r="O2" i="3"/>
  <c r="G9" i="6" l="1"/>
  <c r="I9" i="6"/>
  <c r="J9" i="6"/>
  <c r="F9" i="6"/>
  <c r="B10" i="6"/>
  <c r="M28" i="5"/>
  <c r="B11" i="6" l="1"/>
  <c r="F10" i="6"/>
  <c r="I10" i="6"/>
  <c r="G10" i="6"/>
  <c r="J10" i="6"/>
  <c r="M23" i="5"/>
  <c r="B12" i="6" l="1"/>
  <c r="G11" i="6"/>
  <c r="I11" i="6"/>
  <c r="J11" i="6"/>
  <c r="F11" i="6"/>
  <c r="AD7" i="3"/>
  <c r="AN13" i="1"/>
  <c r="F12" i="6" l="1"/>
  <c r="I12" i="6"/>
  <c r="G12" i="6"/>
  <c r="J12" i="6"/>
  <c r="B13" i="6"/>
  <c r="AE7" i="3"/>
  <c r="G13" i="6" l="1"/>
  <c r="I13" i="6"/>
  <c r="F13" i="6"/>
  <c r="J13" i="6"/>
  <c r="B14" i="6"/>
  <c r="K13" i="1"/>
  <c r="M13" i="1"/>
  <c r="N13" i="1" s="1"/>
  <c r="Y13" i="1"/>
  <c r="Z13" i="1"/>
  <c r="AB13" i="1"/>
  <c r="AC13" i="1"/>
  <c r="AD13" i="1"/>
  <c r="X14" i="1" s="1"/>
  <c r="AE13" i="1"/>
  <c r="AM13" i="1"/>
  <c r="F14" i="6" l="1"/>
  <c r="I14" i="6"/>
  <c r="G14" i="6"/>
  <c r="J14" i="6"/>
  <c r="B15" i="6"/>
  <c r="AG13" i="1"/>
  <c r="AI13" i="1" s="1"/>
  <c r="X13" i="1"/>
  <c r="AA13" i="1"/>
  <c r="T13" i="1"/>
  <c r="G15" i="6" l="1"/>
  <c r="I15" i="6"/>
  <c r="J15" i="6"/>
  <c r="F15" i="6"/>
  <c r="B16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7" i="6" l="1"/>
  <c r="F16" i="6"/>
  <c r="G16" i="6"/>
  <c r="I16" i="6"/>
  <c r="J16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7" i="6" l="1"/>
  <c r="I17" i="6"/>
  <c r="J17" i="6"/>
  <c r="F17" i="6"/>
  <c r="B18" i="6"/>
  <c r="B87" i="9"/>
  <c r="B88" i="9"/>
  <c r="B89" i="9"/>
  <c r="B90" i="9"/>
  <c r="B91" i="9"/>
  <c r="B92" i="9"/>
  <c r="B19" i="6" l="1"/>
  <c r="F18" i="6"/>
  <c r="G18" i="6"/>
  <c r="I18" i="6"/>
  <c r="J18" i="6"/>
  <c r="C88" i="9"/>
  <c r="C92" i="9"/>
  <c r="C93" i="9"/>
  <c r="C90" i="9"/>
  <c r="C89" i="9"/>
  <c r="C91" i="9"/>
  <c r="B20" i="6" l="1"/>
  <c r="G19" i="6"/>
  <c r="I19" i="6"/>
  <c r="J19" i="6"/>
  <c r="F19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0" i="6" l="1"/>
  <c r="G20" i="6"/>
  <c r="I20" i="6"/>
  <c r="J20" i="6"/>
  <c r="B21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1" i="6" l="1"/>
  <c r="F21" i="6"/>
  <c r="G21" i="6"/>
  <c r="J21" i="6"/>
  <c r="B22" i="6"/>
  <c r="B55" i="9"/>
  <c r="B56" i="9"/>
  <c r="B57" i="9"/>
  <c r="B58" i="9"/>
  <c r="B59" i="9"/>
  <c r="B60" i="9"/>
  <c r="B61" i="9"/>
  <c r="B62" i="9"/>
  <c r="C63" i="9" s="1"/>
  <c r="F22" i="6" l="1"/>
  <c r="I22" i="6"/>
  <c r="G22" i="6"/>
  <c r="J22" i="6"/>
  <c r="B23" i="6"/>
  <c r="C61" i="9"/>
  <c r="C57" i="9"/>
  <c r="C59" i="9"/>
  <c r="C62" i="9"/>
  <c r="C60" i="9"/>
  <c r="C58" i="9"/>
  <c r="C56" i="9"/>
  <c r="G23" i="6" l="1"/>
  <c r="I23" i="6"/>
  <c r="J23" i="6"/>
  <c r="F23" i="6"/>
  <c r="B24" i="6"/>
  <c r="B50" i="9"/>
  <c r="B51" i="9"/>
  <c r="B52" i="9"/>
  <c r="B53" i="9"/>
  <c r="B54" i="9"/>
  <c r="F24" i="6" l="1"/>
  <c r="G24" i="6"/>
  <c r="I24" i="6"/>
  <c r="J24" i="6"/>
  <c r="B25" i="6"/>
  <c r="C52" i="9"/>
  <c r="C54" i="9"/>
  <c r="C55" i="9"/>
  <c r="C53" i="9"/>
  <c r="C51" i="9"/>
  <c r="G25" i="6" l="1"/>
  <c r="I25" i="6"/>
  <c r="J25" i="6"/>
  <c r="F25" i="6"/>
  <c r="B2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7" i="6" l="1"/>
  <c r="F26" i="6"/>
  <c r="G26" i="6"/>
  <c r="I26" i="6"/>
  <c r="J2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7" i="6" l="1"/>
  <c r="I27" i="6"/>
  <c r="J27" i="6"/>
  <c r="F27" i="6"/>
  <c r="B28" i="6"/>
  <c r="V13" i="1"/>
  <c r="B31" i="9"/>
  <c r="B32" i="9"/>
  <c r="C33" i="9" s="1"/>
  <c r="F28" i="6" l="1"/>
  <c r="G28" i="6"/>
  <c r="I28" i="6"/>
  <c r="J28" i="6"/>
  <c r="B29" i="6"/>
  <c r="C32" i="9"/>
  <c r="G29" i="6" l="1"/>
  <c r="I29" i="6"/>
  <c r="F29" i="6"/>
  <c r="H29" i="6"/>
  <c r="J29" i="6"/>
  <c r="B30" i="6"/>
  <c r="G3" i="4"/>
  <c r="G4" i="4"/>
  <c r="G5" i="4"/>
  <c r="G6" i="4"/>
  <c r="G7" i="4"/>
  <c r="G8" i="4"/>
  <c r="G9" i="4"/>
  <c r="G10" i="4"/>
  <c r="G11" i="4"/>
  <c r="G12" i="4"/>
  <c r="G13" i="4"/>
  <c r="N26" i="3" s="1"/>
  <c r="G14" i="4"/>
  <c r="G15" i="4"/>
  <c r="G16" i="4"/>
  <c r="G17" i="4"/>
  <c r="G18" i="4"/>
  <c r="N39" i="3" s="1"/>
  <c r="G19" i="4"/>
  <c r="G20" i="4"/>
  <c r="G21" i="4"/>
  <c r="N36" i="3" s="1"/>
  <c r="G22" i="4"/>
  <c r="G23" i="4"/>
  <c r="G24" i="4"/>
  <c r="G25" i="4"/>
  <c r="G26" i="4"/>
  <c r="G27" i="4"/>
  <c r="G28" i="4"/>
  <c r="G29" i="4"/>
  <c r="N12" i="3" s="1"/>
  <c r="G30" i="4"/>
  <c r="N13" i="3" s="1"/>
  <c r="G31" i="4"/>
  <c r="G32" i="4"/>
  <c r="G33" i="4"/>
  <c r="G34" i="4"/>
  <c r="G35" i="4"/>
  <c r="G36" i="4"/>
  <c r="G37" i="4"/>
  <c r="G38" i="4"/>
  <c r="G39" i="4"/>
  <c r="G40" i="4"/>
  <c r="G41" i="4"/>
  <c r="G42" i="4"/>
  <c r="N32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10" i="3" s="1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7" i="3" s="1"/>
  <c r="G73" i="4"/>
  <c r="G74" i="4"/>
  <c r="G75" i="4"/>
  <c r="G76" i="4"/>
  <c r="G77" i="4"/>
  <c r="G78" i="4"/>
  <c r="G79" i="4"/>
  <c r="G80" i="4"/>
  <c r="G81" i="4"/>
  <c r="G82" i="4"/>
  <c r="N15" i="3" s="1"/>
  <c r="G83" i="4"/>
  <c r="G84" i="4"/>
  <c r="N22" i="3" s="1"/>
  <c r="G85" i="4"/>
  <c r="G86" i="4"/>
  <c r="H7" i="6" s="1"/>
  <c r="G87" i="4"/>
  <c r="N14" i="3" s="1"/>
  <c r="G88" i="4"/>
  <c r="N16" i="3" s="1"/>
  <c r="G89" i="4"/>
  <c r="G90" i="4"/>
  <c r="G91" i="4"/>
  <c r="G92" i="4"/>
  <c r="G93" i="4"/>
  <c r="N40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H10" i="6" s="1"/>
  <c r="G111" i="4"/>
  <c r="G112" i="4"/>
  <c r="G113" i="4"/>
  <c r="G114" i="4"/>
  <c r="H11" i="6" s="1"/>
  <c r="G115" i="4"/>
  <c r="G116" i="4"/>
  <c r="H12" i="6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H20" i="6" s="1"/>
  <c r="G129" i="4"/>
  <c r="G130" i="4"/>
  <c r="G131" i="4"/>
  <c r="G132" i="4"/>
  <c r="N8" i="3" s="1"/>
  <c r="G133" i="4"/>
  <c r="G134" i="4"/>
  <c r="G135" i="4"/>
  <c r="G136" i="4"/>
  <c r="G137" i="4"/>
  <c r="G138" i="4"/>
  <c r="G139" i="4"/>
  <c r="G140" i="4"/>
  <c r="G141" i="4"/>
  <c r="G142" i="4"/>
  <c r="H26" i="6" s="1"/>
  <c r="G143" i="4"/>
  <c r="G144" i="4"/>
  <c r="G145" i="4"/>
  <c r="G146" i="4"/>
  <c r="G147" i="4"/>
  <c r="G148" i="4"/>
  <c r="H28" i="6" s="1"/>
  <c r="G149" i="4"/>
  <c r="G150" i="4"/>
  <c r="G151" i="4"/>
  <c r="G152" i="4"/>
  <c r="G153" i="4"/>
  <c r="G154" i="4"/>
  <c r="G155" i="4"/>
  <c r="G156" i="4"/>
  <c r="G157" i="4"/>
  <c r="N37" i="3" s="1"/>
  <c r="G158" i="4"/>
  <c r="G159" i="4"/>
  <c r="G160" i="4"/>
  <c r="G161" i="4"/>
  <c r="G162" i="4"/>
  <c r="G163" i="4"/>
  <c r="G164" i="4"/>
  <c r="G165" i="4"/>
  <c r="G166" i="4"/>
  <c r="G167" i="4"/>
  <c r="G168" i="4"/>
  <c r="N21" i="3" s="1"/>
  <c r="G169" i="4"/>
  <c r="G170" i="4"/>
  <c r="G171" i="4"/>
  <c r="G172" i="4"/>
  <c r="G173" i="4"/>
  <c r="N24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20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N41" i="3" s="1"/>
  <c r="G213" i="4"/>
  <c r="G214" i="4"/>
  <c r="G215" i="4"/>
  <c r="G216" i="4"/>
  <c r="G217" i="4"/>
  <c r="G218" i="4"/>
  <c r="G219" i="4"/>
  <c r="N42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N33" i="3" s="1"/>
  <c r="G232" i="4"/>
  <c r="G233" i="4"/>
  <c r="G234" i="4"/>
  <c r="N30" i="3" s="1"/>
  <c r="G235" i="4"/>
  <c r="N11" i="3" s="1"/>
  <c r="G236" i="4"/>
  <c r="G237" i="4"/>
  <c r="G238" i="4"/>
  <c r="G239" i="4"/>
  <c r="G240" i="4"/>
  <c r="G241" i="4"/>
  <c r="G242" i="4"/>
  <c r="G243" i="4"/>
  <c r="G244" i="4"/>
  <c r="N18" i="3" s="1"/>
  <c r="G245" i="4"/>
  <c r="N23" i="3" s="1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1" i="3" l="1"/>
  <c r="N35" i="3"/>
  <c r="N34" i="3"/>
  <c r="N38" i="3"/>
  <c r="H23" i="6"/>
  <c r="N29" i="3"/>
  <c r="N17" i="3"/>
  <c r="N19" i="3"/>
  <c r="H14" i="6"/>
  <c r="N27" i="3"/>
  <c r="N28" i="3"/>
  <c r="N9" i="3"/>
  <c r="H27" i="6"/>
  <c r="N25" i="3"/>
  <c r="H21" i="6"/>
  <c r="H8" i="6"/>
  <c r="H18" i="6"/>
  <c r="H13" i="6"/>
  <c r="H6" i="6"/>
  <c r="H17" i="6"/>
  <c r="H19" i="6"/>
  <c r="H9" i="6"/>
  <c r="H16" i="6"/>
  <c r="H24" i="6"/>
  <c r="H25" i="6"/>
  <c r="H22" i="6"/>
  <c r="H15" i="6"/>
  <c r="F30" i="6"/>
  <c r="I30" i="6"/>
  <c r="G30" i="6"/>
  <c r="H30" i="6"/>
  <c r="J30" i="6"/>
  <c r="B31" i="6"/>
  <c r="L13" i="1"/>
  <c r="G31" i="6" l="1"/>
  <c r="I31" i="6"/>
  <c r="J31" i="6"/>
  <c r="F31" i="6"/>
  <c r="H31" i="6"/>
  <c r="B3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2" i="6" l="1"/>
  <c r="G32" i="6"/>
  <c r="I32" i="6"/>
  <c r="J32" i="6"/>
  <c r="H32" i="6"/>
  <c r="B3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3" i="6" l="1"/>
  <c r="H33" i="6"/>
  <c r="J33" i="6"/>
  <c r="I33" i="6"/>
  <c r="F33" i="6"/>
  <c r="B3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5" i="6" l="1"/>
  <c r="F34" i="6"/>
  <c r="G34" i="6"/>
  <c r="I34" i="6"/>
  <c r="H34" i="6"/>
  <c r="J34" i="6"/>
  <c r="M30" i="5"/>
  <c r="M29" i="5"/>
  <c r="M27" i="5"/>
  <c r="G35" i="6" l="1"/>
  <c r="I35" i="6"/>
  <c r="J35" i="6"/>
  <c r="H35" i="6"/>
  <c r="F35" i="6"/>
  <c r="B36" i="6"/>
  <c r="M26" i="5"/>
  <c r="B37" i="6" l="1"/>
  <c r="F36" i="6"/>
  <c r="G36" i="6"/>
  <c r="H36" i="6"/>
  <c r="J36" i="6"/>
  <c r="I36" i="6"/>
  <c r="AH13" i="1"/>
  <c r="J7" i="1"/>
  <c r="G37" i="6" l="1"/>
  <c r="F37" i="6"/>
  <c r="H37" i="6"/>
  <c r="J37" i="6"/>
  <c r="I37" i="6"/>
  <c r="B38" i="6"/>
  <c r="X6" i="1"/>
  <c r="W6" i="1"/>
  <c r="V6" i="1"/>
  <c r="S6" i="1"/>
  <c r="R2" i="1"/>
  <c r="I2" i="1"/>
  <c r="O6" i="1"/>
  <c r="N6" i="1"/>
  <c r="M6" i="1"/>
  <c r="J6" i="1"/>
  <c r="B39" i="6" l="1"/>
  <c r="I38" i="6"/>
  <c r="G38" i="6"/>
  <c r="H38" i="6"/>
  <c r="J38" i="6"/>
  <c r="F38" i="6"/>
  <c r="P3" i="5"/>
  <c r="G39" i="6" l="1"/>
  <c r="I39" i="6"/>
  <c r="J39" i="6"/>
  <c r="F39" i="6"/>
  <c r="H39" i="6"/>
  <c r="B40" i="6"/>
  <c r="M18" i="5"/>
  <c r="B41" i="6" l="1"/>
  <c r="F40" i="6"/>
  <c r="G40" i="6"/>
  <c r="I40" i="6"/>
  <c r="J40" i="6"/>
  <c r="H40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1" i="6" l="1"/>
  <c r="I41" i="6"/>
  <c r="J41" i="6"/>
  <c r="F41" i="6"/>
  <c r="H41" i="6"/>
  <c r="B42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3" i="6" l="1"/>
  <c r="F42" i="6"/>
  <c r="G42" i="6"/>
  <c r="I42" i="6"/>
  <c r="H42" i="6"/>
  <c r="J42" i="6"/>
  <c r="G259" i="4"/>
  <c r="G260" i="4"/>
  <c r="G261" i="4"/>
  <c r="G262" i="4"/>
  <c r="G263" i="4"/>
  <c r="G264" i="4"/>
  <c r="G265" i="4"/>
  <c r="B44" i="6" l="1"/>
  <c r="G43" i="6"/>
  <c r="I43" i="6"/>
  <c r="H43" i="6"/>
  <c r="J43" i="6"/>
  <c r="F43" i="6"/>
  <c r="M14" i="5"/>
  <c r="M13" i="5"/>
  <c r="M12" i="5"/>
  <c r="M11" i="5"/>
  <c r="M10" i="5"/>
  <c r="M9" i="5"/>
  <c r="M8" i="5"/>
  <c r="M7" i="5"/>
  <c r="M6" i="5"/>
  <c r="M5" i="5"/>
  <c r="M4" i="5"/>
  <c r="M3" i="5"/>
  <c r="F44" i="6" l="1"/>
  <c r="G44" i="6"/>
  <c r="I44" i="6"/>
  <c r="J44" i="6"/>
  <c r="H44" i="6"/>
  <c r="B45" i="6"/>
  <c r="U13" i="1"/>
  <c r="S13" i="1" s="1"/>
  <c r="O3" i="3"/>
  <c r="H45" i="6" l="1"/>
  <c r="I45" i="6"/>
  <c r="F45" i="6"/>
  <c r="G45" i="6"/>
  <c r="J45" i="6"/>
  <c r="B4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7" i="6" l="1"/>
  <c r="F47" i="6" s="1"/>
  <c r="F46" i="6"/>
  <c r="G46" i="6"/>
  <c r="I46" i="6"/>
  <c r="H46" i="6"/>
  <c r="J46" i="6"/>
  <c r="J8" i="1"/>
  <c r="J4" i="1"/>
  <c r="S8" i="1"/>
  <c r="S4" i="1"/>
  <c r="J47" i="6" l="1"/>
  <c r="I47" i="6"/>
  <c r="G47" i="6"/>
  <c r="H47" i="6"/>
  <c r="B48" i="6"/>
  <c r="S9" i="1"/>
  <c r="J9" i="1"/>
  <c r="B49" i="6" l="1"/>
  <c r="H48" i="6"/>
  <c r="J48" i="6"/>
  <c r="F48" i="6"/>
  <c r="G48" i="6"/>
  <c r="I48" i="6"/>
  <c r="S11" i="1"/>
  <c r="A11" i="1"/>
  <c r="B50" i="6" l="1"/>
  <c r="F49" i="6"/>
  <c r="I49" i="6"/>
  <c r="J49" i="6"/>
  <c r="G49" i="6"/>
  <c r="H49" i="6"/>
  <c r="B1" i="6"/>
  <c r="A5" i="3"/>
  <c r="B51" i="6" l="1"/>
  <c r="G50" i="6"/>
  <c r="H50" i="6"/>
  <c r="F50" i="6"/>
  <c r="I50" i="6"/>
  <c r="J50" i="6"/>
  <c r="G51" i="6" l="1"/>
  <c r="H51" i="6"/>
  <c r="I51" i="6"/>
  <c r="J51" i="6"/>
  <c r="F51" i="6"/>
  <c r="B52" i="6"/>
  <c r="H52" i="6" l="1"/>
  <c r="F52" i="6"/>
  <c r="G52" i="6"/>
  <c r="I52" i="6"/>
  <c r="J52" i="6"/>
  <c r="B53" i="6"/>
  <c r="B54" i="6" l="1"/>
  <c r="G53" i="6"/>
  <c r="H53" i="6"/>
  <c r="I53" i="6"/>
  <c r="J53" i="6"/>
  <c r="F53" i="6"/>
  <c r="B55" i="6" l="1"/>
  <c r="I54" i="6"/>
  <c r="G54" i="6"/>
  <c r="F54" i="6"/>
  <c r="H54" i="6"/>
  <c r="J54" i="6"/>
  <c r="B3" i="6"/>
  <c r="G55" i="6" l="1"/>
  <c r="F55" i="6"/>
  <c r="H55" i="6"/>
  <c r="I55" i="6"/>
  <c r="J55" i="6"/>
  <c r="B56" i="6"/>
  <c r="I3" i="6"/>
  <c r="F3" i="6"/>
  <c r="J3" i="6"/>
  <c r="G3" i="6"/>
  <c r="H3" i="6"/>
  <c r="B4" i="6"/>
  <c r="H56" i="6" l="1"/>
  <c r="J56" i="6"/>
  <c r="F56" i="6"/>
  <c r="G56" i="6"/>
  <c r="I56" i="6"/>
  <c r="B57" i="6"/>
  <c r="I4" i="6"/>
  <c r="F4" i="6"/>
  <c r="B5" i="6"/>
  <c r="G4" i="6"/>
  <c r="J4" i="6"/>
  <c r="H4" i="6"/>
  <c r="B58" i="6" l="1"/>
  <c r="F57" i="6"/>
  <c r="G57" i="6"/>
  <c r="I57" i="6"/>
  <c r="H57" i="6"/>
  <c r="J57" i="6"/>
  <c r="I5" i="6"/>
  <c r="F5" i="6"/>
  <c r="G5" i="6"/>
  <c r="J5" i="6"/>
  <c r="H5" i="6"/>
  <c r="F58" i="6" l="1"/>
  <c r="G58" i="6"/>
  <c r="J58" i="6"/>
  <c r="H58" i="6"/>
  <c r="I58" i="6"/>
  <c r="B59" i="6"/>
  <c r="G59" i="6" l="1"/>
  <c r="J59" i="6"/>
  <c r="F59" i="6"/>
  <c r="H59" i="6"/>
  <c r="I59" i="6"/>
  <c r="B60" i="6"/>
  <c r="B61" i="6" l="1"/>
  <c r="F60" i="6"/>
  <c r="G60" i="6"/>
  <c r="H60" i="6"/>
  <c r="I60" i="6"/>
  <c r="J60" i="6"/>
  <c r="B62" i="6" l="1"/>
  <c r="J61" i="6"/>
  <c r="F61" i="6"/>
  <c r="I61" i="6"/>
  <c r="G61" i="6"/>
  <c r="H61" i="6"/>
  <c r="B63" i="6" l="1"/>
  <c r="G62" i="6"/>
  <c r="H62" i="6"/>
  <c r="F62" i="6"/>
  <c r="I62" i="6"/>
  <c r="J62" i="6"/>
  <c r="G63" i="6" l="1"/>
  <c r="I63" i="6"/>
  <c r="J63" i="6"/>
  <c r="F63" i="6"/>
  <c r="H63" i="6"/>
  <c r="B64" i="6"/>
  <c r="B65" i="6" l="1"/>
  <c r="J64" i="6"/>
  <c r="F64" i="6"/>
  <c r="H64" i="6"/>
  <c r="G64" i="6"/>
  <c r="I64" i="6"/>
  <c r="B66" i="6" l="1"/>
  <c r="H65" i="6"/>
  <c r="F65" i="6"/>
  <c r="I65" i="6"/>
  <c r="J65" i="6"/>
  <c r="G65" i="6"/>
  <c r="B68" i="6" l="1"/>
  <c r="B67" i="6"/>
  <c r="G66" i="6"/>
  <c r="H66" i="6"/>
  <c r="F66" i="6"/>
  <c r="I66" i="6"/>
  <c r="J66" i="6"/>
  <c r="G67" i="6" l="1"/>
  <c r="H67" i="6"/>
  <c r="I67" i="6"/>
  <c r="J67" i="6"/>
  <c r="F67" i="6"/>
  <c r="H68" i="6"/>
  <c r="J68" i="6"/>
  <c r="G68" i="6"/>
  <c r="I68" i="6"/>
  <c r="F6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<sst xmlns="http://schemas.openxmlformats.org/spreadsheetml/2006/main" count="2941" uniqueCount="1052">
  <si>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</si>
  <si>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</si>
  <si>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</si>
  <si>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</si>
  <si>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</si>
  <si>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</si>
  <si>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</si>
  <si>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</si>
  <si>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</si>
  <si>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</si>
  <si>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</si>
  <si>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</si>
  <si>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</si>
  <si>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</si>
  <si>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</si>
  <si>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</si>
  <si>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</si>
  <si>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</si>
  <si>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</si>
  <si>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</si>
  <si>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</si>
  <si>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</si>
  <si>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</si>
  <si>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</si>
  <si>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</si>
  <si>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</si>
  <si>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</si>
  <si>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</si>
  <si>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</si>
  <si>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</si>
  <si>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</si>
  <si>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</si>
  <si>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</si>
  <si>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</si>
  <si>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</si>
  <si>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</si>
  <si>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</si>
  <si>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</si>
  <si>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</si>
  <si>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</si>
  <si>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</si>
  <si>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</si>
  <si>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</si>
  <si>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</si>
  <si>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</si>
  <si>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</si>
  <si>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</si>
  <si>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</si>
  <si>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</si>
  <si>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</si>
  <si>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</si>
  <si>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</si>
  <si>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</si>
  <si>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</si>
  <si>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</si>
  <si>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</si>
  <si>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</si>
  <si>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</si>
  <si>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</si>
  <si>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</si>
  <si>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</si>
  <si>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</si>
  <si>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</si>
  <si>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</si>
  <si>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</si>
  <si>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</si>
  <si>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</si>
  <si>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</si>
  <si>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</si>
  <si>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</si>
  <si>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</si>
  <si>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</si>
  <si>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</si>
  <si>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</si>
  <si>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</si>
  <si>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</si>
  <si>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</si>
  <si>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</si>
  <si>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</si>
  <si>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</si>
  <si>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</si>
  <si>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</si>
  <si>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</si>
  <si>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</si>
  <si>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</si>
  <si>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</si>
  <si>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</si>
  <si>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</si>
  <si>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</si>
  <si>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</si>
  <si>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</si>
  <si>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</si>
  <si>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</si>
  <si>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</si>
  <si>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</si>
  <si>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</si>
  <si>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</si>
  <si>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</si>
  <si>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</si>
  <si>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</si>
  <si>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</si>
  <si>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</si>
  <si>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</si>
  <si>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</si>
  <si>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</si>
  <si>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</si>
  <si>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</si>
  <si>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</si>
  <si>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</si>
  <si>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</si>
  <si>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</si>
  <si>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</si>
  <si>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</si>
  <si>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</si>
  <si>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</si>
  <si>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</si>
  <si>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</si>
  <si>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</si>
  <si>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</si>
  <si>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</si>
  <si>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</si>
  <si>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</si>
  <si>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</si>
  <si>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</si>
  <si>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</si>
  <si>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</si>
  <si>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</si>
  <si>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</si>
  <si>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</si>
  <si>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</si>
  <si>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</si>
  <si>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</si>
  <si>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</si>
  <si>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</si>
  <si>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</si>
  <si>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</si>
  <si>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</si>
  <si>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</si>
  <si>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</si>
  <si>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</si>
  <si>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</si>
  <si>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</si>
  <si>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</si>
  <si>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</si>
  <si>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</si>
  <si>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</si>
  <si>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</si>
  <si>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</si>
  <si>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</si>
  <si>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</si>
  <si>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</si>
  <si>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</si>
  <si>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</si>
  <si>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</si>
  <si>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</si>
  <si>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</si>
  <si>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</si>
  <si>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</si>
  <si>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</si>
  <si>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</si>
  <si>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</si>
  <si>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</si>
  <si>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</si>
  <si>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</si>
  <si>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</si>
  <si>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</si>
  <si>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</si>
  <si>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</si>
  <si>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</si>
  <si>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</si>
  <si>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</si>
  <si>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</si>
  <si>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</si>
  <si>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</si>
  <si>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</si>
  <si>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</si>
  <si>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</si>
  <si>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</si>
  <si>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</si>
  <si>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</si>
  <si>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</si>
  <si>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</si>
  <si>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</si>
  <si>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</si>
  <si>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</si>
  <si>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</si>
  <si>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</si>
  <si>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</si>
  <si>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</si>
  <si>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</si>
  <si>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</si>
  <si>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</si>
  <si>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</si>
  <si>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</si>
  <si>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</si>
  <si>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</si>
  <si>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</si>
  <si>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</si>
  <si>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</si>
  <si>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</si>
  <si>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</si>
  <si>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</si>
  <si>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</si>
  <si>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</si>
  <si>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</si>
  <si>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</si>
  <si>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</si>
  <si>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</si>
  <si>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</si>
  <si>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</si>
  <si>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</si>
  <si>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</si>
  <si>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</si>
  <si>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</si>
  <si>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</si>
  <si>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</si>
  <si>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</si>
  <si>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</si>
  <si>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</si>
  <si>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</si>
  <si>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</si>
  <si>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</si>
  <si>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</si>
  <si>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</si>
  <si>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</si>
  <si>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</si>
  <si>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</si>
  <si>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</si>
  <si>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</si>
  <si>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</si>
  <si>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</si>
  <si>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</si>
  <si>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</si>
  <si>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</si>
  <si>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</si>
  <si>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</si>
  <si>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</si>
  <si>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</si>
  <si>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</si>
  <si>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</si>
  <si>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</si>
  <si>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</si>
  <si>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</si>
  <si>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</si>
  <si>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</si>
  <si>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</si>
  <si>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</si>
  <si>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</si>
  <si>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</si>
  <si>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</si>
  <si>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</si>
  <si>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</si>
  <si>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</si>
  <si>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</si>
  <si>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</si>
  <si>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</si>
  <si>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</si>
  <si>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</si>
  <si>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</si>
  <si>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</si>
  <si>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</si>
  <si>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</si>
  <si>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</si>
  <si>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</si>
  <si>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</si>
  <si>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</si>
  <si>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</si>
  <si>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</si>
  <si>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</si>
  <si>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</si>
  <si>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</si>
  <si>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</si>
  <si>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</si>
  <si>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</si>
  <si>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</si>
  <si>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</si>
  <si>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</si>
  <si>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</si>
  <si>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</si>
  <si>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</si>
  <si>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</si>
  <si>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</si>
  <si>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</si>
  <si>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</si>
  <si>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</si>
  <si>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</si>
  <si>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</si>
  <si>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</si>
  <si>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</si>
  <si>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</si>
  <si>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</si>
  <si>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</si>
  <si>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</si>
  <si>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</si>
  <si>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</si>
  <si>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</si>
  <si>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</si>
  <si>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</si>
  <si>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</si>
  <si>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</si>
  <si>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</si>
  <si>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</si>
  <si>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</si>
  <si>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</si>
  <si>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</si>
  <si>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</si>
  <si>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</si>
  <si>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</si>
  <si>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</si>
  <si>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</si>
  <si>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</si>
  <si>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</si>
  <si>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</si>
  <si>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</si>
  <si>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</si>
  <si>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</si>
  <si>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</si>
  <si>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</si>
  <si>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</si>
  <si>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</si>
  <si>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</si>
  <si>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</si>
  <si>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</si>
  <si>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</si>
  <si>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</si>
  <si>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</si>
  <si>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</si>
  <si>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</si>
  <si>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</si>
  <si>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</si>
  <si>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</si>
  <si>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</si>
  <si>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</si>
  <si>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</si>
  <si>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</si>
  <si>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</si>
  <si>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</si>
  <si>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</si>
  <si>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</si>
  <si>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</si>
  <si>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</si>
  <si>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</si>
  <si>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</si>
  <si>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</si>
  <si>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</si>
  <si>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</si>
  <si>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</si>
  <si>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</si>
  <si>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</si>
  <si>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</si>
  <si>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</si>
  <si>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</si>
  <si>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</si>
  <si>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</si>
  <si>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</si>
  <si>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</si>
  <si>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</si>
  <si>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</si>
  <si>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</si>
  <si>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</si>
  <si>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</si>
  <si>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</si>
  <si>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</si>
  <si>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</si>
  <si>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</si>
  <si>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</si>
  <si>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</si>
  <si>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</si>
  <si>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</si>
  <si>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</si>
  <si>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</si>
  <si>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</si>
  <si>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</si>
  <si>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</si>
  <si>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</si>
  <si>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</si>
  <si>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</si>
  <si>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</si>
  <si>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</si>
  <si>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</si>
  <si>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</si>
  <si>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</si>
  <si>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</si>
  <si>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</si>
  <si>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</si>
  <si>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</si>
  <si>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</si>
  <si>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</si>
  <si>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</si>
  <si>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</si>
  <si>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</si>
  <si>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</si>
  <si>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</si>
  <si>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</si>
  <si>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</si>
  <si>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</si>
  <si>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</si>
  <si>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</si>
  <si>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</si>
  <si>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</si>
  <si>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</si>
  <si>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</si>
  <si>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</si>
  <si>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</si>
  <si>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</si>
  <si>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</si>
  <si>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</si>
  <si>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</si>
  <si>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204:477</t>
  </si>
  <si>
    <t>300:58617</t>
  </si>
  <si>
    <t>rtdc.l.rtdc.4006:itc</t>
  </si>
  <si>
    <t>SWANSON</t>
  </si>
  <si>
    <t>BRYCE</t>
  </si>
  <si>
    <t>FORTUNATO</t>
  </si>
  <si>
    <t>FRANK</t>
  </si>
  <si>
    <t>rtdc.l.rtdc.4001:itc</t>
  </si>
  <si>
    <t>BROWN</t>
  </si>
  <si>
    <t>JACOB</t>
  </si>
  <si>
    <t>SULLIVAN</t>
  </si>
  <si>
    <t>BRANDON</t>
  </si>
  <si>
    <t>300:23304</t>
  </si>
  <si>
    <t>rtdc.l.rtdc.4002:itc</t>
  </si>
  <si>
    <t>204:154</t>
  </si>
  <si>
    <t>204:233284</t>
  </si>
  <si>
    <t>Early arrival</t>
  </si>
  <si>
    <t>204:233297</t>
  </si>
  <si>
    <t>204:233295</t>
  </si>
  <si>
    <t>204:232975</t>
  </si>
  <si>
    <t>204:232974</t>
  </si>
  <si>
    <t>204:232982</t>
  </si>
  <si>
    <t>204:233011</t>
  </si>
  <si>
    <t>204:473</t>
  </si>
  <si>
    <t>204:132</t>
  </si>
  <si>
    <t>rtdc.l.rtdc.4049:itc</t>
  </si>
  <si>
    <t>rtdc.l.rtdc.4030:itc</t>
  </si>
  <si>
    <t>rtdc.l.rtdc.4050:itc</t>
  </si>
  <si>
    <t>BONDS</t>
  </si>
  <si>
    <t>REYNALDO</t>
  </si>
  <si>
    <t>SPECTOR</t>
  </si>
  <si>
    <t>CLARK</t>
  </si>
  <si>
    <t>KATHLEEN</t>
  </si>
  <si>
    <t>THOMPSON</t>
  </si>
  <si>
    <t>LESTER</t>
  </si>
  <si>
    <t>204:180</t>
  </si>
  <si>
    <t>204:469</t>
  </si>
  <si>
    <t>204:233303</t>
  </si>
  <si>
    <t>204:232993</t>
  </si>
  <si>
    <t>204:233316</t>
  </si>
  <si>
    <t>204:121</t>
  </si>
  <si>
    <t>204:232996</t>
  </si>
  <si>
    <t>300:23310</t>
  </si>
  <si>
    <t>300:58954</t>
  </si>
  <si>
    <t>300:58645</t>
  </si>
  <si>
    <t>rtdc.l.rtdc.4005:itc</t>
  </si>
  <si>
    <t>rtdc.l.rtdc.4008:itc</t>
  </si>
  <si>
    <t>rtdc.l.rtdc.4007:itc</t>
  </si>
  <si>
    <t>rtdc.l.rtdc.4018:itc</t>
  </si>
  <si>
    <t>rtdc.l.rtdc.4053:itc</t>
  </si>
  <si>
    <t>rtdc.l.rtdc.4054:itc</t>
  </si>
  <si>
    <t>rtdc.l.rtdc.4059:itc</t>
  </si>
  <si>
    <t>59-16</t>
  </si>
  <si>
    <t>243-16</t>
  </si>
  <si>
    <t>STARKS</t>
  </si>
  <si>
    <t>ANGELINA</t>
  </si>
  <si>
    <t>LOZA</t>
  </si>
  <si>
    <t>FIDEL</t>
  </si>
  <si>
    <t>ROCHA</t>
  </si>
  <si>
    <t>YAOTL</t>
  </si>
  <si>
    <t>rtdc.l.rtdc.4012:itc</t>
  </si>
  <si>
    <t>rtdc.l.rtdc.4011:itc</t>
  </si>
  <si>
    <t>66-16</t>
  </si>
  <si>
    <t>rtdc.l.rtdc.4060:itc</t>
  </si>
  <si>
    <t>60-16</t>
  </si>
  <si>
    <t>65-16</t>
  </si>
  <si>
    <t>908-16</t>
  </si>
  <si>
    <t>234-16</t>
  </si>
  <si>
    <t>237-16</t>
  </si>
  <si>
    <t>236-16</t>
  </si>
  <si>
    <t>239-16</t>
  </si>
  <si>
    <t>241-16</t>
  </si>
  <si>
    <t>238-16</t>
  </si>
  <si>
    <t>240-16</t>
  </si>
  <si>
    <t>315-16</t>
  </si>
  <si>
    <t>242-16</t>
  </si>
  <si>
    <t>309-16</t>
  </si>
  <si>
    <t>244-16</t>
  </si>
  <si>
    <t>311-16</t>
  </si>
  <si>
    <t>313-16</t>
  </si>
  <si>
    <t>Light Rain</t>
  </si>
  <si>
    <t>204:233300</t>
  </si>
  <si>
    <t>204:233289</t>
  </si>
  <si>
    <t>204:233291</t>
  </si>
  <si>
    <t>204:471</t>
  </si>
  <si>
    <t>204:233314</t>
  </si>
  <si>
    <t>204:232992</t>
  </si>
  <si>
    <t>204:233312</t>
  </si>
  <si>
    <t>204:233000</t>
  </si>
  <si>
    <t>204:442</t>
  </si>
  <si>
    <t>204:233349</t>
  </si>
  <si>
    <t>204:233321</t>
  </si>
  <si>
    <t>204:233351</t>
  </si>
  <si>
    <t>204:233301</t>
  </si>
  <si>
    <t>204:233007</t>
  </si>
  <si>
    <t>204:233342</t>
  </si>
  <si>
    <t>204:233408</t>
  </si>
  <si>
    <t>300:23308</t>
  </si>
  <si>
    <t>204:478</t>
  </si>
  <si>
    <t>300:58619</t>
  </si>
  <si>
    <t>300:58632</t>
  </si>
  <si>
    <t>300:58939</t>
  </si>
  <si>
    <t>300:58941</t>
  </si>
  <si>
    <t>300:58624</t>
  </si>
  <si>
    <t>300:58943</t>
  </si>
  <si>
    <t>204:988</t>
  </si>
  <si>
    <t>204:981</t>
  </si>
  <si>
    <t>Onboard in-route failure</t>
  </si>
  <si>
    <t>rtdc.l.rtdc.4056:itc</t>
  </si>
  <si>
    <t>rtdc.l.rtdc.4029:itc</t>
  </si>
  <si>
    <t>rtdc.l.rtdc.4024:itc</t>
  </si>
  <si>
    <t>rtdc.l.rtdc.4055:itc</t>
  </si>
  <si>
    <t>Y</t>
  </si>
  <si>
    <t>BADERTSCHER</t>
  </si>
  <si>
    <t>DIANE</t>
  </si>
  <si>
    <t>rtdc.l.rtdc.4031:itc</t>
  </si>
  <si>
    <t>GEBRETEKLE</t>
  </si>
  <si>
    <t>DAGNEW</t>
  </si>
  <si>
    <t>YORK</t>
  </si>
  <si>
    <t>EDGAR</t>
  </si>
  <si>
    <t>rtdc.l.rtdc.4032:itc</t>
  </si>
  <si>
    <t>rtdc.l.rtdc.4023:itc</t>
  </si>
  <si>
    <t>HELVIE</t>
  </si>
  <si>
    <t>ADAM</t>
  </si>
  <si>
    <t>DELGADO</t>
  </si>
  <si>
    <t>DIANAH</t>
  </si>
  <si>
    <t>242-17</t>
  </si>
  <si>
    <t>309-17</t>
  </si>
  <si>
    <t>244-17</t>
  </si>
  <si>
    <t>311-17</t>
  </si>
  <si>
    <t>313-17</t>
  </si>
  <si>
    <t>Rain</t>
  </si>
  <si>
    <t>204:724</t>
  </si>
  <si>
    <t>204:233283</t>
  </si>
  <si>
    <t>204:233299</t>
  </si>
  <si>
    <t>204:233325</t>
  </si>
  <si>
    <t>204:129</t>
  </si>
  <si>
    <t>204:431</t>
  </si>
  <si>
    <t>204:233025</t>
  </si>
  <si>
    <t>204:770</t>
  </si>
  <si>
    <t>204:233298</t>
  </si>
  <si>
    <t>204:233353</t>
  </si>
  <si>
    <t>204:233230</t>
  </si>
  <si>
    <t>204:232987</t>
  </si>
  <si>
    <t>204:233306</t>
  </si>
  <si>
    <t>204:233355</t>
  </si>
  <si>
    <t>204:438</t>
  </si>
  <si>
    <t>204:233021</t>
  </si>
  <si>
    <t>204:232955</t>
  </si>
  <si>
    <t>204:232965</t>
  </si>
  <si>
    <t>204:429</t>
  </si>
  <si>
    <t>204:232979</t>
  </si>
  <si>
    <t>204:170</t>
  </si>
  <si>
    <t>204:233008</t>
  </si>
  <si>
    <t>204:233343</t>
  </si>
  <si>
    <t>204:178</t>
  </si>
  <si>
    <t>204:233326</t>
  </si>
  <si>
    <t>300:23293</t>
  </si>
  <si>
    <t>300:23306</t>
  </si>
  <si>
    <t>300:23301</t>
  </si>
  <si>
    <t>300:23419</t>
  </si>
  <si>
    <t>204:979</t>
  </si>
  <si>
    <t>204:1011</t>
  </si>
  <si>
    <t>300:58937</t>
  </si>
  <si>
    <t>300:58944</t>
  </si>
  <si>
    <t>300:58623</t>
  </si>
  <si>
    <t>204:974</t>
  </si>
  <si>
    <t>204:715</t>
  </si>
  <si>
    <t>300:58961</t>
  </si>
  <si>
    <t>204:675</t>
  </si>
  <si>
    <t>start /low /b %USERPROFILE%\Documents\GitHub\eaglep3\Utilities\DownloadLogsFromS3.py --loco 4056 --day 2017-05-18</t>
  </si>
  <si>
    <t>Cancelled due to propulsion fault</t>
  </si>
  <si>
    <t>Wi-MAX data drop</t>
  </si>
  <si>
    <t>103-18</t>
  </si>
  <si>
    <t>901-18</t>
  </si>
  <si>
    <t>SWITCH ALIGNMENT</t>
  </si>
  <si>
    <t>Track device (7)</t>
  </si>
  <si>
    <t>105-18</t>
  </si>
  <si>
    <t>800-18</t>
  </si>
  <si>
    <t>110-18</t>
  </si>
  <si>
    <t>119-18</t>
  </si>
  <si>
    <t>805-18</t>
  </si>
  <si>
    <t>126-18</t>
  </si>
  <si>
    <t>139-18</t>
  </si>
  <si>
    <t>140-18</t>
  </si>
  <si>
    <t>rtdc.l.rtdc.4009:itc</t>
  </si>
  <si>
    <t>144-18</t>
  </si>
  <si>
    <t>142-18</t>
  </si>
  <si>
    <t>50-18</t>
  </si>
  <si>
    <t>151-18</t>
  </si>
  <si>
    <t>152-18</t>
  </si>
  <si>
    <t>rtdc.l.rtdc.4010:itc</t>
  </si>
  <si>
    <t>171-18</t>
  </si>
  <si>
    <t>183-18</t>
  </si>
  <si>
    <t>176-18</t>
  </si>
  <si>
    <t>189-18</t>
  </si>
  <si>
    <t>rtdc.l.rtdc.4025:itc</t>
  </si>
  <si>
    <t>826-18</t>
  </si>
  <si>
    <t>203-18</t>
  </si>
  <si>
    <t>200-18</t>
  </si>
  <si>
    <t>835-18</t>
  </si>
  <si>
    <t>839-18</t>
  </si>
  <si>
    <t>214-18</t>
  </si>
  <si>
    <t>79-18</t>
  </si>
  <si>
    <t>844-18</t>
  </si>
  <si>
    <t>232-18</t>
  </si>
  <si>
    <t>235-18</t>
  </si>
  <si>
    <t>241-18</t>
  </si>
  <si>
    <t>rtdc.l.rtdc.4062:itc</t>
  </si>
  <si>
    <t>89-18</t>
  </si>
  <si>
    <t>238-18</t>
  </si>
  <si>
    <t>302-18</t>
  </si>
  <si>
    <t>101-18</t>
  </si>
  <si>
    <t>306-18</t>
  </si>
  <si>
    <t>ROBINSON</t>
  </si>
  <si>
    <t>KADDIBA</t>
  </si>
  <si>
    <t>308-18</t>
  </si>
  <si>
    <t>102-18</t>
  </si>
  <si>
    <t>310-18</t>
  </si>
  <si>
    <t>107-18</t>
  </si>
  <si>
    <t>109-18</t>
  </si>
  <si>
    <t>104-18</t>
  </si>
  <si>
    <t>MACDONALD</t>
  </si>
  <si>
    <t>111-18</t>
  </si>
  <si>
    <t>113-18</t>
  </si>
  <si>
    <t>106-18</t>
  </si>
  <si>
    <t>108-18</t>
  </si>
  <si>
    <t>115-18</t>
  </si>
  <si>
    <t>117-18</t>
  </si>
  <si>
    <t>801-18</t>
  </si>
  <si>
    <t>112-18</t>
  </si>
  <si>
    <t>51-18</t>
  </si>
  <si>
    <t>114-18</t>
  </si>
  <si>
    <t>902-18</t>
  </si>
  <si>
    <t>802-18</t>
  </si>
  <si>
    <t>52-18</t>
  </si>
  <si>
    <t>121-18</t>
  </si>
  <si>
    <t>rtdc.l.rtdc.4026:itc</t>
  </si>
  <si>
    <t>803-18</t>
  </si>
  <si>
    <t>116-18</t>
  </si>
  <si>
    <t>123-18</t>
  </si>
  <si>
    <t>125-18</t>
  </si>
  <si>
    <t>118-18</t>
  </si>
  <si>
    <t>804-18</t>
  </si>
  <si>
    <t>120-18</t>
  </si>
  <si>
    <t>127-18</t>
  </si>
  <si>
    <t>55-18</t>
  </si>
  <si>
    <t>122-18</t>
  </si>
  <si>
    <t>806-18</t>
  </si>
  <si>
    <t>124-18</t>
  </si>
  <si>
    <t>129-18</t>
  </si>
  <si>
    <t>807-18</t>
  </si>
  <si>
    <t>131-18</t>
  </si>
  <si>
    <t>808-18</t>
  </si>
  <si>
    <t>133-18</t>
  </si>
  <si>
    <t>809-18</t>
  </si>
  <si>
    <t>128-18</t>
  </si>
  <si>
    <t>135-18</t>
  </si>
  <si>
    <t>130-18</t>
  </si>
  <si>
    <t>810-18</t>
  </si>
  <si>
    <t>137-18</t>
  </si>
  <si>
    <t>811-18</t>
  </si>
  <si>
    <t>132-18</t>
  </si>
  <si>
    <t>903-18</t>
  </si>
  <si>
    <t>134-18</t>
  </si>
  <si>
    <t>812-18</t>
  </si>
  <si>
    <t>141-18</t>
  </si>
  <si>
    <t>136-18</t>
  </si>
  <si>
    <t>143-18</t>
  </si>
  <si>
    <t>813-18</t>
  </si>
  <si>
    <t>138-18</t>
  </si>
  <si>
    <t>145-18</t>
  </si>
  <si>
    <t>147-18</t>
  </si>
  <si>
    <t>814-18</t>
  </si>
  <si>
    <t>149-18</t>
  </si>
  <si>
    <t>815-18</t>
  </si>
  <si>
    <t>146-18</t>
  </si>
  <si>
    <t>148-18</t>
  </si>
  <si>
    <t>153-18</t>
  </si>
  <si>
    <t>155-18</t>
  </si>
  <si>
    <t>150-18</t>
  </si>
  <si>
    <t>157-18</t>
  </si>
  <si>
    <t>816-18</t>
  </si>
  <si>
    <t>159-18</t>
  </si>
  <si>
    <t>154-18</t>
  </si>
  <si>
    <t>817-18</t>
  </si>
  <si>
    <t>161-18</t>
  </si>
  <si>
    <t>BRANDNER</t>
  </si>
  <si>
    <t>MELINDA</t>
  </si>
  <si>
    <t>53-18</t>
  </si>
  <si>
    <t>ARVIDSON</t>
  </si>
  <si>
    <t>DANIEL</t>
  </si>
  <si>
    <t>156-18</t>
  </si>
  <si>
    <t>163-18</t>
  </si>
  <si>
    <t>LOPES</t>
  </si>
  <si>
    <t>KIMBERLY</t>
  </si>
  <si>
    <t>818-18</t>
  </si>
  <si>
    <t>158-18</t>
  </si>
  <si>
    <t>165-18</t>
  </si>
  <si>
    <t>160-18</t>
  </si>
  <si>
    <t>167-18</t>
  </si>
  <si>
    <t>LALONDE</t>
  </si>
  <si>
    <t>GREGORY</t>
  </si>
  <si>
    <t>162-18</t>
  </si>
  <si>
    <t>169-18</t>
  </si>
  <si>
    <t>819-18</t>
  </si>
  <si>
    <t>164-18</t>
  </si>
  <si>
    <t>166-18</t>
  </si>
  <si>
    <t>MOSES</t>
  </si>
  <si>
    <t>BRADLEY</t>
  </si>
  <si>
    <t>168-18</t>
  </si>
  <si>
    <t>820-18</t>
  </si>
  <si>
    <t>173-18</t>
  </si>
  <si>
    <t>175-18</t>
  </si>
  <si>
    <t>177-18</t>
  </si>
  <si>
    <t>WHITED</t>
  </si>
  <si>
    <t>DUSTIN</t>
  </si>
  <si>
    <t>170-18</t>
  </si>
  <si>
    <t>821-18</t>
  </si>
  <si>
    <t>172-18</t>
  </si>
  <si>
    <t>179-18</t>
  </si>
  <si>
    <t>174-18</t>
  </si>
  <si>
    <t>822-18</t>
  </si>
  <si>
    <t>181-18</t>
  </si>
  <si>
    <t>178-18</t>
  </si>
  <si>
    <t>823-18</t>
  </si>
  <si>
    <t>180-18</t>
  </si>
  <si>
    <t>185-18</t>
  </si>
  <si>
    <t>60-18</t>
  </si>
  <si>
    <t>182-18</t>
  </si>
  <si>
    <t>187-18</t>
  </si>
  <si>
    <t>824-18</t>
  </si>
  <si>
    <t>67-18</t>
  </si>
  <si>
    <t>184-18</t>
  </si>
  <si>
    <t>191-18</t>
  </si>
  <si>
    <t>186-18</t>
  </si>
  <si>
    <t>193-18</t>
  </si>
  <si>
    <t>188-18</t>
  </si>
  <si>
    <t>904-18</t>
  </si>
  <si>
    <t>825-18</t>
  </si>
  <si>
    <t>68-18</t>
  </si>
  <si>
    <t>195-18</t>
  </si>
  <si>
    <t>190-18</t>
  </si>
  <si>
    <t>197-18</t>
  </si>
  <si>
    <t>827-18</t>
  </si>
  <si>
    <t>192-18</t>
  </si>
  <si>
    <t>194-18</t>
  </si>
  <si>
    <t>199-18</t>
  </si>
  <si>
    <t>828-18</t>
  </si>
  <si>
    <t>196-18</t>
  </si>
  <si>
    <t>201-18</t>
  </si>
  <si>
    <t>829-18</t>
  </si>
  <si>
    <t>831-18</t>
  </si>
  <si>
    <t>205-18</t>
  </si>
  <si>
    <t>198-18</t>
  </si>
  <si>
    <t>830-18</t>
  </si>
  <si>
    <t>207-18</t>
  </si>
  <si>
    <t>202-18</t>
  </si>
  <si>
    <t>832-18</t>
  </si>
  <si>
    <t>209-18</t>
  </si>
  <si>
    <t>75-18</t>
  </si>
  <si>
    <t>833-18</t>
  </si>
  <si>
    <t>204-18</t>
  </si>
  <si>
    <t>211-18</t>
  </si>
  <si>
    <t>206-18</t>
  </si>
  <si>
    <t>70-18</t>
  </si>
  <si>
    <t>834-18</t>
  </si>
  <si>
    <t>213-18</t>
  </si>
  <si>
    <t>YANG</t>
  </si>
  <si>
    <t>JAN</t>
  </si>
  <si>
    <t>208-18</t>
  </si>
  <si>
    <t>215-18</t>
  </si>
  <si>
    <t>210-18</t>
  </si>
  <si>
    <t>217-18</t>
  </si>
  <si>
    <t>836-18</t>
  </si>
  <si>
    <t>837-18</t>
  </si>
  <si>
    <t>77-18</t>
  </si>
  <si>
    <t>212-18</t>
  </si>
  <si>
    <t>219-18</t>
  </si>
  <si>
    <t>838-18</t>
  </si>
  <si>
    <t>303-18</t>
  </si>
  <si>
    <t>216-18</t>
  </si>
  <si>
    <t>221-18</t>
  </si>
  <si>
    <t>218-18</t>
  </si>
  <si>
    <t>305-18</t>
  </si>
  <si>
    <t>906-18</t>
  </si>
  <si>
    <t>220-18</t>
  </si>
  <si>
    <t>841-18</t>
  </si>
  <si>
    <t>223-18</t>
  </si>
  <si>
    <t>PERKINS</t>
  </si>
  <si>
    <t>DARREN</t>
  </si>
  <si>
    <t>840-18</t>
  </si>
  <si>
    <t>307-18</t>
  </si>
  <si>
    <t>rtdc.l.rtdc.4061:itc</t>
  </si>
  <si>
    <t>88-18</t>
  </si>
  <si>
    <t>222-18</t>
  </si>
  <si>
    <t>225-18</t>
  </si>
  <si>
    <t>227-18</t>
  </si>
  <si>
    <t>843-18</t>
  </si>
  <si>
    <t>224-18</t>
  </si>
  <si>
    <t>842-18</t>
  </si>
  <si>
    <t>226-18</t>
  </si>
  <si>
    <t>229-18</t>
  </si>
  <si>
    <t>845-18</t>
  </si>
  <si>
    <t>228-18</t>
  </si>
  <si>
    <t>231-18</t>
  </si>
  <si>
    <t>230-18</t>
  </si>
  <si>
    <t>233-18</t>
  </si>
  <si>
    <t>847-18</t>
  </si>
  <si>
    <t>908-18</t>
  </si>
  <si>
    <t>234-18</t>
  </si>
  <si>
    <t>237-18</t>
  </si>
  <si>
    <t>236-18</t>
  </si>
  <si>
    <t>239-18</t>
  </si>
  <si>
    <t>243-18</t>
  </si>
  <si>
    <t>240-18</t>
  </si>
  <si>
    <t>4061-18</t>
  </si>
  <si>
    <t>315-18</t>
  </si>
  <si>
    <t>242-18</t>
  </si>
  <si>
    <t>309-18</t>
  </si>
  <si>
    <t>244-18</t>
  </si>
  <si>
    <t>4062-18</t>
  </si>
  <si>
    <t>311-18</t>
  </si>
  <si>
    <t>51-19</t>
  </si>
  <si>
    <t>precipAccumulation</t>
  </si>
  <si>
    <t>snow</t>
  </si>
  <si>
    <t>Snow</t>
  </si>
  <si>
    <t>Light Snow</t>
  </si>
  <si>
    <t>Flurries</t>
  </si>
  <si>
    <t>204:232717</t>
  </si>
  <si>
    <t>204:797</t>
  </si>
  <si>
    <t>204:232573</t>
  </si>
  <si>
    <t>204:165</t>
  </si>
  <si>
    <t>204:786</t>
  </si>
  <si>
    <t>204:233304</t>
  </si>
  <si>
    <t>204:232673</t>
  </si>
  <si>
    <t>204:422</t>
  </si>
  <si>
    <t>204:233023</t>
  </si>
  <si>
    <t>204:426</t>
  </si>
  <si>
    <t>204:233027</t>
  </si>
  <si>
    <t>204:777</t>
  </si>
  <si>
    <t>204:232963</t>
  </si>
  <si>
    <t>204:774</t>
  </si>
  <si>
    <t>204:127852</t>
  </si>
  <si>
    <t>204:3290</t>
  </si>
  <si>
    <t>204:233334</t>
  </si>
  <si>
    <t>204:233288</t>
  </si>
  <si>
    <t>204:233366</t>
  </si>
  <si>
    <t>204:233047</t>
  </si>
  <si>
    <t>204:233383</t>
  </si>
  <si>
    <t>204:233076</t>
  </si>
  <si>
    <t>204:233302</t>
  </si>
  <si>
    <t>204:233049</t>
  </si>
  <si>
    <t>204:233318</t>
  </si>
  <si>
    <t>204:233282</t>
  </si>
  <si>
    <t>204:232988</t>
  </si>
  <si>
    <t>204:233074</t>
  </si>
  <si>
    <t>204:232957</t>
  </si>
  <si>
    <t>204:232983</t>
  </si>
  <si>
    <t>204:19109</t>
  </si>
  <si>
    <t>204:232978</t>
  </si>
  <si>
    <t>204:233346</t>
  </si>
  <si>
    <t>204:163</t>
  </si>
  <si>
    <t>204:1543</t>
  </si>
  <si>
    <t>204:232968</t>
  </si>
  <si>
    <t>204:233259</t>
  </si>
  <si>
    <t>204:232946</t>
  </si>
  <si>
    <t>204:187</t>
  </si>
  <si>
    <t>204:233406</t>
  </si>
  <si>
    <t>204:233136</t>
  </si>
  <si>
    <t>204:440</t>
  </si>
  <si>
    <t>204:233013</t>
  </si>
  <si>
    <t>204:233338</t>
  </si>
  <si>
    <t>204:486</t>
  </si>
  <si>
    <t>204:233357</t>
  </si>
  <si>
    <t>204:233038</t>
  </si>
  <si>
    <t>204:233319</t>
  </si>
  <si>
    <t>204:233359</t>
  </si>
  <si>
    <t>204:506</t>
  </si>
  <si>
    <t>204:189</t>
  </si>
  <si>
    <t>204:402</t>
  </si>
  <si>
    <t>204:233393</t>
  </si>
  <si>
    <t>204:233140</t>
  </si>
  <si>
    <t>204:122</t>
  </si>
  <si>
    <t>204:233432</t>
  </si>
  <si>
    <t>204:233159</t>
  </si>
  <si>
    <t>204:109</t>
  </si>
  <si>
    <t>204:233378</t>
  </si>
  <si>
    <t>204:233051</t>
  </si>
  <si>
    <t>204:233391</t>
  </si>
  <si>
    <t>204:233270</t>
  </si>
  <si>
    <t>204:19155</t>
  </si>
  <si>
    <t>204:232994</t>
  </si>
  <si>
    <t>204:233015</t>
  </si>
  <si>
    <t>204:899</t>
  </si>
  <si>
    <t>204:232970</t>
  </si>
  <si>
    <t>204:174</t>
  </si>
  <si>
    <t>204:228143</t>
  </si>
  <si>
    <t>204:233144</t>
  </si>
  <si>
    <t>204:233001</t>
  </si>
  <si>
    <t>204:480</t>
  </si>
  <si>
    <t>204:233028</t>
  </si>
  <si>
    <t>204:176</t>
  </si>
  <si>
    <t>204:233315</t>
  </si>
  <si>
    <t>204:228189</t>
  </si>
  <si>
    <t>204:233080</t>
  </si>
  <si>
    <t>204:251</t>
  </si>
  <si>
    <t>204:169</t>
  </si>
  <si>
    <t>204:233094</t>
  </si>
  <si>
    <t>204:396</t>
  </si>
  <si>
    <t>204:233066</t>
  </si>
  <si>
    <t>204:233285</t>
  </si>
  <si>
    <t>204:185</t>
  </si>
  <si>
    <t>204:232985</t>
  </si>
  <si>
    <t>204:233332</t>
  </si>
  <si>
    <t>204:233397</t>
  </si>
  <si>
    <t>204:233096</t>
  </si>
  <si>
    <t>300:22904</t>
  </si>
  <si>
    <t>300:21685</t>
  </si>
  <si>
    <t>300:23116</t>
  </si>
  <si>
    <t>204:504</t>
  </si>
  <si>
    <t>300:23438</t>
  </si>
  <si>
    <t>300:22032</t>
  </si>
  <si>
    <t>300:23220</t>
  </si>
  <si>
    <t>204:482</t>
  </si>
  <si>
    <t>300:23295</t>
  </si>
  <si>
    <t>204:14847</t>
  </si>
  <si>
    <t>204:333</t>
  </si>
  <si>
    <t>204:233099</t>
  </si>
  <si>
    <t>204:14835</t>
  </si>
  <si>
    <t>204:641</t>
  </si>
  <si>
    <t>300:22457</t>
  </si>
  <si>
    <t>204:73</t>
  </si>
  <si>
    <t>204:379</t>
  </si>
  <si>
    <t>300:24239</t>
  </si>
  <si>
    <t>204:3532</t>
  </si>
  <si>
    <t>204:3208</t>
  </si>
  <si>
    <t>204:3249</t>
  </si>
  <si>
    <t>204:1169</t>
  </si>
  <si>
    <t>204:3292</t>
  </si>
  <si>
    <t>204:1477</t>
  </si>
  <si>
    <t>204:3600</t>
  </si>
  <si>
    <t>204:3209</t>
  </si>
  <si>
    <t>204:1475</t>
  </si>
  <si>
    <t>204:3554</t>
  </si>
  <si>
    <t>204:3315</t>
  </si>
  <si>
    <t>204:3614</t>
  </si>
  <si>
    <t>204:415</t>
  </si>
  <si>
    <t>300:19836</t>
  </si>
  <si>
    <t>204:1675</t>
  </si>
  <si>
    <t>300:23796</t>
  </si>
  <si>
    <t>204:1213</t>
  </si>
  <si>
    <t>204:1226</t>
  </si>
  <si>
    <t>204:1224</t>
  </si>
  <si>
    <t>204:3022</t>
  </si>
  <si>
    <t>204:1154</t>
  </si>
  <si>
    <t>204:3331</t>
  </si>
  <si>
    <t>204:359</t>
  </si>
  <si>
    <t>300:5210</t>
  </si>
  <si>
    <t>204:928</t>
  </si>
  <si>
    <t>204:1132</t>
  </si>
  <si>
    <t>300:5457</t>
  </si>
  <si>
    <t>300:58666</t>
  </si>
  <si>
    <t>204:673</t>
  </si>
  <si>
    <t>204:969</t>
  </si>
  <si>
    <t>204:696</t>
  </si>
  <si>
    <t>204:971</t>
  </si>
  <si>
    <t>300:58965</t>
  </si>
  <si>
    <t>300:58653</t>
  </si>
  <si>
    <t>204:708</t>
  </si>
  <si>
    <t>204:692</t>
  </si>
  <si>
    <t>300:58946</t>
  </si>
  <si>
    <t>300:58628</t>
  </si>
  <si>
    <t>204:137</t>
  </si>
  <si>
    <t>204:986</t>
  </si>
  <si>
    <t>204:972</t>
  </si>
  <si>
    <t>204:698</t>
  </si>
  <si>
    <t>300:58630</t>
  </si>
  <si>
    <t>204:694</t>
  </si>
  <si>
    <t>204:978</t>
  </si>
  <si>
    <t>300:58971</t>
  </si>
  <si>
    <t>300:58658</t>
  </si>
  <si>
    <t>204:703</t>
  </si>
  <si>
    <t>300:58960</t>
  </si>
  <si>
    <t>300:58655</t>
  </si>
  <si>
    <t>204:699</t>
  </si>
  <si>
    <t>204:993</t>
  </si>
  <si>
    <t>204:661</t>
  </si>
  <si>
    <t>300:58975</t>
  </si>
  <si>
    <t>204:701</t>
  </si>
  <si>
    <t>300:58625</t>
  </si>
  <si>
    <t>300:58640</t>
  </si>
  <si>
    <t>204:650</t>
  </si>
  <si>
    <t>204:990</t>
  </si>
  <si>
    <t>300:58969</t>
  </si>
  <si>
    <t>300:58651</t>
  </si>
  <si>
    <t>204:689</t>
  </si>
  <si>
    <t>204:939</t>
  </si>
  <si>
    <t>300:58649</t>
  </si>
  <si>
    <t>204:983</t>
  </si>
  <si>
    <t>300:58963</t>
  </si>
  <si>
    <t>204:999</t>
  </si>
  <si>
    <t>300:58950</t>
  </si>
  <si>
    <t>204:861</t>
  </si>
  <si>
    <t>204:1181</t>
  </si>
  <si>
    <t>204:233422</t>
  </si>
  <si>
    <t>204:1190</t>
  </si>
  <si>
    <t>300:29406</t>
  </si>
  <si>
    <t>300:29640</t>
  </si>
  <si>
    <t>300:23446</t>
  </si>
  <si>
    <t>300:24262</t>
  </si>
  <si>
    <t>300:23273</t>
  </si>
  <si>
    <t>300:28774</t>
  </si>
  <si>
    <t>300:21687</t>
  </si>
  <si>
    <t>start /low /b %USERPROFILE%\Documents\GitHub\eaglep3\Utilities\DownloadLogsFromS3.py --loco 4031 --day 2017-05-18</t>
  </si>
  <si>
    <t>start /low /b %USERPROFILE%\Documents\GitHub\eaglep3\Utilities\DownloadLogsFromS3.py --loco 4010 --day 2017-05-18</t>
  </si>
  <si>
    <t>start /low /b %USERPROFILE%\Documents\GitHub\eaglep3\Utilities\DownloadLogsFromS3.py --loco 4014 --day 2017-05-18</t>
  </si>
  <si>
    <t>start /low /b %USERPROFILE%\Documents\GitHub\eaglep3\Utilities\DownloadLogsFromS3.py --loco 4008 --day 2017-05-18</t>
  </si>
  <si>
    <t>start /low /b %USERPROFILE%\Documents\GitHub\eaglep3\Utilities\DownloadLogsFromS3.py --loco 4027 --day 2017-05-18</t>
  </si>
  <si>
    <t>start /low /b %USERPROFILE%\Documents\GitHub\eaglep3\Utilities\DownloadLogsFromS3.py --loco 4030 --day 2017-05-18</t>
  </si>
  <si>
    <t>start /low /b %USERPROFILE%\Documents\GitHub\eaglep3\Utilities\DownloadLogsFromS3.py --loco 4007 --day 2017-05-18</t>
  </si>
  <si>
    <t>start /low /b %USERPROFILE%\Documents\GitHub\eaglep3\Utilities\DownloadLogsFromS3.py --loco 4053 --day 2017-05-19</t>
  </si>
  <si>
    <t>start /low /b %USERPROFILE%\Documents\GitHub\eaglep3\Utilities\DownloadLogsFromS3.py --loco 4055 --day 2017-05-18</t>
  </si>
  <si>
    <t>start /low /b %USERPROFILE%\Documents\GitHub\eaglep3\Utilities\DownloadLogsFromS3.py --loco 4028 --day 2017-05-18</t>
  </si>
  <si>
    <t>start /low /b %USERPROFILE%\Documents\GitHub\eaglep3\Utilities\DownloadLogsFromS3.py --loco 4009 --day 2017-05-18</t>
  </si>
  <si>
    <t>start /low /b %USERPROFILE%\Documents\GitHub\eaglep3\Utilities\DownloadLogsFromS3.py --loco 4056 --day 2017-05-19</t>
  </si>
  <si>
    <t>start /low /b %USERPROFILE%\Documents\GitHub\eaglep3\Utilities\DownloadLogsFromS3.py --loco 4029 --day 2017-05-18</t>
  </si>
  <si>
    <t>start /low /b %USERPROFILE%\Documents\GitHub\eaglep3\Utilities\DownloadLogsFromS3.py --loco 4007 --day 2017-05-19</t>
  </si>
  <si>
    <t>start /low /b %USERPROFILE%\Documents\GitHub\eaglep3\Utilities\DownloadLogsFromS3.py --loco 4032 --day 2017-05-18</t>
  </si>
  <si>
    <t>start /low /b %USERPROFILE%\Documents\GitHub\eaglep3\Utilities\DownloadLogsFromS3.py --loco 4014 --day 2017-05-19</t>
  </si>
  <si>
    <t>start /low /b %USERPROFILE%\Documents\GitHub\eaglep3\Utilities\DownloadLogsFromS3.py --loco 4012 --day 2017-05-19</t>
  </si>
  <si>
    <t>start /low /b %USERPROFILE%\Documents\GitHub\eaglep3\Utilities\DownloadLogsFromS3.py --loco 4012 --day 2017-05-18</t>
  </si>
  <si>
    <t>start /low /b %USERPROFILE%\Documents\GitHub\eaglep3\Utilities\DownloadLogsFromS3.py --loco 4025 --day 2017-05-19</t>
  </si>
  <si>
    <t>start /low /b %USERPROFILE%\Documents\GitHub\eaglep3\Utilities\DownloadLogsFromS3.py --loco 4011 --day 2017-05-18</t>
  </si>
  <si>
    <t>start /low /b %USERPROFILE%\Documents\GitHub\eaglep3\Utilities\DownloadLogsFromS3.py --loco 4025 --day 2017-05-18</t>
  </si>
  <si>
    <t>CCROC/crew/equipment mismatch</t>
  </si>
  <si>
    <t>DTO barricade test</t>
  </si>
  <si>
    <t>Unhealthy at Dahlia due to enforcement at Clayton</t>
  </si>
  <si>
    <t>Bright 2S premature downgrade</t>
  </si>
  <si>
    <t>00:02:39 - Bright 2S dropped to STOP, and then ~16s later re-upgraded to PROCEED CAB. Do logs show anything unusual at this time?</t>
  </si>
  <si>
    <t>CCROC/crew/equipment mismatch, then departure test required but not performed</t>
  </si>
  <si>
    <t>Fluctuating speedometer readings? VM responded and reset.</t>
  </si>
  <si>
    <t>Braking without banner against speed restriction</t>
  </si>
  <si>
    <t>Delayed by 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</si>
</sst>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opLeftCell="A49" zoomScaleNormal="100" workbookViewId="0">
      <selection activeCell="R63" sqref="R6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42873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42873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COUNTIFS($N$13:$N$9316,"&gt;0",$AG$13:$AG$9316,I1)</f>
        <v>141</v>
      </c>
      <c r="K5" s="39"/>
      <c r="L5" s="39"/>
      <c r="M5" s="40">
        <f>AVERAGEIFS($N$13:$N$9316,$AG$13:$AG$9316,I1)</f>
        <v>37.936643026422395</v>
      </c>
      <c r="N5" s="38">
        <f t="array" ref="N5">MIN(IF($AG$13:$AG$9316=I1,IF(ISNUMBER($N$13:$N$9316),IF($N$13:$N$9316&gt;0,$N$13:$N$9316))))</f>
        <v>33.483333333861083</v>
      </c>
      <c r="O5" s="3">
        <f t="array" ref="O5">MAX(IF($AG$13:$AG$9316=I1,IF(ISNUMBER($N$13:$N$9316),IF($N$13:$N$9316&gt;0,$N$13:$N$9316))))</f>
        <v>43.966666666092351</v>
      </c>
      <c r="P5" s="2"/>
      <c r="R5" s="177" t="s">
        <v>17</v>
      </c>
      <c r="S5" s="199">
        <f>COUNTIFS($N$13:$N$9316,"&gt;0",$AG$13:$AG$9316,R1)</f>
        <v>47</v>
      </c>
      <c r="T5" s="179"/>
      <c r="U5" s="179"/>
      <c r="V5" s="176">
        <f>AVERAGEIFS($N$13:$N$9316,$AG$13:$AG$9316,R1)</f>
        <v>15.850354609267905</v>
      </c>
      <c r="W5" s="177">
        <f t="array" ref="W5">MIN(IF($AG$13:$AG$9316=R1,IF(ISNUMBER($N$13:$N$9316),IF($N$13:$N$9316&gt;0,$N$13:$N$9316))))</f>
        <v>12.283333333907649</v>
      </c>
      <c r="X5" s="178">
        <f t="array" ref="X5">MAX(IF($AG$13:$AG$9316=R1,IF(ISNUMBER($N$13:$N$9316),IF($N$13:$N$9316&gt;0,$N$13:$N$9316))))</f>
        <v>37.316666672704741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COUNT($O$13:$O$114)</f>
        <v>0</v>
      </c>
      <c r="K6" s="39"/>
      <c r="L6" s="39"/>
      <c r="M6" s="40">
        <f>IFERROR(AVERAGE($O$13:$O$114),0)</f>
        <v>0</v>
      </c>
      <c r="N6" s="38">
        <f>MIN($O$13:$O$114)</f>
        <v>0</v>
      </c>
      <c r="O6" s="3">
        <f>MAX($O$13:$O$114)</f>
        <v>0</v>
      </c>
      <c r="P6" s="2"/>
      <c r="R6" s="180" t="s">
        <v>43</v>
      </c>
      <c r="S6" s="199">
        <f>COUNT($O$13:$O$114)</f>
        <v>0</v>
      </c>
      <c r="T6" s="179"/>
      <c r="U6" s="179"/>
      <c r="V6" s="176">
        <f>IFERROR(AVERAGE($O$13:$O$114),0)</f>
        <v>0</v>
      </c>
      <c r="W6" s="177">
        <f>MIN($O$13:$O$114)</f>
        <v>0</v>
      </c>
      <c r="X6" s="178">
        <f>MAX($O$13:$O$114)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COUNTIFS($P$13:$P$9316,"&gt;0",$AG$13:$AG$9316,I1)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COUNTIFS($P$13:$P$9316,"&gt;0",$AG$13:$AG$9316,R1)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37.936643026422395</v>
      </c>
      <c r="N8" s="38">
        <f>N5</f>
        <v>33.483333333861083</v>
      </c>
      <c r="O8" s="3">
        <f>O5</f>
        <v>43.966666666092351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15.850354609267905</v>
      </c>
      <c r="W8" s="177">
        <f>W5</f>
        <v>12.283333333907649</v>
      </c>
      <c r="X8" s="178">
        <f>X5</f>
        <v>37.316666672704741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- 2017-05-18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620</v>
      </c>
      <c r="B13" s="7">
        <v>4008</v>
      </c>
      <c r="C13" s="21" t="s">
        <v>206</v>
      </c>
      <c r="D13" s="21" t="s">
        <v>547</v>
      </c>
      <c r="E13" s="13">
        <v>42873.130439814813</v>
      </c>
      <c r="F13" s="13">
        <v>42873.135613425926</v>
      </c>
      <c r="G13" s="7">
        <v>1</v>
      </c>
      <c r="H13" s="21" t="s">
        <v>498</v>
      </c>
      <c r="I13" s="13">
        <v>42873.161608796298</v>
      </c>
      <c r="J13" s="7">
        <v>0</v>
      </c>
      <c r="K13" s="92" t="str">
        <f t="shared" ref="K13:K76" si="0">IF(ISEVEN(B13),(B13-1)&amp;"/"&amp;B13,B13&amp;"/"&amp;(B13+1))</f>
        <v>4007/4008</v>
      </c>
      <c r="L13" s="21" t="str">
        <f>VLOOKUP(A13,'Trips&amp;Operators'!$C$1:$G$99999,5,FALSE)</f>
        <v>BADERTSCHER DIANE</v>
      </c>
      <c r="M13" s="6">
        <f t="shared" ref="M13:M76" si="1">I13-F13</f>
        <v>2.5995370371674653E-2</v>
      </c>
      <c r="N13" s="7">
        <f t="shared" ref="N13:N27" si="2">24*60*SUM($M13:$M13)</f>
        <v>37.433333335211501</v>
      </c>
      <c r="O13" s="7"/>
      <c r="P13" s="7"/>
      <c r="Q13" s="22"/>
      <c r="R13" s="190"/>
      <c r="S13" s="196">
        <f t="shared" ref="S13:S7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-18T02:07:50-0600',mode:absolute,to:'2017-05-18T04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92" t="str">
        <f t="shared" ref="W13:W76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76" si="8">RIGHT(D13,LEN(D13)-4)/10000</f>
        <v>7.6999999999999999E-2</v>
      </c>
      <c r="Z13" s="192">
        <f t="shared" ref="Z13:Z76" si="9">RIGHT(H13,LEN(H13)-4)/10000</f>
        <v>23.334900000000001</v>
      </c>
      <c r="AA13" s="192">
        <f t="shared" ref="AA13:AA76" si="10">ABS(Z13-Y13)</f>
        <v>23.257899999999999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0101-18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/stypes="app*4008*20170518*"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4008 --swversion DE.1.0.9.0 --startMP 204:770 --initTime 2017-05-18T03:07:50 --startdatetime 2017-05-18T03:15:17 --delay 1 --endMP 204:233349 --enddatetime 2017-05-18T03:52:43 --enforcementcount 0 &gt;&gt;C:\Users\stu\Documents\GitHub\eaglep3-reporting\EC\2017-05-18-refined-times.txt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{"issue":{"subject":"","project_id":79,"tracker_id":40,"status_id":1,"priority_id":2,"assigned_to_id":23,"start_date":"2017-05-18","description":"","custom_fields":[{"id":1,"name":"Subdivision","value":"EC"},{"id":4,"name":"Milepost","value":"23.3349"},{"id":17,"name":"Train ID","value":"101-18"},{"id":16,"name":"Locomotive ID","value":"4008"},{"id":130,"name":"Impact","value":""},{"id":150,"name":"Time of Event (Mountain Time)","value":"03:52:43"},{"id":151,"name":"Denver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4008 --day 2017-05-18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09:52:43"},{"id":29,"name":"Sharepoint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625</v>
      </c>
      <c r="B14" s="7">
        <v>4029</v>
      </c>
      <c r="C14" s="21" t="s">
        <v>206</v>
      </c>
      <c r="D14" s="21" t="s">
        <v>837</v>
      </c>
      <c r="E14" s="13">
        <v>42873.171898148146</v>
      </c>
      <c r="F14" s="13">
        <v>42873.174513888887</v>
      </c>
      <c r="G14" s="7">
        <v>1</v>
      </c>
      <c r="H14" s="21" t="s">
        <v>348</v>
      </c>
      <c r="I14" s="13">
        <v>42873.205046296294</v>
      </c>
      <c r="J14" s="7">
        <v>0</v>
      </c>
      <c r="K14" s="92" t="str">
        <f t="shared" si="0"/>
        <v>4029/4030</v>
      </c>
      <c r="L14" s="21" t="str">
        <f>VLOOKUP(A14,'Trips&amp;Operators'!$C$1:$G$99999,5,FALSE)</f>
        <v>BADERTSCHER DIANE</v>
      </c>
      <c r="M14" s="6">
        <f t="shared" si="1"/>
        <v>3.0532407407008577E-2</v>
      </c>
      <c r="N14" s="7">
        <f t="shared" si="2"/>
        <v>43.966666666092351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-18T03:07:32-0600',mode:absolute,to:'2017-05-18T05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23.271699999999999</v>
      </c>
      <c r="Z14" s="192">
        <f t="shared" si="9"/>
        <v>1.38E-2</v>
      </c>
      <c r="AA14" s="192">
        <f t="shared" si="10"/>
        <v>23.257899999999999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0102-18</v>
      </c>
      <c r="AE14" s="80" t="str">
        <f t="shared" si="12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14" s="77" t="str">
        <f t="shared" si="13"/>
        <v>"C:\Program Files (x86)\AstroGrep\AstroGrep.exe" /e /r /s /spath="%USERPROFILE%\AppData\Local\Temp\OnboardLogs" /stypes="app*4029*20170518*"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4029 --swversion DE.1.0.9.0 --startMP 204:232717 --initTime 2017-05-18T04:07:32 --startdatetime 2017-05-18T04:11:18 --delay 1 --endMP 204:138 --enddatetime 2017-05-18T04:55:16 --enforcementcount 0 &gt;&gt;C:\Users\stu\Documents\GitHub\eaglep3-reporting\EC\2017-05-18-refined-times.txt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{"issue":{"subject":"","project_id":79,"tracker_id":40,"status_id":1,"priority_id":2,"assigned_to_id":23,"start_date":"2017-05-18","description":"","custom_fields":[{"id":1,"name":"Subdivision","value":"EC"},{"id":4,"name":"Milepost","value":"0.0138"},{"id":17,"name":"Train ID","value":"102-18"},{"id":16,"name":"Locomotive ID","value":"4029"},{"id":130,"name":"Impact","value":""},{"id":150,"name":"Time of Event (Mountain Time)","value":"04:55:16"},{"id":151,"name":"Denver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4029 --day 2017-05-18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581</v>
      </c>
      <c r="B15" s="7">
        <v>4032</v>
      </c>
      <c r="C15" s="21" t="s">
        <v>206</v>
      </c>
      <c r="D15" s="21" t="s">
        <v>838</v>
      </c>
      <c r="E15" s="13">
        <v>42873.15662037037</v>
      </c>
      <c r="F15" s="13">
        <v>42873.158738425926</v>
      </c>
      <c r="G15" s="7">
        <v>2</v>
      </c>
      <c r="H15" s="21" t="s">
        <v>550</v>
      </c>
      <c r="I15" s="13">
        <v>42873.185034722221</v>
      </c>
      <c r="J15" s="7">
        <v>0</v>
      </c>
      <c r="K15" s="92" t="str">
        <f t="shared" si="0"/>
        <v>4031/4032</v>
      </c>
      <c r="L15" s="21" t="str">
        <f>VLOOKUP(A15,'Trips&amp;Operators'!$C$1:$G$99999,5,FALSE)</f>
        <v>BONDS REYNALDO</v>
      </c>
      <c r="M15" s="6">
        <f t="shared" si="1"/>
        <v>2.6296296295186039E-2</v>
      </c>
      <c r="N15" s="7">
        <f t="shared" si="2"/>
        <v>37.866666665067896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-18T02:45:32-0600',mode:absolute,to:'2017-05-18T05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7.9699999999999993E-2</v>
      </c>
      <c r="Z15" s="192">
        <f t="shared" si="9"/>
        <v>23.323</v>
      </c>
      <c r="AA15" s="192">
        <f t="shared" si="10"/>
        <v>23.243300000000001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0103-18</v>
      </c>
      <c r="AE15" s="80" t="str">
        <f t="shared" si="12"/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15" s="77" t="str">
        <f t="shared" si="13"/>
        <v>"C:\Program Files (x86)\AstroGrep\AstroGrep.exe" /e /r /s /spath="%USERPROFILE%\AppData\Local\Temp\OnboardLogs" /stypes="app*4032*20170518*"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103-18 --locoid 4032 --swversion DE.1.0.9.0 --startMP 204:797 --initTime 2017-05-18T03:45:32 --startdatetime 2017-05-18T03:48:35 --delay 2 --endMP 204:233230 --enddatetime 2017-05-18T04:26:27 --enforcementcount 0 &gt;&gt;C:\Users\stu\Documents\GitHub\eaglep3-reporting\EC\2017-05-18-refined-times.txt</v>
      </c>
      <c r="AI15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{"issue":{"subject":"","project_id":79,"tracker_id":40,"status_id":1,"priority_id":2,"assigned_to_id":23,"start_date":"2017-05-18","description":"","custom_fields":[{"id":1,"name":"Subdivision","value":"EC"},{"id":4,"name":"Milepost","value":"23.323"},{"id":17,"name":"Train ID","value":"103-18"},{"id":16,"name":"Locomotive ID","value":"4032"},{"id":130,"name":"Impact","value":""},{"id":150,"name":"Time of Event (Mountain Time)","value":"04:26:27"},{"id":151,"name":"Denver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4032 --day 2017-05-18</v>
      </c>
      <c r="AN15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629</v>
      </c>
      <c r="B16" s="7">
        <v>4001</v>
      </c>
      <c r="C16" s="21" t="s">
        <v>206</v>
      </c>
      <c r="D16" s="21" t="s">
        <v>839</v>
      </c>
      <c r="E16" s="13">
        <v>42873.192928240744</v>
      </c>
      <c r="F16" s="13">
        <v>42873.195335648146</v>
      </c>
      <c r="G16" s="7">
        <v>2</v>
      </c>
      <c r="H16" s="21" t="s">
        <v>840</v>
      </c>
      <c r="I16" s="13">
        <v>42873.223310185182</v>
      </c>
      <c r="J16" s="7">
        <v>0</v>
      </c>
      <c r="K16" s="92" t="str">
        <f t="shared" si="0"/>
        <v>4001/4002</v>
      </c>
      <c r="L16" s="21" t="str">
        <f>VLOOKUP(A16,'Trips&amp;Operators'!$C$1:$G$99999,5,FALSE)</f>
        <v>BONDS REYNALDO</v>
      </c>
      <c r="M16" s="6">
        <f t="shared" si="1"/>
        <v>2.7974537035333924E-2</v>
      </c>
      <c r="N16" s="7">
        <f t="shared" si="2"/>
        <v>40.283333330880851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-18T03:37:49-0600',mode:absolute,to:'2017-05-18T06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23.257300000000001</v>
      </c>
      <c r="Z16" s="192">
        <f t="shared" si="9"/>
        <v>1.6500000000000001E-2</v>
      </c>
      <c r="AA16" s="192">
        <f t="shared" si="10"/>
        <v>23.2408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0104-18</v>
      </c>
      <c r="AE16" s="80" t="str">
        <f t="shared" si="12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16" s="77" t="str">
        <f t="shared" si="13"/>
        <v>"C:\Program Files (x86)\AstroGrep\AstroGrep.exe" /e /r /s /spath="%USERPROFILE%\AppData\Local\Temp\OnboardLogs" /stypes="app*4001*20170518*"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104-18 --locoid 4001 --swversion DE.1.0.9.0 --startMP 204:232573 --initTime 2017-05-18T04:37:49 --startdatetime 2017-05-18T04:41:17 --delay 2 --endMP 204:165 --enddatetime 2017-05-18T05:21:34 --enforcementcount 0 &gt;&gt;C:\Users\stu\Documents\GitHub\eaglep3-reporting\EC\2017-05-18-refined-times.txt</v>
      </c>
      <c r="AI16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{"issue":{"subject":"","project_id":79,"tracker_id":40,"status_id":1,"priority_id":2,"assigned_to_id":23,"start_date":"2017-05-18","description":"","custom_fields":[{"id":1,"name":"Subdivision","value":"EC"},{"id":4,"name":"Milepost","value":"0.0165"},{"id":17,"name":"Train ID","value":"104-18"},{"id":16,"name":"Locomotive ID","value":"4001"},{"id":130,"name":"Impact","value":""},{"id":150,"name":"Time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4001 --day 2017-05-18</v>
      </c>
      <c r="AN16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585</v>
      </c>
      <c r="B17" s="7">
        <v>4028</v>
      </c>
      <c r="C17" s="21" t="s">
        <v>206</v>
      </c>
      <c r="D17" s="21" t="s">
        <v>841</v>
      </c>
      <c r="E17" s="13">
        <v>42873.171631944446</v>
      </c>
      <c r="F17" s="13">
        <v>42873.177349537036</v>
      </c>
      <c r="G17" s="7">
        <v>2</v>
      </c>
      <c r="H17" s="21" t="s">
        <v>842</v>
      </c>
      <c r="I17" s="13">
        <v>42873.203229166669</v>
      </c>
      <c r="J17" s="7">
        <v>0</v>
      </c>
      <c r="K17" s="92" t="str">
        <f t="shared" si="0"/>
        <v>4027/4028</v>
      </c>
      <c r="L17" s="21" t="str">
        <f>VLOOKUP(A17,'Trips&amp;Operators'!$C$1:$G$99999,5,FALSE)</f>
        <v>ROBINSON KADDIBA</v>
      </c>
      <c r="M17" s="6">
        <f t="shared" si="1"/>
        <v>2.587962963298196E-2</v>
      </c>
      <c r="N17" s="7">
        <f t="shared" si="2"/>
        <v>37.266666671494022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-18T03:07:09-0600',mode:absolute,to:'2017-05-18T05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7.8600000000000003E-2</v>
      </c>
      <c r="Z17" s="192">
        <f t="shared" si="9"/>
        <v>23.330400000000001</v>
      </c>
      <c r="AA17" s="192">
        <f t="shared" si="10"/>
        <v>23.251799999999999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0105-18</v>
      </c>
      <c r="AE17" s="80" t="str">
        <f t="shared" si="12"/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AF17" s="77" t="str">
        <f t="shared" si="13"/>
        <v>"C:\Program Files (x86)\AstroGrep\AstroGrep.exe" /e /r /s /spath="%USERPROFILE%\AppData\Local\Temp\OnboardLogs" /stypes="app*4028*20170518*"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105-18 --locoid 4028 --swversion DE.1.0.9.0 --startMP 204:786 --initTime 2017-05-18T04:07:09 --startdatetime 2017-05-18T04:15:23 --delay 2 --endMP 204:233304 --enddatetime 2017-05-18T04:52:39 --enforcementcount 0 &gt;&gt;C:\Users\stu\Documents\GitHub\eaglep3-reporting\EC\2017-05-18-refined-times.txt</v>
      </c>
      <c r="AI17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{"issue":{"subject":"","project_id":79,"tracker_id":40,"status_id":1,"priority_id":2,"assigned_to_id":23,"start_date":"2017-05-18","description":"","custom_fields":[{"id":1,"name":"Subdivision","value":"EC"},{"id":4,"name":"Milepost","value":"23.3304"},{"id":17,"name":"Train ID","value":"105-18"},{"id":16,"name":"Locomotive ID","value":"4028"},{"id":130,"name":"Impact","value":""},{"id":150,"name":"Time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4028 --day 2017-05-18</v>
      </c>
      <c r="AN17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633</v>
      </c>
      <c r="B18" s="7">
        <v>4009</v>
      </c>
      <c r="C18" s="21" t="s">
        <v>206</v>
      </c>
      <c r="D18" s="21" t="s">
        <v>843</v>
      </c>
      <c r="E18" s="13">
        <v>42873.215648148151</v>
      </c>
      <c r="F18" s="13">
        <v>42873.21707175926</v>
      </c>
      <c r="G18" s="7">
        <v>1</v>
      </c>
      <c r="H18" s="21" t="s">
        <v>353</v>
      </c>
      <c r="I18" s="13">
        <v>42873.245092592595</v>
      </c>
      <c r="J18" s="7">
        <v>0</v>
      </c>
      <c r="K18" s="92" t="str">
        <f t="shared" si="0"/>
        <v>4009/4010</v>
      </c>
      <c r="L18" s="21" t="str">
        <f>VLOOKUP(A18,'Trips&amp;Operators'!$C$1:$G$99999,5,FALSE)</f>
        <v>ROBINSON KADDIBA</v>
      </c>
      <c r="M18" s="6">
        <f t="shared" si="1"/>
        <v>2.8020833335176576E-2</v>
      </c>
      <c r="N18" s="7">
        <f t="shared" si="2"/>
        <v>40.350000002654269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-18T04:10:32-0600',mode:absolute,to:'2017-05-18T06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23.267299999999999</v>
      </c>
      <c r="Z18" s="192">
        <f t="shared" si="9"/>
        <v>1.4500000000000001E-2</v>
      </c>
      <c r="AA18" s="192">
        <f t="shared" si="10"/>
        <v>23.252799999999997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0106-18</v>
      </c>
      <c r="AE18" s="80" t="str">
        <f t="shared" si="12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18" s="77" t="str">
        <f t="shared" si="13"/>
        <v>"C:\Program Files (x86)\AstroGrep\AstroGrep.exe" /e /r /s /spath="%USERPROFILE%\AppData\Local\Temp\OnboardLogs" /stypes="app*4009*20170518*"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106-18 --locoid 4009 --swversion DE.1.0.9.0 --startMP 204:232673 --initTime 2017-05-18T05:10:32 --startdatetime 2017-05-18T05:12:35 --delay 1 --endMP 204:145 --enddatetime 2017-05-18T05:52:56 --enforcementcount 0 &gt;&gt;C:\Users\stu\Documents\GitHub\eaglep3-reporting\EC\2017-05-18-refined-times.txt</v>
      </c>
      <c r="AI18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{"issue":{"subject":"","project_id":79,"tracker_id":40,"status_id":1,"priority_id":2,"assigned_to_id":23,"start_date":"2017-05-18","description":"","custom_fields":[{"id":1,"name":"Subdivision","value":"EC"},{"id":4,"name":"Milepost","value":"0.0145"},{"id":17,"name":"Train ID","value":"106-18"},{"id":16,"name":"Locomotive ID","value":"4009"},{"id":130,"name":"Impact","value":""},{"id":150,"name":"Time of Event (Mountain Time)","value":"05:52:56"},{"id":151,"name":"Denver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4009 --day 2017-05-18</v>
      </c>
      <c r="AN18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11:52:56"},{"id":29,"name":"Sharepoint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627</v>
      </c>
      <c r="B19" s="7">
        <v>4014</v>
      </c>
      <c r="C19" s="21" t="s">
        <v>206</v>
      </c>
      <c r="D19" s="21" t="s">
        <v>844</v>
      </c>
      <c r="E19" s="13">
        <v>42873.182291666664</v>
      </c>
      <c r="F19" s="13">
        <v>42873.187673611108</v>
      </c>
      <c r="G19" s="7">
        <v>2</v>
      </c>
      <c r="H19" s="21" t="s">
        <v>562</v>
      </c>
      <c r="I19" s="13">
        <v>42873.212314814817</v>
      </c>
      <c r="J19" s="7">
        <v>0</v>
      </c>
      <c r="K19" s="92" t="str">
        <f t="shared" si="0"/>
        <v>4013/4014</v>
      </c>
      <c r="L19" s="21" t="str">
        <f>VLOOKUP(A19,'Trips&amp;Operators'!$C$1:$G$99999,5,FALSE)</f>
        <v>GEBRETEKLE DAGNEW</v>
      </c>
      <c r="M19" s="6">
        <f t="shared" si="1"/>
        <v>2.4641203708597459E-2</v>
      </c>
      <c r="N19" s="7">
        <f t="shared" si="2"/>
        <v>35.483333340380341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-18T03:22:30-0600',mode:absolute,to:'2017-05-18T06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4.2200000000000001E-2</v>
      </c>
      <c r="Z19" s="192">
        <f t="shared" si="9"/>
        <v>23.334299999999999</v>
      </c>
      <c r="AA19" s="192">
        <f t="shared" si="10"/>
        <v>23.292099999999998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0107-18</v>
      </c>
      <c r="AE19" s="80" t="str">
        <f t="shared" si="12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19" s="77" t="str">
        <f t="shared" si="13"/>
        <v>"C:\Program Files (x86)\AstroGrep\AstroGrep.exe" /e /r /s /spath="%USERPROFILE%\AppData\Local\Temp\OnboardLogs" /stypes="app*4014*20170518*"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107-18 --locoid 4014 --swversion DE.1.0.9.0 --startMP 204:422 --initTime 2017-05-18T04:22:30 --startdatetime 2017-05-18T04:30:15 --delay 2 --endMP 204:233343 --enddatetime 2017-05-18T05:05:44 --enforcementcount 0 &gt;&gt;C:\Users\stu\Documents\GitHub\eaglep3-reporting\EC\2017-05-18-refined-times.txt</v>
      </c>
      <c r="AI19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{"issue":{"subject":"","project_id":79,"tracker_id":40,"status_id":1,"priority_id":2,"assigned_to_id":23,"start_date":"2017-05-18","description":"","custom_fields":[{"id":1,"name":"Subdivision","value":"EC"},{"id":4,"name":"Milepost","value":"23.3343"},{"id":17,"name":"Train ID","value":"107-18"},{"id":16,"name":"Locomotive ID","value":"4014"},{"id":130,"name":"Impact","value":""},{"id":150,"name":"Time of Event (Mountain Time)","value":"05:05:44"},{"id":151,"name":"Denver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4014 --day 2017-05-18</v>
      </c>
      <c r="AN19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11:05:44"},{"id":29,"name":"Sharepoint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634</v>
      </c>
      <c r="B20" s="7">
        <v>4013</v>
      </c>
      <c r="C20" s="21" t="s">
        <v>206</v>
      </c>
      <c r="D20" s="21" t="s">
        <v>845</v>
      </c>
      <c r="E20" s="13">
        <v>42873.222071759257</v>
      </c>
      <c r="F20" s="13">
        <v>42873.226585648146</v>
      </c>
      <c r="G20" s="7">
        <v>1</v>
      </c>
      <c r="H20" s="21" t="s">
        <v>370</v>
      </c>
      <c r="I20" s="13">
        <v>42873.252881944441</v>
      </c>
      <c r="J20" s="7">
        <v>0</v>
      </c>
      <c r="K20" s="92" t="str">
        <f t="shared" si="0"/>
        <v>4013/4014</v>
      </c>
      <c r="L20" s="21" t="str">
        <f>VLOOKUP(A20,'Trips&amp;Operators'!$C$1:$G$99999,5,FALSE)</f>
        <v>GEBRETEKLE DAGNEW</v>
      </c>
      <c r="M20" s="6">
        <f t="shared" si="1"/>
        <v>2.6296296295186039E-2</v>
      </c>
      <c r="N20" s="7">
        <f t="shared" si="2"/>
        <v>37.866666665067896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-18T04:19:47-0600',mode:absolute,to:'2017-05-18T07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23.302299999999999</v>
      </c>
      <c r="Z20" s="192">
        <f t="shared" si="9"/>
        <v>1.47E-2</v>
      </c>
      <c r="AA20" s="192">
        <f t="shared" si="10"/>
        <v>23.287599999999998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0108-18</v>
      </c>
      <c r="AE20" s="80" t="str">
        <f t="shared" si="12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20" s="77" t="str">
        <f t="shared" si="13"/>
        <v>"C:\Program Files (x86)\AstroGrep\AstroGrep.exe" /e /r /s /spath="%USERPROFILE%\AppData\Local\Temp\OnboardLogs" /stypes="app*4013*20170518*"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108-18 --locoid 4013 --swversion DE.1.0.9.0 --startMP 204:233023 --initTime 2017-05-18T05:19:47 --startdatetime 2017-05-18T05:26:17 --delay 1 --endMP 204:147 --enddatetime 2017-05-18T06:04:09 --enforcementcount 0 &gt;&gt;C:\Users\stu\Documents\GitHub\eaglep3-reporting\EC\2017-05-18-refined-times.txt</v>
      </c>
      <c r="AI20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{"issue":{"subject":"","project_id":79,"tracker_id":40,"status_id":1,"priority_id":2,"assigned_to_id":23,"start_date":"2017-05-18","description":"","custom_fields":[{"id":1,"name":"Subdivision","value":"EC"},{"id":4,"name":"Milepost","value":"0.0147"},{"id":17,"name":"Train ID","value":"108-18"},{"id":16,"name":"Locomotive ID","value":"4013"},{"id":130,"name":"Impact","value":""},{"id":150,"name":"Time of Event (Mountain Time)","value":"06:04:09"},{"id":151,"name":"Denver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4013 --day 2017-05-18</v>
      </c>
      <c r="AN20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628</v>
      </c>
      <c r="B21" s="7">
        <v>4056</v>
      </c>
      <c r="C21" s="21" t="s">
        <v>206</v>
      </c>
      <c r="D21" s="21" t="s">
        <v>846</v>
      </c>
      <c r="E21" s="13">
        <v>42873.192349537036</v>
      </c>
      <c r="F21" s="13">
        <v>42873.19809027778</v>
      </c>
      <c r="G21" s="7">
        <v>1</v>
      </c>
      <c r="H21" s="21" t="s">
        <v>549</v>
      </c>
      <c r="I21" s="13">
        <v>42873.223043981481</v>
      </c>
      <c r="J21" s="7">
        <v>0</v>
      </c>
      <c r="K21" s="92" t="str">
        <f t="shared" si="0"/>
        <v>4055/4056</v>
      </c>
      <c r="L21" s="21" t="str">
        <f>VLOOKUP(A21,'Trips&amp;Operators'!$C$1:$G$99999,5,FALSE)</f>
        <v>ROCHA YAOTL</v>
      </c>
      <c r="M21" s="6">
        <f t="shared" si="1"/>
        <v>2.495370370161254E-2</v>
      </c>
      <c r="N21" s="7">
        <f t="shared" si="2"/>
        <v>35.933333330322057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-18T03:36:59-0600',mode:absolute,to:'2017-05-18T06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4.2599999999999999E-2</v>
      </c>
      <c r="Z21" s="192">
        <f t="shared" si="9"/>
        <v>23.3353</v>
      </c>
      <c r="AA21" s="192">
        <f t="shared" si="10"/>
        <v>23.2927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0109-18</v>
      </c>
      <c r="AE21" s="80" t="str">
        <f t="shared" si="12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21" s="77" t="str">
        <f t="shared" si="13"/>
        <v>"C:\Program Files (x86)\AstroGrep\AstroGrep.exe" /e /r /s /spath="%USERPROFILE%\AppData\Local\Temp\OnboardLogs" /stypes="app*4056*20170518*"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109-18 --locoid 4056 --swversion DE.1.0.9.0 --startMP 204:426 --initTime 2017-05-18T04:36:59 --startdatetime 2017-05-18T04:45:15 --delay 1 --endMP 204:233353 --enddatetime 2017-05-18T05:21:11 --enforcementcount 0 &gt;&gt;C:\Users\stu\Documents\GitHub\eaglep3-reporting\EC\2017-05-18-refined-times.txt</v>
      </c>
      <c r="AI21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{"issue":{"subject":"","project_id":79,"tracker_id":40,"status_id":1,"priority_id":2,"assigned_to_id":23,"start_date":"2017-05-18","description":"","custom_fields":[{"id":1,"name":"Subdivision","value":"EC"},{"id":4,"name":"Milepost","value":"23.3353"},{"id":17,"name":"Train ID","value":"109-18"},{"id":16,"name":"Locomotive ID","value":"4056"},{"id":130,"name":"Impact","value":""},{"id":150,"name":"Time of Event (Mountain Time)","value":"05:21:11"},{"id":151,"name":"Denver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4056 --day 2017-05-18</v>
      </c>
      <c r="AN21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11:21:11"},{"id":29,"name":"Sharepoint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587</v>
      </c>
      <c r="B22" s="7">
        <v>4055</v>
      </c>
      <c r="C22" s="21" t="s">
        <v>206</v>
      </c>
      <c r="D22" s="21" t="s">
        <v>847</v>
      </c>
      <c r="E22" s="13">
        <v>42873.236203703702</v>
      </c>
      <c r="F22" s="13">
        <v>42873.237430555557</v>
      </c>
      <c r="G22" s="7">
        <v>0</v>
      </c>
      <c r="H22" s="21" t="s">
        <v>370</v>
      </c>
      <c r="I22" s="13">
        <v>42873.263923611114</v>
      </c>
      <c r="J22" s="7">
        <v>0</v>
      </c>
      <c r="K22" s="92" t="str">
        <f t="shared" si="0"/>
        <v>4055/4056</v>
      </c>
      <c r="L22" s="21" t="str">
        <f>VLOOKUP(A22,'Trips&amp;Operators'!$C$1:$G$99999,5,FALSE)</f>
        <v>ROCHA YAOTL</v>
      </c>
      <c r="M22" s="6">
        <f t="shared" si="1"/>
        <v>2.6493055556784384E-2</v>
      </c>
      <c r="N22" s="7">
        <f t="shared" si="2"/>
        <v>38.150000001769513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-18T04:40:08-0600',mode:absolute,to:'2017-05-18T07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23.302700000000002</v>
      </c>
      <c r="Z22" s="192">
        <f t="shared" si="9"/>
        <v>1.47E-2</v>
      </c>
      <c r="AA22" s="192">
        <f t="shared" si="10"/>
        <v>23.288</v>
      </c>
      <c r="AB22" s="57" t="str">
        <f>VLOOKUP(A22,Enforcements!$C$7:$K$13,8,0)</f>
        <v>Bulletin (2)</v>
      </c>
      <c r="AC22" s="53" t="str">
        <f>VLOOKUP(A22,Enforcements!$C$7:$E$13,3,0)</f>
        <v>GRADE CROSSING</v>
      </c>
      <c r="AD22" s="54" t="str">
        <f t="shared" si="11"/>
        <v>0110-18</v>
      </c>
      <c r="AE22" s="80" t="str">
        <f t="shared" si="12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22" s="77" t="str">
        <f t="shared" si="13"/>
        <v>"C:\Program Files (x86)\AstroGrep\AstroGrep.exe" /e /r /s /spath="%USERPROFILE%\AppData\Local\Temp\OnboardLogs" /stypes="app*4055*20170518*"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110-18 --locoid 4055 --swversion DE.1.0.9.0 --startMP 204:233027 --initTime 2017-05-18T05:40:08 --startdatetime 2017-05-18T05:41:54 --delay 0 --endMP 204:147 --enddatetime 2017-05-18T06:20:03 --enforcementcount 0 &gt;&gt;C:\Users\stu\Documents\GitHub\eaglep3-reporting\EC\2017-05-18-refined-times.txt</v>
      </c>
      <c r="AI22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{"issue":{"subject":"","project_id":79,"tracker_id":40,"status_id":1,"priority_id":2,"assigned_to_id":23,"start_date":"2017-05-18","description":"","custom_fields":[{"id":1,"name":"Subdivision","value":"EC"},{"id":4,"name":"Milepost","value":"0.0147"},{"id":17,"name":"Train ID","value":"110-18"},{"id":16,"name":"Locomotive ID","value":"4055"},{"id":130,"name":"Impact","value":""},{"id":150,"name":"Time of Event (Mountain Time)","value":"06:20:03"},{"id":151,"name":"Denver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4055 --day 2017-05-18</v>
      </c>
      <c r="AN22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631</v>
      </c>
      <c r="B23" s="7">
        <v>4008</v>
      </c>
      <c r="C23" s="21" t="s">
        <v>206</v>
      </c>
      <c r="D23" s="21" t="s">
        <v>848</v>
      </c>
      <c r="E23" s="13">
        <v>42873.206909722219</v>
      </c>
      <c r="F23" s="13">
        <v>42873.208657407406</v>
      </c>
      <c r="G23" s="7">
        <v>1</v>
      </c>
      <c r="H23" s="21" t="s">
        <v>542</v>
      </c>
      <c r="I23" s="13">
        <v>42873.232754629629</v>
      </c>
      <c r="J23" s="7">
        <v>0</v>
      </c>
      <c r="K23" s="92" t="str">
        <f t="shared" si="0"/>
        <v>4007/4008</v>
      </c>
      <c r="L23" s="21" t="str">
        <f>VLOOKUP(A23,'Trips&amp;Operators'!$C$1:$G$99999,5,FALSE)</f>
        <v>YORK EDGAR</v>
      </c>
      <c r="M23" s="6">
        <f t="shared" si="1"/>
        <v>2.4097222223645076E-2</v>
      </c>
      <c r="N23" s="7">
        <f t="shared" si="2"/>
        <v>34.70000000204891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-18T03:57:57-0600',mode:absolute,to:'2017-05-18T06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7.7700000000000005E-2</v>
      </c>
      <c r="Z23" s="192">
        <f t="shared" si="9"/>
        <v>23.329899999999999</v>
      </c>
      <c r="AA23" s="192">
        <f t="shared" si="10"/>
        <v>23.252199999999998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0111-18</v>
      </c>
      <c r="AE23" s="80" t="str">
        <f t="shared" si="12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23" s="77" t="str">
        <f t="shared" si="13"/>
        <v>"C:\Program Files (x86)\AstroGrep\AstroGrep.exe" /e /r /s /spath="%USERPROFILE%\AppData\Local\Temp\OnboardLogs" /stypes="app*4008*20170518*"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111-18 --locoid 4008 --swversion DE.1.0.9.0 --startMP 204:777 --initTime 2017-05-18T04:57:57 --startdatetime 2017-05-18T05:00:28 --delay 1 --endMP 204:233299 --enddatetime 2017-05-18T05:35:10 --enforcementcount 0 &gt;&gt;C:\Users\stu\Documents\GitHub\eaglep3-reporting\EC\2017-05-18-refined-times.txt</v>
      </c>
      <c r="AI23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{"issue":{"subject":"","project_id":79,"tracker_id":40,"status_id":1,"priority_id":2,"assigned_to_id":23,"start_date":"2017-05-18","description":"","custom_fields":[{"id":1,"name":"Subdivision","value":"EC"},{"id":4,"name":"Milepost","value":"23.3299"},{"id":17,"name":"Train ID","value":"111-18"},{"id":16,"name":"Locomotive ID","value":"4008"},{"id":130,"name":"Impact","value":""},{"id":150,"name":"Time of Event (Mountain Time)","value":"05:35:10"},{"id":151,"name":"Denver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4008 --day 2017-05-18</v>
      </c>
      <c r="AN23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11:35:10"},{"id":29,"name":"Sharepoint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638</v>
      </c>
      <c r="B24" s="7">
        <v>4007</v>
      </c>
      <c r="C24" s="21" t="s">
        <v>206</v>
      </c>
      <c r="D24" s="21" t="s">
        <v>849</v>
      </c>
      <c r="E24" s="13">
        <v>42873.233726851853</v>
      </c>
      <c r="F24" s="13">
        <v>42873.247407407405</v>
      </c>
      <c r="G24" s="7">
        <v>1</v>
      </c>
      <c r="H24" s="21" t="s">
        <v>357</v>
      </c>
      <c r="I24" s="13">
        <v>42873.273634259262</v>
      </c>
      <c r="J24" s="7">
        <v>0</v>
      </c>
      <c r="K24" s="92" t="str">
        <f t="shared" si="0"/>
        <v>4007/4008</v>
      </c>
      <c r="L24" s="21" t="str">
        <f>VLOOKUP(A24,'Trips&amp;Operators'!$C$1:$G$99999,5,FALSE)</f>
        <v>YORK EDGAR</v>
      </c>
      <c r="M24" s="6">
        <f t="shared" si="1"/>
        <v>2.6226851856335998E-2</v>
      </c>
      <c r="N24" s="7">
        <f t="shared" si="2"/>
        <v>37.766666673123837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-18T04:36:34-0600',mode:absolute,to:'2017-05-18T07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23.296299999999999</v>
      </c>
      <c r="Z24" s="192">
        <f t="shared" si="9"/>
        <v>1.49E-2</v>
      </c>
      <c r="AA24" s="192">
        <f t="shared" si="10"/>
        <v>23.281399999999998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0112-18</v>
      </c>
      <c r="AE24" s="80" t="str">
        <f t="shared" si="12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24" s="77" t="str">
        <f t="shared" si="13"/>
        <v>"C:\Program Files (x86)\AstroGrep\AstroGrep.exe" /e /r /s /spath="%USERPROFILE%\AppData\Local\Temp\OnboardLogs" /stypes="app*4007*20170518*"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112-18 --locoid 4007 --swversion DE.1.0.9.0 --startMP 204:232963 --initTime 2017-05-18T05:36:34 --startdatetime 2017-05-18T05:56:16 --delay 1 --endMP 204:149 --enddatetime 2017-05-18T06:34:02 --enforcementcount 0 &gt;&gt;C:\Users\stu\Documents\GitHub\eaglep3-reporting\EC\2017-05-18-refined-times.txt</v>
      </c>
      <c r="AI24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{"issue":{"subject":"","project_id":79,"tracker_id":40,"status_id":1,"priority_id":2,"assigned_to_id":23,"start_date":"2017-05-18","description":"","custom_fields":[{"id":1,"name":"Subdivision","value":"EC"},{"id":4,"name":"Milepost","value":"0.0149"},{"id":17,"name":"Train ID","value":"112-18"},{"id":16,"name":"Locomotive ID","value":"4007"},{"id":130,"name":"Impact","value":""},{"id":150,"name":"Time of Event (Mountain Time)","value":"06:34:02"},{"id":151,"name":"Denver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4007 --day 2017-05-18</v>
      </c>
      <c r="AN24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632</v>
      </c>
      <c r="B25" s="7">
        <v>4030</v>
      </c>
      <c r="C25" s="21" t="s">
        <v>206</v>
      </c>
      <c r="D25" s="21" t="s">
        <v>497</v>
      </c>
      <c r="E25" s="13">
        <v>42873.209328703706</v>
      </c>
      <c r="F25" s="13">
        <v>42873.2190162037</v>
      </c>
      <c r="G25" s="7">
        <v>2</v>
      </c>
      <c r="H25" s="21" t="s">
        <v>499</v>
      </c>
      <c r="I25" s="13">
        <v>42873.244525462964</v>
      </c>
      <c r="J25" s="7">
        <v>0</v>
      </c>
      <c r="K25" s="92" t="str">
        <f t="shared" si="0"/>
        <v>4029/4030</v>
      </c>
      <c r="L25" s="21" t="str">
        <f>VLOOKUP(A25,'Trips&amp;Operators'!$C$1:$G$99999,5,FALSE)</f>
        <v>BADERTSCHER DIANE</v>
      </c>
      <c r="M25" s="6">
        <f t="shared" si="1"/>
        <v>2.5509259263344575E-2</v>
      </c>
      <c r="N25" s="7">
        <f t="shared" si="2"/>
        <v>36.733333339216188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-18T04:01:26-0600',mode:absolute,to:'2017-05-18T06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4.4200000000000003E-2</v>
      </c>
      <c r="Z25" s="192">
        <f t="shared" si="9"/>
        <v>23.332100000000001</v>
      </c>
      <c r="AA25" s="192">
        <f t="shared" si="10"/>
        <v>23.2879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0113-18</v>
      </c>
      <c r="AE25" s="80" t="str">
        <f t="shared" si="12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25" s="77" t="str">
        <f t="shared" si="13"/>
        <v>"C:\Program Files (x86)\AstroGrep\AstroGrep.exe" /e /r /s /spath="%USERPROFILE%\AppData\Local\Temp\OnboardLogs" /stypes="app*4030*20170518*"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113-18 --locoid 4030 --swversion DE.1.0.9.0 --startMP 204:442 --initTime 2017-05-18T05:01:26 --startdatetime 2017-05-18T05:15:23 --delay 2 --endMP 204:233321 --enddatetime 2017-05-18T05:52:07 --enforcementcount 0 &gt;&gt;C:\Users\stu\Documents\GitHub\eaglep3-reporting\EC\2017-05-18-refined-times.txt</v>
      </c>
      <c r="AI25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{"issue":{"subject":"","project_id":79,"tracker_id":40,"status_id":1,"priority_id":2,"assigned_to_id":23,"start_date":"2017-05-18","description":"","custom_fields":[{"id":1,"name":"Subdivision","value":"EC"},{"id":4,"name":"Milepost","value":"23.3321"},{"id":17,"name":"Train ID","value":"113-18"},{"id":16,"name":"Locomotive ID","value":"4030"},{"id":130,"name":"Impact","value":""},{"id":150,"name":"Time of Event (Mountain Time)","value":"05:52:07"},{"id":151,"name":"Denver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4030 --day 2017-05-18</v>
      </c>
      <c r="AN25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640</v>
      </c>
      <c r="B26" s="7">
        <v>4029</v>
      </c>
      <c r="C26" s="21" t="s">
        <v>206</v>
      </c>
      <c r="D26" s="21" t="s">
        <v>449</v>
      </c>
      <c r="E26" s="13">
        <v>42873.248344907406</v>
      </c>
      <c r="F26" s="13">
        <v>42873.257789351854</v>
      </c>
      <c r="G26" s="7">
        <v>1</v>
      </c>
      <c r="H26" s="21" t="s">
        <v>358</v>
      </c>
      <c r="I26" s="13">
        <v>42873.286608796298</v>
      </c>
      <c r="J26" s="7">
        <v>0</v>
      </c>
      <c r="K26" s="92" t="str">
        <f t="shared" si="0"/>
        <v>4029/4030</v>
      </c>
      <c r="L26" s="21" t="str">
        <f>VLOOKUP(A26,'Trips&amp;Operators'!$C$1:$G$99999,5,FALSE)</f>
        <v>BADERTSCHER DIANE</v>
      </c>
      <c r="M26" s="6">
        <f t="shared" si="1"/>
        <v>2.8819444443797693E-2</v>
      </c>
      <c r="N26" s="7">
        <f t="shared" si="2"/>
        <v>41.499999999068677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-18T04:57:37-0600',mode:absolute,to:'2017-05-18T07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23.299600000000002</v>
      </c>
      <c r="Z26" s="192">
        <f t="shared" si="9"/>
        <v>1.43E-2</v>
      </c>
      <c r="AA26" s="192">
        <f t="shared" si="10"/>
        <v>23.285300000000003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0114-18</v>
      </c>
      <c r="AE26" s="80" t="str">
        <f t="shared" si="12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26" s="77" t="str">
        <f t="shared" si="13"/>
        <v>"C:\Program Files (x86)\AstroGrep\AstroGrep.exe" /e /r /s /spath="%USERPROFILE%\AppData\Local\Temp\OnboardLogs" /stypes="app*4029*20170518*"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114-18 --locoid 4029 --swversion DE.1.0.9.0 --startMP 204:232996 --initTime 2017-05-18T05:57:37 --startdatetime 2017-05-18T06:11:13 --delay 1 --endMP 204:143 --enddatetime 2017-05-18T06:52:43 --enforcementcount 0 &gt;&gt;C:\Users\stu\Documents\GitHub\eaglep3-reporting\EC\2017-05-18-refined-times.txt</v>
      </c>
      <c r="AI26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{"issue":{"subject":"","project_id":79,"tracker_id":40,"status_id":1,"priority_id":2,"assigned_to_id":23,"start_date":"2017-05-18","description":"","custom_fields":[{"id":1,"name":"Subdivision","value":"EC"},{"id":4,"name":"Milepost","value":"0.0143"},{"id":17,"name":"Train ID","value":"114-18"},{"id":16,"name":"Locomotive ID","value":"4029"},{"id":130,"name":"Impact","value":""},{"id":150,"name":"Time of Event (Mountain Time)","value":"06:52:43"},{"id":151,"name":"Denver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4029 --day 2017-05-18</v>
      </c>
      <c r="AN26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635</v>
      </c>
      <c r="B27" s="7">
        <v>4032</v>
      </c>
      <c r="C27" s="21" t="s">
        <v>206</v>
      </c>
      <c r="D27" s="21" t="s">
        <v>850</v>
      </c>
      <c r="E27" s="13">
        <v>42873.226631944446</v>
      </c>
      <c r="F27" s="13">
        <v>42873.229375000003</v>
      </c>
      <c r="G27" s="7">
        <v>2</v>
      </c>
      <c r="H27" s="21" t="s">
        <v>501</v>
      </c>
      <c r="I27" s="13">
        <v>42873.254340277781</v>
      </c>
      <c r="J27" s="7">
        <v>0</v>
      </c>
      <c r="K27" s="92" t="str">
        <f t="shared" si="0"/>
        <v>4031/4032</v>
      </c>
      <c r="L27" s="21" t="str">
        <f>VLOOKUP(A27,'Trips&amp;Operators'!$C$1:$G$99999,5,FALSE)</f>
        <v>STARKS ANGELINA</v>
      </c>
      <c r="M27" s="6">
        <f t="shared" si="1"/>
        <v>2.4965277778392192E-2</v>
      </c>
      <c r="N27" s="7">
        <f t="shared" si="2"/>
        <v>35.950000000884756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-18T04:26:21-0600',mode:absolute,to:'2017-05-18T07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7.7399999999999997E-2</v>
      </c>
      <c r="Z27" s="192">
        <f t="shared" si="9"/>
        <v>23.330100000000002</v>
      </c>
      <c r="AA27" s="192">
        <f t="shared" si="10"/>
        <v>23.252700000000001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0115-18</v>
      </c>
      <c r="AE27" s="80" t="str">
        <f t="shared" si="12"/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27" s="77" t="str">
        <f t="shared" si="13"/>
        <v>"C:\Program Files (x86)\AstroGrep\AstroGrep.exe" /e /r /s /spath="%USERPROFILE%\AppData\Local\Temp\OnboardLogs" /stypes="app*4032*20170518*"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115-18 --locoid 4032 --swversion DE.1.0.9.0 --startMP 204:774 --initTime 2017-05-18T05:26:21 --startdatetime 2017-05-18T05:30:18 --delay 2 --endMP 204:233301 --enddatetime 2017-05-18T06:06:15 --enforcementcount 0 &gt;&gt;C:\Users\stu\Documents\GitHub\eaglep3-reporting\EC\2017-05-18-refined-times.txt</v>
      </c>
      <c r="AI27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{"issue":{"subject":"","project_id":79,"tracker_id":40,"status_id":1,"priority_id":2,"assigned_to_id":23,"start_date":"2017-05-18","description":"","custom_fields":[{"id":1,"name":"Subdivision","value":"EC"},{"id":4,"name":"Milepost","value":"23.3301"},{"id":17,"name":"Train ID","value":"115-18"},{"id":16,"name":"Locomotive ID","value":"4032"},{"id":130,"name":"Impact","value":""},{"id":150,"name":"Time of Event (Mountain Time)","value":"06:06:15"},{"id":151,"name":"Denver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4032 --day 2017-05-18</v>
      </c>
      <c r="AN27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647</v>
      </c>
      <c r="B28" s="7">
        <v>4031</v>
      </c>
      <c r="C28" s="21" t="s">
        <v>206</v>
      </c>
      <c r="D28" s="21" t="s">
        <v>851</v>
      </c>
      <c r="E28" s="13">
        <v>42873.280173611114</v>
      </c>
      <c r="F28" s="13">
        <v>42873.282187500001</v>
      </c>
      <c r="G28" s="7">
        <v>1</v>
      </c>
      <c r="H28" s="21" t="s">
        <v>852</v>
      </c>
      <c r="I28" s="13">
        <v>42873.300185185188</v>
      </c>
      <c r="J28" s="7">
        <v>0</v>
      </c>
      <c r="K28" s="92" t="str">
        <f t="shared" si="0"/>
        <v>4031/4032</v>
      </c>
      <c r="L28" s="21" t="str">
        <f>VLOOKUP(A28,'Trips&amp;Operators'!$C$1:$G$99999,5,FALSE)</f>
        <v>STARKS ANGELINA</v>
      </c>
      <c r="M28" s="6">
        <f t="shared" si="1"/>
        <v>1.7997685186855961E-2</v>
      </c>
      <c r="N28" s="7"/>
      <c r="O28" s="7"/>
      <c r="P28" s="7">
        <f>24*60*SUM($M28:$M28)</f>
        <v>25.916666669072583</v>
      </c>
      <c r="Q28" s="22"/>
      <c r="R28" s="7" t="s">
        <v>1048</v>
      </c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-18T05:43:27-0600',mode:absolute,to:'2017-05-18T08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2" t="str">
        <f t="shared" si="6"/>
        <v>Y</v>
      </c>
      <c r="X28" s="192">
        <f t="shared" si="7"/>
        <v>1</v>
      </c>
      <c r="Y28" s="192">
        <f t="shared" si="8"/>
        <v>12.7852</v>
      </c>
      <c r="Z28" s="192">
        <f t="shared" si="9"/>
        <v>0.32900000000000001</v>
      </c>
      <c r="AA28" s="192">
        <f t="shared" si="10"/>
        <v>12.456199999999999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0116-18</v>
      </c>
      <c r="AE28" s="80" t="str">
        <f t="shared" si="12"/>
        <v>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 &amp; 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</v>
      </c>
      <c r="AF28" s="77" t="str">
        <f t="shared" si="13"/>
        <v>"C:\Program Files (x86)\AstroGrep\AstroGrep.exe" /e /r /s /spath="%USERPROFILE%\AppData\Local\Temp\OnboardLogs" /stypes="app*4031*20170518*"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116-18 --locoid 4031 --swversion DE.1.0.9.0 --startMP 204:127852 --initTime 2017-05-18T06:43:27 --startdatetime 2017-05-18T06:46:21 --delay 1 --endMP 204:3290 --enddatetime 2017-05-18T07:12:16 --enforcementcount 0 &gt;&gt;C:\Users\stu\Documents\GitHub\eaglep3-reporting\EC\2017-05-18-refined-times.txt</v>
      </c>
      <c r="AI28" s="99" t="str">
        <f t="shared" si="20"/>
        <v>echo {"issue":{"subject":"CCROC/crew/equipment mismatch, then departure test required but not performed","project_id":79,"tracker_id":40,"status_id":1,"priority_id":2,"assigned_to_id":23,"start_date":"2017-05-18","description":"","custom_fields":[{"id":1,"name":"Subdivision","value":"EC"},{"id":4,"name":"Milepost","value":"0.329"},{"id":17,"name":"Train ID","value":"116-18"},{"id":16,"name":"Locomotive ID","value":"4031"},{"id":130,"name":"Impact","value":""},{"id":150,"name":"Time of Event (Mountain Time)","value":"07:12:16"},{"id":151,"name":"Denver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4031 --day 2017-05-18</v>
      </c>
      <c r="AN28" s="154" t="str">
        <f t="shared" si="22"/>
        <v>echo {"issue":{"subject":"CCROC/crew/equipment mismatch, then departure test required but not performed","project_id":30,"tracker_id":4,"status_id":1,"priority_id":1,"assigned_to_id":10,"start_date":"2017-05-18","description":"","custom_fields":[{"id":30,"name":"Category","value":"Issue"},{"id":3,"name":"Functional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636</v>
      </c>
      <c r="B29" s="7">
        <v>4002</v>
      </c>
      <c r="C29" s="21" t="s">
        <v>206</v>
      </c>
      <c r="D29" s="21" t="s">
        <v>364</v>
      </c>
      <c r="E29" s="13">
        <v>42873.227175925924</v>
      </c>
      <c r="F29" s="13">
        <v>42873.239768518521</v>
      </c>
      <c r="G29" s="7">
        <v>1</v>
      </c>
      <c r="H29" s="21" t="s">
        <v>853</v>
      </c>
      <c r="I29" s="13">
        <v>42873.266342592593</v>
      </c>
      <c r="J29" s="7">
        <v>0</v>
      </c>
      <c r="K29" s="92" t="str">
        <f t="shared" si="0"/>
        <v>4001/4002</v>
      </c>
      <c r="L29" s="21" t="str">
        <f>VLOOKUP(A29,'Trips&amp;Operators'!$C$1:$G$99999,5,FALSE)</f>
        <v>BONDS REYNALDO</v>
      </c>
      <c r="M29" s="6">
        <f t="shared" si="1"/>
        <v>2.6574074072414078E-2</v>
      </c>
      <c r="N29" s="7">
        <f t="shared" ref="N29:N54" si="23">24*60*SUM($M29:$M29)</f>
        <v>38.266666664276272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-18T04:27:08-0600',mode:absolute,to:'2017-05-18T07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4.53E-2</v>
      </c>
      <c r="Z29" s="192">
        <f t="shared" si="9"/>
        <v>23.333400000000001</v>
      </c>
      <c r="AA29" s="192">
        <f t="shared" si="10"/>
        <v>23.2881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0117-18</v>
      </c>
      <c r="AE29" s="80" t="str">
        <f t="shared" si="12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29" s="77" t="str">
        <f t="shared" si="13"/>
        <v>"C:\Program Files (x86)\AstroGrep\AstroGrep.exe" /e /r /s /spath="%USERPROFILE%\AppData\Local\Temp\OnboardLogs" /stypes="app*4002*20170518*"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117-18 --locoid 4002 --swversion DE.1.0.9.0 --startMP 204:453 --initTime 2017-05-18T05:27:08 --startdatetime 2017-05-18T05:45:16 --delay 1 --endMP 204:233334 --enddatetime 2017-05-18T06:23:32 --enforcementcount 0 &gt;&gt;C:\Users\stu\Documents\GitHub\eaglep3-reporting\EC\2017-05-18-refined-times.txt</v>
      </c>
      <c r="AI29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{"issue":{"subject":"","project_id":79,"tracker_id":40,"status_id":1,"priority_id":2,"assigned_to_id":23,"start_date":"2017-05-18","description":"","custom_fields":[{"id":1,"name":"Subdivision","value":"EC"},{"id":4,"name":"Milepost","value":"23.3334"},{"id":17,"name":"Train ID","value":"117-18"},{"id":16,"name":"Locomotive ID","value":"4002"},{"id":130,"name":"Impact","value":""},{"id":150,"name":"Time of Event (Mountain Time)","value":"06:23:32"},{"id":151,"name":"Denver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4002 --day 2017-05-18</v>
      </c>
      <c r="AN29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650</v>
      </c>
      <c r="B30" s="7">
        <v>4001</v>
      </c>
      <c r="C30" s="21" t="s">
        <v>206</v>
      </c>
      <c r="D30" s="21" t="s">
        <v>446</v>
      </c>
      <c r="E30" s="13">
        <v>42873.276018518518</v>
      </c>
      <c r="F30" s="13">
        <v>42873.278657407405</v>
      </c>
      <c r="G30" s="7">
        <v>1</v>
      </c>
      <c r="H30" s="21" t="s">
        <v>369</v>
      </c>
      <c r="I30" s="13">
        <v>42873.306597222225</v>
      </c>
      <c r="J30" s="7">
        <v>0</v>
      </c>
      <c r="K30" s="92" t="str">
        <f t="shared" si="0"/>
        <v>4001/4002</v>
      </c>
      <c r="L30" s="21" t="str">
        <f>VLOOKUP(A30,'Trips&amp;Operators'!$C$1:$G$99999,5,FALSE)</f>
        <v>BONDS REYNALDO</v>
      </c>
      <c r="M30" s="6">
        <f t="shared" si="1"/>
        <v>2.7939814819546882E-2</v>
      </c>
      <c r="N30" s="7">
        <f t="shared" si="23"/>
        <v>40.23333334014751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-18T05:37:28-0600',mode:absolute,to:'2017-05-18T08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23.299299999999999</v>
      </c>
      <c r="Z30" s="192">
        <f t="shared" si="9"/>
        <v>1.41E-2</v>
      </c>
      <c r="AA30" s="192">
        <f t="shared" si="10"/>
        <v>23.2852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0118-18</v>
      </c>
      <c r="AE30" s="80" t="str">
        <f t="shared" si="12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30" s="77" t="str">
        <f t="shared" si="13"/>
        <v>"C:\Program Files (x86)\AstroGrep\AstroGrep.exe" /e /r /s /spath="%USERPROFILE%\AppData\Local\Temp\OnboardLogs" /stypes="app*4001*20170518*"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118-18 --locoid 4001 --swversion DE.1.0.9.0 --startMP 204:232993 --initTime 2017-05-18T06:37:28 --startdatetime 2017-05-18T06:41:16 --delay 1 --endMP 204:141 --enddatetime 2017-05-18T07:21:30 --enforcementcount 0 &gt;&gt;C:\Users\stu\Documents\GitHub\eaglep3-reporting\EC\2017-05-18-refined-times.txt</v>
      </c>
      <c r="AI30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{"issue":{"subject":"","project_id":79,"tracker_id":40,"status_id":1,"priority_id":2,"assigned_to_id":23,"start_date":"2017-05-18","description":"","custom_fields":[{"id":1,"name":"Subdivision","value":"EC"},{"id":4,"name":"Milepost","value":"0.0141"},{"id":17,"name":"Train ID","value":"118-18"},{"id":16,"name":"Locomotive ID","value":"4001"},{"id":130,"name":"Impact","value":""},{"id":150,"name":"Time of Event (Mountain Time)","value":"07:21:30"},{"id":151,"name":"Denver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4001 --day 2017-05-18</v>
      </c>
      <c r="AN30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588</v>
      </c>
      <c r="B31" s="7">
        <v>4028</v>
      </c>
      <c r="C31" s="21" t="s">
        <v>206</v>
      </c>
      <c r="D31" s="21" t="s">
        <v>575</v>
      </c>
      <c r="E31" s="13">
        <v>42873.247719907406</v>
      </c>
      <c r="F31" s="13">
        <v>42873.250462962962</v>
      </c>
      <c r="G31" s="7">
        <v>1</v>
      </c>
      <c r="H31" s="21" t="s">
        <v>854</v>
      </c>
      <c r="I31" s="13">
        <v>42873.27615740741</v>
      </c>
      <c r="J31" s="7">
        <v>0</v>
      </c>
      <c r="K31" s="92" t="str">
        <f t="shared" si="0"/>
        <v>4027/4028</v>
      </c>
      <c r="L31" s="21" t="str">
        <f>VLOOKUP(A31,'Trips&amp;Operators'!$C$1:$G$99999,5,FALSE)</f>
        <v>ROBINSON KADDIBA</v>
      </c>
      <c r="M31" s="6">
        <f t="shared" si="1"/>
        <v>2.5694444448163267E-2</v>
      </c>
      <c r="N31" s="7">
        <f t="shared" si="23"/>
        <v>37.000000005355105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-18T04:56:43-0600',mode:absolute,to:'2017-05-18T07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7.1499999999999994E-2</v>
      </c>
      <c r="Z31" s="192">
        <f t="shared" si="9"/>
        <v>23.328800000000001</v>
      </c>
      <c r="AA31" s="192">
        <f t="shared" si="10"/>
        <v>23.257300000000001</v>
      </c>
      <c r="AB31" s="57" t="str">
        <f>VLOOKUP(A31,Enforcements!$C$7:$K$13,8,0)</f>
        <v>Bulletin (2)</v>
      </c>
      <c r="AC31" s="53" t="str">
        <f>VLOOKUP(A31,Enforcements!$C$7:$E$13,3,0)</f>
        <v>GRADE CROSSING</v>
      </c>
      <c r="AD31" s="54" t="str">
        <f t="shared" si="11"/>
        <v>0119-18</v>
      </c>
      <c r="AE31" s="80" t="str">
        <f t="shared" si="12"/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AF31" s="77" t="str">
        <f t="shared" si="13"/>
        <v>"C:\Program Files (x86)\AstroGrep\AstroGrep.exe" /e /r /s /spath="%USERPROFILE%\AppData\Local\Temp\OnboardLogs" /stypes="app*4028*20170518*"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119-18 --locoid 4028 --swversion DE.1.0.9.0 --startMP 204:715 --initTime 2017-05-18T05:56:43 --startdatetime 2017-05-18T06:00:40 --delay 1 --endMP 204:233288 --enddatetime 2017-05-18T06:37:40 --enforcementcount 0 &gt;&gt;C:\Users\stu\Documents\GitHub\eaglep3-reporting\EC\2017-05-18-refined-times.txt</v>
      </c>
      <c r="AI31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{"issue":{"subject":"","project_id":79,"tracker_id":40,"status_id":1,"priority_id":2,"assigned_to_id":23,"start_date":"2017-05-18","description":"","custom_fields":[{"id":1,"name":"Subdivision","value":"EC"},{"id":4,"name":"Milepost","value":"23.3288"},{"id":17,"name":"Train ID","value":"119-18"},{"id":16,"name":"Locomotive ID","value":"4028"},{"id":130,"name":"Impact","value":""},{"id":150,"name":"Time of Event (Mountain Time)","value":"06:37:40"},{"id":151,"name":"Denver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4028 --day 2017-05-18</v>
      </c>
      <c r="AN31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652</v>
      </c>
      <c r="B32" s="7">
        <v>4027</v>
      </c>
      <c r="C32" s="21" t="s">
        <v>206</v>
      </c>
      <c r="D32" s="21" t="s">
        <v>849</v>
      </c>
      <c r="E32" s="13">
        <v>42873.285185185188</v>
      </c>
      <c r="F32" s="13">
        <v>42873.2890625</v>
      </c>
      <c r="G32" s="7">
        <v>1</v>
      </c>
      <c r="H32" s="21" t="s">
        <v>370</v>
      </c>
      <c r="I32" s="13">
        <v>42873.318356481483</v>
      </c>
      <c r="J32" s="7">
        <v>0</v>
      </c>
      <c r="K32" s="92" t="str">
        <f t="shared" si="0"/>
        <v>4027/4028</v>
      </c>
      <c r="L32" s="21" t="str">
        <f>VLOOKUP(A32,'Trips&amp;Operators'!$C$1:$G$99999,5,FALSE)</f>
        <v>ROBINSON KADDIBA</v>
      </c>
      <c r="M32" s="6">
        <f t="shared" si="1"/>
        <v>2.9293981482624076E-2</v>
      </c>
      <c r="N32" s="7">
        <f t="shared" si="23"/>
        <v>42.18333333497867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-18T05:50:40-0600',mode:absolute,to:'2017-05-18T08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23.296299999999999</v>
      </c>
      <c r="Z32" s="192">
        <f t="shared" si="9"/>
        <v>1.47E-2</v>
      </c>
      <c r="AA32" s="192">
        <f t="shared" si="10"/>
        <v>23.281599999999997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0120-18</v>
      </c>
      <c r="AE32" s="80" t="str">
        <f t="shared" si="12"/>
        <v>aws s3 cp s3://rtdc.mdm.uploadarchive.raw/RTDC4027/ "%USERPROFILE%\AppData\Local\Temp\OnboardLogs"\RTDC4027\2017-05-18 --exclude "*" --recursive --include "*20170518*" &amp; "%USERPROFILE%\Documents\GitHub\mrs-test-scripts\Headless Mode &amp; Sideloading\WalkAndUnGZ.bat" "%USERPROFILE%\AppData\Local\Temp\OnboardLogs"\RTDC4027\2017-05-18 &amp; aws s3 cp s3://rtdc.mdm.uploadarchive.raw/RTDC4027/ "%USERPROFILE%\AppData\Local\Temp\OnboardLogs"\RTDC4027\2017-05-19 --exclude "*" --recursive --include "*20170519*" &amp; "%USERPROFILE%\Documents\GitHub\mrs-test-scripts\Headless Mode &amp; Sideloading\WalkAndUnGZ.bat" "%USERPROFILE%\AppData\Local\Temp\OnboardLogs"\RTDC4027\2017-05-19</v>
      </c>
      <c r="AF32" s="77" t="str">
        <f t="shared" si="13"/>
        <v>"C:\Program Files (x86)\AstroGrep\AstroGrep.exe" /e /r /s /spath="%USERPROFILE%\AppData\Local\Temp\OnboardLogs" /stypes="app*4027*20170518*"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120-18 --locoid 4027 --swversion DE.1.0.9.0 --startMP 204:232963 --initTime 2017-05-18T06:50:40 --startdatetime 2017-05-18T06:56:15 --delay 1 --endMP 204:147 --enddatetime 2017-05-18T07:38:26 --enforcementcount 0 &gt;&gt;C:\Users\stu\Documents\GitHub\eaglep3-reporting\EC\2017-05-18-refined-times.txt</v>
      </c>
      <c r="AI32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{"issue":{"subject":"","project_id":79,"tracker_id":40,"status_id":1,"priority_id":2,"assigned_to_id":23,"start_date":"2017-05-18","description":"","custom_fields":[{"id":1,"name":"Subdivision","value":"EC"},{"id":4,"name":"Milepost","value":"0.0147"},{"id":17,"name":"Train ID","value":"120-18"},{"id":16,"name":"Locomotive ID","value":"4027"},{"id":130,"name":"Impact","value":""},{"id":150,"name":"Time of Event (Mountain Time)","value":"07:38:26"},{"id":151,"name":"Denver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4027 --day 2017-05-18</v>
      </c>
      <c r="AN32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644</v>
      </c>
      <c r="B33" s="7">
        <v>4014</v>
      </c>
      <c r="C33" s="21" t="s">
        <v>206</v>
      </c>
      <c r="D33" s="21" t="s">
        <v>492</v>
      </c>
      <c r="E33" s="13">
        <v>42873.255532407406</v>
      </c>
      <c r="F33" s="13">
        <v>42873.260601851849</v>
      </c>
      <c r="G33" s="7">
        <v>1</v>
      </c>
      <c r="H33" s="21" t="s">
        <v>855</v>
      </c>
      <c r="I33" s="13">
        <v>42873.28533564815</v>
      </c>
      <c r="J33" s="7">
        <v>0</v>
      </c>
      <c r="K33" s="92" t="str">
        <f t="shared" si="0"/>
        <v>4013/4014</v>
      </c>
      <c r="L33" s="21" t="str">
        <f>VLOOKUP(A33,'Trips&amp;Operators'!$C$1:$G$99999,5,FALSE)</f>
        <v>GEBRETEKLE DAGNEW</v>
      </c>
      <c r="M33" s="6">
        <f t="shared" si="1"/>
        <v>2.4733796301006805E-2</v>
      </c>
      <c r="N33" s="7">
        <f t="shared" si="23"/>
        <v>35.616666673449799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-18T05:07:58-0600',mode:absolute,to:'2017-05-18T07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4.7100000000000003E-2</v>
      </c>
      <c r="Z33" s="192">
        <f t="shared" si="9"/>
        <v>23.336600000000001</v>
      </c>
      <c r="AA33" s="192">
        <f t="shared" si="10"/>
        <v>23.2895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0121-18</v>
      </c>
      <c r="AE33" s="80" t="str">
        <f t="shared" si="12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33" s="77" t="str">
        <f t="shared" si="13"/>
        <v>"C:\Program Files (x86)\AstroGrep\AstroGrep.exe" /e /r /s /spath="%USERPROFILE%\AppData\Local\Temp\OnboardLogs" /stypes="app*4014*20170518*"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121-18 --locoid 4014 --swversion DE.1.0.9.0 --startMP 204:471 --initTime 2017-05-18T06:07:58 --startdatetime 2017-05-18T06:15:16 --delay 1 --endMP 204:233366 --enddatetime 2017-05-18T06:50:53 --enforcementcount 0 &gt;&gt;C:\Users\stu\Documents\GitHub\eaglep3-reporting\EC\2017-05-18-refined-times.txt</v>
      </c>
      <c r="AI33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{"issue":{"subject":"","project_id":79,"tracker_id":40,"status_id":1,"priority_id":2,"assigned_to_id":23,"start_date":"2017-05-18","description":"","custom_fields":[{"id":1,"name":"Subdivision","value":"EC"},{"id":4,"name":"Milepost","value":"23.3366"},{"id":17,"name":"Train ID","value":"121-18"},{"id":16,"name":"Locomotive ID","value":"4014"},{"id":130,"name":"Impact","value":""},{"id":150,"name":"Time of Event (Mountain Time)","value":"06:50:53"},{"id":151,"name":"Denver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4014 --day 2017-05-18</v>
      </c>
      <c r="AN33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655</v>
      </c>
      <c r="B34" s="7">
        <v>4013</v>
      </c>
      <c r="C34" s="21" t="s">
        <v>206</v>
      </c>
      <c r="D34" s="21" t="s">
        <v>856</v>
      </c>
      <c r="E34" s="13">
        <v>42873.293553240743</v>
      </c>
      <c r="F34" s="13">
        <v>42873.299571759257</v>
      </c>
      <c r="G34" s="7">
        <v>1</v>
      </c>
      <c r="H34" s="21" t="s">
        <v>377</v>
      </c>
      <c r="I34" s="13">
        <v>42873.325636574074</v>
      </c>
      <c r="J34" s="7">
        <v>0</v>
      </c>
      <c r="K34" s="92" t="str">
        <f t="shared" si="0"/>
        <v>4013/4014</v>
      </c>
      <c r="L34" s="21" t="str">
        <f>VLOOKUP(A34,'Trips&amp;Operators'!$C$1:$G$99999,5,FALSE)</f>
        <v>GEBRETEKLE DAGNEW</v>
      </c>
      <c r="M34" s="6">
        <f t="shared" si="1"/>
        <v>2.6064814817800652E-2</v>
      </c>
      <c r="N34" s="7">
        <f t="shared" si="23"/>
        <v>37.533333337632939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-18T06:02:43-0600',mode:absolute,to:'2017-05-18T08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23.3047</v>
      </c>
      <c r="Z34" s="192">
        <f t="shared" si="9"/>
        <v>1.3599999999999999E-2</v>
      </c>
      <c r="AA34" s="192">
        <f t="shared" si="10"/>
        <v>23.2911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0122-18</v>
      </c>
      <c r="AE34" s="80" t="str">
        <f t="shared" si="12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34" s="77" t="str">
        <f t="shared" si="13"/>
        <v>"C:\Program Files (x86)\AstroGrep\AstroGrep.exe" /e /r /s /spath="%USERPROFILE%\AppData\Local\Temp\OnboardLogs" /stypes="app*4013*20170518*"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122-18 --locoid 4013 --swversion DE.1.0.9.0 --startMP 204:233047 --initTime 2017-05-18T07:02:43 --startdatetime 2017-05-18T07:11:23 --delay 1 --endMP 204:136 --enddatetime 2017-05-18T07:48:55 --enforcementcount 0 &gt;&gt;C:\Users\stu\Documents\GitHub\eaglep3-reporting\EC\2017-05-18-refined-times.txt</v>
      </c>
      <c r="AI34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{"issue":{"subject":"","project_id":79,"tracker_id":40,"status_id":1,"priority_id":2,"assigned_to_id":23,"start_date":"2017-05-18","description":"","custom_fields":[{"id":1,"name":"Subdivision","value":"EC"},{"id":4,"name":"Milepost","value":"0.0136"},{"id":17,"name":"Train ID","value":"122-18"},{"id":16,"name":"Locomotive ID","value":"4013"},{"id":130,"name":"Impact","value":""},{"id":150,"name":"Time of Event (Mountain Time)","value":"07:48:55"},{"id":151,"name":"Denver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4013 --day 2017-05-18</v>
      </c>
      <c r="AN34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648</v>
      </c>
      <c r="B35" s="7">
        <v>4056</v>
      </c>
      <c r="C35" s="21" t="s">
        <v>206</v>
      </c>
      <c r="D35" s="21" t="s">
        <v>366</v>
      </c>
      <c r="E35" s="13">
        <v>42873.269212962965</v>
      </c>
      <c r="F35" s="13">
        <v>42873.271365740744</v>
      </c>
      <c r="G35" s="7">
        <v>1</v>
      </c>
      <c r="H35" s="21" t="s">
        <v>857</v>
      </c>
      <c r="I35" s="13">
        <v>42873.297939814816</v>
      </c>
      <c r="J35" s="7">
        <v>0</v>
      </c>
      <c r="K35" s="92" t="str">
        <f t="shared" si="0"/>
        <v>4055/4056</v>
      </c>
      <c r="L35" s="21" t="str">
        <f>VLOOKUP(A35,'Trips&amp;Operators'!$C$1:$G$99999,5,FALSE)</f>
        <v>ROCHA YAOTL</v>
      </c>
      <c r="M35" s="6">
        <f t="shared" si="1"/>
        <v>2.6574074072414078E-2</v>
      </c>
      <c r="N35" s="7">
        <f t="shared" si="23"/>
        <v>38.266666664276272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-18T05:27:40-0600',mode:absolute,to:'2017-05-18T08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4.4699999999999997E-2</v>
      </c>
      <c r="Z35" s="192">
        <f t="shared" si="9"/>
        <v>23.3383</v>
      </c>
      <c r="AA35" s="192">
        <f t="shared" si="10"/>
        <v>23.293600000000001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0123-18</v>
      </c>
      <c r="AE35" s="80" t="str">
        <f t="shared" si="12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35" s="77" t="str">
        <f t="shared" si="13"/>
        <v>"C:\Program Files (x86)\AstroGrep\AstroGrep.exe" /e /r /s /spath="%USERPROFILE%\AppData\Local\Temp\OnboardLogs" /stypes="app*4056*20170518*"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123-18 --locoid 4056 --swversion DE.1.0.9.0 --startMP 204:447 --initTime 2017-05-18T06:27:40 --startdatetime 2017-05-18T06:30:46 --delay 1 --endMP 204:233383 --enddatetime 2017-05-18T07:09:02 --enforcementcount 0 &gt;&gt;C:\Users\stu\Documents\GitHub\eaglep3-reporting\EC\2017-05-18-refined-times.txt</v>
      </c>
      <c r="AI35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{"issue":{"subject":"","project_id":79,"tracker_id":40,"status_id":1,"priority_id":2,"assigned_to_id":23,"start_date":"2017-05-18","description":"","custom_fields":[{"id":1,"name":"Subdivision","value":"EC"},{"id":4,"name":"Milepost","value":"23.3383"},{"id":17,"name":"Train ID","value":"123-18"},{"id":16,"name":"Locomotive ID","value":"4056"},{"id":130,"name":"Impact","value":""},{"id":150,"name":"Time of Event (Mountain Time)","value":"07:09:02"},{"id":151,"name":"Denver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4056 --day 2017-05-18</v>
      </c>
      <c r="AN35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657</v>
      </c>
      <c r="B36" s="7">
        <v>4055</v>
      </c>
      <c r="C36" s="21" t="s">
        <v>206</v>
      </c>
      <c r="D36" s="21" t="s">
        <v>858</v>
      </c>
      <c r="E36" s="13">
        <v>42873.299699074072</v>
      </c>
      <c r="F36" s="13">
        <v>42873.309895833336</v>
      </c>
      <c r="G36" s="7">
        <v>0</v>
      </c>
      <c r="H36" s="21" t="s">
        <v>353</v>
      </c>
      <c r="I36" s="13">
        <v>42873.336875000001</v>
      </c>
      <c r="J36" s="7">
        <v>0</v>
      </c>
      <c r="K36" s="92" t="str">
        <f t="shared" si="0"/>
        <v>4055/4056</v>
      </c>
      <c r="L36" s="21" t="str">
        <f>VLOOKUP(A36,'Trips&amp;Operators'!$C$1:$G$99999,5,FALSE)</f>
        <v>ROCHA YAOTL</v>
      </c>
      <c r="M36" s="6">
        <f t="shared" si="1"/>
        <v>2.6979166665114462E-2</v>
      </c>
      <c r="N36" s="7">
        <f t="shared" si="23"/>
        <v>38.849999997764826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-18T06:11:34-0600',mode:absolute,to:'2017-05-18T09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23.307600000000001</v>
      </c>
      <c r="Z36" s="192">
        <f t="shared" si="9"/>
        <v>1.4500000000000001E-2</v>
      </c>
      <c r="AA36" s="192">
        <f t="shared" si="10"/>
        <v>23.293099999999999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0124-18</v>
      </c>
      <c r="AE36" s="80" t="str">
        <f t="shared" si="12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36" s="77" t="str">
        <f t="shared" si="13"/>
        <v>"C:\Program Files (x86)\AstroGrep\AstroGrep.exe" /e /r /s /spath="%USERPROFILE%\AppData\Local\Temp\OnboardLogs" /stypes="app*4055*20170518*"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124-18 --locoid 4055 --swversion DE.1.0.9.0 --startMP 204:233076 --initTime 2017-05-18T07:11:34 --startdatetime 2017-05-18T07:26:15 --delay 0 --endMP 204:145 --enddatetime 2017-05-18T08:05:06 --enforcementcount 0 &gt;&gt;C:\Users\stu\Documents\GitHub\eaglep3-reporting\EC\2017-05-18-refined-times.txt</v>
      </c>
      <c r="AI36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{"issue":{"subject":"","project_id":79,"tracker_id":40,"status_id":1,"priority_id":2,"assigned_to_id":23,"start_date":"2017-05-18","description":"","custom_fields":[{"id":1,"name":"Subdivision","value":"EC"},{"id":4,"name":"Milepost","value":"0.0145"},{"id":17,"name":"Train ID","value":"124-18"},{"id":16,"name":"Locomotive ID","value":"4055"},{"id":130,"name":"Impact","value":""},{"id":150,"name":"Time of Event (Mountain Time)","value":"08:05:06"},{"id":151,"name":"Denver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4055 --day 2017-05-18</v>
      </c>
      <c r="AN36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649</v>
      </c>
      <c r="B37" s="7">
        <v>4008</v>
      </c>
      <c r="C37" s="21" t="s">
        <v>206</v>
      </c>
      <c r="D37" s="21" t="s">
        <v>352</v>
      </c>
      <c r="E37" s="13">
        <v>42873.274537037039</v>
      </c>
      <c r="F37" s="13">
        <v>42873.281574074077</v>
      </c>
      <c r="G37" s="7">
        <v>1</v>
      </c>
      <c r="H37" s="21" t="s">
        <v>859</v>
      </c>
      <c r="I37" s="13">
        <v>42873.306030092594</v>
      </c>
      <c r="J37" s="7">
        <v>0</v>
      </c>
      <c r="K37" s="92" t="str">
        <f t="shared" si="0"/>
        <v>4007/4008</v>
      </c>
      <c r="L37" s="21" t="str">
        <f>VLOOKUP(A37,'Trips&amp;Operators'!$C$1:$G$99999,5,FALSE)</f>
        <v>YORK EDGAR</v>
      </c>
      <c r="M37" s="6">
        <f t="shared" si="1"/>
        <v>2.4456018516502809E-2</v>
      </c>
      <c r="N37" s="7">
        <f t="shared" si="23"/>
        <v>35.216666663764045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-18T05:35:20-0600',mode:absolute,to:'2017-05-18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4.4600000000000001E-2</v>
      </c>
      <c r="Z37" s="192">
        <f t="shared" si="9"/>
        <v>23.330200000000001</v>
      </c>
      <c r="AA37" s="192">
        <f t="shared" si="10"/>
        <v>23.285600000000002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0125-18</v>
      </c>
      <c r="AE37" s="80" t="str">
        <f t="shared" si="12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37" s="77" t="str">
        <f t="shared" si="13"/>
        <v>"C:\Program Files (x86)\AstroGrep\AstroGrep.exe" /e /r /s /spath="%USERPROFILE%\AppData\Local\Temp\OnboardLogs" /stypes="app*4008*20170518*"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125-18 --locoid 4008 --swversion DE.1.0.9.0 --startMP 204:446 --initTime 2017-05-18T06:35:20 --startdatetime 2017-05-18T06:45:28 --delay 1 --endMP 204:233302 --enddatetime 2017-05-18T07:20:41 --enforcementcount 0 &gt;&gt;C:\Users\stu\Documents\GitHub\eaglep3-reporting\EC\2017-05-18-refined-times.txt</v>
      </c>
      <c r="AI37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{"issue":{"subject":"","project_id":79,"tracker_id":40,"status_id":1,"priority_id":2,"assigned_to_id":23,"start_date":"2017-05-18","description":"","custom_fields":[{"id":1,"name":"Subdivision","value":"EC"},{"id":4,"name":"Milepost","value":"23.3302"},{"id":17,"name":"Train ID","value":"125-18"},{"id":16,"name":"Locomotive ID","value":"4008"},{"id":130,"name":"Impact","value":""},{"id":150,"name":"Time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4008 --day 2017-05-18</v>
      </c>
      <c r="AN37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590</v>
      </c>
      <c r="B38" s="7">
        <v>4007</v>
      </c>
      <c r="C38" s="21" t="s">
        <v>206</v>
      </c>
      <c r="D38" s="21" t="s">
        <v>559</v>
      </c>
      <c r="E38" s="13">
        <v>42873.306863425925</v>
      </c>
      <c r="F38" s="13">
        <v>42873.320844907408</v>
      </c>
      <c r="G38" s="7">
        <v>0</v>
      </c>
      <c r="H38" s="21" t="s">
        <v>369</v>
      </c>
      <c r="I38" s="13">
        <v>42873.348067129627</v>
      </c>
      <c r="J38" s="7">
        <v>0</v>
      </c>
      <c r="K38" s="92" t="str">
        <f t="shared" si="0"/>
        <v>4007/4008</v>
      </c>
      <c r="L38" s="21" t="str">
        <f>VLOOKUP(A38,'Trips&amp;Operators'!$C$1:$G$99999,5,FALSE)</f>
        <v>YORK EDGAR</v>
      </c>
      <c r="M38" s="6">
        <f t="shared" si="1"/>
        <v>2.7222222219279502E-2</v>
      </c>
      <c r="N38" s="7">
        <f t="shared" si="23"/>
        <v>39.199999995762482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-18T06:21:53-0600',mode:absolute,to:'2017-05-18T09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23.297899999999998</v>
      </c>
      <c r="Z38" s="192">
        <f t="shared" si="9"/>
        <v>1.41E-2</v>
      </c>
      <c r="AA38" s="192">
        <f t="shared" si="10"/>
        <v>23.283799999999999</v>
      </c>
      <c r="AB38" s="57" t="str">
        <f>VLOOKUP(A38,Enforcements!$C$7:$K$13,8,0)</f>
        <v>Bulletin (2)</v>
      </c>
      <c r="AC38" s="53" t="str">
        <f>VLOOKUP(A38,Enforcements!$C$7:$E$13,3,0)</f>
        <v>GRADE CROSSING</v>
      </c>
      <c r="AD38" s="54" t="str">
        <f t="shared" si="11"/>
        <v>0126-18</v>
      </c>
      <c r="AE38" s="80" t="str">
        <f t="shared" si="12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38" s="77" t="str">
        <f t="shared" si="13"/>
        <v>"C:\Program Files (x86)\AstroGrep\AstroGrep.exe" /e /r /s /spath="%USERPROFILE%\AppData\Local\Temp\OnboardLogs" /stypes="app*4007*20170518*"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126-18 --locoid 4007 --swversion DE.1.0.9.0 --startMP 204:232979 --initTime 2017-05-18T07:21:53 --startdatetime 2017-05-18T07:42:01 --delay 0 --endMP 204:141 --enddatetime 2017-05-18T08:21:13 --enforcementcount 0 &gt;&gt;C:\Users\stu\Documents\GitHub\eaglep3-reporting\EC\2017-05-18-refined-times.txt</v>
      </c>
      <c r="AI38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{"issue":{"subject":"","project_id":79,"tracker_id":40,"status_id":1,"priority_id":2,"assigned_to_id":23,"start_date":"2017-05-18","description":"","custom_fields":[{"id":1,"name":"Subdivision","value":"EC"},{"id":4,"name":"Milepost","value":"0.0141"},{"id":17,"name":"Train ID","value":"126-18"},{"id":16,"name":"Locomotive ID","value":"4007"},{"id":130,"name":"Impact","value":""},{"id":150,"name":"Time of Event (Mountain Time)","value":"08:21:13"},{"id":151,"name":"Denver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4007 --day 2017-05-18</v>
      </c>
      <c r="AN38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653</v>
      </c>
      <c r="B39" s="7">
        <v>4030</v>
      </c>
      <c r="C39" s="21" t="s">
        <v>206</v>
      </c>
      <c r="D39" s="21" t="s">
        <v>365</v>
      </c>
      <c r="E39" s="13">
        <v>42873.288645833331</v>
      </c>
      <c r="F39" s="13">
        <v>42873.291886574072</v>
      </c>
      <c r="G39" s="7">
        <v>1</v>
      </c>
      <c r="H39" s="21" t="s">
        <v>500</v>
      </c>
      <c r="I39" s="13">
        <v>42873.317048611112</v>
      </c>
      <c r="J39" s="7">
        <v>0</v>
      </c>
      <c r="K39" s="92" t="str">
        <f t="shared" si="0"/>
        <v>4029/4030</v>
      </c>
      <c r="L39" s="21" t="str">
        <f>VLOOKUP(A39,'Trips&amp;Operators'!$C$1:$G$99999,5,FALSE)</f>
        <v>BADERTSCHER DIANE</v>
      </c>
      <c r="M39" s="6">
        <f t="shared" si="1"/>
        <v>2.5162037039990537E-2</v>
      </c>
      <c r="N39" s="7">
        <f t="shared" si="23"/>
        <v>36.233333337586373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-18T05:55:39-0600',mode:absolute,to:'2017-05-18T08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4.4400000000000002E-2</v>
      </c>
      <c r="Z39" s="192">
        <f t="shared" si="9"/>
        <v>23.335100000000001</v>
      </c>
      <c r="AA39" s="192">
        <f t="shared" si="10"/>
        <v>23.290700000000001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0127-18</v>
      </c>
      <c r="AE39" s="80" t="str">
        <f t="shared" si="12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39" s="77" t="str">
        <f t="shared" si="13"/>
        <v>"C:\Program Files (x86)\AstroGrep\AstroGrep.exe" /e /r /s /spath="%USERPROFILE%\AppData\Local\Temp\OnboardLogs" /stypes="app*4030*20170518*"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127-18 --locoid 4030 --swversion DE.1.0.9.0 --startMP 204:444 --initTime 2017-05-18T06:55:39 --startdatetime 2017-05-18T07:00:19 --delay 1 --endMP 204:233351 --enddatetime 2017-05-18T07:36:33 --enforcementcount 0 &gt;&gt;C:\Users\stu\Documents\GitHub\eaglep3-reporting\EC\2017-05-18-refined-times.txt</v>
      </c>
      <c r="AI39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{"issue":{"subject":"","project_id":79,"tracker_id":40,"status_id":1,"priority_id":2,"assigned_to_id":23,"start_date":"2017-05-18","description":"","custom_fields":[{"id":1,"name":"Subdivision","value":"EC"},{"id":4,"name":"Milepost","value":"23.3351"},{"id":17,"name":"Train ID","value":"127-18"},{"id":16,"name":"Locomotive ID","value":"4030"},{"id":130,"name":"Impact","value":""},{"id":150,"name":"Time of Event (Mountain Time)","value":"07:36:33"},{"id":151,"name":"Denver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4030 --day 2017-05-18</v>
      </c>
      <c r="AN39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664</v>
      </c>
      <c r="B40" s="7">
        <v>4029</v>
      </c>
      <c r="C40" s="21" t="s">
        <v>206</v>
      </c>
      <c r="D40" s="21" t="s">
        <v>494</v>
      </c>
      <c r="E40" s="13">
        <v>42873.324432870373</v>
      </c>
      <c r="F40" s="13">
        <v>42873.330706018518</v>
      </c>
      <c r="G40" s="7">
        <v>1</v>
      </c>
      <c r="H40" s="21" t="s">
        <v>367</v>
      </c>
      <c r="I40" s="13">
        <v>42873.358078703706</v>
      </c>
      <c r="J40" s="7">
        <v>0</v>
      </c>
      <c r="K40" s="92" t="str">
        <f t="shared" si="0"/>
        <v>4029/4030</v>
      </c>
      <c r="L40" s="21" t="str">
        <f>VLOOKUP(A40,'Trips&amp;Operators'!$C$1:$G$99999,5,FALSE)</f>
        <v>BADERTSCHER DIANE</v>
      </c>
      <c r="M40" s="6">
        <f t="shared" si="1"/>
        <v>2.7372685188311152E-2</v>
      </c>
      <c r="N40" s="7">
        <f t="shared" si="23"/>
        <v>39.416666671168059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-18T06:47:11-0600',mode:absolute,to:'2017-05-18T09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23.299199999999999</v>
      </c>
      <c r="Z40" s="192">
        <f t="shared" si="9"/>
        <v>1.3899999999999999E-2</v>
      </c>
      <c r="AA40" s="192">
        <f t="shared" si="10"/>
        <v>23.285299999999999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0128-18</v>
      </c>
      <c r="AE40" s="80" t="str">
        <f t="shared" si="12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40" s="77" t="str">
        <f t="shared" si="13"/>
        <v>"C:\Program Files (x86)\AstroGrep\AstroGrep.exe" /e /r /s /spath="%USERPROFILE%\AppData\Local\Temp\OnboardLogs" /stypes="app*4029*20170518*"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128-18 --locoid 4029 --swversion DE.1.0.9.0 --startMP 204:232992 --initTime 2017-05-18T07:47:11 --startdatetime 2017-05-18T07:56:13 --delay 1 --endMP 204:139 --enddatetime 2017-05-18T08:35:38 --enforcementcount 0 &gt;&gt;C:\Users\stu\Documents\GitHub\eaglep3-reporting\EC\2017-05-18-refined-times.txt</v>
      </c>
      <c r="AI40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{"issue":{"subject":"","project_id":79,"tracker_id":40,"status_id":1,"priority_id":2,"assigned_to_id":23,"start_date":"2017-05-18","description":"","custom_fields":[{"id":1,"name":"Subdivision","value":"EC"},{"id":4,"name":"Milepost","value":"0.0139"},{"id":17,"name":"Train ID","value":"128-18"},{"id":16,"name":"Locomotive ID","value":"4029"},{"id":130,"name":"Impact","value":""},{"id":150,"name":"Time of Event (Mountain Time)","value":"08:35:38"},{"id":151,"name":"Denver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4029 --day 2017-05-18</v>
      </c>
      <c r="AN40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658</v>
      </c>
      <c r="B41" s="7">
        <v>4010</v>
      </c>
      <c r="C41" s="21" t="s">
        <v>206</v>
      </c>
      <c r="D41" s="21" t="s">
        <v>364</v>
      </c>
      <c r="E41" s="13">
        <v>42873.302314814813</v>
      </c>
      <c r="F41" s="13">
        <v>42873.303761574076</v>
      </c>
      <c r="G41" s="7">
        <v>1</v>
      </c>
      <c r="H41" s="21" t="s">
        <v>549</v>
      </c>
      <c r="I41" s="13">
        <v>42873.329629629632</v>
      </c>
      <c r="J41" s="7">
        <v>0</v>
      </c>
      <c r="K41" s="92" t="str">
        <f t="shared" si="0"/>
        <v>4009/4010</v>
      </c>
      <c r="L41" s="21" t="str">
        <f>VLOOKUP(A41,'Trips&amp;Operators'!$C$1:$G$99999,5,FALSE)</f>
        <v>SPECTOR MICHAEL</v>
      </c>
      <c r="M41" s="6">
        <f t="shared" si="1"/>
        <v>2.5868055556202307E-2</v>
      </c>
      <c r="N41" s="7">
        <f t="shared" si="23"/>
        <v>37.250000000931323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-18T06:15:20-0600',mode:absolute,to:'2017-05-18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4.53E-2</v>
      </c>
      <c r="Z41" s="192">
        <f t="shared" si="9"/>
        <v>23.3353</v>
      </c>
      <c r="AA41" s="192">
        <f t="shared" si="10"/>
        <v>23.29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0129-18</v>
      </c>
      <c r="AE41" s="80" t="str">
        <f t="shared" si="12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41" s="77" t="str">
        <f t="shared" si="13"/>
        <v>"C:\Program Files (x86)\AstroGrep\AstroGrep.exe" /e /r /s /spath="%USERPROFILE%\AppData\Local\Temp\OnboardLogs" /stypes="app*4010*20170518*"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129-18 --locoid 4010 --swversion DE.1.0.9.0 --startMP 204:453 --initTime 2017-05-18T07:15:20 --startdatetime 2017-05-18T07:17:25 --delay 1 --endMP 204:233353 --enddatetime 2017-05-18T07:54:40 --enforcementcount 0 &gt;&gt;C:\Users\stu\Documents\GitHub\eaglep3-reporting\EC\2017-05-18-refined-times.txt</v>
      </c>
      <c r="AI41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{"issue":{"subject":"","project_id":79,"tracker_id":40,"status_id":1,"priority_id":2,"assigned_to_id":23,"start_date":"2017-05-18","description":"","custom_fields":[{"id":1,"name":"Subdivision","value":"EC"},{"id":4,"name":"Milepost","value":"23.3353"},{"id":17,"name":"Train ID","value":"129-18"},{"id":16,"name":"Locomotive ID","value":"4010"},{"id":130,"name":"Impact","value":""},{"id":150,"name":"Time of Event (Mountain Time)","value":"07:54:40"},{"id":151,"name":"Denver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4010 --day 2017-05-18</v>
      </c>
      <c r="AN41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666</v>
      </c>
      <c r="B42" s="7">
        <v>4009</v>
      </c>
      <c r="C42" s="21" t="s">
        <v>206</v>
      </c>
      <c r="D42" s="21" t="s">
        <v>860</v>
      </c>
      <c r="E42" s="13">
        <v>42873.332025462965</v>
      </c>
      <c r="F42" s="13">
        <v>42873.341157407405</v>
      </c>
      <c r="G42" s="7">
        <v>1</v>
      </c>
      <c r="H42" s="21" t="s">
        <v>198</v>
      </c>
      <c r="I42" s="13">
        <v>42873.368321759262</v>
      </c>
      <c r="J42" s="7">
        <v>0</v>
      </c>
      <c r="K42" s="92" t="str">
        <f t="shared" si="0"/>
        <v>4009/4010</v>
      </c>
      <c r="L42" s="21" t="str">
        <f>VLOOKUP(A42,'Trips&amp;Operators'!$C$1:$G$99999,5,FALSE)</f>
        <v>SPECTOR MICHAEL</v>
      </c>
      <c r="M42" s="6">
        <f t="shared" si="1"/>
        <v>2.7164351857209112E-2</v>
      </c>
      <c r="N42" s="7">
        <f t="shared" si="23"/>
        <v>39.116666674381122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-18T06:58:07-0600',mode:absolute,to:'2017-05-18T09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23.3049</v>
      </c>
      <c r="Z42" s="192">
        <f t="shared" si="9"/>
        <v>1.5800000000000002E-2</v>
      </c>
      <c r="AA42" s="192">
        <f t="shared" si="10"/>
        <v>23.289100000000001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0130-18</v>
      </c>
      <c r="AE42" s="80" t="str">
        <f t="shared" si="12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42" s="77" t="str">
        <f t="shared" si="13"/>
        <v>"C:\Program Files (x86)\AstroGrep\AstroGrep.exe" /e /r /s /spath="%USERPROFILE%\AppData\Local\Temp\OnboardLogs" /stypes="app*4009*20170518*"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130-18 --locoid 4009 --swversion DE.1.0.9.0 --startMP 204:233049 --initTime 2017-05-18T07:58:07 --startdatetime 2017-05-18T08:11:16 --delay 1 --endMP 204:158 --enddatetime 2017-05-18T08:50:23 --enforcementcount 0 &gt;&gt;C:\Users\stu\Documents\GitHub\eaglep3-reporting\EC\2017-05-18-refined-times.txt</v>
      </c>
      <c r="AI42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ID","value":"130-18"},{"id":16,"name":"Locomotive ID","value":"4009"},{"id":130,"name":"Impact","value":""},{"id":150,"name":"Time of Event (Mountain Time)","value":"08:50:23"},{"id":151,"name":"Denver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4009 --day 2017-05-18</v>
      </c>
      <c r="AN42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660</v>
      </c>
      <c r="B43" s="7">
        <v>4002</v>
      </c>
      <c r="C43" s="21" t="s">
        <v>206</v>
      </c>
      <c r="D43" s="21" t="s">
        <v>347</v>
      </c>
      <c r="E43" s="13">
        <v>42873.308229166665</v>
      </c>
      <c r="F43" s="13">
        <v>42873.312696759262</v>
      </c>
      <c r="G43" s="7">
        <v>1</v>
      </c>
      <c r="H43" s="21" t="s">
        <v>861</v>
      </c>
      <c r="I43" s="13">
        <v>42873.337638888886</v>
      </c>
      <c r="J43" s="7">
        <v>0</v>
      </c>
      <c r="K43" s="92" t="str">
        <f t="shared" si="0"/>
        <v>4001/4002</v>
      </c>
      <c r="L43" s="21" t="str">
        <f>VLOOKUP(A43,'Trips&amp;Operators'!$C$1:$G$99999,5,FALSE)</f>
        <v>BONDS REYNALDO</v>
      </c>
      <c r="M43" s="6">
        <f t="shared" si="1"/>
        <v>2.4942129624832887E-2</v>
      </c>
      <c r="N43" s="7">
        <f t="shared" si="23"/>
        <v>35.916666659759358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-18T06:23:51-0600',mode:absolute,to:'2017-05-18T09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4.4900000000000002E-2</v>
      </c>
      <c r="Z43" s="192">
        <f t="shared" si="9"/>
        <v>23.331800000000001</v>
      </c>
      <c r="AA43" s="192">
        <f t="shared" si="10"/>
        <v>23.286900000000003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0131-18</v>
      </c>
      <c r="AE43" s="80" t="str">
        <f t="shared" si="12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43" s="77" t="str">
        <f t="shared" si="13"/>
        <v>"C:\Program Files (x86)\AstroGrep\AstroGrep.exe" /e /r /s /spath="%USERPROFILE%\AppData\Local\Temp\OnboardLogs" /stypes="app*4002*20170518*"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131-18 --locoid 4002 --swversion DE.1.0.9.0 --startMP 204:449 --initTime 2017-05-18T07:23:51 --startdatetime 2017-05-18T07:30:17 --delay 1 --endMP 204:233318 --enddatetime 2017-05-18T08:06:12 --enforcementcount 0 &gt;&gt;C:\Users\stu\Documents\GitHub\eaglep3-reporting\EC\2017-05-18-refined-times.txt</v>
      </c>
      <c r="AI43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{"issue":{"subject":"","project_id":79,"tracker_id":40,"status_id":1,"priority_id":2,"assigned_to_id":23,"start_date":"2017-05-18","description":"","custom_fields":[{"id":1,"name":"Subdivision","value":"EC"},{"id":4,"name":"Milepost","value":"23.3318"},{"id":17,"name":"Train ID","value":"131-18"},{"id":16,"name":"Locomotive ID","value":"4002"},{"id":130,"name":"Impact","value":""},{"id":150,"name":"Time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4002 --day 2017-05-18</v>
      </c>
      <c r="AN43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670</v>
      </c>
      <c r="B44" s="7">
        <v>4001</v>
      </c>
      <c r="C44" s="21" t="s">
        <v>206</v>
      </c>
      <c r="D44" s="21" t="s">
        <v>427</v>
      </c>
      <c r="E44" s="13">
        <v>42873.347928240742</v>
      </c>
      <c r="F44" s="13">
        <v>42873.351655092592</v>
      </c>
      <c r="G44" s="7">
        <v>1</v>
      </c>
      <c r="H44" s="21" t="s">
        <v>353</v>
      </c>
      <c r="I44" s="13">
        <v>42873.378923611112</v>
      </c>
      <c r="J44" s="7">
        <v>0</v>
      </c>
      <c r="K44" s="92" t="str">
        <f t="shared" si="0"/>
        <v>4001/4002</v>
      </c>
      <c r="L44" s="21" t="str">
        <f>VLOOKUP(A44,'Trips&amp;Operators'!$C$1:$G$99999,5,FALSE)</f>
        <v>BONDS REYNALDO</v>
      </c>
      <c r="M44" s="6">
        <f t="shared" si="1"/>
        <v>2.7268518519122154E-2</v>
      </c>
      <c r="N44" s="7">
        <f t="shared" si="23"/>
        <v>39.266666667535901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-18T07:21:01-0600',mode:absolute,to:'2017-05-18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23.297499999999999</v>
      </c>
      <c r="Z44" s="192">
        <f t="shared" si="9"/>
        <v>1.4500000000000001E-2</v>
      </c>
      <c r="AA44" s="192">
        <f t="shared" si="10"/>
        <v>23.282999999999998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0132-18</v>
      </c>
      <c r="AE44" s="80" t="str">
        <f t="shared" si="12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44" s="77" t="str">
        <f t="shared" si="13"/>
        <v>"C:\Program Files (x86)\AstroGrep\AstroGrep.exe" /e /r /s /spath="%USERPROFILE%\AppData\Local\Temp\OnboardLogs" /stypes="app*4001*20170518*"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132-18 --locoid 4001 --swversion DE.1.0.9.0 --startMP 204:232975 --initTime 2017-05-18T08:21:01 --startdatetime 2017-05-18T08:26:23 --delay 1 --endMP 204:145 --enddatetime 2017-05-18T09:05:39 --enforcementcount 0 &gt;&gt;C:\Users\stu\Documents\GitHub\eaglep3-reporting\EC\2017-05-18-refined-times.txt</v>
      </c>
      <c r="AI44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{"issue":{"subject":"","project_id":79,"tracker_id":40,"status_id":1,"priority_id":2,"assigned_to_id":23,"start_date":"2017-05-18","description":"","custom_fields":[{"id":1,"name":"Subdivision","value":"EC"},{"id":4,"name":"Milepost","value":"0.0145"},{"id":17,"name":"Train ID","value":"132-18"},{"id":16,"name":"Locomotive ID","value":"4001"},{"id":130,"name":"Impact","value":""},{"id":150,"name":"Time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4001 --day 2017-05-18</v>
      </c>
      <c r="AN44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662</v>
      </c>
      <c r="B45" s="7">
        <v>4028</v>
      </c>
      <c r="C45" s="21" t="s">
        <v>206</v>
      </c>
      <c r="D45" s="21" t="s">
        <v>406</v>
      </c>
      <c r="E45" s="13">
        <v>42873.319930555554</v>
      </c>
      <c r="F45" s="13">
        <v>42873.323240740741</v>
      </c>
      <c r="G45" s="7">
        <v>1</v>
      </c>
      <c r="H45" s="21" t="s">
        <v>425</v>
      </c>
      <c r="I45" s="13">
        <v>42873.348368055558</v>
      </c>
      <c r="J45" s="7">
        <v>0</v>
      </c>
      <c r="K45" s="92" t="str">
        <f t="shared" si="0"/>
        <v>4027/4028</v>
      </c>
      <c r="L45" s="21" t="str">
        <f>VLOOKUP(A45,'Trips&amp;Operators'!$C$1:$G$99999,5,FALSE)</f>
        <v>ROBINSON KADDIBA</v>
      </c>
      <c r="M45" s="6">
        <f t="shared" si="1"/>
        <v>2.5127314816927537E-2</v>
      </c>
      <c r="N45" s="7">
        <f t="shared" si="23"/>
        <v>36.183333336375654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-18T06:40:42-0600',mode:absolute,to:'2017-05-18T09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2" t="str">
        <f t="shared" si="6"/>
        <v>N</v>
      </c>
      <c r="X45" s="192">
        <f t="shared" ref="X45:X76" si="24">VALUE(LEFT(AD45,4))-VALUE(LEFT(AD44,4))</f>
        <v>1</v>
      </c>
      <c r="Y45" s="192">
        <f t="shared" si="8"/>
        <v>4.6199999999999998E-2</v>
      </c>
      <c r="Z45" s="192">
        <f t="shared" si="9"/>
        <v>23.329699999999999</v>
      </c>
      <c r="AA45" s="192">
        <f t="shared" si="10"/>
        <v>23.2835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0133-18</v>
      </c>
      <c r="AE45" s="80" t="str">
        <f t="shared" si="12"/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AF45" s="77" t="str">
        <f t="shared" si="13"/>
        <v>"C:\Program Files (x86)\AstroGrep\AstroGrep.exe" /e /r /s /spath="%USERPROFILE%\AppData\Local\Temp\OnboardLogs" /stypes="app*4028*20170518*"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133-18 --locoid 4028 --swversion DE.1.0.9.0 --startMP 204:462 --initTime 2017-05-18T07:40:42 --startdatetime 2017-05-18T07:45:28 --delay 1 --endMP 204:233297 --enddatetime 2017-05-18T08:21:39 --enforcementcount 0 &gt;&gt;C:\Users\stu\Documents\GitHub\eaglep3-reporting\EC\2017-05-18-refined-times.txt</v>
      </c>
      <c r="AI45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{"issue":{"subject":"","project_id":79,"tracker_id":40,"status_id":1,"priority_id":2,"assigned_to_id":23,"start_date":"2017-05-18","description":"","custom_fields":[{"id":1,"name":"Subdivision","value":"EC"},{"id":4,"name":"Milepost","value":"23.3297"},{"id":17,"name":"Train ID","value":"133-18"},{"id":16,"name":"Locomotive ID","value":"4028"},{"id":130,"name":"Impact","value":""},{"id":150,"name":"Time of Event (Mountain Time)","value":"08:21:39"},{"id":151,"name":"Denver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4028 --day 2017-05-18</v>
      </c>
      <c r="AN45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672</v>
      </c>
      <c r="B46" s="7">
        <v>4027</v>
      </c>
      <c r="C46" s="21" t="s">
        <v>206</v>
      </c>
      <c r="D46" s="21" t="s">
        <v>559</v>
      </c>
      <c r="E46" s="13">
        <v>42873.356006944443</v>
      </c>
      <c r="F46" s="13">
        <v>42873.361967592595</v>
      </c>
      <c r="G46" s="7">
        <v>0</v>
      </c>
      <c r="H46" s="21" t="s">
        <v>197</v>
      </c>
      <c r="I46" s="13">
        <v>42873.388796296298</v>
      </c>
      <c r="J46" s="7">
        <v>0</v>
      </c>
      <c r="K46" s="92" t="str">
        <f t="shared" si="0"/>
        <v>4027/4028</v>
      </c>
      <c r="L46" s="21" t="str">
        <f>VLOOKUP(A46,'Trips&amp;Operators'!$C$1:$G$99999,5,FALSE)</f>
        <v>ROBINSON KADDIBA</v>
      </c>
      <c r="M46" s="6">
        <f t="shared" si="1"/>
        <v>2.6828703703358769E-2</v>
      </c>
      <c r="N46" s="7">
        <f t="shared" si="23"/>
        <v>38.633333332836628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-18T07:32:39-0600',mode:absolute,to:'2017-05-18T10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2" t="str">
        <f t="shared" si="6"/>
        <v>N</v>
      </c>
      <c r="X46" s="192">
        <f t="shared" si="24"/>
        <v>1</v>
      </c>
      <c r="Y46" s="192">
        <f t="shared" si="8"/>
        <v>23.297899999999998</v>
      </c>
      <c r="Z46" s="192">
        <f t="shared" si="9"/>
        <v>1.52E-2</v>
      </c>
      <c r="AA46" s="192">
        <f t="shared" si="10"/>
        <v>23.282699999999998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0134-18</v>
      </c>
      <c r="AE46" s="80" t="str">
        <f t="shared" si="12"/>
        <v>aws s3 cp s3://rtdc.mdm.uploadarchive.raw/RTDC4027/ "%USERPROFILE%\AppData\Local\Temp\OnboardLogs"\RTDC4027\2017-05-18 --exclude "*" --recursive --include "*20170518*" &amp; "%USERPROFILE%\Documents\GitHub\mrs-test-scripts\Headless Mode &amp; Sideloading\WalkAndUnGZ.bat" "%USERPROFILE%\AppData\Local\Temp\OnboardLogs"\RTDC4027\2017-05-18 &amp; aws s3 cp s3://rtdc.mdm.uploadarchive.raw/RTDC4027/ "%USERPROFILE%\AppData\Local\Temp\OnboardLogs"\RTDC4027\2017-05-19 --exclude "*" --recursive --include "*20170519*" &amp; "%USERPROFILE%\Documents\GitHub\mrs-test-scripts\Headless Mode &amp; Sideloading\WalkAndUnGZ.bat" "%USERPROFILE%\AppData\Local\Temp\OnboardLogs"\RTDC4027\2017-05-19</v>
      </c>
      <c r="AF46" s="77" t="str">
        <f t="shared" si="13"/>
        <v>"C:\Program Files (x86)\AstroGrep\AstroGrep.exe" /e /r /s /spath="%USERPROFILE%\AppData\Local\Temp\OnboardLogs" /stypes="app*4027*20170518*"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134-18 --locoid 4027 --swversion DE.1.0.9.0 --startMP 204:232979 --initTime 2017-05-18T08:32:39 --startdatetime 2017-05-18T08:41:14 --delay 0 --endMP 204:152 --enddatetime 2017-05-18T09:19:52 --enforcementcount 0 &gt;&gt;C:\Users\stu\Documents\GitHub\eaglep3-reporting\EC\2017-05-18-refined-times.txt</v>
      </c>
      <c r="AI46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ID","value":"134-18"},{"id":16,"name":"Locomotive ID","value":"4027"},{"id":130,"name":"Impact","value":""},{"id":150,"name":"Time of Event (Mountain Time)","value":"09:19:52"},{"id":151,"name":"Denver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4027 --day 2017-05-18</v>
      </c>
      <c r="AN46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665</v>
      </c>
      <c r="B47" s="7">
        <v>4014</v>
      </c>
      <c r="C47" s="21" t="s">
        <v>206</v>
      </c>
      <c r="D47" s="21" t="s">
        <v>554</v>
      </c>
      <c r="E47" s="13">
        <v>42873.3284375</v>
      </c>
      <c r="F47" s="13">
        <v>42873.333518518521</v>
      </c>
      <c r="G47" s="7">
        <v>1</v>
      </c>
      <c r="H47" s="21" t="s">
        <v>862</v>
      </c>
      <c r="I47" s="13">
        <v>42873.357905092591</v>
      </c>
      <c r="J47" s="7">
        <v>0</v>
      </c>
      <c r="K47" s="92" t="str">
        <f t="shared" si="0"/>
        <v>4013/4014</v>
      </c>
      <c r="L47" s="21" t="str">
        <f>VLOOKUP(A47,'Trips&amp;Operators'!$C$1:$G$99999,5,FALSE)</f>
        <v>GEBRETEKLE DAGNEW</v>
      </c>
      <c r="M47" s="6">
        <f t="shared" si="1"/>
        <v>2.438657407037681E-2</v>
      </c>
      <c r="N47" s="7">
        <f t="shared" si="23"/>
        <v>35.116666661342606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-18T06:52:57-0600',mode:absolute,to:'2017-05-18T09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192" t="str">
        <f t="shared" si="6"/>
        <v>N</v>
      </c>
      <c r="X47" s="192">
        <f t="shared" si="24"/>
        <v>1</v>
      </c>
      <c r="Y47" s="192">
        <f t="shared" si="8"/>
        <v>4.3799999999999999E-2</v>
      </c>
      <c r="Z47" s="192">
        <f t="shared" si="9"/>
        <v>23.328199999999999</v>
      </c>
      <c r="AA47" s="192">
        <f t="shared" si="10"/>
        <v>23.284399999999998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0135-18</v>
      </c>
      <c r="AE47" s="80" t="str">
        <f t="shared" si="12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47" s="77" t="str">
        <f t="shared" si="13"/>
        <v>"C:\Program Files (x86)\AstroGrep\AstroGrep.exe" /e /r /s /spath="%USERPROFILE%\AppData\Local\Temp\OnboardLogs" /stypes="app*4014*20170518*"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135-18 --locoid 4014 --swversion DE.1.0.9.0 --startMP 204:438 --initTime 2017-05-18T07:52:57 --startdatetime 2017-05-18T08:00:16 --delay 1 --endMP 204:233282 --enddatetime 2017-05-18T08:35:23 --enforcementcount 0 &gt;&gt;C:\Users\stu\Documents\GitHub\eaglep3-reporting\EC\2017-05-18-refined-times.txt</v>
      </c>
      <c r="AI47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{"issue":{"subject":"","project_id":79,"tracker_id":40,"status_id":1,"priority_id":2,"assigned_to_id":23,"start_date":"2017-05-18","description":"","custom_fields":[{"id":1,"name":"Subdivision","value":"EC"},{"id":4,"name":"Milepost","value":"23.3282"},{"id":17,"name":"Train ID","value":"135-18"},{"id":16,"name":"Locomotive ID","value":"4014"},{"id":130,"name":"Impact","value":""},{"id":150,"name":"Time of Event (Mountain Time)","value":"08:35:23"},{"id":151,"name":"Denver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4014 --day 2017-05-18</v>
      </c>
      <c r="AN47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675</v>
      </c>
      <c r="B48" s="7">
        <v>4013</v>
      </c>
      <c r="C48" s="21" t="s">
        <v>206</v>
      </c>
      <c r="D48" s="21" t="s">
        <v>863</v>
      </c>
      <c r="E48" s="13">
        <v>42873.366608796299</v>
      </c>
      <c r="F48" s="13">
        <v>42873.372407407405</v>
      </c>
      <c r="G48" s="7">
        <v>1</v>
      </c>
      <c r="H48" s="21" t="s">
        <v>197</v>
      </c>
      <c r="I48" s="13">
        <v>42873.399004629631</v>
      </c>
      <c r="J48" s="7">
        <v>0</v>
      </c>
      <c r="K48" s="92" t="str">
        <f t="shared" si="0"/>
        <v>4013/4014</v>
      </c>
      <c r="L48" s="21" t="str">
        <f>VLOOKUP(A48,'Trips&amp;Operators'!$C$1:$G$99999,5,FALSE)</f>
        <v>GEBRETEKLE DAGNEW</v>
      </c>
      <c r="M48" s="6">
        <f t="shared" si="1"/>
        <v>2.6597222225973383E-2</v>
      </c>
      <c r="N48" s="7">
        <f t="shared" si="23"/>
        <v>38.300000005401671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-18T07:47:55-0600',mode:absolute,to:'2017-05-18T10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8" s="192" t="str">
        <f t="shared" si="6"/>
        <v>N</v>
      </c>
      <c r="X48" s="192">
        <f t="shared" si="24"/>
        <v>1</v>
      </c>
      <c r="Y48" s="192">
        <f t="shared" si="8"/>
        <v>23.2988</v>
      </c>
      <c r="Z48" s="192">
        <f t="shared" si="9"/>
        <v>1.52E-2</v>
      </c>
      <c r="AA48" s="192">
        <f t="shared" si="10"/>
        <v>23.2836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0136-18</v>
      </c>
      <c r="AE48" s="80" t="str">
        <f t="shared" si="12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48" s="77" t="str">
        <f t="shared" si="13"/>
        <v>"C:\Program Files (x86)\AstroGrep\AstroGrep.exe" /e /r /s /spath="%USERPROFILE%\AppData\Local\Temp\OnboardLogs" /stypes="app*4013*20170518*"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136-18 --locoid 4013 --swversion DE.1.0.9.0 --startMP 204:232988 --initTime 2017-05-18T08:47:55 --startdatetime 2017-05-18T08:56:16 --delay 1 --endMP 204:152 --enddatetime 2017-05-18T09:34:34 --enforcementcount 0 &gt;&gt;C:\Users\stu\Documents\GitHub\eaglep3-reporting\EC\2017-05-18-refined-times.txt</v>
      </c>
      <c r="AI48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ID","value":"136-18"},{"id":16,"name":"Locomotive ID","value":"4013"},{"id":130,"name":"Impact","value":""},{"id":150,"name":"Time of Event (Mountain Time)","value":"09:34:34"},{"id":151,"name":"Denver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4013 --day 2017-05-18</v>
      </c>
      <c r="AN48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668</v>
      </c>
      <c r="B49" s="7">
        <v>4056</v>
      </c>
      <c r="C49" s="21" t="s">
        <v>206</v>
      </c>
      <c r="D49" s="21" t="s">
        <v>554</v>
      </c>
      <c r="E49" s="13">
        <v>42873.342812499999</v>
      </c>
      <c r="F49" s="13">
        <v>42873.344409722224</v>
      </c>
      <c r="G49" s="7">
        <v>1</v>
      </c>
      <c r="H49" s="21" t="s">
        <v>503</v>
      </c>
      <c r="I49" s="13">
        <v>42873.369351851848</v>
      </c>
      <c r="J49" s="7">
        <v>0</v>
      </c>
      <c r="K49" s="92" t="str">
        <f t="shared" si="0"/>
        <v>4055/4056</v>
      </c>
      <c r="L49" s="21" t="str">
        <f>VLOOKUP(A49,'Trips&amp;Operators'!$C$1:$G$99999,5,FALSE)</f>
        <v>ROCHA YAOTL</v>
      </c>
      <c r="M49" s="6">
        <f t="shared" si="1"/>
        <v>2.4942129624832887E-2</v>
      </c>
      <c r="N49" s="7">
        <f t="shared" si="23"/>
        <v>35.916666659759358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-18T07:13:39-0600',mode:absolute,to:'2017-05-18T09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192" t="str">
        <f t="shared" si="6"/>
        <v>N</v>
      </c>
      <c r="X49" s="192">
        <f t="shared" si="24"/>
        <v>1</v>
      </c>
      <c r="Y49" s="192">
        <f t="shared" si="8"/>
        <v>4.3799999999999999E-2</v>
      </c>
      <c r="Z49" s="192">
        <f t="shared" si="9"/>
        <v>23.334199999999999</v>
      </c>
      <c r="AA49" s="192">
        <f t="shared" si="10"/>
        <v>23.290399999999998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0137-18</v>
      </c>
      <c r="AE49" s="80" t="str">
        <f t="shared" si="12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49" s="77" t="str">
        <f t="shared" si="13"/>
        <v>"C:\Program Files (x86)\AstroGrep\AstroGrep.exe" /e /r /s /spath="%USERPROFILE%\AppData\Local\Temp\OnboardLogs" /stypes="app*4056*20170518*"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137-18 --locoid 4056 --swversion DE.1.0.9.0 --startMP 204:438 --initTime 2017-05-18T08:13:39 --startdatetime 2017-05-18T08:15:57 --delay 1 --endMP 204:233342 --enddatetime 2017-05-18T08:51:52 --enforcementcount 0 &gt;&gt;C:\Users\stu\Documents\GitHub\eaglep3-reporting\EC\2017-05-18-refined-times.txt</v>
      </c>
      <c r="AI49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{"issue":{"subject":"","project_id":79,"tracker_id":40,"status_id":1,"priority_id":2,"assigned_to_id":23,"start_date":"2017-05-18","description":"","custom_fields":[{"id":1,"name":"Subdivision","value":"EC"},{"id":4,"name":"Milepost","value":"23.3342"},{"id":17,"name":"Train ID","value":"137-18"},{"id":16,"name":"Locomotive ID","value":"4056"},{"id":130,"name":"Impact","value":""},{"id":150,"name":"Time of Event (Mountain Time)","value":"08:51:52"},{"id":151,"name":"Denver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4056 --day 2017-05-18</v>
      </c>
      <c r="AN49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678</v>
      </c>
      <c r="B50" s="7">
        <v>4055</v>
      </c>
      <c r="C50" s="21" t="s">
        <v>206</v>
      </c>
      <c r="D50" s="21" t="s">
        <v>864</v>
      </c>
      <c r="E50" s="13">
        <v>42873.379675925928</v>
      </c>
      <c r="F50" s="13">
        <v>42873.3828587963</v>
      </c>
      <c r="G50" s="7">
        <v>1</v>
      </c>
      <c r="H50" s="21" t="s">
        <v>198</v>
      </c>
      <c r="I50" s="13">
        <v>42873.408668981479</v>
      </c>
      <c r="J50" s="7">
        <v>0</v>
      </c>
      <c r="K50" s="92" t="str">
        <f t="shared" si="0"/>
        <v>4055/4056</v>
      </c>
      <c r="L50" s="21" t="str">
        <f>VLOOKUP(A50,'Trips&amp;Operators'!$C$1:$G$99999,5,FALSE)</f>
        <v>ROCHA YAOTL</v>
      </c>
      <c r="M50" s="6">
        <f t="shared" si="1"/>
        <v>2.5810185179580003E-2</v>
      </c>
      <c r="N50" s="7">
        <f t="shared" si="23"/>
        <v>37.166666658595204</v>
      </c>
      <c r="O50" s="7"/>
      <c r="P50" s="7"/>
      <c r="Q50" s="22"/>
      <c r="R50" s="190"/>
      <c r="S50" s="196">
        <f t="shared" si="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-18T08:06:44-0600',mode:absolute,to:'2017-05-18T10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192" t="str">
        <f t="shared" si="6"/>
        <v>N</v>
      </c>
      <c r="X50" s="192">
        <f t="shared" si="24"/>
        <v>1</v>
      </c>
      <c r="Y50" s="192">
        <f t="shared" si="8"/>
        <v>23.307400000000001</v>
      </c>
      <c r="Z50" s="192">
        <f t="shared" si="9"/>
        <v>1.5800000000000002E-2</v>
      </c>
      <c r="AA50" s="192">
        <f t="shared" si="10"/>
        <v>23.291600000000003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0138-18</v>
      </c>
      <c r="AE50" s="80" t="str">
        <f t="shared" si="12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50" s="77" t="str">
        <f t="shared" si="13"/>
        <v>"C:\Program Files (x86)\AstroGrep\AstroGrep.exe" /e /r /s /spath="%USERPROFILE%\AppData\Local\Temp\OnboardLogs" /stypes="app*4055*20170518*"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138-18 --locoid 4055 --swversion DE.1.0.9.0 --startMP 204:233074 --initTime 2017-05-18T09:06:44 --startdatetime 2017-05-18T09:11:19 --delay 1 --endMP 204:158 --enddatetime 2017-05-18T09:48:29 --enforcementcount 0 &gt;&gt;C:\Users\stu\Documents\GitHub\eaglep3-reporting\EC\2017-05-18-refined-times.txt</v>
      </c>
      <c r="AI50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ID","value":"138-18"},{"id":16,"name":"Locomotive ID","value":"4055"},{"id":130,"name":"Impact","value":""},{"id":150,"name":"Time of Event (Mountain Time)","value":"09:48:29"},{"id":151,"name":"Denver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4055 --day 2017-05-18</v>
      </c>
      <c r="AN50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591</v>
      </c>
      <c r="B51" s="7">
        <v>4008</v>
      </c>
      <c r="C51" s="21" t="s">
        <v>206</v>
      </c>
      <c r="D51" s="21" t="s">
        <v>347</v>
      </c>
      <c r="E51" s="13">
        <v>42873.349166666667</v>
      </c>
      <c r="F51" s="13">
        <v>42873.355590277781</v>
      </c>
      <c r="G51" s="7">
        <v>8</v>
      </c>
      <c r="H51" s="21" t="s">
        <v>426</v>
      </c>
      <c r="I51" s="13">
        <v>42873.378842592596</v>
      </c>
      <c r="J51" s="7">
        <v>0</v>
      </c>
      <c r="K51" s="92" t="str">
        <f t="shared" si="0"/>
        <v>4007/4008</v>
      </c>
      <c r="L51" s="21" t="str">
        <f>VLOOKUP(A51,'Trips&amp;Operators'!$C$1:$G$99999,5,FALSE)</f>
        <v>YORK EDGAR</v>
      </c>
      <c r="M51" s="6">
        <f t="shared" si="1"/>
        <v>2.3252314815181307E-2</v>
      </c>
      <c r="N51" s="7">
        <f t="shared" si="23"/>
        <v>33.483333333861083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-18T07:22:48-0600',mode:absolute,to:'2017-05-18T10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192" t="str">
        <f t="shared" si="6"/>
        <v>N</v>
      </c>
      <c r="X51" s="192">
        <f t="shared" si="24"/>
        <v>1</v>
      </c>
      <c r="Y51" s="192">
        <f t="shared" si="8"/>
        <v>4.4900000000000002E-2</v>
      </c>
      <c r="Z51" s="192">
        <f t="shared" si="9"/>
        <v>23.329499999999999</v>
      </c>
      <c r="AA51" s="192">
        <f t="shared" si="10"/>
        <v>23.284600000000001</v>
      </c>
      <c r="AB51" s="57" t="str">
        <f>VLOOKUP(A51,Enforcements!$C$7:$K$13,8,0)</f>
        <v>Bulletin (2)</v>
      </c>
      <c r="AC51" s="53" t="str">
        <f>VLOOKUP(A51,Enforcements!$C$7:$E$13,3,0)</f>
        <v>GRADE CROSSING</v>
      </c>
      <c r="AD51" s="54" t="str">
        <f t="shared" si="11"/>
        <v>0139-18</v>
      </c>
      <c r="AE51" s="80" t="str">
        <f t="shared" si="12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51" s="77" t="str">
        <f t="shared" si="13"/>
        <v>"C:\Program Files (x86)\AstroGrep\AstroGrep.exe" /e /r /s /spath="%USERPROFILE%\AppData\Local\Temp\OnboardLogs" /stypes="app*4008*20170518*"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139-18 --locoid 4008 --swversion DE.1.0.9.0 --startMP 204:449 --initTime 2017-05-18T08:22:48 --startdatetime 2017-05-18T08:32:03 --delay 8 --endMP 204:233295 --enddatetime 2017-05-18T09:05:32 --enforcementcount 0 &gt;&gt;C:\Users\stu\Documents\GitHub\eaglep3-reporting\EC\2017-05-18-refined-times.txt</v>
      </c>
      <c r="AI51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{"issue":{"subject":"","project_id":79,"tracker_id":40,"status_id":1,"priority_id":2,"assigned_to_id":23,"start_date":"2017-05-18","description":"","custom_fields":[{"id":1,"name":"Subdivision","value":"EC"},{"id":4,"name":"Milepost","value":"23.3295"},{"id":17,"name":"Train ID","value":"139-18"},{"id":16,"name":"Locomotive ID","value":"4008"},{"id":130,"name":"Impact","value":""},{"id":150,"name":"Time of Event (Mountain Time)","value":"09:05:32"},{"id":151,"name":"Denver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4008 --day 2017-05-18</v>
      </c>
      <c r="AN51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592</v>
      </c>
      <c r="B52" s="7">
        <v>4007</v>
      </c>
      <c r="C52" s="21" t="s">
        <v>206</v>
      </c>
      <c r="D52" s="21" t="s">
        <v>865</v>
      </c>
      <c r="E52" s="13">
        <v>42873.388657407406</v>
      </c>
      <c r="F52" s="13">
        <v>42873.393229166664</v>
      </c>
      <c r="G52" s="7">
        <v>1</v>
      </c>
      <c r="H52" s="21" t="s">
        <v>198</v>
      </c>
      <c r="I52" s="13">
        <v>42873.420636574076</v>
      </c>
      <c r="J52" s="7">
        <v>0</v>
      </c>
      <c r="K52" s="92" t="str">
        <f t="shared" si="0"/>
        <v>4007/4008</v>
      </c>
      <c r="L52" s="21" t="str">
        <f>VLOOKUP(A52,'Trips&amp;Operators'!$C$1:$G$99999,5,FALSE)</f>
        <v>YORK EDGAR</v>
      </c>
      <c r="M52" s="6">
        <f t="shared" si="1"/>
        <v>2.7407407411374152E-2</v>
      </c>
      <c r="N52" s="7">
        <f t="shared" si="23"/>
        <v>39.466666672378778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-18T08:19:40-0600',mode:absolute,to:'2017-05-18T11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192" t="str">
        <f t="shared" si="6"/>
        <v>N</v>
      </c>
      <c r="X52" s="192">
        <f t="shared" si="24"/>
        <v>1</v>
      </c>
      <c r="Y52" s="192">
        <f t="shared" si="8"/>
        <v>23.2957</v>
      </c>
      <c r="Z52" s="192">
        <f t="shared" si="9"/>
        <v>1.5800000000000002E-2</v>
      </c>
      <c r="AA52" s="192">
        <f t="shared" si="10"/>
        <v>23.279900000000001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0140-18</v>
      </c>
      <c r="AE52" s="80" t="str">
        <f t="shared" si="12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52" s="77" t="str">
        <f t="shared" si="13"/>
        <v>"C:\Program Files (x86)\AstroGrep\AstroGrep.exe" /e /r /s /spath="%USERPROFILE%\AppData\Local\Temp\OnboardLogs" /stypes="app*4007*20170518*"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140-18 --locoid 4007 --swversion DE.1.0.9.0 --startMP 204:232957 --initTime 2017-05-18T09:19:40 --startdatetime 2017-05-18T09:26:15 --delay 1 --endMP 204:158 --enddatetime 2017-05-18T10:05:43 --enforcementcount 0 &gt;&gt;C:\Users\stu\Documents\GitHub\eaglep3-reporting\EC\2017-05-18-refined-times.txt</v>
      </c>
      <c r="AI52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ID","value":"140-18"},{"id":16,"name":"Locomotive ID","value":"4007"},{"id":130,"name":"Impact","value":""},{"id":150,"name":"Time of Event (Mountain Time)","value":"10:05:43"},{"id":151,"name":"Denver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4007 --day 2017-05-18</v>
      </c>
      <c r="AN52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674</v>
      </c>
      <c r="B53" s="7">
        <v>4030</v>
      </c>
      <c r="C53" s="21" t="s">
        <v>206</v>
      </c>
      <c r="D53" s="21" t="s">
        <v>365</v>
      </c>
      <c r="E53" s="13">
        <v>42873.360451388886</v>
      </c>
      <c r="F53" s="13">
        <v>42873.364756944444</v>
      </c>
      <c r="G53" s="7">
        <v>1</v>
      </c>
      <c r="H53" s="21" t="s">
        <v>552</v>
      </c>
      <c r="I53" s="13">
        <v>42873.389918981484</v>
      </c>
      <c r="J53" s="7">
        <v>0</v>
      </c>
      <c r="K53" s="92" t="str">
        <f t="shared" si="0"/>
        <v>4029/4030</v>
      </c>
      <c r="L53" s="21" t="str">
        <f>VLOOKUP(A53,'Trips&amp;Operators'!$C$1:$G$99999,5,FALSE)</f>
        <v>BADERTSCHER DIANE</v>
      </c>
      <c r="M53" s="6">
        <f t="shared" si="1"/>
        <v>2.5162037039990537E-2</v>
      </c>
      <c r="N53" s="7">
        <f t="shared" si="23"/>
        <v>36.233333337586373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-18T07:39:03-0600',mode:absolute,to:'2017-05-18T10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192" t="str">
        <f t="shared" si="6"/>
        <v>N</v>
      </c>
      <c r="X53" s="192">
        <f t="shared" si="24"/>
        <v>1</v>
      </c>
      <c r="Y53" s="192">
        <f t="shared" si="8"/>
        <v>4.4400000000000002E-2</v>
      </c>
      <c r="Z53" s="192">
        <f t="shared" si="9"/>
        <v>23.3306</v>
      </c>
      <c r="AA53" s="192">
        <f t="shared" si="10"/>
        <v>23.286200000000001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0141-18</v>
      </c>
      <c r="AE53" s="80" t="str">
        <f t="shared" si="12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53" s="77" t="str">
        <f t="shared" si="13"/>
        <v>"C:\Program Files (x86)\AstroGrep\AstroGrep.exe" /e /r /s /spath="%USERPROFILE%\AppData\Local\Temp\OnboardLogs" /stypes="app*4030*20170518*"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141-18 --locoid 4030 --swversion DE.1.0.9.0 --startMP 204:444 --initTime 2017-05-18T08:39:03 --startdatetime 2017-05-18T08:45:15 --delay 1 --endMP 204:233306 --enddatetime 2017-05-18T09:21:29 --enforcementcount 0 &gt;&gt;C:\Users\stu\Documents\GitHub\eaglep3-reporting\EC\2017-05-18-refined-times.txt</v>
      </c>
      <c r="AI53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{"issue":{"subject":"","project_id":79,"tracker_id":40,"status_id":1,"priority_id":2,"assigned_to_id":23,"start_date":"2017-05-18","description":"","custom_fields":[{"id":1,"name":"Subdivision","value":"EC"},{"id":4,"name":"Milepost","value":"23.3306"},{"id":17,"name":"Train ID","value":"141-18"},{"id":16,"name":"Locomotive ID","value":"4030"},{"id":130,"name":"Impact","value":""},{"id":150,"name":"Time of Event (Mountain Time)","value":"09:21:29"},{"id":151,"name":"Denver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4030 --day 2017-05-18</v>
      </c>
      <c r="AN53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595</v>
      </c>
      <c r="B54" s="7">
        <v>4029</v>
      </c>
      <c r="C54" s="21" t="s">
        <v>206</v>
      </c>
      <c r="D54" s="21" t="s">
        <v>866</v>
      </c>
      <c r="E54" s="13">
        <v>42873.395069444443</v>
      </c>
      <c r="F54" s="13">
        <v>42873.403668981482</v>
      </c>
      <c r="G54" s="7">
        <v>1</v>
      </c>
      <c r="H54" s="21" t="s">
        <v>432</v>
      </c>
      <c r="I54" s="13">
        <v>42873.430798611109</v>
      </c>
      <c r="J54" s="7">
        <v>0</v>
      </c>
      <c r="K54" s="92" t="str">
        <f t="shared" si="0"/>
        <v>4029/4030</v>
      </c>
      <c r="L54" s="21" t="str">
        <f>VLOOKUP(A54,'Trips&amp;Operators'!$C$1:$G$99999,5,FALSE)</f>
        <v>BADERTSCHER DIANE</v>
      </c>
      <c r="M54" s="6">
        <f t="shared" si="1"/>
        <v>2.7129629626870155E-2</v>
      </c>
      <c r="N54" s="7">
        <f t="shared" si="23"/>
        <v>39.066666662693024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-18T08:28:54-0600',mode:absolute,to:'2017-05-18T11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192" t="str">
        <f t="shared" si="6"/>
        <v>N</v>
      </c>
      <c r="X54" s="192">
        <f t="shared" si="24"/>
        <v>1</v>
      </c>
      <c r="Y54" s="192">
        <f t="shared" si="8"/>
        <v>23.298300000000001</v>
      </c>
      <c r="Z54" s="192">
        <f t="shared" si="9"/>
        <v>1.32E-2</v>
      </c>
      <c r="AA54" s="192">
        <f t="shared" si="10"/>
        <v>23.2851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0142-18</v>
      </c>
      <c r="AE54" s="80" t="str">
        <f t="shared" si="12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54" s="77" t="str">
        <f t="shared" si="13"/>
        <v>"C:\Program Files (x86)\AstroGrep\AstroGrep.exe" /e /r /s /spath="%USERPROFILE%\AppData\Local\Temp\OnboardLogs" /stypes="app*4029*20170518*"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142-18 --locoid 4029 --swversion DE.1.0.9.0 --startMP 204:232983 --initTime 2017-05-18T09:28:54 --startdatetime 2017-05-18T09:41:17 --delay 1 --endMP 204:132 --enddatetime 2017-05-18T10:20:21 --enforcementcount 0 &gt;&gt;C:\Users\stu\Documents\GitHub\eaglep3-reporting\EC\2017-05-18-refined-times.txt</v>
      </c>
      <c r="AI54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{"issue":{"subject":"","project_id":79,"tracker_id":40,"status_id":1,"priority_id":2,"assigned_to_id":23,"start_date":"2017-05-18","description":"","custom_fields":[{"id":1,"name":"Subdivision","value":"EC"},{"id":4,"name":"Milepost","value":"0.0132"},{"id":17,"name":"Train ID","value":"142-18"},{"id":16,"name":"Locomotive ID","value":"4029"},{"id":130,"name":"Impact","value":""},{"id":150,"name":"Time of Event (Mountain Time)","value":"10:20:21"},{"id":151,"name":"Denver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4029 --day 2017-05-18</v>
      </c>
      <c r="AN54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676</v>
      </c>
      <c r="B55" s="7">
        <v>4010</v>
      </c>
      <c r="C55" s="21" t="s">
        <v>206</v>
      </c>
      <c r="D55" s="21" t="s">
        <v>867</v>
      </c>
      <c r="E55" s="13">
        <v>42873.369409722225</v>
      </c>
      <c r="F55" s="13">
        <v>42873.379490740743</v>
      </c>
      <c r="G55" s="7">
        <v>14</v>
      </c>
      <c r="H55" s="21" t="s">
        <v>407</v>
      </c>
      <c r="I55" s="13">
        <v>42873.401597222219</v>
      </c>
      <c r="J55" s="7">
        <v>0</v>
      </c>
      <c r="K55" s="92" t="str">
        <f t="shared" si="0"/>
        <v>4009/4010</v>
      </c>
      <c r="L55" s="21" t="str">
        <f>VLOOKUP(A55,'Trips&amp;Operators'!$C$1:$G$99999,5,FALSE)</f>
        <v>STARKS ANGELINA</v>
      </c>
      <c r="M55" s="6">
        <f t="shared" si="1"/>
        <v>2.2106481475930195E-2</v>
      </c>
      <c r="N55" s="7"/>
      <c r="O55" s="7"/>
      <c r="P55" s="7">
        <f>24*60*SUM($M55:$M55)</f>
        <v>31.833333325339481</v>
      </c>
      <c r="Q55" s="22"/>
      <c r="R55" s="190" t="s">
        <v>515</v>
      </c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-18T07:51:57-0600',mode:absolute,to:'2017-05-18T10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192" t="str">
        <f t="shared" si="6"/>
        <v>Y</v>
      </c>
      <c r="X55" s="192">
        <f t="shared" si="24"/>
        <v>1</v>
      </c>
      <c r="Y55" s="192">
        <f t="shared" si="8"/>
        <v>1.9109</v>
      </c>
      <c r="Z55" s="192">
        <f t="shared" si="9"/>
        <v>23.3293</v>
      </c>
      <c r="AA55" s="192">
        <f t="shared" si="10"/>
        <v>21.418399999999998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0143-18</v>
      </c>
      <c r="AE55" s="80" t="str">
        <f t="shared" si="12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55" s="77" t="str">
        <f t="shared" si="13"/>
        <v>"C:\Program Files (x86)\AstroGrep\AstroGrep.exe" /e /r /s /spath="%USERPROFILE%\AppData\Local\Temp\OnboardLogs" /stypes="app*4010*20170518*"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143-18 --locoid 4010 --swversion DE.1.0.9.0 --startMP 204:19109 --initTime 2017-05-18T08:51:57 --startdatetime 2017-05-18T09:06:28 --delay 14 --endMP 204:233293 --enddatetime 2017-05-18T09:38:18 --enforcementcount 0 &gt;&gt;C:\Users\stu\Documents\GitHub\eaglep3-reporting\EC\2017-05-18-refined-times.txt</v>
      </c>
      <c r="AI55" s="99" t="str">
        <f t="shared" si="20"/>
        <v>echo {"issue":{"subject":"Onboard in-route failure","project_id":79,"tracker_id":40,"status_id":1,"priority_id":2,"assigned_to_id":23,"start_date":"2017-05-18","description":"","custom_fields":[{"id":1,"name":"Subdivision","value":"EC"},{"id":4,"name":"Milepost","value":"23.3293"},{"id":17,"name":"Train ID","value":"143-18"},{"id":16,"name":"Locomotive ID","value":"4010"},{"id":130,"name":"Impact","value":""},{"id":150,"name":"Time of Event (Mountain Time)","value":"09:38:18"},{"id":151,"name":"Denver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4010 --day 2017-05-18</v>
      </c>
      <c r="AN55" s="154" t="str">
        <f t="shared" si="22"/>
        <v>echo {"issue":{"subject":"Onboard in-route failure","project_id":30,"tracker_id":4,"status_id":1,"priority_id":1,"assigned_to_id":10,"start_date":"2017-05-18","description":"","custom_fields":[{"id":30,"name":"Category","value":"Issue"},{"id":3,"name":"Functional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594</v>
      </c>
      <c r="B56" s="7">
        <v>4009</v>
      </c>
      <c r="C56" s="21" t="s">
        <v>206</v>
      </c>
      <c r="D56" s="21" t="s">
        <v>556</v>
      </c>
      <c r="E56" s="13">
        <v>42873.409884259258</v>
      </c>
      <c r="F56" s="13">
        <v>42873.414074074077</v>
      </c>
      <c r="G56" s="7">
        <v>1</v>
      </c>
      <c r="H56" s="21" t="s">
        <v>358</v>
      </c>
      <c r="I56" s="13">
        <v>42873.441469907404</v>
      </c>
      <c r="J56" s="7">
        <v>0</v>
      </c>
      <c r="K56" s="92" t="str">
        <f t="shared" si="0"/>
        <v>4009/4010</v>
      </c>
      <c r="L56" s="21" t="str">
        <f>VLOOKUP(A56,'Trips&amp;Operators'!$C$1:$G$99999,5,FALSE)</f>
        <v>STARKS ANGELINA</v>
      </c>
      <c r="M56" s="6">
        <f t="shared" si="1"/>
        <v>2.7395833327318542E-2</v>
      </c>
      <c r="N56" s="7">
        <f t="shared" ref="N56:N100" si="25">24*60*SUM($M56:$M56)</f>
        <v>39.4499999913387</v>
      </c>
      <c r="O56" s="7"/>
      <c r="P56" s="7"/>
      <c r="Q56" s="22"/>
      <c r="R56" s="190"/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-18T08:50:14-0600',mode:absolute,to:'2017-05-18T11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92" t="str">
        <f t="shared" si="6"/>
        <v>N</v>
      </c>
      <c r="X56" s="192">
        <f t="shared" si="24"/>
        <v>1</v>
      </c>
      <c r="Y56" s="192">
        <f t="shared" si="8"/>
        <v>23.295500000000001</v>
      </c>
      <c r="Z56" s="192">
        <f t="shared" si="9"/>
        <v>1.43E-2</v>
      </c>
      <c r="AA56" s="192">
        <f t="shared" si="10"/>
        <v>23.281200000000002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0144-18</v>
      </c>
      <c r="AE56" s="80" t="str">
        <f t="shared" si="12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56" s="77" t="str">
        <f t="shared" si="13"/>
        <v>"C:\Program Files (x86)\AstroGrep\AstroGrep.exe" /e /r /s /spath="%USERPROFILE%\AppData\Local\Temp\OnboardLogs" /stypes="app*4009*20170518*"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144-18 --locoid 4009 --swversion DE.1.0.9.0 --startMP 204:232955 --initTime 2017-05-18T09:50:14 --startdatetime 2017-05-18T09:56:16 --delay 1 --endMP 204:143 --enddatetime 2017-05-18T10:35:43 --enforcementcount 0 &gt;&gt;C:\Users\stu\Documents\GitHub\eaglep3-reporting\EC\2017-05-18-refined-times.txt</v>
      </c>
      <c r="AI56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{"issue":{"subject":"","project_id":79,"tracker_id":40,"status_id":1,"priority_id":2,"assigned_to_id":23,"start_date":"2017-05-18","description":"","custom_fields":[{"id":1,"name":"Subdivision","value":"EC"},{"id":4,"name":"Milepost","value":"0.0143"},{"id":17,"name":"Train ID","value":"144-18"},{"id":16,"name":"Locomotive ID","value":"4009"},{"id":130,"name":"Impact","value":""},{"id":150,"name":"Time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4009 --day 2017-05-18</v>
      </c>
      <c r="AN56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679</v>
      </c>
      <c r="B57" s="7">
        <v>4002</v>
      </c>
      <c r="C57" s="21" t="s">
        <v>206</v>
      </c>
      <c r="D57" s="21" t="s">
        <v>364</v>
      </c>
      <c r="E57" s="13">
        <v>42873.380636574075</v>
      </c>
      <c r="F57" s="13">
        <v>42873.385578703703</v>
      </c>
      <c r="G57" s="7">
        <v>1</v>
      </c>
      <c r="H57" s="21" t="s">
        <v>493</v>
      </c>
      <c r="I57" s="13">
        <v>42873.414895833332</v>
      </c>
      <c r="J57" s="7">
        <v>0</v>
      </c>
      <c r="K57" s="92" t="str">
        <f t="shared" si="0"/>
        <v>4001/4002</v>
      </c>
      <c r="L57" s="21" t="str">
        <f>VLOOKUP(A57,'Trips&amp;Operators'!$C$1:$G$99999,5,FALSE)</f>
        <v>BONDS REYNALDO</v>
      </c>
      <c r="M57" s="6">
        <f t="shared" si="1"/>
        <v>2.9317129628907423E-2</v>
      </c>
      <c r="N57" s="7">
        <f t="shared" si="25"/>
        <v>42.21666666562669</v>
      </c>
      <c r="O57" s="7"/>
      <c r="P57" s="7"/>
      <c r="Q57" s="22"/>
      <c r="R57" s="190"/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-18T08:08:07-0600',mode:absolute,to:'2017-05-18T10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92" t="str">
        <f t="shared" si="6"/>
        <v>N</v>
      </c>
      <c r="X57" s="192">
        <f t="shared" si="24"/>
        <v>1</v>
      </c>
      <c r="Y57" s="192">
        <f t="shared" si="8"/>
        <v>4.53E-2</v>
      </c>
      <c r="Z57" s="192">
        <f t="shared" si="9"/>
        <v>23.331399999999999</v>
      </c>
      <c r="AA57" s="192">
        <f t="shared" si="10"/>
        <v>23.286099999999998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0145-18</v>
      </c>
      <c r="AE57" s="80" t="str">
        <f t="shared" si="12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57" s="77" t="str">
        <f t="shared" si="13"/>
        <v>"C:\Program Files (x86)\AstroGrep\AstroGrep.exe" /e /r /s /spath="%USERPROFILE%\AppData\Local\Temp\OnboardLogs" /stypes="app*4002*20170518*"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145-18 --locoid 4002 --swversion DE.1.0.9.0 --startMP 204:453 --initTime 2017-05-18T09:08:07 --startdatetime 2017-05-18T09:15:14 --delay 1 --endMP 204:233314 --enddatetime 2017-05-18T09:57:27 --enforcementcount 0 &gt;&gt;C:\Users\stu\Documents\GitHub\eaglep3-reporting\EC\2017-05-18-refined-times.txt</v>
      </c>
      <c r="AI57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{"issue":{"subject":"","project_id":79,"tracker_id":40,"status_id":1,"priority_id":2,"assigned_to_id":23,"start_date":"2017-05-18","description":"","custom_fields":[{"id":1,"name":"Subdivision","value":"EC"},{"id":4,"name":"Milepost","value":"23.3314"},{"id":17,"name":"Train ID","value":"145-18"},{"id":16,"name":"Locomotive ID","value":"4002"},{"id":130,"name":"Impact","value":""},{"id":150,"name":"Time of Event (Mountain Time)","value":"09:57:27"},{"id":151,"name":"Denver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4002 --day 2017-05-18</v>
      </c>
      <c r="AN57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684</v>
      </c>
      <c r="B58" s="7">
        <v>4001</v>
      </c>
      <c r="C58" s="21" t="s">
        <v>206</v>
      </c>
      <c r="D58" s="21" t="s">
        <v>496</v>
      </c>
      <c r="E58" s="13">
        <v>42873.420069444444</v>
      </c>
      <c r="F58" s="13">
        <v>42873.424490740741</v>
      </c>
      <c r="G58" s="7">
        <v>0</v>
      </c>
      <c r="H58" s="21" t="s">
        <v>363</v>
      </c>
      <c r="I58" s="13">
        <v>42873.451631944445</v>
      </c>
      <c r="J58" s="7">
        <v>0</v>
      </c>
      <c r="K58" s="92" t="str">
        <f t="shared" si="0"/>
        <v>4001/4002</v>
      </c>
      <c r="L58" s="21" t="str">
        <f>VLOOKUP(A58,'Trips&amp;Operators'!$C$1:$G$99999,5,FALSE)</f>
        <v>BONDS REYNALDO</v>
      </c>
      <c r="M58" s="6">
        <f t="shared" si="1"/>
        <v>2.7141203703649808E-2</v>
      </c>
      <c r="N58" s="7">
        <f t="shared" si="25"/>
        <v>39.083333333255723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-18T09:04:54-0600',mode:absolute,to:'2017-05-18T11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92" t="str">
        <f t="shared" si="6"/>
        <v>N</v>
      </c>
      <c r="X58" s="192">
        <f t="shared" si="24"/>
        <v>1</v>
      </c>
      <c r="Y58" s="192">
        <f t="shared" si="8"/>
        <v>23.3</v>
      </c>
      <c r="Z58" s="192">
        <f t="shared" si="9"/>
        <v>1.5599999999999999E-2</v>
      </c>
      <c r="AA58" s="192">
        <f t="shared" si="10"/>
        <v>23.284400000000002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0146-18</v>
      </c>
      <c r="AE58" s="80" t="str">
        <f t="shared" si="12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58" s="77" t="str">
        <f t="shared" si="13"/>
        <v>"C:\Program Files (x86)\AstroGrep\AstroGrep.exe" /e /r /s /spath="%USERPROFILE%\AppData\Local\Temp\OnboardLogs" /stypes="app*4001*20170518*"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146-18 --locoid 4001 --swversion DE.1.0.9.0 --startMP 204:233000 --initTime 2017-05-18T10:04:54 --startdatetime 2017-05-18T10:11:16 --delay 0 --endMP 204:156 --enddatetime 2017-05-18T10:50:21 --enforcementcount 0 &gt;&gt;C:\Users\stu\Documents\GitHub\eaglep3-reporting\EC\2017-05-18-refined-times.txt</v>
      </c>
      <c r="AI58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{"issue":{"subject":"","project_id":79,"tracker_id":40,"status_id":1,"priority_id":2,"assigned_to_id":23,"start_date":"2017-05-18","description":"","custom_fields":[{"id":1,"name":"Subdivision","value":"EC"},{"id":4,"name":"Milepost","value":"0.0156"},{"id":17,"name":"Train ID","value":"146-18"},{"id":16,"name":"Locomotive ID","value":"4001"},{"id":130,"name":"Impact","value":""},{"id":150,"name":"Time of Event (Mountain Time)","value":"10:50:21"},{"id":151,"name":"Denver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4001 --day 2017-05-18</v>
      </c>
      <c r="AN58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680</v>
      </c>
      <c r="B59" s="7">
        <v>4028</v>
      </c>
      <c r="C59" s="21" t="s">
        <v>206</v>
      </c>
      <c r="D59" s="21" t="s">
        <v>359</v>
      </c>
      <c r="E59" s="13">
        <v>42873.390532407408</v>
      </c>
      <c r="F59" s="13">
        <v>42873.395995370367</v>
      </c>
      <c r="G59" s="7">
        <v>1</v>
      </c>
      <c r="H59" s="21" t="s">
        <v>491</v>
      </c>
      <c r="I59" s="13">
        <v>42873.420798611114</v>
      </c>
      <c r="J59" s="7">
        <v>0</v>
      </c>
      <c r="K59" s="92" t="str">
        <f t="shared" si="0"/>
        <v>4027/4028</v>
      </c>
      <c r="L59" s="21" t="str">
        <f>VLOOKUP(A59,'Trips&amp;Operators'!$C$1:$G$99999,5,FALSE)</f>
        <v>ROBINSON KADDIBA</v>
      </c>
      <c r="M59" s="6">
        <f t="shared" si="1"/>
        <v>2.4803240747132804E-2</v>
      </c>
      <c r="N59" s="7">
        <f t="shared" si="25"/>
        <v>35.716666675871238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-18T08:22:22-0600',mode:absolute,to:'2017-05-18T11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2" t="str">
        <f t="shared" si="6"/>
        <v>N</v>
      </c>
      <c r="X59" s="192">
        <f t="shared" si="24"/>
        <v>1</v>
      </c>
      <c r="Y59" s="192">
        <f t="shared" si="8"/>
        <v>4.6600000000000003E-2</v>
      </c>
      <c r="Z59" s="192">
        <f t="shared" si="9"/>
        <v>23.3291</v>
      </c>
      <c r="AA59" s="192">
        <f t="shared" si="10"/>
        <v>23.282499999999999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0147-18</v>
      </c>
      <c r="AE59" s="80" t="str">
        <f t="shared" si="12"/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AF59" s="77" t="str">
        <f t="shared" si="13"/>
        <v>"C:\Program Files (x86)\AstroGrep\AstroGrep.exe" /e /r /s /spath="%USERPROFILE%\AppData\Local\Temp\OnboardLogs" /stypes="app*4028*20170518*"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147-18 --locoid 4028 --swversion DE.1.0.9.0 --startMP 204:466 --initTime 2017-05-18T09:22:22 --startdatetime 2017-05-18T09:30:14 --delay 1 --endMP 204:233291 --enddatetime 2017-05-18T10:05:57 --enforcementcount 0 &gt;&gt;C:\Users\stu\Documents\GitHub\eaglep3-reporting\EC\2017-05-18-refined-times.txt</v>
      </c>
      <c r="AI59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{"issue":{"subject":"","project_id":79,"tracker_id":40,"status_id":1,"priority_id":2,"assigned_to_id":23,"start_date":"2017-05-18","description":"","custom_fields":[{"id":1,"name":"Subdivision","value":"EC"},{"id":4,"name":"Milepost","value":"23.3291"},{"id":17,"name":"Train ID","value":"147-18"},{"id":16,"name":"Locomotive ID","value":"4028"},{"id":130,"name":"Impact","value":""},{"id":150,"name":"Time of Event (Mountain Time)","value":"10:05:57"},{"id":151,"name":"Denver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4028 --day 2017-05-18</v>
      </c>
      <c r="AN59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685</v>
      </c>
      <c r="B60" s="7">
        <v>4027</v>
      </c>
      <c r="C60" s="21" t="s">
        <v>206</v>
      </c>
      <c r="D60" s="21" t="s">
        <v>868</v>
      </c>
      <c r="E60" s="13">
        <v>42873.421631944446</v>
      </c>
      <c r="F60" s="13">
        <v>42873.434907407405</v>
      </c>
      <c r="G60" s="7">
        <v>0</v>
      </c>
      <c r="H60" s="21" t="s">
        <v>370</v>
      </c>
      <c r="I60" s="13">
        <v>42873.462187500001</v>
      </c>
      <c r="J60" s="7">
        <v>0</v>
      </c>
      <c r="K60" s="92" t="str">
        <f t="shared" si="0"/>
        <v>4027/4028</v>
      </c>
      <c r="L60" s="21" t="str">
        <f>VLOOKUP(A60,'Trips&amp;Operators'!$C$1:$G$99999,5,FALSE)</f>
        <v>ROBINSON KADDIBA</v>
      </c>
      <c r="M60" s="6">
        <f t="shared" si="1"/>
        <v>2.7280092595901806E-2</v>
      </c>
      <c r="N60" s="7">
        <f t="shared" si="25"/>
        <v>39.283333338098601</v>
      </c>
      <c r="O60" s="7"/>
      <c r="P60" s="7"/>
      <c r="Q60" s="22"/>
      <c r="R60" s="190"/>
      <c r="S60" s="196">
        <f t="shared" si="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-18T09:07:09-0600',mode:absolute,to:'2017-05-18T12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2" t="str">
        <f t="shared" si="6"/>
        <v>N</v>
      </c>
      <c r="X60" s="192">
        <f t="shared" si="24"/>
        <v>1</v>
      </c>
      <c r="Y60" s="192">
        <f t="shared" si="8"/>
        <v>23.297799999999999</v>
      </c>
      <c r="Z60" s="192">
        <f t="shared" si="9"/>
        <v>1.47E-2</v>
      </c>
      <c r="AA60" s="192">
        <f t="shared" si="10"/>
        <v>23.283099999999997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0148-18</v>
      </c>
      <c r="AE60" s="80" t="str">
        <f t="shared" si="12"/>
        <v>aws s3 cp s3://rtdc.mdm.uploadarchive.raw/RTDC4027/ "%USERPROFILE%\AppData\Local\Temp\OnboardLogs"\RTDC4027\2017-05-18 --exclude "*" --recursive --include "*20170518*" &amp; "%USERPROFILE%\Documents\GitHub\mrs-test-scripts\Headless Mode &amp; Sideloading\WalkAndUnGZ.bat" "%USERPROFILE%\AppData\Local\Temp\OnboardLogs"\RTDC4027\2017-05-18 &amp; aws s3 cp s3://rtdc.mdm.uploadarchive.raw/RTDC4027/ "%USERPROFILE%\AppData\Local\Temp\OnboardLogs"\RTDC4027\2017-05-19 --exclude "*" --recursive --include "*20170519*" &amp; "%USERPROFILE%\Documents\GitHub\mrs-test-scripts\Headless Mode &amp; Sideloading\WalkAndUnGZ.bat" "%USERPROFILE%\AppData\Local\Temp\OnboardLogs"\RTDC4027\2017-05-19</v>
      </c>
      <c r="AF60" s="77" t="str">
        <f t="shared" si="13"/>
        <v>"C:\Program Files (x86)\AstroGrep\AstroGrep.exe" /e /r /s /spath="%USERPROFILE%\AppData\Local\Temp\OnboardLogs" /stypes="app*4027*20170518*"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148-18 --locoid 4027 --swversion DE.1.0.9.0 --startMP 204:232978 --initTime 2017-05-18T10:07:09 --startdatetime 2017-05-18T10:26:16 --delay 0 --endMP 204:147 --enddatetime 2017-05-18T11:05:33 --enforcementcount 0 &gt;&gt;C:\Users\stu\Documents\GitHub\eaglep3-reporting\EC\2017-05-18-refined-times.txt</v>
      </c>
      <c r="AI60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{"issue":{"subject":"","project_id":79,"tracker_id":40,"status_id":1,"priority_id":2,"assigned_to_id":23,"start_date":"2017-05-18","description":"","custom_fields":[{"id":1,"name":"Subdivision","value":"EC"},{"id":4,"name":"Milepost","value":"0.0147"},{"id":17,"name":"Train ID","value":"148-18"},{"id":16,"name":"Locomotive ID","value":"4027"},{"id":130,"name":"Impact","value":""},{"id":150,"name":"Time of Event (Mountain Time)","value":"11:05:33"},{"id":151,"name":"Denver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4027 --day 2017-05-18</v>
      </c>
      <c r="AN60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682</v>
      </c>
      <c r="B61" s="7">
        <v>4014</v>
      </c>
      <c r="C61" s="21" t="s">
        <v>206</v>
      </c>
      <c r="D61" s="21" t="s">
        <v>364</v>
      </c>
      <c r="E61" s="13">
        <v>42873.402280092596</v>
      </c>
      <c r="F61" s="13">
        <v>42873.406435185185</v>
      </c>
      <c r="G61" s="7">
        <v>1</v>
      </c>
      <c r="H61" s="21" t="s">
        <v>869</v>
      </c>
      <c r="I61" s="13">
        <v>42873.433842592596</v>
      </c>
      <c r="J61" s="7">
        <v>0</v>
      </c>
      <c r="K61" s="92" t="str">
        <f t="shared" si="0"/>
        <v>4013/4014</v>
      </c>
      <c r="L61" s="21" t="str">
        <f>VLOOKUP(A61,'Trips&amp;Operators'!$C$1:$G$99999,5,FALSE)</f>
        <v>GEBRETEKLE DAGNEW</v>
      </c>
      <c r="M61" s="6">
        <f t="shared" si="1"/>
        <v>2.7407407411374152E-2</v>
      </c>
      <c r="N61" s="7">
        <f t="shared" si="25"/>
        <v>39.466666672378778</v>
      </c>
      <c r="O61" s="7"/>
      <c r="P61" s="7"/>
      <c r="Q61" s="22"/>
      <c r="R61" s="190"/>
      <c r="S61" s="196">
        <f t="shared" si="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-18T08:39:17-0600',mode:absolute,to:'2017-05-18T11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1" s="192" t="str">
        <f t="shared" si="6"/>
        <v>N</v>
      </c>
      <c r="X61" s="192">
        <f t="shared" si="24"/>
        <v>1</v>
      </c>
      <c r="Y61" s="192">
        <f t="shared" si="8"/>
        <v>4.53E-2</v>
      </c>
      <c r="Z61" s="192">
        <f t="shared" si="9"/>
        <v>23.334599999999998</v>
      </c>
      <c r="AA61" s="192">
        <f t="shared" si="10"/>
        <v>23.289299999999997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0149-18</v>
      </c>
      <c r="AE61" s="80" t="str">
        <f t="shared" si="12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61" s="77" t="str">
        <f t="shared" si="13"/>
        <v>"C:\Program Files (x86)\AstroGrep\AstroGrep.exe" /e /r /s /spath="%USERPROFILE%\AppData\Local\Temp\OnboardLogs" /stypes="app*4014*20170518*"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149-18 --locoid 4014 --swversion DE.1.0.9.0 --startMP 204:453 --initTime 2017-05-18T09:39:17 --startdatetime 2017-05-18T09:45:16 --delay 1 --endMP 204:233346 --enddatetime 2017-05-18T10:24:44 --enforcementcount 0 &gt;&gt;C:\Users\stu\Documents\GitHub\eaglep3-reporting\EC\2017-05-18-refined-times.txt</v>
      </c>
      <c r="AI61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{"issue":{"subject":"","project_id":79,"tracker_id":40,"status_id":1,"priority_id":2,"assigned_to_id":23,"start_date":"2017-05-18","description":"","custom_fields":[{"id":1,"name":"Subdivision","value":"EC"},{"id":4,"name":"Milepost","value":"23.3346"},{"id":17,"name":"Train ID","value":"149-18"},{"id":16,"name":"Locomotive ID","value":"4014"},{"id":130,"name":"Impact","value":""},{"id":150,"name":"Time of Event (Mountain Time)","value":"10:24:44"},{"id":151,"name":"Denver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4014 --day 2017-05-18</v>
      </c>
      <c r="AN61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688</v>
      </c>
      <c r="B62" s="7">
        <v>4013</v>
      </c>
      <c r="C62" s="21" t="s">
        <v>206</v>
      </c>
      <c r="D62" s="21" t="s">
        <v>555</v>
      </c>
      <c r="E62" s="13">
        <v>42873.435497685183</v>
      </c>
      <c r="F62" s="13">
        <v>42873.445497685185</v>
      </c>
      <c r="G62" s="7">
        <v>1</v>
      </c>
      <c r="H62" s="21" t="s">
        <v>870</v>
      </c>
      <c r="I62" s="13">
        <v>42873.471226851849</v>
      </c>
      <c r="J62" s="7">
        <v>0</v>
      </c>
      <c r="K62" s="92" t="str">
        <f t="shared" si="0"/>
        <v>4013/4014</v>
      </c>
      <c r="L62" s="21" t="str">
        <f>VLOOKUP(A62,'Trips&amp;Operators'!$C$1:$G$99999,5,FALSE)</f>
        <v>GEBRETEKLE DAGNEW</v>
      </c>
      <c r="M62" s="6">
        <f t="shared" si="1"/>
        <v>2.5729166663950309E-2</v>
      </c>
      <c r="N62" s="7">
        <f t="shared" si="25"/>
        <v>37.049999996088445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-18T09:27:07-0600',mode:absolute,to:'2017-05-18T12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2" s="192" t="str">
        <f t="shared" si="6"/>
        <v>N</v>
      </c>
      <c r="X62" s="192">
        <f t="shared" si="24"/>
        <v>1</v>
      </c>
      <c r="Y62" s="192">
        <f t="shared" si="8"/>
        <v>23.302099999999999</v>
      </c>
      <c r="Z62" s="192">
        <f t="shared" si="9"/>
        <v>1.6299999999999999E-2</v>
      </c>
      <c r="AA62" s="192">
        <f t="shared" si="10"/>
        <v>23.285799999999998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0150-18</v>
      </c>
      <c r="AE62" s="80" t="str">
        <f t="shared" si="12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62" s="77" t="str">
        <f t="shared" si="13"/>
        <v>"C:\Program Files (x86)\AstroGrep\AstroGrep.exe" /e /r /s /spath="%USERPROFILE%\AppData\Local\Temp\OnboardLogs" /stypes="app*4013*20170518*"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150-18 --locoid 4013 --swversion DE.1.0.9.0 --startMP 204:233021 --initTime 2017-05-18T10:27:07 --startdatetime 2017-05-18T10:41:31 --delay 1 --endMP 204:163 --enddatetime 2017-05-18T11:18:34 --enforcementcount 0 &gt;&gt;C:\Users\stu\Documents\GitHub\eaglep3-reporting\EC\2017-05-18-refined-times.txt</v>
      </c>
      <c r="AI62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{"issue":{"subject":"","project_id":79,"tracker_id":40,"status_id":1,"priority_id":2,"assigned_to_id":23,"start_date":"2017-05-18","description":"","custom_fields":[{"id":1,"name":"Subdivision","value":"EC"},{"id":4,"name":"Milepost","value":"0.0163"},{"id":17,"name":"Train ID","value":"150-18"},{"id":16,"name":"Locomotive ID","value":"4013"},{"id":130,"name":"Impact","value":""},{"id":150,"name":"Time of Event (Mountain Time)","value":"11:18:34"},{"id":151,"name":"Denver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4013 --day 2017-05-18</v>
      </c>
      <c r="AN62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597</v>
      </c>
      <c r="B63" s="7">
        <v>4056</v>
      </c>
      <c r="C63" s="21" t="s">
        <v>206</v>
      </c>
      <c r="D63" s="21" t="s">
        <v>444</v>
      </c>
      <c r="E63" s="13">
        <v>42873.410219907404</v>
      </c>
      <c r="F63" s="13">
        <v>42873.416875000003</v>
      </c>
      <c r="G63" s="7">
        <v>1</v>
      </c>
      <c r="H63" s="21" t="s">
        <v>504</v>
      </c>
      <c r="I63" s="13">
        <v>42873.441944444443</v>
      </c>
      <c r="J63" s="7">
        <v>0</v>
      </c>
      <c r="K63" s="92" t="str">
        <f t="shared" si="0"/>
        <v>4055/4056</v>
      </c>
      <c r="L63" s="21" t="str">
        <f>VLOOKUP(A63,'Trips&amp;Operators'!$C$1:$G$99999,5,FALSE)</f>
        <v>ROCHA YAOTL</v>
      </c>
      <c r="M63" s="6">
        <f t="shared" si="1"/>
        <v>2.5069444440305233E-2</v>
      </c>
      <c r="N63" s="7">
        <f t="shared" si="25"/>
        <v>36.099999994039536</v>
      </c>
      <c r="O63" s="7"/>
      <c r="P63" s="7"/>
      <c r="Q63" s="22"/>
      <c r="R63" s="190" t="s">
        <v>1049</v>
      </c>
      <c r="S63" s="196">
        <f t="shared" si="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-18T08:50:43-0600',mode:absolute,to:'2017-05-18T11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192" t="str">
        <f t="shared" si="6"/>
        <v>N</v>
      </c>
      <c r="X63" s="192">
        <f t="shared" si="24"/>
        <v>1</v>
      </c>
      <c r="Y63" s="192">
        <f t="shared" si="8"/>
        <v>4.6899999999999997E-2</v>
      </c>
      <c r="Z63" s="192">
        <f t="shared" si="9"/>
        <v>23.340800000000002</v>
      </c>
      <c r="AA63" s="192">
        <f t="shared" si="10"/>
        <v>23.293900000000001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0151-18</v>
      </c>
      <c r="AE63" s="80" t="str">
        <f t="shared" si="12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63" s="77" t="str">
        <f t="shared" si="13"/>
        <v>"C:\Program Files (x86)\AstroGrep\AstroGrep.exe" /e /r /s /spath="%USERPROFILE%\AppData\Local\Temp\OnboardLogs" /stypes="app*4056*20170518*"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151-18 --locoid 4056 --swversion DE.1.0.9.0 --startMP 204:469 --initTime 2017-05-18T09:50:43 --startdatetime 2017-05-18T10:00:18 --delay 1 --endMP 204:233408 --enddatetime 2017-05-18T10:36:24 --enforcementcount 0 &gt;&gt;C:\Users\stu\Documents\GitHub\eaglep3-reporting\EC\2017-05-18-refined-times.txt</v>
      </c>
      <c r="AI63" s="99" t="str">
        <f t="shared" si="20"/>
        <v>echo {"issue":{"subject":"Fluctuating speedometer readings? VM responded and reset.","project_id":79,"tracker_id":40,"status_id":1,"priority_id":2,"assigned_to_id":23,"start_date":"2017-05-18","description":"","custom_fields":[{"id":1,"name":"Subdivision","value":"EC"},{"id":4,"name":"Milepost","value":"23.3408"},{"id":17,"name":"Train ID","value":"151-18"},{"id":16,"name":"Locomotive ID","value":"4056"},{"id":130,"name":"Impact","value":""},{"id":150,"name":"Time of Event (Mountain Time)","value":"10:36:24"},{"id":151,"name":"Denver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4056 --day 2017-05-18</v>
      </c>
      <c r="AN63" s="154" t="str">
        <f t="shared" si="22"/>
        <v>echo {"issue":{"subject":"Fluctuating speedometer readings? VM responded and reset.","project_id":30,"tracker_id":4,"status_id":1,"priority_id":1,"assigned_to_id":10,"start_date":"2017-05-18","description":"","custom_fields":[{"id":30,"name":"Category","value":"Issue"},{"id":3,"name":"Functional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598</v>
      </c>
      <c r="B64" s="7">
        <v>4055</v>
      </c>
      <c r="C64" s="21" t="s">
        <v>206</v>
      </c>
      <c r="D64" s="21" t="s">
        <v>864</v>
      </c>
      <c r="E64" s="13">
        <v>42873.454768518517</v>
      </c>
      <c r="F64" s="13">
        <v>42873.456053240741</v>
      </c>
      <c r="G64" s="7">
        <v>1</v>
      </c>
      <c r="H64" s="21" t="s">
        <v>871</v>
      </c>
      <c r="I64" s="13">
        <v>42873.483263888891</v>
      </c>
      <c r="J64" s="7">
        <v>0</v>
      </c>
      <c r="K64" s="92" t="str">
        <f t="shared" si="0"/>
        <v>4055/4056</v>
      </c>
      <c r="L64" s="21" t="str">
        <f>VLOOKUP(A64,'Trips&amp;Operators'!$C$1:$G$99999,5,FALSE)</f>
        <v>ROCHA YAOTL</v>
      </c>
      <c r="M64" s="6">
        <f t="shared" si="1"/>
        <v>2.7210648149775807E-2</v>
      </c>
      <c r="N64" s="7">
        <f t="shared" si="25"/>
        <v>39.183333335677162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-18T09:54:52-0600',mode:absolute,to:'2017-05-18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192" t="str">
        <f t="shared" si="6"/>
        <v>N</v>
      </c>
      <c r="X64" s="192">
        <f t="shared" si="24"/>
        <v>1</v>
      </c>
      <c r="Y64" s="192">
        <f t="shared" si="8"/>
        <v>23.307400000000001</v>
      </c>
      <c r="Z64" s="192">
        <f t="shared" si="9"/>
        <v>0.15429999999999999</v>
      </c>
      <c r="AA64" s="192">
        <f t="shared" si="10"/>
        <v>23.153100000000002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0152-18</v>
      </c>
      <c r="AE64" s="80" t="str">
        <f t="shared" si="12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64" s="77" t="str">
        <f t="shared" si="13"/>
        <v>"C:\Program Files (x86)\AstroGrep\AstroGrep.exe" /e /r /s /spath="%USERPROFILE%\AppData\Local\Temp\OnboardLogs" /stypes="app*4055*20170518*"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152-18 --locoid 4055 --swversion DE.1.0.9.0 --startMP 204:233074 --initTime 2017-05-18T10:54:52 --startdatetime 2017-05-18T10:56:43 --delay 1 --endMP 204:1543 --enddatetime 2017-05-18T11:35:54 --enforcementcount 0 &gt;&gt;C:\Users\stu\Documents\GitHub\eaglep3-reporting\EC\2017-05-18-refined-times.txt</v>
      </c>
      <c r="AI64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{"issue":{"subject":"","project_id":79,"tracker_id":40,"status_id":1,"priority_id":2,"assigned_to_id":23,"start_date":"2017-05-18","description":"","custom_fields":[{"id":1,"name":"Subdivision","value":"EC"},{"id":4,"name":"Milepost","value":"0.1543"},{"id":17,"name":"Train ID","value":"152-18"},{"id":16,"name":"Locomotive ID","value":"4055"},{"id":130,"name":"Impact","value":""},{"id":150,"name":"Time of Event (Mountain Time)","value":"11:35:54"},{"id":151,"name":"Denver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4055 --day 2017-05-18</v>
      </c>
      <c r="AN64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686</v>
      </c>
      <c r="B65" s="7">
        <v>4008</v>
      </c>
      <c r="C65" s="21" t="s">
        <v>206</v>
      </c>
      <c r="D65" s="21" t="s">
        <v>362</v>
      </c>
      <c r="E65" s="13">
        <v>42873.421643518515</v>
      </c>
      <c r="F65" s="13">
        <v>42873.427453703705</v>
      </c>
      <c r="G65" s="7">
        <v>1</v>
      </c>
      <c r="H65" s="21" t="s">
        <v>548</v>
      </c>
      <c r="I65" s="13">
        <v>42873.455081018517</v>
      </c>
      <c r="J65" s="7">
        <v>0</v>
      </c>
      <c r="K65" s="92" t="str">
        <f t="shared" si="0"/>
        <v>4007/4008</v>
      </c>
      <c r="L65" s="21" t="str">
        <f>VLOOKUP(A65,'Trips&amp;Operators'!$C$1:$G$99999,5,FALSE)</f>
        <v>YORK EDGAR</v>
      </c>
      <c r="M65" s="6">
        <f t="shared" si="1"/>
        <v>2.7627314811979886E-2</v>
      </c>
      <c r="N65" s="7">
        <f t="shared" si="25"/>
        <v>39.783333329251036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-18T09:07:10-0600',mode:absolute,to:'2017-05-18T11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192" t="str">
        <f t="shared" si="6"/>
        <v>N</v>
      </c>
      <c r="X65" s="192">
        <f t="shared" si="24"/>
        <v>1</v>
      </c>
      <c r="Y65" s="192">
        <f t="shared" si="8"/>
        <v>4.6399999999999997E-2</v>
      </c>
      <c r="Z65" s="192">
        <f t="shared" si="9"/>
        <v>23.329799999999999</v>
      </c>
      <c r="AA65" s="192">
        <f t="shared" si="10"/>
        <v>23.2834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0153-18</v>
      </c>
      <c r="AE65" s="80" t="str">
        <f t="shared" si="12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65" s="77" t="str">
        <f t="shared" si="13"/>
        <v>"C:\Program Files (x86)\AstroGrep\AstroGrep.exe" /e /r /s /spath="%USERPROFILE%\AppData\Local\Temp\OnboardLogs" /stypes="app*4008*20170518*"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153-18 --locoid 4008 --swversion DE.1.0.9.0 --startMP 204:464 --initTime 2017-05-18T10:07:10 --startdatetime 2017-05-18T10:15:32 --delay 1 --endMP 204:233298 --enddatetime 2017-05-18T10:55:19 --enforcementcount 0 &gt;&gt;C:\Users\stu\Documents\GitHub\eaglep3-reporting\EC\2017-05-18-refined-times.txt</v>
      </c>
      <c r="AI65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{"issue":{"subject":"","project_id":79,"tracker_id":40,"status_id":1,"priority_id":2,"assigned_to_id":23,"start_date":"2017-05-18","description":"","custom_fields":[{"id":1,"name":"Subdivision","value":"EC"},{"id":4,"name":"Milepost","value":"23.3298"},{"id":17,"name":"Train ID","value":"153-18"},{"id":16,"name":"Locomotive ID","value":"4008"},{"id":130,"name":"Impact","value":""},{"id":150,"name":"Time of Event (Mountain Time)","value":"10:55:19"},{"id":151,"name":"Denver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4008 --day 2017-05-18</v>
      </c>
      <c r="AN65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692</v>
      </c>
      <c r="B66" s="7">
        <v>4007</v>
      </c>
      <c r="C66" s="21" t="s">
        <v>206</v>
      </c>
      <c r="D66" s="21" t="s">
        <v>559</v>
      </c>
      <c r="E66" s="13">
        <v>42873.455821759257</v>
      </c>
      <c r="F66" s="13">
        <v>42873.466400462959</v>
      </c>
      <c r="G66" s="7">
        <v>1</v>
      </c>
      <c r="H66" s="21" t="s">
        <v>198</v>
      </c>
      <c r="I66" s="13">
        <v>42873.491909722223</v>
      </c>
      <c r="J66" s="7">
        <v>0</v>
      </c>
      <c r="K66" s="92" t="str">
        <f t="shared" si="0"/>
        <v>4007/4008</v>
      </c>
      <c r="L66" s="21" t="str">
        <f>VLOOKUP(A66,'Trips&amp;Operators'!$C$1:$G$99999,5,FALSE)</f>
        <v>YORK EDGAR</v>
      </c>
      <c r="M66" s="6">
        <f t="shared" si="1"/>
        <v>2.5509259263344575E-2</v>
      </c>
      <c r="N66" s="7">
        <f t="shared" si="25"/>
        <v>36.733333339216188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-18T09:56:23-0600',mode:absolute,to:'2017-05-18T12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192" t="str">
        <f t="shared" si="6"/>
        <v>N</v>
      </c>
      <c r="X66" s="192">
        <f t="shared" si="24"/>
        <v>1</v>
      </c>
      <c r="Y66" s="192">
        <f t="shared" si="8"/>
        <v>23.297899999999998</v>
      </c>
      <c r="Z66" s="192">
        <f t="shared" si="9"/>
        <v>1.5800000000000002E-2</v>
      </c>
      <c r="AA66" s="192">
        <f t="shared" si="10"/>
        <v>23.2821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0154-18</v>
      </c>
      <c r="AE66" s="80" t="str">
        <f t="shared" si="12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66" s="77" t="str">
        <f t="shared" si="13"/>
        <v>"C:\Program Files (x86)\AstroGrep\AstroGrep.exe" /e /r /s /spath="%USERPROFILE%\AppData\Local\Temp\OnboardLogs" /stypes="app*4007*20170518*"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154-18 --locoid 4007 --swversion DE.1.0.9.0 --startMP 204:232979 --initTime 2017-05-18T10:56:23 --startdatetime 2017-05-18T11:11:37 --delay 1 --endMP 204:158 --enddatetime 2017-05-18T11:48:21 --enforcementcount 0 &gt;&gt;C:\Users\stu\Documents\GitHub\eaglep3-reporting\EC\2017-05-18-refined-times.txt</v>
      </c>
      <c r="AI66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ID","value":"154-18"},{"id":16,"name":"Locomotive ID","value":"4007"},{"id":130,"name":"Impact","value":""},{"id":150,"name":"Time of Event (Mountain Time)","value":"11:48:21"},{"id":151,"name":"Denver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4007 --day 2017-05-18</v>
      </c>
      <c r="AN66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687</v>
      </c>
      <c r="B67" s="7">
        <v>4030</v>
      </c>
      <c r="C67" s="21" t="s">
        <v>206</v>
      </c>
      <c r="D67" s="21" t="s">
        <v>406</v>
      </c>
      <c r="E67" s="13">
        <v>42873.432442129626</v>
      </c>
      <c r="F67" s="13">
        <v>42873.437905092593</v>
      </c>
      <c r="G67" s="7">
        <v>2</v>
      </c>
      <c r="H67" s="21" t="s">
        <v>495</v>
      </c>
      <c r="I67" s="13">
        <v>42873.462222222224</v>
      </c>
      <c r="J67" s="7">
        <v>0</v>
      </c>
      <c r="K67" s="92" t="str">
        <f t="shared" si="0"/>
        <v>4029/4030</v>
      </c>
      <c r="L67" s="21" t="str">
        <f>VLOOKUP(A67,'Trips&amp;Operators'!$C$1:$G$99999,5,FALSE)</f>
        <v>BADERTSCHER DIANE</v>
      </c>
      <c r="M67" s="6">
        <f t="shared" si="1"/>
        <v>2.4317129631526768E-2</v>
      </c>
      <c r="N67" s="7">
        <f t="shared" si="25"/>
        <v>35.016666669398546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-18T09:22:43-0600',mode:absolute,to:'2017-05-18T12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192" t="str">
        <f t="shared" si="6"/>
        <v>N</v>
      </c>
      <c r="X67" s="192">
        <f t="shared" si="24"/>
        <v>1</v>
      </c>
      <c r="Y67" s="192">
        <f t="shared" si="8"/>
        <v>4.6199999999999998E-2</v>
      </c>
      <c r="Z67" s="192">
        <f t="shared" si="9"/>
        <v>23.331199999999999</v>
      </c>
      <c r="AA67" s="192">
        <f t="shared" si="10"/>
        <v>23.285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0155-18</v>
      </c>
      <c r="AE67" s="80" t="str">
        <f t="shared" si="12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67" s="77" t="str">
        <f t="shared" si="13"/>
        <v>"C:\Program Files (x86)\AstroGrep\AstroGrep.exe" /e /r /s /spath="%USERPROFILE%\AppData\Local\Temp\OnboardLogs" /stypes="app*4030*20170518*"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155-18 --locoid 4030 --swversion DE.1.0.9.0 --startMP 204:462 --initTime 2017-05-18T10:22:43 --startdatetime 2017-05-18T10:30:35 --delay 2 --endMP 204:233312 --enddatetime 2017-05-18T11:05:36 --enforcementcount 0 &gt;&gt;C:\Users\stu\Documents\GitHub\eaglep3-reporting\EC\2017-05-18-refined-times.txt</v>
      </c>
      <c r="AI67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{"issue":{"subject":"","project_id":79,"tracker_id":40,"status_id":1,"priority_id":2,"assigned_to_id":23,"start_date":"2017-05-18","description":"","custom_fields":[{"id":1,"name":"Subdivision","value":"EC"},{"id":4,"name":"Milepost","value":"23.3312"},{"id":17,"name":"Train ID","value":"155-18"},{"id":16,"name":"Locomotive ID","value":"4030"},{"id":130,"name":"Impact","value":""},{"id":150,"name":"Time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4030 --day 2017-05-18</v>
      </c>
      <c r="AN67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700</v>
      </c>
      <c r="B68" s="7">
        <v>4029</v>
      </c>
      <c r="C68" s="21" t="s">
        <v>206</v>
      </c>
      <c r="D68" s="21" t="s">
        <v>865</v>
      </c>
      <c r="E68" s="13">
        <v>42873.473287037035</v>
      </c>
      <c r="F68" s="13">
        <v>42873.476747685185</v>
      </c>
      <c r="G68" s="7">
        <v>1</v>
      </c>
      <c r="H68" s="21" t="s">
        <v>197</v>
      </c>
      <c r="I68" s="13">
        <v>42873.504027777781</v>
      </c>
      <c r="J68" s="7">
        <v>0</v>
      </c>
      <c r="K68" s="92" t="str">
        <f t="shared" si="0"/>
        <v>4029/4030</v>
      </c>
      <c r="L68" s="21" t="str">
        <f>VLOOKUP(A68,'Trips&amp;Operators'!$C$1:$G$99999,5,FALSE)</f>
        <v>MACDONALD THOMAS</v>
      </c>
      <c r="M68" s="6">
        <f t="shared" si="1"/>
        <v>2.7280092595901806E-2</v>
      </c>
      <c r="N68" s="7">
        <f t="shared" si="25"/>
        <v>39.283333338098601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-18T10:21:32-0600',mode:absolute,to:'2017-05-18T13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192" t="str">
        <f t="shared" si="6"/>
        <v>N</v>
      </c>
      <c r="X68" s="192">
        <f t="shared" si="24"/>
        <v>1</v>
      </c>
      <c r="Y68" s="192">
        <f t="shared" si="8"/>
        <v>23.2957</v>
      </c>
      <c r="Z68" s="192">
        <f t="shared" si="9"/>
        <v>1.52E-2</v>
      </c>
      <c r="AA68" s="192">
        <f t="shared" si="10"/>
        <v>23.2805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0156-18</v>
      </c>
      <c r="AE68" s="80" t="str">
        <f t="shared" si="12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68" s="77" t="str">
        <f t="shared" si="13"/>
        <v>"C:\Program Files (x86)\AstroGrep\AstroGrep.exe" /e /r /s /spath="%USERPROFILE%\AppData\Local\Temp\OnboardLogs" /stypes="app*4029*20170518*"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156-18 --locoid 4029 --swversion DE.1.0.9.0 --startMP 204:232957 --initTime 2017-05-18T11:21:32 --startdatetime 2017-05-18T11:26:31 --delay 1 --endMP 204:152 --enddatetime 2017-05-18T12:05:48 --enforcementcount 0 &gt;&gt;C:\Users\stu\Documents\GitHub\eaglep3-reporting\EC\2017-05-18-refined-times.txt</v>
      </c>
      <c r="AI68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ID","value":"156-18"},{"id":16,"name":"Locomotive ID","value":"4029"},{"id":130,"name":"Impact","value":""},{"id":150,"name":"Time of Event (Mountain Time)","value":"12:05:48"},{"id":151,"name":"Denver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4029 --day 2017-05-18</v>
      </c>
      <c r="AN68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689</v>
      </c>
      <c r="B69" s="7">
        <v>4010</v>
      </c>
      <c r="C69" s="21" t="s">
        <v>206</v>
      </c>
      <c r="D69" s="21" t="s">
        <v>360</v>
      </c>
      <c r="E69" s="13">
        <v>42873.442673611113</v>
      </c>
      <c r="F69" s="13">
        <v>42873.448206018518</v>
      </c>
      <c r="G69" s="7">
        <v>1</v>
      </c>
      <c r="H69" s="21" t="s">
        <v>489</v>
      </c>
      <c r="I69" s="13">
        <v>42873.473576388889</v>
      </c>
      <c r="J69" s="7">
        <v>0</v>
      </c>
      <c r="K69" s="92" t="str">
        <f t="shared" si="0"/>
        <v>4009/4010</v>
      </c>
      <c r="L69" s="21" t="str">
        <f>VLOOKUP(A69,'Trips&amp;Operators'!$C$1:$G$99999,5,FALSE)</f>
        <v>STARKS ANGELINA</v>
      </c>
      <c r="M69" s="6">
        <f t="shared" si="1"/>
        <v>2.5370370371092577E-2</v>
      </c>
      <c r="N69" s="7">
        <f t="shared" si="25"/>
        <v>36.53333333437331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-18T09:37:27-0600',mode:absolute,to:'2017-05-18T12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192" t="str">
        <f t="shared" si="6"/>
        <v>N</v>
      </c>
      <c r="X69" s="192">
        <f t="shared" si="24"/>
        <v>1</v>
      </c>
      <c r="Y69" s="192">
        <f t="shared" si="8"/>
        <v>4.5100000000000001E-2</v>
      </c>
      <c r="Z69" s="192">
        <f t="shared" si="9"/>
        <v>23.33</v>
      </c>
      <c r="AA69" s="192">
        <f t="shared" si="10"/>
        <v>23.284899999999997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0157-18</v>
      </c>
      <c r="AE69" s="80" t="str">
        <f t="shared" si="12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69" s="77" t="str">
        <f t="shared" si="13"/>
        <v>"C:\Program Files (x86)\AstroGrep\AstroGrep.exe" /e /r /s /spath="%USERPROFILE%\AppData\Local\Temp\OnboardLogs" /stypes="app*4010*20170518*"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157-18 --locoid 4010 --swversion DE.1.0.9.0 --startMP 204:451 --initTime 2017-05-18T10:37:27 --startdatetime 2017-05-18T10:45:25 --delay 1 --endMP 204:233300 --enddatetime 2017-05-18T11:21:57 --enforcementcount 0 &gt;&gt;C:\Users\stu\Documents\GitHub\eaglep3-reporting\EC\2017-05-18-refined-times.txt</v>
      </c>
      <c r="AI69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{"issue":{"subject":"","project_id":79,"tracker_id":40,"status_id":1,"priority_id":2,"assigned_to_id":23,"start_date":"2017-05-18","description":"","custom_fields":[{"id":1,"name":"Subdivision","value":"EC"},{"id":4,"name":"Milepost","value":"23.33"},{"id":17,"name":"Train ID","value":"157-18"},{"id":16,"name":"Locomotive ID","value":"4010"},{"id":130,"name":"Impact","value":""},{"id":150,"name":"Time of Event (Mountain Time)","value":"11:21:57"},{"id":151,"name":"Denver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4010 --day 2017-05-18</v>
      </c>
      <c r="AN69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705</v>
      </c>
      <c r="B70" s="7">
        <v>4009</v>
      </c>
      <c r="C70" s="21" t="s">
        <v>206</v>
      </c>
      <c r="D70" s="21" t="s">
        <v>872</v>
      </c>
      <c r="E70" s="13">
        <v>42873.483819444446</v>
      </c>
      <c r="F70" s="13">
        <v>42873.487164351849</v>
      </c>
      <c r="G70" s="7">
        <v>2</v>
      </c>
      <c r="H70" s="21" t="s">
        <v>354</v>
      </c>
      <c r="I70" s="13">
        <v>42873.514016203706</v>
      </c>
      <c r="J70" s="7">
        <v>0</v>
      </c>
      <c r="K70" s="92" t="str">
        <f t="shared" si="0"/>
        <v>4009/4010</v>
      </c>
      <c r="L70" s="21" t="str">
        <f>VLOOKUP(A70,'Trips&amp;Operators'!$C$1:$G$99999,5,FALSE)</f>
        <v>STARKS ANGELINA</v>
      </c>
      <c r="M70" s="6">
        <f t="shared" si="1"/>
        <v>2.6851851856918074E-2</v>
      </c>
      <c r="N70" s="7">
        <f t="shared" si="25"/>
        <v>38.666666673962027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-18T10:36:42-0600',mode:absolute,to:'2017-05-18T13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2" t="str">
        <f t="shared" si="6"/>
        <v>N</v>
      </c>
      <c r="X70" s="192">
        <f t="shared" si="24"/>
        <v>1</v>
      </c>
      <c r="Y70" s="192">
        <f t="shared" si="8"/>
        <v>23.296800000000001</v>
      </c>
      <c r="Z70" s="192">
        <f t="shared" si="9"/>
        <v>1.6E-2</v>
      </c>
      <c r="AA70" s="192">
        <f t="shared" si="10"/>
        <v>23.280800000000003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0158-18</v>
      </c>
      <c r="AE70" s="80" t="str">
        <f t="shared" si="12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70" s="77" t="str">
        <f t="shared" si="13"/>
        <v>"C:\Program Files (x86)\AstroGrep\AstroGrep.exe" /e /r /s /spath="%USERPROFILE%\AppData\Local\Temp\OnboardLogs" /stypes="app*4009*20170518*"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158-18 --locoid 4009 --swversion DE.1.0.9.0 --startMP 204:232968 --initTime 2017-05-18T11:36:42 --startdatetime 2017-05-18T11:41:31 --delay 2 --endMP 204:160 --enddatetime 2017-05-18T12:20:11 --enforcementcount 0 &gt;&gt;C:\Users\stu\Documents\GitHub\eaglep3-reporting\EC\2017-05-18-refined-times.txt</v>
      </c>
      <c r="AI70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{"issue":{"subject":"","project_id":79,"tracker_id":40,"status_id":1,"priority_id":2,"assigned_to_id":23,"start_date":"2017-05-18","description":"","custom_fields":[{"id":1,"name":"Subdivision","value":"EC"},{"id":4,"name":"Milepost","value":"0.016"},{"id":17,"name":"Train ID","value":"158-18"},{"id":16,"name":"Locomotive ID","value":"4009"},{"id":130,"name":"Impact","value":""},{"id":150,"name":"Time of Event (Mountain Time)","value":"12:20:11"},{"id":151,"name":"Denver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4009 --day 2017-05-18</v>
      </c>
      <c r="AN70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691</v>
      </c>
      <c r="B71" s="7">
        <v>4002</v>
      </c>
      <c r="C71" s="21" t="s">
        <v>206</v>
      </c>
      <c r="D71" s="21" t="s">
        <v>203</v>
      </c>
      <c r="E71" s="13">
        <v>42873.453287037039</v>
      </c>
      <c r="F71" s="13">
        <v>42873.458495370367</v>
      </c>
      <c r="G71" s="7">
        <v>2</v>
      </c>
      <c r="H71" s="21" t="s">
        <v>873</v>
      </c>
      <c r="I71" s="13">
        <v>42873.485115740739</v>
      </c>
      <c r="J71" s="7">
        <v>0</v>
      </c>
      <c r="K71" s="92" t="str">
        <f t="shared" si="0"/>
        <v>4001/4002</v>
      </c>
      <c r="L71" s="21" t="str">
        <f>VLOOKUP(A71,'Trips&amp;Operators'!$C$1:$G$99999,5,FALSE)</f>
        <v>CLARK KATHLEEN</v>
      </c>
      <c r="M71" s="6">
        <f t="shared" si="1"/>
        <v>2.662037037225673E-2</v>
      </c>
      <c r="N71" s="7">
        <f t="shared" si="25"/>
        <v>38.333333336049691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-18T09:52:44-0600',mode:absolute,to:'2017-05-18T12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92" t="str">
        <f t="shared" si="6"/>
        <v>N</v>
      </c>
      <c r="X71" s="192">
        <f t="shared" si="24"/>
        <v>1</v>
      </c>
      <c r="Y71" s="192">
        <f t="shared" si="8"/>
        <v>4.5999999999999999E-2</v>
      </c>
      <c r="Z71" s="192">
        <f t="shared" si="9"/>
        <v>23.325900000000001</v>
      </c>
      <c r="AA71" s="192">
        <f t="shared" si="10"/>
        <v>23.279900000000001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0159-18</v>
      </c>
      <c r="AE71" s="80" t="str">
        <f t="shared" si="12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71" s="77" t="str">
        <f t="shared" si="13"/>
        <v>"C:\Program Files (x86)\AstroGrep\AstroGrep.exe" /e /r /s /spath="%USERPROFILE%\AppData\Local\Temp\OnboardLogs" /stypes="app*4002*20170518*"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159-18 --locoid 4002 --swversion DE.1.0.9.0 --startMP 204:460 --initTime 2017-05-18T10:52:44 --startdatetime 2017-05-18T11:00:14 --delay 2 --endMP 204:233259 --enddatetime 2017-05-18T11:38:34 --enforcementcount 0 &gt;&gt;C:\Users\stu\Documents\GitHub\eaglep3-reporting\EC\2017-05-18-refined-times.txt</v>
      </c>
      <c r="AI71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{"issue":{"subject":"","project_id":79,"tracker_id":40,"status_id":1,"priority_id":2,"assigned_to_id":23,"start_date":"2017-05-18","description":"","custom_fields":[{"id":1,"name":"Subdivision","value":"EC"},{"id":4,"name":"Milepost","value":"23.3259"},{"id":17,"name":"Train ID","value":"159-18"},{"id":16,"name":"Locomotive ID","value":"4002"},{"id":130,"name":"Impact","value":""},{"id":150,"name":"Time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4002 --day 2017-05-18</v>
      </c>
      <c r="AN71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707</v>
      </c>
      <c r="B72" s="7">
        <v>4001</v>
      </c>
      <c r="C72" s="21" t="s">
        <v>206</v>
      </c>
      <c r="D72" s="21" t="s">
        <v>874</v>
      </c>
      <c r="E72" s="13">
        <v>42873.493784722225</v>
      </c>
      <c r="F72" s="13">
        <v>42873.497395833336</v>
      </c>
      <c r="G72" s="7">
        <v>1</v>
      </c>
      <c r="H72" s="21" t="s">
        <v>875</v>
      </c>
      <c r="I72" s="13">
        <v>42873.525219907409</v>
      </c>
      <c r="J72" s="7">
        <v>0</v>
      </c>
      <c r="K72" s="92" t="str">
        <f t="shared" si="0"/>
        <v>4001/4002</v>
      </c>
      <c r="L72" s="21" t="str">
        <f>VLOOKUP(A72,'Trips&amp;Operators'!$C$1:$G$99999,5,FALSE)</f>
        <v>CLARK KATHLEEN</v>
      </c>
      <c r="M72" s="6">
        <f t="shared" si="1"/>
        <v>2.7824074073578231E-2</v>
      </c>
      <c r="N72" s="7">
        <f t="shared" si="25"/>
        <v>40.066666665952653</v>
      </c>
      <c r="O72" s="7"/>
      <c r="P72" s="7"/>
      <c r="Q72" s="22"/>
      <c r="R72" s="190"/>
      <c r="S72" s="196">
        <f t="shared" si="3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-18T10:51:03-0600',mode:absolute,to:'2017-05-18T13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192" t="str">
        <f t="shared" si="6"/>
        <v>N</v>
      </c>
      <c r="X72" s="192">
        <f t="shared" si="24"/>
        <v>1</v>
      </c>
      <c r="Y72" s="192">
        <f t="shared" si="8"/>
        <v>23.294599999999999</v>
      </c>
      <c r="Z72" s="192">
        <f t="shared" si="9"/>
        <v>1.8700000000000001E-2</v>
      </c>
      <c r="AA72" s="192">
        <f t="shared" si="10"/>
        <v>23.2759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0160-18</v>
      </c>
      <c r="AE72" s="80" t="str">
        <f t="shared" si="12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72" s="77" t="str">
        <f t="shared" si="13"/>
        <v>"C:\Program Files (x86)\AstroGrep\AstroGrep.exe" /e /r /s /spath="%USERPROFILE%\AppData\Local\Temp\OnboardLogs" /stypes="app*4001*20170518*"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160-18 --locoid 4001 --swversion DE.1.0.9.0 --startMP 204:232946 --initTime 2017-05-18T11:51:03 --startdatetime 2017-05-18T11:56:15 --delay 1 --endMP 204:187 --enddatetime 2017-05-18T12:36:19 --enforcementcount 0 &gt;&gt;C:\Users\stu\Documents\GitHub\eaglep3-reporting\EC\2017-05-18-refined-times.txt</v>
      </c>
      <c r="AI72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{"issue":{"subject":"","project_id":79,"tracker_id":40,"status_id":1,"priority_id":2,"assigned_to_id":23,"start_date":"2017-05-18","description":"","custom_fields":[{"id":1,"name":"Subdivision","value":"EC"},{"id":4,"name":"Milepost","value":"0.0187"},{"id":17,"name":"Train ID","value":"160-18"},{"id":16,"name":"Locomotive ID","value":"4001"},{"id":130,"name":"Impact","value":""},{"id":150,"name":"Time of Event (Mountain Time)","value":"12:36:19"},{"id":151,"name":"Denver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4001 --day 2017-05-18</v>
      </c>
      <c r="AN72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694</v>
      </c>
      <c r="B73" s="7">
        <v>4028</v>
      </c>
      <c r="C73" s="21" t="s">
        <v>206</v>
      </c>
      <c r="D73" s="21" t="s">
        <v>355</v>
      </c>
      <c r="E73" s="13">
        <v>42873.463854166665</v>
      </c>
      <c r="F73" s="13">
        <v>42873.468993055554</v>
      </c>
      <c r="G73" s="7">
        <v>3</v>
      </c>
      <c r="H73" s="21" t="s">
        <v>876</v>
      </c>
      <c r="I73" s="13">
        <v>42873.494432870371</v>
      </c>
      <c r="J73" s="7">
        <v>0</v>
      </c>
      <c r="K73" s="92" t="str">
        <f t="shared" si="0"/>
        <v>4027/4028</v>
      </c>
      <c r="L73" s="21" t="str">
        <f>VLOOKUP(A73,'Trips&amp;Operators'!$C$1:$G$99999,5,FALSE)</f>
        <v>BRANDNER MELINDA</v>
      </c>
      <c r="M73" s="6">
        <f t="shared" si="1"/>
        <v>2.5439814817218576E-2</v>
      </c>
      <c r="N73" s="7">
        <f t="shared" si="25"/>
        <v>36.633333336794749</v>
      </c>
      <c r="O73" s="7"/>
      <c r="P73" s="7"/>
      <c r="Q73" s="22"/>
      <c r="R73" s="190"/>
      <c r="S73" s="196">
        <f t="shared" si="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-18T10:07:57-0600',mode:absolute,to:'2017-05-18T12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2" t="str">
        <f t="shared" si="6"/>
        <v>N</v>
      </c>
      <c r="X73" s="192">
        <f t="shared" si="24"/>
        <v>1</v>
      </c>
      <c r="Y73" s="192">
        <f t="shared" si="8"/>
        <v>4.58E-2</v>
      </c>
      <c r="Z73" s="192">
        <f t="shared" si="9"/>
        <v>23.340599999999998</v>
      </c>
      <c r="AA73" s="192">
        <f t="shared" si="10"/>
        <v>23.294799999999999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0161-18</v>
      </c>
      <c r="AE73" s="80" t="str">
        <f t="shared" si="12"/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AF73" s="77" t="str">
        <f t="shared" si="13"/>
        <v>"C:\Program Files (x86)\AstroGrep\AstroGrep.exe" /e /r /s /spath="%USERPROFILE%\AppData\Local\Temp\OnboardLogs" /stypes="app*4028*20170518*"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161-18 --locoid 4028 --swversion DE.1.0.9.0 --startMP 204:458 --initTime 2017-05-18T11:07:57 --startdatetime 2017-05-18T11:15:21 --delay 3 --endMP 204:233406 --enddatetime 2017-05-18T11:51:59 --enforcementcount 0 &gt;&gt;C:\Users\stu\Documents\GitHub\eaglep3-reporting\EC\2017-05-18-refined-times.txt</v>
      </c>
      <c r="AI73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{"issue":{"subject":"","project_id":79,"tracker_id":40,"status_id":1,"priority_id":2,"assigned_to_id":23,"start_date":"2017-05-18","description":"","custom_fields":[{"id":1,"name":"Subdivision","value":"EC"},{"id":4,"name":"Milepost","value":"23.3406"},{"id":17,"name":"Train ID","value":"161-18"},{"id":16,"name":"Locomotive ID","value":"4028"},{"id":130,"name":"Impact","value":""},{"id":150,"name":"Time of Event (Mountain Time)","value":"11:51:59"},{"id":151,"name":"Denver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4028 --day 2017-05-18</v>
      </c>
      <c r="AN73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711</v>
      </c>
      <c r="B74" s="7">
        <v>4027</v>
      </c>
      <c r="C74" s="21" t="s">
        <v>206</v>
      </c>
      <c r="D74" s="21" t="s">
        <v>877</v>
      </c>
      <c r="E74" s="13">
        <v>42873.501782407409</v>
      </c>
      <c r="F74" s="13">
        <v>42873.507800925923</v>
      </c>
      <c r="G74" s="7">
        <v>1</v>
      </c>
      <c r="H74" s="21" t="s">
        <v>197</v>
      </c>
      <c r="I74" s="13">
        <v>42873.534386574072</v>
      </c>
      <c r="J74" s="7">
        <v>0</v>
      </c>
      <c r="K74" s="92" t="str">
        <f t="shared" si="0"/>
        <v>4027/4028</v>
      </c>
      <c r="L74" s="21" t="str">
        <f>VLOOKUP(A74,'Trips&amp;Operators'!$C$1:$G$99999,5,FALSE)</f>
        <v>BRANDNER MELINDA</v>
      </c>
      <c r="M74" s="6">
        <f t="shared" si="1"/>
        <v>2.658564814919373E-2</v>
      </c>
      <c r="N74" s="7">
        <f t="shared" si="25"/>
        <v>38.283333334838971</v>
      </c>
      <c r="O74" s="7"/>
      <c r="P74" s="7"/>
      <c r="Q74" s="22"/>
      <c r="R74" s="190"/>
      <c r="S74" s="196">
        <f t="shared" si="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-18T11:02:34-0600',mode:absolute,to:'2017-05-18T13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2" t="str">
        <f t="shared" si="6"/>
        <v>N</v>
      </c>
      <c r="X74" s="192">
        <f t="shared" si="24"/>
        <v>1</v>
      </c>
      <c r="Y74" s="192">
        <f t="shared" si="8"/>
        <v>23.313600000000001</v>
      </c>
      <c r="Z74" s="192">
        <f t="shared" si="9"/>
        <v>1.52E-2</v>
      </c>
      <c r="AA74" s="192">
        <f t="shared" si="10"/>
        <v>23.298400000000001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0162-18</v>
      </c>
      <c r="AE74" s="80" t="str">
        <f t="shared" si="12"/>
        <v>aws s3 cp s3://rtdc.mdm.uploadarchive.raw/RTDC4027/ "%USERPROFILE%\AppData\Local\Temp\OnboardLogs"\RTDC4027\2017-05-18 --exclude "*" --recursive --include "*20170518*" &amp; "%USERPROFILE%\Documents\GitHub\mrs-test-scripts\Headless Mode &amp; Sideloading\WalkAndUnGZ.bat" "%USERPROFILE%\AppData\Local\Temp\OnboardLogs"\RTDC4027\2017-05-18 &amp; aws s3 cp s3://rtdc.mdm.uploadarchive.raw/RTDC4027/ "%USERPROFILE%\AppData\Local\Temp\OnboardLogs"\RTDC4027\2017-05-19 --exclude "*" --recursive --include "*20170519*" &amp; "%USERPROFILE%\Documents\GitHub\mrs-test-scripts\Headless Mode &amp; Sideloading\WalkAndUnGZ.bat" "%USERPROFILE%\AppData\Local\Temp\OnboardLogs"\RTDC4027\2017-05-19</v>
      </c>
      <c r="AF74" s="77" t="str">
        <f t="shared" si="13"/>
        <v>"C:\Program Files (x86)\AstroGrep\AstroGrep.exe" /e /r /s /spath="%USERPROFILE%\AppData\Local\Temp\OnboardLogs" /stypes="app*4027*20170518*"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162-18 --locoid 4027 --swversion DE.1.0.9.0 --startMP 204:233136 --initTime 2017-05-18T12:02:34 --startdatetime 2017-05-18T12:11:14 --delay 1 --endMP 204:152 --enddatetime 2017-05-18T12:49:31 --enforcementcount 0 &gt;&gt;C:\Users\stu\Documents\GitHub\eaglep3-reporting\EC\2017-05-18-refined-times.txt</v>
      </c>
      <c r="AI74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ID","value":"162-18"},{"id":16,"name":"Locomotive ID","value":"4027"},{"id":130,"name":"Impact","value":""},{"id":150,"name":"Time of Event (Mountain Time)","value":"12:49:31"},{"id":151,"name":"Denver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4027 --day 2017-05-18</v>
      </c>
      <c r="AN74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701</v>
      </c>
      <c r="B75" s="7">
        <v>4014</v>
      </c>
      <c r="C75" s="21" t="s">
        <v>206</v>
      </c>
      <c r="D75" s="21" t="s">
        <v>878</v>
      </c>
      <c r="E75" s="13">
        <v>42873.473541666666</v>
      </c>
      <c r="F75" s="13">
        <v>42873.479409722226</v>
      </c>
      <c r="G75" s="7">
        <v>1</v>
      </c>
      <c r="H75" s="21" t="s">
        <v>445</v>
      </c>
      <c r="I75" s="13">
        <v>42873.50372685185</v>
      </c>
      <c r="J75" s="7">
        <v>0</v>
      </c>
      <c r="K75" s="92" t="str">
        <f t="shared" si="0"/>
        <v>4013/4014</v>
      </c>
      <c r="L75" s="21" t="str">
        <f>VLOOKUP(A75,'Trips&amp;Operators'!$C$1:$G$99999,5,FALSE)</f>
        <v>LOPES KIMBERLY</v>
      </c>
      <c r="M75" s="6">
        <f t="shared" si="1"/>
        <v>2.4317129624250811E-2</v>
      </c>
      <c r="N75" s="7">
        <f t="shared" si="25"/>
        <v>35.016666658921167</v>
      </c>
      <c r="O75" s="7"/>
      <c r="P75" s="7"/>
      <c r="Q75" s="22"/>
      <c r="R75" s="190"/>
      <c r="S75" s="196">
        <f t="shared" si="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-18T10:21:54-0600',mode:absolute,to:'2017-05-18T13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5" s="192" t="str">
        <f t="shared" si="6"/>
        <v>N</v>
      </c>
      <c r="X75" s="192">
        <f t="shared" si="24"/>
        <v>1</v>
      </c>
      <c r="Y75" s="192">
        <f t="shared" si="8"/>
        <v>4.3999999999999997E-2</v>
      </c>
      <c r="Z75" s="192">
        <f t="shared" si="9"/>
        <v>23.330300000000001</v>
      </c>
      <c r="AA75" s="192">
        <f t="shared" si="10"/>
        <v>23.286300000000001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0163-18</v>
      </c>
      <c r="AE75" s="80" t="str">
        <f t="shared" si="12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75" s="77" t="str">
        <f t="shared" si="13"/>
        <v>"C:\Program Files (x86)\AstroGrep\AstroGrep.exe" /e /r /s /spath="%USERPROFILE%\AppData\Local\Temp\OnboardLogs" /stypes="app*4014*20170518*"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163-18 --locoid 4014 --swversion DE.1.0.9.0 --startMP 204:440 --initTime 2017-05-18T11:21:54 --startdatetime 2017-05-18T11:30:21 --delay 1 --endMP 204:233303 --enddatetime 2017-05-18T12:05:22 --enforcementcount 0 &gt;&gt;C:\Users\stu\Documents\GitHub\eaglep3-reporting\EC\2017-05-18-refined-times.txt</v>
      </c>
      <c r="AI75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{"issue":{"subject":"","project_id":79,"tracker_id":40,"status_id":1,"priority_id":2,"assigned_to_id":23,"start_date":"2017-05-18","description":"","custom_fields":[{"id":1,"name":"Subdivision","value":"EC"},{"id":4,"name":"Milepost","value":"23.3303"},{"id":17,"name":"Train ID","value":"163-18"},{"id":16,"name":"Locomotive ID","value":"4014"},{"id":130,"name":"Impact","value":""},{"id":150,"name":"Time of Event (Mountain Time)","value":"12:05:22"},{"id":151,"name":"Denver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4014 --day 2017-05-18</v>
      </c>
      <c r="AN75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714</v>
      </c>
      <c r="B76" s="7">
        <v>4013</v>
      </c>
      <c r="C76" s="21" t="s">
        <v>206</v>
      </c>
      <c r="D76" s="21" t="s">
        <v>879</v>
      </c>
      <c r="E76" s="13">
        <v>42873.512789351851</v>
      </c>
      <c r="F76" s="13">
        <v>42873.518263888887</v>
      </c>
      <c r="G76" s="7">
        <v>1</v>
      </c>
      <c r="H76" s="21" t="s">
        <v>870</v>
      </c>
      <c r="I76" s="13">
        <v>42873.544548611113</v>
      </c>
      <c r="J76" s="7">
        <v>0</v>
      </c>
      <c r="K76" s="92" t="str">
        <f t="shared" si="0"/>
        <v>4013/4014</v>
      </c>
      <c r="L76" s="21" t="str">
        <f>VLOOKUP(A76,'Trips&amp;Operators'!$C$1:$G$99999,5,FALSE)</f>
        <v>LOPES KIMBERLY</v>
      </c>
      <c r="M76" s="6">
        <f t="shared" si="1"/>
        <v>2.6284722225682344E-2</v>
      </c>
      <c r="N76" s="7">
        <f t="shared" si="25"/>
        <v>37.850000004982576</v>
      </c>
      <c r="O76" s="7"/>
      <c r="P76" s="7"/>
      <c r="Q76" s="22"/>
      <c r="R76" s="190"/>
      <c r="S76" s="196">
        <f t="shared" si="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-18T11:18:25-0600',mode:absolute,to:'2017-05-18T14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6" s="192" t="str">
        <f t="shared" si="6"/>
        <v>N</v>
      </c>
      <c r="X76" s="192">
        <f t="shared" si="24"/>
        <v>1</v>
      </c>
      <c r="Y76" s="192">
        <f t="shared" si="8"/>
        <v>23.301300000000001</v>
      </c>
      <c r="Z76" s="192">
        <f t="shared" si="9"/>
        <v>1.6299999999999999E-2</v>
      </c>
      <c r="AA76" s="192">
        <f t="shared" si="10"/>
        <v>23.285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0164-18</v>
      </c>
      <c r="AE76" s="80" t="str">
        <f t="shared" si="12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76" s="77" t="str">
        <f t="shared" si="13"/>
        <v>"C:\Program Files (x86)\AstroGrep\AstroGrep.exe" /e /r /s /spath="%USERPROFILE%\AppData\Local\Temp\OnboardLogs" /stypes="app*4013*20170518*"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164-18 --locoid 4013 --swversion DE.1.0.9.0 --startMP 204:233013 --initTime 2017-05-18T12:18:25 --startdatetime 2017-05-18T12:26:18 --delay 1 --endMP 204:163 --enddatetime 2017-05-18T13:04:09 --enforcementcount 0 &gt;&gt;C:\Users\stu\Documents\GitHub\eaglep3-reporting\EC\2017-05-18-refined-times.txt</v>
      </c>
      <c r="AI76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{"issue":{"subject":"","project_id":79,"tracker_id":40,"status_id":1,"priority_id":2,"assigned_to_id":23,"start_date":"2017-05-18","description":"","custom_fields":[{"id":1,"name":"Subdivision","value":"EC"},{"id":4,"name":"Milepost","value":"0.0163"},{"id":17,"name":"Train ID","value":"164-18"},{"id":16,"name":"Locomotive ID","value":"4013"},{"id":130,"name":"Impact","value":""},{"id":150,"name":"Time of Event (Mountain Time)","value":"13:04:09"},{"id":151,"name":"Denver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4013 --day 2017-05-18</v>
      </c>
      <c r="AN76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706</v>
      </c>
      <c r="B77" s="7">
        <v>4032</v>
      </c>
      <c r="C77" s="21" t="s">
        <v>206</v>
      </c>
      <c r="D77" s="21" t="s">
        <v>203</v>
      </c>
      <c r="E77" s="13">
        <v>42873.486041666663</v>
      </c>
      <c r="F77" s="13">
        <v>42873.489756944444</v>
      </c>
      <c r="G77" s="7">
        <v>1</v>
      </c>
      <c r="H77" s="21" t="s">
        <v>880</v>
      </c>
      <c r="I77" s="13">
        <v>42873.51525462963</v>
      </c>
      <c r="J77" s="7">
        <v>0</v>
      </c>
      <c r="K77" s="92" t="str">
        <f t="shared" ref="K77:K140" si="26">IF(ISEVEN(B77),(B77-1)&amp;"/"&amp;B77,B77&amp;"/"&amp;(B77+1))</f>
        <v>4031/4032</v>
      </c>
      <c r="L77" s="21" t="str">
        <f>VLOOKUP(A77,'Trips&amp;Operators'!$C$1:$G$99999,5,FALSE)</f>
        <v>SMITH MICHAEL</v>
      </c>
      <c r="M77" s="6">
        <f t="shared" ref="M77:M140" si="27">I77-F77</f>
        <v>2.5497685186564922E-2</v>
      </c>
      <c r="N77" s="7">
        <f t="shared" si="25"/>
        <v>36.716666668653488</v>
      </c>
      <c r="O77" s="7"/>
      <c r="P77" s="7"/>
      <c r="Q77" s="22"/>
      <c r="R77" s="190"/>
      <c r="S77" s="196">
        <f t="shared" ref="S77:S140" si="28">SUM(U77:U77)/IF(AG77="EC",12,1)</f>
        <v>1</v>
      </c>
      <c r="T77" s="190" t="str">
        <f t="shared" ref="T77:T140" si="29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-18T10:39:54-0600',mode:absolute,to:'2017-05-18T13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92" t="str">
        <f t="shared" ref="W77:W140" si="31">IF(AA77&lt;IF(AG77="EC",23,5.65),"Y","N")</f>
        <v>N</v>
      </c>
      <c r="X77" s="192">
        <f t="shared" ref="X77:X108" si="32">VALUE(LEFT(AD77,4))-VALUE(LEFT(AD76,4))</f>
        <v>1</v>
      </c>
      <c r="Y77" s="192">
        <f t="shared" ref="Y77:Y140" si="33">RIGHT(D77,LEN(D77)-4)/10000</f>
        <v>4.5999999999999999E-2</v>
      </c>
      <c r="Z77" s="192">
        <f t="shared" ref="Z77:Z140" si="34">RIGHT(H77,LEN(H77)-4)/10000</f>
        <v>23.3338</v>
      </c>
      <c r="AA77" s="192">
        <f t="shared" ref="AA77:AA140" si="35">ABS(Z77-Y77)</f>
        <v>23.287800000000001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6">IF(LEN(A77)=6,"0"&amp;A77,A77)</f>
        <v>0165-18</v>
      </c>
      <c r="AE77" s="80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77" s="77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/stypes="app*4032*20170518*"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165-18 --locoid 4032 --swversion DE.1.0.9.0 --startMP 204:460 --initTime 2017-05-18T11:39:54 --startdatetime 2017-05-18T11:45:15 --delay 1 --endMP 204:233338 --enddatetime 2017-05-18T12:21:58 --enforcementcount 0 &gt;&gt;C:\Users\stu\Documents\GitHub\eaglep3-reporting\EC\2017-05-18-refined-times.txt</v>
      </c>
      <c r="AI77" s="99" t="str">
        <f t="shared" si="20"/>
        <v>echo {"issue":{"subject":"","project_id":79,"tracker_id":40,"status_id":1,"priority_id":2,"assigned_to_id":23,"start_date":"2017-05-18","description":"","custom_fields":[{"id":1,"name":"Subdivision","value":"EC"},{"id":4,"name":"Milepost","value":"23.3338"},{"id":17,"name":"Train ID","value":"165-18"},{"id":16,"name":"Locomotive ID","value":"4032"},{"id":130,"name":"Impact","value":""},{"id":150,"name":"Time of Event (Mountain Time)","value":"12:21:58"},{"id":151,"name":"Denver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4032 --day 2017-05-18</v>
      </c>
      <c r="AN77" s="154" t="str">
        <f t="shared" si="22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715</v>
      </c>
      <c r="B78" s="7">
        <v>4031</v>
      </c>
      <c r="C78" s="21" t="s">
        <v>206</v>
      </c>
      <c r="D78" s="21" t="s">
        <v>546</v>
      </c>
      <c r="E78" s="13">
        <v>42873.516932870371</v>
      </c>
      <c r="F78" s="13">
        <v>42873.528657407405</v>
      </c>
      <c r="G78" s="7">
        <v>1</v>
      </c>
      <c r="H78" s="21" t="s">
        <v>377</v>
      </c>
      <c r="I78" s="13">
        <v>42873.555914351855</v>
      </c>
      <c r="J78" s="7">
        <v>0</v>
      </c>
      <c r="K78" s="92" t="str">
        <f t="shared" si="26"/>
        <v>4031/4032</v>
      </c>
      <c r="L78" s="21" t="str">
        <f>VLOOKUP(A78,'Trips&amp;Operators'!$C$1:$G$99999,5,FALSE)</f>
        <v>ZEWDU DEREJE</v>
      </c>
      <c r="M78" s="6">
        <f t="shared" si="27"/>
        <v>2.7256944449618459E-2</v>
      </c>
      <c r="N78" s="7">
        <f t="shared" si="25"/>
        <v>39.250000007450581</v>
      </c>
      <c r="O78" s="7"/>
      <c r="P78" s="7"/>
      <c r="Q78" s="22"/>
      <c r="R78" s="190"/>
      <c r="S78" s="196">
        <f t="shared" si="28"/>
        <v>1</v>
      </c>
      <c r="T78" s="190" t="str">
        <f t="shared" si="29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0"/>
        <v>https://d0f6bd738d7f1b3e5a7ca70fe4ff75f0.us-east-1.aws.found.io/app/kibana#/discover/Steve-Slow-Train-Analysis-(2080s-and-2083s)?_g=(refreshInterval:(display:Off,pause:!f,section:0,value:0),time:(from:'2017-05-18T11:24:23-0600',mode:absolute,to:'2017-05-18T14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92" t="str">
        <f t="shared" si="31"/>
        <v>N</v>
      </c>
      <c r="X78" s="192">
        <f t="shared" si="32"/>
        <v>1</v>
      </c>
      <c r="Y78" s="192">
        <f t="shared" si="33"/>
        <v>23.302499999999998</v>
      </c>
      <c r="Z78" s="192">
        <f t="shared" si="34"/>
        <v>1.3599999999999999E-2</v>
      </c>
      <c r="AA78" s="192">
        <f t="shared" si="35"/>
        <v>23.288899999999998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6"/>
        <v>0166-18</v>
      </c>
      <c r="AE78" s="80" t="str">
        <f t="shared" si="37"/>
        <v>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 &amp; 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</v>
      </c>
      <c r="AF78" s="77" t="str">
        <f t="shared" si="38"/>
        <v>"C:\Program Files (x86)\AstroGrep\AstroGrep.exe" /e /r /s /spath="%USERPROFILE%\AppData\Local\Temp\OnboardLogs" /stypes="app*4031*20170518*" /stext=" 19:.+((SYSTEM_STATE.+slice.+state.+changed )|(ment ac)|(multiple cpu faults)|(system.+state.+changed )|(\[timeout)|(PRM\|1\|D)|(kpr)|(kdp)|(train st.+moving)|(\|lc)|(penalty))"</v>
      </c>
      <c r="AG78" s="1" t="str">
        <f t="shared" si="39"/>
        <v>EC</v>
      </c>
      <c r="AH78" s="81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166-18 --locoid 4031 --swversion DE.1.0.9.0 --startMP 204:233025 --initTime 2017-05-18T12:24:23 --startdatetime 2017-05-18T12:41:16 --delay 1 --endMP 204:136 --enddatetime 2017-05-18T13:20:31 --enforcementcount 0 &gt;&gt;C:\Users\stu\Documents\GitHub\eaglep3-reporting\EC\2017-05-18-refined-times.txt</v>
      </c>
      <c r="AI78" s="99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{"issue":{"subject":"","project_id":79,"tracker_id":40,"status_id":1,"priority_id":2,"assigned_to_id":23,"start_date":"2017-05-18","description":"","custom_fields":[{"id":1,"name":"Subdivision","value":"EC"},{"id":4,"name":"Milepost","value":"0.0136"},{"id":17,"name":"Train ID","value":"166-18"},{"id":16,"name":"Locomotive ID","value":"4031"},{"id":130,"name":"Impact","value":""},{"id":150,"name":"Time of Event (Mountain Time)","value":"13:20:31"},{"id":151,"name":"Denver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2">"start /low /b "&amp;dls3logs&amp;" --loco "&amp;B78&amp;" --day "&amp;TEXT(F78,"YYYY-MM-DD")</f>
        <v>start /low /b %USERPROFILE%\Documents\GitHub\eaglep3\Utilities\DownloadLogsFromS3.py --loco 4031 --day 2017-05-18</v>
      </c>
      <c r="AN78" s="154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708</v>
      </c>
      <c r="B79" s="7">
        <v>4008</v>
      </c>
      <c r="C79" s="21" t="s">
        <v>206</v>
      </c>
      <c r="D79" s="21" t="s">
        <v>881</v>
      </c>
      <c r="E79" s="13">
        <v>42873.496979166666</v>
      </c>
      <c r="F79" s="13">
        <v>42873.500208333331</v>
      </c>
      <c r="G79" s="7">
        <v>1</v>
      </c>
      <c r="H79" s="21" t="s">
        <v>882</v>
      </c>
      <c r="I79" s="13">
        <v>42873.524259259262</v>
      </c>
      <c r="J79" s="7">
        <v>0</v>
      </c>
      <c r="K79" s="92" t="str">
        <f t="shared" si="26"/>
        <v>4007/4008</v>
      </c>
      <c r="L79" s="21" t="str">
        <f>VLOOKUP(A79,'Trips&amp;Operators'!$C$1:$G$99999,5,FALSE)</f>
        <v>LALONDE GREGORY</v>
      </c>
      <c r="M79" s="6">
        <f t="shared" si="27"/>
        <v>2.4050925931078382E-2</v>
      </c>
      <c r="N79" s="7">
        <f t="shared" si="25"/>
        <v>34.63333334075287</v>
      </c>
      <c r="O79" s="7"/>
      <c r="P79" s="7"/>
      <c r="Q79" s="22"/>
      <c r="R79" s="190"/>
      <c r="S79" s="196">
        <f t="shared" si="28"/>
        <v>1</v>
      </c>
      <c r="T79" s="190" t="str">
        <f t="shared" si="29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0"/>
        <v>https://d0f6bd738d7f1b3e5a7ca70fe4ff75f0.us-east-1.aws.found.io/app/kibana#/discover/Steve-Slow-Train-Analysis-(2080s-and-2083s)?_g=(refreshInterval:(display:Off,pause:!f,section:0,value:0),time:(from:'2017-05-18T10:55:39-0600',mode:absolute,to:'2017-05-18T13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192" t="str">
        <f t="shared" si="31"/>
        <v>N</v>
      </c>
      <c r="X79" s="192">
        <f t="shared" si="32"/>
        <v>1</v>
      </c>
      <c r="Y79" s="192">
        <f t="shared" si="33"/>
        <v>4.8599999999999997E-2</v>
      </c>
      <c r="Z79" s="192">
        <f t="shared" si="34"/>
        <v>23.335699999999999</v>
      </c>
      <c r="AA79" s="192">
        <f t="shared" si="35"/>
        <v>23.287099999999999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6"/>
        <v>0167-18</v>
      </c>
      <c r="AE79" s="80" t="str">
        <f t="shared" si="37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79" s="77" t="str">
        <f t="shared" si="38"/>
        <v>"C:\Program Files (x86)\AstroGrep\AstroGrep.exe" /e /r /s /spath="%USERPROFILE%\AppData\Local\Temp\OnboardLogs" /stypes="app*4008*20170518*" /stext=" 18:.+((SYSTEM_STATE.+slice.+state.+changed )|(ment ac)|(multiple cpu faults)|(system.+state.+changed )|(\[timeout)|(PRM\|1\|D)|(kpr)|(kdp)|(train st.+moving)|(\|lc)|(penalty))"</v>
      </c>
      <c r="AG79" s="1" t="str">
        <f t="shared" si="39"/>
        <v>EC</v>
      </c>
      <c r="AH79" s="81" t="str">
        <f t="shared" si="40"/>
        <v>"%USERPROFILE%\Documents\GitHub\eaglep3\Utilities\RefineRTDCRunTimes.py" --tripid 167-18 --locoid 4008 --swversion DE.1.0.9.0 --startMP 204:486 --initTime 2017-05-18T11:55:39 --startdatetime 2017-05-18T12:00:18 --delay 1 --endMP 204:233357 --enddatetime 2017-05-18T12:34:56 --enforcementcount 0 &gt;&gt;C:\Users\stu\Documents\GitHub\eaglep3-reporting\EC\2017-05-18-refined-times.txt</v>
      </c>
      <c r="AI79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{"issue":{"subject":"","project_id":79,"tracker_id":40,"status_id":1,"priority_id":2,"assigned_to_id":23,"start_date":"2017-05-18","description":"","custom_fields":[{"id":1,"name":"Subdivision","value":"EC"},{"id":4,"name":"Milepost","value":"23.3357"},{"id":17,"name":"Train ID","value":"167-18"},{"id":16,"name":"Locomotive ID","value":"4008"},{"id":130,"name":"Impact","value":""},{"id":150,"name":"Time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2"/>
        <v>start /low /b %USERPROFILE%\Documents\GitHub\eaglep3\Utilities\DownloadLogsFromS3.py --loco 4008 --day 2017-05-18</v>
      </c>
      <c r="AN79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718</v>
      </c>
      <c r="B80" s="7">
        <v>4007</v>
      </c>
      <c r="C80" s="21" t="s">
        <v>206</v>
      </c>
      <c r="D80" s="21" t="s">
        <v>883</v>
      </c>
      <c r="E80" s="13">
        <v>42873.526041666664</v>
      </c>
      <c r="F80" s="13">
        <v>42873.539178240739</v>
      </c>
      <c r="G80" s="7">
        <v>1</v>
      </c>
      <c r="H80" s="21" t="s">
        <v>197</v>
      </c>
      <c r="I80" s="13">
        <v>42873.564606481479</v>
      </c>
      <c r="J80" s="7">
        <v>0</v>
      </c>
      <c r="K80" s="92" t="str">
        <f t="shared" si="26"/>
        <v>4007/4008</v>
      </c>
      <c r="L80" s="21" t="str">
        <f>VLOOKUP(A80,'Trips&amp;Operators'!$C$1:$G$99999,5,FALSE)</f>
        <v>LALONDE GREGORY</v>
      </c>
      <c r="M80" s="6">
        <f t="shared" si="27"/>
        <v>2.5428240740438923E-2</v>
      </c>
      <c r="N80" s="7">
        <f t="shared" si="25"/>
        <v>36.616666666232049</v>
      </c>
      <c r="O80" s="7"/>
      <c r="P80" s="7"/>
      <c r="Q80" s="22"/>
      <c r="R80" s="190"/>
      <c r="S80" s="196">
        <f t="shared" si="28"/>
        <v>1</v>
      </c>
      <c r="T80" s="190" t="str">
        <f t="shared" si="29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0"/>
        <v>https://d0f6bd738d7f1b3e5a7ca70fe4ff75f0.us-east-1.aws.found.io/app/kibana#/discover/Steve-Slow-Train-Analysis-(2080s-and-2083s)?_g=(refreshInterval:(display:Off,pause:!f,section:0,value:0),time:(from:'2017-05-18T11:37:30-0600',mode:absolute,to:'2017-05-18T14:33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192" t="str">
        <f t="shared" si="31"/>
        <v>N</v>
      </c>
      <c r="X80" s="192">
        <f t="shared" si="32"/>
        <v>1</v>
      </c>
      <c r="Y80" s="192">
        <f t="shared" si="33"/>
        <v>23.303799999999999</v>
      </c>
      <c r="Z80" s="192">
        <f t="shared" si="34"/>
        <v>1.52E-2</v>
      </c>
      <c r="AA80" s="192">
        <f t="shared" si="35"/>
        <v>23.288599999999999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6"/>
        <v>0168-18</v>
      </c>
      <c r="AE80" s="80" t="str">
        <f t="shared" si="37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80" s="77" t="str">
        <f t="shared" si="38"/>
        <v>"C:\Program Files (x86)\AstroGrep\AstroGrep.exe" /e /r /s /spath="%USERPROFILE%\AppData\Local\Temp\OnboardLogs" /stypes="app*4007*20170518*" /stext=" 19:.+((SYSTEM_STATE.+slice.+state.+changed )|(ment ac)|(multiple cpu faults)|(system.+state.+changed )|(\[timeout)|(PRM\|1\|D)|(kpr)|(kdp)|(train st.+moving)|(\|lc)|(penalty))"</v>
      </c>
      <c r="AG80" s="1" t="str">
        <f t="shared" si="39"/>
        <v>EC</v>
      </c>
      <c r="AH80" s="81" t="str">
        <f t="shared" si="40"/>
        <v>"%USERPROFILE%\Documents\GitHub\eaglep3\Utilities\RefineRTDCRunTimes.py" --tripid 168-18 --locoid 4007 --swversion DE.1.0.9.0 --startMP 204:233038 --initTime 2017-05-18T12:37:30 --startdatetime 2017-05-18T12:56:25 --delay 1 --endMP 204:152 --enddatetime 2017-05-18T13:33:02 --enforcementcount 0 &gt;&gt;C:\Users\stu\Documents\GitHub\eaglep3-reporting\EC\2017-05-18-refined-times.txt</v>
      </c>
      <c r="AI80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ID","value":"168-18"},{"id":16,"name":"Locomotive ID","value":"4007"},{"id":130,"name":"Impact","value":""},{"id":150,"name":"Time of Event (Mountain Time)","value":"13:33:02"},{"id":151,"name":"Denver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2"/>
        <v>start /low /b %USERPROFILE%\Documents\GitHub\eaglep3\Utilities\DownloadLogsFromS3.py --loco 4007 --day 2017-05-18</v>
      </c>
      <c r="AN80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19:33:02"},{"id":29,"name":"Sharepoint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712</v>
      </c>
      <c r="B81" s="7">
        <v>4030</v>
      </c>
      <c r="C81" s="21" t="s">
        <v>206</v>
      </c>
      <c r="D81" s="21" t="s">
        <v>360</v>
      </c>
      <c r="E81" s="13">
        <v>42873.50644675926</v>
      </c>
      <c r="F81" s="13">
        <v>42873.510949074072</v>
      </c>
      <c r="G81" s="7">
        <v>2</v>
      </c>
      <c r="H81" s="21" t="s">
        <v>884</v>
      </c>
      <c r="I81" s="13">
        <v>42873.535185185188</v>
      </c>
      <c r="J81" s="7">
        <v>0</v>
      </c>
      <c r="K81" s="92" t="str">
        <f t="shared" si="26"/>
        <v>4029/4030</v>
      </c>
      <c r="L81" s="21" t="str">
        <f>VLOOKUP(A81,'Trips&amp;Operators'!$C$1:$G$99999,5,FALSE)</f>
        <v>HELVIE ADAM</v>
      </c>
      <c r="M81" s="6">
        <f t="shared" si="27"/>
        <v>2.4236111115897074E-2</v>
      </c>
      <c r="N81" s="7">
        <f t="shared" si="25"/>
        <v>34.900000006891787</v>
      </c>
      <c r="O81" s="7"/>
      <c r="P81" s="7"/>
      <c r="Q81" s="22"/>
      <c r="R81" s="190"/>
      <c r="S81" s="196">
        <f t="shared" si="28"/>
        <v>1</v>
      </c>
      <c r="T81" s="190" t="str">
        <f t="shared" si="29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0"/>
        <v>https://d0f6bd738d7f1b3e5a7ca70fe4ff75f0.us-east-1.aws.found.io/app/kibana#/discover/Steve-Slow-Train-Analysis-(2080s-and-2083s)?_g=(refreshInterval:(display:Off,pause:!f,section:0,value:0),time:(from:'2017-05-18T11:09:17-0600',mode:absolute,to:'2017-05-18T13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192" t="str">
        <f t="shared" si="31"/>
        <v>N</v>
      </c>
      <c r="X81" s="192">
        <f t="shared" si="32"/>
        <v>1</v>
      </c>
      <c r="Y81" s="192">
        <f t="shared" si="33"/>
        <v>4.5100000000000001E-2</v>
      </c>
      <c r="Z81" s="192">
        <f t="shared" si="34"/>
        <v>23.331900000000001</v>
      </c>
      <c r="AA81" s="192">
        <f t="shared" si="35"/>
        <v>23.286799999999999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6"/>
        <v>0169-18</v>
      </c>
      <c r="AE81" s="80" t="str">
        <f t="shared" si="37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81" s="77" t="str">
        <f t="shared" si="38"/>
        <v>"C:\Program Files (x86)\AstroGrep\AstroGrep.exe" /e /r /s /spath="%USERPROFILE%\AppData\Local\Temp\OnboardLogs" /stypes="app*4030*20170518*" /stext=" 18:.+((SYSTEM_STATE.+slice.+state.+changed )|(ment ac)|(multiple cpu faults)|(system.+state.+changed )|(\[timeout)|(PRM\|1\|D)|(kpr)|(kdp)|(train st.+moving)|(\|lc)|(penalty))"</v>
      </c>
      <c r="AG81" s="1" t="str">
        <f t="shared" si="39"/>
        <v>EC</v>
      </c>
      <c r="AH81" s="81" t="str">
        <f t="shared" si="40"/>
        <v>"%USERPROFILE%\Documents\GitHub\eaglep3\Utilities\RefineRTDCRunTimes.py" --tripid 169-18 --locoid 4030 --swversion DE.1.0.9.0 --startMP 204:451 --initTime 2017-05-18T12:09:17 --startdatetime 2017-05-18T12:15:46 --delay 2 --endMP 204:233319 --enddatetime 2017-05-18T12:50:40 --enforcementcount 0 &gt;&gt;C:\Users\stu\Documents\GitHub\eaglep3-reporting\EC\2017-05-18-refined-times.txt</v>
      </c>
      <c r="AI81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{"issue":{"subject":"","project_id":79,"tracker_id":40,"status_id":1,"priority_id":2,"assigned_to_id":23,"start_date":"2017-05-18","description":"","custom_fields":[{"id":1,"name":"Subdivision","value":"EC"},{"id":4,"name":"Milepost","value":"23.3319"},{"id":17,"name":"Train ID","value":"169-18"},{"id":16,"name":"Locomotive ID","value":"4030"},{"id":130,"name":"Impact","value":""},{"id":150,"name":"Time of Event (Mountain Time)","value":"12:50:40"},{"id":151,"name":"Denver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2"/>
        <v>start /low /b %USERPROFILE%\Documents\GitHub\eaglep3\Utilities\DownloadLogsFromS3.py --loco 4030 --day 2017-05-18</v>
      </c>
      <c r="AN81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725</v>
      </c>
      <c r="B82" s="7">
        <v>4029</v>
      </c>
      <c r="C82" s="21" t="s">
        <v>206</v>
      </c>
      <c r="D82" s="21" t="s">
        <v>561</v>
      </c>
      <c r="E82" s="13">
        <v>42873.547546296293</v>
      </c>
      <c r="F82" s="13">
        <v>42873.549467592595</v>
      </c>
      <c r="G82" s="7">
        <v>1</v>
      </c>
      <c r="H82" s="21" t="s">
        <v>198</v>
      </c>
      <c r="I82" s="13">
        <v>42873.575069444443</v>
      </c>
      <c r="J82" s="7">
        <v>0</v>
      </c>
      <c r="K82" s="92" t="str">
        <f t="shared" si="26"/>
        <v>4029/4030</v>
      </c>
      <c r="L82" s="21" t="str">
        <f>VLOOKUP(A82,'Trips&amp;Operators'!$C$1:$G$99999,5,FALSE)</f>
        <v>HELVIE ADAM</v>
      </c>
      <c r="M82" s="6">
        <f t="shared" si="27"/>
        <v>2.5601851848477963E-2</v>
      </c>
      <c r="N82" s="7">
        <f t="shared" si="25"/>
        <v>36.866666661808267</v>
      </c>
      <c r="O82" s="7"/>
      <c r="P82" s="7"/>
      <c r="Q82" s="22"/>
      <c r="R82" s="190"/>
      <c r="S82" s="196">
        <f t="shared" si="28"/>
        <v>1</v>
      </c>
      <c r="T82" s="190" t="str">
        <f t="shared" si="29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0"/>
        <v>https://d0f6bd738d7f1b3e5a7ca70fe4ff75f0.us-east-1.aws.found.io/app/kibana#/discover/Steve-Slow-Train-Analysis-(2080s-and-2083s)?_g=(refreshInterval:(display:Off,pause:!f,section:0,value:0),time:(from:'2017-05-18T12:08:28-0600',mode:absolute,to:'2017-05-18T14:48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92" t="str">
        <f t="shared" si="31"/>
        <v>N</v>
      </c>
      <c r="X82" s="192">
        <f t="shared" si="32"/>
        <v>1</v>
      </c>
      <c r="Y82" s="192">
        <f t="shared" si="33"/>
        <v>23.300799999999999</v>
      </c>
      <c r="Z82" s="192">
        <f t="shared" si="34"/>
        <v>1.5800000000000002E-2</v>
      </c>
      <c r="AA82" s="192">
        <f t="shared" si="35"/>
        <v>23.285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6"/>
        <v>0170-18</v>
      </c>
      <c r="AE82" s="80" t="str">
        <f t="shared" si="37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82" s="77" t="str">
        <f t="shared" si="38"/>
        <v>"C:\Program Files (x86)\AstroGrep\AstroGrep.exe" /e /r /s /spath="%USERPROFILE%\AppData\Local\Temp\OnboardLogs" /stypes="app*4029*20170518*" /stext=" 19:.+((SYSTEM_STATE.+slice.+state.+changed )|(ment ac)|(multiple cpu faults)|(system.+state.+changed )|(\[timeout)|(PRM\|1\|D)|(kpr)|(kdp)|(train st.+moving)|(\|lc)|(penalty))"</v>
      </c>
      <c r="AG82" s="1" t="str">
        <f t="shared" si="39"/>
        <v>EC</v>
      </c>
      <c r="AH82" s="81" t="str">
        <f t="shared" si="40"/>
        <v>"%USERPROFILE%\Documents\GitHub\eaglep3\Utilities\RefineRTDCRunTimes.py" --tripid 170-18 --locoid 4029 --swversion DE.1.0.9.0 --startMP 204:233008 --initTime 2017-05-18T13:08:28 --startdatetime 2017-05-18T13:11:14 --delay 1 --endMP 204:158 --enddatetime 2017-05-18T13:48:06 --enforcementcount 0 &gt;&gt;C:\Users\stu\Documents\GitHub\eaglep3-reporting\EC\2017-05-18-refined-times.txt</v>
      </c>
      <c r="AI82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ID","value":"170-18"},{"id":16,"name":"Locomotive ID","value":"4029"},{"id":130,"name":"Impact","value":""},{"id":150,"name":"Time of Event (Mountain Time)","value":"13:48:06"},{"id":151,"name":"Denver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2"/>
        <v>start /low /b %USERPROFILE%\Documents\GitHub\eaglep3\Utilities\DownloadLogsFromS3.py --loco 4029 --day 2017-05-18</v>
      </c>
      <c r="AN82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19:48:06"},{"id":29,"name":"Sharepoint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600</v>
      </c>
      <c r="B83" s="7">
        <v>4010</v>
      </c>
      <c r="C83" s="21" t="s">
        <v>206</v>
      </c>
      <c r="D83" s="21" t="s">
        <v>431</v>
      </c>
      <c r="E83" s="13">
        <v>42873.518229166664</v>
      </c>
      <c r="F83" s="13">
        <v>42873.52107638889</v>
      </c>
      <c r="G83" s="7">
        <v>1</v>
      </c>
      <c r="H83" s="21" t="s">
        <v>885</v>
      </c>
      <c r="I83" s="13">
        <v>42873.545601851853</v>
      </c>
      <c r="J83" s="7">
        <v>0</v>
      </c>
      <c r="K83" s="92" t="str">
        <f t="shared" si="26"/>
        <v>4009/4010</v>
      </c>
      <c r="L83" s="21" t="str">
        <f>VLOOKUP(A83,'Trips&amp;Operators'!$C$1:$G$99999,5,FALSE)</f>
        <v>MOSES BRADLEY</v>
      </c>
      <c r="M83" s="6">
        <f t="shared" si="27"/>
        <v>2.4525462962628808E-2</v>
      </c>
      <c r="N83" s="7">
        <f t="shared" si="25"/>
        <v>35.316666666185483</v>
      </c>
      <c r="O83" s="7"/>
      <c r="P83" s="7"/>
      <c r="Q83" s="22"/>
      <c r="R83" s="190"/>
      <c r="S83" s="196">
        <f t="shared" si="28"/>
        <v>1</v>
      </c>
      <c r="T83" s="190" t="str">
        <f t="shared" si="29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0"/>
        <v>https://d0f6bd738d7f1b3e5a7ca70fe4ff75f0.us-east-1.aws.found.io/app/kibana#/discover/Steve-Slow-Train-Analysis-(2080s-and-2083s)?_g=(refreshInterval:(display:Off,pause:!f,section:0,value:0),time:(from:'2017-05-18T11:26:15-0600',mode:absolute,to:'2017-05-18T14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192" t="str">
        <f t="shared" si="31"/>
        <v>N</v>
      </c>
      <c r="X83" s="192">
        <f t="shared" si="32"/>
        <v>1</v>
      </c>
      <c r="Y83" s="192">
        <f t="shared" si="33"/>
        <v>4.7300000000000002E-2</v>
      </c>
      <c r="Z83" s="192">
        <f t="shared" si="34"/>
        <v>23.335899999999999</v>
      </c>
      <c r="AA83" s="192">
        <f t="shared" si="35"/>
        <v>23.288599999999999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6"/>
        <v>0171-18</v>
      </c>
      <c r="AE83" s="80" t="str">
        <f t="shared" si="37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83" s="77" t="str">
        <f t="shared" si="38"/>
        <v>"C:\Program Files (x86)\AstroGrep\AstroGrep.exe" /e /r /s /spath="%USERPROFILE%\AppData\Local\Temp\OnboardLogs" /stypes="app*4010*20170518*" /stext=" 19:.+((SYSTEM_STATE.+slice.+state.+changed )|(ment ac)|(multiple cpu faults)|(system.+state.+changed )|(\[timeout)|(PRM\|1\|D)|(kpr)|(kdp)|(train st.+moving)|(\|lc)|(penalty))"</v>
      </c>
      <c r="AG83" s="1" t="str">
        <f t="shared" si="39"/>
        <v>EC</v>
      </c>
      <c r="AH83" s="81" t="str">
        <f t="shared" si="40"/>
        <v>"%USERPROFILE%\Documents\GitHub\eaglep3\Utilities\RefineRTDCRunTimes.py" --tripid 171-18 --locoid 4010 --swversion DE.1.0.9.0 --startMP 204:473 --initTime 2017-05-18T12:26:15 --startdatetime 2017-05-18T12:30:21 --delay 1 --endMP 204:233359 --enddatetime 2017-05-18T13:05:40 --enforcementcount 0 &gt;&gt;C:\Users\stu\Documents\GitHub\eaglep3-reporting\EC\2017-05-18-refined-times.txt</v>
      </c>
      <c r="AI83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{"issue":{"subject":"","project_id":79,"tracker_id":40,"status_id":1,"priority_id":2,"assigned_to_id":23,"start_date":"2017-05-18","description":"","custom_fields":[{"id":1,"name":"Subdivision","value":"EC"},{"id":4,"name":"Milepost","value":"23.3359"},{"id":17,"name":"Train ID","value":"171-18"},{"id":16,"name":"Locomotive ID","value":"4010"},{"id":130,"name":"Impact","value":""},{"id":150,"name":"Time of Event (Mountain Time)","value":"13:05:40"},{"id":151,"name":"Denver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2"/>
        <v>start /low /b %USERPROFILE%\Documents\GitHub\eaglep3\Utilities\DownloadLogsFromS3.py --loco 4010 --day 2017-05-18</v>
      </c>
      <c r="AN83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727</v>
      </c>
      <c r="B84" s="7">
        <v>4009</v>
      </c>
      <c r="C84" s="21" t="s">
        <v>206</v>
      </c>
      <c r="D84" s="21" t="s">
        <v>555</v>
      </c>
      <c r="E84" s="13">
        <v>42873.557268518518</v>
      </c>
      <c r="F84" s="13">
        <v>42873.560196759259</v>
      </c>
      <c r="G84" s="7">
        <v>1</v>
      </c>
      <c r="H84" s="21" t="s">
        <v>870</v>
      </c>
      <c r="I84" s="13">
        <v>42873.586805555555</v>
      </c>
      <c r="J84" s="7">
        <v>0</v>
      </c>
      <c r="K84" s="92" t="str">
        <f t="shared" si="26"/>
        <v>4009/4010</v>
      </c>
      <c r="L84" s="21" t="str">
        <f>VLOOKUP(A84,'Trips&amp;Operators'!$C$1:$G$99999,5,FALSE)</f>
        <v>MOSES BRADLEY</v>
      </c>
      <c r="M84" s="6">
        <f t="shared" si="27"/>
        <v>2.6608796295477077E-2</v>
      </c>
      <c r="N84" s="7">
        <f t="shared" si="25"/>
        <v>38.316666665486991</v>
      </c>
      <c r="O84" s="7"/>
      <c r="P84" s="7"/>
      <c r="Q84" s="22"/>
      <c r="R84" s="190"/>
      <c r="S84" s="196">
        <f t="shared" si="28"/>
        <v>1</v>
      </c>
      <c r="T84" s="190" t="str">
        <f t="shared" si="29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0"/>
        <v>https://d0f6bd738d7f1b3e5a7ca70fe4ff75f0.us-east-1.aws.found.io/app/kibana#/discover/Steve-Slow-Train-Analysis-(2080s-and-2083s)?_g=(refreshInterval:(display:Off,pause:!f,section:0,value:0),time:(from:'2017-05-18T12:22:28-0600',mode:absolute,to:'2017-05-18T15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2" t="str">
        <f t="shared" si="31"/>
        <v>N</v>
      </c>
      <c r="X84" s="192">
        <f t="shared" si="32"/>
        <v>1</v>
      </c>
      <c r="Y84" s="192">
        <f t="shared" si="33"/>
        <v>23.302099999999999</v>
      </c>
      <c r="Z84" s="192">
        <f t="shared" si="34"/>
        <v>1.6299999999999999E-2</v>
      </c>
      <c r="AA84" s="192">
        <f t="shared" si="35"/>
        <v>23.285799999999998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6"/>
        <v>0172-18</v>
      </c>
      <c r="AE84" s="80" t="str">
        <f t="shared" si="37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84" s="77" t="str">
        <f t="shared" si="38"/>
        <v>"C:\Program Files (x86)\AstroGrep\AstroGrep.exe" /e /r /s /spath="%USERPROFILE%\AppData\Local\Temp\OnboardLogs" /stypes="app*4009*20170518*" /stext=" 20:.+((SYSTEM_STATE.+slice.+state.+changed )|(ment ac)|(multiple cpu faults)|(system.+state.+changed )|(\[timeout)|(PRM\|1\|D)|(kpr)|(kdp)|(train st.+moving)|(\|lc)|(penalty))"</v>
      </c>
      <c r="AG84" s="1" t="str">
        <f t="shared" si="39"/>
        <v>EC</v>
      </c>
      <c r="AH84" s="81" t="str">
        <f t="shared" si="40"/>
        <v>"%USERPROFILE%\Documents\GitHub\eaglep3\Utilities\RefineRTDCRunTimes.py" --tripid 172-18 --locoid 4009 --swversion DE.1.0.9.0 --startMP 204:233021 --initTime 2017-05-18T13:22:28 --startdatetime 2017-05-18T13:26:41 --delay 1 --endMP 204:163 --enddatetime 2017-05-18T14:05:00 --enforcementcount 0 &gt;&gt;C:\Users\stu\Documents\GitHub\eaglep3-reporting\EC\2017-05-18-refined-times.txt</v>
      </c>
      <c r="AI84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{"issue":{"subject":"","project_id":79,"tracker_id":40,"status_id":1,"priority_id":2,"assigned_to_id":23,"start_date":"2017-05-18","description":"","custom_fields":[{"id":1,"name":"Subdivision","value":"EC"},{"id":4,"name":"Milepost","value":"0.0163"},{"id":17,"name":"Train ID","value":"172-18"},{"id":16,"name":"Locomotive ID","value":"4009"},{"id":130,"name":"Impact","value":""},{"id":150,"name":"Time of Event (Mountain Time)","value":"14:05:00"},{"id":151,"name":"Denver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2"/>
        <v>start /low /b %USERPROFILE%\Documents\GitHub\eaglep3\Utilities\DownloadLogsFromS3.py --loco 4009 --day 2017-05-18</v>
      </c>
      <c r="AN84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720</v>
      </c>
      <c r="B85" s="7">
        <v>4002</v>
      </c>
      <c r="C85" s="21" t="s">
        <v>206</v>
      </c>
      <c r="D85" s="21" t="s">
        <v>886</v>
      </c>
      <c r="E85" s="13">
        <v>42873.528124999997</v>
      </c>
      <c r="F85" s="13">
        <v>42873.531412037039</v>
      </c>
      <c r="G85" s="7">
        <v>1</v>
      </c>
      <c r="H85" s="21" t="s">
        <v>491</v>
      </c>
      <c r="I85" s="13">
        <v>42873.557870370372</v>
      </c>
      <c r="J85" s="7">
        <v>0</v>
      </c>
      <c r="K85" s="92" t="str">
        <f t="shared" si="26"/>
        <v>4001/4002</v>
      </c>
      <c r="L85" s="21" t="str">
        <f>VLOOKUP(A85,'Trips&amp;Operators'!$C$1:$G$99999,5,FALSE)</f>
        <v>CLARK KATHLEEN</v>
      </c>
      <c r="M85" s="6">
        <f t="shared" si="27"/>
        <v>2.6458333333721384E-2</v>
      </c>
      <c r="N85" s="7">
        <f t="shared" si="25"/>
        <v>38.100000000558794</v>
      </c>
      <c r="O85" s="7"/>
      <c r="P85" s="7"/>
      <c r="Q85" s="22"/>
      <c r="R85" s="190"/>
      <c r="S85" s="196">
        <f t="shared" si="28"/>
        <v>1</v>
      </c>
      <c r="T85" s="190" t="str">
        <f t="shared" si="29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0"/>
        <v>https://d0f6bd738d7f1b3e5a7ca70fe4ff75f0.us-east-1.aws.found.io/app/kibana#/discover/Steve-Slow-Train-Analysis-(2080s-and-2083s)?_g=(refreshInterval:(display:Off,pause:!f,section:0,value:0),time:(from:'2017-05-18T11:40:30-0600',mode:absolute,to:'2017-05-18T14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192" t="str">
        <f t="shared" si="31"/>
        <v>N</v>
      </c>
      <c r="X85" s="192">
        <f t="shared" si="32"/>
        <v>1</v>
      </c>
      <c r="Y85" s="192">
        <f t="shared" si="33"/>
        <v>5.0599999999999999E-2</v>
      </c>
      <c r="Z85" s="192">
        <f t="shared" si="34"/>
        <v>23.3291</v>
      </c>
      <c r="AA85" s="192">
        <f t="shared" si="35"/>
        <v>23.278500000000001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6"/>
        <v>0173-18</v>
      </c>
      <c r="AE85" s="80" t="str">
        <f t="shared" si="37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85" s="77" t="str">
        <f t="shared" si="38"/>
        <v>"C:\Program Files (x86)\AstroGrep\AstroGrep.exe" /e /r /s /spath="%USERPROFILE%\AppData\Local\Temp\OnboardLogs" /stypes="app*4002*20170518*" /stext=" 19:.+((SYSTEM_STATE.+slice.+state.+changed )|(ment ac)|(multiple cpu faults)|(system.+state.+changed )|(\[timeout)|(PRM\|1\|D)|(kpr)|(kdp)|(train st.+moving)|(\|lc)|(penalty))"</v>
      </c>
      <c r="AG85" s="1" t="str">
        <f t="shared" si="39"/>
        <v>EC</v>
      </c>
      <c r="AH85" s="81" t="str">
        <f t="shared" si="40"/>
        <v>"%USERPROFILE%\Documents\GitHub\eaglep3\Utilities\RefineRTDCRunTimes.py" --tripid 173-18 --locoid 4002 --swversion DE.1.0.9.0 --startMP 204:506 --initTime 2017-05-18T12:40:30 --startdatetime 2017-05-18T12:45:14 --delay 1 --endMP 204:233291 --enddatetime 2017-05-18T13:23:20 --enforcementcount 0 &gt;&gt;C:\Users\stu\Documents\GitHub\eaglep3-reporting\EC\2017-05-18-refined-times.txt</v>
      </c>
      <c r="AI85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{"issue":{"subject":"","project_id":79,"tracker_id":40,"status_id":1,"priority_id":2,"assigned_to_id":23,"start_date":"2017-05-18","description":"","custom_fields":[{"id":1,"name":"Subdivision","value":"EC"},{"id":4,"name":"Milepost","value":"23.3291"},{"id":17,"name":"Train ID","value":"173-18"},{"id":16,"name":"Locomotive ID","value":"4002"},{"id":130,"name":"Impact","value":""},{"id":150,"name":"Time of Event (Mountain Time)","value":"13:23:20"},{"id":151,"name":"Denver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2"/>
        <v>start /low /b %USERPROFILE%\Documents\GitHub\eaglep3\Utilities\DownloadLogsFromS3.py --loco 4002 --day 2017-05-18</v>
      </c>
      <c r="AN85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729</v>
      </c>
      <c r="B86" s="7">
        <v>4001</v>
      </c>
      <c r="C86" s="21" t="s">
        <v>206</v>
      </c>
      <c r="D86" s="21" t="s">
        <v>559</v>
      </c>
      <c r="E86" s="13">
        <v>42873.566111111111</v>
      </c>
      <c r="F86" s="13">
        <v>42873.5703125</v>
      </c>
      <c r="G86" s="7">
        <v>1</v>
      </c>
      <c r="H86" s="21" t="s">
        <v>887</v>
      </c>
      <c r="I86" s="13">
        <v>42873.598101851851</v>
      </c>
      <c r="J86" s="7">
        <v>0</v>
      </c>
      <c r="K86" s="92" t="str">
        <f t="shared" si="26"/>
        <v>4001/4002</v>
      </c>
      <c r="L86" s="21" t="str">
        <f>VLOOKUP(A86,'Trips&amp;Operators'!$C$1:$G$99999,5,FALSE)</f>
        <v>CLARK KATHLEEN</v>
      </c>
      <c r="M86" s="6">
        <f t="shared" si="27"/>
        <v>2.7789351850515231E-2</v>
      </c>
      <c r="N86" s="7">
        <f t="shared" si="25"/>
        <v>40.016666664741933</v>
      </c>
      <c r="O86" s="7"/>
      <c r="P86" s="7"/>
      <c r="Q86" s="22"/>
      <c r="R86" s="190"/>
      <c r="S86" s="196">
        <f t="shared" si="28"/>
        <v>1</v>
      </c>
      <c r="T86" s="190" t="str">
        <f t="shared" si="29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0"/>
        <v>https://d0f6bd738d7f1b3e5a7ca70fe4ff75f0.us-east-1.aws.found.io/app/kibana#/discover/Steve-Slow-Train-Analysis-(2080s-and-2083s)?_g=(refreshInterval:(display:Off,pause:!f,section:0,value:0),time:(from:'2017-05-18T12:35:12-0600',mode:absolute,to:'2017-05-18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192" t="str">
        <f t="shared" si="31"/>
        <v>N</v>
      </c>
      <c r="X86" s="192">
        <f t="shared" si="32"/>
        <v>1</v>
      </c>
      <c r="Y86" s="192">
        <f t="shared" si="33"/>
        <v>23.297899999999998</v>
      </c>
      <c r="Z86" s="192">
        <f t="shared" si="34"/>
        <v>1.89E-2</v>
      </c>
      <c r="AA86" s="192">
        <f t="shared" si="35"/>
        <v>23.279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6"/>
        <v>0174-18</v>
      </c>
      <c r="AE86" s="80" t="str">
        <f t="shared" si="37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86" s="77" t="str">
        <f t="shared" si="38"/>
        <v>"C:\Program Files (x86)\AstroGrep\AstroGrep.exe" /e /r /s /spath="%USERPROFILE%\AppData\Local\Temp\OnboardLogs" /stypes="app*4001*20170518*" /stext=" 20:.+((SYSTEM_STATE.+slice.+state.+changed )|(ment ac)|(multiple cpu faults)|(system.+state.+changed )|(\[timeout)|(PRM\|1\|D)|(kpr)|(kdp)|(train st.+moving)|(\|lc)|(penalty))"</v>
      </c>
      <c r="AG86" s="1" t="str">
        <f t="shared" si="39"/>
        <v>EC</v>
      </c>
      <c r="AH86" s="81" t="str">
        <f t="shared" si="40"/>
        <v>"%USERPROFILE%\Documents\GitHub\eaglep3\Utilities\RefineRTDCRunTimes.py" --tripid 174-18 --locoid 4001 --swversion DE.1.0.9.0 --startMP 204:232979 --initTime 2017-05-18T13:35:12 --startdatetime 2017-05-18T13:41:15 --delay 1 --endMP 204:189 --enddatetime 2017-05-18T14:21:16 --enforcementcount 0 &gt;&gt;C:\Users\stu\Documents\GitHub\eaglep3-reporting\EC\2017-05-18-refined-times.txt</v>
      </c>
      <c r="AI86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{"issue":{"subject":"","project_id":79,"tracker_id":40,"status_id":1,"priority_id":2,"assigned_to_id":23,"start_date":"2017-05-18","description":"","custom_fields":[{"id":1,"name":"Subdivision","value":"EC"},{"id":4,"name":"Milepost","value":"0.0189"},{"id":17,"name":"Train ID","value":"174-18"},{"id":16,"name":"Locomotive ID","value":"4001"},{"id":130,"name":"Impact","value":""},{"id":150,"name":"Time of Event (Mountain Time)","value":"14:21:16"},{"id":151,"name":"Denver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2"/>
        <v>start /low /b %USERPROFILE%\Documents\GitHub\eaglep3\Utilities\DownloadLogsFromS3.py --loco 4001 --day 2017-05-18</v>
      </c>
      <c r="AN86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721</v>
      </c>
      <c r="B87" s="7">
        <v>4028</v>
      </c>
      <c r="C87" s="21" t="s">
        <v>206</v>
      </c>
      <c r="D87" s="21" t="s">
        <v>888</v>
      </c>
      <c r="E87" s="13">
        <v>42873.535509259258</v>
      </c>
      <c r="F87" s="13">
        <v>42873.541828703703</v>
      </c>
      <c r="G87" s="7">
        <v>1</v>
      </c>
      <c r="H87" s="21" t="s">
        <v>889</v>
      </c>
      <c r="I87" s="13">
        <v>42873.566759259258</v>
      </c>
      <c r="J87" s="7">
        <v>0</v>
      </c>
      <c r="K87" s="92" t="str">
        <f t="shared" si="26"/>
        <v>4027/4028</v>
      </c>
      <c r="L87" s="21" t="str">
        <f>VLOOKUP(A87,'Trips&amp;Operators'!$C$1:$G$99999,5,FALSE)</f>
        <v>DELGADO DIANAH</v>
      </c>
      <c r="M87" s="6">
        <f t="shared" si="27"/>
        <v>2.4930555555329192E-2</v>
      </c>
      <c r="N87" s="7">
        <f t="shared" si="25"/>
        <v>35.899999999674037</v>
      </c>
      <c r="O87" s="7"/>
      <c r="P87" s="7"/>
      <c r="Q87" s="22"/>
      <c r="R87" s="190"/>
      <c r="S87" s="196">
        <f t="shared" si="28"/>
        <v>1</v>
      </c>
      <c r="T87" s="190" t="str">
        <f t="shared" si="29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0"/>
        <v>https://d0f6bd738d7f1b3e5a7ca70fe4ff75f0.us-east-1.aws.found.io/app/kibana#/discover/Steve-Slow-Train-Analysis-(2080s-and-2083s)?_g=(refreshInterval:(display:Off,pause:!f,section:0,value:0),time:(from:'2017-05-18T11:51:08-0600',mode:absolute,to:'2017-05-18T14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2" t="str">
        <f t="shared" si="31"/>
        <v>N</v>
      </c>
      <c r="X87" s="192">
        <f t="shared" si="32"/>
        <v>1</v>
      </c>
      <c r="Y87" s="192">
        <f t="shared" si="33"/>
        <v>4.02E-2</v>
      </c>
      <c r="Z87" s="192">
        <f t="shared" si="34"/>
        <v>23.339300000000001</v>
      </c>
      <c r="AA87" s="192">
        <f t="shared" si="35"/>
        <v>23.299100000000003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6"/>
        <v>0175-18</v>
      </c>
      <c r="AE87" s="80" t="str">
        <f t="shared" si="37"/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AF87" s="77" t="str">
        <f t="shared" si="38"/>
        <v>"C:\Program Files (x86)\AstroGrep\AstroGrep.exe" /e /r /s /spath="%USERPROFILE%\AppData\Local\Temp\OnboardLogs" /stypes="app*4028*20170518*" /stext=" 19:.+((SYSTEM_STATE.+slice.+state.+changed )|(ment ac)|(multiple cpu faults)|(system.+state.+changed )|(\[timeout)|(PRM\|1\|D)|(kpr)|(kdp)|(train st.+moving)|(\|lc)|(penalty))"</v>
      </c>
      <c r="AG87" s="1" t="str">
        <f t="shared" si="39"/>
        <v>EC</v>
      </c>
      <c r="AH87" s="81" t="str">
        <f t="shared" si="40"/>
        <v>"%USERPROFILE%\Documents\GitHub\eaglep3\Utilities\RefineRTDCRunTimes.py" --tripid 175-18 --locoid 4028 --swversion DE.1.0.9.0 --startMP 204:402 --initTime 2017-05-18T12:51:08 --startdatetime 2017-05-18T13:00:14 --delay 1 --endMP 204:233393 --enddatetime 2017-05-18T13:36:08 --enforcementcount 0 &gt;&gt;C:\Users\stu\Documents\GitHub\eaglep3-reporting\EC\2017-05-18-refined-times.txt</v>
      </c>
      <c r="AI87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{"issue":{"subject":"","project_id":79,"tracker_id":40,"status_id":1,"priority_id":2,"assigned_to_id":23,"start_date":"2017-05-18","description":"","custom_fields":[{"id":1,"name":"Subdivision","value":"EC"},{"id":4,"name":"Milepost","value":"23.3393"},{"id":17,"name":"Train ID","value":"175-18"},{"id":16,"name":"Locomotive ID","value":"4028"},{"id":130,"name":"Impact","value":""},{"id":150,"name":"Time of Event (Mountain Time)","value":"13:36:08"},{"id":151,"name":"Denver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2"/>
        <v>start /low /b %USERPROFILE%\Documents\GitHub\eaglep3\Utilities\DownloadLogsFromS3.py --loco 4028 --day 2017-05-18</v>
      </c>
      <c r="AN87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602</v>
      </c>
      <c r="B88" s="7">
        <v>4027</v>
      </c>
      <c r="C88" s="21" t="s">
        <v>206</v>
      </c>
      <c r="D88" s="21" t="s">
        <v>890</v>
      </c>
      <c r="E88" s="13">
        <v>42873.573680555557</v>
      </c>
      <c r="F88" s="13">
        <v>42873.580914351849</v>
      </c>
      <c r="G88" s="7">
        <v>1</v>
      </c>
      <c r="H88" s="21" t="s">
        <v>891</v>
      </c>
      <c r="I88" s="13">
        <v>42873.607905092591</v>
      </c>
      <c r="J88" s="7">
        <v>0</v>
      </c>
      <c r="K88" s="92" t="str">
        <f t="shared" si="26"/>
        <v>4027/4028</v>
      </c>
      <c r="L88" s="21" t="str">
        <f>VLOOKUP(A88,'Trips&amp;Operators'!$C$1:$G$99999,5,FALSE)</f>
        <v>DELGADO DIANAH</v>
      </c>
      <c r="M88" s="6">
        <f t="shared" si="27"/>
        <v>2.6990740741894115E-2</v>
      </c>
      <c r="N88" s="7">
        <f t="shared" si="25"/>
        <v>38.866666668327525</v>
      </c>
      <c r="O88" s="7"/>
      <c r="P88" s="7"/>
      <c r="Q88" s="22"/>
      <c r="R88" s="190"/>
      <c r="S88" s="196">
        <f t="shared" si="28"/>
        <v>1</v>
      </c>
      <c r="T88" s="190" t="str">
        <f t="shared" si="29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0"/>
        <v>https://d0f6bd738d7f1b3e5a7ca70fe4ff75f0.us-east-1.aws.found.io/app/kibana#/discover/Steve-Slow-Train-Analysis-(2080s-and-2083s)?_g=(refreshInterval:(display:Off,pause:!f,section:0,value:0),time:(from:'2017-05-18T12:46:06-0600',mode:absolute,to:'2017-05-18T15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2" t="str">
        <f t="shared" si="31"/>
        <v>N</v>
      </c>
      <c r="X88" s="192">
        <f t="shared" si="32"/>
        <v>1</v>
      </c>
      <c r="Y88" s="192">
        <f t="shared" si="33"/>
        <v>23.314</v>
      </c>
      <c r="Z88" s="192">
        <f t="shared" si="34"/>
        <v>1.2200000000000001E-2</v>
      </c>
      <c r="AA88" s="192">
        <f t="shared" si="35"/>
        <v>23.3018</v>
      </c>
      <c r="AB88" s="57" t="str">
        <f>VLOOKUP(A88,Enforcements!$C$7:$K$13,8,0)</f>
        <v>Bulletin (2)</v>
      </c>
      <c r="AC88" s="53" t="str">
        <f>VLOOKUP(A88,Enforcements!$C$7:$E$13,3,0)</f>
        <v>GRADE CROSSING</v>
      </c>
      <c r="AD88" s="54" t="str">
        <f t="shared" si="36"/>
        <v>0176-18</v>
      </c>
      <c r="AE88" s="80" t="str">
        <f t="shared" si="37"/>
        <v>aws s3 cp s3://rtdc.mdm.uploadarchive.raw/RTDC4027/ "%USERPROFILE%\AppData\Local\Temp\OnboardLogs"\RTDC4027\2017-05-18 --exclude "*" --recursive --include "*20170518*" &amp; "%USERPROFILE%\Documents\GitHub\mrs-test-scripts\Headless Mode &amp; Sideloading\WalkAndUnGZ.bat" "%USERPROFILE%\AppData\Local\Temp\OnboardLogs"\RTDC4027\2017-05-18 &amp; aws s3 cp s3://rtdc.mdm.uploadarchive.raw/RTDC4027/ "%USERPROFILE%\AppData\Local\Temp\OnboardLogs"\RTDC4027\2017-05-19 --exclude "*" --recursive --include "*20170519*" &amp; "%USERPROFILE%\Documents\GitHub\mrs-test-scripts\Headless Mode &amp; Sideloading\WalkAndUnGZ.bat" "%USERPROFILE%\AppData\Local\Temp\OnboardLogs"\RTDC4027\2017-05-19</v>
      </c>
      <c r="AF88" s="77" t="str">
        <f t="shared" si="38"/>
        <v>"C:\Program Files (x86)\AstroGrep\AstroGrep.exe" /e /r /s /spath="%USERPROFILE%\AppData\Local\Temp\OnboardLogs" /stypes="app*4027*20170518*" /stext=" 20:.+((SYSTEM_STATE.+slice.+state.+changed )|(ment ac)|(multiple cpu faults)|(system.+state.+changed )|(\[timeout)|(PRM\|1\|D)|(kpr)|(kdp)|(train st.+moving)|(\|lc)|(penalty))"</v>
      </c>
      <c r="AG88" s="1" t="str">
        <f t="shared" si="39"/>
        <v>EC</v>
      </c>
      <c r="AH88" s="81" t="str">
        <f t="shared" si="40"/>
        <v>"%USERPROFILE%\Documents\GitHub\eaglep3\Utilities\RefineRTDCRunTimes.py" --tripid 176-18 --locoid 4027 --swversion DE.1.0.9.0 --startMP 204:233140 --initTime 2017-05-18T13:46:06 --startdatetime 2017-05-18T13:56:31 --delay 1 --endMP 204:122 --enddatetime 2017-05-18T14:35:23 --enforcementcount 0 &gt;&gt;C:\Users\stu\Documents\GitHub\eaglep3-reporting\EC\2017-05-18-refined-times.txt</v>
      </c>
      <c r="AI88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{"issue":{"subject":"","project_id":79,"tracker_id":40,"status_id":1,"priority_id":2,"assigned_to_id":23,"start_date":"2017-05-18","description":"","custom_fields":[{"id":1,"name":"Subdivision","value":"EC"},{"id":4,"name":"Milepost","value":"0.0122"},{"id":17,"name":"Train ID","value":"176-18"},{"id":16,"name":"Locomotive ID","value":"4027"},{"id":130,"name":"Impact","value":""},{"id":150,"name":"Time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2"/>
        <v>start /low /b %USERPROFILE%\Documents\GitHub\eaglep3\Utilities\DownloadLogsFromS3.py --loco 4027 --day 2017-05-18</v>
      </c>
      <c r="AN88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722</v>
      </c>
      <c r="B89" s="7">
        <v>4014</v>
      </c>
      <c r="C89" s="21" t="s">
        <v>206</v>
      </c>
      <c r="D89" s="21" t="s">
        <v>360</v>
      </c>
      <c r="E89" s="13">
        <v>42873.545671296299</v>
      </c>
      <c r="F89" s="13">
        <v>42873.552256944444</v>
      </c>
      <c r="G89" s="7">
        <v>2</v>
      </c>
      <c r="H89" s="21" t="s">
        <v>892</v>
      </c>
      <c r="I89" s="13">
        <v>42873.577361111114</v>
      </c>
      <c r="J89" s="7">
        <v>0</v>
      </c>
      <c r="K89" s="92" t="str">
        <f t="shared" si="26"/>
        <v>4013/4014</v>
      </c>
      <c r="L89" s="21" t="str">
        <f>VLOOKUP(A89,'Trips&amp;Operators'!$C$1:$G$99999,5,FALSE)</f>
        <v>WHITED DUSTIN</v>
      </c>
      <c r="M89" s="6">
        <f t="shared" si="27"/>
        <v>2.510416667064419E-2</v>
      </c>
      <c r="N89" s="7">
        <f t="shared" si="25"/>
        <v>36.150000005727634</v>
      </c>
      <c r="O89" s="7"/>
      <c r="P89" s="7"/>
      <c r="Q89" s="22"/>
      <c r="R89" s="190"/>
      <c r="S89" s="196">
        <f t="shared" si="28"/>
        <v>1</v>
      </c>
      <c r="T89" s="190" t="str">
        <f t="shared" si="29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0"/>
        <v>https://d0f6bd738d7f1b3e5a7ca70fe4ff75f0.us-east-1.aws.found.io/app/kibana#/discover/Steve-Slow-Train-Analysis-(2080s-and-2083s)?_g=(refreshInterval:(display:Off,pause:!f,section:0,value:0),time:(from:'2017-05-18T12:05:46-0600',mode:absolute,to:'2017-05-18T14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9" s="192" t="str">
        <f t="shared" si="31"/>
        <v>N</v>
      </c>
      <c r="X89" s="192">
        <f t="shared" si="32"/>
        <v>1</v>
      </c>
      <c r="Y89" s="192">
        <f t="shared" si="33"/>
        <v>4.5100000000000001E-2</v>
      </c>
      <c r="Z89" s="192">
        <f t="shared" si="34"/>
        <v>23.3432</v>
      </c>
      <c r="AA89" s="192">
        <f t="shared" si="35"/>
        <v>23.298099999999998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6"/>
        <v>0177-18</v>
      </c>
      <c r="AE89" s="80" t="str">
        <f t="shared" si="37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89" s="77" t="str">
        <f t="shared" si="38"/>
        <v>"C:\Program Files (x86)\AstroGrep\AstroGrep.exe" /e /r /s /spath="%USERPROFILE%\AppData\Local\Temp\OnboardLogs" /stypes="app*4014*20170518*" /stext=" 19:.+((SYSTEM_STATE.+slice.+state.+changed )|(ment ac)|(multiple cpu faults)|(system.+state.+changed )|(\[timeout)|(PRM\|1\|D)|(kpr)|(kdp)|(train st.+moving)|(\|lc)|(penalty))"</v>
      </c>
      <c r="AG89" s="1" t="str">
        <f t="shared" si="39"/>
        <v>EC</v>
      </c>
      <c r="AH89" s="81" t="str">
        <f t="shared" si="40"/>
        <v>"%USERPROFILE%\Documents\GitHub\eaglep3\Utilities\RefineRTDCRunTimes.py" --tripid 177-18 --locoid 4014 --swversion DE.1.0.9.0 --startMP 204:451 --initTime 2017-05-18T13:05:46 --startdatetime 2017-05-18T13:15:15 --delay 2 --endMP 204:233432 --enddatetime 2017-05-18T13:51:24 --enforcementcount 0 &gt;&gt;C:\Users\stu\Documents\GitHub\eaglep3-reporting\EC\2017-05-18-refined-times.txt</v>
      </c>
      <c r="AI89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{"issue":{"subject":"","project_id":79,"tracker_id":40,"status_id":1,"priority_id":2,"assigned_to_id":23,"start_date":"2017-05-18","description":"","custom_fields":[{"id":1,"name":"Subdivision","value":"EC"},{"id":4,"name":"Milepost","value":"23.3432"},{"id":17,"name":"Train ID","value":"177-18"},{"id":16,"name":"Locomotive ID","value":"4014"},{"id":130,"name":"Impact","value":""},{"id":150,"name":"Time of Event (Mountain Time)","value":"13:51:24"},{"id":151,"name":"Denver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2"/>
        <v>start /low /b %USERPROFILE%\Documents\GitHub\eaglep3\Utilities\DownloadLogsFromS3.py --loco 4014 --day 2017-05-18</v>
      </c>
      <c r="AN89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732</v>
      </c>
      <c r="B90" s="7">
        <v>4013</v>
      </c>
      <c r="C90" s="21" t="s">
        <v>206</v>
      </c>
      <c r="D90" s="21" t="s">
        <v>893</v>
      </c>
      <c r="E90" s="13">
        <v>42873.58766203704</v>
      </c>
      <c r="F90" s="13">
        <v>42873.591157407405</v>
      </c>
      <c r="G90" s="7">
        <v>1</v>
      </c>
      <c r="H90" s="21" t="s">
        <v>894</v>
      </c>
      <c r="I90" s="13">
        <v>42873.617037037038</v>
      </c>
      <c r="J90" s="7">
        <v>0</v>
      </c>
      <c r="K90" s="92" t="str">
        <f t="shared" si="26"/>
        <v>4013/4014</v>
      </c>
      <c r="L90" s="21" t="str">
        <f>VLOOKUP(A90,'Trips&amp;Operators'!$C$1:$G$99999,5,FALSE)</f>
        <v>WHITED DUSTIN</v>
      </c>
      <c r="M90" s="6">
        <f t="shared" si="27"/>
        <v>2.587962963298196E-2</v>
      </c>
      <c r="N90" s="7">
        <f t="shared" si="25"/>
        <v>37.266666671494022</v>
      </c>
      <c r="O90" s="7"/>
      <c r="P90" s="7"/>
      <c r="Q90" s="22"/>
      <c r="R90" s="190"/>
      <c r="S90" s="196">
        <f t="shared" si="28"/>
        <v>1</v>
      </c>
      <c r="T90" s="190" t="str">
        <f t="shared" si="29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0"/>
        <v>https://d0f6bd738d7f1b3e5a7ca70fe4ff75f0.us-east-1.aws.found.io/app/kibana#/discover/Steve-Slow-Train-Analysis-(2080s-and-2083s)?_g=(refreshInterval:(display:Off,pause:!f,section:0,value:0),time:(from:'2017-05-18T13:06:14-0600',mode:absolute,to:'2017-05-18T15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0" s="192" t="str">
        <f t="shared" si="31"/>
        <v>N</v>
      </c>
      <c r="X90" s="192">
        <f t="shared" si="32"/>
        <v>1</v>
      </c>
      <c r="Y90" s="192">
        <f t="shared" si="33"/>
        <v>23.315899999999999</v>
      </c>
      <c r="Z90" s="192">
        <f t="shared" si="34"/>
        <v>1.09E-2</v>
      </c>
      <c r="AA90" s="192">
        <f t="shared" si="35"/>
        <v>23.305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6"/>
        <v>0178-18</v>
      </c>
      <c r="AE90" s="80" t="str">
        <f t="shared" si="37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90" s="77" t="str">
        <f t="shared" si="38"/>
        <v>"C:\Program Files (x86)\AstroGrep\AstroGrep.exe" /e /r /s /spath="%USERPROFILE%\AppData\Local\Temp\OnboardLogs" /stypes="app*4013*20170518*" /stext=" 20:.+((SYSTEM_STATE.+slice.+state.+changed )|(ment ac)|(multiple cpu faults)|(system.+state.+changed )|(\[timeout)|(PRM\|1\|D)|(kpr)|(kdp)|(train st.+moving)|(\|lc)|(penalty))"</v>
      </c>
      <c r="AG90" s="1" t="str">
        <f t="shared" si="39"/>
        <v>EC</v>
      </c>
      <c r="AH90" s="81" t="str">
        <f t="shared" si="40"/>
        <v>"%USERPROFILE%\Documents\GitHub\eaglep3\Utilities\RefineRTDCRunTimes.py" --tripid 178-18 --locoid 4013 --swversion DE.1.0.9.0 --startMP 204:233159 --initTime 2017-05-18T14:06:14 --startdatetime 2017-05-18T14:11:16 --delay 1 --endMP 204:109 --enddatetime 2017-05-18T14:48:32 --enforcementcount 0 &gt;&gt;C:\Users\stu\Documents\GitHub\eaglep3-reporting\EC\2017-05-18-refined-times.txt</v>
      </c>
      <c r="AI90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{"issue":{"subject":"","project_id":79,"tracker_id":40,"status_id":1,"priority_id":2,"assigned_to_id":23,"start_date":"2017-05-18","description":"","custom_fields":[{"id":1,"name":"Subdivision","value":"EC"},{"id":4,"name":"Milepost","value":"0.0109"},{"id":17,"name":"Train ID","value":"178-18"},{"id":16,"name":"Locomotive ID","value":"4013"},{"id":130,"name":"Impact","value":""},{"id":150,"name":"Time of Event (Mountain Time)","value":"14:48:32"},{"id":151,"name":"Denver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2"/>
        <v>start /low /b %USERPROFILE%\Documents\GitHub\eaglep3\Utilities\DownloadLogsFromS3.py --loco 4013 --day 2017-05-18</v>
      </c>
      <c r="AN90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728</v>
      </c>
      <c r="B91" s="7">
        <v>4032</v>
      </c>
      <c r="C91" s="21" t="s">
        <v>206</v>
      </c>
      <c r="D91" s="21" t="s">
        <v>203</v>
      </c>
      <c r="E91" s="13">
        <v>42873.557650462964</v>
      </c>
      <c r="F91" s="13">
        <v>42873.562685185185</v>
      </c>
      <c r="G91" s="7">
        <v>1</v>
      </c>
      <c r="H91" s="21" t="s">
        <v>501</v>
      </c>
      <c r="I91" s="13">
        <v>42873.588101851848</v>
      </c>
      <c r="J91" s="7">
        <v>0</v>
      </c>
      <c r="K91" s="92" t="str">
        <f t="shared" si="26"/>
        <v>4031/4032</v>
      </c>
      <c r="L91" s="21" t="str">
        <f>VLOOKUP(A91,'Trips&amp;Operators'!$C$1:$G$99999,5,FALSE)</f>
        <v>SMITH MICHAEL</v>
      </c>
      <c r="M91" s="6">
        <f t="shared" si="27"/>
        <v>2.5416666663659271E-2</v>
      </c>
      <c r="N91" s="7">
        <f t="shared" si="25"/>
        <v>36.59999999566935</v>
      </c>
      <c r="O91" s="7"/>
      <c r="P91" s="7"/>
      <c r="Q91" s="22"/>
      <c r="R91" s="190"/>
      <c r="S91" s="196">
        <f t="shared" si="28"/>
        <v>1</v>
      </c>
      <c r="T91" s="190" t="str">
        <f t="shared" si="29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0"/>
        <v>https://d0f6bd738d7f1b3e5a7ca70fe4ff75f0.us-east-1.aws.found.io/app/kibana#/discover/Steve-Slow-Train-Analysis-(2080s-and-2083s)?_g=(refreshInterval:(display:Off,pause:!f,section:0,value:0),time:(from:'2017-05-18T12:23:01-0600',mode:absolute,to:'2017-05-18T15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92" t="str">
        <f t="shared" si="31"/>
        <v>N</v>
      </c>
      <c r="X91" s="192">
        <f t="shared" si="32"/>
        <v>1</v>
      </c>
      <c r="Y91" s="192">
        <f t="shared" si="33"/>
        <v>4.5999999999999999E-2</v>
      </c>
      <c r="Z91" s="192">
        <f t="shared" si="34"/>
        <v>23.330100000000002</v>
      </c>
      <c r="AA91" s="192">
        <f t="shared" si="35"/>
        <v>23.284100000000002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6"/>
        <v>0179-18</v>
      </c>
      <c r="AE91" s="80" t="str">
        <f t="shared" si="37"/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91" s="77" t="str">
        <f t="shared" si="38"/>
        <v>"C:\Program Files (x86)\AstroGrep\AstroGrep.exe" /e /r /s /spath="%USERPROFILE%\AppData\Local\Temp\OnboardLogs" /stypes="app*4032*20170518*" /stext=" 20:.+((SYSTEM_STATE.+slice.+state.+changed )|(ment ac)|(multiple cpu faults)|(system.+state.+changed )|(\[timeout)|(PRM\|1\|D)|(kpr)|(kdp)|(train st.+moving)|(\|lc)|(penalty))"</v>
      </c>
      <c r="AG91" s="1" t="str">
        <f t="shared" si="39"/>
        <v>EC</v>
      </c>
      <c r="AH91" s="81" t="str">
        <f t="shared" si="40"/>
        <v>"%USERPROFILE%\Documents\GitHub\eaglep3\Utilities\RefineRTDCRunTimes.py" --tripid 179-18 --locoid 4032 --swversion DE.1.0.9.0 --startMP 204:460 --initTime 2017-05-18T13:23:01 --startdatetime 2017-05-18T13:30:16 --delay 1 --endMP 204:233301 --enddatetime 2017-05-18T14:06:52 --enforcementcount 0 &gt;&gt;C:\Users\stu\Documents\GitHub\eaglep3-reporting\EC\2017-05-18-refined-times.txt</v>
      </c>
      <c r="AI91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{"issue":{"subject":"","project_id":79,"tracker_id":40,"status_id":1,"priority_id":2,"assigned_to_id":23,"start_date":"2017-05-18","description":"","custom_fields":[{"id":1,"name":"Subdivision","value":"EC"},{"id":4,"name":"Milepost","value":"23.3301"},{"id":17,"name":"Train ID","value":"179-18"},{"id":16,"name":"Locomotive ID","value":"4032"},{"id":130,"name":"Impact","value":""},{"id":150,"name":"Time of Event (Mountain Time)","value":"14:06:52"},{"id":151,"name":"Denver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2"/>
        <v>start /low /b %USERPROFILE%\Documents\GitHub\eaglep3\Utilities\DownloadLogsFromS3.py --loco 4032 --day 2017-05-18</v>
      </c>
      <c r="AN91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734</v>
      </c>
      <c r="B92" s="7">
        <v>4031</v>
      </c>
      <c r="C92" s="21" t="s">
        <v>206</v>
      </c>
      <c r="D92" s="21" t="s">
        <v>868</v>
      </c>
      <c r="E92" s="13">
        <v>42873.589502314811</v>
      </c>
      <c r="F92" s="13">
        <v>42873.601574074077</v>
      </c>
      <c r="G92" s="7">
        <v>1</v>
      </c>
      <c r="H92" s="21" t="s">
        <v>197</v>
      </c>
      <c r="I92" s="13">
        <v>42873.629074074073</v>
      </c>
      <c r="J92" s="7">
        <v>0</v>
      </c>
      <c r="K92" s="92" t="str">
        <f t="shared" si="26"/>
        <v>4031/4032</v>
      </c>
      <c r="L92" s="21" t="str">
        <f>VLOOKUP(A92,'Trips&amp;Operators'!$C$1:$G$99999,5,FALSE)</f>
        <v>ZEWDU DEREJE</v>
      </c>
      <c r="M92" s="6">
        <f t="shared" si="27"/>
        <v>2.749999999650754E-2</v>
      </c>
      <c r="N92" s="7">
        <f t="shared" si="25"/>
        <v>39.599999994970858</v>
      </c>
      <c r="O92" s="7"/>
      <c r="P92" s="7"/>
      <c r="Q92" s="22"/>
      <c r="R92" s="190"/>
      <c r="S92" s="196">
        <f t="shared" si="28"/>
        <v>1</v>
      </c>
      <c r="T92" s="190" t="str">
        <f t="shared" si="29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0"/>
        <v>https://d0f6bd738d7f1b3e5a7ca70fe4ff75f0.us-east-1.aws.found.io/app/kibana#/discover/Steve-Slow-Train-Analysis-(2080s-and-2083s)?_g=(refreshInterval:(display:Off,pause:!f,section:0,value:0),time:(from:'2017-05-18T13:08:53-0600',mode:absolute,to:'2017-05-18T16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92" t="str">
        <f t="shared" si="31"/>
        <v>N</v>
      </c>
      <c r="X92" s="192">
        <f t="shared" si="32"/>
        <v>1</v>
      </c>
      <c r="Y92" s="192">
        <f t="shared" si="33"/>
        <v>23.297799999999999</v>
      </c>
      <c r="Z92" s="192">
        <f t="shared" si="34"/>
        <v>1.52E-2</v>
      </c>
      <c r="AA92" s="192">
        <f t="shared" si="35"/>
        <v>23.282599999999999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6"/>
        <v>0180-18</v>
      </c>
      <c r="AE92" s="80" t="str">
        <f t="shared" si="37"/>
        <v>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 &amp; 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</v>
      </c>
      <c r="AF92" s="77" t="str">
        <f t="shared" si="38"/>
        <v>"C:\Program Files (x86)\AstroGrep\AstroGrep.exe" /e /r /s /spath="%USERPROFILE%\AppData\Local\Temp\OnboardLogs" /stypes="app*4031*20170518*" /stext=" 21:.+((SYSTEM_STATE.+slice.+state.+changed )|(ment ac)|(multiple cpu faults)|(system.+state.+changed )|(\[timeout)|(PRM\|1\|D)|(kpr)|(kdp)|(train st.+moving)|(\|lc)|(penalty))"</v>
      </c>
      <c r="AG92" s="1" t="str">
        <f t="shared" si="39"/>
        <v>EC</v>
      </c>
      <c r="AH92" s="81" t="str">
        <f t="shared" si="40"/>
        <v>"%USERPROFILE%\Documents\GitHub\eaglep3\Utilities\RefineRTDCRunTimes.py" --tripid 180-18 --locoid 4031 --swversion DE.1.0.9.0 --startMP 204:232978 --initTime 2017-05-18T14:08:53 --startdatetime 2017-05-18T14:26:16 --delay 1 --endMP 204:152 --enddatetime 2017-05-18T15:05:52 --enforcementcount 0 &gt;&gt;C:\Users\stu\Documents\GitHub\eaglep3-reporting\EC\2017-05-18-refined-times.txt</v>
      </c>
      <c r="AI92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ID","value":"180-18"},{"id":16,"name":"Locomotive ID","value":"4031"},{"id":130,"name":"Impact","value":""},{"id":150,"name":"Time of Event (Mountain Time)","value":"15:05:52"},{"id":151,"name":"Denver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2"/>
        <v>start /low /b %USERPROFILE%\Documents\GitHub\eaglep3\Utilities\DownloadLogsFromS3.py --loco 4031 --day 2017-05-18</v>
      </c>
      <c r="AN92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731</v>
      </c>
      <c r="B93" s="7">
        <v>4008</v>
      </c>
      <c r="C93" s="21" t="s">
        <v>206</v>
      </c>
      <c r="D93" s="21" t="s">
        <v>203</v>
      </c>
      <c r="E93" s="13">
        <v>42873.570648148147</v>
      </c>
      <c r="F93" s="13">
        <v>42873.57309027778</v>
      </c>
      <c r="G93" s="7">
        <v>1</v>
      </c>
      <c r="H93" s="21" t="s">
        <v>895</v>
      </c>
      <c r="I93" s="13">
        <v>42873.597546296296</v>
      </c>
      <c r="J93" s="7">
        <v>0</v>
      </c>
      <c r="K93" s="92" t="str">
        <f t="shared" si="26"/>
        <v>4007/4008</v>
      </c>
      <c r="L93" s="21" t="str">
        <f>VLOOKUP(A93,'Trips&amp;Operators'!$C$1:$G$99999,5,FALSE)</f>
        <v>LALONDE GREGORY</v>
      </c>
      <c r="M93" s="6">
        <f t="shared" si="27"/>
        <v>2.4456018516502809E-2</v>
      </c>
      <c r="N93" s="7">
        <f t="shared" si="25"/>
        <v>35.216666663764045</v>
      </c>
      <c r="O93" s="7"/>
      <c r="P93" s="7"/>
      <c r="Q93" s="22"/>
      <c r="R93" s="190"/>
      <c r="S93" s="196">
        <f t="shared" si="28"/>
        <v>1</v>
      </c>
      <c r="T93" s="190" t="str">
        <f t="shared" si="29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0"/>
        <v>https://d0f6bd738d7f1b3e5a7ca70fe4ff75f0.us-east-1.aws.found.io/app/kibana#/discover/Steve-Slow-Train-Analysis-(2080s-and-2083s)?_g=(refreshInterval:(display:Off,pause:!f,section:0,value:0),time:(from:'2017-05-18T12:41:44-0600',mode:absolute,to:'2017-05-18T15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192" t="str">
        <f t="shared" si="31"/>
        <v>N</v>
      </c>
      <c r="X93" s="192">
        <f t="shared" si="32"/>
        <v>1</v>
      </c>
      <c r="Y93" s="192">
        <f t="shared" si="33"/>
        <v>4.5999999999999999E-2</v>
      </c>
      <c r="Z93" s="192">
        <f t="shared" si="34"/>
        <v>23.337800000000001</v>
      </c>
      <c r="AA93" s="192">
        <f t="shared" si="35"/>
        <v>23.291800000000002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6"/>
        <v>0181-18</v>
      </c>
      <c r="AE93" s="80" t="str">
        <f t="shared" si="37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93" s="77" t="str">
        <f t="shared" si="38"/>
        <v>"C:\Program Files (x86)\AstroGrep\AstroGrep.exe" /e /r /s /spath="%USERPROFILE%\AppData\Local\Temp\OnboardLogs" /stypes="app*4008*20170518*" /stext=" 20:.+((SYSTEM_STATE.+slice.+state.+changed )|(ment ac)|(multiple cpu faults)|(system.+state.+changed )|(\[timeout)|(PRM\|1\|D)|(kpr)|(kdp)|(train st.+moving)|(\|lc)|(penalty))"</v>
      </c>
      <c r="AG93" s="1" t="str">
        <f t="shared" si="39"/>
        <v>EC</v>
      </c>
      <c r="AH93" s="81" t="str">
        <f t="shared" si="40"/>
        <v>"%USERPROFILE%\Documents\GitHub\eaglep3\Utilities\RefineRTDCRunTimes.py" --tripid 181-18 --locoid 4008 --swversion DE.1.0.9.0 --startMP 204:460 --initTime 2017-05-18T13:41:44 --startdatetime 2017-05-18T13:45:15 --delay 1 --endMP 204:233378 --enddatetime 2017-05-18T14:20:28 --enforcementcount 0 &gt;&gt;C:\Users\stu\Documents\GitHub\eaglep3-reporting\EC\2017-05-18-refined-times.txt</v>
      </c>
      <c r="AI93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{"issue":{"subject":"","project_id":79,"tracker_id":40,"status_id":1,"priority_id":2,"assigned_to_id":23,"start_date":"2017-05-18","description":"","custom_fields":[{"id":1,"name":"Subdivision","value":"EC"},{"id":4,"name":"Milepost","value":"23.3378"},{"id":17,"name":"Train ID","value":"181-18"},{"id":16,"name":"Locomotive ID","value":"4008"},{"id":130,"name":"Impact","value":""},{"id":150,"name":"Time of Event (Mountain Time)","value":"14:20:28"},{"id":151,"name":"Denver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2"/>
        <v>start /low /b %USERPROFILE%\Documents\GitHub\eaglep3\Utilities\DownloadLogsFromS3.py --loco 4008 --day 2017-05-18</v>
      </c>
      <c r="AN93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737</v>
      </c>
      <c r="B94" s="7">
        <v>4007</v>
      </c>
      <c r="C94" s="21" t="s">
        <v>206</v>
      </c>
      <c r="D94" s="21" t="s">
        <v>896</v>
      </c>
      <c r="E94" s="13">
        <v>42873.599456018521</v>
      </c>
      <c r="F94" s="13">
        <v>42873.611967592595</v>
      </c>
      <c r="G94" s="7">
        <v>0</v>
      </c>
      <c r="H94" s="21" t="s">
        <v>363</v>
      </c>
      <c r="I94" s="13">
        <v>42873.637916666667</v>
      </c>
      <c r="J94" s="7">
        <v>0</v>
      </c>
      <c r="K94" s="92" t="str">
        <f t="shared" si="26"/>
        <v>4007/4008</v>
      </c>
      <c r="L94" s="21" t="str">
        <f>VLOOKUP(A94,'Trips&amp;Operators'!$C$1:$G$99999,5,FALSE)</f>
        <v>LALONDE GREGORY</v>
      </c>
      <c r="M94" s="6">
        <f t="shared" si="27"/>
        <v>2.5949074071832001E-2</v>
      </c>
      <c r="N94" s="7">
        <f t="shared" si="25"/>
        <v>37.366666663438082</v>
      </c>
      <c r="O94" s="7"/>
      <c r="P94" s="7"/>
      <c r="Q94" s="22"/>
      <c r="R94" s="190"/>
      <c r="S94" s="196">
        <f t="shared" si="28"/>
        <v>1</v>
      </c>
      <c r="T94" s="190" t="str">
        <f t="shared" si="29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0"/>
        <v>https://d0f6bd738d7f1b3e5a7ca70fe4ff75f0.us-east-1.aws.found.io/app/kibana#/discover/Steve-Slow-Train-Analysis-(2080s-and-2083s)?_g=(refreshInterval:(display:Off,pause:!f,section:0,value:0),time:(from:'2017-05-18T13:23:13-0600',mode:absolute,to:'2017-05-18T16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192" t="str">
        <f t="shared" si="31"/>
        <v>N</v>
      </c>
      <c r="X94" s="192">
        <f t="shared" si="32"/>
        <v>1</v>
      </c>
      <c r="Y94" s="192">
        <f t="shared" si="33"/>
        <v>23.305099999999999</v>
      </c>
      <c r="Z94" s="192">
        <f t="shared" si="34"/>
        <v>1.5599999999999999E-2</v>
      </c>
      <c r="AA94" s="192">
        <f t="shared" si="35"/>
        <v>23.2895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6"/>
        <v>0182-18</v>
      </c>
      <c r="AE94" s="80" t="str">
        <f t="shared" si="37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94" s="77" t="str">
        <f t="shared" si="38"/>
        <v>"C:\Program Files (x86)\AstroGrep\AstroGrep.exe" /e /r /s /spath="%USERPROFILE%\AppData\Local\Temp\OnboardLogs" /stypes="app*4007*20170518*" /stext=" 21:.+((SYSTEM_STATE.+slice.+state.+changed )|(ment ac)|(multiple cpu faults)|(system.+state.+changed )|(\[timeout)|(PRM\|1\|D)|(kpr)|(kdp)|(train st.+moving)|(\|lc)|(penalty))"</v>
      </c>
      <c r="AG94" s="1" t="str">
        <f t="shared" si="39"/>
        <v>EC</v>
      </c>
      <c r="AH94" s="81" t="str">
        <f t="shared" si="40"/>
        <v>"%USERPROFILE%\Documents\GitHub\eaglep3\Utilities\RefineRTDCRunTimes.py" --tripid 182-18 --locoid 4007 --swversion DE.1.0.9.0 --startMP 204:233051 --initTime 2017-05-18T14:23:13 --startdatetime 2017-05-18T14:41:14 --delay 0 --endMP 204:156 --enddatetime 2017-05-18T15:18:36 --enforcementcount 0 &gt;&gt;C:\Users\stu\Documents\GitHub\eaglep3-reporting\EC\2017-05-18-refined-times.txt</v>
      </c>
      <c r="AI94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{"issue":{"subject":"","project_id":79,"tracker_id":40,"status_id":1,"priority_id":2,"assigned_to_id":23,"start_date":"2017-05-18","description":"","custom_fields":[{"id":1,"name":"Subdivision","value":"EC"},{"id":4,"name":"Milepost","value":"0.0156"},{"id":17,"name":"Train ID","value":"182-18"},{"id":16,"name":"Locomotive ID","value":"4007"},{"id":130,"name":"Impact","value":""},{"id":150,"name":"Time of Event (Mountain Time)","value":"15:18:36"},{"id":151,"name":"Denver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2"/>
        <v>start /low /b %USERPROFILE%\Documents\GitHub\eaglep3\Utilities\DownloadLogsFromS3.py --loco 4007 --day 2017-05-18</v>
      </c>
      <c r="AN94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601</v>
      </c>
      <c r="B95" s="7">
        <v>4030</v>
      </c>
      <c r="C95" s="21" t="s">
        <v>206</v>
      </c>
      <c r="D95" s="21" t="s">
        <v>365</v>
      </c>
      <c r="E95" s="13">
        <v>42873.582129629627</v>
      </c>
      <c r="F95" s="13">
        <v>42873.583738425928</v>
      </c>
      <c r="G95" s="7">
        <v>1</v>
      </c>
      <c r="H95" s="21" t="s">
        <v>897</v>
      </c>
      <c r="I95" s="13">
        <v>42873.608657407407</v>
      </c>
      <c r="J95" s="7">
        <v>0</v>
      </c>
      <c r="K95" s="92" t="str">
        <f t="shared" si="26"/>
        <v>4029/4030</v>
      </c>
      <c r="L95" s="21" t="str">
        <f>VLOOKUP(A95,'Trips&amp;Operators'!$C$1:$G$99999,5,FALSE)</f>
        <v>HELVIE ADAM</v>
      </c>
      <c r="M95" s="6">
        <f t="shared" si="27"/>
        <v>2.491898147854954E-2</v>
      </c>
      <c r="N95" s="7">
        <f t="shared" si="25"/>
        <v>35.883333329111338</v>
      </c>
      <c r="O95" s="7"/>
      <c r="P95" s="7"/>
      <c r="Q95" s="22"/>
      <c r="R95" s="190" t="s">
        <v>1045</v>
      </c>
      <c r="S95" s="196">
        <f t="shared" si="28"/>
        <v>1</v>
      </c>
      <c r="T95" s="190" t="str">
        <f t="shared" si="29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0"/>
        <v>https://d0f6bd738d7f1b3e5a7ca70fe4ff75f0.us-east-1.aws.found.io/app/kibana#/discover/Steve-Slow-Train-Analysis-(2080s-and-2083s)?_g=(refreshInterval:(display:Off,pause:!f,section:0,value:0),time:(from:'2017-05-18T12:58:16-0600',mode:absolute,to:'2017-05-18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192" t="str">
        <f t="shared" si="31"/>
        <v>N</v>
      </c>
      <c r="X95" s="192">
        <f t="shared" si="32"/>
        <v>1</v>
      </c>
      <c r="Y95" s="192">
        <f t="shared" si="33"/>
        <v>4.4400000000000002E-2</v>
      </c>
      <c r="Z95" s="192">
        <f t="shared" si="34"/>
        <v>23.339099999999998</v>
      </c>
      <c r="AA95" s="192">
        <f t="shared" si="35"/>
        <v>23.294699999999999</v>
      </c>
      <c r="AB95" s="57" t="str">
        <f>VLOOKUP(A95,Enforcements!$C$7:$K$13,8,0)</f>
        <v>Bulletin (2)</v>
      </c>
      <c r="AC95" s="53" t="str">
        <f>VLOOKUP(A95,Enforcements!$C$7:$E$13,3,0)</f>
        <v>GRADE CROSSING</v>
      </c>
      <c r="AD95" s="54" t="str">
        <f t="shared" si="36"/>
        <v>0183-18</v>
      </c>
      <c r="AE95" s="80" t="str">
        <f t="shared" si="37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95" s="77" t="str">
        <f t="shared" si="38"/>
        <v>"C:\Program Files (x86)\AstroGrep\AstroGrep.exe" /e /r /s /spath="%USERPROFILE%\AppData\Local\Temp\OnboardLogs" /stypes="app*4030*20170518*" /stext=" 20:.+((SYSTEM_STATE.+slice.+state.+changed )|(ment ac)|(multiple cpu faults)|(system.+state.+changed )|(\[timeout)|(PRM\|1\|D)|(kpr)|(kdp)|(train st.+moving)|(\|lc)|(penalty))"</v>
      </c>
      <c r="AG95" s="1" t="str">
        <f t="shared" si="39"/>
        <v>EC</v>
      </c>
      <c r="AH95" s="81" t="str">
        <f t="shared" si="40"/>
        <v>"%USERPROFILE%\Documents\GitHub\eaglep3\Utilities\RefineRTDCRunTimes.py" --tripid 183-18 --locoid 4030 --swversion DE.1.0.9.0 --startMP 204:444 --initTime 2017-05-18T13:58:16 --startdatetime 2017-05-18T14:00:35 --delay 1 --endMP 204:233391 --enddatetime 2017-05-18T14:36:28 --enforcementcount 0 &gt;&gt;C:\Users\stu\Documents\GitHub\eaglep3-reporting\EC\2017-05-18-refined-times.txt</v>
      </c>
      <c r="AI95" s="99" t="str">
        <f t="shared" si="41"/>
        <v>echo {"issue":{"subject":"Unhealthy at Dahlia due to enforcement at Clayton","project_id":79,"tracker_id":40,"status_id":1,"priority_id":2,"assigned_to_id":23,"start_date":"2017-05-18","description":"","custom_fields":[{"id":1,"name":"Subdivision","value":"EC"},{"id":4,"name":"Milepost","value":"23.3391"},{"id":17,"name":"Train ID","value":"183-18"},{"id":16,"name":"Locomotive ID","value":"4030"},{"id":130,"name":"Impact","value":""},{"id":150,"name":"Time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2"/>
        <v>start /low /b %USERPROFILE%\Documents\GitHub\eaglep3\Utilities\DownloadLogsFromS3.py --loco 4030 --day 2017-05-18</v>
      </c>
      <c r="AN95" s="154" t="str">
        <f t="shared" si="43"/>
        <v>echo {"issue":{"subject":"Unhealthy at Dahlia due to enforcement at Clayton","project_id":30,"tracker_id":4,"status_id":1,"priority_id":1,"assigned_to_id":10,"start_date":"2017-05-18","description":"","custom_fields":[{"id":30,"name":"Category","value":"Issue"},{"id":3,"name":"Functional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741</v>
      </c>
      <c r="B96" s="7">
        <v>4029</v>
      </c>
      <c r="C96" s="21" t="s">
        <v>206</v>
      </c>
      <c r="D96" s="21" t="s">
        <v>864</v>
      </c>
      <c r="E96" s="13">
        <v>42873.617303240739</v>
      </c>
      <c r="F96" s="13">
        <v>42873.622442129628</v>
      </c>
      <c r="G96" s="7">
        <v>2</v>
      </c>
      <c r="H96" s="21" t="s">
        <v>354</v>
      </c>
      <c r="I96" s="13">
        <v>42873.649224537039</v>
      </c>
      <c r="J96" s="7">
        <v>0</v>
      </c>
      <c r="K96" s="92" t="str">
        <f t="shared" si="26"/>
        <v>4029/4030</v>
      </c>
      <c r="L96" s="21" t="str">
        <f>VLOOKUP(A96,'Trips&amp;Operators'!$C$1:$G$99999,5,FALSE)</f>
        <v>HELVIE ADAM</v>
      </c>
      <c r="M96" s="6">
        <f t="shared" si="27"/>
        <v>2.6782407410792075E-2</v>
      </c>
      <c r="N96" s="7">
        <f t="shared" si="25"/>
        <v>38.566666671540588</v>
      </c>
      <c r="O96" s="7"/>
      <c r="P96" s="7"/>
      <c r="Q96" s="22"/>
      <c r="R96" s="190"/>
      <c r="S96" s="196">
        <f t="shared" si="28"/>
        <v>1</v>
      </c>
      <c r="T96" s="190" t="str">
        <f t="shared" si="29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0"/>
        <v>https://d0f6bd738d7f1b3e5a7ca70fe4ff75f0.us-east-1.aws.found.io/app/kibana#/discover/Steve-Slow-Train-Analysis-(2080s-and-2083s)?_g=(refreshInterval:(display:Off,pause:!f,section:0,value:0),time:(from:'2017-05-18T13:48:55-0600',mode:absolute,to:'2017-05-18T16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92" t="str">
        <f t="shared" si="31"/>
        <v>N</v>
      </c>
      <c r="X96" s="192">
        <f t="shared" si="32"/>
        <v>1</v>
      </c>
      <c r="Y96" s="192">
        <f t="shared" si="33"/>
        <v>23.307400000000001</v>
      </c>
      <c r="Z96" s="192">
        <f t="shared" si="34"/>
        <v>1.6E-2</v>
      </c>
      <c r="AA96" s="192">
        <f t="shared" si="35"/>
        <v>23.291400000000003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6"/>
        <v>0184-18</v>
      </c>
      <c r="AE96" s="80" t="str">
        <f t="shared" si="37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96" s="77" t="str">
        <f t="shared" si="38"/>
        <v>"C:\Program Files (x86)\AstroGrep\AstroGrep.exe" /e /r /s /spath="%USERPROFILE%\AppData\Local\Temp\OnboardLogs" /stypes="app*4029*20170518*" /stext=" 21:.+((SYSTEM_STATE.+slice.+state.+changed )|(ment ac)|(multiple cpu faults)|(system.+state.+changed )|(\[timeout)|(PRM\|1\|D)|(kpr)|(kdp)|(train st.+moving)|(\|lc)|(penalty))"</v>
      </c>
      <c r="AG96" s="1" t="str">
        <f t="shared" si="39"/>
        <v>EC</v>
      </c>
      <c r="AH96" s="81" t="str">
        <f t="shared" si="40"/>
        <v>"%USERPROFILE%\Documents\GitHub\eaglep3\Utilities\RefineRTDCRunTimes.py" --tripid 184-18 --locoid 4029 --swversion DE.1.0.9.0 --startMP 204:233074 --initTime 2017-05-18T14:48:55 --startdatetime 2017-05-18T14:56:19 --delay 2 --endMP 204:160 --enddatetime 2017-05-18T15:34:53 --enforcementcount 0 &gt;&gt;C:\Users\stu\Documents\GitHub\eaglep3-reporting\EC\2017-05-18-refined-times.txt</v>
      </c>
      <c r="AI96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{"issue":{"subject":"","project_id":79,"tracker_id":40,"status_id":1,"priority_id":2,"assigned_to_id":23,"start_date":"2017-05-18","description":"","custom_fields":[{"id":1,"name":"Subdivision","value":"EC"},{"id":4,"name":"Milepost","value":"0.016"},{"id":17,"name":"Train ID","value":"184-18"},{"id":16,"name":"Locomotive ID","value":"4029"},{"id":130,"name":"Impact","value":""},{"id":150,"name":"Time of Event (Mountain Time)","value":"15:34:53"},{"id":151,"name":"Denver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2"/>
        <v>start /low /b %USERPROFILE%\Documents\GitHub\eaglep3\Utilities\DownloadLogsFromS3.py --loco 4029 --day 2017-05-18</v>
      </c>
      <c r="AN96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735</v>
      </c>
      <c r="B97" s="7">
        <v>4010</v>
      </c>
      <c r="C97" s="21" t="s">
        <v>206</v>
      </c>
      <c r="D97" s="21" t="s">
        <v>359</v>
      </c>
      <c r="E97" s="13">
        <v>42873.590324074074</v>
      </c>
      <c r="F97" s="13">
        <v>42873.594004629631</v>
      </c>
      <c r="G97" s="7">
        <v>1</v>
      </c>
      <c r="H97" s="21" t="s">
        <v>543</v>
      </c>
      <c r="I97" s="13">
        <v>42873.618935185186</v>
      </c>
      <c r="J97" s="7">
        <v>0</v>
      </c>
      <c r="K97" s="92" t="str">
        <f t="shared" si="26"/>
        <v>4009/4010</v>
      </c>
      <c r="L97" s="21" t="str">
        <f>VLOOKUP(A97,'Trips&amp;Operators'!$C$1:$G$99999,5,FALSE)</f>
        <v>MOSES BRADLEY</v>
      </c>
      <c r="M97" s="6">
        <f t="shared" si="27"/>
        <v>2.4930555555329192E-2</v>
      </c>
      <c r="N97" s="7">
        <f t="shared" si="25"/>
        <v>35.899999999674037</v>
      </c>
      <c r="O97" s="7"/>
      <c r="P97" s="7"/>
      <c r="Q97" s="22"/>
      <c r="R97" s="190"/>
      <c r="S97" s="196">
        <f t="shared" si="28"/>
        <v>1</v>
      </c>
      <c r="T97" s="190" t="str">
        <f t="shared" si="29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0"/>
        <v>https://d0f6bd738d7f1b3e5a7ca70fe4ff75f0.us-east-1.aws.found.io/app/kibana#/discover/Steve-Slow-Train-Analysis-(2080s-and-2083s)?_g=(refreshInterval:(display:Off,pause:!f,section:0,value:0),time:(from:'2017-05-18T13:10:04-0600',mode:absolute,to:'2017-05-18T15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192" t="str">
        <f t="shared" si="31"/>
        <v>N</v>
      </c>
      <c r="X97" s="192">
        <f t="shared" si="32"/>
        <v>1</v>
      </c>
      <c r="Y97" s="192">
        <f t="shared" si="33"/>
        <v>4.6600000000000003E-2</v>
      </c>
      <c r="Z97" s="192">
        <f t="shared" si="34"/>
        <v>23.3325</v>
      </c>
      <c r="AA97" s="192">
        <f t="shared" si="35"/>
        <v>23.285899999999998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6"/>
        <v>0185-18</v>
      </c>
      <c r="AE97" s="80" t="str">
        <f t="shared" si="37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97" s="77" t="str">
        <f t="shared" si="38"/>
        <v>"C:\Program Files (x86)\AstroGrep\AstroGrep.exe" /e /r /s /spath="%USERPROFILE%\AppData\Local\Temp\OnboardLogs" /stypes="app*4010*20170518*" /stext=" 20:.+((SYSTEM_STATE.+slice.+state.+changed )|(ment ac)|(multiple cpu faults)|(system.+state.+changed )|(\[timeout)|(PRM\|1\|D)|(kpr)|(kdp)|(train st.+moving)|(\|lc)|(penalty))"</v>
      </c>
      <c r="AG97" s="1" t="str">
        <f t="shared" si="39"/>
        <v>EC</v>
      </c>
      <c r="AH97" s="81" t="str">
        <f t="shared" si="40"/>
        <v>"%USERPROFILE%\Documents\GitHub\eaglep3\Utilities\RefineRTDCRunTimes.py" --tripid 185-18 --locoid 4010 --swversion DE.1.0.9.0 --startMP 204:466 --initTime 2017-05-18T14:10:04 --startdatetime 2017-05-18T14:15:22 --delay 1 --endMP 204:233325 --enddatetime 2017-05-18T14:51:16 --enforcementcount 0 &gt;&gt;C:\Users\stu\Documents\GitHub\eaglep3-reporting\EC\2017-05-18-refined-times.txt</v>
      </c>
      <c r="AI97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{"issue":{"subject":"","project_id":79,"tracker_id":40,"status_id":1,"priority_id":2,"assigned_to_id":23,"start_date":"2017-05-18","description":"","custom_fields":[{"id":1,"name":"Subdivision","value":"EC"},{"id":4,"name":"Milepost","value":"23.3325"},{"id":17,"name":"Train ID","value":"185-18"},{"id":16,"name":"Locomotive ID","value":"4010"},{"id":130,"name":"Impact","value":""},{"id":150,"name":"Time of Event (Mountain Time)","value":"14:51:16"},{"id":151,"name":"Denver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42"/>
        <v>start /low /b %USERPROFILE%\Documents\GitHub\eaglep3\Utilities\DownloadLogsFromS3.py --loco 4010 --day 2017-05-18</v>
      </c>
      <c r="AN97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743</v>
      </c>
      <c r="B98" s="7">
        <v>4009</v>
      </c>
      <c r="C98" s="21" t="s">
        <v>206</v>
      </c>
      <c r="D98" s="21" t="s">
        <v>883</v>
      </c>
      <c r="E98" s="13">
        <v>42873.620324074072</v>
      </c>
      <c r="F98" s="13">
        <v>42873.633043981485</v>
      </c>
      <c r="G98" s="7">
        <v>1</v>
      </c>
      <c r="H98" s="21" t="s">
        <v>563</v>
      </c>
      <c r="I98" s="13">
        <v>42873.661423611113</v>
      </c>
      <c r="J98" s="7">
        <v>0</v>
      </c>
      <c r="K98" s="92" t="str">
        <f t="shared" si="26"/>
        <v>4009/4010</v>
      </c>
      <c r="L98" s="21" t="str">
        <f>VLOOKUP(A98,'Trips&amp;Operators'!$C$1:$G$99999,5,FALSE)</f>
        <v>MOSES BRADLEY</v>
      </c>
      <c r="M98" s="6">
        <f t="shared" si="27"/>
        <v>2.8379629628034309E-2</v>
      </c>
      <c r="N98" s="7">
        <f t="shared" si="25"/>
        <v>40.866666664369404</v>
      </c>
      <c r="O98" s="7"/>
      <c r="P98" s="7"/>
      <c r="Q98" s="22"/>
      <c r="R98" s="190"/>
      <c r="S98" s="196">
        <f t="shared" si="28"/>
        <v>1</v>
      </c>
      <c r="T98" s="190" t="str">
        <f t="shared" si="29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0"/>
        <v>https://d0f6bd738d7f1b3e5a7ca70fe4ff75f0.us-east-1.aws.found.io/app/kibana#/discover/Steve-Slow-Train-Analysis-(2080s-and-2083s)?_g=(refreshInterval:(display:Off,pause:!f,section:0,value:0),time:(from:'2017-05-18T13:53:16-0600',mode:absolute,to:'2017-05-18T16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92" t="str">
        <f t="shared" si="31"/>
        <v>N</v>
      </c>
      <c r="X98" s="192">
        <f t="shared" si="32"/>
        <v>1</v>
      </c>
      <c r="Y98" s="192">
        <f t="shared" si="33"/>
        <v>23.303799999999999</v>
      </c>
      <c r="Z98" s="192">
        <f t="shared" si="34"/>
        <v>1.78E-2</v>
      </c>
      <c r="AA98" s="192">
        <f t="shared" si="35"/>
        <v>23.285999999999998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6"/>
        <v>0186-18</v>
      </c>
      <c r="AE98" s="80" t="str">
        <f t="shared" si="37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98" s="77" t="str">
        <f t="shared" si="38"/>
        <v>"C:\Program Files (x86)\AstroGrep\AstroGrep.exe" /e /r /s /spath="%USERPROFILE%\AppData\Local\Temp\OnboardLogs" /stypes="app*4009*20170518*" /stext=" 21:.+((SYSTEM_STATE.+slice.+state.+changed )|(ment ac)|(multiple cpu faults)|(system.+state.+changed )|(\[timeout)|(PRM\|1\|D)|(kpr)|(kdp)|(train st.+moving)|(\|lc)|(penalty))"</v>
      </c>
      <c r="AG98" s="1" t="str">
        <f t="shared" si="39"/>
        <v>EC</v>
      </c>
      <c r="AH98" s="81" t="str">
        <f t="shared" si="40"/>
        <v>"%USERPROFILE%\Documents\GitHub\eaglep3\Utilities\RefineRTDCRunTimes.py" --tripid 186-18 --locoid 4009 --swversion DE.1.0.9.0 --startMP 204:233038 --initTime 2017-05-18T14:53:16 --startdatetime 2017-05-18T15:11:35 --delay 1 --endMP 204:178 --enddatetime 2017-05-18T15:52:27 --enforcementcount 0 &gt;&gt;C:\Users\stu\Documents\GitHub\eaglep3-reporting\EC\2017-05-18-refined-times.txt</v>
      </c>
      <c r="AI98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{"issue":{"subject":"","project_id":79,"tracker_id":40,"status_id":1,"priority_id":2,"assigned_to_id":23,"start_date":"2017-05-18","description":"","custom_fields":[{"id":1,"name":"Subdivision","value":"EC"},{"id":4,"name":"Milepost","value":"0.0178"},{"id":17,"name":"Train ID","value":"186-18"},{"id":16,"name":"Locomotive ID","value":"4009"},{"id":130,"name":"Impact","value":""},{"id":150,"name":"Time of Event (Mountain Time)","value":"15:52:27"},{"id":151,"name":"Denver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2"/>
        <v>start /low /b %USERPROFILE%\Documents\GitHub\eaglep3\Utilities\DownloadLogsFromS3.py --loco 4009 --day 2017-05-18</v>
      </c>
      <c r="AN98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738</v>
      </c>
      <c r="B99" s="7">
        <v>4002</v>
      </c>
      <c r="C99" s="21" t="s">
        <v>206</v>
      </c>
      <c r="D99" s="21" t="s">
        <v>362</v>
      </c>
      <c r="E99" s="13">
        <v>42873.601597222223</v>
      </c>
      <c r="F99" s="13">
        <v>42873.60434027778</v>
      </c>
      <c r="G99" s="7">
        <v>1</v>
      </c>
      <c r="H99" s="21" t="s">
        <v>898</v>
      </c>
      <c r="I99" s="13">
        <v>42873.631076388891</v>
      </c>
      <c r="J99" s="7">
        <v>0</v>
      </c>
      <c r="K99" s="92" t="str">
        <f t="shared" si="26"/>
        <v>4001/4002</v>
      </c>
      <c r="L99" s="21" t="str">
        <f>VLOOKUP(A99,'Trips&amp;Operators'!$C$1:$G$99999,5,FALSE)</f>
        <v>CLARK KATHLEEN</v>
      </c>
      <c r="M99" s="6">
        <f t="shared" si="27"/>
        <v>2.6736111110949423E-2</v>
      </c>
      <c r="N99" s="7">
        <f t="shared" si="25"/>
        <v>38.499999999767169</v>
      </c>
      <c r="O99" s="7"/>
      <c r="P99" s="7"/>
      <c r="Q99" s="22"/>
      <c r="R99" s="190"/>
      <c r="S99" s="196">
        <f t="shared" si="28"/>
        <v>1</v>
      </c>
      <c r="T99" s="190" t="str">
        <f t="shared" si="29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0"/>
        <v>https://d0f6bd738d7f1b3e5a7ca70fe4ff75f0.us-east-1.aws.found.io/app/kibana#/discover/Steve-Slow-Train-Analysis-(2080s-and-2083s)?_g=(refreshInterval:(display:Off,pause:!f,section:0,value:0),time:(from:'2017-05-18T13:26:18-0600',mode:absolute,to:'2017-05-18T16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192" t="str">
        <f t="shared" si="31"/>
        <v>N</v>
      </c>
      <c r="X99" s="192">
        <f t="shared" si="32"/>
        <v>1</v>
      </c>
      <c r="Y99" s="192">
        <f t="shared" si="33"/>
        <v>4.6399999999999997E-2</v>
      </c>
      <c r="Z99" s="192">
        <f t="shared" si="34"/>
        <v>23.327000000000002</v>
      </c>
      <c r="AA99" s="192">
        <f t="shared" si="35"/>
        <v>23.280600000000003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6"/>
        <v>0187-18</v>
      </c>
      <c r="AE99" s="80" t="str">
        <f t="shared" si="37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99" s="77" t="str">
        <f t="shared" si="38"/>
        <v>"C:\Program Files (x86)\AstroGrep\AstroGrep.exe" /e /r /s /spath="%USERPROFILE%\AppData\Local\Temp\OnboardLogs" /stypes="app*4002*20170518*" /stext=" 21:.+((SYSTEM_STATE.+slice.+state.+changed )|(ment ac)|(multiple cpu faults)|(system.+state.+changed )|(\[timeout)|(PRM\|1\|D)|(kpr)|(kdp)|(train st.+moving)|(\|lc)|(penalty))"</v>
      </c>
      <c r="AG99" s="1" t="str">
        <f t="shared" si="39"/>
        <v>EC</v>
      </c>
      <c r="AH99" s="81" t="str">
        <f t="shared" si="40"/>
        <v>"%USERPROFILE%\Documents\GitHub\eaglep3\Utilities\RefineRTDCRunTimes.py" --tripid 187-18 --locoid 4002 --swversion DE.1.0.9.0 --startMP 204:464 --initTime 2017-05-18T14:26:18 --startdatetime 2017-05-18T14:30:15 --delay 1 --endMP 204:233270 --enddatetime 2017-05-18T15:08:45 --enforcementcount 0 &gt;&gt;C:\Users\stu\Documents\GitHub\eaglep3-reporting\EC\2017-05-18-refined-times.txt</v>
      </c>
      <c r="AI99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{"issue":{"subject":"","project_id":79,"tracker_id":40,"status_id":1,"priority_id":2,"assigned_to_id":23,"start_date":"2017-05-18","description":"","custom_fields":[{"id":1,"name":"Subdivision","value":"EC"},{"id":4,"name":"Milepost","value":"23.327"},{"id":17,"name":"Train ID","value":"187-18"},{"id":16,"name":"Locomotive ID","value":"4002"},{"id":130,"name":"Impact","value":""},{"id":150,"name":"Time of Event (Mountain Time)","value":"15:08:45"},{"id":151,"name":"Denver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2"/>
        <v>start /low /b %USERPROFILE%\Documents\GitHub\eaglep3\Utilities\DownloadLogsFromS3.py --loco 4002 --day 2017-05-18</v>
      </c>
      <c r="AN99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745</v>
      </c>
      <c r="B100" s="7">
        <v>4001</v>
      </c>
      <c r="C100" s="21" t="s">
        <v>206</v>
      </c>
      <c r="D100" s="21" t="s">
        <v>557</v>
      </c>
      <c r="E100" s="13">
        <v>42873.635891203703</v>
      </c>
      <c r="F100" s="13">
        <v>42873.643229166664</v>
      </c>
      <c r="G100" s="7">
        <v>0</v>
      </c>
      <c r="H100" s="21" t="s">
        <v>443</v>
      </c>
      <c r="I100" s="13">
        <v>42873.67083333333</v>
      </c>
      <c r="J100" s="7">
        <v>0</v>
      </c>
      <c r="K100" s="92" t="str">
        <f t="shared" si="26"/>
        <v>4001/4002</v>
      </c>
      <c r="L100" s="21" t="str">
        <f>VLOOKUP(A100,'Trips&amp;Operators'!$C$1:$G$99999,5,FALSE)</f>
        <v>CLARK KATHLEEN</v>
      </c>
      <c r="M100" s="6">
        <f t="shared" si="27"/>
        <v>2.7604166665696539E-2</v>
      </c>
      <c r="N100" s="7">
        <f t="shared" si="25"/>
        <v>39.749999998603016</v>
      </c>
      <c r="O100" s="7"/>
      <c r="P100" s="7"/>
      <c r="Q100" s="22"/>
      <c r="R100" s="190"/>
      <c r="S100" s="196">
        <f t="shared" si="28"/>
        <v>1</v>
      </c>
      <c r="T100" s="190" t="str">
        <f t="shared" si="29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0"/>
        <v>https://d0f6bd738d7f1b3e5a7ca70fe4ff75f0.us-east-1.aws.found.io/app/kibana#/discover/Steve-Slow-Train-Analysis-(2080s-and-2083s)?_g=(refreshInterval:(display:Off,pause:!f,section:0,value:0),time:(from:'2017-05-18T14:15:41-0600',mode:absolute,to:'2017-05-18T17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192" t="str">
        <f t="shared" si="31"/>
        <v>N</v>
      </c>
      <c r="X100" s="192">
        <f t="shared" si="32"/>
        <v>1</v>
      </c>
      <c r="Y100" s="192">
        <f t="shared" si="33"/>
        <v>23.296500000000002</v>
      </c>
      <c r="Z100" s="192">
        <f t="shared" si="34"/>
        <v>1.7999999999999999E-2</v>
      </c>
      <c r="AA100" s="192">
        <f t="shared" si="35"/>
        <v>23.278500000000001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6"/>
        <v>0188-18</v>
      </c>
      <c r="AE100" s="80" t="str">
        <f t="shared" si="37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100" s="77" t="str">
        <f t="shared" si="38"/>
        <v>"C:\Program Files (x86)\AstroGrep\AstroGrep.exe" /e /r /s /spath="%USERPROFILE%\AppData\Local\Temp\OnboardLogs" /stypes="app*4001*20170518*" /stext=" 22:.+((SYSTEM_STATE.+slice.+state.+changed )|(ment ac)|(multiple cpu faults)|(system.+state.+changed )|(\[timeout)|(PRM\|1\|D)|(kpr)|(kdp)|(train st.+moving)|(\|lc)|(penalty))"</v>
      </c>
      <c r="AG100" s="1" t="str">
        <f t="shared" si="39"/>
        <v>EC</v>
      </c>
      <c r="AH100" s="81" t="str">
        <f t="shared" si="40"/>
        <v>"%USERPROFILE%\Documents\GitHub\eaglep3\Utilities\RefineRTDCRunTimes.py" --tripid 188-18 --locoid 4001 --swversion DE.1.0.9.0 --startMP 204:232965 --initTime 2017-05-18T15:15:41 --startdatetime 2017-05-18T15:26:15 --delay 0 --endMP 204:180 --enddatetime 2017-05-18T16:06:00 --enforcementcount 0 &gt;&gt;C:\Users\stu\Documents\GitHub\eaglep3-reporting\EC\2017-05-18-refined-times.txt</v>
      </c>
      <c r="AI100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{"issue":{"subject":"","project_id":79,"tracker_id":40,"status_id":1,"priority_id":2,"assigned_to_id":23,"start_date":"2017-05-18","description":"","custom_fields":[{"id":1,"name":"Subdivision","value":"EC"},{"id":4,"name":"Milepost","value":"0.018"},{"id":17,"name":"Train ID","value":"188-18"},{"id":16,"name":"Locomotive ID","value":"4001"},{"id":130,"name":"Impact","value":""},{"id":150,"name":"Time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2"/>
        <v>start /low /b %USERPROFILE%\Documents\GitHub\eaglep3\Utilities\DownloadLogsFromS3.py --loco 4001 --day 2017-05-18</v>
      </c>
      <c r="AN100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603</v>
      </c>
      <c r="B101" s="7">
        <v>4056</v>
      </c>
      <c r="C101" s="21" t="s">
        <v>206</v>
      </c>
      <c r="D101" s="21" t="s">
        <v>899</v>
      </c>
      <c r="E101" s="13">
        <v>42873.619467592594</v>
      </c>
      <c r="F101" s="13">
        <v>42873.620439814818</v>
      </c>
      <c r="G101" s="7">
        <v>1</v>
      </c>
      <c r="H101" s="21" t="s">
        <v>407</v>
      </c>
      <c r="I101" s="13">
        <v>42873.642847222225</v>
      </c>
      <c r="J101" s="7">
        <v>0</v>
      </c>
      <c r="K101" s="92" t="str">
        <f t="shared" si="26"/>
        <v>4055/4056</v>
      </c>
      <c r="L101" s="21" t="str">
        <f>VLOOKUP(A101,'Trips&amp;Operators'!$C$1:$G$99999,5,FALSE)</f>
        <v>BRANDNER MELINDA</v>
      </c>
      <c r="M101" s="6">
        <f t="shared" si="27"/>
        <v>2.2407407406717539E-2</v>
      </c>
      <c r="N101" s="7"/>
      <c r="O101" s="7"/>
      <c r="P101" s="7">
        <f>24*60*SUM($M101:$M101)</f>
        <v>32.266666665673256</v>
      </c>
      <c r="Q101" s="22"/>
      <c r="R101" s="190" t="s">
        <v>1043</v>
      </c>
      <c r="S101" s="196">
        <f t="shared" si="28"/>
        <v>1</v>
      </c>
      <c r="T101" s="190" t="str">
        <f t="shared" si="29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0"/>
        <v>https://d0f6bd738d7f1b3e5a7ca70fe4ff75f0.us-east-1.aws.found.io/app/kibana#/discover/Steve-Slow-Train-Analysis-(2080s-and-2083s)?_g=(refreshInterval:(display:Off,pause:!f,section:0,value:0),time:(from:'2017-05-18T13:52:02-0600',mode:absolute,to:'2017-05-18T16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1" s="192" t="str">
        <f t="shared" si="31"/>
        <v>Y</v>
      </c>
      <c r="X101" s="192">
        <f t="shared" si="32"/>
        <v>1</v>
      </c>
      <c r="Y101" s="192">
        <f t="shared" si="33"/>
        <v>1.9155</v>
      </c>
      <c r="Z101" s="192">
        <f t="shared" si="34"/>
        <v>23.3293</v>
      </c>
      <c r="AA101" s="192">
        <f t="shared" si="35"/>
        <v>21.413799999999998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6"/>
        <v>0189-18</v>
      </c>
      <c r="AE101" s="80" t="str">
        <f t="shared" si="37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101" s="77" t="str">
        <f t="shared" si="38"/>
        <v>"C:\Program Files (x86)\AstroGrep\AstroGrep.exe" /e /r /s /spath="%USERPROFILE%\AppData\Local\Temp\OnboardLogs" /stypes="app*4056*20170518*" /stext=" 21:.+((SYSTEM_STATE.+slice.+state.+changed )|(ment ac)|(multiple cpu faults)|(system.+state.+changed )|(\[timeout)|(PRM\|1\|D)|(kpr)|(kdp)|(train st.+moving)|(\|lc)|(penalty))"</v>
      </c>
      <c r="AG101" s="1" t="str">
        <f t="shared" si="39"/>
        <v>EC</v>
      </c>
      <c r="AH101" s="81" t="str">
        <f t="shared" si="40"/>
        <v>"%USERPROFILE%\Documents\GitHub\eaglep3\Utilities\RefineRTDCRunTimes.py" --tripid 189-18 --locoid 4056 --swversion DE.1.0.9.0 --startMP 204:19155 --initTime 2017-05-18T14:52:02 --startdatetime 2017-05-18T14:53:26 --delay 1 --endMP 204:233293 --enddatetime 2017-05-18T15:25:42 --enforcementcount 0 &gt;&gt;C:\Users\stu\Documents\GitHub\eaglep3-reporting\EC\2017-05-18-refined-times.txt</v>
      </c>
      <c r="AI101" s="99" t="str">
        <f t="shared" si="41"/>
        <v>echo {"issue":{"subject":"CCROC/crew/equipment mismatch","project_id":79,"tracker_id":40,"status_id":1,"priority_id":2,"assigned_to_id":23,"start_date":"2017-05-18","description":"","custom_fields":[{"id":1,"name":"Subdivision","value":"EC"},{"id":4,"name":"Milepost","value":"23.3293"},{"id":17,"name":"Train ID","value":"189-18"},{"id":16,"name":"Locomotive ID","value":"4056"},{"id":130,"name":"Impact","value":""},{"id":150,"name":"Time of Event (Mountain Time)","value":"15:25:42"},{"id":151,"name":"Denver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2"/>
        <v>start /low /b %USERPROFILE%\Documents\GitHub\eaglep3\Utilities\DownloadLogsFromS3.py --loco 4056 --day 2017-05-18</v>
      </c>
      <c r="AN101" s="154" t="str">
        <f t="shared" si="43"/>
        <v>echo {"issue":{"subject":"CCROC/crew/equipment mismatch","project_id":30,"tracker_id":4,"status_id":1,"priority_id":1,"assigned_to_id":10,"start_date":"2017-05-18","description":"","custom_fields":[{"id":30,"name":"Category","value":"Issue"},{"id":3,"name":"Functional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750</v>
      </c>
      <c r="B102" s="7">
        <v>4055</v>
      </c>
      <c r="C102" s="21" t="s">
        <v>206</v>
      </c>
      <c r="D102" s="21" t="s">
        <v>866</v>
      </c>
      <c r="E102" s="13">
        <v>42873.651180555556</v>
      </c>
      <c r="F102" s="13">
        <v>42873.654224537036</v>
      </c>
      <c r="G102" s="7">
        <v>1</v>
      </c>
      <c r="H102" s="21" t="s">
        <v>370</v>
      </c>
      <c r="I102" s="13">
        <v>42873.681620370371</v>
      </c>
      <c r="J102" s="7">
        <v>0</v>
      </c>
      <c r="K102" s="92" t="str">
        <f t="shared" si="26"/>
        <v>4055/4056</v>
      </c>
      <c r="L102" s="21" t="str">
        <f>VLOOKUP(A102,'Trips&amp;Operators'!$C$1:$G$99999,5,FALSE)</f>
        <v>BRANDNER MELINDA</v>
      </c>
      <c r="M102" s="6">
        <f t="shared" si="27"/>
        <v>2.7395833334594499E-2</v>
      </c>
      <c r="N102" s="7">
        <f t="shared" ref="N102:N133" si="44">24*60*SUM($M102:$M102)</f>
        <v>39.450000001816079</v>
      </c>
      <c r="O102" s="7"/>
      <c r="P102" s="7"/>
      <c r="Q102" s="22"/>
      <c r="R102" s="190"/>
      <c r="S102" s="196">
        <f t="shared" si="28"/>
        <v>1</v>
      </c>
      <c r="T102" s="190" t="str">
        <f t="shared" si="29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0"/>
        <v>https://d0f6bd738d7f1b3e5a7ca70fe4ff75f0.us-east-1.aws.found.io/app/kibana#/discover/Steve-Slow-Train-Analysis-(2080s-and-2083s)?_g=(refreshInterval:(display:Off,pause:!f,section:0,value:0),time:(from:'2017-05-18T14:37:42-0600',mode:absolute,to:'2017-05-18T17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2" s="192" t="str">
        <f t="shared" si="31"/>
        <v>N</v>
      </c>
      <c r="X102" s="192">
        <f t="shared" si="32"/>
        <v>1</v>
      </c>
      <c r="Y102" s="192">
        <f t="shared" si="33"/>
        <v>23.298300000000001</v>
      </c>
      <c r="Z102" s="192">
        <f t="shared" si="34"/>
        <v>1.47E-2</v>
      </c>
      <c r="AA102" s="192">
        <f t="shared" si="35"/>
        <v>23.2836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6"/>
        <v>0190-18</v>
      </c>
      <c r="AE102" s="80" t="str">
        <f t="shared" si="37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102" s="77" t="str">
        <f t="shared" si="38"/>
        <v>"C:\Program Files (x86)\AstroGrep\AstroGrep.exe" /e /r /s /spath="%USERPROFILE%\AppData\Local\Temp\OnboardLogs" /stypes="app*4055*20170518*" /stext=" 22:.+((SYSTEM_STATE.+slice.+state.+changed )|(ment ac)|(multiple cpu faults)|(system.+state.+changed )|(\[timeout)|(PRM\|1\|D)|(kpr)|(kdp)|(train st.+moving)|(\|lc)|(penalty))"</v>
      </c>
      <c r="AG102" s="1" t="str">
        <f t="shared" si="39"/>
        <v>EC</v>
      </c>
      <c r="AH102" s="81" t="str">
        <f t="shared" si="40"/>
        <v>"%USERPROFILE%\Documents\GitHub\eaglep3\Utilities\RefineRTDCRunTimes.py" --tripid 190-18 --locoid 4055 --swversion DE.1.0.9.0 --startMP 204:232983 --initTime 2017-05-18T15:37:42 --startdatetime 2017-05-18T15:42:05 --delay 1 --endMP 204:147 --enddatetime 2017-05-18T16:21:32 --enforcementcount 0 &gt;&gt;C:\Users\stu\Documents\GitHub\eaglep3-reporting\EC\2017-05-18-refined-times.txt</v>
      </c>
      <c r="AI102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{"issue":{"subject":"","project_id":79,"tracker_id":40,"status_id":1,"priority_id":2,"assigned_to_id":23,"start_date":"2017-05-18","description":"","custom_fields":[{"id":1,"name":"Subdivision","value":"EC"},{"id":4,"name":"Milepost","value":"0.0147"},{"id":17,"name":"Train ID","value":"190-18"},{"id":16,"name":"Locomotive ID","value":"4055"},{"id":130,"name":"Impact","value":""},{"id":150,"name":"Time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2"/>
        <v>start /low /b %USERPROFILE%\Documents\GitHub\eaglep3\Utilities\DownloadLogsFromS3.py --loco 4055 --day 2017-05-18</v>
      </c>
      <c r="AN102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742</v>
      </c>
      <c r="B103" s="7">
        <v>4014</v>
      </c>
      <c r="C103" s="21" t="s">
        <v>206</v>
      </c>
      <c r="D103" s="21" t="s">
        <v>545</v>
      </c>
      <c r="E103" s="13">
        <v>42873.61855324074</v>
      </c>
      <c r="F103" s="13">
        <v>42873.625347222223</v>
      </c>
      <c r="G103" s="7">
        <v>1</v>
      </c>
      <c r="H103" s="21" t="s">
        <v>495</v>
      </c>
      <c r="I103" s="13">
        <v>42873.65048611111</v>
      </c>
      <c r="J103" s="7">
        <v>0</v>
      </c>
      <c r="K103" s="92" t="str">
        <f t="shared" si="26"/>
        <v>4013/4014</v>
      </c>
      <c r="L103" s="21" t="str">
        <f>VLOOKUP(A103,'Trips&amp;Operators'!$C$1:$G$99999,5,FALSE)</f>
        <v>LOPES KIMBERLY</v>
      </c>
      <c r="M103" s="6">
        <f t="shared" si="27"/>
        <v>2.5138888886431232E-2</v>
      </c>
      <c r="N103" s="7">
        <f t="shared" si="44"/>
        <v>36.199999996460974</v>
      </c>
      <c r="O103" s="7"/>
      <c r="P103" s="7"/>
      <c r="Q103" s="22"/>
      <c r="R103" s="190"/>
      <c r="S103" s="196">
        <f t="shared" si="28"/>
        <v>1</v>
      </c>
      <c r="T103" s="190" t="str">
        <f t="shared" si="29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0"/>
        <v>https://d0f6bd738d7f1b3e5a7ca70fe4ff75f0.us-east-1.aws.found.io/app/kibana#/discover/Steve-Slow-Train-Analysis-(2080s-and-2083s)?_g=(refreshInterval:(display:Off,pause:!f,section:0,value:0),time:(from:'2017-05-18T13:50:43-0600',mode:absolute,to:'2017-05-18T16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3" s="192" t="str">
        <f t="shared" si="31"/>
        <v>N</v>
      </c>
      <c r="X103" s="192">
        <f t="shared" si="32"/>
        <v>1</v>
      </c>
      <c r="Y103" s="192">
        <f t="shared" si="33"/>
        <v>4.3099999999999999E-2</v>
      </c>
      <c r="Z103" s="192">
        <f t="shared" si="34"/>
        <v>23.331199999999999</v>
      </c>
      <c r="AA103" s="192">
        <f t="shared" si="35"/>
        <v>23.2881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6"/>
        <v>0191-18</v>
      </c>
      <c r="AE103" s="80" t="str">
        <f t="shared" si="37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103" s="77" t="str">
        <f t="shared" si="38"/>
        <v>"C:\Program Files (x86)\AstroGrep\AstroGrep.exe" /e /r /s /spath="%USERPROFILE%\AppData\Local\Temp\OnboardLogs" /stypes="app*4014*20170518*" /stext=" 21:.+((SYSTEM_STATE.+slice.+state.+changed )|(ment ac)|(multiple cpu faults)|(system.+state.+changed )|(\[timeout)|(PRM\|1\|D)|(kpr)|(kdp)|(train st.+moving)|(\|lc)|(penalty))"</v>
      </c>
      <c r="AG103" s="1" t="str">
        <f t="shared" si="39"/>
        <v>EC</v>
      </c>
      <c r="AH103" s="81" t="str">
        <f t="shared" si="40"/>
        <v>"%USERPROFILE%\Documents\GitHub\eaglep3\Utilities\RefineRTDCRunTimes.py" --tripid 191-18 --locoid 4014 --swversion DE.1.0.9.0 --startMP 204:431 --initTime 2017-05-18T14:50:43 --startdatetime 2017-05-18T15:00:30 --delay 1 --endMP 204:233312 --enddatetime 2017-05-18T15:36:42 --enforcementcount 0 &gt;&gt;C:\Users\stu\Documents\GitHub\eaglep3-reporting\EC\2017-05-18-refined-times.txt</v>
      </c>
      <c r="AI103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{"issue":{"subject":"","project_id":79,"tracker_id":40,"status_id":1,"priority_id":2,"assigned_to_id":23,"start_date":"2017-05-18","description":"","custom_fields":[{"id":1,"name":"Subdivision","value":"EC"},{"id":4,"name":"Milepost","value":"23.3312"},{"id":17,"name":"Train ID","value":"191-18"},{"id":16,"name":"Locomotive ID","value":"4014"},{"id":130,"name":"Impact","value":""},{"id":150,"name":"Time of Event (Mountain Time)","value":"15:36:42"},{"id":151,"name":"Denver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2"/>
        <v>start /low /b %USERPROFILE%\Documents\GitHub\eaglep3\Utilities\DownloadLogsFromS3.py --loco 4014 --day 2017-05-18</v>
      </c>
      <c r="AN103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753</v>
      </c>
      <c r="B104" s="7">
        <v>4013</v>
      </c>
      <c r="C104" s="21" t="s">
        <v>206</v>
      </c>
      <c r="D104" s="21" t="s">
        <v>900</v>
      </c>
      <c r="E104" s="13">
        <v>42873.657465277778</v>
      </c>
      <c r="F104" s="13">
        <v>42873.6640625</v>
      </c>
      <c r="G104" s="7">
        <v>1</v>
      </c>
      <c r="H104" s="21" t="s">
        <v>197</v>
      </c>
      <c r="I104" s="13">
        <v>42873.690474537034</v>
      </c>
      <c r="J104" s="7">
        <v>0</v>
      </c>
      <c r="K104" s="92" t="str">
        <f t="shared" si="26"/>
        <v>4013/4014</v>
      </c>
      <c r="L104" s="21" t="str">
        <f>VLOOKUP(A104,'Trips&amp;Operators'!$C$1:$G$99999,5,FALSE)</f>
        <v>LOPES KIMBERLY</v>
      </c>
      <c r="M104" s="6">
        <f t="shared" si="27"/>
        <v>2.6412037033878732E-2</v>
      </c>
      <c r="N104" s="7">
        <f t="shared" si="44"/>
        <v>38.033333328785375</v>
      </c>
      <c r="O104" s="7"/>
      <c r="P104" s="7"/>
      <c r="Q104" s="22"/>
      <c r="R104" s="190"/>
      <c r="S104" s="196">
        <f t="shared" si="28"/>
        <v>1</v>
      </c>
      <c r="T104" s="190" t="str">
        <f t="shared" si="29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0"/>
        <v>https://d0f6bd738d7f1b3e5a7ca70fe4ff75f0.us-east-1.aws.found.io/app/kibana#/discover/Steve-Slow-Train-Analysis-(2080s-and-2083s)?_g=(refreshInterval:(display:Off,pause:!f,section:0,value:0),time:(from:'2017-05-18T14:46:45-0600',mode:absolute,to:'2017-05-18T17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4" s="192" t="str">
        <f t="shared" si="31"/>
        <v>N</v>
      </c>
      <c r="X104" s="192">
        <f t="shared" si="32"/>
        <v>1</v>
      </c>
      <c r="Y104" s="192">
        <f t="shared" si="33"/>
        <v>23.299399999999999</v>
      </c>
      <c r="Z104" s="192">
        <f t="shared" si="34"/>
        <v>1.52E-2</v>
      </c>
      <c r="AA104" s="192">
        <f t="shared" si="35"/>
        <v>23.284199999999998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6"/>
        <v>0192-18</v>
      </c>
      <c r="AE104" s="80" t="str">
        <f t="shared" si="37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104" s="77" t="str">
        <f t="shared" si="38"/>
        <v>"C:\Program Files (x86)\AstroGrep\AstroGrep.exe" /e /r /s /spath="%USERPROFILE%\AppData\Local\Temp\OnboardLogs" /stypes="app*4013*20170518*" /stext=" 22:.+((SYSTEM_STATE.+slice.+state.+changed )|(ment ac)|(multiple cpu faults)|(system.+state.+changed )|(\[timeout)|(PRM\|1\|D)|(kpr)|(kdp)|(train st.+moving)|(\|lc)|(penalty))"</v>
      </c>
      <c r="AG104" s="1" t="str">
        <f t="shared" si="39"/>
        <v>EC</v>
      </c>
      <c r="AH104" s="81" t="str">
        <f t="shared" si="40"/>
        <v>"%USERPROFILE%\Documents\GitHub\eaglep3\Utilities\RefineRTDCRunTimes.py" --tripid 192-18 --locoid 4013 --swversion DE.1.0.9.0 --startMP 204:232994 --initTime 2017-05-18T15:46:45 --startdatetime 2017-05-18T15:56:15 --delay 1 --endMP 204:152 --enddatetime 2017-05-18T16:34:17 --enforcementcount 0 &gt;&gt;C:\Users\stu\Documents\GitHub\eaglep3-reporting\EC\2017-05-18-refined-times.txt</v>
      </c>
      <c r="AI104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ID","value":"192-18"},{"id":16,"name":"Locomotive ID","value":"4013"},{"id":130,"name":"Impact","value":""},{"id":150,"name":"Time of Event (Mountain Time)","value":"16:34:17"},{"id":151,"name":"Denver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2"/>
        <v>start /low /b %USERPROFILE%\Documents\GitHub\eaglep3\Utilities\DownloadLogsFromS3.py --loco 4013 --day 2017-05-18</v>
      </c>
      <c r="AN104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744</v>
      </c>
      <c r="B105" s="7">
        <v>4032</v>
      </c>
      <c r="C105" s="21" t="s">
        <v>206</v>
      </c>
      <c r="D105" s="21" t="s">
        <v>444</v>
      </c>
      <c r="E105" s="13">
        <v>42873.63076388889</v>
      </c>
      <c r="F105" s="13">
        <v>42873.63559027778</v>
      </c>
      <c r="G105" s="7">
        <v>1</v>
      </c>
      <c r="H105" s="21" t="s">
        <v>543</v>
      </c>
      <c r="I105" s="13">
        <v>42873.66101851852</v>
      </c>
      <c r="J105" s="7">
        <v>0</v>
      </c>
      <c r="K105" s="92" t="str">
        <f t="shared" si="26"/>
        <v>4031/4032</v>
      </c>
      <c r="L105" s="21" t="str">
        <f>VLOOKUP(A105,'Trips&amp;Operators'!$C$1:$G$99999,5,FALSE)</f>
        <v>SMITH MICHAEL</v>
      </c>
      <c r="M105" s="6">
        <f t="shared" si="27"/>
        <v>2.5428240740438923E-2</v>
      </c>
      <c r="N105" s="7">
        <f t="shared" si="44"/>
        <v>36.616666666232049</v>
      </c>
      <c r="O105" s="7"/>
      <c r="P105" s="7"/>
      <c r="Q105" s="22"/>
      <c r="R105" s="190"/>
      <c r="S105" s="196">
        <f t="shared" si="28"/>
        <v>1</v>
      </c>
      <c r="T105" s="190" t="str">
        <f t="shared" si="29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0"/>
        <v>https://d0f6bd738d7f1b3e5a7ca70fe4ff75f0.us-east-1.aws.found.io/app/kibana#/discover/Steve-Slow-Train-Analysis-(2080s-and-2083s)?_g=(refreshInterval:(display:Off,pause:!f,section:0,value:0),time:(from:'2017-05-18T14:08:18-0600',mode:absolute,to:'2017-05-18T16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192" t="str">
        <f t="shared" si="31"/>
        <v>N</v>
      </c>
      <c r="X105" s="192">
        <f t="shared" si="32"/>
        <v>1</v>
      </c>
      <c r="Y105" s="192">
        <f t="shared" si="33"/>
        <v>4.6899999999999997E-2</v>
      </c>
      <c r="Z105" s="192">
        <f t="shared" si="34"/>
        <v>23.3325</v>
      </c>
      <c r="AA105" s="192">
        <f t="shared" si="35"/>
        <v>23.285599999999999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6"/>
        <v>0193-18</v>
      </c>
      <c r="AE105" s="80" t="str">
        <f t="shared" si="37"/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105" s="77" t="str">
        <f t="shared" si="38"/>
        <v>"C:\Program Files (x86)\AstroGrep\AstroGrep.exe" /e /r /s /spath="%USERPROFILE%\AppData\Local\Temp\OnboardLogs" /stypes="app*4032*20170518*" /stext=" 21:.+((SYSTEM_STATE.+slice.+state.+changed )|(ment ac)|(multiple cpu faults)|(system.+state.+changed )|(\[timeout)|(PRM\|1\|D)|(kpr)|(kdp)|(train st.+moving)|(\|lc)|(penalty))"</v>
      </c>
      <c r="AG105" s="1" t="str">
        <f t="shared" si="39"/>
        <v>EC</v>
      </c>
      <c r="AH105" s="81" t="str">
        <f t="shared" si="40"/>
        <v>"%USERPROFILE%\Documents\GitHub\eaglep3\Utilities\RefineRTDCRunTimes.py" --tripid 193-18 --locoid 4032 --swversion DE.1.0.9.0 --startMP 204:469 --initTime 2017-05-18T15:08:18 --startdatetime 2017-05-18T15:15:15 --delay 1 --endMP 204:233325 --enddatetime 2017-05-18T15:51:52 --enforcementcount 0 &gt;&gt;C:\Users\stu\Documents\GitHub\eaglep3-reporting\EC\2017-05-18-refined-times.txt</v>
      </c>
      <c r="AI105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{"issue":{"subject":"","project_id":79,"tracker_id":40,"status_id":1,"priority_id":2,"assigned_to_id":23,"start_date":"2017-05-18","description":"","custom_fields":[{"id":1,"name":"Subdivision","value":"EC"},{"id":4,"name":"Milepost","value":"23.3325"},{"id":17,"name":"Train ID","value":"193-18"},{"id":16,"name":"Locomotive ID","value":"4032"},{"id":130,"name":"Impact","value":""},{"id":150,"name":"Time of Event (Mountain Time)","value":"15:51:52"},{"id":151,"name":"Denver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2"/>
        <v>start /low /b %USERPROFILE%\Documents\GitHub\eaglep3\Utilities\DownloadLogsFromS3.py --loco 4032 --day 2017-05-18</v>
      </c>
      <c r="AN105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754</v>
      </c>
      <c r="B106" s="7">
        <v>4031</v>
      </c>
      <c r="C106" s="21" t="s">
        <v>206</v>
      </c>
      <c r="D106" s="21" t="s">
        <v>430</v>
      </c>
      <c r="E106" s="13">
        <v>42873.663078703707</v>
      </c>
      <c r="F106" s="13">
        <v>42873.674479166664</v>
      </c>
      <c r="G106" s="7">
        <v>1</v>
      </c>
      <c r="H106" s="21" t="s">
        <v>369</v>
      </c>
      <c r="I106" s="13">
        <v>42873.701666666668</v>
      </c>
      <c r="J106" s="7">
        <v>0</v>
      </c>
      <c r="K106" s="92" t="str">
        <f t="shared" si="26"/>
        <v>4031/4032</v>
      </c>
      <c r="L106" s="21" t="str">
        <f>VLOOKUP(A106,'Trips&amp;Operators'!$C$1:$G$99999,5,FALSE)</f>
        <v>ZEWDU DEREJE</v>
      </c>
      <c r="M106" s="6">
        <f t="shared" si="27"/>
        <v>2.718750000349246E-2</v>
      </c>
      <c r="N106" s="7">
        <f t="shared" si="44"/>
        <v>39.150000005029142</v>
      </c>
      <c r="O106" s="7"/>
      <c r="P106" s="7"/>
      <c r="Q106" s="22"/>
      <c r="R106" s="190"/>
      <c r="S106" s="196">
        <f t="shared" si="28"/>
        <v>1</v>
      </c>
      <c r="T106" s="190" t="str">
        <f t="shared" si="29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0"/>
        <v>https://d0f6bd738d7f1b3e5a7ca70fe4ff75f0.us-east-1.aws.found.io/app/kibana#/discover/Steve-Slow-Train-Analysis-(2080s-and-2083s)?_g=(refreshInterval:(display:Off,pause:!f,section:0,value:0),time:(from:'2017-05-18T14:54:50-0600',mode:absolute,to:'2017-05-18T17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92" t="str">
        <f t="shared" si="31"/>
        <v>N</v>
      </c>
      <c r="X106" s="192">
        <f t="shared" si="32"/>
        <v>1</v>
      </c>
      <c r="Y106" s="192">
        <f t="shared" si="33"/>
        <v>23.301100000000002</v>
      </c>
      <c r="Z106" s="192">
        <f t="shared" si="34"/>
        <v>1.41E-2</v>
      </c>
      <c r="AA106" s="192">
        <f t="shared" si="35"/>
        <v>23.287000000000003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6"/>
        <v>0194-18</v>
      </c>
      <c r="AE106" s="80" t="str">
        <f t="shared" si="37"/>
        <v>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 &amp; 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</v>
      </c>
      <c r="AF106" s="77" t="str">
        <f t="shared" si="38"/>
        <v>"C:\Program Files (x86)\AstroGrep\AstroGrep.exe" /e /r /s /spath="%USERPROFILE%\AppData\Local\Temp\OnboardLogs" /stypes="app*4031*20170518*" /stext=" 22:.+((SYSTEM_STATE.+slice.+state.+changed )|(ment ac)|(multiple cpu faults)|(system.+state.+changed )|(\[timeout)|(PRM\|1\|D)|(kpr)|(kdp)|(train st.+moving)|(\|lc)|(penalty))"</v>
      </c>
      <c r="AG106" s="1" t="str">
        <f t="shared" si="39"/>
        <v>EC</v>
      </c>
      <c r="AH106" s="81" t="str">
        <f t="shared" si="40"/>
        <v>"%USERPROFILE%\Documents\GitHub\eaglep3\Utilities\RefineRTDCRunTimes.py" --tripid 194-18 --locoid 4031 --swversion DE.1.0.9.0 --startMP 204:233011 --initTime 2017-05-18T15:54:50 --startdatetime 2017-05-18T16:11:15 --delay 1 --endMP 204:141 --enddatetime 2017-05-18T16:50:24 --enforcementcount 0 &gt;&gt;C:\Users\stu\Documents\GitHub\eaglep3-reporting\EC\2017-05-18-refined-times.txt</v>
      </c>
      <c r="AI106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{"issue":{"subject":"","project_id":79,"tracker_id":40,"status_id":1,"priority_id":2,"assigned_to_id":23,"start_date":"2017-05-18","description":"","custom_fields":[{"id":1,"name":"Subdivision","value":"EC"},{"id":4,"name":"Milepost","value":"0.0141"},{"id":17,"name":"Train ID","value":"194-18"},{"id":16,"name":"Locomotive ID","value":"4031"},{"id":130,"name":"Impact","value":""},{"id":150,"name":"Time of Event (Mountain Time)","value":"16:50:24"},{"id":151,"name":"Denver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2"/>
        <v>start /low /b %USERPROFILE%\Documents\GitHub\eaglep3\Utilities\DownloadLogsFromS3.py --loco 4031 --day 2017-05-18</v>
      </c>
      <c r="AN106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749</v>
      </c>
      <c r="B107" s="7">
        <v>4008</v>
      </c>
      <c r="C107" s="21" t="s">
        <v>206</v>
      </c>
      <c r="D107" s="21" t="s">
        <v>362</v>
      </c>
      <c r="E107" s="13">
        <v>42873.64329861111</v>
      </c>
      <c r="F107" s="13">
        <v>42873.646122685182</v>
      </c>
      <c r="G107" s="7">
        <v>1</v>
      </c>
      <c r="H107" s="21" t="s">
        <v>564</v>
      </c>
      <c r="I107" s="13">
        <v>42873.67082175926</v>
      </c>
      <c r="J107" s="7">
        <v>0</v>
      </c>
      <c r="K107" s="92" t="str">
        <f t="shared" si="26"/>
        <v>4007/4008</v>
      </c>
      <c r="L107" s="21" t="str">
        <f>VLOOKUP(A107,'Trips&amp;Operators'!$C$1:$G$99999,5,FALSE)</f>
        <v>LALONDE GREGORY</v>
      </c>
      <c r="M107" s="6">
        <f t="shared" si="27"/>
        <v>2.4699074077943806E-2</v>
      </c>
      <c r="N107" s="7">
        <f t="shared" si="44"/>
        <v>35.56666667223908</v>
      </c>
      <c r="O107" s="7"/>
      <c r="P107" s="7"/>
      <c r="Q107" s="22"/>
      <c r="R107" s="190"/>
      <c r="S107" s="196">
        <f t="shared" si="28"/>
        <v>1</v>
      </c>
      <c r="T107" s="190" t="str">
        <f t="shared" si="29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0"/>
        <v>https://d0f6bd738d7f1b3e5a7ca70fe4ff75f0.us-east-1.aws.found.io/app/kibana#/discover/Steve-Slow-Train-Analysis-(2080s-and-2083s)?_g=(refreshInterval:(display:Off,pause:!f,section:0,value:0),time:(from:'2017-05-18T14:26:21-0600',mode:absolute,to:'2017-05-18T17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192" t="str">
        <f t="shared" si="31"/>
        <v>N</v>
      </c>
      <c r="X107" s="192">
        <f t="shared" si="32"/>
        <v>1</v>
      </c>
      <c r="Y107" s="192">
        <f t="shared" si="33"/>
        <v>4.6399999999999997E-2</v>
      </c>
      <c r="Z107" s="192">
        <f t="shared" si="34"/>
        <v>23.332599999999999</v>
      </c>
      <c r="AA107" s="192">
        <f t="shared" si="35"/>
        <v>23.286200000000001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6"/>
        <v>0195-18</v>
      </c>
      <c r="AE107" s="80" t="str">
        <f t="shared" si="37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107" s="77" t="str">
        <f t="shared" si="38"/>
        <v>"C:\Program Files (x86)\AstroGrep\AstroGrep.exe" /e /r /s /spath="%USERPROFILE%\AppData\Local\Temp\OnboardLogs" /stypes="app*4008*20170518*" /stext=" 22:.+((SYSTEM_STATE.+slice.+state.+changed )|(ment ac)|(multiple cpu faults)|(system.+state.+changed )|(\[timeout)|(PRM\|1\|D)|(kpr)|(kdp)|(train st.+moving)|(\|lc)|(penalty))"</v>
      </c>
      <c r="AG107" s="1" t="str">
        <f t="shared" si="39"/>
        <v>EC</v>
      </c>
      <c r="AH107" s="81" t="str">
        <f t="shared" si="40"/>
        <v>"%USERPROFILE%\Documents\GitHub\eaglep3\Utilities\RefineRTDCRunTimes.py" --tripid 195-18 --locoid 4008 --swversion DE.1.0.9.0 --startMP 204:464 --initTime 2017-05-18T15:26:21 --startdatetime 2017-05-18T15:30:25 --delay 1 --endMP 204:233326 --enddatetime 2017-05-18T16:05:59 --enforcementcount 0 &gt;&gt;C:\Users\stu\Documents\GitHub\eaglep3-reporting\EC\2017-05-18-refined-times.txt</v>
      </c>
      <c r="AI107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{"issue":{"subject":"","project_id":79,"tracker_id":40,"status_id":1,"priority_id":2,"assigned_to_id":23,"start_date":"2017-05-18","description":"","custom_fields":[{"id":1,"name":"Subdivision","value":"EC"},{"id":4,"name":"Milepost","value":"23.3326"},{"id":17,"name":"Train ID","value":"195-18"},{"id":16,"name":"Locomotive ID","value":"4008"},{"id":130,"name":"Impact","value":""},{"id":150,"name":"Time of Event (Mountain Time)","value":"16:05:59"},{"id":151,"name":"Denver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2"/>
        <v>start /low /b %USERPROFILE%\Documents\GitHub\eaglep3\Utilities\DownloadLogsFromS3.py --loco 4008 --day 2017-05-18</v>
      </c>
      <c r="AN107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757</v>
      </c>
      <c r="B108" s="7">
        <v>4007</v>
      </c>
      <c r="C108" s="21" t="s">
        <v>206</v>
      </c>
      <c r="D108" s="21" t="s">
        <v>502</v>
      </c>
      <c r="E108" s="13">
        <v>42873.672222222223</v>
      </c>
      <c r="F108" s="13">
        <v>42873.684907407405</v>
      </c>
      <c r="G108" s="7">
        <v>1</v>
      </c>
      <c r="H108" s="21" t="s">
        <v>357</v>
      </c>
      <c r="I108" s="13">
        <v>42873.710636574076</v>
      </c>
      <c r="J108" s="7">
        <v>0</v>
      </c>
      <c r="K108" s="92" t="str">
        <f t="shared" si="26"/>
        <v>4007/4008</v>
      </c>
      <c r="L108" s="21" t="str">
        <f>VLOOKUP(A108,'Trips&amp;Operators'!$C$1:$G$99999,5,FALSE)</f>
        <v>LALONDE GREGORY</v>
      </c>
      <c r="M108" s="6">
        <f t="shared" si="27"/>
        <v>2.5729166671226267E-2</v>
      </c>
      <c r="N108" s="7">
        <f t="shared" si="44"/>
        <v>37.050000006565824</v>
      </c>
      <c r="O108" s="7"/>
      <c r="P108" s="7"/>
      <c r="Q108" s="22"/>
      <c r="R108" s="190"/>
      <c r="S108" s="196">
        <f t="shared" si="28"/>
        <v>1</v>
      </c>
      <c r="T108" s="190" t="str">
        <f t="shared" si="29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0"/>
        <v>https://d0f6bd738d7f1b3e5a7ca70fe4ff75f0.us-east-1.aws.found.io/app/kibana#/discover/Steve-Slow-Train-Analysis-(2080s-and-2083s)?_g=(refreshInterval:(display:Off,pause:!f,section:0,value:0),time:(from:'2017-05-18T15:08:00-0600',mode:absolute,to:'2017-05-18T18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192" t="str">
        <f t="shared" si="31"/>
        <v>N</v>
      </c>
      <c r="X108" s="192">
        <f t="shared" si="32"/>
        <v>1</v>
      </c>
      <c r="Y108" s="192">
        <f t="shared" si="33"/>
        <v>23.300699999999999</v>
      </c>
      <c r="Z108" s="192">
        <f t="shared" si="34"/>
        <v>1.49E-2</v>
      </c>
      <c r="AA108" s="192">
        <f t="shared" si="35"/>
        <v>23.285799999999998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6"/>
        <v>0196-18</v>
      </c>
      <c r="AE108" s="80" t="str">
        <f t="shared" si="37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108" s="77" t="str">
        <f t="shared" si="38"/>
        <v>"C:\Program Files (x86)\AstroGrep\AstroGrep.exe" /e /r /s /spath="%USERPROFILE%\AppData\Local\Temp\OnboardLogs" /stypes="app*4007*20170518*" /stext=" 23:.+((SYSTEM_STATE.+slice.+state.+changed )|(ment ac)|(multiple cpu faults)|(system.+state.+changed )|(\[timeout)|(PRM\|1\|D)|(kpr)|(kdp)|(train st.+moving)|(\|lc)|(penalty))"</v>
      </c>
      <c r="AG108" s="1" t="str">
        <f t="shared" si="39"/>
        <v>EC</v>
      </c>
      <c r="AH108" s="81" t="str">
        <f t="shared" si="40"/>
        <v>"%USERPROFILE%\Documents\GitHub\eaglep3\Utilities\RefineRTDCRunTimes.py" --tripid 196-18 --locoid 4007 --swversion DE.1.0.9.0 --startMP 204:233007 --initTime 2017-05-18T16:08:00 --startdatetime 2017-05-18T16:26:16 --delay 1 --endMP 204:149 --enddatetime 2017-05-18T17:03:19 --enforcementcount 0 &gt;&gt;C:\Users\stu\Documents\GitHub\eaglep3-reporting\EC\2017-05-18-refined-times.txt</v>
      </c>
      <c r="AI108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{"issue":{"subject":"","project_id":79,"tracker_id":40,"status_id":1,"priority_id":2,"assigned_to_id":23,"start_date":"2017-05-18","description":"","custom_fields":[{"id":1,"name":"Subdivision","value":"EC"},{"id":4,"name":"Milepost","value":"0.0149"},{"id":17,"name":"Train ID","value":"196-18"},{"id":16,"name":"Locomotive ID","value":"4007"},{"id":130,"name":"Impact","value":""},{"id":150,"name":"Time of Event (Mountain Time)","value":"17:03:19"},{"id":151,"name":"Denver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2"/>
        <v>start /low /b %USERPROFILE%\Documents\GitHub\eaglep3\Utilities\DownloadLogsFromS3.py --loco 4007 --day 2017-05-18</v>
      </c>
      <c r="AN108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751</v>
      </c>
      <c r="B109" s="7">
        <v>4030</v>
      </c>
      <c r="C109" s="21" t="s">
        <v>206</v>
      </c>
      <c r="D109" s="21" t="s">
        <v>878</v>
      </c>
      <c r="E109" s="13">
        <v>42873.655219907407</v>
      </c>
      <c r="F109" s="13">
        <v>42873.656736111108</v>
      </c>
      <c r="G109" s="7">
        <v>1</v>
      </c>
      <c r="H109" s="21" t="s">
        <v>549</v>
      </c>
      <c r="I109" s="13">
        <v>42873.681122685186</v>
      </c>
      <c r="J109" s="7">
        <v>0</v>
      </c>
      <c r="K109" s="92" t="str">
        <f t="shared" si="26"/>
        <v>4029/4030</v>
      </c>
      <c r="L109" s="21" t="str">
        <f>VLOOKUP(A109,'Trips&amp;Operators'!$C$1:$G$99999,5,FALSE)</f>
        <v>HELVIE ADAM</v>
      </c>
      <c r="M109" s="6">
        <f t="shared" si="27"/>
        <v>2.4386574077652767E-2</v>
      </c>
      <c r="N109" s="7">
        <f t="shared" si="44"/>
        <v>35.116666671819985</v>
      </c>
      <c r="O109" s="7"/>
      <c r="P109" s="7"/>
      <c r="Q109" s="22"/>
      <c r="R109" s="190"/>
      <c r="S109" s="196">
        <f t="shared" si="28"/>
        <v>1</v>
      </c>
      <c r="T109" s="190" t="str">
        <f t="shared" si="29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0"/>
        <v>https://d0f6bd738d7f1b3e5a7ca70fe4ff75f0.us-east-1.aws.found.io/app/kibana#/discover/Steve-Slow-Train-Analysis-(2080s-and-2083s)?_g=(refreshInterval:(display:Off,pause:!f,section:0,value:0),time:(from:'2017-05-18T14:43:31-0600',mode:absolute,to:'2017-05-18T17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192" t="str">
        <f t="shared" si="31"/>
        <v>N</v>
      </c>
      <c r="X109" s="192">
        <f t="shared" ref="X109:X144" si="45">VALUE(LEFT(AD109,4))-VALUE(LEFT(AD108,4))</f>
        <v>1</v>
      </c>
      <c r="Y109" s="192">
        <f t="shared" si="33"/>
        <v>4.3999999999999997E-2</v>
      </c>
      <c r="Z109" s="192">
        <f t="shared" si="34"/>
        <v>23.3353</v>
      </c>
      <c r="AA109" s="192">
        <f t="shared" si="35"/>
        <v>23.2913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6"/>
        <v>0197-18</v>
      </c>
      <c r="AE109" s="80" t="str">
        <f t="shared" si="37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109" s="77" t="str">
        <f t="shared" si="38"/>
        <v>"C:\Program Files (x86)\AstroGrep\AstroGrep.exe" /e /r /s /spath="%USERPROFILE%\AppData\Local\Temp\OnboardLogs" /stypes="app*4030*20170518*" /stext=" 22:.+((SYSTEM_STATE.+slice.+state.+changed )|(ment ac)|(multiple cpu faults)|(system.+state.+changed )|(\[timeout)|(PRM\|1\|D)|(kpr)|(kdp)|(train st.+moving)|(\|lc)|(penalty))"</v>
      </c>
      <c r="AG109" s="1" t="str">
        <f t="shared" si="39"/>
        <v>EC</v>
      </c>
      <c r="AH109" s="81" t="str">
        <f t="shared" si="40"/>
        <v>"%USERPROFILE%\Documents\GitHub\eaglep3\Utilities\RefineRTDCRunTimes.py" --tripid 197-18 --locoid 4030 --swversion DE.1.0.9.0 --startMP 204:440 --initTime 2017-05-18T15:43:31 --startdatetime 2017-05-18T15:45:42 --delay 1 --endMP 204:233353 --enddatetime 2017-05-18T16:20:49 --enforcementcount 0 &gt;&gt;C:\Users\stu\Documents\GitHub\eaglep3-reporting\EC\2017-05-18-refined-times.txt</v>
      </c>
      <c r="AI109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{"issue":{"subject":"","project_id":79,"tracker_id":40,"status_id":1,"priority_id":2,"assigned_to_id":23,"start_date":"2017-05-18","description":"","custom_fields":[{"id":1,"name":"Subdivision","value":"EC"},{"id":4,"name":"Milepost","value":"23.3353"},{"id":17,"name":"Train ID","value":"197-18"},{"id":16,"name":"Locomotive ID","value":"4030"},{"id":130,"name":"Impact","value":""},{"id":150,"name":"Time of Event (Mountain Time)","value":"16:20:49"},{"id":151,"name":"Denver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2"/>
        <v>start /low /b %USERPROFILE%\Documents\GitHub\eaglep3\Utilities\DownloadLogsFromS3.py --loco 4030 --day 2017-05-18</v>
      </c>
      <c r="AN109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762</v>
      </c>
      <c r="B110" s="7">
        <v>4029</v>
      </c>
      <c r="C110" s="21" t="s">
        <v>206</v>
      </c>
      <c r="D110" s="21" t="s">
        <v>901</v>
      </c>
      <c r="E110" s="13">
        <v>42873.693182870367</v>
      </c>
      <c r="F110" s="13">
        <v>42873.695474537039</v>
      </c>
      <c r="G110" s="7">
        <v>1</v>
      </c>
      <c r="H110" s="21" t="s">
        <v>370</v>
      </c>
      <c r="I110" s="13">
        <v>42873.723182870373</v>
      </c>
      <c r="J110" s="7">
        <v>0</v>
      </c>
      <c r="K110" s="92" t="str">
        <f t="shared" si="26"/>
        <v>4029/4030</v>
      </c>
      <c r="L110" s="21" t="str">
        <f>VLOOKUP(A110,'Trips&amp;Operators'!$C$1:$G$99999,5,FALSE)</f>
        <v>HELVIE ADAM</v>
      </c>
      <c r="M110" s="6">
        <f t="shared" si="27"/>
        <v>2.7708333334885538E-2</v>
      </c>
      <c r="N110" s="7">
        <f t="shared" si="44"/>
        <v>39.900000002235174</v>
      </c>
      <c r="O110" s="7"/>
      <c r="P110" s="7"/>
      <c r="Q110" s="22"/>
      <c r="R110" s="190"/>
      <c r="S110" s="196">
        <f t="shared" si="28"/>
        <v>1</v>
      </c>
      <c r="T110" s="190" t="str">
        <f t="shared" si="29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0"/>
        <v>https://d0f6bd738d7f1b3e5a7ca70fe4ff75f0.us-east-1.aws.found.io/app/kibana#/discover/Steve-Slow-Train-Analysis-(2080s-and-2083s)?_g=(refreshInterval:(display:Off,pause:!f,section:0,value:0),time:(from:'2017-05-18T15:38:11-0600',mode:absolute,to:'2017-05-18T18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92" t="str">
        <f t="shared" si="31"/>
        <v>N</v>
      </c>
      <c r="X110" s="192">
        <f t="shared" si="45"/>
        <v>1</v>
      </c>
      <c r="Y110" s="192">
        <f t="shared" si="33"/>
        <v>23.301500000000001</v>
      </c>
      <c r="Z110" s="192">
        <f t="shared" si="34"/>
        <v>1.47E-2</v>
      </c>
      <c r="AA110" s="192">
        <f t="shared" si="35"/>
        <v>23.286799999999999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6"/>
        <v>0198-18</v>
      </c>
      <c r="AE110" s="80" t="str">
        <f t="shared" si="37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110" s="77" t="str">
        <f t="shared" si="38"/>
        <v>"C:\Program Files (x86)\AstroGrep\AstroGrep.exe" /e /r /s /spath="%USERPROFILE%\AppData\Local\Temp\OnboardLogs" /stypes="app*4029*20170518*" /stext=" 23:.+((SYSTEM_STATE.+slice.+state.+changed )|(ment ac)|(multiple cpu faults)|(system.+state.+changed )|(\[timeout)|(PRM\|1\|D)|(kpr)|(kdp)|(train st.+moving)|(\|lc)|(penalty))"</v>
      </c>
      <c r="AG110" s="1" t="str">
        <f t="shared" si="39"/>
        <v>EC</v>
      </c>
      <c r="AH110" s="81" t="str">
        <f t="shared" si="40"/>
        <v>"%USERPROFILE%\Documents\GitHub\eaglep3\Utilities\RefineRTDCRunTimes.py" --tripid 198-18 --locoid 4029 --swversion DE.1.0.9.0 --startMP 204:233015 --initTime 2017-05-18T16:38:11 --startdatetime 2017-05-18T16:41:29 --delay 1 --endMP 204:147 --enddatetime 2017-05-18T17:21:23 --enforcementcount 0 &gt;&gt;C:\Users\stu\Documents\GitHub\eaglep3-reporting\EC\2017-05-18-refined-times.txt</v>
      </c>
      <c r="AI110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{"issue":{"subject":"","project_id":79,"tracker_id":40,"status_id":1,"priority_id":2,"assigned_to_id":23,"start_date":"2017-05-18","description":"","custom_fields":[{"id":1,"name":"Subdivision","value":"EC"},{"id":4,"name":"Milepost","value":"0.0147"},{"id":17,"name":"Train ID","value":"198-18"},{"id":16,"name":"Locomotive ID","value":"4029"},{"id":130,"name":"Impact","value":""},{"id":150,"name":"Time of Event (Mountain Time)","value":"17:21:23"},{"id":151,"name":"Denver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2"/>
        <v>start /low /b %USERPROFILE%\Documents\GitHub\eaglep3\Utilities\DownloadLogsFromS3.py --loco 4029 --day 2017-05-18</v>
      </c>
      <c r="AN110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755</v>
      </c>
      <c r="B111" s="7">
        <v>4010</v>
      </c>
      <c r="C111" s="21" t="s">
        <v>206</v>
      </c>
      <c r="D111" s="21" t="s">
        <v>359</v>
      </c>
      <c r="E111" s="13">
        <v>42873.665671296294</v>
      </c>
      <c r="F111" s="13">
        <v>42873.667083333334</v>
      </c>
      <c r="G111" s="7">
        <v>1</v>
      </c>
      <c r="H111" s="21" t="s">
        <v>853</v>
      </c>
      <c r="I111" s="13">
        <v>42873.692187499997</v>
      </c>
      <c r="J111" s="7">
        <v>0</v>
      </c>
      <c r="K111" s="92" t="str">
        <f t="shared" si="26"/>
        <v>4009/4010</v>
      </c>
      <c r="L111" s="21" t="str">
        <f>VLOOKUP(A111,'Trips&amp;Operators'!$C$1:$G$99999,5,FALSE)</f>
        <v>MOSES BRADLEY</v>
      </c>
      <c r="M111" s="6">
        <f t="shared" si="27"/>
        <v>2.5104166663368233E-2</v>
      </c>
      <c r="N111" s="7">
        <f t="shared" si="44"/>
        <v>36.149999995250255</v>
      </c>
      <c r="O111" s="7"/>
      <c r="P111" s="7"/>
      <c r="Q111" s="22"/>
      <c r="R111" s="190"/>
      <c r="S111" s="196">
        <f t="shared" si="28"/>
        <v>1</v>
      </c>
      <c r="T111" s="190" t="str">
        <f t="shared" si="29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0"/>
        <v>https://d0f6bd738d7f1b3e5a7ca70fe4ff75f0.us-east-1.aws.found.io/app/kibana#/discover/Steve-Slow-Train-Analysis-(2080s-and-2083s)?_g=(refreshInterval:(display:Off,pause:!f,section:0,value:0),time:(from:'2017-05-18T14:58:34-0600',mode:absolute,to:'2017-05-18T17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192" t="str">
        <f t="shared" si="31"/>
        <v>N</v>
      </c>
      <c r="X111" s="192">
        <f t="shared" si="45"/>
        <v>1</v>
      </c>
      <c r="Y111" s="192">
        <f t="shared" si="33"/>
        <v>4.6600000000000003E-2</v>
      </c>
      <c r="Z111" s="192">
        <f t="shared" si="34"/>
        <v>23.333400000000001</v>
      </c>
      <c r="AA111" s="192">
        <f t="shared" si="35"/>
        <v>23.286799999999999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6"/>
        <v>0199-18</v>
      </c>
      <c r="AE111" s="80" t="str">
        <f t="shared" si="37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111" s="77" t="str">
        <f t="shared" si="38"/>
        <v>"C:\Program Files (x86)\AstroGrep\AstroGrep.exe" /e /r /s /spath="%USERPROFILE%\AppData\Local\Temp\OnboardLogs" /stypes="app*4010*20170518*" /stext=" 22:.+((SYSTEM_STATE.+slice.+state.+changed )|(ment ac)|(multiple cpu faults)|(system.+state.+changed )|(\[timeout)|(PRM\|1\|D)|(kpr)|(kdp)|(train st.+moving)|(\|lc)|(penalty))"</v>
      </c>
      <c r="AG111" s="1" t="str">
        <f t="shared" si="39"/>
        <v>EC</v>
      </c>
      <c r="AH111" s="81" t="str">
        <f t="shared" si="40"/>
        <v>"%USERPROFILE%\Documents\GitHub\eaglep3\Utilities\RefineRTDCRunTimes.py" --tripid 199-18 --locoid 4010 --swversion DE.1.0.9.0 --startMP 204:466 --initTime 2017-05-18T15:58:34 --startdatetime 2017-05-18T16:00:36 --delay 1 --endMP 204:233334 --enddatetime 2017-05-18T16:36:45 --enforcementcount 0 &gt;&gt;C:\Users\stu\Documents\GitHub\eaglep3-reporting\EC\2017-05-18-refined-times.txt</v>
      </c>
      <c r="AI111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{"issue":{"subject":"","project_id":79,"tracker_id":40,"status_id":1,"priority_id":2,"assigned_to_id":23,"start_date":"2017-05-18","description":"","custom_fields":[{"id":1,"name":"Subdivision","value":"EC"},{"id":4,"name":"Milepost","value":"23.3334"},{"id":17,"name":"Train ID","value":"199-18"},{"id":16,"name":"Locomotive ID","value":"4010"},{"id":130,"name":"Impact","value":""},{"id":150,"name":"Time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2"/>
        <v>start /low /b %USERPROFILE%\Documents\GitHub\eaglep3\Utilities\DownloadLogsFromS3.py --loco 4010 --day 2017-05-18</v>
      </c>
      <c r="AN111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607</v>
      </c>
      <c r="B112" s="7">
        <v>4009</v>
      </c>
      <c r="C112" s="21" t="s">
        <v>206</v>
      </c>
      <c r="D112" s="21" t="s">
        <v>502</v>
      </c>
      <c r="E112" s="13">
        <v>42873.701307870368</v>
      </c>
      <c r="F112" s="13">
        <v>42873.705729166664</v>
      </c>
      <c r="G112" s="7">
        <v>1</v>
      </c>
      <c r="H112" s="21" t="s">
        <v>902</v>
      </c>
      <c r="I112" s="13">
        <v>42873.732523148145</v>
      </c>
      <c r="J112" s="7">
        <v>0</v>
      </c>
      <c r="K112" s="92" t="str">
        <f t="shared" si="26"/>
        <v>4009/4010</v>
      </c>
      <c r="L112" s="21" t="str">
        <f>VLOOKUP(A112,'Trips&amp;Operators'!$C$1:$G$99999,5,FALSE)</f>
        <v>MOSES BRADLEY</v>
      </c>
      <c r="M112" s="6">
        <f t="shared" si="27"/>
        <v>2.679398148029577E-2</v>
      </c>
      <c r="N112" s="7">
        <f t="shared" si="44"/>
        <v>38.583333331625909</v>
      </c>
      <c r="O112" s="7"/>
      <c r="P112" s="7"/>
      <c r="Q112" s="22"/>
      <c r="R112" s="190"/>
      <c r="S112" s="196">
        <f t="shared" si="28"/>
        <v>1</v>
      </c>
      <c r="T112" s="190" t="str">
        <f t="shared" si="29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0"/>
        <v>https://d0f6bd738d7f1b3e5a7ca70fe4ff75f0.us-east-1.aws.found.io/app/kibana#/discover/Steve-Slow-Train-Analysis-(2080s-and-2083s)?_g=(refreshInterval:(display:Off,pause:!f,section:0,value:0),time:(from:'2017-05-18T15:49:53-0600',mode:absolute,to:'2017-05-18T18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2" t="str">
        <f t="shared" si="31"/>
        <v>N</v>
      </c>
      <c r="X112" s="192">
        <f t="shared" si="45"/>
        <v>1</v>
      </c>
      <c r="Y112" s="192">
        <f t="shared" si="33"/>
        <v>23.300699999999999</v>
      </c>
      <c r="Z112" s="192">
        <f t="shared" si="34"/>
        <v>8.9899999999999994E-2</v>
      </c>
      <c r="AA112" s="192">
        <f t="shared" si="35"/>
        <v>23.210799999999999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6"/>
        <v>0200-18</v>
      </c>
      <c r="AE112" s="80" t="str">
        <f t="shared" si="37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112" s="77" t="str">
        <f t="shared" si="38"/>
        <v>"C:\Program Files (x86)\AstroGrep\AstroGrep.exe" /e /r /s /spath="%USERPROFILE%\AppData\Local\Temp\OnboardLogs" /stypes="app*4009*20170518*" /stext=" 23:.+((SYSTEM_STATE.+slice.+state.+changed )|(ment ac)|(multiple cpu faults)|(system.+state.+changed )|(\[timeout)|(PRM\|1\|D)|(kpr)|(kdp)|(train st.+moving)|(\|lc)|(penalty))"</v>
      </c>
      <c r="AG112" s="1" t="str">
        <f t="shared" si="39"/>
        <v>EC</v>
      </c>
      <c r="AH112" s="81" t="str">
        <f t="shared" si="40"/>
        <v>"%USERPROFILE%\Documents\GitHub\eaglep3\Utilities\RefineRTDCRunTimes.py" --tripid 200-18 --locoid 4009 --swversion DE.1.0.9.0 --startMP 204:233007 --initTime 2017-05-18T16:49:53 --startdatetime 2017-05-18T16:56:15 --delay 1 --endMP 204:899 --enddatetime 2017-05-18T17:34:50 --enforcementcount 0 &gt;&gt;C:\Users\stu\Documents\GitHub\eaglep3-reporting\EC\2017-05-18-refined-times.txt</v>
      </c>
      <c r="AI112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{"issue":{"subject":"","project_id":79,"tracker_id":40,"status_id":1,"priority_id":2,"assigned_to_id":23,"start_date":"2017-05-18","description":"","custom_fields":[{"id":1,"name":"Subdivision","value":"EC"},{"id":4,"name":"Milepost","value":"0.0899"},{"id":17,"name":"Train ID","value":"200-18"},{"id":16,"name":"Locomotive ID","value":"4009"},{"id":130,"name":"Impact","value":""},{"id":150,"name":"Time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2"/>
        <v>start /low /b %USERPROFILE%\Documents\GitHub\eaglep3\Utilities\DownloadLogsFromS3.py --loco 4009 --day 2017-05-18</v>
      </c>
      <c r="AN112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758</v>
      </c>
      <c r="B113" s="7">
        <v>4002</v>
      </c>
      <c r="C113" s="21" t="s">
        <v>206</v>
      </c>
      <c r="D113" s="21" t="s">
        <v>408</v>
      </c>
      <c r="E113" s="13">
        <v>42873.674166666664</v>
      </c>
      <c r="F113" s="13">
        <v>42873.677245370367</v>
      </c>
      <c r="G113" s="7">
        <v>1</v>
      </c>
      <c r="H113" s="21" t="s">
        <v>541</v>
      </c>
      <c r="I113" s="13">
        <v>42873.70480324074</v>
      </c>
      <c r="J113" s="7">
        <v>0</v>
      </c>
      <c r="K113" s="92" t="str">
        <f t="shared" si="26"/>
        <v>4001/4002</v>
      </c>
      <c r="L113" s="21" t="str">
        <f>VLOOKUP(A113,'Trips&amp;Operators'!$C$1:$G$99999,5,FALSE)</f>
        <v>CLARK KATHLEEN</v>
      </c>
      <c r="M113" s="6">
        <f t="shared" si="27"/>
        <v>2.7557870373129845E-2</v>
      </c>
      <c r="N113" s="7">
        <f t="shared" si="44"/>
        <v>39.683333337306976</v>
      </c>
      <c r="O113" s="7"/>
      <c r="P113" s="7"/>
      <c r="Q113" s="22"/>
      <c r="R113" s="190"/>
      <c r="S113" s="196">
        <f t="shared" si="28"/>
        <v>1</v>
      </c>
      <c r="T113" s="190" t="str">
        <f t="shared" si="29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0"/>
        <v>https://d0f6bd738d7f1b3e5a7ca70fe4ff75f0.us-east-1.aws.found.io/app/kibana#/discover/Steve-Slow-Train-Analysis-(2080s-and-2083s)?_g=(refreshInterval:(display:Off,pause:!f,section:0,value:0),time:(from:'2017-05-18T15:10:48-0600',mode:absolute,to:'2017-05-18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92" t="str">
        <f t="shared" si="31"/>
        <v>N</v>
      </c>
      <c r="X113" s="192">
        <f t="shared" si="45"/>
        <v>1</v>
      </c>
      <c r="Y113" s="192">
        <f t="shared" si="33"/>
        <v>4.7699999999999999E-2</v>
      </c>
      <c r="Z113" s="192">
        <f t="shared" si="34"/>
        <v>23.328299999999999</v>
      </c>
      <c r="AA113" s="192">
        <f t="shared" si="35"/>
        <v>23.2806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6"/>
        <v>0201-18</v>
      </c>
      <c r="AE113" s="80" t="str">
        <f t="shared" si="37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113" s="77" t="str">
        <f t="shared" si="38"/>
        <v>"C:\Program Files (x86)\AstroGrep\AstroGrep.exe" /e /r /s /spath="%USERPROFILE%\AppData\Local\Temp\OnboardLogs" /stypes="app*4002*20170518*" /stext=" 22:.+((SYSTEM_STATE.+slice.+state.+changed )|(ment ac)|(multiple cpu faults)|(system.+state.+changed )|(\[timeout)|(PRM\|1\|D)|(kpr)|(kdp)|(train st.+moving)|(\|lc)|(penalty))"</v>
      </c>
      <c r="AG113" s="1" t="str">
        <f t="shared" si="39"/>
        <v>EC</v>
      </c>
      <c r="AH113" s="81" t="str">
        <f t="shared" si="40"/>
        <v>"%USERPROFILE%\Documents\GitHub\eaglep3\Utilities\RefineRTDCRunTimes.py" --tripid 201-18 --locoid 4002 --swversion DE.1.0.9.0 --startMP 204:477 --initTime 2017-05-18T16:10:48 --startdatetime 2017-05-18T16:15:14 --delay 1 --endMP 204:233283 --enddatetime 2017-05-18T16:54:55 --enforcementcount 0 &gt;&gt;C:\Users\stu\Documents\GitHub\eaglep3-reporting\EC\2017-05-18-refined-times.txt</v>
      </c>
      <c r="AI113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{"issue":{"subject":"","project_id":79,"tracker_id":40,"status_id":1,"priority_id":2,"assigned_to_id":23,"start_date":"2017-05-18","description":"","custom_fields":[{"id":1,"name":"Subdivision","value":"EC"},{"id":4,"name":"Milepost","value":"23.3283"},{"id":17,"name":"Train ID","value":"201-18"},{"id":16,"name":"Locomotive ID","value":"4002"},{"id":130,"name":"Impact","value":""},{"id":150,"name":"Time of Event (Mountain Time)","value":"16:54:55"},{"id":151,"name":"Denver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2"/>
        <v>start /low /b %USERPROFILE%\Documents\GitHub\eaglep3\Utilities\DownloadLogsFromS3.py --loco 4002 --day 2017-05-18</v>
      </c>
      <c r="AN113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765</v>
      </c>
      <c r="B114" s="7">
        <v>4001</v>
      </c>
      <c r="C114" s="21" t="s">
        <v>206</v>
      </c>
      <c r="D114" s="21" t="s">
        <v>903</v>
      </c>
      <c r="E114" s="13">
        <v>42873.712800925925</v>
      </c>
      <c r="F114" s="13">
        <v>42873.716145833336</v>
      </c>
      <c r="G114" s="7">
        <v>1</v>
      </c>
      <c r="H114" s="21" t="s">
        <v>904</v>
      </c>
      <c r="I114" s="13">
        <v>42873.744085648148</v>
      </c>
      <c r="J114" s="7">
        <v>0</v>
      </c>
      <c r="K114" s="92" t="str">
        <f t="shared" si="26"/>
        <v>4001/4002</v>
      </c>
      <c r="L114" s="21" t="str">
        <f>VLOOKUP(A114,'Trips&amp;Operators'!$C$1:$G$99999,5,FALSE)</f>
        <v>CLARK KATHLEEN</v>
      </c>
      <c r="M114" s="6">
        <f t="shared" si="27"/>
        <v>2.7939814812270924E-2</v>
      </c>
      <c r="N114" s="7">
        <f t="shared" si="44"/>
        <v>40.233333329670131</v>
      </c>
      <c r="O114" s="7"/>
      <c r="P114" s="7"/>
      <c r="Q114" s="22"/>
      <c r="R114" s="190"/>
      <c r="S114" s="196">
        <f t="shared" si="28"/>
        <v>1</v>
      </c>
      <c r="T114" s="190" t="str">
        <f t="shared" si="29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0"/>
        <v>https://d0f6bd738d7f1b3e5a7ca70fe4ff75f0.us-east-1.aws.found.io/app/kibana#/discover/Steve-Slow-Train-Analysis-(2080s-and-2083s)?_g=(refreshInterval:(display:Off,pause:!f,section:0,value:0),time:(from:'2017-05-18T16:06:26-0600',mode:absolute,to:'2017-05-18T18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92" t="str">
        <f t="shared" si="31"/>
        <v>N</v>
      </c>
      <c r="X114" s="192">
        <f t="shared" si="45"/>
        <v>1</v>
      </c>
      <c r="Y114" s="192">
        <f t="shared" si="33"/>
        <v>23.297000000000001</v>
      </c>
      <c r="Z114" s="192">
        <f t="shared" si="34"/>
        <v>1.7399999999999999E-2</v>
      </c>
      <c r="AA114" s="192">
        <f t="shared" si="35"/>
        <v>23.279600000000002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6"/>
        <v>0202-18</v>
      </c>
      <c r="AE114" s="80" t="str">
        <f t="shared" si="37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114" s="77" t="str">
        <f t="shared" si="38"/>
        <v>"C:\Program Files (x86)\AstroGrep\AstroGrep.exe" /e /r /s /spath="%USERPROFILE%\AppData\Local\Temp\OnboardLogs" /stypes="app*4001*20170518*" /stext=" 23:.+((SYSTEM_STATE.+slice.+state.+changed )|(ment ac)|(multiple cpu faults)|(system.+state.+changed )|(\[timeout)|(PRM\|1\|D)|(kpr)|(kdp)|(train st.+moving)|(\|lc)|(penalty))"</v>
      </c>
      <c r="AG114" s="1" t="str">
        <f t="shared" si="39"/>
        <v>EC</v>
      </c>
      <c r="AH114" s="81" t="str">
        <f t="shared" si="40"/>
        <v>"%USERPROFILE%\Documents\GitHub\eaglep3\Utilities\RefineRTDCRunTimes.py" --tripid 202-18 --locoid 4001 --swversion DE.1.0.9.0 --startMP 204:232970 --initTime 2017-05-18T17:06:26 --startdatetime 2017-05-18T17:11:15 --delay 1 --endMP 204:174 --enddatetime 2017-05-18T17:51:29 --enforcementcount 0 &gt;&gt;C:\Users\stu\Documents\GitHub\eaglep3-reporting\EC\2017-05-18-refined-times.txt</v>
      </c>
      <c r="AI114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{"issue":{"subject":"","project_id":79,"tracker_id":40,"status_id":1,"priority_id":2,"assigned_to_id":23,"start_date":"2017-05-18","description":"","custom_fields":[{"id":1,"name":"Subdivision","value":"EC"},{"id":4,"name":"Milepost","value":"0.0174"},{"id":17,"name":"Train ID","value":"202-18"},{"id":16,"name":"Locomotive ID","value":"4001"},{"id":130,"name":"Impact","value":""},{"id":150,"name":"Time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2"/>
        <v>start /low /b %USERPROFILE%\Documents\GitHub\eaglep3\Utilities\DownloadLogsFromS3.py --loco 4001 --day 2017-05-18</v>
      </c>
      <c r="AN114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606</v>
      </c>
      <c r="B115" s="7">
        <v>4056</v>
      </c>
      <c r="C115" s="21" t="s">
        <v>206</v>
      </c>
      <c r="D115" s="21" t="s">
        <v>202</v>
      </c>
      <c r="E115" s="13">
        <v>42873.685219907406</v>
      </c>
      <c r="F115" s="13">
        <v>42873.687696759262</v>
      </c>
      <c r="G115" s="7">
        <v>1</v>
      </c>
      <c r="H115" s="21" t="s">
        <v>905</v>
      </c>
      <c r="I115" s="13">
        <v>42873.713090277779</v>
      </c>
      <c r="J115" s="7">
        <v>0</v>
      </c>
      <c r="K115" s="92" t="str">
        <f t="shared" si="26"/>
        <v>4055/4056</v>
      </c>
      <c r="L115" s="21" t="str">
        <f>VLOOKUP(A115,'Trips&amp;Operators'!$C$1:$G$99999,5,FALSE)</f>
        <v>DELGADO DIANAH</v>
      </c>
      <c r="M115" s="6">
        <f t="shared" si="27"/>
        <v>2.5393518517375924E-2</v>
      </c>
      <c r="N115" s="7">
        <f t="shared" si="44"/>
        <v>36.56666666502133</v>
      </c>
      <c r="O115" s="7"/>
      <c r="P115" s="7"/>
      <c r="Q115" s="22"/>
      <c r="R115" s="190" t="s">
        <v>1044</v>
      </c>
      <c r="S115" s="196">
        <f t="shared" si="28"/>
        <v>1</v>
      </c>
      <c r="T115" s="190" t="str">
        <f t="shared" si="29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0"/>
        <v>https://d0f6bd738d7f1b3e5a7ca70fe4ff75f0.us-east-1.aws.found.io/app/kibana#/discover/Steve-Slow-Train-Analysis-(2080s-and-2083s)?_g=(refreshInterval:(display:Off,pause:!f,section:0,value:0),time:(from:'2017-05-18T15:26:43-0600',mode:absolute,to:'2017-05-18T18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5" s="192" t="str">
        <f t="shared" si="31"/>
        <v>Y</v>
      </c>
      <c r="X115" s="192">
        <f t="shared" si="45"/>
        <v>1</v>
      </c>
      <c r="Y115" s="192">
        <f t="shared" si="33"/>
        <v>4.5699999999999998E-2</v>
      </c>
      <c r="Z115" s="192">
        <f t="shared" si="34"/>
        <v>22.814299999999999</v>
      </c>
      <c r="AA115" s="192">
        <f t="shared" si="35"/>
        <v>22.768599999999999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6"/>
        <v>0203-18</v>
      </c>
      <c r="AE115" s="80" t="str">
        <f t="shared" si="37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115" s="77" t="str">
        <f t="shared" si="38"/>
        <v>"C:\Program Files (x86)\AstroGrep\AstroGrep.exe" /e /r /s /spath="%USERPROFILE%\AppData\Local\Temp\OnboardLogs" /stypes="app*4056*20170518*" /stext=" 23:.+((SYSTEM_STATE.+slice.+state.+changed )|(ment ac)|(multiple cpu faults)|(system.+state.+changed )|(\[timeout)|(PRM\|1\|D)|(kpr)|(kdp)|(train st.+moving)|(\|lc)|(penalty))"</v>
      </c>
      <c r="AG115" s="1" t="str">
        <f t="shared" si="39"/>
        <v>EC</v>
      </c>
      <c r="AH115" s="81" t="str">
        <f t="shared" si="40"/>
        <v>"%USERPROFILE%\Documents\GitHub\eaglep3\Utilities\RefineRTDCRunTimes.py" --tripid 203-18 --locoid 4056 --swversion DE.1.0.9.0 --startMP 204:457 --initTime 2017-05-18T16:26:43 --startdatetime 2017-05-18T16:30:17 --delay 1 --endMP 204:228143 --enddatetime 2017-05-18T17:06:51 --enforcementcount 0 &gt;&gt;C:\Users\stu\Documents\GitHub\eaglep3-reporting\EC\2017-05-18-refined-times.txt</v>
      </c>
      <c r="AI115" s="99" t="str">
        <f t="shared" si="41"/>
        <v>echo {"issue":{"subject":"DTO barricade test","project_id":79,"tracker_id":40,"status_id":1,"priority_id":2,"assigned_to_id":23,"start_date":"2017-05-18","description":"","custom_fields":[{"id":1,"name":"Subdivision","value":"EC"},{"id":4,"name":"Milepost","value":"22.8143"},{"id":17,"name":"Train ID","value":"203-18"},{"id":16,"name":"Locomotive ID","value":"4056"},{"id":130,"name":"Impact","value":""},{"id":150,"name":"Time of Event (Mountain Time)","value":"17:06:51"},{"id":151,"name":"Denver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2"/>
        <v>start /low /b %USERPROFILE%\Documents\GitHub\eaglep3\Utilities\DownloadLogsFromS3.py --loco 4056 --day 2017-05-18</v>
      </c>
      <c r="AN115" s="154" t="str">
        <f t="shared" si="43"/>
        <v>echo {"issue":{"subject":"DTO barricade test","project_id":30,"tracker_id":4,"status_id":1,"priority_id":1,"assigned_to_id":10,"start_date":"2017-05-18","description":"","custom_fields":[{"id":30,"name":"Category","value":"Issue"},{"id":3,"name":"Functional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770</v>
      </c>
      <c r="B116" s="7">
        <v>4055</v>
      </c>
      <c r="C116" s="21" t="s">
        <v>206</v>
      </c>
      <c r="D116" s="21" t="s">
        <v>906</v>
      </c>
      <c r="E116" s="13">
        <v>42873.722696759258</v>
      </c>
      <c r="F116" s="13">
        <v>42873.726539351854</v>
      </c>
      <c r="G116" s="7">
        <v>1</v>
      </c>
      <c r="H116" s="21" t="s">
        <v>369</v>
      </c>
      <c r="I116" s="13">
        <v>42873.75236111111</v>
      </c>
      <c r="J116" s="7">
        <v>0</v>
      </c>
      <c r="K116" s="92" t="str">
        <f t="shared" si="26"/>
        <v>4055/4056</v>
      </c>
      <c r="L116" s="21" t="str">
        <f>VLOOKUP(A116,'Trips&amp;Operators'!$C$1:$G$99999,5,FALSE)</f>
        <v>DELGADO DIANAH</v>
      </c>
      <c r="M116" s="6">
        <f t="shared" si="27"/>
        <v>2.5821759256359655E-2</v>
      </c>
      <c r="N116" s="7">
        <f t="shared" si="44"/>
        <v>37.183333329157904</v>
      </c>
      <c r="O116" s="7"/>
      <c r="P116" s="7"/>
      <c r="Q116" s="22"/>
      <c r="R116" s="190"/>
      <c r="S116" s="196">
        <f t="shared" si="28"/>
        <v>1</v>
      </c>
      <c r="T116" s="190" t="str">
        <f t="shared" si="29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0"/>
        <v>https://d0f6bd738d7f1b3e5a7ca70fe4ff75f0.us-east-1.aws.found.io/app/kibana#/discover/Steve-Slow-Train-Analysis-(2080s-and-2083s)?_g=(refreshInterval:(display:Off,pause:!f,section:0,value:0),time:(from:'2017-05-18T16:20:41-0600',mode:absolute,to:'2017-05-18T19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6" s="192" t="str">
        <f t="shared" si="31"/>
        <v>N</v>
      </c>
      <c r="X116" s="192">
        <f t="shared" si="45"/>
        <v>1</v>
      </c>
      <c r="Y116" s="192">
        <f t="shared" si="33"/>
        <v>23.314399999999999</v>
      </c>
      <c r="Z116" s="192">
        <f t="shared" si="34"/>
        <v>1.41E-2</v>
      </c>
      <c r="AA116" s="192">
        <f t="shared" si="35"/>
        <v>23.3003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6"/>
        <v>0204-18</v>
      </c>
      <c r="AE116" s="80" t="str">
        <f t="shared" si="37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116" s="77" t="str">
        <f t="shared" si="38"/>
        <v>"C:\Program Files (x86)\AstroGrep\AstroGrep.exe" /e /r /s /spath="%USERPROFILE%\AppData\Local\Temp\OnboardLogs" /stypes="app*4055*20170519*" /stext=" 00:.+((SYSTEM_STATE.+slice.+state.+changed )|(ment ac)|(multiple cpu faults)|(system.+state.+changed )|(\[timeout)|(PRM\|1\|D)|(kpr)|(kdp)|(train st.+moving)|(\|lc)|(penalty))"</v>
      </c>
      <c r="AG116" s="1" t="str">
        <f t="shared" si="39"/>
        <v>EC</v>
      </c>
      <c r="AH116" s="81" t="str">
        <f t="shared" si="40"/>
        <v>"%USERPROFILE%\Documents\GitHub\eaglep3\Utilities\RefineRTDCRunTimes.py" --tripid 204-18 --locoid 4055 --swversion DE.1.0.9.0 --startMP 204:233144 --initTime 2017-05-18T17:20:41 --startdatetime 2017-05-18T17:26:13 --delay 1 --endMP 204:141 --enddatetime 2017-05-18T18:03:24 --enforcementcount 0 &gt;&gt;C:\Users\stu\Documents\GitHub\eaglep3-reporting\EC\2017-05-18-refined-times.txt</v>
      </c>
      <c r="AI116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{"issue":{"subject":"","project_id":79,"tracker_id":40,"status_id":1,"priority_id":2,"assigned_to_id":23,"start_date":"2017-05-18","description":"","custom_fields":[{"id":1,"name":"Subdivision","value":"EC"},{"id":4,"name":"Milepost","value":"0.0141"},{"id":17,"name":"Train ID","value":"204-18"},{"id":16,"name":"Locomotive ID","value":"4055"},{"id":130,"name":"Impact","value":""},{"id":150,"name":"Time of Event (Mountain Time)","value":"18:03:24"},{"id":151,"name":"Denver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2"/>
        <v>start /low /b %USERPROFILE%\Documents\GitHub\eaglep3\Utilities\DownloadLogsFromS3.py --loco 4055 --day 2017-05-18</v>
      </c>
      <c r="AN116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761</v>
      </c>
      <c r="B117" s="7">
        <v>4014</v>
      </c>
      <c r="C117" s="21" t="s">
        <v>206</v>
      </c>
      <c r="D117" s="21" t="s">
        <v>203</v>
      </c>
      <c r="E117" s="13">
        <v>42873.691874999997</v>
      </c>
      <c r="F117" s="13">
        <v>42873.698078703703</v>
      </c>
      <c r="G117" s="7">
        <v>1</v>
      </c>
      <c r="H117" s="21" t="s">
        <v>859</v>
      </c>
      <c r="I117" s="13">
        <v>42873.723090277781</v>
      </c>
      <c r="J117" s="7">
        <v>0</v>
      </c>
      <c r="K117" s="92" t="str">
        <f t="shared" si="26"/>
        <v>4013/4014</v>
      </c>
      <c r="L117" s="21" t="str">
        <f>VLOOKUP(A117,'Trips&amp;Operators'!$C$1:$G$99999,5,FALSE)</f>
        <v>LOPES KIMBERLY</v>
      </c>
      <c r="M117" s="6">
        <f t="shared" si="27"/>
        <v>2.5011574078234844E-2</v>
      </c>
      <c r="N117" s="7">
        <f t="shared" si="44"/>
        <v>36.016666672658175</v>
      </c>
      <c r="O117" s="7"/>
      <c r="P117" s="7"/>
      <c r="Q117" s="22"/>
      <c r="R117" s="190"/>
      <c r="S117" s="196">
        <f t="shared" si="28"/>
        <v>1</v>
      </c>
      <c r="T117" s="190" t="str">
        <f t="shared" si="29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0"/>
        <v>https://d0f6bd738d7f1b3e5a7ca70fe4ff75f0.us-east-1.aws.found.io/app/kibana#/discover/Steve-Slow-Train-Analysis-(2080s-and-2083s)?_g=(refreshInterval:(display:Off,pause:!f,section:0,value:0),time:(from:'2017-05-18T15:36:18-0600',mode:absolute,to:'2017-05-18T18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7" s="192" t="str">
        <f t="shared" si="31"/>
        <v>N</v>
      </c>
      <c r="X117" s="192">
        <f t="shared" si="45"/>
        <v>1</v>
      </c>
      <c r="Y117" s="192">
        <f t="shared" si="33"/>
        <v>4.5999999999999999E-2</v>
      </c>
      <c r="Z117" s="192">
        <f t="shared" si="34"/>
        <v>23.330200000000001</v>
      </c>
      <c r="AA117" s="192">
        <f t="shared" si="35"/>
        <v>23.284200000000002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6"/>
        <v>0205-18</v>
      </c>
      <c r="AE117" s="80" t="str">
        <f t="shared" si="37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117" s="77" t="str">
        <f t="shared" si="38"/>
        <v>"C:\Program Files (x86)\AstroGrep\AstroGrep.exe" /e /r /s /spath="%USERPROFILE%\AppData\Local\Temp\OnboardLogs" /stypes="app*4014*20170518*" /stext=" 23:.+((SYSTEM_STATE.+slice.+state.+changed )|(ment ac)|(multiple cpu faults)|(system.+state.+changed )|(\[timeout)|(PRM\|1\|D)|(kpr)|(kdp)|(train st.+moving)|(\|lc)|(penalty))"</v>
      </c>
      <c r="AG117" s="1" t="str">
        <f t="shared" si="39"/>
        <v>EC</v>
      </c>
      <c r="AH117" s="81" t="str">
        <f t="shared" si="40"/>
        <v>"%USERPROFILE%\Documents\GitHub\eaglep3\Utilities\RefineRTDCRunTimes.py" --tripid 205-18 --locoid 4014 --swversion DE.1.0.9.0 --startMP 204:460 --initTime 2017-05-18T16:36:18 --startdatetime 2017-05-18T16:45:14 --delay 1 --endMP 204:233302 --enddatetime 2017-05-18T17:21:15 --enforcementcount 0 &gt;&gt;C:\Users\stu\Documents\GitHub\eaglep3-reporting\EC\2017-05-18-refined-times.txt</v>
      </c>
      <c r="AI117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{"issue":{"subject":"","project_id":79,"tracker_id":40,"status_id":1,"priority_id":2,"assigned_to_id":23,"start_date":"2017-05-18","description":"","custom_fields":[{"id":1,"name":"Subdivision","value":"EC"},{"id":4,"name":"Milepost","value":"23.3302"},{"id":17,"name":"Train ID","value":"205-18"},{"id":16,"name":"Locomotive ID","value":"4014"},{"id":130,"name":"Impact","value":""},{"id":150,"name":"Time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2"/>
        <v>start /low /b %USERPROFILE%\Documents\GitHub\eaglep3\Utilities\DownloadLogsFromS3.py --loco 4014 --day 2017-05-18</v>
      </c>
      <c r="AN117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772</v>
      </c>
      <c r="B118" s="7">
        <v>4013</v>
      </c>
      <c r="C118" s="21" t="s">
        <v>206</v>
      </c>
      <c r="D118" s="21" t="s">
        <v>446</v>
      </c>
      <c r="E118" s="13">
        <v>42873.729409722226</v>
      </c>
      <c r="F118" s="13">
        <v>42873.73715277778</v>
      </c>
      <c r="G118" s="7">
        <v>1</v>
      </c>
      <c r="H118" s="21" t="s">
        <v>363</v>
      </c>
      <c r="I118" s="13">
        <v>42873.763194444444</v>
      </c>
      <c r="J118" s="7">
        <v>0</v>
      </c>
      <c r="K118" s="92" t="str">
        <f t="shared" si="26"/>
        <v>4013/4014</v>
      </c>
      <c r="L118" s="21" t="str">
        <f>VLOOKUP(A118,'Trips&amp;Operators'!$C$1:$G$99999,5,FALSE)</f>
        <v>LOPES KIMBERLY</v>
      </c>
      <c r="M118" s="6">
        <f t="shared" si="27"/>
        <v>2.6041666664241347E-2</v>
      </c>
      <c r="N118" s="7">
        <f t="shared" si="44"/>
        <v>37.49999999650754</v>
      </c>
      <c r="O118" s="7"/>
      <c r="P118" s="7"/>
      <c r="Q118" s="22"/>
      <c r="R118" s="190"/>
      <c r="S118" s="196">
        <f t="shared" si="28"/>
        <v>1</v>
      </c>
      <c r="T118" s="190" t="str">
        <f t="shared" si="29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0"/>
        <v>https://d0f6bd738d7f1b3e5a7ca70fe4ff75f0.us-east-1.aws.found.io/app/kibana#/discover/Steve-Slow-Train-Analysis-(2080s-and-2083s)?_g=(refreshInterval:(display:Off,pause:!f,section:0,value:0),time:(from:'2017-05-18T16:30:21-0600',mode:absolute,to:'2017-05-18T19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8" s="192" t="str">
        <f t="shared" si="31"/>
        <v>N</v>
      </c>
      <c r="X118" s="192">
        <f t="shared" si="45"/>
        <v>1</v>
      </c>
      <c r="Y118" s="192">
        <f t="shared" si="33"/>
        <v>23.299299999999999</v>
      </c>
      <c r="Z118" s="192">
        <f t="shared" si="34"/>
        <v>1.5599999999999999E-2</v>
      </c>
      <c r="AA118" s="192">
        <f t="shared" si="35"/>
        <v>23.2837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6"/>
        <v>0206-18</v>
      </c>
      <c r="AE118" s="80" t="str">
        <f t="shared" si="37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118" s="77" t="str">
        <f t="shared" si="38"/>
        <v>"C:\Program Files (x86)\AstroGrep\AstroGrep.exe" /e /r /s /spath="%USERPROFILE%\AppData\Local\Temp\OnboardLogs" /stypes="app*4013*20170519*" /stext=" 00:.+((SYSTEM_STATE.+slice.+state.+changed )|(ment ac)|(multiple cpu faults)|(system.+state.+changed )|(\[timeout)|(PRM\|1\|D)|(kpr)|(kdp)|(train st.+moving)|(\|lc)|(penalty))"</v>
      </c>
      <c r="AG118" s="1" t="str">
        <f t="shared" si="39"/>
        <v>EC</v>
      </c>
      <c r="AH118" s="81" t="str">
        <f t="shared" si="40"/>
        <v>"%USERPROFILE%\Documents\GitHub\eaglep3\Utilities\RefineRTDCRunTimes.py" --tripid 206-18 --locoid 4013 --swversion DE.1.0.9.0 --startMP 204:232993 --initTime 2017-05-18T17:30:21 --startdatetime 2017-05-18T17:41:30 --delay 1 --endMP 204:156 --enddatetime 2017-05-18T18:19:00 --enforcementcount 0 &gt;&gt;C:\Users\stu\Documents\GitHub\eaglep3-reporting\EC\2017-05-18-refined-times.txt</v>
      </c>
      <c r="AI118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{"issue":{"subject":"","project_id":79,"tracker_id":40,"status_id":1,"priority_id":2,"assigned_to_id":23,"start_date":"2017-05-18","description":"","custom_fields":[{"id":1,"name":"Subdivision","value":"EC"},{"id":4,"name":"Milepost","value":"0.0156"},{"id":17,"name":"Train ID","value":"206-18"},{"id":16,"name":"Locomotive ID","value":"4013"},{"id":130,"name":"Impact","value":""},{"id":150,"name":"Time of Event (Mountain Time)","value":"18:19:00"},{"id":151,"name":"Denver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2"/>
        <v>start /low /b %USERPROFILE%\Documents\GitHub\eaglep3\Utilities\DownloadLogsFromS3.py --loco 4013 --day 2017-05-18</v>
      </c>
      <c r="AN118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764</v>
      </c>
      <c r="B119" s="7">
        <v>4032</v>
      </c>
      <c r="C119" s="21" t="s">
        <v>206</v>
      </c>
      <c r="D119" s="21" t="s">
        <v>497</v>
      </c>
      <c r="E119" s="13">
        <v>42873.703333333331</v>
      </c>
      <c r="F119" s="13">
        <v>42873.70853009259</v>
      </c>
      <c r="G119" s="7">
        <v>1</v>
      </c>
      <c r="H119" s="21" t="s">
        <v>495</v>
      </c>
      <c r="I119" s="13">
        <v>42873.7341087963</v>
      </c>
      <c r="J119" s="7">
        <v>0</v>
      </c>
      <c r="K119" s="92" t="str">
        <f t="shared" si="26"/>
        <v>4031/4032</v>
      </c>
      <c r="L119" s="21" t="str">
        <f>VLOOKUP(A119,'Trips&amp;Operators'!$C$1:$G$99999,5,FALSE)</f>
        <v>SMITH MICHAEL</v>
      </c>
      <c r="M119" s="6">
        <f t="shared" si="27"/>
        <v>2.5578703709470574E-2</v>
      </c>
      <c r="N119" s="7">
        <f t="shared" si="44"/>
        <v>36.833333341637626</v>
      </c>
      <c r="O119" s="7"/>
      <c r="P119" s="7"/>
      <c r="Q119" s="22"/>
      <c r="R119" s="190"/>
      <c r="S119" s="196">
        <f t="shared" si="28"/>
        <v>1</v>
      </c>
      <c r="T119" s="190" t="str">
        <f t="shared" si="29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0"/>
        <v>https://d0f6bd738d7f1b3e5a7ca70fe4ff75f0.us-east-1.aws.found.io/app/kibana#/discover/Steve-Slow-Train-Analysis-(2080s-and-2083s)?_g=(refreshInterval:(display:Off,pause:!f,section:0,value:0),time:(from:'2017-05-18T15:52:48-0600',mode:absolute,to:'2017-05-18T18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192" t="str">
        <f t="shared" si="31"/>
        <v>N</v>
      </c>
      <c r="X119" s="192">
        <f t="shared" si="45"/>
        <v>1</v>
      </c>
      <c r="Y119" s="192">
        <f t="shared" si="33"/>
        <v>4.4200000000000003E-2</v>
      </c>
      <c r="Z119" s="192">
        <f t="shared" si="34"/>
        <v>23.331199999999999</v>
      </c>
      <c r="AA119" s="192">
        <f t="shared" si="35"/>
        <v>23.286999999999999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6"/>
        <v>0207-18</v>
      </c>
      <c r="AE119" s="80" t="str">
        <f t="shared" si="37"/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119" s="77" t="str">
        <f t="shared" si="38"/>
        <v>"C:\Program Files (x86)\AstroGrep\AstroGrep.exe" /e /r /s /spath="%USERPROFILE%\AppData\Local\Temp\OnboardLogs" /stypes="app*4032*20170518*" /stext=" 23:.+((SYSTEM_STATE.+slice.+state.+changed )|(ment ac)|(multiple cpu faults)|(system.+state.+changed )|(\[timeout)|(PRM\|1\|D)|(kpr)|(kdp)|(train st.+moving)|(\|lc)|(penalty))"</v>
      </c>
      <c r="AG119" s="1" t="str">
        <f t="shared" si="39"/>
        <v>EC</v>
      </c>
      <c r="AH119" s="81" t="str">
        <f t="shared" si="40"/>
        <v>"%USERPROFILE%\Documents\GitHub\eaglep3\Utilities\RefineRTDCRunTimes.py" --tripid 207-18 --locoid 4032 --swversion DE.1.0.9.0 --startMP 204:442 --initTime 2017-05-18T16:52:48 --startdatetime 2017-05-18T17:00:17 --delay 1 --endMP 204:233312 --enddatetime 2017-05-18T17:37:07 --enforcementcount 0 &gt;&gt;C:\Users\stu\Documents\GitHub\eaglep3-reporting\EC\2017-05-18-refined-times.txt</v>
      </c>
      <c r="AI119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{"issue":{"subject":"","project_id":79,"tracker_id":40,"status_id":1,"priority_id":2,"assigned_to_id":23,"start_date":"2017-05-18","description":"","custom_fields":[{"id":1,"name":"Subdivision","value":"EC"},{"id":4,"name":"Milepost","value":"23.3312"},{"id":17,"name":"Train ID","value":"207-18"},{"id":16,"name":"Locomotive ID","value":"4032"},{"id":130,"name":"Impact","value":""},{"id":150,"name":"Time of Event (Mountain Time)","value":"17:37:07"},{"id":151,"name":"Denver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2"/>
        <v>start /low /b %USERPROFILE%\Documents\GitHub\eaglep3\Utilities\DownloadLogsFromS3.py --loco 4032 --day 2017-05-18</v>
      </c>
      <c r="AN119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778</v>
      </c>
      <c r="B120" s="7">
        <v>4031</v>
      </c>
      <c r="C120" s="21" t="s">
        <v>206</v>
      </c>
      <c r="D120" s="21" t="s">
        <v>494</v>
      </c>
      <c r="E120" s="13">
        <v>42873.735335648147</v>
      </c>
      <c r="F120" s="13">
        <v>42873.747407407405</v>
      </c>
      <c r="G120" s="7">
        <v>1</v>
      </c>
      <c r="H120" s="21" t="s">
        <v>422</v>
      </c>
      <c r="I120" s="13">
        <v>42873.774409722224</v>
      </c>
      <c r="J120" s="7">
        <v>0</v>
      </c>
      <c r="K120" s="92" t="str">
        <f t="shared" si="26"/>
        <v>4031/4032</v>
      </c>
      <c r="L120" s="21" t="str">
        <f>VLOOKUP(A120,'Trips&amp;Operators'!$C$1:$G$99999,5,FALSE)</f>
        <v>ZEWDU DEREJE</v>
      </c>
      <c r="M120" s="6">
        <f t="shared" si="27"/>
        <v>2.7002314818673767E-2</v>
      </c>
      <c r="N120" s="7">
        <f t="shared" si="44"/>
        <v>38.883333338890225</v>
      </c>
      <c r="O120" s="7"/>
      <c r="P120" s="7"/>
      <c r="Q120" s="22"/>
      <c r="R120" s="190"/>
      <c r="S120" s="196">
        <f t="shared" si="28"/>
        <v>1</v>
      </c>
      <c r="T120" s="190" t="str">
        <f t="shared" si="29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0"/>
        <v>https://d0f6bd738d7f1b3e5a7ca70fe4ff75f0.us-east-1.aws.found.io/app/kibana#/discover/Steve-Slow-Train-Analysis-(2080s-and-2083s)?_g=(refreshInterval:(display:Off,pause:!f,section:0,value:0),time:(from:'2017-05-18T16:38:53-0600',mode:absolute,to:'2017-05-18T19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192" t="str">
        <f t="shared" si="31"/>
        <v>N</v>
      </c>
      <c r="X120" s="192">
        <f t="shared" si="45"/>
        <v>1</v>
      </c>
      <c r="Y120" s="192">
        <f t="shared" si="33"/>
        <v>23.299199999999999</v>
      </c>
      <c r="Z120" s="192">
        <f t="shared" si="34"/>
        <v>1.54E-2</v>
      </c>
      <c r="AA120" s="192">
        <f t="shared" si="35"/>
        <v>23.283799999999999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6"/>
        <v>0208-18</v>
      </c>
      <c r="AE120" s="80" t="str">
        <f t="shared" si="37"/>
        <v>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 &amp; 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</v>
      </c>
      <c r="AF120" s="77" t="str">
        <f t="shared" si="38"/>
        <v>"C:\Program Files (x86)\AstroGrep\AstroGrep.exe" /e /r /s /spath="%USERPROFILE%\AppData\Local\Temp\OnboardLogs" /stypes="app*4031*20170519*" /stext=" 00:.+((SYSTEM_STATE.+slice.+state.+changed )|(ment ac)|(multiple cpu faults)|(system.+state.+changed )|(\[timeout)|(PRM\|1\|D)|(kpr)|(kdp)|(train st.+moving)|(\|lc)|(penalty))"</v>
      </c>
      <c r="AG120" s="1" t="str">
        <f t="shared" si="39"/>
        <v>EC</v>
      </c>
      <c r="AH120" s="81" t="str">
        <f t="shared" si="40"/>
        <v>"%USERPROFILE%\Documents\GitHub\eaglep3\Utilities\RefineRTDCRunTimes.py" --tripid 208-18 --locoid 4031 --swversion DE.1.0.9.0 --startMP 204:232992 --initTime 2017-05-18T17:38:53 --startdatetime 2017-05-18T17:56:16 --delay 1 --endMP 204:154 --enddatetime 2017-05-18T18:35:09 --enforcementcount 0 &gt;&gt;C:\Users\stu\Documents\GitHub\eaglep3-reporting\EC\2017-05-18-refined-times.txt</v>
      </c>
      <c r="AI120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{"issue":{"subject":"","project_id":79,"tracker_id":40,"status_id":1,"priority_id":2,"assigned_to_id":23,"start_date":"2017-05-18","description":"","custom_fields":[{"id":1,"name":"Subdivision","value":"EC"},{"id":4,"name":"Milepost","value":"0.0154"},{"id":17,"name":"Train ID","value":"208-18"},{"id":16,"name":"Locomotive ID","value":"4031"},{"id":130,"name":"Impact","value":""},{"id":150,"name":"Time of Event (Mountain Time)","value":"18:35:09"},{"id":151,"name":"Denver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2"/>
        <v>start /low /b %USERPROFILE%\Documents\GitHub\eaglep3\Utilities\DownloadLogsFromS3.py --loco 4031 --day 2017-05-18</v>
      </c>
      <c r="AN120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767</v>
      </c>
      <c r="B121" s="7">
        <v>4008</v>
      </c>
      <c r="C121" s="21" t="s">
        <v>206</v>
      </c>
      <c r="D121" s="21" t="s">
        <v>366</v>
      </c>
      <c r="E121" s="13">
        <v>42873.715636574074</v>
      </c>
      <c r="F121" s="13">
        <v>42873.71947916667</v>
      </c>
      <c r="G121" s="7">
        <v>1</v>
      </c>
      <c r="H121" s="21" t="s">
        <v>842</v>
      </c>
      <c r="I121" s="13">
        <v>42873.745127314818</v>
      </c>
      <c r="J121" s="7">
        <v>0</v>
      </c>
      <c r="K121" s="92" t="str">
        <f t="shared" si="26"/>
        <v>4007/4008</v>
      </c>
      <c r="L121" s="21" t="str">
        <f>VLOOKUP(A121,'Trips&amp;Operators'!$C$1:$G$99999,5,FALSE)</f>
        <v>CHANDLER KELVIN</v>
      </c>
      <c r="M121" s="6">
        <f t="shared" si="27"/>
        <v>2.5648148148320615E-2</v>
      </c>
      <c r="N121" s="7">
        <f t="shared" si="44"/>
        <v>36.933333333581686</v>
      </c>
      <c r="O121" s="7"/>
      <c r="P121" s="7"/>
      <c r="Q121" s="22"/>
      <c r="R121" s="190"/>
      <c r="S121" s="196">
        <f t="shared" si="28"/>
        <v>1</v>
      </c>
      <c r="T121" s="190" t="str">
        <f t="shared" si="29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0"/>
        <v>https://d0f6bd738d7f1b3e5a7ca70fe4ff75f0.us-east-1.aws.found.io/app/kibana#/discover/Steve-Slow-Train-Analysis-(2080s-and-2083s)?_g=(refreshInterval:(display:Off,pause:!f,section:0,value:0),time:(from:'2017-05-18T16:10:31-0600',mode:absolute,to:'2017-05-18T18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192" t="str">
        <f t="shared" si="31"/>
        <v>N</v>
      </c>
      <c r="X121" s="192">
        <f t="shared" si="45"/>
        <v>1</v>
      </c>
      <c r="Y121" s="192">
        <f t="shared" si="33"/>
        <v>4.4699999999999997E-2</v>
      </c>
      <c r="Z121" s="192">
        <f t="shared" si="34"/>
        <v>23.330400000000001</v>
      </c>
      <c r="AA121" s="192">
        <f t="shared" si="35"/>
        <v>23.285700000000002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6"/>
        <v>0209-18</v>
      </c>
      <c r="AE121" s="80" t="str">
        <f t="shared" si="37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121" s="77" t="str">
        <f t="shared" si="38"/>
        <v>"C:\Program Files (x86)\AstroGrep\AstroGrep.exe" /e /r /s /spath="%USERPROFILE%\AppData\Local\Temp\OnboardLogs" /stypes="app*4008*20170518*" /stext=" 23:.+((SYSTEM_STATE.+slice.+state.+changed )|(ment ac)|(multiple cpu faults)|(system.+state.+changed )|(\[timeout)|(PRM\|1\|D)|(kpr)|(kdp)|(train st.+moving)|(\|lc)|(penalty))"</v>
      </c>
      <c r="AG121" s="1" t="str">
        <f t="shared" si="39"/>
        <v>EC</v>
      </c>
      <c r="AH121" s="81" t="str">
        <f t="shared" si="40"/>
        <v>"%USERPROFILE%\Documents\GitHub\eaglep3\Utilities\RefineRTDCRunTimes.py" --tripid 209-18 --locoid 4008 --swversion DE.1.0.9.0 --startMP 204:447 --initTime 2017-05-18T17:10:31 --startdatetime 2017-05-18T17:16:03 --delay 1 --endMP 204:233304 --enddatetime 2017-05-18T17:52:59 --enforcementcount 0 &gt;&gt;C:\Users\stu\Documents\GitHub\eaglep3-reporting\EC\2017-05-18-refined-times.txt</v>
      </c>
      <c r="AI121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{"issue":{"subject":"","project_id":79,"tracker_id":40,"status_id":1,"priority_id":2,"assigned_to_id":23,"start_date":"2017-05-18","description":"","custom_fields":[{"id":1,"name":"Subdivision","value":"EC"},{"id":4,"name":"Milepost","value":"23.3304"},{"id":17,"name":"Train ID","value":"209-18"},{"id":16,"name":"Locomotive ID","value":"4008"},{"id":130,"name":"Impact","value":""},{"id":150,"name":"Time of Event (Mountain Time)","value":"17:52:59"},{"id":151,"name":"Denver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2"/>
        <v>start /low /b %USERPROFILE%\Documents\GitHub\eaglep3\Utilities\DownloadLogsFromS3.py --loco 4008 --day 2017-05-18</v>
      </c>
      <c r="AN121" s="154" t="str">
        <f t="shared" si="4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780</v>
      </c>
      <c r="B122" s="7">
        <v>4007</v>
      </c>
      <c r="C122" s="21" t="s">
        <v>206</v>
      </c>
      <c r="D122" s="21" t="s">
        <v>551</v>
      </c>
      <c r="E122" s="13">
        <v>42873.754756944443</v>
      </c>
      <c r="F122" s="13">
        <v>42873.758101851854</v>
      </c>
      <c r="G122" s="7">
        <v>1</v>
      </c>
      <c r="H122" s="21" t="s">
        <v>357</v>
      </c>
      <c r="I122" s="13">
        <v>42873.785833333335</v>
      </c>
      <c r="J122" s="7">
        <v>0</v>
      </c>
      <c r="K122" s="92" t="str">
        <f t="shared" si="26"/>
        <v>4007/4008</v>
      </c>
      <c r="L122" s="21" t="str">
        <f>VLOOKUP(A122,'Trips&amp;Operators'!$C$1:$G$99999,5,FALSE)</f>
        <v>CHANDLER KELVIN</v>
      </c>
      <c r="M122" s="6">
        <f t="shared" si="27"/>
        <v>2.7731481481168885E-2</v>
      </c>
      <c r="N122" s="7">
        <f t="shared" si="44"/>
        <v>39.933333332883194</v>
      </c>
      <c r="O122" s="7"/>
      <c r="P122" s="7"/>
      <c r="Q122" s="22"/>
      <c r="R122" s="190"/>
      <c r="S122" s="196">
        <f t="shared" si="28"/>
        <v>1</v>
      </c>
      <c r="T122" s="190" t="str">
        <f t="shared" si="29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0"/>
        <v>https://d0f6bd738d7f1b3e5a7ca70fe4ff75f0.us-east-1.aws.found.io/app/kibana#/discover/Steve-Slow-Train-Analysis-(2080s-and-2083s)?_g=(refreshInterval:(display:Off,pause:!f,section:0,value:0),time:(from:'2017-05-18T17:06:51-0600',mode:absolute,to:'2017-05-18T19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2" s="192" t="str">
        <f t="shared" si="31"/>
        <v>N</v>
      </c>
      <c r="X122" s="192">
        <f t="shared" si="45"/>
        <v>1</v>
      </c>
      <c r="Y122" s="192">
        <f t="shared" si="33"/>
        <v>23.2987</v>
      </c>
      <c r="Z122" s="192">
        <f t="shared" si="34"/>
        <v>1.49E-2</v>
      </c>
      <c r="AA122" s="192">
        <f t="shared" si="35"/>
        <v>23.283799999999999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6"/>
        <v>0210-18</v>
      </c>
      <c r="AE122" s="80" t="str">
        <f t="shared" si="37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122" s="77" t="str">
        <f t="shared" si="38"/>
        <v>"C:\Program Files (x86)\AstroGrep\AstroGrep.exe" /e /r /s /spath="%USERPROFILE%\AppData\Local\Temp\OnboardLogs" /stypes="app*4007*20170519*" /stext=" 00:.+((SYSTEM_STATE.+slice.+state.+changed )|(ment ac)|(multiple cpu faults)|(system.+state.+changed )|(\[timeout)|(PRM\|1\|D)|(kpr)|(kdp)|(train st.+moving)|(\|lc)|(penalty))"</v>
      </c>
      <c r="AG122" s="1" t="str">
        <f t="shared" si="39"/>
        <v>EC</v>
      </c>
      <c r="AH122" s="81" t="str">
        <f t="shared" si="40"/>
        <v>"%USERPROFILE%\Documents\GitHub\eaglep3\Utilities\RefineRTDCRunTimes.py" --tripid 210-18 --locoid 4007 --swversion DE.1.0.9.0 --startMP 204:232987 --initTime 2017-05-18T18:06:51 --startdatetime 2017-05-18T18:11:40 --delay 1 --endMP 204:149 --enddatetime 2017-05-18T18:51:36 --enforcementcount 0 &gt;&gt;C:\Users\stu\Documents\GitHub\eaglep3-reporting\EC\2017-05-18-refined-times.txt</v>
      </c>
      <c r="AI122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{"issue":{"subject":"","project_id":79,"tracker_id":40,"status_id":1,"priority_id":2,"assigned_to_id":23,"start_date":"2017-05-18","description":"","custom_fields":[{"id":1,"name":"Subdivision","value":"EC"},{"id":4,"name":"Milepost","value":"0.0149"},{"id":17,"name":"Train ID","value":"210-18"},{"id":16,"name":"Locomotive ID","value":"4007"},{"id":130,"name":"Impact","value":""},{"id":150,"name":"Time of Event (Mountain Time)","value":"18:51:36"},{"id":151,"name":"Denver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2"/>
        <v>start /low /b %USERPROFILE%\Documents\GitHub\eaglep3\Utilities\DownloadLogsFromS3.py --loco 4007 --day 2017-05-18</v>
      </c>
      <c r="AN122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771</v>
      </c>
      <c r="B123" s="7">
        <v>4030</v>
      </c>
      <c r="C123" s="21" t="s">
        <v>206</v>
      </c>
      <c r="D123" s="21" t="s">
        <v>554</v>
      </c>
      <c r="E123" s="13">
        <v>42873.726145833331</v>
      </c>
      <c r="F123" s="13">
        <v>42873.729328703703</v>
      </c>
      <c r="G123" s="7">
        <v>1</v>
      </c>
      <c r="H123" s="21" t="s">
        <v>564</v>
      </c>
      <c r="I123" s="13">
        <v>42873.754108796296</v>
      </c>
      <c r="J123" s="7">
        <v>0</v>
      </c>
      <c r="K123" s="92" t="str">
        <f t="shared" si="26"/>
        <v>4029/4030</v>
      </c>
      <c r="L123" s="21" t="str">
        <f>VLOOKUP(A123,'Trips&amp;Operators'!$C$1:$G$99999,5,FALSE)</f>
        <v>LALONDE GREGORY</v>
      </c>
      <c r="M123" s="6">
        <f t="shared" si="27"/>
        <v>2.4780092593573499E-2</v>
      </c>
      <c r="N123" s="7">
        <f t="shared" si="44"/>
        <v>35.683333334745839</v>
      </c>
      <c r="O123" s="7"/>
      <c r="P123" s="7"/>
      <c r="Q123" s="22"/>
      <c r="R123" s="190"/>
      <c r="S123" s="196">
        <f t="shared" si="28"/>
        <v>1</v>
      </c>
      <c r="T123" s="190" t="str">
        <f t="shared" si="29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0"/>
        <v>https://d0f6bd738d7f1b3e5a7ca70fe4ff75f0.us-east-1.aws.found.io/app/kibana#/discover/Steve-Slow-Train-Analysis-(2080s-and-2083s)?_g=(refreshInterval:(display:Off,pause:!f,section:0,value:0),time:(from:'2017-05-18T16:25:39-0600',mode:absolute,to:'2017-05-18T19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192" t="str">
        <f t="shared" si="31"/>
        <v>N</v>
      </c>
      <c r="X123" s="192">
        <f t="shared" si="45"/>
        <v>1</v>
      </c>
      <c r="Y123" s="192">
        <f t="shared" si="33"/>
        <v>4.3799999999999999E-2</v>
      </c>
      <c r="Z123" s="192">
        <f t="shared" si="34"/>
        <v>23.332599999999999</v>
      </c>
      <c r="AA123" s="192">
        <f t="shared" si="35"/>
        <v>23.288799999999998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6"/>
        <v>0211-18</v>
      </c>
      <c r="AE123" s="80" t="str">
        <f t="shared" si="37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123" s="77" t="str">
        <f t="shared" si="38"/>
        <v>"C:\Program Files (x86)\AstroGrep\AstroGrep.exe" /e /r /s /spath="%USERPROFILE%\AppData\Local\Temp\OnboardLogs" /stypes="app*4030*20170519*" /stext=" 00:.+((SYSTEM_STATE.+slice.+state.+changed )|(ment ac)|(multiple cpu faults)|(system.+state.+changed )|(\[timeout)|(PRM\|1\|D)|(kpr)|(kdp)|(train st.+moving)|(\|lc)|(penalty))"</v>
      </c>
      <c r="AG123" s="1" t="str">
        <f t="shared" si="39"/>
        <v>EC</v>
      </c>
      <c r="AH123" s="81" t="str">
        <f t="shared" si="40"/>
        <v>"%USERPROFILE%\Documents\GitHub\eaglep3\Utilities\RefineRTDCRunTimes.py" --tripid 211-18 --locoid 4030 --swversion DE.1.0.9.0 --startMP 204:438 --initTime 2017-05-18T17:25:39 --startdatetime 2017-05-18T17:30:14 --delay 1 --endMP 204:233326 --enddatetime 2017-05-18T18:05:55 --enforcementcount 0 &gt;&gt;C:\Users\stu\Documents\GitHub\eaglep3-reporting\EC\2017-05-18-refined-times.txt</v>
      </c>
      <c r="AI123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{"issue":{"subject":"","project_id":79,"tracker_id":40,"status_id":1,"priority_id":2,"assigned_to_id":23,"start_date":"2017-05-18","description":"","custom_fields":[{"id":1,"name":"Subdivision","value":"EC"},{"id":4,"name":"Milepost","value":"23.3326"},{"id":17,"name":"Train ID","value":"211-18"},{"id":16,"name":"Locomotive ID","value":"4030"},{"id":130,"name":"Impact","value":""},{"id":150,"name":"Time of Event (Mountain Time)","value":"18:05:55"},{"id":151,"name":"Denver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2"/>
        <v>start /low /b %USERPROFILE%\Documents\GitHub\eaglep3\Utilities\DownloadLogsFromS3.py --loco 4030 --day 2017-05-18</v>
      </c>
      <c r="AN123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785</v>
      </c>
      <c r="B124" s="7">
        <v>4029</v>
      </c>
      <c r="C124" s="21" t="s">
        <v>206</v>
      </c>
      <c r="D124" s="21" t="s">
        <v>907</v>
      </c>
      <c r="E124" s="13">
        <v>42873.7578587963</v>
      </c>
      <c r="F124" s="13">
        <v>42873.768391203703</v>
      </c>
      <c r="G124" s="7">
        <v>1</v>
      </c>
      <c r="H124" s="21" t="s">
        <v>198</v>
      </c>
      <c r="I124" s="13">
        <v>42873.793773148151</v>
      </c>
      <c r="J124" s="7">
        <v>0</v>
      </c>
      <c r="K124" s="92" t="str">
        <f t="shared" si="26"/>
        <v>4029/4030</v>
      </c>
      <c r="L124" s="21" t="str">
        <f>VLOOKUP(A124,'Trips&amp;Operators'!$C$1:$G$99999,5,FALSE)</f>
        <v>LALONDE GREGORY</v>
      </c>
      <c r="M124" s="6">
        <f t="shared" si="27"/>
        <v>2.5381944447872229E-2</v>
      </c>
      <c r="N124" s="7">
        <f t="shared" si="44"/>
        <v>36.55000000493601</v>
      </c>
      <c r="O124" s="7"/>
      <c r="P124" s="7"/>
      <c r="Q124" s="22"/>
      <c r="R124" s="190"/>
      <c r="S124" s="196">
        <f t="shared" si="28"/>
        <v>1</v>
      </c>
      <c r="T124" s="190" t="str">
        <f t="shared" si="29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0"/>
        <v>https://d0f6bd738d7f1b3e5a7ca70fe4ff75f0.us-east-1.aws.found.io/app/kibana#/discover/Steve-Slow-Train-Analysis-(2080s-and-2083s)?_g=(refreshInterval:(display:Off,pause:!f,section:0,value:0),time:(from:'2017-05-18T17:11:19-0600',mode:absolute,to:'2017-05-18T20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192" t="str">
        <f t="shared" si="31"/>
        <v>N</v>
      </c>
      <c r="X124" s="192">
        <f t="shared" si="45"/>
        <v>1</v>
      </c>
      <c r="Y124" s="192">
        <f t="shared" si="33"/>
        <v>23.3001</v>
      </c>
      <c r="Z124" s="192">
        <f t="shared" si="34"/>
        <v>1.5800000000000002E-2</v>
      </c>
      <c r="AA124" s="192">
        <f t="shared" si="35"/>
        <v>23.284300000000002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6"/>
        <v>0212-18</v>
      </c>
      <c r="AE124" s="80" t="str">
        <f t="shared" si="37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124" s="77" t="str">
        <f t="shared" si="38"/>
        <v>"C:\Program Files (x86)\AstroGrep\AstroGrep.exe" /e /r /s /spath="%USERPROFILE%\AppData\Local\Temp\OnboardLogs" /stypes="app*4029*20170519*" /stext=" 01:.+((SYSTEM_STATE.+slice.+state.+changed )|(ment ac)|(multiple cpu faults)|(system.+state.+changed )|(\[timeout)|(PRM\|1\|D)|(kpr)|(kdp)|(train st.+moving)|(\|lc)|(penalty))"</v>
      </c>
      <c r="AG124" s="1" t="str">
        <f t="shared" si="39"/>
        <v>EC</v>
      </c>
      <c r="AH124" s="81" t="str">
        <f t="shared" si="40"/>
        <v>"%USERPROFILE%\Documents\GitHub\eaglep3\Utilities\RefineRTDCRunTimes.py" --tripid 212-18 --locoid 4029 --swversion DE.1.0.9.0 --startMP 204:233001 --initTime 2017-05-18T18:11:19 --startdatetime 2017-05-18T18:26:29 --delay 1 --endMP 204:158 --enddatetime 2017-05-18T19:03:02 --enforcementcount 0 &gt;&gt;C:\Users\stu\Documents\GitHub\eaglep3-reporting\EC\2017-05-18-refined-times.txt</v>
      </c>
      <c r="AI124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ID","value":"212-18"},{"id":16,"name":"Locomotive ID","value":"4029"},{"id":130,"name":"Impact","value":""},{"id":150,"name":"Time of Event (Mountain Time)","value":"19:03:02"},{"id":151,"name":"Denver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2"/>
        <v>start /low /b %USERPROFILE%\Documents\GitHub\eaglep3\Utilities\DownloadLogsFromS3.py --loco 4029 --day 2017-05-18</v>
      </c>
      <c r="AN124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775</v>
      </c>
      <c r="B125" s="7">
        <v>4054</v>
      </c>
      <c r="C125" s="21" t="s">
        <v>206</v>
      </c>
      <c r="D125" s="21" t="s">
        <v>558</v>
      </c>
      <c r="E125" s="13">
        <v>42873.734247685185</v>
      </c>
      <c r="F125" s="13">
        <v>42873.739942129629</v>
      </c>
      <c r="G125" s="7">
        <v>1</v>
      </c>
      <c r="H125" s="21" t="s">
        <v>490</v>
      </c>
      <c r="I125" s="13">
        <v>42873.766203703701</v>
      </c>
      <c r="J125" s="7">
        <v>0</v>
      </c>
      <c r="K125" s="92" t="str">
        <f t="shared" si="26"/>
        <v>4053/4054</v>
      </c>
      <c r="L125" s="21" t="str">
        <f>VLOOKUP(A125,'Trips&amp;Operators'!$C$1:$G$99999,5,FALSE)</f>
        <v>YANG JAN</v>
      </c>
      <c r="M125" s="6">
        <f t="shared" si="27"/>
        <v>2.626157407212304E-2</v>
      </c>
      <c r="N125" s="7">
        <f t="shared" si="44"/>
        <v>37.816666663857177</v>
      </c>
      <c r="O125" s="7"/>
      <c r="P125" s="7"/>
      <c r="Q125" s="22"/>
      <c r="R125" s="190"/>
      <c r="S125" s="196">
        <f t="shared" si="28"/>
        <v>1</v>
      </c>
      <c r="T125" s="190" t="str">
        <f t="shared" si="29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0"/>
        <v>https://d0f6bd738d7f1b3e5a7ca70fe4ff75f0.us-east-1.aws.found.io/app/kibana#/discover/Steve-Slow-Train-Analysis-(2080s-and-2083s)?_g=(refreshInterval:(display:Off,pause:!f,section:0,value:0),time:(from:'2017-05-18T16:37:19-0600',mode:absolute,to:'2017-05-18T19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192" t="str">
        <f t="shared" si="31"/>
        <v>N</v>
      </c>
      <c r="X125" s="192">
        <f t="shared" si="45"/>
        <v>1</v>
      </c>
      <c r="Y125" s="192">
        <f t="shared" si="33"/>
        <v>4.2900000000000001E-2</v>
      </c>
      <c r="Z125" s="192">
        <f t="shared" si="34"/>
        <v>23.328900000000001</v>
      </c>
      <c r="AA125" s="192">
        <f t="shared" si="35"/>
        <v>23.286000000000001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6"/>
        <v>0213-18</v>
      </c>
      <c r="AE125" s="80" t="str">
        <f t="shared" si="37"/>
        <v>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 &amp; 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</v>
      </c>
      <c r="AF125" s="77" t="str">
        <f t="shared" si="38"/>
        <v>"C:\Program Files (x86)\AstroGrep\AstroGrep.exe" /e /r /s /spath="%USERPROFILE%\AppData\Local\Temp\OnboardLogs" /stypes="app*4054*20170519*" /stext=" 00:.+((SYSTEM_STATE.+slice.+state.+changed )|(ment ac)|(multiple cpu faults)|(system.+state.+changed )|(\[timeout)|(PRM\|1\|D)|(kpr)|(kdp)|(train st.+moving)|(\|lc)|(penalty))"</v>
      </c>
      <c r="AG125" s="1" t="str">
        <f t="shared" si="39"/>
        <v>EC</v>
      </c>
      <c r="AH125" s="81" t="str">
        <f t="shared" si="40"/>
        <v>"%USERPROFILE%\Documents\GitHub\eaglep3\Utilities\RefineRTDCRunTimes.py" --tripid 213-18 --locoid 4054 --swversion DE.1.0.9.0 --startMP 204:429 --initTime 2017-05-18T17:37:19 --startdatetime 2017-05-18T17:45:31 --delay 1 --endMP 204:233289 --enddatetime 2017-05-18T18:23:20 --enforcementcount 0 &gt;&gt;C:\Users\stu\Documents\GitHub\eaglep3-reporting\EC\2017-05-18-refined-times.txt</v>
      </c>
      <c r="AI125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{"issue":{"subject":"","project_id":79,"tracker_id":40,"status_id":1,"priority_id":2,"assigned_to_id":23,"start_date":"2017-05-18","description":"","custom_fields":[{"id":1,"name":"Subdivision","value":"EC"},{"id":4,"name":"Milepost","value":"23.3289"},{"id":17,"name":"Train ID","value":"213-18"},{"id":16,"name":"Locomotive ID","value":"4054"},{"id":130,"name":"Impact","value":""},{"id":150,"name":"Time of Event (Mountain Time)","value":"18:23:20"},{"id":151,"name":"Denver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2"/>
        <v>start /low /b %USERPROFILE%\Documents\GitHub\eaglep3\Utilities\DownloadLogsFromS3.py --loco 4054 --day 2017-05-18</v>
      </c>
      <c r="AN125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610</v>
      </c>
      <c r="B126" s="7">
        <v>4053</v>
      </c>
      <c r="C126" s="21" t="s">
        <v>206</v>
      </c>
      <c r="D126" s="21" t="s">
        <v>446</v>
      </c>
      <c r="E126" s="13">
        <v>42873.775127314817</v>
      </c>
      <c r="F126" s="13">
        <v>42873.778634259259</v>
      </c>
      <c r="G126" s="7">
        <v>1</v>
      </c>
      <c r="H126" s="21" t="s">
        <v>560</v>
      </c>
      <c r="I126" s="13">
        <v>42873.807847222219</v>
      </c>
      <c r="J126" s="7">
        <v>0</v>
      </c>
      <c r="K126" s="92" t="str">
        <f t="shared" si="26"/>
        <v>4053/4054</v>
      </c>
      <c r="L126" s="21" t="str">
        <f>VLOOKUP(A126,'Trips&amp;Operators'!$C$1:$G$99999,5,FALSE)</f>
        <v>YANG JAN</v>
      </c>
      <c r="M126" s="6">
        <f t="shared" si="27"/>
        <v>2.9212962959718425E-2</v>
      </c>
      <c r="N126" s="7">
        <f t="shared" si="44"/>
        <v>42.066666661994532</v>
      </c>
      <c r="O126" s="7"/>
      <c r="P126" s="7"/>
      <c r="Q126" s="22"/>
      <c r="R126" s="190"/>
      <c r="S126" s="196">
        <f t="shared" si="28"/>
        <v>1</v>
      </c>
      <c r="T126" s="190" t="str">
        <f t="shared" si="29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0"/>
        <v>https://d0f6bd738d7f1b3e5a7ca70fe4ff75f0.us-east-1.aws.found.io/app/kibana#/discover/Steve-Slow-Train-Analysis-(2080s-and-2083s)?_g=(refreshInterval:(display:Off,pause:!f,section:0,value:0),time:(from:'2017-05-18T17:36:11-0600',mode:absolute,to:'2017-05-18T20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6" s="192" t="str">
        <f t="shared" si="31"/>
        <v>N</v>
      </c>
      <c r="X126" s="192">
        <f t="shared" si="45"/>
        <v>1</v>
      </c>
      <c r="Y126" s="192">
        <f t="shared" si="33"/>
        <v>23.299299999999999</v>
      </c>
      <c r="Z126" s="192">
        <f t="shared" si="34"/>
        <v>1.7000000000000001E-2</v>
      </c>
      <c r="AA126" s="192">
        <f t="shared" si="35"/>
        <v>23.282299999999999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6"/>
        <v>0214-18</v>
      </c>
      <c r="AE126" s="80" t="str">
        <f t="shared" si="37"/>
        <v>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 &amp; 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</v>
      </c>
      <c r="AF126" s="77" t="str">
        <f t="shared" si="38"/>
        <v>"C:\Program Files (x86)\AstroGrep\AstroGrep.exe" /e /r /s /spath="%USERPROFILE%\AppData\Local\Temp\OnboardLogs" /stypes="app*4053*20170519*" /stext=" 01:.+((SYSTEM_STATE.+slice.+state.+changed )|(ment ac)|(multiple cpu faults)|(system.+state.+changed )|(\[timeout)|(PRM\|1\|D)|(kpr)|(kdp)|(train st.+moving)|(\|lc)|(penalty))"</v>
      </c>
      <c r="AG126" s="1" t="str">
        <f t="shared" si="39"/>
        <v>EC</v>
      </c>
      <c r="AH126" s="81" t="str">
        <f t="shared" si="40"/>
        <v>"%USERPROFILE%\Documents\GitHub\eaglep3\Utilities\RefineRTDCRunTimes.py" --tripid 214-18 --locoid 4053 --swversion DE.1.0.9.0 --startMP 204:232993 --initTime 2017-05-18T18:36:11 --startdatetime 2017-05-18T18:41:14 --delay 1 --endMP 204:170 --enddatetime 2017-05-18T19:23:18 --enforcementcount 0 &gt;&gt;C:\Users\stu\Documents\GitHub\eaglep3-reporting\EC\2017-05-18-refined-times.txt</v>
      </c>
      <c r="AI126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{"issue":{"subject":"","project_id":79,"tracker_id":40,"status_id":1,"priority_id":2,"assigned_to_id":23,"start_date":"2017-05-18","description":"","custom_fields":[{"id":1,"name":"Subdivision","value":"EC"},{"id":4,"name":"Milepost","value":"0.017"},{"id":17,"name":"Train ID","value":"214-18"},{"id":16,"name":"Locomotive ID","value":"4053"},{"id":130,"name":"Impact","value":""},{"id":150,"name":"Time of Event (Mountain Time)","value":"19:23:18"},{"id":151,"name":"Denver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2"/>
        <v>start /low /b %USERPROFILE%\Documents\GitHub\eaglep3\Utilities\DownloadLogsFromS3.py --loco 4053 --day 2017-05-18</v>
      </c>
      <c r="AN126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779</v>
      </c>
      <c r="B127" s="7">
        <v>4002</v>
      </c>
      <c r="C127" s="21" t="s">
        <v>206</v>
      </c>
      <c r="D127" s="21" t="s">
        <v>908</v>
      </c>
      <c r="E127" s="13">
        <v>42873.746168981481</v>
      </c>
      <c r="F127" s="13">
        <v>42873.750185185185</v>
      </c>
      <c r="G127" s="7">
        <v>1</v>
      </c>
      <c r="H127" s="21" t="s">
        <v>447</v>
      </c>
      <c r="I127" s="13">
        <v>42873.77548611111</v>
      </c>
      <c r="J127" s="7">
        <v>0</v>
      </c>
      <c r="K127" s="92" t="str">
        <f t="shared" si="26"/>
        <v>4001/4002</v>
      </c>
      <c r="L127" s="21" t="str">
        <f>VLOOKUP(A127,'Trips&amp;Operators'!$C$1:$G$99999,5,FALSE)</f>
        <v>MOSES BRADLEY</v>
      </c>
      <c r="M127" s="6">
        <f t="shared" si="27"/>
        <v>2.5300925924966577E-2</v>
      </c>
      <c r="N127" s="7">
        <f t="shared" si="44"/>
        <v>36.433333331951872</v>
      </c>
      <c r="O127" s="7"/>
      <c r="P127" s="7"/>
      <c r="Q127" s="22"/>
      <c r="R127" s="190"/>
      <c r="S127" s="196">
        <f t="shared" si="28"/>
        <v>1</v>
      </c>
      <c r="T127" s="190" t="str">
        <f t="shared" si="29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0"/>
        <v>https://d0f6bd738d7f1b3e5a7ca70fe4ff75f0.us-east-1.aws.found.io/app/kibana#/discover/Steve-Slow-Train-Analysis-(2080s-and-2083s)?_g=(refreshInterval:(display:Off,pause:!f,section:0,value:0),time:(from:'2017-05-18T16:54:29-0600',mode:absolute,to:'2017-05-18T19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192" t="str">
        <f t="shared" si="31"/>
        <v>N</v>
      </c>
      <c r="X127" s="192">
        <f t="shared" si="45"/>
        <v>1</v>
      </c>
      <c r="Y127" s="192">
        <f t="shared" si="33"/>
        <v>4.8000000000000001E-2</v>
      </c>
      <c r="Z127" s="192">
        <f t="shared" si="34"/>
        <v>23.331600000000002</v>
      </c>
      <c r="AA127" s="192">
        <f t="shared" si="35"/>
        <v>23.283600000000003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6"/>
        <v>0215-18</v>
      </c>
      <c r="AE127" s="80" t="str">
        <f t="shared" si="37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127" s="77" t="str">
        <f t="shared" si="38"/>
        <v>"C:\Program Files (x86)\AstroGrep\AstroGrep.exe" /e /r /s /spath="%USERPROFILE%\AppData\Local\Temp\OnboardLogs" /stypes="app*4002*20170519*" /stext=" 00:.+((SYSTEM_STATE.+slice.+state.+changed )|(ment ac)|(multiple cpu faults)|(system.+state.+changed )|(\[timeout)|(PRM\|1\|D)|(kpr)|(kdp)|(train st.+moving)|(\|lc)|(penalty))"</v>
      </c>
      <c r="AG127" s="1" t="str">
        <f t="shared" si="39"/>
        <v>EC</v>
      </c>
      <c r="AH127" s="81" t="str">
        <f t="shared" si="40"/>
        <v>"%USERPROFILE%\Documents\GitHub\eaglep3\Utilities\RefineRTDCRunTimes.py" --tripid 215-18 --locoid 4002 --swversion DE.1.0.9.0 --startMP 204:480 --initTime 2017-05-18T17:54:29 --startdatetime 2017-05-18T18:00:16 --delay 1 --endMP 204:233316 --enddatetime 2017-05-18T18:36:42 --enforcementcount 0 &gt;&gt;C:\Users\stu\Documents\GitHub\eaglep3-reporting\EC\2017-05-18-refined-times.txt</v>
      </c>
      <c r="AI127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{"issue":{"subject":"","project_id":79,"tracker_id":40,"status_id":1,"priority_id":2,"assigned_to_id":23,"start_date":"2017-05-18","description":"","custom_fields":[{"id":1,"name":"Subdivision","value":"EC"},{"id":4,"name":"Milepost","value":"23.3316"},{"id":17,"name":"Train ID","value":"215-18"},{"id":16,"name":"Locomotive ID","value":"4002"},{"id":130,"name":"Impact","value":""},{"id":150,"name":"Time of Event (Mountain Time)","value":"18:36:42"},{"id":151,"name":"Denver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2"/>
        <v>start /low /b %USERPROFILE%\Documents\GitHub\eaglep3\Utilities\DownloadLogsFromS3.py --loco 4002 --day 2017-05-18</v>
      </c>
      <c r="AN127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789</v>
      </c>
      <c r="B128" s="7">
        <v>4001</v>
      </c>
      <c r="C128" s="21" t="s">
        <v>206</v>
      </c>
      <c r="D128" s="21" t="s">
        <v>909</v>
      </c>
      <c r="E128" s="13">
        <v>42873.785474537035</v>
      </c>
      <c r="F128" s="13">
        <v>42873.7891087963</v>
      </c>
      <c r="G128" s="7">
        <v>1</v>
      </c>
      <c r="H128" s="21" t="s">
        <v>910</v>
      </c>
      <c r="I128" s="13">
        <v>42873.815925925926</v>
      </c>
      <c r="J128" s="7">
        <v>0</v>
      </c>
      <c r="K128" s="92" t="str">
        <f t="shared" si="26"/>
        <v>4001/4002</v>
      </c>
      <c r="L128" s="21" t="str">
        <f>VLOOKUP(A128,'Trips&amp;Operators'!$C$1:$G$99999,5,FALSE)</f>
        <v>MOSES BRADLEY</v>
      </c>
      <c r="M128" s="6">
        <f t="shared" si="27"/>
        <v>2.6817129626579117E-2</v>
      </c>
      <c r="N128" s="7">
        <f t="shared" si="44"/>
        <v>38.616666662273929</v>
      </c>
      <c r="O128" s="7"/>
      <c r="P128" s="7"/>
      <c r="Q128" s="22"/>
      <c r="R128" s="190"/>
      <c r="S128" s="196">
        <f t="shared" si="28"/>
        <v>1</v>
      </c>
      <c r="T128" s="190" t="str">
        <f t="shared" si="29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0"/>
        <v>https://d0f6bd738d7f1b3e5a7ca70fe4ff75f0.us-east-1.aws.found.io/app/kibana#/discover/Steve-Slow-Train-Analysis-(2080s-and-2083s)?_g=(refreshInterval:(display:Off,pause:!f,section:0,value:0),time:(from:'2017-05-18T17:51:05-0600',mode:absolute,to:'2017-05-18T20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192" t="str">
        <f t="shared" si="31"/>
        <v>N</v>
      </c>
      <c r="X128" s="192">
        <f t="shared" si="45"/>
        <v>1</v>
      </c>
      <c r="Y128" s="192">
        <f t="shared" si="33"/>
        <v>23.302800000000001</v>
      </c>
      <c r="Z128" s="192">
        <f t="shared" si="34"/>
        <v>1.7600000000000001E-2</v>
      </c>
      <c r="AA128" s="192">
        <f t="shared" si="35"/>
        <v>23.2852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6"/>
        <v>0216-18</v>
      </c>
      <c r="AE128" s="80" t="str">
        <f t="shared" si="37"/>
        <v>aws s3 cp s3://rtdc.mdm.uploadarchive.raw/RTDC4001/ "%USERPROFILE%\AppData\Local\Temp\OnboardLogs"\RTDC4001\2017-05-18 --exclude "*" --recursive --include "*20170518*" &amp; "%USERPROFILE%\Documents\GitHub\mrs-test-scripts\Headless Mode &amp; Sideloading\WalkAndUnGZ.bat" "%USERPROFILE%\AppData\Local\Temp\OnboardLogs"\RTDC4001\2017-05-18 &amp; 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</v>
      </c>
      <c r="AF128" s="77" t="str">
        <f t="shared" si="38"/>
        <v>"C:\Program Files (x86)\AstroGrep\AstroGrep.exe" /e /r /s /spath="%USERPROFILE%\AppData\Local\Temp\OnboardLogs" /stypes="app*4001*20170519*" /stext=" 01:.+((SYSTEM_STATE.+slice.+state.+changed )|(ment ac)|(multiple cpu faults)|(system.+state.+changed )|(\[timeout)|(PRM\|1\|D)|(kpr)|(kdp)|(train st.+moving)|(\|lc)|(penalty))"</v>
      </c>
      <c r="AG128" s="1" t="str">
        <f t="shared" si="39"/>
        <v>EC</v>
      </c>
      <c r="AH128" s="81" t="str">
        <f t="shared" si="40"/>
        <v>"%USERPROFILE%\Documents\GitHub\eaglep3\Utilities\RefineRTDCRunTimes.py" --tripid 216-18 --locoid 4001 --swversion DE.1.0.9.0 --startMP 204:233028 --initTime 2017-05-18T18:51:05 --startdatetime 2017-05-18T18:56:19 --delay 1 --endMP 204:176 --enddatetime 2017-05-18T19:34:56 --enforcementcount 0 &gt;&gt;C:\Users\stu\Documents\GitHub\eaglep3-reporting\EC\2017-05-18-refined-times.txt</v>
      </c>
      <c r="AI128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{"issue":{"subject":"","project_id":79,"tracker_id":40,"status_id":1,"priority_id":2,"assigned_to_id":23,"start_date":"2017-05-18","description":"","custom_fields":[{"id":1,"name":"Subdivision","value":"EC"},{"id":4,"name":"Milepost","value":"0.0176"},{"id":17,"name":"Train ID","value":"216-18"},{"id":16,"name":"Locomotive ID","value":"4001"},{"id":130,"name":"Impact","value":""},{"id":150,"name":"Time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2"/>
        <v>start /low /b %USERPROFILE%\Documents\GitHub\eaglep3\Utilities\DownloadLogsFromS3.py --loco 4001 --day 2017-05-18</v>
      </c>
      <c r="AN128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781</v>
      </c>
      <c r="B129" s="7">
        <v>4056</v>
      </c>
      <c r="C129" s="21" t="s">
        <v>206</v>
      </c>
      <c r="D129" s="21" t="s">
        <v>362</v>
      </c>
      <c r="E129" s="13">
        <v>42873.755497685182</v>
      </c>
      <c r="F129" s="13">
        <v>42873.757777777777</v>
      </c>
      <c r="G129" s="7">
        <v>1</v>
      </c>
      <c r="H129" s="21" t="s">
        <v>911</v>
      </c>
      <c r="I129" s="13">
        <v>42873.785821759258</v>
      </c>
      <c r="J129" s="7">
        <v>0</v>
      </c>
      <c r="K129" s="92" t="str">
        <f t="shared" si="26"/>
        <v>4055/4056</v>
      </c>
      <c r="L129" s="21" t="str">
        <f>VLOOKUP(A129,'Trips&amp;Operators'!$C$1:$G$99999,5,FALSE)</f>
        <v>BROWN JACOB</v>
      </c>
      <c r="M129" s="6">
        <f t="shared" si="27"/>
        <v>2.8043981481459923E-2</v>
      </c>
      <c r="N129" s="7">
        <f t="shared" si="44"/>
        <v>40.383333333302289</v>
      </c>
      <c r="O129" s="7"/>
      <c r="P129" s="7"/>
      <c r="Q129" s="22"/>
      <c r="R129" s="190"/>
      <c r="S129" s="196">
        <f t="shared" si="28"/>
        <v>1</v>
      </c>
      <c r="T129" s="190" t="str">
        <f t="shared" si="29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0"/>
        <v>https://d0f6bd738d7f1b3e5a7ca70fe4ff75f0.us-east-1.aws.found.io/app/kibana#/discover/Steve-Slow-Train-Analysis-(2080s-and-2083s)?_g=(refreshInterval:(display:Off,pause:!f,section:0,value:0),time:(from:'2017-05-18T17:07:55-0600',mode:absolute,to:'2017-05-18T19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192" t="str">
        <f t="shared" si="31"/>
        <v>N</v>
      </c>
      <c r="X129" s="192">
        <f t="shared" si="45"/>
        <v>1</v>
      </c>
      <c r="Y129" s="192">
        <f t="shared" si="33"/>
        <v>4.6399999999999997E-2</v>
      </c>
      <c r="Z129" s="192">
        <f t="shared" si="34"/>
        <v>23.331499999999998</v>
      </c>
      <c r="AA129" s="192">
        <f t="shared" si="35"/>
        <v>23.2851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6"/>
        <v>0217-18</v>
      </c>
      <c r="AE129" s="80" t="str">
        <f t="shared" si="37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129" s="77" t="str">
        <f t="shared" si="38"/>
        <v>"C:\Program Files (x86)\AstroGrep\AstroGrep.exe" /e /r /s /spath="%USERPROFILE%\AppData\Local\Temp\OnboardLogs" /stypes="app*4056*20170519*" /stext=" 00:.+((SYSTEM_STATE.+slice.+state.+changed )|(ment ac)|(multiple cpu faults)|(system.+state.+changed )|(\[timeout)|(PRM\|1\|D)|(kpr)|(kdp)|(train st.+moving)|(\|lc)|(penalty))"</v>
      </c>
      <c r="AG129" s="1" t="str">
        <f t="shared" si="39"/>
        <v>EC</v>
      </c>
      <c r="AH129" s="81" t="str">
        <f t="shared" si="40"/>
        <v>"%USERPROFILE%\Documents\GitHub\eaglep3\Utilities\RefineRTDCRunTimes.py" --tripid 217-18 --locoid 4056 --swversion DE.1.0.9.0 --startMP 204:464 --initTime 2017-05-18T18:07:55 --startdatetime 2017-05-18T18:11:12 --delay 1 --endMP 204:233315 --enddatetime 2017-05-18T18:51:35 --enforcementcount 0 &gt;&gt;C:\Users\stu\Documents\GitHub\eaglep3-reporting\EC\2017-05-18-refined-times.txt</v>
      </c>
      <c r="AI129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{"issue":{"subject":"","project_id":79,"tracker_id":40,"status_id":1,"priority_id":2,"assigned_to_id":23,"start_date":"2017-05-18","description":"","custom_fields":[{"id":1,"name":"Subdivision","value":"EC"},{"id":4,"name":"Milepost","value":"23.3315"},{"id":17,"name":"Train ID","value":"217-18"},{"id":16,"name":"Locomotive ID","value":"4056"},{"id":130,"name":"Impact","value":""},{"id":150,"name":"Time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2"/>
        <v>start /low /b %USERPROFILE%\Documents\GitHub\eaglep3\Utilities\DownloadLogsFromS3.py --loco 4056 --day 2017-05-18</v>
      </c>
      <c r="AN129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791</v>
      </c>
      <c r="B130" s="7">
        <v>4055</v>
      </c>
      <c r="C130" s="21" t="s">
        <v>206</v>
      </c>
      <c r="D130" s="21" t="s">
        <v>546</v>
      </c>
      <c r="E130" s="13">
        <v>42873.792708333334</v>
      </c>
      <c r="F130" s="13">
        <v>42873.799699074072</v>
      </c>
      <c r="G130" s="7">
        <v>3</v>
      </c>
      <c r="H130" s="21" t="s">
        <v>348</v>
      </c>
      <c r="I130" s="13">
        <v>42873.826747685183</v>
      </c>
      <c r="J130" s="7">
        <v>0</v>
      </c>
      <c r="K130" s="92" t="str">
        <f t="shared" si="26"/>
        <v>4055/4056</v>
      </c>
      <c r="L130" s="21" t="str">
        <f>VLOOKUP(A130,'Trips&amp;Operators'!$C$1:$G$99999,5,FALSE)</f>
        <v>BROWN JACOB</v>
      </c>
      <c r="M130" s="6">
        <f t="shared" si="27"/>
        <v>2.7048611111240461E-2</v>
      </c>
      <c r="N130" s="7">
        <f t="shared" si="44"/>
        <v>38.950000000186265</v>
      </c>
      <c r="O130" s="7"/>
      <c r="P130" s="7"/>
      <c r="Q130" s="22"/>
      <c r="R130" s="190"/>
      <c r="S130" s="196">
        <f t="shared" si="28"/>
        <v>1</v>
      </c>
      <c r="T130" s="190" t="str">
        <f t="shared" si="29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0"/>
        <v>https://d0f6bd738d7f1b3e5a7ca70fe4ff75f0.us-east-1.aws.found.io/app/kibana#/discover/Steve-Slow-Train-Analysis-(2080s-and-2083s)?_g=(refreshInterval:(display:Off,pause:!f,section:0,value:0),time:(from:'2017-05-18T18:01:30-0600',mode:absolute,to:'2017-05-18T20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192" t="str">
        <f t="shared" si="31"/>
        <v>N</v>
      </c>
      <c r="X130" s="192">
        <f t="shared" si="45"/>
        <v>1</v>
      </c>
      <c r="Y130" s="192">
        <f t="shared" si="33"/>
        <v>23.302499999999998</v>
      </c>
      <c r="Z130" s="192">
        <f t="shared" si="34"/>
        <v>1.38E-2</v>
      </c>
      <c r="AA130" s="192">
        <f t="shared" si="35"/>
        <v>23.288699999999999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6"/>
        <v>0218-18</v>
      </c>
      <c r="AE130" s="80" t="str">
        <f t="shared" si="37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130" s="77" t="str">
        <f t="shared" si="38"/>
        <v>"C:\Program Files (x86)\AstroGrep\AstroGrep.exe" /e /r /s /spath="%USERPROFILE%\AppData\Local\Temp\OnboardLogs" /stypes="app*4055*20170519*" /stext=" 01:.+((SYSTEM_STATE.+slice.+state.+changed )|(ment ac)|(multiple cpu faults)|(system.+state.+changed )|(\[timeout)|(PRM\|1\|D)|(kpr)|(kdp)|(train st.+moving)|(\|lc)|(penalty))"</v>
      </c>
      <c r="AG130" s="1" t="str">
        <f t="shared" si="39"/>
        <v>EC</v>
      </c>
      <c r="AH130" s="81" t="str">
        <f t="shared" si="40"/>
        <v>"%USERPROFILE%\Documents\GitHub\eaglep3\Utilities\RefineRTDCRunTimes.py" --tripid 218-18 --locoid 4055 --swversion DE.1.0.9.0 --startMP 204:233025 --initTime 2017-05-18T19:01:30 --startdatetime 2017-05-18T19:11:34 --delay 3 --endMP 204:138 --enddatetime 2017-05-18T19:50:31 --enforcementcount 0 &gt;&gt;C:\Users\stu\Documents\GitHub\eaglep3-reporting\EC\2017-05-18-refined-times.txt</v>
      </c>
      <c r="AI130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{"issue":{"subject":"","project_id":79,"tracker_id":40,"status_id":1,"priority_id":2,"assigned_to_id":23,"start_date":"2017-05-18","description":"","custom_fields":[{"id":1,"name":"Subdivision","value":"EC"},{"id":4,"name":"Milepost","value":"0.0138"},{"id":17,"name":"Train ID","value":"218-18"},{"id":16,"name":"Locomotive ID","value":"4055"},{"id":130,"name":"Impact","value":""},{"id":150,"name":"Time of Event (Mountain Time)","value":"19:50:31"},{"id":151,"name":"Denver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2"/>
        <v>start /low /b %USERPROFILE%\Documents\GitHub\eaglep3\Utilities\DownloadLogsFromS3.py --loco 4055 --day 2017-05-18</v>
      </c>
      <c r="AN130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786</v>
      </c>
      <c r="B131" s="7">
        <v>4014</v>
      </c>
      <c r="C131" s="21" t="s">
        <v>206</v>
      </c>
      <c r="D131" s="21" t="s">
        <v>362</v>
      </c>
      <c r="E131" s="13">
        <v>42873.765601851854</v>
      </c>
      <c r="F131" s="13">
        <v>42873.771064814813</v>
      </c>
      <c r="G131" s="7">
        <v>1</v>
      </c>
      <c r="H131" s="21" t="s">
        <v>912</v>
      </c>
      <c r="I131" s="13">
        <v>42873.796736111108</v>
      </c>
      <c r="J131" s="7">
        <v>0</v>
      </c>
      <c r="K131" s="92" t="str">
        <f t="shared" si="26"/>
        <v>4013/4014</v>
      </c>
      <c r="L131" s="21" t="str">
        <f>VLOOKUP(A131,'Trips&amp;Operators'!$C$1:$G$99999,5,FALSE)</f>
        <v>SWANSON BRYCE</v>
      </c>
      <c r="M131" s="6">
        <f t="shared" si="27"/>
        <v>2.5671296294603962E-2</v>
      </c>
      <c r="N131" s="7">
        <f t="shared" si="44"/>
        <v>36.966666664229706</v>
      </c>
      <c r="O131" s="7"/>
      <c r="P131" s="7"/>
      <c r="Q131" s="22"/>
      <c r="R131" s="190" t="s">
        <v>1044</v>
      </c>
      <c r="S131" s="196">
        <f t="shared" si="28"/>
        <v>1</v>
      </c>
      <c r="T131" s="190" t="str">
        <f t="shared" si="29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0"/>
        <v>https://d0f6bd738d7f1b3e5a7ca70fe4ff75f0.us-east-1.aws.found.io/app/kibana#/discover/Steve-Slow-Train-Analysis-(2080s-and-2083s)?_g=(refreshInterval:(display:Off,pause:!f,section:0,value:0),time:(from:'2017-05-18T17:22:28-0600',mode:absolute,to:'2017-05-18T20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1" s="192" t="str">
        <f t="shared" si="31"/>
        <v>Y</v>
      </c>
      <c r="X131" s="192">
        <f t="shared" si="45"/>
        <v>1</v>
      </c>
      <c r="Y131" s="192">
        <f t="shared" si="33"/>
        <v>4.6399999999999997E-2</v>
      </c>
      <c r="Z131" s="192">
        <f t="shared" si="34"/>
        <v>22.818899999999999</v>
      </c>
      <c r="AA131" s="192">
        <f t="shared" si="35"/>
        <v>22.772500000000001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6"/>
        <v>0219-18</v>
      </c>
      <c r="AE131" s="80" t="str">
        <f t="shared" si="37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131" s="77" t="str">
        <f t="shared" si="38"/>
        <v>"C:\Program Files (x86)\AstroGrep\AstroGrep.exe" /e /r /s /spath="%USERPROFILE%\AppData\Local\Temp\OnboardLogs" /stypes="app*4014*20170519*" /stext=" 01:.+((SYSTEM_STATE.+slice.+state.+changed )|(ment ac)|(multiple cpu faults)|(system.+state.+changed )|(\[timeout)|(PRM\|1\|D)|(kpr)|(kdp)|(train st.+moving)|(\|lc)|(penalty))"</v>
      </c>
      <c r="AG131" s="1" t="str">
        <f t="shared" si="39"/>
        <v>EC</v>
      </c>
      <c r="AH131" s="81" t="str">
        <f t="shared" si="40"/>
        <v>"%USERPROFILE%\Documents\GitHub\eaglep3\Utilities\RefineRTDCRunTimes.py" --tripid 219-18 --locoid 4014 --swversion DE.1.0.9.0 --startMP 204:464 --initTime 2017-05-18T18:22:28 --startdatetime 2017-05-18T18:30:20 --delay 1 --endMP 204:228189 --enddatetime 2017-05-18T19:07:18 --enforcementcount 0 &gt;&gt;C:\Users\stu\Documents\GitHub\eaglep3-reporting\EC\2017-05-18-refined-times.txt</v>
      </c>
      <c r="AI131" s="99" t="str">
        <f t="shared" si="41"/>
        <v>echo {"issue":{"subject":"DTO barricade test","project_id":79,"tracker_id":40,"status_id":1,"priority_id":2,"assigned_to_id":23,"start_date":"2017-05-18","description":"","custom_fields":[{"id":1,"name":"Subdivision","value":"EC"},{"id":4,"name":"Milepost","value":"22.8189"},{"id":17,"name":"Train ID","value":"219-18"},{"id":16,"name":"Locomotive ID","value":"4014"},{"id":130,"name":"Impact","value":""},{"id":150,"name":"Time of Event (Mountain Time)","value":"19:07:18"},{"id":151,"name":"Denver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2"/>
        <v>start /low /b %USERPROFILE%\Documents\GitHub\eaglep3\Utilities\DownloadLogsFromS3.py --loco 4014 --day 2017-05-18</v>
      </c>
      <c r="AN131" s="154" t="str">
        <f t="shared" si="43"/>
        <v>echo {"issue":{"subject":"DTO barricade test","project_id":30,"tracker_id":4,"status_id":1,"priority_id":1,"assigned_to_id":10,"start_date":"2017-05-19","description":"","custom_fields":[{"id":30,"name":"Category","value":"Issue"},{"id":3,"name":"Functional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794</v>
      </c>
      <c r="B132" s="7">
        <v>4013</v>
      </c>
      <c r="C132" s="21" t="s">
        <v>206</v>
      </c>
      <c r="D132" s="21" t="s">
        <v>913</v>
      </c>
      <c r="E132" s="13">
        <v>42873.802743055552</v>
      </c>
      <c r="F132" s="13">
        <v>42873.809861111113</v>
      </c>
      <c r="G132" s="7">
        <v>1</v>
      </c>
      <c r="H132" s="21" t="s">
        <v>354</v>
      </c>
      <c r="I132" s="13">
        <v>42873.83803240741</v>
      </c>
      <c r="J132" s="7">
        <v>0</v>
      </c>
      <c r="K132" s="92" t="str">
        <f t="shared" si="26"/>
        <v>4013/4014</v>
      </c>
      <c r="L132" s="21" t="str">
        <f>VLOOKUP(A132,'Trips&amp;Operators'!$C$1:$G$99999,5,FALSE)</f>
        <v>SWANSON BRYCE</v>
      </c>
      <c r="M132" s="6">
        <f t="shared" si="27"/>
        <v>2.8171296296932269E-2</v>
      </c>
      <c r="N132" s="7">
        <f t="shared" si="44"/>
        <v>40.566666667582467</v>
      </c>
      <c r="O132" s="7"/>
      <c r="P132" s="7"/>
      <c r="Q132" s="22"/>
      <c r="R132" s="190"/>
      <c r="S132" s="196">
        <f t="shared" si="28"/>
        <v>1</v>
      </c>
      <c r="T132" s="190" t="str">
        <f t="shared" si="29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0"/>
        <v>https://d0f6bd738d7f1b3e5a7ca70fe4ff75f0.us-east-1.aws.found.io/app/kibana#/discover/Steve-Slow-Train-Analysis-(2080s-and-2083s)?_g=(refreshInterval:(display:Off,pause:!f,section:0,value:0),time:(from:'2017-05-18T18:15:57-0600',mode:absolute,to:'2017-05-18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2" s="192" t="str">
        <f t="shared" si="31"/>
        <v>N</v>
      </c>
      <c r="X132" s="192">
        <f t="shared" si="45"/>
        <v>1</v>
      </c>
      <c r="Y132" s="192">
        <f t="shared" si="33"/>
        <v>23.308</v>
      </c>
      <c r="Z132" s="192">
        <f t="shared" si="34"/>
        <v>1.6E-2</v>
      </c>
      <c r="AA132" s="192">
        <f t="shared" si="35"/>
        <v>23.292000000000002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6"/>
        <v>0220-18</v>
      </c>
      <c r="AE132" s="80" t="str">
        <f t="shared" si="37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132" s="77" t="str">
        <f t="shared" si="38"/>
        <v>"C:\Program Files (x86)\AstroGrep\AstroGrep.exe" /e /r /s /spath="%USERPROFILE%\AppData\Local\Temp\OnboardLogs" /stypes="app*4013*20170519*" /stext=" 02:.+((SYSTEM_STATE.+slice.+state.+changed )|(ment ac)|(multiple cpu faults)|(system.+state.+changed )|(\[timeout)|(PRM\|1\|D)|(kpr)|(kdp)|(train st.+moving)|(\|lc)|(penalty))"</v>
      </c>
      <c r="AG132" s="1" t="str">
        <f t="shared" si="39"/>
        <v>EC</v>
      </c>
      <c r="AH132" s="81" t="str">
        <f t="shared" si="40"/>
        <v>"%USERPROFILE%\Documents\GitHub\eaglep3\Utilities\RefineRTDCRunTimes.py" --tripid 220-18 --locoid 4013 --swversion DE.1.0.9.0 --startMP 204:233080 --initTime 2017-05-18T19:15:57 --startdatetime 2017-05-18T19:26:12 --delay 1 --endMP 204:160 --enddatetime 2017-05-18T20:06:46 --enforcementcount 0 &gt;&gt;C:\Users\stu\Documents\GitHub\eaglep3-reporting\EC\2017-05-18-refined-times.txt</v>
      </c>
      <c r="AI132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{"issue":{"subject":"","project_id":79,"tracker_id":40,"status_id":1,"priority_id":2,"assigned_to_id":23,"start_date":"2017-05-18","description":"","custom_fields":[{"id":1,"name":"Subdivision","value":"EC"},{"id":4,"name":"Milepost","value":"0.016"},{"id":17,"name":"Train ID","value":"220-18"},{"id":16,"name":"Locomotive ID","value":"4013"},{"id":130,"name":"Impact","value":""},{"id":150,"name":"Time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2"/>
        <v>start /low /b %USERPROFILE%\Documents\GitHub\eaglep3\Utilities\DownloadLogsFromS3.py --loco 4013 --day 2017-05-18</v>
      </c>
      <c r="AN132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790</v>
      </c>
      <c r="B133" s="7">
        <v>4008</v>
      </c>
      <c r="C133" s="21" t="s">
        <v>206</v>
      </c>
      <c r="D133" s="21" t="s">
        <v>431</v>
      </c>
      <c r="E133" s="13">
        <v>42873.788912037038</v>
      </c>
      <c r="F133" s="13">
        <v>42873.792002314818</v>
      </c>
      <c r="G133" s="7">
        <v>1</v>
      </c>
      <c r="H133" s="21" t="s">
        <v>859</v>
      </c>
      <c r="I133" s="13">
        <v>42873.817673611113</v>
      </c>
      <c r="J133" s="7">
        <v>0</v>
      </c>
      <c r="K133" s="92" t="str">
        <f t="shared" si="26"/>
        <v>4007/4008</v>
      </c>
      <c r="L133" s="21" t="str">
        <f>VLOOKUP(A133,'Trips&amp;Operators'!$C$1:$G$99999,5,FALSE)</f>
        <v>GUZMAN DANNY</v>
      </c>
      <c r="M133" s="6">
        <f t="shared" si="27"/>
        <v>2.5671296294603962E-2</v>
      </c>
      <c r="N133" s="7">
        <f t="shared" si="44"/>
        <v>36.966666664229706</v>
      </c>
      <c r="O133" s="7"/>
      <c r="P133" s="7"/>
      <c r="Q133" s="22"/>
      <c r="R133" s="190"/>
      <c r="S133" s="196">
        <f t="shared" si="28"/>
        <v>1</v>
      </c>
      <c r="T133" s="190" t="str">
        <f t="shared" si="29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0"/>
        <v>https://d0f6bd738d7f1b3e5a7ca70fe4ff75f0.us-east-1.aws.found.io/app/kibana#/discover/Steve-Slow-Train-Analysis-(2080s-and-2083s)?_g=(refreshInterval:(display:Off,pause:!f,section:0,value:0),time:(from:'2017-05-18T17:56:02-0600',mode:absolute,to:'2017-05-18T20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2" t="str">
        <f t="shared" si="31"/>
        <v>N</v>
      </c>
      <c r="X133" s="192">
        <f t="shared" si="45"/>
        <v>1</v>
      </c>
      <c r="Y133" s="192">
        <f t="shared" si="33"/>
        <v>4.7300000000000002E-2</v>
      </c>
      <c r="Z133" s="192">
        <f t="shared" si="34"/>
        <v>23.330200000000001</v>
      </c>
      <c r="AA133" s="192">
        <f t="shared" si="35"/>
        <v>23.282900000000001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6"/>
        <v>0221-18</v>
      </c>
      <c r="AE133" s="80" t="str">
        <f t="shared" si="37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133" s="77" t="str">
        <f t="shared" si="38"/>
        <v>"C:\Program Files (x86)\AstroGrep\AstroGrep.exe" /e /r /s /spath="%USERPROFILE%\AppData\Local\Temp\OnboardLogs" /stypes="app*4008*20170519*" /stext=" 01:.+((SYSTEM_STATE.+slice.+state.+changed )|(ment ac)|(multiple cpu faults)|(system.+state.+changed )|(\[timeout)|(PRM\|1\|D)|(kpr)|(kdp)|(train st.+moving)|(\|lc)|(penalty))"</v>
      </c>
      <c r="AG133" s="1" t="str">
        <f t="shared" si="39"/>
        <v>EC</v>
      </c>
      <c r="AH133" s="81" t="str">
        <f t="shared" si="40"/>
        <v>"%USERPROFILE%\Documents\GitHub\eaglep3\Utilities\RefineRTDCRunTimes.py" --tripid 221-18 --locoid 4008 --swversion DE.1.0.9.0 --startMP 204:473 --initTime 2017-05-18T18:56:02 --startdatetime 2017-05-18T19:00:29 --delay 1 --endMP 204:233302 --enddatetime 2017-05-18T19:37:27 --enforcementcount 0 &gt;&gt;C:\Users\stu\Documents\GitHub\eaglep3-reporting\EC\2017-05-18-refined-times.txt</v>
      </c>
      <c r="AI133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{"issue":{"subject":"","project_id":79,"tracker_id":40,"status_id":1,"priority_id":2,"assigned_to_id":23,"start_date":"2017-05-18","description":"","custom_fields":[{"id":1,"name":"Subdivision","value":"EC"},{"id":4,"name":"Milepost","value":"23.3302"},{"id":17,"name":"Train ID","value":"221-18"},{"id":16,"name":"Locomotive ID","value":"4008"},{"id":130,"name":"Impact","value":""},{"id":150,"name":"Time of Event (Mountain Time)","value":"19:37:27"},{"id":151,"name":"Denver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2"/>
        <v>start /low /b %USERPROFILE%\Documents\GitHub\eaglep3\Utilities\DownloadLogsFromS3.py --loco 4008 --day 2017-05-18</v>
      </c>
      <c r="AN133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803</v>
      </c>
      <c r="B134" s="7">
        <v>4007</v>
      </c>
      <c r="C134" s="21" t="s">
        <v>206</v>
      </c>
      <c r="D134" s="21" t="s">
        <v>866</v>
      </c>
      <c r="E134" s="13">
        <v>42873.819444444445</v>
      </c>
      <c r="F134" s="13">
        <v>42873.830717592595</v>
      </c>
      <c r="G134" s="7">
        <v>1</v>
      </c>
      <c r="H134" s="21" t="s">
        <v>544</v>
      </c>
      <c r="I134" s="13">
        <v>42873.857835648145</v>
      </c>
      <c r="J134" s="7">
        <v>0</v>
      </c>
      <c r="K134" s="92" t="str">
        <f t="shared" si="26"/>
        <v>4007/4008</v>
      </c>
      <c r="L134" s="21" t="str">
        <f>VLOOKUP(A134,'Trips&amp;Operators'!$C$1:$G$99999,5,FALSE)</f>
        <v>GUZMAN DANNY</v>
      </c>
      <c r="M134" s="6">
        <f t="shared" si="27"/>
        <v>2.7118055550090503E-2</v>
      </c>
      <c r="N134" s="7">
        <f t="shared" ref="N134:N165" si="46">24*60*SUM($M134:$M134)</f>
        <v>39.049999992130324</v>
      </c>
      <c r="O134" s="7"/>
      <c r="P134" s="7"/>
      <c r="Q134" s="22"/>
      <c r="R134" s="190"/>
      <c r="S134" s="196">
        <f t="shared" si="28"/>
        <v>1</v>
      </c>
      <c r="T134" s="190" t="str">
        <f t="shared" si="29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0"/>
        <v>https://d0f6bd738d7f1b3e5a7ca70fe4ff75f0.us-east-1.aws.found.io/app/kibana#/discover/Steve-Slow-Train-Analysis-(2080s-and-2083s)?_g=(refreshInterval:(display:Off,pause:!f,section:0,value:0),time:(from:'2017-05-18T18:40:00-0600',mode:absolute,to:'2017-05-18T21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2" t="str">
        <f t="shared" si="31"/>
        <v>N</v>
      </c>
      <c r="X134" s="192">
        <f t="shared" si="45"/>
        <v>1</v>
      </c>
      <c r="Y134" s="192">
        <f t="shared" si="33"/>
        <v>23.298300000000001</v>
      </c>
      <c r="Z134" s="192">
        <f t="shared" si="34"/>
        <v>1.29E-2</v>
      </c>
      <c r="AA134" s="192">
        <f t="shared" si="35"/>
        <v>23.285400000000003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6"/>
        <v>0222-18</v>
      </c>
      <c r="AE134" s="80" t="str">
        <f t="shared" si="37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134" s="77" t="str">
        <f t="shared" si="38"/>
        <v>"C:\Program Files (x86)\AstroGrep\AstroGrep.exe" /e /r /s /spath="%USERPROFILE%\AppData\Local\Temp\OnboardLogs" /stypes="app*4007*20170519*" /stext=" 02:.+((SYSTEM_STATE.+slice.+state.+changed )|(ment ac)|(multiple cpu faults)|(system.+state.+changed )|(\[timeout)|(PRM\|1\|D)|(kpr)|(kdp)|(train st.+moving)|(\|lc)|(penalty))"</v>
      </c>
      <c r="AG134" s="1" t="str">
        <f t="shared" si="39"/>
        <v>EC</v>
      </c>
      <c r="AH134" s="81" t="str">
        <f t="shared" si="40"/>
        <v>"%USERPROFILE%\Documents\GitHub\eaglep3\Utilities\RefineRTDCRunTimes.py" --tripid 222-18 --locoid 4007 --swversion DE.1.0.9.0 --startMP 204:232983 --initTime 2017-05-18T19:40:00 --startdatetime 2017-05-18T19:56:14 --delay 1 --endMP 204:129 --enddatetime 2017-05-18T20:35:17 --enforcementcount 0 &gt;&gt;C:\Users\stu\Documents\GitHub\eaglep3-reporting\EC\2017-05-18-refined-times.txt</v>
      </c>
      <c r="AI134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{"issue":{"subject":"","project_id":79,"tracker_id":40,"status_id":1,"priority_id":2,"assigned_to_id":23,"start_date":"2017-05-18","description":"","custom_fields":[{"id":1,"name":"Subdivision","value":"EC"},{"id":4,"name":"Milepost","value":"0.0129"},{"id":17,"name":"Train ID","value":"222-18"},{"id":16,"name":"Locomotive ID","value":"4007"},{"id":130,"name":"Impact","value":""},{"id":150,"name":"Time of Event (Mountain Time)","value":"20:35:17"},{"id":151,"name":"Denver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2"/>
        <v>start /low /b %USERPROFILE%\Documents\GitHub\eaglep3\Utilities\DownloadLogsFromS3.py --loco 4007 --day 2017-05-18</v>
      </c>
      <c r="AN134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796</v>
      </c>
      <c r="B135" s="7">
        <v>4054</v>
      </c>
      <c r="C135" s="21" t="s">
        <v>206</v>
      </c>
      <c r="D135" s="21" t="s">
        <v>365</v>
      </c>
      <c r="E135" s="13">
        <v>42873.810104166667</v>
      </c>
      <c r="F135" s="13">
        <v>42873.812708333331</v>
      </c>
      <c r="G135" s="7">
        <v>1</v>
      </c>
      <c r="H135" s="21" t="s">
        <v>423</v>
      </c>
      <c r="I135" s="13">
        <v>42873.837777777779</v>
      </c>
      <c r="J135" s="7">
        <v>0</v>
      </c>
      <c r="K135" s="92" t="str">
        <f t="shared" si="26"/>
        <v>4053/4054</v>
      </c>
      <c r="L135" s="21" t="str">
        <f>VLOOKUP(A135,'Trips&amp;Operators'!$C$1:$G$99999,5,FALSE)</f>
        <v>YANG JAN</v>
      </c>
      <c r="M135" s="6">
        <f t="shared" si="27"/>
        <v>2.5069444447581191E-2</v>
      </c>
      <c r="N135" s="7">
        <f t="shared" si="46"/>
        <v>36.100000004516914</v>
      </c>
      <c r="O135" s="7"/>
      <c r="P135" s="7"/>
      <c r="Q135" s="22"/>
      <c r="R135" s="190"/>
      <c r="S135" s="196">
        <f t="shared" si="28"/>
        <v>1</v>
      </c>
      <c r="T135" s="190" t="str">
        <f t="shared" si="29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0"/>
        <v>https://d0f6bd738d7f1b3e5a7ca70fe4ff75f0.us-east-1.aws.found.io/app/kibana#/discover/Steve-Slow-Train-Analysis-(2080s-and-2083s)?_g=(refreshInterval:(display:Off,pause:!f,section:0,value:0),time:(from:'2017-05-18T18:26:33-0600',mode:absolute,to:'2017-05-18T21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92" t="str">
        <f t="shared" si="31"/>
        <v>N</v>
      </c>
      <c r="X135" s="192">
        <f t="shared" si="45"/>
        <v>1</v>
      </c>
      <c r="Y135" s="192">
        <f t="shared" si="33"/>
        <v>4.4400000000000002E-2</v>
      </c>
      <c r="Z135" s="192">
        <f t="shared" si="34"/>
        <v>23.328399999999998</v>
      </c>
      <c r="AA135" s="192">
        <f t="shared" si="35"/>
        <v>23.283999999999999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6"/>
        <v>0223-18</v>
      </c>
      <c r="AE135" s="80" t="str">
        <f t="shared" si="37"/>
        <v>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 &amp; 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</v>
      </c>
      <c r="AF135" s="77" t="str">
        <f t="shared" si="38"/>
        <v>"C:\Program Files (x86)\AstroGrep\AstroGrep.exe" /e /r /s /spath="%USERPROFILE%\AppData\Local\Temp\OnboardLogs" /stypes="app*4054*20170519*" /stext=" 02:.+((SYSTEM_STATE.+slice.+state.+changed )|(ment ac)|(multiple cpu faults)|(system.+state.+changed )|(\[timeout)|(PRM\|1\|D)|(kpr)|(kdp)|(train st.+moving)|(\|lc)|(penalty))"</v>
      </c>
      <c r="AG135" s="1" t="str">
        <f t="shared" si="39"/>
        <v>EC</v>
      </c>
      <c r="AH135" s="81" t="str">
        <f t="shared" si="40"/>
        <v>"%USERPROFILE%\Documents\GitHub\eaglep3\Utilities\RefineRTDCRunTimes.py" --tripid 223-18 --locoid 4054 --swversion DE.1.0.9.0 --startMP 204:444 --initTime 2017-05-18T19:26:33 --startdatetime 2017-05-18T19:30:18 --delay 1 --endMP 204:233284 --enddatetime 2017-05-18T20:06:24 --enforcementcount 0 &gt;&gt;C:\Users\stu\Documents\GitHub\eaglep3-reporting\EC\2017-05-18-refined-times.txt</v>
      </c>
      <c r="AI135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{"issue":{"subject":"","project_id":79,"tracker_id":40,"status_id":1,"priority_id":2,"assigned_to_id":23,"start_date":"2017-05-18","description":"","custom_fields":[{"id":1,"name":"Subdivision","value":"EC"},{"id":4,"name":"Milepost","value":"23.3284"},{"id":17,"name":"Train ID","value":"223-18"},{"id":16,"name":"Locomotive ID","value":"4054"},{"id":130,"name":"Impact","value":""},{"id":150,"name":"Time of Event (Mountain Time)","value":"20:06:24"},{"id":151,"name":"Denver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2"/>
        <v>start /low /b %USERPROFILE%\Documents\GitHub\eaglep3\Utilities\DownloadLogsFromS3.py --loco 4054 --day 2017-05-18</v>
      </c>
      <c r="AN135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807</v>
      </c>
      <c r="B136" s="7">
        <v>4053</v>
      </c>
      <c r="C136" s="21" t="s">
        <v>206</v>
      </c>
      <c r="D136" s="21" t="s">
        <v>427</v>
      </c>
      <c r="E136" s="13">
        <v>42873.847337962965</v>
      </c>
      <c r="F136" s="13">
        <v>42873.851574074077</v>
      </c>
      <c r="G136" s="7">
        <v>1</v>
      </c>
      <c r="H136" s="21" t="s">
        <v>914</v>
      </c>
      <c r="I136" s="13">
        <v>42873.879710648151</v>
      </c>
      <c r="J136" s="7">
        <v>0</v>
      </c>
      <c r="K136" s="92" t="str">
        <f t="shared" si="26"/>
        <v>4053/4054</v>
      </c>
      <c r="L136" s="21" t="str">
        <f>VLOOKUP(A136,'Trips&amp;Operators'!$C$1:$G$99999,5,FALSE)</f>
        <v>YANG JAN</v>
      </c>
      <c r="M136" s="6">
        <f t="shared" si="27"/>
        <v>2.8136574073869269E-2</v>
      </c>
      <c r="N136" s="7">
        <f t="shared" si="46"/>
        <v>40.516666666371748</v>
      </c>
      <c r="O136" s="7"/>
      <c r="P136" s="7"/>
      <c r="Q136" s="22"/>
      <c r="R136" s="190"/>
      <c r="S136" s="196">
        <f t="shared" si="28"/>
        <v>1</v>
      </c>
      <c r="T136" s="190" t="str">
        <f t="shared" si="29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0"/>
        <v>https://d0f6bd738d7f1b3e5a7ca70fe4ff75f0.us-east-1.aws.found.io/app/kibana#/discover/Steve-Slow-Train-Analysis-(2080s-and-2083s)?_g=(refreshInterval:(display:Off,pause:!f,section:0,value:0),time:(from:'2017-05-18T19:20:10-0600',mode:absolute,to:'2017-05-18T22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192" t="str">
        <f t="shared" si="31"/>
        <v>N</v>
      </c>
      <c r="X136" s="192">
        <f t="shared" si="45"/>
        <v>1</v>
      </c>
      <c r="Y136" s="192">
        <f t="shared" si="33"/>
        <v>23.297499999999999</v>
      </c>
      <c r="Z136" s="192">
        <f t="shared" si="34"/>
        <v>2.5100000000000001E-2</v>
      </c>
      <c r="AA136" s="192">
        <f t="shared" si="35"/>
        <v>23.272400000000001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6"/>
        <v>0224-18</v>
      </c>
      <c r="AE136" s="80" t="str">
        <f t="shared" si="37"/>
        <v>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 &amp; 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</v>
      </c>
      <c r="AF136" s="77" t="str">
        <f t="shared" si="38"/>
        <v>"C:\Program Files (x86)\AstroGrep\AstroGrep.exe" /e /r /s /spath="%USERPROFILE%\AppData\Local\Temp\OnboardLogs" /stypes="app*4053*20170519*" /stext=" 03:.+((SYSTEM_STATE.+slice.+state.+changed )|(ment ac)|(multiple cpu faults)|(system.+state.+changed )|(\[timeout)|(PRM\|1\|D)|(kpr)|(kdp)|(train st.+moving)|(\|lc)|(penalty))"</v>
      </c>
      <c r="AG136" s="1" t="str">
        <f t="shared" si="39"/>
        <v>EC</v>
      </c>
      <c r="AH136" s="81" t="str">
        <f t="shared" si="40"/>
        <v>"%USERPROFILE%\Documents\GitHub\eaglep3\Utilities\RefineRTDCRunTimes.py" --tripid 224-18 --locoid 4053 --swversion DE.1.0.9.0 --startMP 204:232975 --initTime 2017-05-18T20:20:10 --startdatetime 2017-05-18T20:26:16 --delay 1 --endMP 204:251 --enddatetime 2017-05-18T21:06:47 --enforcementcount 0 &gt;&gt;C:\Users\stu\Documents\GitHub\eaglep3-reporting\EC\2017-05-18-refined-times.txt</v>
      </c>
      <c r="AI136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{"issue":{"subject":"","project_id":79,"tracker_id":40,"status_id":1,"priority_id":2,"assigned_to_id":23,"start_date":"2017-05-18","description":"","custom_fields":[{"id":1,"name":"Subdivision","value":"EC"},{"id":4,"name":"Milepost","value":"0.0251"},{"id":17,"name":"Train ID","value":"224-18"},{"id":16,"name":"Locomotive ID","value":"4053"},{"id":130,"name":"Impact","value":""},{"id":150,"name":"Time of Event (Mountain Time)","value":"21:06:47"},{"id":151,"name":"Denver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2"/>
        <v>start /low /b %USERPROFILE%\Documents\GitHub\eaglep3\Utilities\DownloadLogsFromS3.py --loco 4053 --day 2017-05-18</v>
      </c>
      <c r="AN136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804</v>
      </c>
      <c r="B137" s="7">
        <v>4056</v>
      </c>
      <c r="C137" s="21" t="s">
        <v>206</v>
      </c>
      <c r="D137" s="21" t="s">
        <v>554</v>
      </c>
      <c r="E137" s="13">
        <v>42873.831226851849</v>
      </c>
      <c r="F137" s="13">
        <v>42873.833611111113</v>
      </c>
      <c r="G137" s="7">
        <v>1</v>
      </c>
      <c r="H137" s="21" t="s">
        <v>495</v>
      </c>
      <c r="I137" s="13">
        <v>42873.858761574076</v>
      </c>
      <c r="J137" s="7">
        <v>0</v>
      </c>
      <c r="K137" s="92" t="str">
        <f t="shared" si="26"/>
        <v>4055/4056</v>
      </c>
      <c r="L137" s="21" t="str">
        <f>VLOOKUP(A137,'Trips&amp;Operators'!$C$1:$G$99999,5,FALSE)</f>
        <v>BROWN JACOB</v>
      </c>
      <c r="M137" s="6">
        <f t="shared" si="27"/>
        <v>2.5150462963210884E-2</v>
      </c>
      <c r="N137" s="7">
        <f t="shared" si="46"/>
        <v>36.216666667023674</v>
      </c>
      <c r="O137" s="7"/>
      <c r="P137" s="7"/>
      <c r="Q137" s="22"/>
      <c r="R137" s="190"/>
      <c r="S137" s="196">
        <f t="shared" si="28"/>
        <v>1</v>
      </c>
      <c r="T137" s="190" t="str">
        <f t="shared" si="29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0"/>
        <v>https://d0f6bd738d7f1b3e5a7ca70fe4ff75f0.us-east-1.aws.found.io/app/kibana#/discover/Steve-Slow-Train-Analysis-(2080s-and-2083s)?_g=(refreshInterval:(display:Off,pause:!f,section:0,value:0),time:(from:'2017-05-18T18:56:58-0600',mode:absolute,to:'2017-05-18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7" s="192" t="str">
        <f t="shared" si="31"/>
        <v>N</v>
      </c>
      <c r="X137" s="192">
        <f t="shared" si="45"/>
        <v>1</v>
      </c>
      <c r="Y137" s="192">
        <f t="shared" si="33"/>
        <v>4.3799999999999999E-2</v>
      </c>
      <c r="Z137" s="192">
        <f t="shared" si="34"/>
        <v>23.331199999999999</v>
      </c>
      <c r="AA137" s="192">
        <f t="shared" si="35"/>
        <v>23.287399999999998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6"/>
        <v>0225-18</v>
      </c>
      <c r="AE137" s="80" t="str">
        <f t="shared" si="37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137" s="77" t="str">
        <f t="shared" si="38"/>
        <v>"C:\Program Files (x86)\AstroGrep\AstroGrep.exe" /e /r /s /spath="%USERPROFILE%\AppData\Local\Temp\OnboardLogs" /stypes="app*4056*20170519*" /stext=" 02:.+((SYSTEM_STATE.+slice.+state.+changed )|(ment ac)|(multiple cpu faults)|(system.+state.+changed )|(\[timeout)|(PRM\|1\|D)|(kpr)|(kdp)|(train st.+moving)|(\|lc)|(penalty))"</v>
      </c>
      <c r="AG137" s="1" t="str">
        <f t="shared" si="39"/>
        <v>EC</v>
      </c>
      <c r="AH137" s="81" t="str">
        <f t="shared" si="40"/>
        <v>"%USERPROFILE%\Documents\GitHub\eaglep3\Utilities\RefineRTDCRunTimes.py" --tripid 225-18 --locoid 4056 --swversion DE.1.0.9.0 --startMP 204:438 --initTime 2017-05-18T19:56:58 --startdatetime 2017-05-18T20:00:24 --delay 1 --endMP 204:233312 --enddatetime 2017-05-18T20:36:37 --enforcementcount 0 &gt;&gt;C:\Users\stu\Documents\GitHub\eaglep3-reporting\EC\2017-05-18-refined-times.txt</v>
      </c>
      <c r="AI137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{"issue":{"subject":"","project_id":79,"tracker_id":40,"status_id":1,"priority_id":2,"assigned_to_id":23,"start_date":"2017-05-18","description":"","custom_fields":[{"id":1,"name":"Subdivision","value":"EC"},{"id":4,"name":"Milepost","value":"23.3312"},{"id":17,"name":"Train ID","value":"225-18"},{"id":16,"name":"Locomotive ID","value":"4056"},{"id":130,"name":"Impact","value":""},{"id":150,"name":"Time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2"/>
        <v>start /low /b %USERPROFILE%\Documents\GitHub\eaglep3\Utilities\DownloadLogsFromS3.py --loco 4056 --day 2017-05-18</v>
      </c>
      <c r="AN137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809</v>
      </c>
      <c r="B138" s="7">
        <v>4055</v>
      </c>
      <c r="C138" s="21" t="s">
        <v>206</v>
      </c>
      <c r="D138" s="21" t="s">
        <v>449</v>
      </c>
      <c r="E138" s="13">
        <v>42873.869004629632</v>
      </c>
      <c r="F138" s="13">
        <v>42873.872361111113</v>
      </c>
      <c r="G138" s="7">
        <v>1</v>
      </c>
      <c r="H138" s="21" t="s">
        <v>915</v>
      </c>
      <c r="I138" s="13">
        <v>42873.900601851848</v>
      </c>
      <c r="J138" s="7">
        <v>0</v>
      </c>
      <c r="K138" s="92" t="str">
        <f t="shared" si="26"/>
        <v>4055/4056</v>
      </c>
      <c r="L138" s="21" t="str">
        <f>VLOOKUP(A138,'Trips&amp;Operators'!$C$1:$G$99999,5,FALSE)</f>
        <v>BROWN JACOB</v>
      </c>
      <c r="M138" s="6">
        <f t="shared" si="27"/>
        <v>2.824074073578231E-2</v>
      </c>
      <c r="N138" s="7">
        <f t="shared" si="46"/>
        <v>40.666666659526527</v>
      </c>
      <c r="O138" s="7"/>
      <c r="P138" s="7"/>
      <c r="Q138" s="22"/>
      <c r="R138" s="190"/>
      <c r="S138" s="196">
        <f t="shared" si="28"/>
        <v>1</v>
      </c>
      <c r="T138" s="190" t="str">
        <f t="shared" si="29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0"/>
        <v>https://d0f6bd738d7f1b3e5a7ca70fe4ff75f0.us-east-1.aws.found.io/app/kibana#/discover/Steve-Slow-Train-Analysis-(2080s-and-2083s)?_g=(refreshInterval:(display:Off,pause:!f,section:0,value:0),time:(from:'2017-05-18T19:51:22-0600',mode:absolute,to:'2017-05-18T22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8" s="192" t="str">
        <f t="shared" si="31"/>
        <v>N</v>
      </c>
      <c r="X138" s="192">
        <f t="shared" si="45"/>
        <v>1</v>
      </c>
      <c r="Y138" s="192">
        <f t="shared" si="33"/>
        <v>23.299600000000002</v>
      </c>
      <c r="Z138" s="192">
        <f t="shared" si="34"/>
        <v>1.6899999999999998E-2</v>
      </c>
      <c r="AA138" s="192">
        <f t="shared" si="35"/>
        <v>23.282700000000002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6"/>
        <v>0226-18</v>
      </c>
      <c r="AE138" s="80" t="str">
        <f t="shared" si="37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138" s="77" t="str">
        <f t="shared" si="38"/>
        <v>"C:\Program Files (x86)\AstroGrep\AstroGrep.exe" /e /r /s /spath="%USERPROFILE%\AppData\Local\Temp\OnboardLogs" /stypes="app*4055*20170519*" /stext=" 03:.+((SYSTEM_STATE.+slice.+state.+changed )|(ment ac)|(multiple cpu faults)|(system.+state.+changed )|(\[timeout)|(PRM\|1\|D)|(kpr)|(kdp)|(train st.+moving)|(\|lc)|(penalty))"</v>
      </c>
      <c r="AG138" s="1" t="str">
        <f t="shared" si="39"/>
        <v>EC</v>
      </c>
      <c r="AH138" s="81" t="str">
        <f t="shared" si="40"/>
        <v>"%USERPROFILE%\Documents\GitHub\eaglep3\Utilities\RefineRTDCRunTimes.py" --tripid 226-18 --locoid 4055 --swversion DE.1.0.9.0 --startMP 204:232996 --initTime 2017-05-18T20:51:22 --startdatetime 2017-05-18T20:56:12 --delay 1 --endMP 204:169 --enddatetime 2017-05-18T21:36:52 --enforcementcount 0 &gt;&gt;C:\Users\stu\Documents\GitHub\eaglep3-reporting\EC\2017-05-18-refined-times.txt</v>
      </c>
      <c r="AI138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{"issue":{"subject":"","project_id":79,"tracker_id":40,"status_id":1,"priority_id":2,"assigned_to_id":23,"start_date":"2017-05-18","description":"","custom_fields":[{"id":1,"name":"Subdivision","value":"EC"},{"id":4,"name":"Milepost","value":"0.0169"},{"id":17,"name":"Train ID","value":"226-18"},{"id":16,"name":"Locomotive ID","value":"4055"},{"id":130,"name":"Impact","value":""},{"id":150,"name":"Time of Event (Mountain Time)","value":"21:36:52"},{"id":151,"name":"Denver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2"/>
        <v>start /low /b %USERPROFILE%\Documents\GitHub\eaglep3\Utilities\DownloadLogsFromS3.py --loco 4055 --day 2017-05-18</v>
      </c>
      <c r="AN138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805</v>
      </c>
      <c r="B139" s="7">
        <v>4014</v>
      </c>
      <c r="C139" s="21" t="s">
        <v>206</v>
      </c>
      <c r="D139" s="21" t="s">
        <v>355</v>
      </c>
      <c r="E139" s="13">
        <v>42873.839189814818</v>
      </c>
      <c r="F139" s="13">
        <v>42873.854363425926</v>
      </c>
      <c r="G139" s="7">
        <v>1</v>
      </c>
      <c r="H139" s="21" t="s">
        <v>504</v>
      </c>
      <c r="I139" s="13">
        <v>42873.88009259259</v>
      </c>
      <c r="J139" s="7">
        <v>0</v>
      </c>
      <c r="K139" s="92" t="str">
        <f t="shared" si="26"/>
        <v>4013/4014</v>
      </c>
      <c r="L139" s="21" t="str">
        <f>VLOOKUP(A139,'Trips&amp;Operators'!$C$1:$G$99999,5,FALSE)</f>
        <v>SWANSON BRYCE</v>
      </c>
      <c r="M139" s="6">
        <f t="shared" si="27"/>
        <v>2.5729166663950309E-2</v>
      </c>
      <c r="N139" s="7">
        <f t="shared" si="46"/>
        <v>37.049999996088445</v>
      </c>
      <c r="O139" s="7"/>
      <c r="P139" s="7"/>
      <c r="Q139" s="22"/>
      <c r="R139" s="190"/>
      <c r="S139" s="196">
        <f t="shared" si="28"/>
        <v>1</v>
      </c>
      <c r="T139" s="190" t="str">
        <f t="shared" si="29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0"/>
        <v>https://d0f6bd738d7f1b3e5a7ca70fe4ff75f0.us-east-1.aws.found.io/app/kibana#/discover/Steve-Slow-Train-Analysis-(2080s-and-2083s)?_g=(refreshInterval:(display:Off,pause:!f,section:0,value:0),time:(from:'2017-05-18T19:08:26-0600',mode:absolute,to:'2017-05-18T22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192" t="str">
        <f t="shared" si="31"/>
        <v>N</v>
      </c>
      <c r="X139" s="192">
        <f t="shared" si="45"/>
        <v>1</v>
      </c>
      <c r="Y139" s="192">
        <f t="shared" si="33"/>
        <v>4.58E-2</v>
      </c>
      <c r="Z139" s="192">
        <f t="shared" si="34"/>
        <v>23.340800000000002</v>
      </c>
      <c r="AA139" s="192">
        <f t="shared" si="35"/>
        <v>23.295000000000002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6"/>
        <v>0227-18</v>
      </c>
      <c r="AE139" s="80" t="str">
        <f t="shared" si="37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139" s="77" t="str">
        <f t="shared" si="38"/>
        <v>"C:\Program Files (x86)\AstroGrep\AstroGrep.exe" /e /r /s /spath="%USERPROFILE%\AppData\Local\Temp\OnboardLogs" /stypes="app*4014*20170519*" /stext=" 03:.+((SYSTEM_STATE.+slice.+state.+changed )|(ment ac)|(multiple cpu faults)|(system.+state.+changed )|(\[timeout)|(PRM\|1\|D)|(kpr)|(kdp)|(train st.+moving)|(\|lc)|(penalty))"</v>
      </c>
      <c r="AG139" s="1" t="str">
        <f t="shared" si="39"/>
        <v>EC</v>
      </c>
      <c r="AH139" s="81" t="str">
        <f t="shared" si="40"/>
        <v>"%USERPROFILE%\Documents\GitHub\eaglep3\Utilities\RefineRTDCRunTimes.py" --tripid 227-18 --locoid 4014 --swversion DE.1.0.9.0 --startMP 204:458 --initTime 2017-05-18T20:08:26 --startdatetime 2017-05-18T20:30:17 --delay 1 --endMP 204:233408 --enddatetime 2017-05-18T21:07:20 --enforcementcount 0 &gt;&gt;C:\Users\stu\Documents\GitHub\eaglep3-reporting\EC\2017-05-18-refined-times.txt</v>
      </c>
      <c r="AI139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{"issue":{"subject":"","project_id":79,"tracker_id":40,"status_id":1,"priority_id":2,"assigned_to_id":23,"start_date":"2017-05-18","description":"","custom_fields":[{"id":1,"name":"Subdivision","value":"EC"},{"id":4,"name":"Milepost","value":"23.3408"},{"id":17,"name":"Train ID","value":"227-18"},{"id":16,"name":"Locomotive ID","value":"4014"},{"id":130,"name":"Impact","value":""},{"id":150,"name":"Time of Event (Mountain Time)","value":"21:07:20"},{"id":151,"name":"Denver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42"/>
        <v>start /low /b %USERPROFILE%\Documents\GitHub\eaglep3\Utilities\DownloadLogsFromS3.py --loco 4014 --day 2017-05-18</v>
      </c>
      <c r="AN139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812</v>
      </c>
      <c r="B140" s="7">
        <v>4013</v>
      </c>
      <c r="C140" s="21" t="s">
        <v>206</v>
      </c>
      <c r="D140" s="21" t="s">
        <v>916</v>
      </c>
      <c r="E140" s="13">
        <v>42873.883148148147</v>
      </c>
      <c r="F140" s="13">
        <v>42873.893275462964</v>
      </c>
      <c r="G140" s="7">
        <v>1</v>
      </c>
      <c r="H140" s="21" t="s">
        <v>448</v>
      </c>
      <c r="I140" s="13">
        <v>42873.921157407407</v>
      </c>
      <c r="J140" s="7">
        <v>0</v>
      </c>
      <c r="K140" s="92" t="str">
        <f t="shared" si="26"/>
        <v>4013/4014</v>
      </c>
      <c r="L140" s="21" t="str">
        <f>VLOOKUP(A140,'Trips&amp;Operators'!$C$1:$G$99999,5,FALSE)</f>
        <v>SWANSON BRYCE</v>
      </c>
      <c r="M140" s="6">
        <f t="shared" si="27"/>
        <v>2.7881944442924578E-2</v>
      </c>
      <c r="N140" s="7">
        <f t="shared" si="46"/>
        <v>40.149999997811392</v>
      </c>
      <c r="O140" s="7"/>
      <c r="P140" s="7"/>
      <c r="Q140" s="22"/>
      <c r="R140" s="190"/>
      <c r="S140" s="196">
        <f t="shared" si="28"/>
        <v>1</v>
      </c>
      <c r="T140" s="190" t="str">
        <f t="shared" si="29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0"/>
        <v>https://d0f6bd738d7f1b3e5a7ca70fe4ff75f0.us-east-1.aws.found.io/app/kibana#/discover/Steve-Slow-Train-Analysis-(2080s-and-2083s)?_g=(refreshInterval:(display:Off,pause:!f,section:0,value:0),time:(from:'2017-05-18T20:11:44-0600',mode:absolute,to:'2017-05-18T23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192" t="str">
        <f t="shared" si="31"/>
        <v>N</v>
      </c>
      <c r="X140" s="192">
        <f t="shared" si="45"/>
        <v>1</v>
      </c>
      <c r="Y140" s="192">
        <f t="shared" si="33"/>
        <v>23.3094</v>
      </c>
      <c r="Z140" s="192">
        <f t="shared" si="34"/>
        <v>1.21E-2</v>
      </c>
      <c r="AA140" s="192">
        <f t="shared" si="35"/>
        <v>23.2973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6"/>
        <v>0228-18</v>
      </c>
      <c r="AE140" s="80" t="str">
        <f t="shared" si="37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140" s="77" t="str">
        <f t="shared" si="38"/>
        <v>"C:\Program Files (x86)\AstroGrep\AstroGrep.exe" /e /r /s /spath="%USERPROFILE%\AppData\Local\Temp\OnboardLogs" /stypes="app*4013*20170519*" /stext=" 04:.+((SYSTEM_STATE.+slice.+state.+changed )|(ment ac)|(multiple cpu faults)|(system.+state.+changed )|(\[timeout)|(PRM\|1\|D)|(kpr)|(kdp)|(train st.+moving)|(\|lc)|(penalty))"</v>
      </c>
      <c r="AG140" s="1" t="str">
        <f t="shared" si="39"/>
        <v>EC</v>
      </c>
      <c r="AH140" s="81" t="str">
        <f t="shared" si="40"/>
        <v>"%USERPROFILE%\Documents\GitHub\eaglep3\Utilities\RefineRTDCRunTimes.py" --tripid 228-18 --locoid 4013 --swversion DE.1.0.9.0 --startMP 204:233094 --initTime 2017-05-18T21:11:44 --startdatetime 2017-05-18T21:26:19 --delay 1 --endMP 204:121 --enddatetime 2017-05-18T22:06:28 --enforcementcount 0 &gt;&gt;C:\Users\stu\Documents\GitHub\eaglep3-reporting\EC\2017-05-18-refined-times.txt</v>
      </c>
      <c r="AI140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{"issue":{"subject":"","project_id":79,"tracker_id":40,"status_id":1,"priority_id":2,"assigned_to_id":23,"start_date":"2017-05-18","description":"","custom_fields":[{"id":1,"name":"Subdivision","value":"EC"},{"id":4,"name":"Milepost","value":"0.0121"},{"id":17,"name":"Train ID","value":"228-18"},{"id":16,"name":"Locomotive ID","value":"4013"},{"id":130,"name":"Impact","value":""},{"id":150,"name":"Time of Event (Mountain Time)","value":"22:06:28"},{"id":151,"name":"Denver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2"/>
        <v>start /low /b %USERPROFILE%\Documents\GitHub\eaglep3\Utilities\DownloadLogsFromS3.py --loco 4013 --day 2017-05-18</v>
      </c>
      <c r="AN140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810</v>
      </c>
      <c r="B141" s="7">
        <v>4008</v>
      </c>
      <c r="C141" s="21" t="s">
        <v>206</v>
      </c>
      <c r="D141" s="21" t="s">
        <v>917</v>
      </c>
      <c r="E141" s="13">
        <v>42873.872615740744</v>
      </c>
      <c r="F141" s="13">
        <v>42873.875254629631</v>
      </c>
      <c r="G141" s="7">
        <v>1</v>
      </c>
      <c r="H141" s="21" t="s">
        <v>490</v>
      </c>
      <c r="I141" s="13">
        <v>42873.901041666664</v>
      </c>
      <c r="J141" s="7">
        <v>0</v>
      </c>
      <c r="K141" s="92" t="str">
        <f t="shared" ref="K141:K204" si="47">IF(ISEVEN(B141),(B141-1)&amp;"/"&amp;B141,B141&amp;"/"&amp;(B141+1))</f>
        <v>4007/4008</v>
      </c>
      <c r="L141" s="21" t="str">
        <f>VLOOKUP(A141,'Trips&amp;Operators'!$C$1:$G$99999,5,FALSE)</f>
        <v>CHANDLER KELVIN</v>
      </c>
      <c r="M141" s="6">
        <f t="shared" ref="M141:M204" si="48">I141-F141</f>
        <v>2.5787037033296656E-2</v>
      </c>
      <c r="N141" s="7">
        <f t="shared" si="46"/>
        <v>37.133333327947184</v>
      </c>
      <c r="O141" s="7"/>
      <c r="P141" s="7"/>
      <c r="Q141" s="22"/>
      <c r="R141" s="190"/>
      <c r="S141" s="196">
        <f t="shared" ref="S141:S204" si="49">SUM(U141:U141)/IF(AG141="EC",12,1)</f>
        <v>1</v>
      </c>
      <c r="T141" s="190" t="str">
        <f t="shared" ref="T141:T204" si="50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-18T19:56:34-0600',mode:absolute,to:'2017-05-18T22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2" t="str">
        <f t="shared" ref="W141:W204" si="52">IF(AA141&lt;IF(AG141="EC",23,5.65),"Y","N")</f>
        <v>N</v>
      </c>
      <c r="X141" s="192">
        <f t="shared" si="45"/>
        <v>1</v>
      </c>
      <c r="Y141" s="192">
        <f t="shared" ref="Y141:Y204" si="53">RIGHT(D141,LEN(D141)-4)/10000</f>
        <v>3.9600000000000003E-2</v>
      </c>
      <c r="Z141" s="192">
        <f t="shared" ref="Z141:Z204" si="54">RIGHT(H141,LEN(H141)-4)/10000</f>
        <v>23.328900000000001</v>
      </c>
      <c r="AA141" s="192">
        <f t="shared" ref="AA141:AA204" si="55">ABS(Z141-Y141)</f>
        <v>23.289300000000001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6">IF(LEN(A141)=6,"0"&amp;A141,A141)</f>
        <v>0229-18</v>
      </c>
      <c r="AE141" s="80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141" s="77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/stypes="app*4008*20170519*"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59">IFERROR(IF(VALUE(LEFT(AD141,2))&lt;=2,"EC",IF(OR(VALUE(LEFT(AD141,2))=8,VALUE(LEFT(AD141,2))=18),"NW","Other")),"Other")</f>
        <v>EC</v>
      </c>
      <c r="AH141" s="81" t="str">
        <f t="shared" si="40"/>
        <v>"%USERPROFILE%\Documents\GitHub\eaglep3\Utilities\RefineRTDCRunTimes.py" --tripid 229-18 --locoid 4008 --swversion DE.1.0.9.0 --startMP 204:396 --initTime 2017-05-18T20:56:34 --startdatetime 2017-05-18T21:00:22 --delay 1 --endMP 204:233289 --enddatetime 2017-05-18T21:37:30 --enforcementcount 0 &gt;&gt;C:\Users\stu\Documents\GitHub\eaglep3-reporting\EC\2017-05-18-refined-times.txt</v>
      </c>
      <c r="AI141" s="99" t="str">
        <f t="shared" si="41"/>
        <v>echo {"issue":{"subject":"","project_id":79,"tracker_id":40,"status_id":1,"priority_id":2,"assigned_to_id":23,"start_date":"2017-05-18","description":"","custom_fields":[{"id":1,"name":"Subdivision","value":"EC"},{"id":4,"name":"Milepost","value":"23.3289"},{"id":17,"name":"Train ID","value":"229-18"},{"id":16,"name":"Locomotive ID","value":"4008"},{"id":130,"name":"Impact","value":""},{"id":150,"name":"Time of Event (Mountain Time)","value":"21:37:30"},{"id":151,"name":"Denver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2"/>
        <v>start /low /b %USERPROFILE%\Documents\GitHub\eaglep3\Utilities\DownloadLogsFromS3.py --loco 4008 --day 2017-05-18</v>
      </c>
      <c r="AN141" s="154" t="str">
        <f t="shared" si="4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814</v>
      </c>
      <c r="B142" s="7">
        <v>4007</v>
      </c>
      <c r="C142" s="21" t="s">
        <v>206</v>
      </c>
      <c r="D142" s="21" t="s">
        <v>903</v>
      </c>
      <c r="E142" s="13">
        <v>42873.912905092591</v>
      </c>
      <c r="F142" s="13">
        <v>42873.914131944446</v>
      </c>
      <c r="G142" s="7">
        <v>1</v>
      </c>
      <c r="H142" s="21" t="s">
        <v>422</v>
      </c>
      <c r="I142" s="13">
        <v>42873.943148148152</v>
      </c>
      <c r="J142" s="7">
        <v>0</v>
      </c>
      <c r="K142" s="92" t="str">
        <f t="shared" si="47"/>
        <v>4007/4008</v>
      </c>
      <c r="L142" s="21" t="str">
        <f>VLOOKUP(A142,'Trips&amp;Operators'!$C$1:$G$99999,5,FALSE)</f>
        <v>CHANDLER KELVIN</v>
      </c>
      <c r="M142" s="6">
        <f t="shared" si="48"/>
        <v>2.9016203705396038E-2</v>
      </c>
      <c r="N142" s="7">
        <f t="shared" si="46"/>
        <v>41.783333335770294</v>
      </c>
      <c r="O142" s="7"/>
      <c r="P142" s="7"/>
      <c r="Q142" s="22"/>
      <c r="R142" s="190"/>
      <c r="S142" s="196">
        <f t="shared" si="49"/>
        <v>1</v>
      </c>
      <c r="T142" s="190" t="str">
        <f t="shared" si="50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1"/>
        <v>https://d0f6bd738d7f1b3e5a7ca70fe4ff75f0.us-east-1.aws.found.io/app/kibana#/discover/Steve-Slow-Train-Analysis-(2080s-and-2083s)?_g=(refreshInterval:(display:Off,pause:!f,section:0,value:0),time:(from:'2017-05-18T20:54:35-0600',mode:absolute,to:'2017-05-18T23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2" t="str">
        <f t="shared" si="52"/>
        <v>N</v>
      </c>
      <c r="X142" s="192">
        <f t="shared" si="45"/>
        <v>1</v>
      </c>
      <c r="Y142" s="192">
        <f t="shared" si="53"/>
        <v>23.297000000000001</v>
      </c>
      <c r="Z142" s="192">
        <f t="shared" si="54"/>
        <v>1.54E-2</v>
      </c>
      <c r="AA142" s="192">
        <f t="shared" si="55"/>
        <v>23.281600000000001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6"/>
        <v>0230-18</v>
      </c>
      <c r="AE142" s="80" t="str">
        <f t="shared" si="57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142" s="77" t="str">
        <f t="shared" si="58"/>
        <v>"C:\Program Files (x86)\AstroGrep\AstroGrep.exe" /e /r /s /spath="%USERPROFILE%\AppData\Local\Temp\OnboardLogs" /stypes="app*4007*20170519*" /stext=" 04:.+((SYSTEM_STATE.+slice.+state.+changed )|(ment ac)|(multiple cpu faults)|(system.+state.+changed )|(\[timeout)|(PRM\|1\|D)|(kpr)|(kdp)|(train st.+moving)|(\|lc)|(penalty))"</v>
      </c>
      <c r="AG142" s="1" t="str">
        <f t="shared" si="59"/>
        <v>EC</v>
      </c>
      <c r="AH142" s="81" t="str">
        <f t="shared" ref="AH142:AH204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230-18 --locoid 4007 --swversion DE.1.0.9.0 --startMP 204:232970 --initTime 2017-05-18T21:54:35 --startdatetime 2017-05-18T21:56:21 --delay 1 --endMP 204:154 --enddatetime 2017-05-18T22:38:08 --enforcementcount 0 &gt;&gt;C:\Users\stu\Documents\GitHub\eaglep3-reporting\EC\2017-05-18-refined-times.txt</v>
      </c>
      <c r="AI142" s="99" t="str">
        <f t="shared" ref="AI142:AI204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{"issue":{"subject":"","project_id":79,"tracker_id":40,"status_id":1,"priority_id":2,"assigned_to_id":23,"start_date":"2017-05-18","description":"","custom_fields":[{"id":1,"name":"Subdivision","value":"EC"},{"id":4,"name":"Milepost","value":"0.0154"},{"id":17,"name":"Train ID","value":"230-18"},{"id":16,"name":"Locomotive ID","value":"4007"},{"id":130,"name":"Impact","value":""},{"id":150,"name":"Time of Event (Mountain Time)","value":"22:38:08"},{"id":151,"name":"Denver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4" si="62">"start /low /b "&amp;dls3logs&amp;" --loco "&amp;B142&amp;" --day "&amp;TEXT(F142,"YYYY-MM-DD")</f>
        <v>start /low /b %USERPROFILE%\Documents\GitHub\eaglep3\Utilities\DownloadLogsFromS3.py --loco 4007 --day 2017-05-18</v>
      </c>
      <c r="AN142" s="154" t="str">
        <f t="shared" ref="AN142:AN204" si="6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04:38:08"},{"id":29,"name":"Sharepoint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813</v>
      </c>
      <c r="B143" s="7">
        <v>4054</v>
      </c>
      <c r="C143" s="21" t="s">
        <v>206</v>
      </c>
      <c r="D143" s="21" t="s">
        <v>444</v>
      </c>
      <c r="E143" s="13">
        <v>42873.883171296293</v>
      </c>
      <c r="F143" s="13">
        <v>42873.896099537036</v>
      </c>
      <c r="G143" s="7">
        <v>2</v>
      </c>
      <c r="H143" s="21" t="s">
        <v>407</v>
      </c>
      <c r="I143" s="13">
        <v>42873.922175925924</v>
      </c>
      <c r="J143" s="7">
        <v>0</v>
      </c>
      <c r="K143" s="92" t="str">
        <f t="shared" si="47"/>
        <v>4053/4054</v>
      </c>
      <c r="L143" s="21" t="str">
        <f>VLOOKUP(A143,'Trips&amp;Operators'!$C$1:$G$99999,5,FALSE)</f>
        <v>FORTUNATO FRANK</v>
      </c>
      <c r="M143" s="6">
        <f t="shared" si="48"/>
        <v>2.6076388887304347E-2</v>
      </c>
      <c r="N143" s="7">
        <f t="shared" si="46"/>
        <v>37.54999999771826</v>
      </c>
      <c r="O143" s="7"/>
      <c r="P143" s="7"/>
      <c r="Q143" s="22"/>
      <c r="R143" s="190"/>
      <c r="S143" s="196">
        <f t="shared" si="49"/>
        <v>1</v>
      </c>
      <c r="T143" s="190" t="str">
        <f t="shared" si="50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1"/>
        <v>https://d0f6bd738d7f1b3e5a7ca70fe4ff75f0.us-east-1.aws.found.io/app/kibana#/discover/Steve-Slow-Train-Analysis-(2080s-and-2083s)?_g=(refreshInterval:(display:Off,pause:!f,section:0,value:0),time:(from:'2017-05-18T20:11:46-0600',mode:absolute,to:'2017-05-18T23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92" t="str">
        <f t="shared" si="52"/>
        <v>N</v>
      </c>
      <c r="X143" s="192">
        <f t="shared" si="45"/>
        <v>1</v>
      </c>
      <c r="Y143" s="192">
        <f t="shared" si="53"/>
        <v>4.6899999999999997E-2</v>
      </c>
      <c r="Z143" s="192">
        <f t="shared" si="54"/>
        <v>23.3293</v>
      </c>
      <c r="AA143" s="192">
        <f t="shared" si="55"/>
        <v>23.282399999999999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6"/>
        <v>0231-18</v>
      </c>
      <c r="AE143" s="80" t="str">
        <f t="shared" si="57"/>
        <v>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 &amp; 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</v>
      </c>
      <c r="AF143" s="77" t="str">
        <f t="shared" si="58"/>
        <v>"C:\Program Files (x86)\AstroGrep\AstroGrep.exe" /e /r /s /spath="%USERPROFILE%\AppData\Local\Temp\OnboardLogs" /stypes="app*4054*20170519*" /stext=" 04:.+((SYSTEM_STATE.+slice.+state.+changed )|(ment ac)|(multiple cpu faults)|(system.+state.+changed )|(\[timeout)|(PRM\|1\|D)|(kpr)|(kdp)|(train st.+moving)|(\|lc)|(penalty))"</v>
      </c>
      <c r="AG143" s="1" t="str">
        <f t="shared" si="59"/>
        <v>EC</v>
      </c>
      <c r="AH143" s="81" t="str">
        <f t="shared" si="60"/>
        <v>"%USERPROFILE%\Documents\GitHub\eaglep3\Utilities\RefineRTDCRunTimes.py" --tripid 231-18 --locoid 4054 --swversion DE.1.0.9.0 --startMP 204:469 --initTime 2017-05-18T21:11:46 --startdatetime 2017-05-18T21:30:23 --delay 2 --endMP 204:233293 --enddatetime 2017-05-18T22:07:56 --enforcementcount 0 &gt;&gt;C:\Users\stu\Documents\GitHub\eaglep3-reporting\EC\2017-05-18-refined-times.txt</v>
      </c>
      <c r="AI143" s="99" t="str">
        <f t="shared" si="61"/>
        <v>echo {"issue":{"subject":"","project_id":79,"tracker_id":40,"status_id":1,"priority_id":2,"assigned_to_id":23,"start_date":"2017-05-18","description":"","custom_fields":[{"id":1,"name":"Subdivision","value":"EC"},{"id":4,"name":"Milepost","value":"23.3293"},{"id":17,"name":"Train ID","value":"231-18"},{"id":16,"name":"Locomotive ID","value":"4054"},{"id":130,"name":"Impact","value":""},{"id":150,"name":"Time of Event (Mountain Time)","value":"22:07:56"},{"id":151,"name":"Denver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2"/>
        <v>start /low /b %USERPROFILE%\Documents\GitHub\eaglep3\Utilities\DownloadLogsFromS3.py --loco 4054 --day 2017-05-18</v>
      </c>
      <c r="AN143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04:07:56"},{"id":29,"name":"Sharepoint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613</v>
      </c>
      <c r="B144" s="7">
        <v>4053</v>
      </c>
      <c r="C144" s="21" t="s">
        <v>206</v>
      </c>
      <c r="D144" s="21" t="s">
        <v>429</v>
      </c>
      <c r="E144" s="13">
        <v>42873.926307870373</v>
      </c>
      <c r="F144" s="13">
        <v>42873.934930555559</v>
      </c>
      <c r="G144" s="7">
        <v>1</v>
      </c>
      <c r="H144" s="21" t="s">
        <v>377</v>
      </c>
      <c r="I144" s="13">
        <v>42873.963402777779</v>
      </c>
      <c r="J144" s="7">
        <v>0</v>
      </c>
      <c r="K144" s="92" t="str">
        <f t="shared" si="47"/>
        <v>4053/4054</v>
      </c>
      <c r="L144" s="21" t="str">
        <f>VLOOKUP(A144,'Trips&amp;Operators'!$C$1:$G$99999,5,FALSE)</f>
        <v>FORTUNATO FRANK</v>
      </c>
      <c r="M144" s="6">
        <f t="shared" si="48"/>
        <v>2.8472222220443655E-2</v>
      </c>
      <c r="N144" s="7">
        <f t="shared" si="46"/>
        <v>40.999999997438863</v>
      </c>
      <c r="O144" s="7"/>
      <c r="P144" s="7"/>
      <c r="Q144" s="22"/>
      <c r="R144" s="190"/>
      <c r="S144" s="196">
        <f t="shared" si="49"/>
        <v>1</v>
      </c>
      <c r="T144" s="190" t="str">
        <f t="shared" si="50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1"/>
        <v>https://d0f6bd738d7f1b3e5a7ca70fe4ff75f0.us-east-1.aws.found.io/app/kibana#/discover/Steve-Slow-Train-Analysis-(2080s-and-2083s)?_g=(refreshInterval:(display:Off,pause:!f,section:0,value:0),time:(from:'2017-05-18T21:13:53-0600',mode:absolute,to:'2017-05-19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192" t="str">
        <f t="shared" si="52"/>
        <v>N</v>
      </c>
      <c r="X144" s="192">
        <f t="shared" si="45"/>
        <v>1</v>
      </c>
      <c r="Y144" s="192">
        <f t="shared" si="53"/>
        <v>23.298200000000001</v>
      </c>
      <c r="Z144" s="192">
        <f t="shared" si="54"/>
        <v>1.3599999999999999E-2</v>
      </c>
      <c r="AA144" s="192">
        <f t="shared" si="55"/>
        <v>23.284600000000001</v>
      </c>
      <c r="AB144" s="57" t="str">
        <f>VLOOKUP(A144,Enforcements!$C$7:$K$13,8,0)</f>
        <v>Bulletin (2)</v>
      </c>
      <c r="AC144" s="53" t="str">
        <f>VLOOKUP(A144,Enforcements!$C$7:$E$13,3,0)</f>
        <v>GRADE CROSSING</v>
      </c>
      <c r="AD144" s="54" t="str">
        <f t="shared" si="56"/>
        <v>0232-18</v>
      </c>
      <c r="AE144" s="80" t="str">
        <f t="shared" si="57"/>
        <v>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 &amp; 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</v>
      </c>
      <c r="AF144" s="77" t="str">
        <f t="shared" si="58"/>
        <v>"C:\Program Files (x86)\AstroGrep\AstroGrep.exe" /e /r /s /spath="%USERPROFILE%\AppData\Local\Temp\OnboardLogs" /stypes="app*4053*20170519*" /stext=" 05:.+((SYSTEM_STATE.+slice.+state.+changed )|(ment ac)|(multiple cpu faults)|(system.+state.+changed )|(\[timeout)|(PRM\|1\|D)|(kpr)|(kdp)|(train st.+moving)|(\|lc)|(penalty))"</v>
      </c>
      <c r="AG144" s="1" t="str">
        <f t="shared" si="59"/>
        <v>EC</v>
      </c>
      <c r="AH144" s="81" t="str">
        <f t="shared" si="60"/>
        <v>"%USERPROFILE%\Documents\GitHub\eaglep3\Utilities\RefineRTDCRunTimes.py" --tripid 232-18 --locoid 4053 --swversion DE.1.0.9.0 --startMP 204:232982 --initTime 2017-05-18T22:13:53 --startdatetime 2017-05-18T22:26:18 --delay 1 --endMP 204:136 --enddatetime 2017-05-18T23:07:18 --enforcementcount 0 &gt;&gt;C:\Users\stu\Documents\GitHub\eaglep3-reporting\EC\2017-05-18-refined-times.txt</v>
      </c>
      <c r="AI144" s="99" t="str">
        <f t="shared" si="61"/>
        <v>echo {"issue":{"subject":"","project_id":79,"tracker_id":40,"status_id":1,"priority_id":2,"assigned_to_id":23,"start_date":"2017-05-18","description":"","custom_fields":[{"id":1,"name":"Subdivision","value":"EC"},{"id":4,"name":"Milepost","value":"0.0136"},{"id":17,"name":"Train ID","value":"232-18"},{"id":16,"name":"Locomotive ID","value":"4053"},{"id":130,"name":"Impact","value":""},{"id":150,"name":"Time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2"/>
        <v>start /low /b %USERPROFILE%\Documents\GitHub\eaglep3\Utilities\DownloadLogsFromS3.py --loco 4053 --day 2017-05-18</v>
      </c>
      <c r="AN144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815</v>
      </c>
      <c r="B145" s="7">
        <v>4056</v>
      </c>
      <c r="C145" s="21" t="s">
        <v>206</v>
      </c>
      <c r="D145" s="21" t="s">
        <v>506</v>
      </c>
      <c r="E145" s="13">
        <v>42873.912986111114</v>
      </c>
      <c r="F145" s="13">
        <v>42873.917083333334</v>
      </c>
      <c r="G145" s="7">
        <v>1</v>
      </c>
      <c r="H145" s="21" t="s">
        <v>884</v>
      </c>
      <c r="I145" s="13">
        <v>42873.942546296297</v>
      </c>
      <c r="J145" s="7">
        <v>0</v>
      </c>
      <c r="K145" s="92" t="str">
        <f t="shared" si="47"/>
        <v>4055/4056</v>
      </c>
      <c r="L145" s="21" t="str">
        <f>VLOOKUP(A145,'Trips&amp;Operators'!$C$1:$G$99999,5,FALSE)</f>
        <v>BROWN JACOB</v>
      </c>
      <c r="M145" s="6">
        <f t="shared" si="48"/>
        <v>2.5462962963501923E-2</v>
      </c>
      <c r="N145" s="7">
        <f t="shared" si="46"/>
        <v>36.666666667442769</v>
      </c>
      <c r="O145" s="7"/>
      <c r="P145" s="7"/>
      <c r="Q145" s="22"/>
      <c r="R145" s="190"/>
      <c r="S145" s="196">
        <f t="shared" si="49"/>
        <v>1</v>
      </c>
      <c r="T145" s="190" t="str">
        <f t="shared" si="50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1"/>
        <v>https://d0f6bd738d7f1b3e5a7ca70fe4ff75f0.us-east-1.aws.found.io/app/kibana#/discover/Steve-Slow-Train-Analysis-(2080s-and-2083s)?_g=(refreshInterval:(display:Off,pause:!f,section:0,value:0),time:(from:'2017-05-18T20:54:42-0600',mode:absolute,to:'2017-05-18T23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5" s="192" t="str">
        <f t="shared" si="52"/>
        <v>N</v>
      </c>
      <c r="X145" s="192">
        <f t="shared" ref="X145:X150" si="64">VALUE(LEFT(AD145,4))-VALUE(LEFT(AD144,4))</f>
        <v>1</v>
      </c>
      <c r="Y145" s="192">
        <f t="shared" si="53"/>
        <v>4.7800000000000002E-2</v>
      </c>
      <c r="Z145" s="192">
        <f t="shared" si="54"/>
        <v>23.331900000000001</v>
      </c>
      <c r="AA145" s="192">
        <f t="shared" si="55"/>
        <v>23.284100000000002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6"/>
        <v>0233-18</v>
      </c>
      <c r="AE145" s="80" t="str">
        <f t="shared" si="57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145" s="77" t="str">
        <f t="shared" si="58"/>
        <v>"C:\Program Files (x86)\AstroGrep\AstroGrep.exe" /e /r /s /spath="%USERPROFILE%\AppData\Local\Temp\OnboardLogs" /stypes="app*4056*20170519*" /stext=" 04:.+((SYSTEM_STATE.+slice.+state.+changed )|(ment ac)|(multiple cpu faults)|(system.+state.+changed )|(\[timeout)|(PRM\|1\|D)|(kpr)|(kdp)|(train st.+moving)|(\|lc)|(penalty))"</v>
      </c>
      <c r="AG145" s="1" t="str">
        <f t="shared" si="59"/>
        <v>EC</v>
      </c>
      <c r="AH145" s="81" t="str">
        <f t="shared" si="60"/>
        <v>"%USERPROFILE%\Documents\GitHub\eaglep3\Utilities\RefineRTDCRunTimes.py" --tripid 233-18 --locoid 4056 --swversion DE.1.0.9.0 --startMP 204:478 --initTime 2017-05-18T21:54:42 --startdatetime 2017-05-18T22:00:36 --delay 1 --endMP 204:233319 --enddatetime 2017-05-18T22:37:16 --enforcementcount 0 &gt;&gt;C:\Users\stu\Documents\GitHub\eaglep3-reporting\EC\2017-05-18-refined-times.txt</v>
      </c>
      <c r="AI145" s="99" t="str">
        <f t="shared" si="61"/>
        <v>echo {"issue":{"subject":"","project_id":79,"tracker_id":40,"status_id":1,"priority_id":2,"assigned_to_id":23,"start_date":"2017-05-18","description":"","custom_fields":[{"id":1,"name":"Subdivision","value":"EC"},{"id":4,"name":"Milepost","value":"23.3319"},{"id":17,"name":"Train ID","value":"233-18"},{"id":16,"name":"Locomotive ID","value":"4056"},{"id":130,"name":"Impact","value":""},{"id":150,"name":"Time of Event (Mountain Time)","value":"22:37:16"},{"id":151,"name":"Denver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2"/>
        <v>start /low /b %USERPROFILE%\Documents\GitHub\eaglep3\Utilities\DownloadLogsFromS3.py --loco 4056 --day 2017-05-18</v>
      </c>
      <c r="AN145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04:37:16"},{"id":29,"name":"Sharepoint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818</v>
      </c>
      <c r="B146" s="7">
        <v>4055</v>
      </c>
      <c r="C146" s="21" t="s">
        <v>206</v>
      </c>
      <c r="D146" s="21" t="s">
        <v>430</v>
      </c>
      <c r="E146" s="13">
        <v>42873.952881944446</v>
      </c>
      <c r="F146" s="13">
        <v>42873.955868055556</v>
      </c>
      <c r="G146" s="7">
        <v>1</v>
      </c>
      <c r="H146" s="21" t="s">
        <v>198</v>
      </c>
      <c r="I146" s="13">
        <v>42873.983622685184</v>
      </c>
      <c r="J146" s="7">
        <v>0</v>
      </c>
      <c r="K146" s="92" t="str">
        <f t="shared" si="47"/>
        <v>4055/4056</v>
      </c>
      <c r="L146" s="21" t="str">
        <f>VLOOKUP(A146,'Trips&amp;Operators'!$C$1:$G$99999,5,FALSE)</f>
        <v>BROWN JACOB</v>
      </c>
      <c r="M146" s="6">
        <f t="shared" si="48"/>
        <v>2.7754629627452232E-2</v>
      </c>
      <c r="N146" s="7">
        <f t="shared" si="46"/>
        <v>39.966666663531214</v>
      </c>
      <c r="O146" s="7"/>
      <c r="P146" s="7"/>
      <c r="Q146" s="22"/>
      <c r="R146" s="190"/>
      <c r="S146" s="196">
        <f t="shared" si="49"/>
        <v>1</v>
      </c>
      <c r="T146" s="190" t="str">
        <f t="shared" si="50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1"/>
        <v>https://d0f6bd738d7f1b3e5a7ca70fe4ff75f0.us-east-1.aws.found.io/app/kibana#/discover/Steve-Slow-Train-Analysis-(2080s-and-2083s)?_g=(refreshInterval:(display:Off,pause:!f,section:0,value:0),time:(from:'2017-05-18T21:52:09-0600',mode:absolute,to:'2017-05-19T00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6" s="192" t="str">
        <f t="shared" si="52"/>
        <v>N</v>
      </c>
      <c r="X146" s="192">
        <f t="shared" si="64"/>
        <v>1</v>
      </c>
      <c r="Y146" s="192">
        <f t="shared" si="53"/>
        <v>23.301100000000002</v>
      </c>
      <c r="Z146" s="192">
        <f t="shared" si="54"/>
        <v>1.5800000000000002E-2</v>
      </c>
      <c r="AA146" s="192">
        <f t="shared" si="55"/>
        <v>23.285300000000003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6"/>
        <v>0234-18</v>
      </c>
      <c r="AE146" s="80" t="str">
        <f t="shared" si="57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146" s="77" t="str">
        <f t="shared" si="58"/>
        <v>"C:\Program Files (x86)\AstroGrep\AstroGrep.exe" /e /r /s /spath="%USERPROFILE%\AppData\Local\Temp\OnboardLogs" /stypes="app*4055*20170519*" /stext=" 05:.+((SYSTEM_STATE.+slice.+state.+changed )|(ment ac)|(multiple cpu faults)|(system.+state.+changed )|(\[timeout)|(PRM\|1\|D)|(kpr)|(kdp)|(train st.+moving)|(\|lc)|(penalty))"</v>
      </c>
      <c r="AG146" s="1" t="str">
        <f t="shared" si="59"/>
        <v>EC</v>
      </c>
      <c r="AH146" s="81" t="str">
        <f t="shared" si="60"/>
        <v>"%USERPROFILE%\Documents\GitHub\eaglep3\Utilities\RefineRTDCRunTimes.py" --tripid 234-18 --locoid 4055 --swversion DE.1.0.9.0 --startMP 204:233011 --initTime 2017-05-18T22:52:09 --startdatetime 2017-05-18T22:56:27 --delay 1 --endMP 204:158 --enddatetime 2017-05-18T23:36:25 --enforcementcount 0 &gt;&gt;C:\Users\stu\Documents\GitHub\eaglep3-reporting\EC\2017-05-18-refined-times.txt</v>
      </c>
      <c r="AI146" s="99" t="str">
        <f t="shared" si="61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ID","value":"234-18"},{"id":16,"name":"Locomotive ID","value":"4055"},{"id":130,"name":"Impact","value":""},{"id":150,"name":"Time of Event (Mountain Time)","value":"23:36:25"},{"id":151,"name":"Denver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62"/>
        <v>start /low /b %USERPROFILE%\Documents\GitHub\eaglep3\Utilities\DownloadLogsFromS3.py --loco 4055 --day 2017-05-18</v>
      </c>
      <c r="AN146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05:36:25"},{"id":29,"name":"Sharepoint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614</v>
      </c>
      <c r="B147" s="7">
        <v>4014</v>
      </c>
      <c r="C147" s="21" t="s">
        <v>206</v>
      </c>
      <c r="D147" s="21" t="s">
        <v>878</v>
      </c>
      <c r="E147" s="13">
        <v>42873.923946759256</v>
      </c>
      <c r="F147" s="13">
        <v>42873.937731481485</v>
      </c>
      <c r="G147" s="7">
        <v>1</v>
      </c>
      <c r="H147" s="21" t="s">
        <v>553</v>
      </c>
      <c r="I147" s="13">
        <v>42873.963171296295</v>
      </c>
      <c r="J147" s="7">
        <v>0</v>
      </c>
      <c r="K147" s="92" t="str">
        <f t="shared" si="47"/>
        <v>4013/4014</v>
      </c>
      <c r="L147" s="21" t="str">
        <f>VLOOKUP(A147,'Trips&amp;Operators'!$C$1:$G$99999,5,FALSE)</f>
        <v>SWANSON BRYCE</v>
      </c>
      <c r="M147" s="6">
        <f t="shared" si="48"/>
        <v>2.5439814809942618E-2</v>
      </c>
      <c r="N147" s="7">
        <f t="shared" si="46"/>
        <v>36.63333332631737</v>
      </c>
      <c r="O147" s="7"/>
      <c r="P147" s="7"/>
      <c r="Q147" s="22"/>
      <c r="R147" s="190"/>
      <c r="S147" s="196">
        <f t="shared" si="49"/>
        <v>1</v>
      </c>
      <c r="T147" s="190" t="str">
        <f t="shared" si="50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1"/>
        <v>https://d0f6bd738d7f1b3e5a7ca70fe4ff75f0.us-east-1.aws.found.io/app/kibana#/discover/Steve-Slow-Train-Analysis-(2080s-and-2083s)?_g=(refreshInterval:(display:Off,pause:!f,section:0,value:0),time:(from:'2017-05-18T21:10:29-0600',mode:absolute,to:'2017-05-19T00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192" t="str">
        <f t="shared" si="52"/>
        <v>N</v>
      </c>
      <c r="X147" s="192">
        <f t="shared" si="64"/>
        <v>1</v>
      </c>
      <c r="Y147" s="192">
        <f t="shared" si="53"/>
        <v>4.3999999999999997E-2</v>
      </c>
      <c r="Z147" s="192">
        <f t="shared" si="54"/>
        <v>23.3355</v>
      </c>
      <c r="AA147" s="192">
        <f t="shared" si="55"/>
        <v>23.291499999999999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6"/>
        <v>0235-18</v>
      </c>
      <c r="AE147" s="80" t="str">
        <f t="shared" si="57"/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AF147" s="77" t="str">
        <f t="shared" si="58"/>
        <v>"C:\Program Files (x86)\AstroGrep\AstroGrep.exe" /e /r /s /spath="%USERPROFILE%\AppData\Local\Temp\OnboardLogs" /stypes="app*4014*20170519*" /stext=" 05:.+((SYSTEM_STATE.+slice.+state.+changed )|(ment ac)|(multiple cpu faults)|(system.+state.+changed )|(\[timeout)|(PRM\|1\|D)|(kpr)|(kdp)|(train st.+moving)|(\|lc)|(penalty))"</v>
      </c>
      <c r="AG147" s="1" t="str">
        <f t="shared" si="59"/>
        <v>EC</v>
      </c>
      <c r="AH147" s="81" t="str">
        <f t="shared" si="60"/>
        <v>"%USERPROFILE%\Documents\GitHub\eaglep3\Utilities\RefineRTDCRunTimes.py" --tripid 235-18 --locoid 4014 --swversion DE.1.0.9.0 --startMP 204:440 --initTime 2017-05-18T22:10:29 --startdatetime 2017-05-18T22:30:20 --delay 1 --endMP 204:233355 --enddatetime 2017-05-18T23:06:58 --enforcementcount 0 &gt;&gt;C:\Users\stu\Documents\GitHub\eaglep3-reporting\EC\2017-05-18-refined-times.txt</v>
      </c>
      <c r="AI147" s="99" t="str">
        <f t="shared" si="61"/>
        <v>echo {"issue":{"subject":"","project_id":79,"tracker_id":40,"status_id":1,"priority_id":2,"assigned_to_id":23,"start_date":"2017-05-18","description":"","custom_fields":[{"id":1,"name":"Subdivision","value":"EC"},{"id":4,"name":"Milepost","value":"23.3355"},{"id":17,"name":"Train ID","value":"235-18"},{"id":16,"name":"Locomotive ID","value":"4014"},{"id":130,"name":"Impact","value":""},{"id":150,"name":"Time of Event (Mountain Time)","value":"23:06:58"},{"id":151,"name":"Denver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2"/>
        <v>start /low /b %USERPROFILE%\Documents\GitHub\eaglep3\Utilities\DownloadLogsFromS3.py --loco 4014 --day 2017-05-18</v>
      </c>
      <c r="AN147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820</v>
      </c>
      <c r="B148" s="7">
        <v>4013</v>
      </c>
      <c r="C148" s="21" t="s">
        <v>206</v>
      </c>
      <c r="D148" s="21" t="s">
        <v>918</v>
      </c>
      <c r="E148" s="13">
        <v>42873.964421296296</v>
      </c>
      <c r="F148" s="13">
        <v>42873.976539351854</v>
      </c>
      <c r="G148" s="7">
        <v>1</v>
      </c>
      <c r="H148" s="21" t="s">
        <v>354</v>
      </c>
      <c r="I148" s="13">
        <v>42874.004525462966</v>
      </c>
      <c r="J148" s="7">
        <v>0</v>
      </c>
      <c r="K148" s="92" t="str">
        <f t="shared" si="47"/>
        <v>4013/4014</v>
      </c>
      <c r="L148" s="21" t="str">
        <f>VLOOKUP(A148,'Trips&amp;Operators'!$C$1:$G$99999,5,FALSE)</f>
        <v>SWANSON BRYCE</v>
      </c>
      <c r="M148" s="6">
        <f t="shared" si="48"/>
        <v>2.7986111112113576E-2</v>
      </c>
      <c r="N148" s="7">
        <f t="shared" si="46"/>
        <v>40.30000000144355</v>
      </c>
      <c r="O148" s="7"/>
      <c r="P148" s="7"/>
      <c r="Q148" s="22"/>
      <c r="R148" s="190"/>
      <c r="S148" s="196">
        <f t="shared" si="49"/>
        <v>1</v>
      </c>
      <c r="T148" s="190" t="str">
        <f t="shared" si="50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1"/>
        <v>https://d0f6bd738d7f1b3e5a7ca70fe4ff75f0.us-east-1.aws.found.io/app/kibana#/discover/Steve-Slow-Train-Analysis-(2080s-and-2083s)?_g=(refreshInterval:(display:Off,pause:!f,section:0,value:0),time:(from:'2017-05-18T22:08:46-0600',mode:absolute,to:'2017-05-19T01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192" t="str">
        <f t="shared" si="52"/>
        <v>N</v>
      </c>
      <c r="X148" s="192">
        <f t="shared" si="64"/>
        <v>1</v>
      </c>
      <c r="Y148" s="192">
        <f t="shared" si="53"/>
        <v>23.3066</v>
      </c>
      <c r="Z148" s="192">
        <f t="shared" si="54"/>
        <v>1.6E-2</v>
      </c>
      <c r="AA148" s="192">
        <f t="shared" si="55"/>
        <v>23.290600000000001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6"/>
        <v>0236-18</v>
      </c>
      <c r="AE148" s="80" t="str">
        <f t="shared" si="57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148" s="77" t="str">
        <f t="shared" si="58"/>
        <v>"C:\Program Files (x86)\AstroGrep\AstroGrep.exe" /e /r /s /spath="%USERPROFILE%\AppData\Local\Temp\OnboardLogs" /stypes="app*4013*20170519*" /stext=" 06:.+((SYSTEM_STATE.+slice.+state.+changed )|(ment ac)|(multiple cpu faults)|(system.+state.+changed )|(\[timeout)|(PRM\|1\|D)|(kpr)|(kdp)|(train st.+moving)|(\|lc)|(penalty))"</v>
      </c>
      <c r="AG148" s="1" t="str">
        <f t="shared" si="59"/>
        <v>EC</v>
      </c>
      <c r="AH148" s="81" t="str">
        <f t="shared" si="60"/>
        <v>"%USERPROFILE%\Documents\GitHub\eaglep3\Utilities\RefineRTDCRunTimes.py" --tripid 236-18 --locoid 4013 --swversion DE.1.0.9.0 --startMP 204:233066 --initTime 2017-05-18T23:08:46 --startdatetime 2017-05-18T23:26:13 --delay 1 --endMP 204:160 --enddatetime 2017-05-19T00:06:31 --enforcementcount 0 &gt;&gt;C:\Users\stu\Documents\GitHub\eaglep3-reporting\EC\2017-05-18-refined-times.txt</v>
      </c>
      <c r="AI148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{"issue":{"subject":"","project_id":79,"tracker_id":40,"status_id":1,"priority_id":2,"assigned_to_id":23,"start_date":"2017-05-19","description":"","custom_fields":[{"id":1,"name":"Subdivision","value":"EC"},{"id":4,"name":"Milepost","value":"0.016"},{"id":17,"name":"Train ID","value":"236-18"},{"id":16,"name":"Locomotive ID","value":"4013"},{"id":130,"name":"Impact","value":""},{"id":150,"name":"Time of Event (Mountain Time)","value":"00:06:31"},{"id":151,"name":"Denver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62"/>
        <v>start /low /b %USERPROFILE%\Documents\GitHub\eaglep3\Utilities\DownloadLogsFromS3.py --loco 4013 --day 2017-05-18</v>
      </c>
      <c r="AN148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819</v>
      </c>
      <c r="B149" s="7">
        <v>4008</v>
      </c>
      <c r="C149" s="21" t="s">
        <v>206</v>
      </c>
      <c r="D149" s="21" t="s">
        <v>347</v>
      </c>
      <c r="E149" s="13">
        <v>42873.954039351855</v>
      </c>
      <c r="F149" s="13">
        <v>42873.958553240744</v>
      </c>
      <c r="G149" s="7">
        <v>1</v>
      </c>
      <c r="H149" s="21" t="s">
        <v>919</v>
      </c>
      <c r="I149" s="13">
        <v>42873.98400462963</v>
      </c>
      <c r="J149" s="7">
        <v>0</v>
      </c>
      <c r="K149" s="92" t="str">
        <f t="shared" si="47"/>
        <v>4007/4008</v>
      </c>
      <c r="L149" s="21" t="str">
        <f>VLOOKUP(A149,'Trips&amp;Operators'!$C$1:$G$99999,5,FALSE)</f>
        <v>CHANDLER KELVIN</v>
      </c>
      <c r="M149" s="6">
        <f t="shared" si="48"/>
        <v>2.545138888672227E-2</v>
      </c>
      <c r="N149" s="7">
        <f t="shared" si="46"/>
        <v>36.649999996880069</v>
      </c>
      <c r="O149" s="7"/>
      <c r="P149" s="7"/>
      <c r="Q149" s="22"/>
      <c r="R149" s="190"/>
      <c r="S149" s="196">
        <f t="shared" si="49"/>
        <v>1</v>
      </c>
      <c r="T149" s="190" t="str">
        <f t="shared" si="50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1"/>
        <v>https://d0f6bd738d7f1b3e5a7ca70fe4ff75f0.us-east-1.aws.found.io/app/kibana#/discover/Steve-Slow-Train-Analysis-(2080s-and-2083s)?_g=(refreshInterval:(display:Off,pause:!f,section:0,value:0),time:(from:'2017-05-18T21:53:49-0600',mode:absolute,to:'2017-05-19T00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2" t="str">
        <f t="shared" si="52"/>
        <v>N</v>
      </c>
      <c r="X149" s="192">
        <f t="shared" si="64"/>
        <v>1</v>
      </c>
      <c r="Y149" s="192">
        <f t="shared" si="53"/>
        <v>4.4900000000000002E-2</v>
      </c>
      <c r="Z149" s="192">
        <f t="shared" si="54"/>
        <v>23.328499999999998</v>
      </c>
      <c r="AA149" s="192">
        <f t="shared" si="55"/>
        <v>23.2836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6"/>
        <v>0237-18</v>
      </c>
      <c r="AE149" s="80" t="str">
        <f t="shared" si="57"/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AF149" s="77" t="str">
        <f t="shared" si="58"/>
        <v>"C:\Program Files (x86)\AstroGrep\AstroGrep.exe" /e /r /s /spath="%USERPROFILE%\AppData\Local\Temp\OnboardLogs" /stypes="app*4008*20170519*" /stext=" 05:.+((SYSTEM_STATE.+slice.+state.+changed )|(ment ac)|(multiple cpu faults)|(system.+state.+changed )|(\[timeout)|(PRM\|1\|D)|(kpr)|(kdp)|(train st.+moving)|(\|lc)|(penalty))"</v>
      </c>
      <c r="AG149" s="1" t="str">
        <f t="shared" si="59"/>
        <v>EC</v>
      </c>
      <c r="AH149" s="81" t="str">
        <f t="shared" si="60"/>
        <v>"%USERPROFILE%\Documents\GitHub\eaglep3\Utilities\RefineRTDCRunTimes.py" --tripid 237-18 --locoid 4008 --swversion DE.1.0.9.0 --startMP 204:449 --initTime 2017-05-18T22:53:49 --startdatetime 2017-05-18T23:00:19 --delay 1 --endMP 204:233285 --enddatetime 2017-05-18T23:36:58 --enforcementcount 0 &gt;&gt;C:\Users\stu\Documents\GitHub\eaglep3-reporting\EC\2017-05-18-refined-times.txt</v>
      </c>
      <c r="AI149" s="99" t="str">
        <f t="shared" si="61"/>
        <v>echo {"issue":{"subject":"","project_id":79,"tracker_id":40,"status_id":1,"priority_id":2,"assigned_to_id":23,"start_date":"2017-05-18","description":"","custom_fields":[{"id":1,"name":"Subdivision","value":"EC"},{"id":4,"name":"Milepost","value":"23.3285"},{"id":17,"name":"Train ID","value":"237-18"},{"id":16,"name":"Locomotive ID","value":"4008"},{"id":130,"name":"Impact","value":""},{"id":150,"name":"Time of Event (Mountain Time)","value":"23:36:58"},{"id":151,"name":"Denver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2"/>
        <v>start /low /b %USERPROFILE%\Documents\GitHub\eaglep3\Utilities\DownloadLogsFromS3.py --loco 4008 --day 2017-05-18</v>
      </c>
      <c r="AN149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05:36:58"},{"id":29,"name":"Sharepoint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618</v>
      </c>
      <c r="B150" s="7">
        <v>4007</v>
      </c>
      <c r="C150" s="21" t="s">
        <v>206</v>
      </c>
      <c r="D150" s="21" t="s">
        <v>428</v>
      </c>
      <c r="E150" s="13">
        <v>42873.992407407408</v>
      </c>
      <c r="F150" s="13">
        <v>42873.997569444444</v>
      </c>
      <c r="G150" s="7">
        <v>1</v>
      </c>
      <c r="H150" s="21" t="s">
        <v>920</v>
      </c>
      <c r="I150" s="13">
        <v>42874.025405092594</v>
      </c>
      <c r="J150" s="7">
        <v>0</v>
      </c>
      <c r="K150" s="92" t="str">
        <f t="shared" si="47"/>
        <v>4007/4008</v>
      </c>
      <c r="L150" s="21" t="str">
        <f>VLOOKUP(A150,'Trips&amp;Operators'!$C$1:$G$99999,5,FALSE)</f>
        <v>CHANDLER KELVIN</v>
      </c>
      <c r="M150" s="6">
        <f t="shared" si="48"/>
        <v>2.7835648150357883E-2</v>
      </c>
      <c r="N150" s="7">
        <f t="shared" si="46"/>
        <v>40.083333336515352</v>
      </c>
      <c r="O150" s="7"/>
      <c r="P150" s="7"/>
      <c r="Q150" s="22"/>
      <c r="R150" s="190"/>
      <c r="S150" s="196">
        <f t="shared" si="49"/>
        <v>1</v>
      </c>
      <c r="T150" s="190" t="str">
        <f t="shared" si="50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1"/>
        <v>https://d0f6bd738d7f1b3e5a7ca70fe4ff75f0.us-east-1.aws.found.io/app/kibana#/discover/Steve-Slow-Train-Analysis-(2080s-and-2083s)?_g=(refreshInterval:(display:Off,pause:!f,section:0,value:0),time:(from:'2017-05-18T22:49:04-0600',mode:absolute,to:'2017-05-19T01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2" t="str">
        <f t="shared" si="52"/>
        <v>N</v>
      </c>
      <c r="X150" s="192">
        <f t="shared" si="64"/>
        <v>1</v>
      </c>
      <c r="Y150" s="192">
        <f t="shared" si="53"/>
        <v>23.2974</v>
      </c>
      <c r="Z150" s="192">
        <f t="shared" si="54"/>
        <v>1.8499999999999999E-2</v>
      </c>
      <c r="AA150" s="192">
        <f t="shared" si="55"/>
        <v>23.2789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6"/>
        <v>0238-18</v>
      </c>
      <c r="AE150" s="80" t="str">
        <f t="shared" si="57"/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AF150" s="77" t="str">
        <f t="shared" si="58"/>
        <v>"C:\Program Files (x86)\AstroGrep\AstroGrep.exe" /e /r /s /spath="%USERPROFILE%\AppData\Local\Temp\OnboardLogs" /stypes="app*4007*20170519*" /stext=" 06:.+((SYSTEM_STATE.+slice.+state.+changed )|(ment ac)|(multiple cpu faults)|(system.+state.+changed )|(\[timeout)|(PRM\|1\|D)|(kpr)|(kdp)|(train st.+moving)|(\|lc)|(penalty))"</v>
      </c>
      <c r="AG150" s="1" t="str">
        <f t="shared" si="59"/>
        <v>EC</v>
      </c>
      <c r="AH150" s="81" t="str">
        <f t="shared" si="60"/>
        <v>"%USERPROFILE%\Documents\GitHub\eaglep3\Utilities\RefineRTDCRunTimes.py" --tripid 238-18 --locoid 4007 --swversion DE.1.0.9.0 --startMP 204:232974 --initTime 2017-05-18T23:49:04 --startdatetime 2017-05-18T23:56:30 --delay 1 --endMP 204:185 --enddatetime 2017-05-19T00:36:35 --enforcementcount 0 &gt;&gt;C:\Users\stu\Documents\GitHub\eaglep3-reporting\EC\2017-05-18-refined-times.txt</v>
      </c>
      <c r="AI150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{"issue":{"subject":"","project_id":79,"tracker_id":40,"status_id":1,"priority_id":2,"assigned_to_id":23,"start_date":"2017-05-19","description":"","custom_fields":[{"id":1,"name":"Subdivision","value":"EC"},{"id":4,"name":"Milepost","value":"0.0185"},{"id":17,"name":"Train ID","value":"238-18"},{"id":16,"name":"Locomotive ID","value":"4007"},{"id":130,"name":"Impact","value":""},{"id":150,"name":"Time of Event (Mountain Time)","value":"00:36:35"},{"id":151,"name":"Denver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2"/>
        <v>start /low /b %USERPROFILE%\Documents\GitHub\eaglep3\Utilities\DownloadLogsFromS3.py --loco 4007 --day 2017-05-18</v>
      </c>
      <c r="AN150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821</v>
      </c>
      <c r="B151" s="7">
        <v>4054</v>
      </c>
      <c r="C151" s="21" t="s">
        <v>206</v>
      </c>
      <c r="D151" s="21" t="s">
        <v>365</v>
      </c>
      <c r="E151" s="13">
        <v>42873.971932870372</v>
      </c>
      <c r="F151" s="13">
        <v>42873.979351851849</v>
      </c>
      <c r="G151" s="7">
        <v>2</v>
      </c>
      <c r="H151" s="21" t="s">
        <v>495</v>
      </c>
      <c r="I151" s="13">
        <v>42874.005150462966</v>
      </c>
      <c r="J151" s="7">
        <v>0</v>
      </c>
      <c r="K151" s="92" t="str">
        <f t="shared" si="47"/>
        <v>4053/4054</v>
      </c>
      <c r="L151" s="21" t="str">
        <f>VLOOKUP(A151,'Trips&amp;Operators'!$C$1:$G$99999,5,FALSE)</f>
        <v>YANG JAN</v>
      </c>
      <c r="M151" s="6">
        <f t="shared" si="48"/>
        <v>2.5798611117352266E-2</v>
      </c>
      <c r="N151" s="7">
        <f t="shared" si="46"/>
        <v>37.150000008987263</v>
      </c>
      <c r="O151" s="7"/>
      <c r="P151" s="7"/>
      <c r="Q151" s="22"/>
      <c r="R151" s="190"/>
      <c r="S151" s="196">
        <f t="shared" si="49"/>
        <v>1</v>
      </c>
      <c r="T151" s="190" t="str">
        <f t="shared" si="50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1"/>
        <v>https://d0f6bd738d7f1b3e5a7ca70fe4ff75f0.us-east-1.aws.found.io/app/kibana#/discover/Steve-Slow-Train-Analysis-(2080s-and-2083s)?_g=(refreshInterval:(display:Off,pause:!f,section:0,value:0),time:(from:'2017-05-18T22:19:35-0600',mode:absolute,to:'2017-05-19T01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92" t="str">
        <f t="shared" si="52"/>
        <v>N</v>
      </c>
      <c r="X151" s="192">
        <f t="shared" ref="X151:X182" si="65">VALUE(LEFT(AD151,4))-VALUE(LEFT(AD150,4))</f>
        <v>1</v>
      </c>
      <c r="Y151" s="192">
        <f t="shared" si="53"/>
        <v>4.4400000000000002E-2</v>
      </c>
      <c r="Z151" s="192">
        <f t="shared" si="54"/>
        <v>23.331199999999999</v>
      </c>
      <c r="AA151" s="192">
        <f t="shared" si="55"/>
        <v>23.286799999999999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6"/>
        <v>0239-18</v>
      </c>
      <c r="AE151" s="80" t="str">
        <f t="shared" si="57"/>
        <v>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 &amp; 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</v>
      </c>
      <c r="AF151" s="77" t="str">
        <f t="shared" si="58"/>
        <v>"C:\Program Files (x86)\AstroGrep\AstroGrep.exe" /e /r /s /spath="%USERPROFILE%\AppData\Local\Temp\OnboardLogs" /stypes="app*4054*20170519*" /stext=" 06:.+((SYSTEM_STATE.+slice.+state.+changed )|(ment ac)|(multiple cpu faults)|(system.+state.+changed )|(\[timeout)|(PRM\|1\|D)|(kpr)|(kdp)|(train st.+moving)|(\|lc)|(penalty))"</v>
      </c>
      <c r="AG151" s="1" t="str">
        <f t="shared" si="59"/>
        <v>EC</v>
      </c>
      <c r="AH151" s="81" t="str">
        <f t="shared" si="60"/>
        <v>"%USERPROFILE%\Documents\GitHub\eaglep3\Utilities\RefineRTDCRunTimes.py" --tripid 239-18 --locoid 4054 --swversion DE.1.0.9.0 --startMP 204:444 --initTime 2017-05-18T23:19:35 --startdatetime 2017-05-18T23:30:16 --delay 2 --endMP 204:233312 --enddatetime 2017-05-19T00:07:25 --enforcementcount 0 &gt;&gt;C:\Users\stu\Documents\GitHub\eaglep3-reporting\EC\2017-05-18-refined-times.txt</v>
      </c>
      <c r="AI151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{"issue":{"subject":"","project_id":79,"tracker_id":40,"status_id":1,"priority_id":2,"assigned_to_id":23,"start_date":"2017-05-19","description":"","custom_fields":[{"id":1,"name":"Subdivision","value":"EC"},{"id":4,"name":"Milepost","value":"23.3312"},{"id":17,"name":"Train ID","value":"239-18"},{"id":16,"name":"Locomotive ID","value":"4054"},{"id":130,"name":"Impact","value":""},{"id":150,"name":"Time of Event (Mountain Time)","value":"00:07:25"},{"id":151,"name":"Denver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62"/>
        <v>start /low /b %USERPROFILE%\Documents\GitHub\eaglep3\Utilities\DownloadLogsFromS3.py --loco 4054 --day 2017-05-18</v>
      </c>
      <c r="AN151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06:07:25"},{"id":29,"name":"Sharepoint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823</v>
      </c>
      <c r="B152" s="7">
        <v>4053</v>
      </c>
      <c r="C152" s="21" t="s">
        <v>206</v>
      </c>
      <c r="D152" s="21" t="s">
        <v>921</v>
      </c>
      <c r="E152" s="13">
        <v>42874.012696759259</v>
      </c>
      <c r="F152" s="13">
        <v>42874.018240740741</v>
      </c>
      <c r="G152" s="7">
        <v>1</v>
      </c>
      <c r="H152" s="21" t="s">
        <v>354</v>
      </c>
      <c r="I152" s="13">
        <v>42874.046388888892</v>
      </c>
      <c r="J152" s="7">
        <v>0</v>
      </c>
      <c r="K152" s="92" t="str">
        <f t="shared" si="47"/>
        <v>4053/4054</v>
      </c>
      <c r="L152" s="21" t="str">
        <f>VLOOKUP(A152,'Trips&amp;Operators'!$C$1:$G$99999,5,FALSE)</f>
        <v>YANG JAN</v>
      </c>
      <c r="M152" s="6">
        <f t="shared" si="48"/>
        <v>2.8148148150648922E-2</v>
      </c>
      <c r="N152" s="7">
        <f t="shared" si="46"/>
        <v>40.533333336934447</v>
      </c>
      <c r="O152" s="7"/>
      <c r="P152" s="7"/>
      <c r="Q152" s="22"/>
      <c r="R152" s="190"/>
      <c r="S152" s="196">
        <f t="shared" si="49"/>
        <v>1</v>
      </c>
      <c r="T152" s="190" t="str">
        <f t="shared" si="50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1"/>
        <v>https://d0f6bd738d7f1b3e5a7ca70fe4ff75f0.us-east-1.aws.found.io/app/kibana#/discover/Steve-Slow-Train-Analysis-(2080s-and-2083s)?_g=(refreshInterval:(display:Off,pause:!f,section:0,value:0),time:(from:'2017-05-18T23:18:17-0600',mode:absolute,to:'2017-05-19T02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192" t="str">
        <f t="shared" si="52"/>
        <v>N</v>
      </c>
      <c r="X152" s="192">
        <f t="shared" si="65"/>
        <v>1</v>
      </c>
      <c r="Y152" s="192">
        <f t="shared" si="53"/>
        <v>23.298500000000001</v>
      </c>
      <c r="Z152" s="192">
        <f t="shared" si="54"/>
        <v>1.6E-2</v>
      </c>
      <c r="AA152" s="192">
        <f t="shared" si="55"/>
        <v>23.282500000000002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6"/>
        <v>0240-18</v>
      </c>
      <c r="AE152" s="80" t="str">
        <f t="shared" si="57"/>
        <v>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 &amp; aws s3 cp s3://rtdc.mdm.uploadarchive.raw/RTDC4053/ "%USERPROFILE%\AppData\Local\Temp\OnboardLogs"\RTDC4053\2017-05-20 --exclude "*" --recursive --include "*20170520*" &amp; "%USERPROFILE%\Documents\GitHub\mrs-test-scripts\Headless Mode &amp; Sideloading\WalkAndUnGZ.bat" "%USERPROFILE%\AppData\Local\Temp\OnboardLogs"\RTDC4053\2017-05-20</v>
      </c>
      <c r="AF152" s="77" t="str">
        <f t="shared" si="58"/>
        <v>"C:\Program Files (x86)\AstroGrep\AstroGrep.exe" /e /r /s /spath="%USERPROFILE%\AppData\Local\Temp\OnboardLogs" /stypes="app*4053*20170519*" /stext=" 07:.+((SYSTEM_STATE.+slice.+state.+changed )|(ment ac)|(multiple cpu faults)|(system.+state.+changed )|(\[timeout)|(PRM\|1\|D)|(kpr)|(kdp)|(train st.+moving)|(\|lc)|(penalty))"</v>
      </c>
      <c r="AG152" s="1" t="str">
        <f t="shared" si="59"/>
        <v>EC</v>
      </c>
      <c r="AH152" s="81" t="str">
        <f t="shared" si="60"/>
        <v>"%USERPROFILE%\Documents\GitHub\eaglep3\Utilities\RefineRTDCRunTimes.py" --tripid 240-18 --locoid 4053 --swversion DE.1.0.9.0 --startMP 204:232985 --initTime 2017-05-19T00:18:17 --startdatetime 2017-05-19T00:26:16 --delay 1 --endMP 204:160 --enddatetime 2017-05-19T01:06:48 --enforcementcount 0 &gt;&gt;C:\Users\stu\Documents\GitHub\eaglep3-reporting\EC\2017-05-18-refined-times.txt</v>
      </c>
      <c r="AI152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{"issue":{"subject":"","project_id":79,"tracker_id":40,"status_id":1,"priority_id":2,"assigned_to_id":23,"start_date":"2017-05-19","description":"","custom_fields":[{"id":1,"name":"Subdivision","value":"EC"},{"id":4,"name":"Milepost","value":"0.016"},{"id":17,"name":"Train ID","value":"240-18"},{"id":16,"name":"Locomotive ID","value":"4053"},{"id":130,"name":"Impact","value":""},{"id":150,"name":"Time of Event (Mountain Time)","value":"01:06:48"},{"id":151,"name":"Denver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2"/>
        <v>start /low /b %USERPROFILE%\Documents\GitHub\eaglep3\Utilities\DownloadLogsFromS3.py --loco 4053 --day 2017-05-19</v>
      </c>
      <c r="AN152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07:06:48"},{"id":29,"name":"Sharepoint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615</v>
      </c>
      <c r="B153" s="7">
        <v>4056</v>
      </c>
      <c r="C153" s="21" t="s">
        <v>206</v>
      </c>
      <c r="D153" s="21" t="s">
        <v>492</v>
      </c>
      <c r="E153" s="13">
        <v>42873.991701388892</v>
      </c>
      <c r="F153" s="13">
        <v>42874.000173611108</v>
      </c>
      <c r="G153" s="7">
        <v>1</v>
      </c>
      <c r="H153" s="21" t="s">
        <v>922</v>
      </c>
      <c r="I153" s="13">
        <v>42874.027002314811</v>
      </c>
      <c r="J153" s="7">
        <v>0</v>
      </c>
      <c r="K153" s="92" t="str">
        <f t="shared" si="47"/>
        <v>4055/4056</v>
      </c>
      <c r="L153" s="21" t="str">
        <f>VLOOKUP(A153,'Trips&amp;Operators'!$C$1:$G$99999,5,FALSE)</f>
        <v>BROWN JACOB</v>
      </c>
      <c r="M153" s="6">
        <f t="shared" si="48"/>
        <v>2.6828703703358769E-2</v>
      </c>
      <c r="N153" s="7">
        <f t="shared" si="46"/>
        <v>38.633333332836628</v>
      </c>
      <c r="O153" s="7"/>
      <c r="P153" s="7"/>
      <c r="Q153" s="22"/>
      <c r="R153" s="190"/>
      <c r="S153" s="196">
        <f t="shared" si="49"/>
        <v>1</v>
      </c>
      <c r="T153" s="190" t="str">
        <f t="shared" si="50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1"/>
        <v>https://d0f6bd738d7f1b3e5a7ca70fe4ff75f0.us-east-1.aws.found.io/app/kibana#/discover/Steve-Slow-Train-Analysis-(2080s-and-2083s)?_g=(refreshInterval:(display:Off,pause:!f,section:0,value:0),time:(from:'2017-05-18T22:48:03-0600',mode:absolute,to:'2017-05-19T01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3" s="192" t="str">
        <f t="shared" si="52"/>
        <v>N</v>
      </c>
      <c r="X153" s="192">
        <f t="shared" si="65"/>
        <v>1</v>
      </c>
      <c r="Y153" s="192">
        <f t="shared" si="53"/>
        <v>4.7100000000000003E-2</v>
      </c>
      <c r="Z153" s="192">
        <f t="shared" si="54"/>
        <v>23.333200000000001</v>
      </c>
      <c r="AA153" s="192">
        <f t="shared" si="55"/>
        <v>23.286100000000001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6"/>
        <v>0241-18</v>
      </c>
      <c r="AE153" s="80" t="str">
        <f t="shared" si="57"/>
        <v>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 &amp; 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</v>
      </c>
      <c r="AF153" s="77" t="str">
        <f t="shared" si="58"/>
        <v>"C:\Program Files (x86)\AstroGrep\AstroGrep.exe" /e /r /s /spath="%USERPROFILE%\AppData\Local\Temp\OnboardLogs" /stypes="app*4056*20170519*" /stext=" 06:.+((SYSTEM_STATE.+slice.+state.+changed )|(ment ac)|(multiple cpu faults)|(system.+state.+changed )|(\[timeout)|(PRM\|1\|D)|(kpr)|(kdp)|(train st.+moving)|(\|lc)|(penalty))"</v>
      </c>
      <c r="AG153" s="1" t="str">
        <f t="shared" si="59"/>
        <v>EC</v>
      </c>
      <c r="AH153" s="81" t="str">
        <f t="shared" si="60"/>
        <v>"%USERPROFILE%\Documents\GitHub\eaglep3\Utilities\RefineRTDCRunTimes.py" --tripid 241-18 --locoid 4056 --swversion DE.1.0.9.0 --startMP 204:471 --initTime 2017-05-18T23:48:03 --startdatetime 2017-05-19T00:00:15 --delay 1 --endMP 204:233332 --enddatetime 2017-05-19T00:38:53 --enforcementcount 0 &gt;&gt;C:\Users\stu\Documents\GitHub\eaglep3-reporting\EC\2017-05-18-refined-times.txt</v>
      </c>
      <c r="AI153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{"issue":{"subject":"","project_id":79,"tracker_id":40,"status_id":1,"priority_id":2,"assigned_to_id":23,"start_date":"2017-05-19","description":"","custom_fields":[{"id":1,"name":"Subdivision","value":"EC"},{"id":4,"name":"Milepost","value":"23.3332"},{"id":17,"name":"Train ID","value":"241-18"},{"id":16,"name":"Locomotive ID","value":"4056"},{"id":130,"name":"Impact","value":""},{"id":150,"name":"Time of Event (Mountain Time)","value":"00:38:53"},{"id":151,"name":"Denver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62"/>
        <v>start /low /b %USERPROFILE%\Documents\GitHub\eaglep3\Utilities\DownloadLogsFromS3.py --loco 4056 --day 2017-05-19</v>
      </c>
      <c r="AN153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06:38:53"},{"id":29,"name":"Sharepoint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826</v>
      </c>
      <c r="B154" s="7">
        <v>4055</v>
      </c>
      <c r="C154" s="21" t="s">
        <v>206</v>
      </c>
      <c r="D154" s="21" t="s">
        <v>430</v>
      </c>
      <c r="E154" s="13">
        <v>42874.034305555557</v>
      </c>
      <c r="F154" s="13">
        <v>42874.039166666669</v>
      </c>
      <c r="G154" s="7">
        <v>1</v>
      </c>
      <c r="H154" s="21" t="s">
        <v>197</v>
      </c>
      <c r="I154" s="13">
        <v>42874.066678240742</v>
      </c>
      <c r="J154" s="7">
        <v>0</v>
      </c>
      <c r="K154" s="92" t="str">
        <f t="shared" si="47"/>
        <v>4055/4056</v>
      </c>
      <c r="L154" s="21" t="str">
        <f>VLOOKUP(A154,'Trips&amp;Operators'!$C$1:$G$99999,5,FALSE)</f>
        <v>BROWN JACOB</v>
      </c>
      <c r="M154" s="6">
        <f t="shared" si="48"/>
        <v>2.7511574073287193E-2</v>
      </c>
      <c r="N154" s="7">
        <f t="shared" si="46"/>
        <v>39.616666665533558</v>
      </c>
      <c r="O154" s="7"/>
      <c r="P154" s="7"/>
      <c r="Q154" s="22"/>
      <c r="R154" s="190"/>
      <c r="S154" s="196">
        <f t="shared" si="49"/>
        <v>1</v>
      </c>
      <c r="T154" s="190" t="str">
        <f t="shared" si="50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1"/>
        <v>https://d0f6bd738d7f1b3e5a7ca70fe4ff75f0.us-east-1.aws.found.io/app/kibana#/discover/Steve-Slow-Train-Analysis-(2080s-and-2083s)?_g=(refreshInterval:(display:Off,pause:!f,section:0,value:0),time:(from:'2017-05-18T23:49:24-0600',mode:absolute,to:'2017-05-19T02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4" s="192" t="str">
        <f t="shared" si="52"/>
        <v>N</v>
      </c>
      <c r="X154" s="192">
        <f t="shared" si="65"/>
        <v>1</v>
      </c>
      <c r="Y154" s="192">
        <f t="shared" si="53"/>
        <v>23.301100000000002</v>
      </c>
      <c r="Z154" s="192">
        <f t="shared" si="54"/>
        <v>1.52E-2</v>
      </c>
      <c r="AA154" s="192">
        <f t="shared" si="55"/>
        <v>23.285900000000002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6"/>
        <v>0242-18</v>
      </c>
      <c r="AE154" s="80" t="str">
        <f t="shared" si="57"/>
        <v>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 &amp; 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</v>
      </c>
      <c r="AF154" s="77" t="str">
        <f t="shared" si="58"/>
        <v>"C:\Program Files (x86)\AstroGrep\AstroGrep.exe" /e /r /s /spath="%USERPROFILE%\AppData\Local\Temp\OnboardLogs" /stypes="app*4055*20170519*" /stext=" 07:.+((SYSTEM_STATE.+slice.+state.+changed )|(ment ac)|(multiple cpu faults)|(system.+state.+changed )|(\[timeout)|(PRM\|1\|D)|(kpr)|(kdp)|(train st.+moving)|(\|lc)|(penalty))"</v>
      </c>
      <c r="AG154" s="1" t="str">
        <f t="shared" si="59"/>
        <v>EC</v>
      </c>
      <c r="AH154" s="81" t="str">
        <f t="shared" si="60"/>
        <v>"%USERPROFILE%\Documents\GitHub\eaglep3\Utilities\RefineRTDCRunTimes.py" --tripid 242-18 --locoid 4055 --swversion DE.1.0.9.0 --startMP 204:233011 --initTime 2017-05-19T00:49:24 --startdatetime 2017-05-19T00:56:24 --delay 1 --endMP 204:152 --enddatetime 2017-05-19T01:36:01 --enforcementcount 0 &gt;&gt;C:\Users\stu\Documents\GitHub\eaglep3-reporting\EC\2017-05-18-refined-times.txt</v>
      </c>
      <c r="AI154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{"issue":{"subject":"","project_id":79,"tracker_id":40,"status_id":1,"priority_id":2,"assigned_to_id":23,"start_date":"2017-05-19","description":"","custom_fields":[{"id":1,"name":"Subdivision","value":"EC"},{"id":4,"name":"Milepost","value":"0.0152"},{"id":17,"name":"Train ID","value":"242-18"},{"id":16,"name":"Locomotive ID","value":"4055"},{"id":130,"name":"Impact","value":""},{"id":150,"name":"Time of Event (Mountain Time)","value":"01:36:01"},{"id":151,"name":"Denver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2"/>
        <v>start /low /b %USERPROFILE%\Documents\GitHub\eaglep3\Utilities\DownloadLogsFromS3.py --loco 4055 --day 2017-05-19</v>
      </c>
      <c r="AN154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07:36:01"},{"id":29,"name":"Sharepoint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822</v>
      </c>
      <c r="B155" s="7">
        <v>4014</v>
      </c>
      <c r="C155" s="21" t="s">
        <v>206</v>
      </c>
      <c r="D155" s="21" t="s">
        <v>203</v>
      </c>
      <c r="E155" s="13">
        <v>42874.005949074075</v>
      </c>
      <c r="F155" s="13">
        <v>42874.021006944444</v>
      </c>
      <c r="G155" s="7">
        <v>1</v>
      </c>
      <c r="H155" s="21" t="s">
        <v>923</v>
      </c>
      <c r="I155" s="13">
        <v>42874.046643518515</v>
      </c>
      <c r="J155" s="7">
        <v>0</v>
      </c>
      <c r="K155" s="92" t="str">
        <f t="shared" si="47"/>
        <v>4013/4014</v>
      </c>
      <c r="L155" s="21" t="str">
        <f>VLOOKUP(A155,'Trips&amp;Operators'!$C$1:$G$99999,5,FALSE)</f>
        <v>SWANSON BRYCE</v>
      </c>
      <c r="M155" s="6">
        <f t="shared" si="48"/>
        <v>2.5636574071540963E-2</v>
      </c>
      <c r="N155" s="7">
        <f t="shared" si="46"/>
        <v>36.916666663018987</v>
      </c>
      <c r="O155" s="7"/>
      <c r="P155" s="7"/>
      <c r="Q155" s="22"/>
      <c r="R155" s="190"/>
      <c r="S155" s="196">
        <f t="shared" si="49"/>
        <v>1</v>
      </c>
      <c r="T155" s="190" t="str">
        <f t="shared" si="50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1"/>
        <v>https://d0f6bd738d7f1b3e5a7ca70fe4ff75f0.us-east-1.aws.found.io/app/kibana#/discover/Steve-Slow-Train-Analysis-(2080s-and-2083s)?_g=(refreshInterval:(display:Off,pause:!f,section:0,value:0),time:(from:'2017-05-18T23:08:34-0600',mode:absolute,to:'2017-05-19T02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92" t="str">
        <f t="shared" si="52"/>
        <v>N</v>
      </c>
      <c r="X155" s="192">
        <f t="shared" si="65"/>
        <v>1</v>
      </c>
      <c r="Y155" s="192">
        <f t="shared" si="53"/>
        <v>4.5999999999999999E-2</v>
      </c>
      <c r="Z155" s="192">
        <f t="shared" si="54"/>
        <v>23.339700000000001</v>
      </c>
      <c r="AA155" s="192">
        <f t="shared" si="55"/>
        <v>23.293700000000001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6"/>
        <v>0243-18</v>
      </c>
      <c r="AE155" s="80" t="str">
        <f t="shared" si="57"/>
        <v>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 &amp; 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</v>
      </c>
      <c r="AF155" s="77" t="str">
        <f t="shared" si="58"/>
        <v>"C:\Program Files (x86)\AstroGrep\AstroGrep.exe" /e /r /s /spath="%USERPROFILE%\AppData\Local\Temp\OnboardLogs" /stypes="app*4014*20170519*" /stext=" 07:.+((SYSTEM_STATE.+slice.+state.+changed )|(ment ac)|(multiple cpu faults)|(system.+state.+changed )|(\[timeout)|(PRM\|1\|D)|(kpr)|(kdp)|(train st.+moving)|(\|lc)|(penalty))"</v>
      </c>
      <c r="AG155" s="1" t="str">
        <f t="shared" si="59"/>
        <v>EC</v>
      </c>
      <c r="AH155" s="81" t="str">
        <f t="shared" si="60"/>
        <v>"%USERPROFILE%\Documents\GitHub\eaglep3\Utilities\RefineRTDCRunTimes.py" --tripid 243-18 --locoid 4014 --swversion DE.1.0.9.0 --startMP 204:460 --initTime 2017-05-19T00:08:34 --startdatetime 2017-05-19T00:30:15 --delay 1 --endMP 204:233397 --enddatetime 2017-05-19T01:07:10 --enforcementcount 0 &gt;&gt;C:\Users\stu\Documents\GitHub\eaglep3-reporting\EC\2017-05-18-refined-times.txt</v>
      </c>
      <c r="AI155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{"issue":{"subject":"","project_id":79,"tracker_id":40,"status_id":1,"priority_id":2,"assigned_to_id":23,"start_date":"2017-05-19","description":"","custom_fields":[{"id":1,"name":"Subdivision","value":"EC"},{"id":4,"name":"Milepost","value":"23.3397"},{"id":17,"name":"Train ID","value":"243-18"},{"id":16,"name":"Locomotive ID","value":"4014"},{"id":130,"name":"Impact","value":""},{"id":150,"name":"Time of Event (Mountain Time)","value":"01:07:10"},{"id":151,"name":"Denver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2"/>
        <v>start /low /b %USERPROFILE%\Documents\GitHub\eaglep3\Utilities\DownloadLogsFromS3.py --loco 4014 --day 2017-05-19</v>
      </c>
      <c r="AN155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07:07:10"},{"id":29,"name":"Sharepoint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828</v>
      </c>
      <c r="B156" s="7">
        <v>4013</v>
      </c>
      <c r="C156" s="21" t="s">
        <v>206</v>
      </c>
      <c r="D156" s="21" t="s">
        <v>924</v>
      </c>
      <c r="E156" s="13">
        <v>42874.057268518518</v>
      </c>
      <c r="F156" s="13">
        <v>42874.059872685182</v>
      </c>
      <c r="G156" s="7">
        <v>0</v>
      </c>
      <c r="H156" s="21" t="s">
        <v>356</v>
      </c>
      <c r="I156" s="13">
        <v>42874.086828703701</v>
      </c>
      <c r="J156" s="7">
        <v>0</v>
      </c>
      <c r="K156" s="92" t="str">
        <f t="shared" si="47"/>
        <v>4013/4014</v>
      </c>
      <c r="L156" s="21" t="str">
        <f>VLOOKUP(A156,'Trips&amp;Operators'!$C$1:$G$99999,5,FALSE)</f>
        <v>SWANSON BRYCE</v>
      </c>
      <c r="M156" s="6">
        <f t="shared" si="48"/>
        <v>2.6956018518831115E-2</v>
      </c>
      <c r="N156" s="7">
        <f t="shared" si="46"/>
        <v>38.816666667116806</v>
      </c>
      <c r="O156" s="7"/>
      <c r="P156" s="7"/>
      <c r="Q156" s="22"/>
      <c r="R156" s="190"/>
      <c r="S156" s="196">
        <f t="shared" si="49"/>
        <v>1</v>
      </c>
      <c r="T156" s="190" t="str">
        <f t="shared" si="50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1"/>
        <v>https://d0f6bd738d7f1b3e5a7ca70fe4ff75f0.us-east-1.aws.found.io/app/kibana#/discover/Steve-Slow-Train-Analysis-(2080s-and-2083s)?_g=(refreshInterval:(display:Off,pause:!f,section:0,value:0),time:(from:'2017-05-19T00:22:28-0600',mode:absolute,to:'2017-05-19T03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92" t="str">
        <f t="shared" si="52"/>
        <v>N</v>
      </c>
      <c r="X156" s="192">
        <f t="shared" si="65"/>
        <v>1</v>
      </c>
      <c r="Y156" s="192">
        <f t="shared" si="53"/>
        <v>23.3096</v>
      </c>
      <c r="Z156" s="192">
        <f t="shared" si="54"/>
        <v>1.4999999999999999E-2</v>
      </c>
      <c r="AA156" s="192">
        <f t="shared" si="55"/>
        <v>23.294599999999999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6"/>
        <v>0244-18</v>
      </c>
      <c r="AE156" s="80" t="str">
        <f t="shared" si="57"/>
        <v>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 &amp; aws s3 cp s3://rtdc.mdm.uploadarchive.raw/RTDC4013/ "%USERPROFILE%\AppData\Local\Temp\OnboardLogs"\RTDC4013\2017-05-20 --exclude "*" --recursive --include "*20170520*" &amp; "%USERPROFILE%\Documents\GitHub\mrs-test-scripts\Headless Mode &amp; Sideloading\WalkAndUnGZ.bat" "%USERPROFILE%\AppData\Local\Temp\OnboardLogs"\RTDC4013\2017-05-20</v>
      </c>
      <c r="AF156" s="77" t="str">
        <f t="shared" si="58"/>
        <v>"C:\Program Files (x86)\AstroGrep\AstroGrep.exe" /e /r /s /spath="%USERPROFILE%\AppData\Local\Temp\OnboardLogs" /stypes="app*4013*20170519*" /stext=" 08:.+((SYSTEM_STATE.+slice.+state.+changed )|(ment ac)|(multiple cpu faults)|(system.+state.+changed )|(\[timeout)|(PRM\|1\|D)|(kpr)|(kdp)|(train st.+moving)|(\|lc)|(penalty))"</v>
      </c>
      <c r="AG156" s="1" t="str">
        <f t="shared" si="59"/>
        <v>EC</v>
      </c>
      <c r="AH156" s="81" t="str">
        <f t="shared" si="60"/>
        <v>"%USERPROFILE%\Documents\GitHub\eaglep3\Utilities\RefineRTDCRunTimes.py" --tripid 244-18 --locoid 4013 --swversion DE.1.0.9.0 --startMP 204:233096 --initTime 2017-05-19T01:22:28 --startdatetime 2017-05-19T01:26:13 --delay 0 --endMP 204:150 --enddatetime 2017-05-19T02:05:02 --enforcementcount 0 &gt;&gt;C:\Users\stu\Documents\GitHub\eaglep3-reporting\EC\2017-05-18-refined-times.txt</v>
      </c>
      <c r="AI156" s="99" t="str">
        <f t="shared" si="61"/>
        <v>echo {"issue":{"subject":"","project_id":79,"tracker_id":40,"status_id":1,"priority_id":2,"assigned_to_id":23,"start_date":"2017-05-19","description":"","custom_fields":[{"id":1,"name":"Subdivision","value":"EC"},{"id":4,"name":"Milepost","value":"0.015"},{"id":17,"name":"Train ID","value":"244-18"},{"id":16,"name":"Locomotive ID","value":"4013"},{"id":130,"name":"Impact","value":""},{"id":150,"name":"Time of Event (Mountain Time)","value":"02:05:02"},{"id":151,"name":"Denver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2"/>
        <v>start /low /b %USERPROFILE%\Documents\GitHub\eaglep3\Utilities\DownloadLogsFromS3.py --loco 4013 --day 2017-05-19</v>
      </c>
      <c r="AN156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08:05:02"},{"id":29,"name":"Sharepoint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586</v>
      </c>
      <c r="B157" s="7">
        <v>4011</v>
      </c>
      <c r="C157" s="21" t="s">
        <v>206</v>
      </c>
      <c r="D157" s="21" t="s">
        <v>970</v>
      </c>
      <c r="E157" s="13">
        <v>42873.20721064815</v>
      </c>
      <c r="F157" s="13">
        <v>42873.209270833337</v>
      </c>
      <c r="G157" s="7">
        <v>2</v>
      </c>
      <c r="H157" s="21" t="s">
        <v>540</v>
      </c>
      <c r="I157" s="13">
        <v>42873.226041666669</v>
      </c>
      <c r="J157" s="7">
        <v>0</v>
      </c>
      <c r="K157" s="92" t="str">
        <f t="shared" si="47"/>
        <v>4011/4012</v>
      </c>
      <c r="L157" s="21" t="str">
        <f>VLOOKUP(A157,'Trips&amp;Operators'!$C$1:$G$99999,5,FALSE)</f>
        <v>MACDONALD THOMAS</v>
      </c>
      <c r="M157" s="6">
        <f t="shared" si="48"/>
        <v>1.6770833331975155E-2</v>
      </c>
      <c r="N157" s="7">
        <f t="shared" si="46"/>
        <v>24.149999998044223</v>
      </c>
      <c r="O157" s="7"/>
      <c r="P157" s="7"/>
      <c r="Q157" s="22"/>
      <c r="R157" s="190"/>
      <c r="S157" s="196">
        <f t="shared" si="49"/>
        <v>1</v>
      </c>
      <c r="T157" s="190" t="str">
        <f t="shared" si="50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 t="shared" si="51"/>
        <v>https://d0f6bd738d7f1b3e5a7ca70fe4ff75f0.us-east-1.aws.found.io/app/kibana#/discover/Steve-Slow-Train-Analysis-(2080s-and-2083s)?_g=(refreshInterval:(display:Off,pause:!f,section:0,value:0),time:(from:'2017-05-18T03:58:23-0600',mode:absolute,to:'2017-05-18T06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192" t="str">
        <f t="shared" si="52"/>
        <v>N</v>
      </c>
      <c r="X157" s="192">
        <f t="shared" si="65"/>
        <v>556</v>
      </c>
      <c r="Y157" s="192">
        <f t="shared" si="53"/>
        <v>5.8666</v>
      </c>
      <c r="Z157" s="192">
        <f t="shared" si="54"/>
        <v>7.2400000000000006E-2</v>
      </c>
      <c r="AA157" s="192">
        <f t="shared" si="55"/>
        <v>5.7942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6"/>
        <v>0800-18</v>
      </c>
      <c r="AE157" s="80" t="str">
        <f t="shared" si="57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157" s="77" t="str">
        <f t="shared" si="58"/>
        <v>"C:\Program Files (x86)\AstroGrep\AstroGrep.exe" /e /r /s /spath="%USERPROFILE%\AppData\Local\Temp\OnboardLogs" /stypes="app*4011*20170518*" /stext=" 11:.+((SYSTEM_STATE.+slice.+state.+changed )|(ment ac)|(multiple cpu faults)|(system.+state.+changed )|(\[timeout)|(PRM\|1\|D)|(kpr)|(kdp)|(train st.+moving)|(\|lc)|(penalty))"</v>
      </c>
      <c r="AG157" s="1" t="str">
        <f t="shared" si="59"/>
        <v>NW</v>
      </c>
      <c r="AH157" s="81" t="str">
        <f t="shared" si="60"/>
        <v>"%USERPROFILE%\Documents\GitHub\eaglep3\Utilities\RefineRTDCRunTimes.py" --tripid 800-18 --locoid 4011 --swversion DE.1.0.9.0 --startMP 300:58666 --initTime 2017-05-18T04:58:23 --startdatetime 2017-05-18T05:01:21 --delay 2 --endMP 204:724 --enddatetime 2017-05-18T05:25:30 --enforcementcount 0 &gt;&gt;C:\Users\stu\Documents\GitHub\eaglep3-reporting\EC\2017-05-18-refined-times.txt</v>
      </c>
      <c r="AI157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{"issue":{"subject":"","project_id":79,"tracker_id":40,"status_id":1,"priority_id":2,"assigned_to_id":23,"start_date":"2017-05-18","description":"","custom_fields":[{"id":1,"name":"Subdivision","value":"NW"},{"id":4,"name":"Milepost","value":"0.0724"},{"id":17,"name":"Train ID","value":"800-18"},{"id":16,"name":"Locomotive ID","value":"4011"},{"id":130,"name":"Impact","value":""},{"id":150,"name":"Time of Event (Mountain Time)","value":"05:25:30"},{"id":151,"name":"Denver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2"/>
        <v>start /low /b %USERPROFILE%\Documents\GitHub\eaglep3\Utilities\DownloadLogsFromS3.py --loco 4011 --day 2017-05-18</v>
      </c>
      <c r="AN157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11:25:30"},{"id":29,"name":"Sharepoint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637</v>
      </c>
      <c r="B158" s="7">
        <v>4012</v>
      </c>
      <c r="C158" s="21" t="s">
        <v>206</v>
      </c>
      <c r="D158" s="21" t="s">
        <v>570</v>
      </c>
      <c r="E158" s="13">
        <v>42873.227430555555</v>
      </c>
      <c r="F158" s="13">
        <v>42873.243923611109</v>
      </c>
      <c r="G158" s="7">
        <v>1</v>
      </c>
      <c r="H158" s="21" t="s">
        <v>572</v>
      </c>
      <c r="I158" s="13">
        <v>42873.253113425926</v>
      </c>
      <c r="J158" s="7">
        <v>0</v>
      </c>
      <c r="K158" s="92" t="str">
        <f t="shared" si="47"/>
        <v>4011/4012</v>
      </c>
      <c r="L158" s="21" t="str">
        <f>VLOOKUP(A158,'Trips&amp;Operators'!$C$1:$G$99999,5,FALSE)</f>
        <v>MACDONALD THOMAS</v>
      </c>
      <c r="M158" s="6">
        <f t="shared" si="48"/>
        <v>9.189814816636499E-3</v>
      </c>
      <c r="N158" s="7">
        <f t="shared" si="46"/>
        <v>13.233333335956559</v>
      </c>
      <c r="O158" s="7"/>
      <c r="P158" s="7"/>
      <c r="Q158" s="22"/>
      <c r="R158" s="190"/>
      <c r="S158" s="196">
        <f t="shared" si="49"/>
        <v>1</v>
      </c>
      <c r="T158" s="190" t="str">
        <f t="shared" si="50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51"/>
        <v>https://d0f6bd738d7f1b3e5a7ca70fe4ff75f0.us-east-1.aws.found.io/app/kibana#/discover/Steve-Slow-Train-Analysis-(2080s-and-2083s)?_g=(refreshInterval:(display:Off,pause:!f,section:0,value:0),time:(from:'2017-05-18T04:27:30-0600',mode:absolute,to:'2017-05-18T07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192" t="str">
        <f t="shared" si="52"/>
        <v>N</v>
      </c>
      <c r="X158" s="192">
        <f t="shared" si="65"/>
        <v>1</v>
      </c>
      <c r="Y158" s="192">
        <f t="shared" si="53"/>
        <v>0.1011</v>
      </c>
      <c r="Z158" s="192">
        <f t="shared" si="54"/>
        <v>5.8944000000000001</v>
      </c>
      <c r="AA158" s="192">
        <f t="shared" si="55"/>
        <v>5.7933000000000003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6"/>
        <v>0801-18</v>
      </c>
      <c r="AE158" s="80" t="str">
        <f t="shared" si="57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158" s="77" t="str">
        <f t="shared" si="58"/>
        <v>"C:\Program Files (x86)\AstroGrep\AstroGrep.exe" /e /r /s /spath="%USERPROFILE%\AppData\Local\Temp\OnboardLogs" /stypes="app*4012*20170518*" /stext=" 12:.+((SYSTEM_STATE.+slice.+state.+changed )|(ment ac)|(multiple cpu faults)|(system.+state.+changed )|(\[timeout)|(PRM\|1\|D)|(kpr)|(kdp)|(train st.+moving)|(\|lc)|(penalty))"</v>
      </c>
      <c r="AG158" s="1" t="str">
        <f t="shared" si="59"/>
        <v>NW</v>
      </c>
      <c r="AH158" s="81" t="str">
        <f t="shared" si="60"/>
        <v>"%USERPROFILE%\Documents\GitHub\eaglep3\Utilities\RefineRTDCRunTimes.py" --tripid 801-18 --locoid 4012 --swversion DE.1.0.9.0 --startMP 204:1011 --initTime 2017-05-18T05:27:30 --startdatetime 2017-05-18T05:51:15 --delay 1 --endMP 300:58944 --enddatetime 2017-05-18T06:04:29 --enforcementcount 0 &gt;&gt;C:\Users\stu\Documents\GitHub\eaglep3-reporting\EC\2017-05-18-refined-times.txt</v>
      </c>
      <c r="AI158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{"issue":{"subject":"","project_id":79,"tracker_id":40,"status_id":1,"priority_id":2,"assigned_to_id":23,"start_date":"2017-05-18","description":"","custom_fields":[{"id":1,"name":"Subdivision","value":"NW"},{"id":4,"name":"Milepost","value":"5.8944"},{"id":17,"name":"Train ID","value":"801-18"},{"id":16,"name":"Locomotive ID","value":"4012"},{"id":130,"name":"Impact","value":""},{"id":150,"name":"Time of Event (Mountain Time)","value":"06:04:29"},{"id":151,"name":"Denver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2"/>
        <v>start /low /b %USERPROFILE%\Documents\GitHub\eaglep3\Utilities\DownloadLogsFromS3.py --loco 4012 --day 2017-05-18</v>
      </c>
      <c r="AN158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642</v>
      </c>
      <c r="B159" s="7">
        <v>4011</v>
      </c>
      <c r="C159" s="21" t="s">
        <v>206</v>
      </c>
      <c r="D159" s="21" t="s">
        <v>409</v>
      </c>
      <c r="E159" s="13">
        <v>42873.253969907404</v>
      </c>
      <c r="F159" s="13">
        <v>42873.255150462966</v>
      </c>
      <c r="G159" s="7">
        <v>1</v>
      </c>
      <c r="H159" s="21" t="s">
        <v>971</v>
      </c>
      <c r="I159" s="13">
        <v>42873.268229166664</v>
      </c>
      <c r="J159" s="7">
        <v>0</v>
      </c>
      <c r="K159" s="92" t="str">
        <f t="shared" si="47"/>
        <v>4011/4012</v>
      </c>
      <c r="L159" s="21" t="str">
        <f>VLOOKUP(A159,'Trips&amp;Operators'!$C$1:$G$99999,5,FALSE)</f>
        <v>MACDONALD THOMAS</v>
      </c>
      <c r="M159" s="6">
        <f t="shared" si="48"/>
        <v>1.3078703697829042E-2</v>
      </c>
      <c r="N159" s="7">
        <f t="shared" si="46"/>
        <v>18.83333332487382</v>
      </c>
      <c r="O159" s="7"/>
      <c r="P159" s="7"/>
      <c r="Q159" s="22"/>
      <c r="R159" s="190"/>
      <c r="S159" s="196">
        <f t="shared" si="49"/>
        <v>1</v>
      </c>
      <c r="T159" s="190" t="str">
        <f t="shared" si="50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51"/>
        <v>https://d0f6bd738d7f1b3e5a7ca70fe4ff75f0.us-east-1.aws.found.io/app/kibana#/discover/Steve-Slow-Train-Analysis-(2080s-and-2083s)?_g=(refreshInterval:(display:Off,pause:!f,section:0,value:0),time:(from:'2017-05-18T05:05:43-0600',mode:absolute,to:'2017-05-18T07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92" t="str">
        <f t="shared" si="52"/>
        <v>N</v>
      </c>
      <c r="X159" s="192">
        <f t="shared" si="65"/>
        <v>1</v>
      </c>
      <c r="Y159" s="192">
        <f t="shared" si="53"/>
        <v>5.8616999999999999</v>
      </c>
      <c r="Z159" s="192">
        <f t="shared" si="54"/>
        <v>6.7299999999999999E-2</v>
      </c>
      <c r="AA159" s="192">
        <f t="shared" si="55"/>
        <v>5.7943999999999996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6"/>
        <v>0802-18</v>
      </c>
      <c r="AE159" s="80" t="str">
        <f t="shared" si="57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159" s="77" t="str">
        <f t="shared" si="58"/>
        <v>"C:\Program Files (x86)\AstroGrep\AstroGrep.exe" /e /r /s /spath="%USERPROFILE%\AppData\Local\Temp\OnboardLogs" /stypes="app*4011*20170518*" /stext=" 12:.+((SYSTEM_STATE.+slice.+state.+changed )|(ment ac)|(multiple cpu faults)|(system.+state.+changed )|(\[timeout)|(PRM\|1\|D)|(kpr)|(kdp)|(train st.+moving)|(\|lc)|(penalty))"</v>
      </c>
      <c r="AG159" s="1" t="str">
        <f t="shared" si="59"/>
        <v>NW</v>
      </c>
      <c r="AH159" s="81" t="str">
        <f t="shared" si="60"/>
        <v>"%USERPROFILE%\Documents\GitHub\eaglep3\Utilities\RefineRTDCRunTimes.py" --tripid 802-18 --locoid 4011 --swversion DE.1.0.9.0 --startMP 300:58617 --initTime 2017-05-18T06:05:43 --startdatetime 2017-05-18T06:07:25 --delay 1 --endMP 204:673 --enddatetime 2017-05-18T06:26:15 --enforcementcount 0 &gt;&gt;C:\Users\stu\Documents\GitHub\eaglep3-reporting\EC\2017-05-18-refined-times.txt</v>
      </c>
      <c r="AI159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{"issue":{"subject":"","project_id":79,"tracker_id":40,"status_id":1,"priority_id":2,"assigned_to_id":23,"start_date":"2017-05-18","description":"","custom_fields":[{"id":1,"name":"Subdivision","value":"NW"},{"id":4,"name":"Milepost","value":"0.0673"},{"id":17,"name":"Train ID","value":"802-18"},{"id":16,"name":"Locomotive ID","value":"4011"},{"id":130,"name":"Impact","value":""},{"id":150,"name":"Time of Event (Mountain Time)","value":"06:26:15"},{"id":151,"name":"Denver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2"/>
        <v>start /low /b %USERPROFILE%\Documents\GitHub\eaglep3\Utilities\DownloadLogsFromS3.py --loco 4011 --day 2017-05-18</v>
      </c>
      <c r="AN159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646</v>
      </c>
      <c r="B160" s="7">
        <v>4026</v>
      </c>
      <c r="C160" s="21" t="s">
        <v>206</v>
      </c>
      <c r="D160" s="21" t="s">
        <v>972</v>
      </c>
      <c r="E160" s="13">
        <v>42873.262395833335</v>
      </c>
      <c r="F160" s="13">
        <v>42873.264849537038</v>
      </c>
      <c r="G160" s="7">
        <v>1</v>
      </c>
      <c r="H160" s="21" t="s">
        <v>509</v>
      </c>
      <c r="I160" s="13">
        <v>42873.273611111108</v>
      </c>
      <c r="J160" s="7">
        <v>0</v>
      </c>
      <c r="K160" s="92" t="str">
        <f t="shared" si="47"/>
        <v>4025/4026</v>
      </c>
      <c r="L160" s="21" t="str">
        <f>VLOOKUP(A160,'Trips&amp;Operators'!$C$1:$G$99999,5,FALSE)</f>
        <v>LOZA FIDEL</v>
      </c>
      <c r="M160" s="6">
        <f t="shared" si="48"/>
        <v>8.7615740703768097E-3</v>
      </c>
      <c r="N160" s="7">
        <f t="shared" si="46"/>
        <v>12.616666661342606</v>
      </c>
      <c r="O160" s="7"/>
      <c r="P160" s="7"/>
      <c r="Q160" s="22"/>
      <c r="R160" s="190"/>
      <c r="S160" s="196">
        <f t="shared" si="49"/>
        <v>1</v>
      </c>
      <c r="T160" s="190" t="str">
        <f t="shared" si="50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1"/>
        <v>https://d0f6bd738d7f1b3e5a7ca70fe4ff75f0.us-east-1.aws.found.io/app/kibana#/discover/Steve-Slow-Train-Analysis-(2080s-and-2083s)?_g=(refreshInterval:(display:Off,pause:!f,section:0,value:0),time:(from:'2017-05-18T05:17:51-0600',mode:absolute,to:'2017-05-18T07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0" s="192" t="str">
        <f t="shared" si="52"/>
        <v>N</v>
      </c>
      <c r="X160" s="192">
        <f t="shared" si="65"/>
        <v>1</v>
      </c>
      <c r="Y160" s="192">
        <f t="shared" si="53"/>
        <v>9.69E-2</v>
      </c>
      <c r="Z160" s="192">
        <f t="shared" si="54"/>
        <v>5.8939000000000004</v>
      </c>
      <c r="AA160" s="192">
        <f t="shared" si="55"/>
        <v>5.7970000000000006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6"/>
        <v>0803-18</v>
      </c>
      <c r="AE160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60" s="77" t="str">
        <f t="shared" si="58"/>
        <v>"C:\Program Files (x86)\AstroGrep\AstroGrep.exe" /e /r /s /spath="%USERPROFILE%\AppData\Local\Temp\OnboardLogs" /stypes="app*4026*20170518*" /stext=" 12:.+((SYSTEM_STATE.+slice.+state.+changed )|(ment ac)|(multiple cpu faults)|(system.+state.+changed )|(\[timeout)|(PRM\|1\|D)|(kpr)|(kdp)|(train st.+moving)|(\|lc)|(penalty))"</v>
      </c>
      <c r="AG160" s="1" t="str">
        <f t="shared" si="59"/>
        <v>NW</v>
      </c>
      <c r="AH160" s="81" t="str">
        <f t="shared" si="60"/>
        <v>"%USERPROFILE%\Documents\GitHub\eaglep3\Utilities\RefineRTDCRunTimes.py" --tripid 803-18 --locoid 4026 --swversion DE.1.0.9.0 --startMP 204:969 --initTime 2017-05-18T06:17:51 --startdatetime 2017-05-18T06:21:23 --delay 1 --endMP 300:58939 --enddatetime 2017-05-18T06:34:00 --enforcementcount 0 &gt;&gt;C:\Users\stu\Documents\GitHub\eaglep3-reporting\EC\2017-05-18-refined-times.txt</v>
      </c>
      <c r="AI160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{"issue":{"subject":"","project_id":79,"tracker_id":40,"status_id":1,"priority_id":2,"assigned_to_id":23,"start_date":"2017-05-18","description":"","custom_fields":[{"id":1,"name":"Subdivision","value":"NW"},{"id":4,"name":"Milepost","value":"5.8939"},{"id":17,"name":"Train ID","value":"803-18"},{"id":16,"name":"Locomotive ID","value":"4026"},{"id":130,"name":"Impact","value":""},{"id":150,"name":"Time of Event (Mountain Time)","value":"06:34:00"},{"id":151,"name":"Denver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2"/>
        <v>start /low /b %USERPROFILE%\Documents\GitHub\eaglep3\Utilities\DownloadLogsFromS3.py --loco 4026 --day 2017-05-18</v>
      </c>
      <c r="AN160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651</v>
      </c>
      <c r="B161" s="7">
        <v>4025</v>
      </c>
      <c r="C161" s="21" t="s">
        <v>206</v>
      </c>
      <c r="D161" s="21" t="s">
        <v>507</v>
      </c>
      <c r="E161" s="13">
        <v>42873.27611111111</v>
      </c>
      <c r="F161" s="13">
        <v>42873.277719907404</v>
      </c>
      <c r="G161" s="7">
        <v>1</v>
      </c>
      <c r="H161" s="21" t="s">
        <v>973</v>
      </c>
      <c r="I161" s="13">
        <v>42873.288229166668</v>
      </c>
      <c r="J161" s="7">
        <v>0</v>
      </c>
      <c r="K161" s="92" t="str">
        <f t="shared" si="47"/>
        <v>4025/4026</v>
      </c>
      <c r="L161" s="21" t="str">
        <f>VLOOKUP(A161,'Trips&amp;Operators'!$C$1:$G$99999,5,FALSE)</f>
        <v>LOZA FIDEL</v>
      </c>
      <c r="M161" s="6">
        <f t="shared" si="48"/>
        <v>1.0509259263926651E-2</v>
      </c>
      <c r="N161" s="7">
        <f t="shared" si="46"/>
        <v>15.133333340054378</v>
      </c>
      <c r="O161" s="7"/>
      <c r="P161" s="7"/>
      <c r="Q161" s="22"/>
      <c r="R161" s="190"/>
      <c r="S161" s="196">
        <f t="shared" si="49"/>
        <v>1</v>
      </c>
      <c r="T161" s="190" t="str">
        <f t="shared" si="50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1"/>
        <v>https://d0f6bd738d7f1b3e5a7ca70fe4ff75f0.us-east-1.aws.found.io/app/kibana#/discover/Steve-Slow-Train-Analysis-(2080s-and-2083s)?_g=(refreshInterval:(display:Off,pause:!f,section:0,value:0),time:(from:'2017-05-18T05:37:36-0600',mode:absolute,to:'2017-05-18T07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92" t="str">
        <f t="shared" si="52"/>
        <v>N</v>
      </c>
      <c r="X161" s="192">
        <f t="shared" si="65"/>
        <v>1</v>
      </c>
      <c r="Y161" s="192">
        <f t="shared" si="53"/>
        <v>5.8619000000000003</v>
      </c>
      <c r="Z161" s="192">
        <f t="shared" si="54"/>
        <v>6.9599999999999995E-2</v>
      </c>
      <c r="AA161" s="192">
        <f t="shared" si="55"/>
        <v>5.7923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6"/>
        <v>0804-18</v>
      </c>
      <c r="AE161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61" s="77" t="str">
        <f t="shared" si="58"/>
        <v>"C:\Program Files (x86)\AstroGrep\AstroGrep.exe" /e /r /s /spath="%USERPROFILE%\AppData\Local\Temp\OnboardLogs" /stypes="app*4025*20170518*" /stext=" 12:.+((SYSTEM_STATE.+slice.+state.+changed )|(ment ac)|(multiple cpu faults)|(system.+state.+changed )|(\[timeout)|(PRM\|1\|D)|(kpr)|(kdp)|(train st.+moving)|(\|lc)|(penalty))"</v>
      </c>
      <c r="AG161" s="1" t="str">
        <f t="shared" si="59"/>
        <v>NW</v>
      </c>
      <c r="AH161" s="81" t="str">
        <f t="shared" si="60"/>
        <v>"%USERPROFILE%\Documents\GitHub\eaglep3\Utilities\RefineRTDCRunTimes.py" --tripid 804-18 --locoid 4025 --swversion DE.1.0.9.0 --startMP 300:58619 --initTime 2017-05-18T06:37:36 --startdatetime 2017-05-18T06:39:55 --delay 1 --endMP 204:696 --enddatetime 2017-05-18T06:55:03 --enforcementcount 0 &gt;&gt;C:\Users\stu\Documents\GitHub\eaglep3-reporting\EC\2017-05-18-refined-times.txt</v>
      </c>
      <c r="AI161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{"issue":{"subject":"","project_id":79,"tracker_id":40,"status_id":1,"priority_id":2,"assigned_to_id":23,"start_date":"2017-05-18","description":"","custom_fields":[{"id":1,"name":"Subdivision","value":"NW"},{"id":4,"name":"Milepost","value":"0.0696"},{"id":17,"name":"Train ID","value":"804-18"},{"id":16,"name":"Locomotive ID","value":"4025"},{"id":130,"name":"Impact","value":""},{"id":150,"name":"Time of Event (Mountain Time)","value":"06:55:03"},{"id":151,"name":"Denver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2"/>
        <v>start /low /b %USERPROFILE%\Documents\GitHub\eaglep3\Utilities\DownloadLogsFromS3.py --loco 4025 --day 2017-05-18</v>
      </c>
      <c r="AN161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589</v>
      </c>
      <c r="B162" s="7">
        <v>4012</v>
      </c>
      <c r="C162" s="21" t="s">
        <v>206</v>
      </c>
      <c r="D162" s="21" t="s">
        <v>974</v>
      </c>
      <c r="E162" s="13">
        <v>42873.269270833334</v>
      </c>
      <c r="F162" s="13">
        <v>42873.285671296297</v>
      </c>
      <c r="G162" s="7">
        <v>1</v>
      </c>
      <c r="H162" s="21" t="s">
        <v>975</v>
      </c>
      <c r="I162" s="13">
        <v>42873.294953703706</v>
      </c>
      <c r="J162" s="7">
        <v>0</v>
      </c>
      <c r="K162" s="92" t="str">
        <f t="shared" si="47"/>
        <v>4011/4012</v>
      </c>
      <c r="L162" s="21" t="str">
        <f>VLOOKUP(A162,'Trips&amp;Operators'!$C$1:$G$99999,5,FALSE)</f>
        <v>MACDONALD THOMAS</v>
      </c>
      <c r="M162" s="6">
        <f t="shared" si="48"/>
        <v>9.2824074090458453E-3</v>
      </c>
      <c r="N162" s="7">
        <f t="shared" si="46"/>
        <v>13.366666669026017</v>
      </c>
      <c r="O162" s="7"/>
      <c r="P162" s="7"/>
      <c r="Q162" s="22"/>
      <c r="R162" s="190"/>
      <c r="S162" s="196">
        <f t="shared" si="49"/>
        <v>1</v>
      </c>
      <c r="T162" s="190" t="str">
        <f t="shared" si="50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1"/>
        <v>https://d0f6bd738d7f1b3e5a7ca70fe4ff75f0.us-east-1.aws.found.io/app/kibana#/discover/Steve-Slow-Train-Analysis-(2080s-and-2083s)?_g=(refreshInterval:(display:Off,pause:!f,section:0,value:0),time:(from:'2017-05-18T05:27:45-0600',mode:absolute,to:'2017-05-18T08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2" s="192" t="str">
        <f t="shared" si="52"/>
        <v>N</v>
      </c>
      <c r="X162" s="192">
        <f t="shared" si="65"/>
        <v>1</v>
      </c>
      <c r="Y162" s="192">
        <f t="shared" si="53"/>
        <v>9.7100000000000006E-2</v>
      </c>
      <c r="Z162" s="192">
        <f t="shared" si="54"/>
        <v>5.8964999999999996</v>
      </c>
      <c r="AA162" s="192">
        <f t="shared" si="55"/>
        <v>5.7993999999999994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6"/>
        <v>0805-18</v>
      </c>
      <c r="AE162" s="80" t="str">
        <f t="shared" si="57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162" s="77" t="str">
        <f t="shared" si="58"/>
        <v>"C:\Program Files (x86)\AstroGrep\AstroGrep.exe" /e /r /s /spath="%USERPROFILE%\AppData\Local\Temp\OnboardLogs" /stypes="app*4012*20170518*" /stext=" 13:.+((SYSTEM_STATE.+slice.+state.+changed )|(ment ac)|(multiple cpu faults)|(system.+state.+changed )|(\[timeout)|(PRM\|1\|D)|(kpr)|(kdp)|(train st.+moving)|(\|lc)|(penalty))"</v>
      </c>
      <c r="AG162" s="1" t="str">
        <f t="shared" si="59"/>
        <v>NW</v>
      </c>
      <c r="AH162" s="81" t="str">
        <f t="shared" si="60"/>
        <v>"%USERPROFILE%\Documents\GitHub\eaglep3\Utilities\RefineRTDCRunTimes.py" --tripid 805-18 --locoid 4012 --swversion DE.1.0.9.0 --startMP 204:971 --initTime 2017-05-18T06:27:45 --startdatetime 2017-05-18T06:51:22 --delay 1 --endMP 300:58965 --enddatetime 2017-05-18T07:04:44 --enforcementcount 0 &gt;&gt;C:\Users\stu\Documents\GitHub\eaglep3-reporting\EC\2017-05-18-refined-times.txt</v>
      </c>
      <c r="AI162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{"issue":{"subject":"","project_id":79,"tracker_id":40,"status_id":1,"priority_id":2,"assigned_to_id":23,"start_date":"2017-05-18","description":"","custom_fields":[{"id":1,"name":"Subdivision","value":"NW"},{"id":4,"name":"Milepost","value":"5.8965"},{"id":17,"name":"Train ID","value":"805-18"},{"id":16,"name":"Locomotive ID","value":"4012"},{"id":130,"name":"Impact","value":""},{"id":150,"name":"Time of Event (Mountain Time)","value":"07:04:44"},{"id":151,"name":"Denver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2"/>
        <v>start /low /b %USERPROFILE%\Documents\GitHub\eaglep3\Utilities\DownloadLogsFromS3.py --loco 4012 --day 2017-05-18</v>
      </c>
      <c r="AN162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656</v>
      </c>
      <c r="B163" s="7">
        <v>4011</v>
      </c>
      <c r="C163" s="21" t="s">
        <v>206</v>
      </c>
      <c r="D163" s="21" t="s">
        <v>976</v>
      </c>
      <c r="E163" s="13">
        <v>42873.295682870368</v>
      </c>
      <c r="F163" s="13">
        <v>42873.296898148146</v>
      </c>
      <c r="G163" s="7">
        <v>1</v>
      </c>
      <c r="H163" s="21" t="s">
        <v>977</v>
      </c>
      <c r="I163" s="13">
        <v>42873.308888888889</v>
      </c>
      <c r="J163" s="7">
        <v>0</v>
      </c>
      <c r="K163" s="92" t="str">
        <f t="shared" si="47"/>
        <v>4011/4012</v>
      </c>
      <c r="L163" s="21" t="str">
        <f>VLOOKUP(A163,'Trips&amp;Operators'!$C$1:$G$99999,5,FALSE)</f>
        <v>MACDONALD THOMAS</v>
      </c>
      <c r="M163" s="6">
        <f t="shared" si="48"/>
        <v>1.1990740742476191E-2</v>
      </c>
      <c r="N163" s="7">
        <f t="shared" si="46"/>
        <v>17.266666669165716</v>
      </c>
      <c r="O163" s="7"/>
      <c r="P163" s="7"/>
      <c r="Q163" s="22"/>
      <c r="R163" s="190"/>
      <c r="S163" s="196">
        <f t="shared" si="49"/>
        <v>1</v>
      </c>
      <c r="T163" s="190" t="str">
        <f t="shared" si="50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1"/>
        <v>https://d0f6bd738d7f1b3e5a7ca70fe4ff75f0.us-east-1.aws.found.io/app/kibana#/discover/Steve-Slow-Train-Analysis-(2080s-and-2083s)?_g=(refreshInterval:(display:Off,pause:!f,section:0,value:0),time:(from:'2017-05-18T06:05:47-0600',mode:absolute,to:'2017-05-18T08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192" t="str">
        <f t="shared" si="52"/>
        <v>N</v>
      </c>
      <c r="X163" s="192">
        <f t="shared" si="65"/>
        <v>1</v>
      </c>
      <c r="Y163" s="192">
        <f t="shared" si="53"/>
        <v>5.8653000000000004</v>
      </c>
      <c r="Z163" s="192">
        <f t="shared" si="54"/>
        <v>7.0800000000000002E-2</v>
      </c>
      <c r="AA163" s="192">
        <f t="shared" si="55"/>
        <v>5.7945000000000002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6"/>
        <v>0806-18</v>
      </c>
      <c r="AE163" s="80" t="str">
        <f t="shared" si="57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163" s="77" t="str">
        <f t="shared" si="58"/>
        <v>"C:\Program Files (x86)\AstroGrep\AstroGrep.exe" /e /r /s /spath="%USERPROFILE%\AppData\Local\Temp\OnboardLogs" /stypes="app*4011*20170518*" /stext=" 13:.+((SYSTEM_STATE.+slice.+state.+changed )|(ment ac)|(multiple cpu faults)|(system.+state.+changed )|(\[timeout)|(PRM\|1\|D)|(kpr)|(kdp)|(train st.+moving)|(\|lc)|(penalty))"</v>
      </c>
      <c r="AG163" s="1" t="str">
        <f t="shared" si="59"/>
        <v>NW</v>
      </c>
      <c r="AH163" s="81" t="str">
        <f t="shared" si="60"/>
        <v>"%USERPROFILE%\Documents\GitHub\eaglep3\Utilities\RefineRTDCRunTimes.py" --tripid 806-18 --locoid 4011 --swversion DE.1.0.9.0 --startMP 300:58653 --initTime 2017-05-18T07:05:47 --startdatetime 2017-05-18T07:07:32 --delay 1 --endMP 204:708 --enddatetime 2017-05-18T07:24:48 --enforcementcount 0 &gt;&gt;C:\Users\stu\Documents\GitHub\eaglep3-reporting\EC\2017-05-18-refined-times.txt</v>
      </c>
      <c r="AI163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{"issue":{"subject":"","project_id":79,"tracker_id":40,"status_id":1,"priority_id":2,"assigned_to_id":23,"start_date":"2017-05-18","description":"","custom_fields":[{"id":1,"name":"Subdivision","value":"NW"},{"id":4,"name":"Milepost","value":"0.0708"},{"id":17,"name":"Train ID","value":"806-18"},{"id":16,"name":"Locomotive ID","value":"4011"},{"id":130,"name":"Impact","value":""},{"id":150,"name":"Time of Event (Mountain Time)","value":"07:24:48"},{"id":151,"name":"Denver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2"/>
        <v>start /low /b %USERPROFILE%\Documents\GitHub\eaglep3\Utilities\DownloadLogsFromS3.py --loco 4011 --day 2017-05-18</v>
      </c>
      <c r="AN163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659</v>
      </c>
      <c r="B164" s="7">
        <v>4026</v>
      </c>
      <c r="C164" s="21" t="s">
        <v>206</v>
      </c>
      <c r="D164" s="21" t="s">
        <v>574</v>
      </c>
      <c r="E164" s="13">
        <v>42873.304768518516</v>
      </c>
      <c r="F164" s="13">
        <v>42873.306423611109</v>
      </c>
      <c r="G164" s="7">
        <v>1</v>
      </c>
      <c r="H164" s="21" t="s">
        <v>451</v>
      </c>
      <c r="I164" s="13">
        <v>42873.314965277779</v>
      </c>
      <c r="J164" s="7">
        <v>0</v>
      </c>
      <c r="K164" s="92" t="str">
        <f t="shared" si="47"/>
        <v>4025/4026</v>
      </c>
      <c r="L164" s="21" t="str">
        <f>VLOOKUP(A164,'Trips&amp;Operators'!$C$1:$G$99999,5,FALSE)</f>
        <v>LOZA FIDEL</v>
      </c>
      <c r="M164" s="6">
        <f t="shared" si="48"/>
        <v>8.5416666697710752E-3</v>
      </c>
      <c r="N164" s="7">
        <f t="shared" si="46"/>
        <v>12.300000004470348</v>
      </c>
      <c r="O164" s="7"/>
      <c r="P164" s="7"/>
      <c r="Q164" s="22"/>
      <c r="R164" s="190"/>
      <c r="S164" s="196">
        <f t="shared" si="49"/>
        <v>1</v>
      </c>
      <c r="T164" s="190" t="str">
        <f t="shared" si="50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1"/>
        <v>https://d0f6bd738d7f1b3e5a7ca70fe4ff75f0.us-east-1.aws.found.io/app/kibana#/discover/Steve-Slow-Train-Analysis-(2080s-and-2083s)?_g=(refreshInterval:(display:Off,pause:!f,section:0,value:0),time:(from:'2017-05-18T06:18:52-0600',mode:absolute,to:'2017-05-18T08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4" s="192" t="str">
        <f t="shared" si="52"/>
        <v>N</v>
      </c>
      <c r="X164" s="192">
        <f t="shared" si="65"/>
        <v>1</v>
      </c>
      <c r="Y164" s="192">
        <f t="shared" si="53"/>
        <v>9.74E-2</v>
      </c>
      <c r="Z164" s="192">
        <f t="shared" si="54"/>
        <v>5.8954000000000004</v>
      </c>
      <c r="AA164" s="192">
        <f t="shared" si="55"/>
        <v>5.798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6"/>
        <v>0807-18</v>
      </c>
      <c r="AE164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64" s="77" t="str">
        <f t="shared" si="58"/>
        <v>"C:\Program Files (x86)\AstroGrep\AstroGrep.exe" /e /r /s /spath="%USERPROFILE%\AppData\Local\Temp\OnboardLogs" /stypes="app*4026*20170518*" /stext=" 13:.+((SYSTEM_STATE.+slice.+state.+changed )|(ment ac)|(multiple cpu faults)|(system.+state.+changed )|(\[timeout)|(PRM\|1\|D)|(kpr)|(kdp)|(train st.+moving)|(\|lc)|(penalty))"</v>
      </c>
      <c r="AG164" s="1" t="str">
        <f t="shared" si="59"/>
        <v>NW</v>
      </c>
      <c r="AH164" s="81" t="str">
        <f t="shared" si="60"/>
        <v>"%USERPROFILE%\Documents\GitHub\eaglep3\Utilities\RefineRTDCRunTimes.py" --tripid 807-18 --locoid 4026 --swversion DE.1.0.9.0 --startMP 204:974 --initTime 2017-05-18T07:18:52 --startdatetime 2017-05-18T07:21:15 --delay 1 --endMP 300:58954 --enddatetime 2017-05-18T07:33:33 --enforcementcount 0 &gt;&gt;C:\Users\stu\Documents\GitHub\eaglep3-reporting\EC\2017-05-18-refined-times.txt</v>
      </c>
      <c r="AI164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{"issue":{"subject":"","project_id":79,"tracker_id":40,"status_id":1,"priority_id":2,"assigned_to_id":23,"start_date":"2017-05-18","description":"","custom_fields":[{"id":1,"name":"Subdivision","value":"NW"},{"id":4,"name":"Milepost","value":"5.8954"},{"id":17,"name":"Train ID","value":"807-18"},{"id":16,"name":"Locomotive ID","value":"4026"},{"id":130,"name":"Impact","value":""},{"id":150,"name":"Time of Event (Mountain Time)","value":"07:33:33"},{"id":151,"name":"Denver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2"/>
        <v>start /low /b %USERPROFILE%\Documents\GitHub\eaglep3\Utilities\DownloadLogsFromS3.py --loco 4026 --day 2017-05-18</v>
      </c>
      <c r="AN164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661</v>
      </c>
      <c r="B165" s="7">
        <v>4025</v>
      </c>
      <c r="C165" s="21" t="s">
        <v>206</v>
      </c>
      <c r="D165" s="21" t="s">
        <v>452</v>
      </c>
      <c r="E165" s="13">
        <v>42873.316168981481</v>
      </c>
      <c r="F165" s="13">
        <v>42873.317719907405</v>
      </c>
      <c r="G165" s="7">
        <v>1</v>
      </c>
      <c r="H165" s="21" t="s">
        <v>978</v>
      </c>
      <c r="I165" s="13">
        <v>42873.329942129632</v>
      </c>
      <c r="J165" s="7">
        <v>0</v>
      </c>
      <c r="K165" s="92" t="str">
        <f t="shared" si="47"/>
        <v>4025/4026</v>
      </c>
      <c r="L165" s="21" t="str">
        <f>VLOOKUP(A165,'Trips&amp;Operators'!$C$1:$G$99999,5,FALSE)</f>
        <v>LOZA FIDEL</v>
      </c>
      <c r="M165" s="6">
        <f t="shared" si="48"/>
        <v>1.2222222227137536E-2</v>
      </c>
      <c r="N165" s="7">
        <f t="shared" si="46"/>
        <v>17.600000007078052</v>
      </c>
      <c r="O165" s="7"/>
      <c r="P165" s="7"/>
      <c r="Q165" s="22"/>
      <c r="R165" s="190"/>
      <c r="S165" s="196">
        <f t="shared" si="49"/>
        <v>1</v>
      </c>
      <c r="T165" s="190" t="str">
        <f t="shared" si="50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1"/>
        <v>https://d0f6bd738d7f1b3e5a7ca70fe4ff75f0.us-east-1.aws.found.io/app/kibana#/discover/Steve-Slow-Train-Analysis-(2080s-and-2083s)?_g=(refreshInterval:(display:Off,pause:!f,section:0,value:0),time:(from:'2017-05-18T06:35:17-0600',mode:absolute,to:'2017-05-18T08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92" t="str">
        <f t="shared" si="52"/>
        <v>N</v>
      </c>
      <c r="X165" s="192">
        <f t="shared" si="65"/>
        <v>1</v>
      </c>
      <c r="Y165" s="192">
        <f t="shared" si="53"/>
        <v>5.8644999999999996</v>
      </c>
      <c r="Z165" s="192">
        <f t="shared" si="54"/>
        <v>6.9199999999999998E-2</v>
      </c>
      <c r="AA165" s="192">
        <f t="shared" si="55"/>
        <v>5.7952999999999992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6"/>
        <v>0808-18</v>
      </c>
      <c r="AE165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65" s="77" t="str">
        <f t="shared" si="58"/>
        <v>"C:\Program Files (x86)\AstroGrep\AstroGrep.exe" /e /r /s /spath="%USERPROFILE%\AppData\Local\Temp\OnboardLogs" /stypes="app*4025*20170518*" /stext=" 13:.+((SYSTEM_STATE.+slice.+state.+changed )|(ment ac)|(multiple cpu faults)|(system.+state.+changed )|(\[timeout)|(PRM\|1\|D)|(kpr)|(kdp)|(train st.+moving)|(\|lc)|(penalty))"</v>
      </c>
      <c r="AG165" s="1" t="str">
        <f t="shared" si="59"/>
        <v>NW</v>
      </c>
      <c r="AH165" s="81" t="str">
        <f t="shared" si="60"/>
        <v>"%USERPROFILE%\Documents\GitHub\eaglep3\Utilities\RefineRTDCRunTimes.py" --tripid 808-18 --locoid 4025 --swversion DE.1.0.9.0 --startMP 300:58645 --initTime 2017-05-18T07:35:17 --startdatetime 2017-05-18T07:37:31 --delay 1 --endMP 204:692 --enddatetime 2017-05-18T07:55:07 --enforcementcount 0 &gt;&gt;C:\Users\stu\Documents\GitHub\eaglep3-reporting\EC\2017-05-18-refined-times.txt</v>
      </c>
      <c r="AI165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{"issue":{"subject":"","project_id":79,"tracker_id":40,"status_id":1,"priority_id":2,"assigned_to_id":23,"start_date":"2017-05-18","description":"","custom_fields":[{"id":1,"name":"Subdivision","value":"NW"},{"id":4,"name":"Milepost","value":"0.0692"},{"id":17,"name":"Train ID","value":"808-18"},{"id":16,"name":"Locomotive ID","value":"4025"},{"id":130,"name":"Impact","value":""},{"id":150,"name":"Time of Event (Mountain Time)","value":"07:55:07"},{"id":151,"name":"Denver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2"/>
        <v>start /low /b %USERPROFILE%\Documents\GitHub\eaglep3\Utilities\DownloadLogsFromS3.py --loco 4025 --day 2017-05-18</v>
      </c>
      <c r="AN165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663</v>
      </c>
      <c r="B166" s="7">
        <v>4012</v>
      </c>
      <c r="C166" s="21" t="s">
        <v>206</v>
      </c>
      <c r="D166" s="21" t="s">
        <v>514</v>
      </c>
      <c r="E166" s="13">
        <v>42873.322442129633</v>
      </c>
      <c r="F166" s="13">
        <v>42873.327511574076</v>
      </c>
      <c r="G166" s="7">
        <v>1</v>
      </c>
      <c r="H166" s="21" t="s">
        <v>979</v>
      </c>
      <c r="I166" s="13">
        <v>42873.336041666669</v>
      </c>
      <c r="J166" s="7">
        <v>0</v>
      </c>
      <c r="K166" s="92" t="str">
        <f t="shared" si="47"/>
        <v>4011/4012</v>
      </c>
      <c r="L166" s="21" t="str">
        <f>VLOOKUP(A166,'Trips&amp;Operators'!$C$1:$G$99999,5,FALSE)</f>
        <v>MACDONALD THOMAS</v>
      </c>
      <c r="M166" s="6">
        <f t="shared" si="48"/>
        <v>8.5300925929914229E-3</v>
      </c>
      <c r="N166" s="7">
        <f t="shared" ref="N166:N197" si="66">24*60*SUM($M166:$M166)</f>
        <v>12.283333333907649</v>
      </c>
      <c r="O166" s="7"/>
      <c r="P166" s="7"/>
      <c r="Q166" s="22"/>
      <c r="R166" s="190"/>
      <c r="S166" s="196">
        <f t="shared" si="49"/>
        <v>1</v>
      </c>
      <c r="T166" s="190" t="str">
        <f t="shared" si="50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1"/>
        <v>https://d0f6bd738d7f1b3e5a7ca70fe4ff75f0.us-east-1.aws.found.io/app/kibana#/discover/Steve-Slow-Train-Analysis-(2080s-and-2083s)?_g=(refreshInterval:(display:Off,pause:!f,section:0,value:0),time:(from:'2017-05-18T06:44:19-0600',mode:absolute,to:'2017-05-18T09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6" s="192" t="str">
        <f t="shared" si="52"/>
        <v>N</v>
      </c>
      <c r="X166" s="192">
        <f t="shared" si="65"/>
        <v>1</v>
      </c>
      <c r="Y166" s="192">
        <f t="shared" si="53"/>
        <v>9.8100000000000007E-2</v>
      </c>
      <c r="Z166" s="192">
        <f t="shared" si="54"/>
        <v>5.8945999999999996</v>
      </c>
      <c r="AA166" s="192">
        <f t="shared" si="55"/>
        <v>5.7965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6"/>
        <v>0809-18</v>
      </c>
      <c r="AE166" s="80" t="str">
        <f t="shared" si="57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166" s="77" t="str">
        <f t="shared" si="58"/>
        <v>"C:\Program Files (x86)\AstroGrep\AstroGrep.exe" /e /r /s /spath="%USERPROFILE%\AppData\Local\Temp\OnboardLogs" /stypes="app*4012*20170518*" /stext=" 14:.+((SYSTEM_STATE.+slice.+state.+changed )|(ment ac)|(multiple cpu faults)|(system.+state.+changed )|(\[timeout)|(PRM\|1\|D)|(kpr)|(kdp)|(train st.+moving)|(\|lc)|(penalty))"</v>
      </c>
      <c r="AG166" s="1" t="str">
        <f t="shared" si="59"/>
        <v>NW</v>
      </c>
      <c r="AH166" s="81" t="str">
        <f t="shared" si="60"/>
        <v>"%USERPROFILE%\Documents\GitHub\eaglep3\Utilities\RefineRTDCRunTimes.py" --tripid 809-18 --locoid 4012 --swversion DE.1.0.9.0 --startMP 204:981 --initTime 2017-05-18T07:44:19 --startdatetime 2017-05-18T07:51:37 --delay 1 --endMP 300:58946 --enddatetime 2017-05-18T08:03:54 --enforcementcount 0 &gt;&gt;C:\Users\stu\Documents\GitHub\eaglep3-reporting\EC\2017-05-18-refined-times.txt</v>
      </c>
      <c r="AI166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{"issue":{"subject":"","project_id":79,"tracker_id":40,"status_id":1,"priority_id":2,"assigned_to_id":23,"start_date":"2017-05-18","description":"","custom_fields":[{"id":1,"name":"Subdivision","value":"NW"},{"id":4,"name":"Milepost","value":"5.8946"},{"id":17,"name":"Train ID","value":"809-18"},{"id":16,"name":"Locomotive ID","value":"4012"},{"id":130,"name":"Impact","value":""},{"id":150,"name":"Time of Event (Mountain Time)","value":"08:03:54"},{"id":151,"name":"Denver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2"/>
        <v>start /low /b %USERPROFILE%\Documents\GitHub\eaglep3\Utilities\DownloadLogsFromS3.py --loco 4012 --day 2017-05-18</v>
      </c>
      <c r="AN166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667</v>
      </c>
      <c r="B167" s="7">
        <v>4011</v>
      </c>
      <c r="C167" s="21" t="s">
        <v>206</v>
      </c>
      <c r="D167" s="21" t="s">
        <v>980</v>
      </c>
      <c r="E167" s="13">
        <v>42873.336840277778</v>
      </c>
      <c r="F167" s="13">
        <v>42873.338402777779</v>
      </c>
      <c r="G167" s="7">
        <v>1</v>
      </c>
      <c r="H167" s="21" t="s">
        <v>981</v>
      </c>
      <c r="I167" s="13">
        <v>42873.350717592592</v>
      </c>
      <c r="J167" s="7">
        <v>0</v>
      </c>
      <c r="K167" s="92" t="str">
        <f t="shared" si="47"/>
        <v>4011/4012</v>
      </c>
      <c r="L167" s="21" t="str">
        <f>VLOOKUP(A167,'Trips&amp;Operators'!$C$1:$G$99999,5,FALSE)</f>
        <v>MACDONALD THOMAS</v>
      </c>
      <c r="M167" s="6">
        <f t="shared" si="48"/>
        <v>1.2314814812270924E-2</v>
      </c>
      <c r="N167" s="7">
        <f t="shared" si="66"/>
        <v>17.733333329670131</v>
      </c>
      <c r="O167" s="7"/>
      <c r="P167" s="7"/>
      <c r="Q167" s="22"/>
      <c r="R167" s="190"/>
      <c r="S167" s="196">
        <f t="shared" si="49"/>
        <v>1</v>
      </c>
      <c r="T167" s="190" t="str">
        <f t="shared" si="50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1"/>
        <v>https://d0f6bd738d7f1b3e5a7ca70fe4ff75f0.us-east-1.aws.found.io/app/kibana#/discover/Steve-Slow-Train-Analysis-(2080s-and-2083s)?_g=(refreshInterval:(display:Off,pause:!f,section:0,value:0),time:(from:'2017-05-18T07:05:03-0600',mode:absolute,to:'2017-05-18T09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7" s="192" t="str">
        <f t="shared" si="52"/>
        <v>N</v>
      </c>
      <c r="X167" s="192">
        <f t="shared" si="65"/>
        <v>1</v>
      </c>
      <c r="Y167" s="192">
        <f t="shared" si="53"/>
        <v>5.8628</v>
      </c>
      <c r="Z167" s="192">
        <f t="shared" si="54"/>
        <v>1.37E-2</v>
      </c>
      <c r="AA167" s="192">
        <f t="shared" si="55"/>
        <v>5.8491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6"/>
        <v>0810-18</v>
      </c>
      <c r="AE167" s="80" t="str">
        <f t="shared" si="57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167" s="77" t="str">
        <f t="shared" si="58"/>
        <v>"C:\Program Files (x86)\AstroGrep\AstroGrep.exe" /e /r /s /spath="%USERPROFILE%\AppData\Local\Temp\OnboardLogs" /stypes="app*4011*20170518*" /stext=" 14:.+((SYSTEM_STATE.+slice.+state.+changed )|(ment ac)|(multiple cpu faults)|(system.+state.+changed )|(\[timeout)|(PRM\|1\|D)|(kpr)|(kdp)|(train st.+moving)|(\|lc)|(penalty))"</v>
      </c>
      <c r="AG167" s="1" t="str">
        <f t="shared" si="59"/>
        <v>NW</v>
      </c>
      <c r="AH167" s="81" t="str">
        <f t="shared" si="60"/>
        <v>"%USERPROFILE%\Documents\GitHub\eaglep3\Utilities\RefineRTDCRunTimes.py" --tripid 810-18 --locoid 4011 --swversion DE.1.0.9.0 --startMP 300:58628 --initTime 2017-05-18T08:05:03 --startdatetime 2017-05-18T08:07:18 --delay 1 --endMP 204:137 --enddatetime 2017-05-18T08:25:02 --enforcementcount 0 &gt;&gt;C:\Users\stu\Documents\GitHub\eaglep3-reporting\EC\2017-05-18-refined-times.txt</v>
      </c>
      <c r="AI167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{"issue":{"subject":"","project_id":79,"tracker_id":40,"status_id":1,"priority_id":2,"assigned_to_id":23,"start_date":"2017-05-18","description":"","custom_fields":[{"id":1,"name":"Subdivision","value":"NW"},{"id":4,"name":"Milepost","value":"0.0137"},{"id":17,"name":"Train ID","value":"810-18"},{"id":16,"name":"Locomotive ID","value":"4011"},{"id":130,"name":"Impact","value":""},{"id":150,"name":"Time of Event (Mountain Time)","value":"08:25:02"},{"id":151,"name":"Denver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2"/>
        <v>start /low /b %USERPROFILE%\Documents\GitHub\eaglep3\Utilities\DownloadLogsFromS3.py --loco 4011 --day 2017-05-18</v>
      </c>
      <c r="AN167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669</v>
      </c>
      <c r="B168" s="7">
        <v>4026</v>
      </c>
      <c r="C168" s="21" t="s">
        <v>206</v>
      </c>
      <c r="D168" s="21" t="s">
        <v>974</v>
      </c>
      <c r="E168" s="13">
        <v>42873.345648148148</v>
      </c>
      <c r="F168" s="13">
        <v>42873.348090277781</v>
      </c>
      <c r="G168" s="7">
        <v>1</v>
      </c>
      <c r="H168" s="21" t="s">
        <v>571</v>
      </c>
      <c r="I168" s="13">
        <v>42873.35664351852</v>
      </c>
      <c r="J168" s="7">
        <v>0</v>
      </c>
      <c r="K168" s="92" t="str">
        <f t="shared" si="47"/>
        <v>4025/4026</v>
      </c>
      <c r="L168" s="21" t="str">
        <f>VLOOKUP(A168,'Trips&amp;Operators'!$C$1:$G$99999,5,FALSE)</f>
        <v>LOZA FIDEL</v>
      </c>
      <c r="M168" s="6">
        <f t="shared" si="48"/>
        <v>8.55324073927477E-3</v>
      </c>
      <c r="N168" s="7">
        <f t="shared" si="66"/>
        <v>12.316666664555669</v>
      </c>
      <c r="O168" s="7"/>
      <c r="P168" s="7"/>
      <c r="Q168" s="22"/>
      <c r="R168" s="190"/>
      <c r="S168" s="196">
        <f t="shared" si="49"/>
        <v>1</v>
      </c>
      <c r="T168" s="190" t="str">
        <f t="shared" si="50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1"/>
        <v>https://d0f6bd738d7f1b3e5a7ca70fe4ff75f0.us-east-1.aws.found.io/app/kibana#/discover/Steve-Slow-Train-Analysis-(2080s-and-2083s)?_g=(refreshInterval:(display:Off,pause:!f,section:0,value:0),time:(from:'2017-05-18T07:17:44-0600',mode:absolute,to:'2017-05-18T09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8" s="192" t="str">
        <f t="shared" si="52"/>
        <v>N</v>
      </c>
      <c r="X168" s="192">
        <f t="shared" si="65"/>
        <v>1</v>
      </c>
      <c r="Y168" s="192">
        <f t="shared" si="53"/>
        <v>9.7100000000000006E-2</v>
      </c>
      <c r="Z168" s="192">
        <f t="shared" si="54"/>
        <v>5.8936999999999999</v>
      </c>
      <c r="AA168" s="192">
        <f t="shared" si="55"/>
        <v>5.7965999999999998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6"/>
        <v>0811-18</v>
      </c>
      <c r="AE168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68" s="77" t="str">
        <f t="shared" si="58"/>
        <v>"C:\Program Files (x86)\AstroGrep\AstroGrep.exe" /e /r /s /spath="%USERPROFILE%\AppData\Local\Temp\OnboardLogs" /stypes="app*4026*20170518*" /stext=" 14:.+((SYSTEM_STATE.+slice.+state.+changed )|(ment ac)|(multiple cpu faults)|(system.+state.+changed )|(\[timeout)|(PRM\|1\|D)|(kpr)|(kdp)|(train st.+moving)|(\|lc)|(penalty))"</v>
      </c>
      <c r="AG168" s="1" t="str">
        <f t="shared" si="59"/>
        <v>NW</v>
      </c>
      <c r="AH168" s="81" t="str">
        <f t="shared" si="60"/>
        <v>"%USERPROFILE%\Documents\GitHub\eaglep3\Utilities\RefineRTDCRunTimes.py" --tripid 811-18 --locoid 4026 --swversion DE.1.0.9.0 --startMP 204:971 --initTime 2017-05-18T08:17:44 --startdatetime 2017-05-18T08:21:15 --delay 1 --endMP 300:58937 --enddatetime 2017-05-18T08:33:34 --enforcementcount 0 &gt;&gt;C:\Users\stu\Documents\GitHub\eaglep3-reporting\EC\2017-05-18-refined-times.txt</v>
      </c>
      <c r="AI168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{"issue":{"subject":"","project_id":79,"tracker_id":40,"status_id":1,"priority_id":2,"assigned_to_id":23,"start_date":"2017-05-18","description":"","custom_fields":[{"id":1,"name":"Subdivision","value":"NW"},{"id":4,"name":"Milepost","value":"5.8937"},{"id":17,"name":"Train ID","value":"811-18"},{"id":16,"name":"Locomotive ID","value":"4026"},{"id":130,"name":"Impact","value":""},{"id":150,"name":"Time of Event (Mountain Time)","value":"08:33:34"},{"id":151,"name":"Denver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2"/>
        <v>start /low /b %USERPROFILE%\Documents\GitHub\eaglep3\Utilities\DownloadLogsFromS3.py --loco 4026 --day 2017-05-18</v>
      </c>
      <c r="AN168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673</v>
      </c>
      <c r="B169" s="7">
        <v>4025</v>
      </c>
      <c r="C169" s="21" t="s">
        <v>206</v>
      </c>
      <c r="D169" s="21" t="s">
        <v>507</v>
      </c>
      <c r="E169" s="13">
        <v>42873.359155092592</v>
      </c>
      <c r="F169" s="13">
        <v>42873.360879629632</v>
      </c>
      <c r="G169" s="7">
        <v>1</v>
      </c>
      <c r="H169" s="21" t="s">
        <v>971</v>
      </c>
      <c r="I169" s="13">
        <v>42873.372789351852</v>
      </c>
      <c r="J169" s="7">
        <v>0</v>
      </c>
      <c r="K169" s="92" t="str">
        <f t="shared" si="47"/>
        <v>4025/4026</v>
      </c>
      <c r="L169" s="21" t="str">
        <f>VLOOKUP(A169,'Trips&amp;Operators'!$C$1:$G$99999,5,FALSE)</f>
        <v>LOZA FIDEL</v>
      </c>
      <c r="M169" s="6">
        <f t="shared" si="48"/>
        <v>1.190972221957054E-2</v>
      </c>
      <c r="N169" s="7">
        <f t="shared" si="66"/>
        <v>17.149999996181577</v>
      </c>
      <c r="O169" s="7"/>
      <c r="P169" s="7"/>
      <c r="Q169" s="22"/>
      <c r="R169" s="190"/>
      <c r="S169" s="196">
        <f t="shared" si="49"/>
        <v>1</v>
      </c>
      <c r="T169" s="190" t="str">
        <f t="shared" si="50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1"/>
        <v>https://d0f6bd738d7f1b3e5a7ca70fe4ff75f0.us-east-1.aws.found.io/app/kibana#/discover/Steve-Slow-Train-Analysis-(2080s-and-2083s)?_g=(refreshInterval:(display:Off,pause:!f,section:0,value:0),time:(from:'2017-05-18T07:37:11-0600',mode:absolute,to:'2017-05-18T09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92" t="str">
        <f t="shared" si="52"/>
        <v>N</v>
      </c>
      <c r="X169" s="192">
        <f t="shared" si="65"/>
        <v>1</v>
      </c>
      <c r="Y169" s="192">
        <f t="shared" si="53"/>
        <v>5.8619000000000003</v>
      </c>
      <c r="Z169" s="192">
        <f t="shared" si="54"/>
        <v>6.7299999999999999E-2</v>
      </c>
      <c r="AA169" s="192">
        <f t="shared" si="55"/>
        <v>5.7946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6"/>
        <v>0812-18</v>
      </c>
      <c r="AE169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69" s="77" t="str">
        <f t="shared" si="58"/>
        <v>"C:\Program Files (x86)\AstroGrep\AstroGrep.exe" /e /r /s /spath="%USERPROFILE%\AppData\Local\Temp\OnboardLogs" /stypes="app*4025*20170518*" /stext=" 14:.+((SYSTEM_STATE.+slice.+state.+changed )|(ment ac)|(multiple cpu faults)|(system.+state.+changed )|(\[timeout)|(PRM\|1\|D)|(kpr)|(kdp)|(train st.+moving)|(\|lc)|(penalty))"</v>
      </c>
      <c r="AG169" s="1" t="str">
        <f t="shared" si="59"/>
        <v>NW</v>
      </c>
      <c r="AH169" s="81" t="str">
        <f t="shared" si="60"/>
        <v>"%USERPROFILE%\Documents\GitHub\eaglep3\Utilities\RefineRTDCRunTimes.py" --tripid 812-18 --locoid 4025 --swversion DE.1.0.9.0 --startMP 300:58619 --initTime 2017-05-18T08:37:11 --startdatetime 2017-05-18T08:39:40 --delay 1 --endMP 204:673 --enddatetime 2017-05-18T08:56:49 --enforcementcount 0 &gt;&gt;C:\Users\stu\Documents\GitHub\eaglep3-reporting\EC\2017-05-18-refined-times.txt</v>
      </c>
      <c r="AI169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{"issue":{"subject":"","project_id":79,"tracker_id":40,"status_id":1,"priority_id":2,"assigned_to_id":23,"start_date":"2017-05-18","description":"","custom_fields":[{"id":1,"name":"Subdivision","value":"NW"},{"id":4,"name":"Milepost","value":"0.0673"},{"id":17,"name":"Train ID","value":"812-18"},{"id":16,"name":"Locomotive ID","value":"4025"},{"id":130,"name":"Impact","value":""},{"id":150,"name":"Time of Event (Mountain Time)","value":"08:56:49"},{"id":151,"name":"Denver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2"/>
        <v>start /low /b %USERPROFILE%\Documents\GitHub\eaglep3\Utilities\DownloadLogsFromS3.py --loco 4025 --day 2017-05-18</v>
      </c>
      <c r="AN169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677</v>
      </c>
      <c r="B170" s="7">
        <v>4026</v>
      </c>
      <c r="C170" s="21" t="s">
        <v>206</v>
      </c>
      <c r="D170" s="21" t="s">
        <v>982</v>
      </c>
      <c r="E170" s="13">
        <v>42873.374768518515</v>
      </c>
      <c r="F170" s="13">
        <v>42873.389780092592</v>
      </c>
      <c r="G170" s="7">
        <v>1</v>
      </c>
      <c r="H170" s="21" t="s">
        <v>509</v>
      </c>
      <c r="I170" s="13">
        <v>42873.398599537039</v>
      </c>
      <c r="J170" s="7">
        <v>0</v>
      </c>
      <c r="K170" s="92" t="str">
        <f t="shared" si="47"/>
        <v>4025/4026</v>
      </c>
      <c r="L170" s="21" t="str">
        <f>VLOOKUP(A170,'Trips&amp;Operators'!$C$1:$G$99999,5,FALSE)</f>
        <v>LOZA FIDEL</v>
      </c>
      <c r="M170" s="6">
        <f t="shared" si="48"/>
        <v>8.819444446999114E-3</v>
      </c>
      <c r="N170" s="7">
        <f t="shared" si="66"/>
        <v>12.700000003678724</v>
      </c>
      <c r="O170" s="7"/>
      <c r="P170" s="7"/>
      <c r="Q170" s="22"/>
      <c r="R170" s="190"/>
      <c r="S170" s="196">
        <f t="shared" si="49"/>
        <v>1</v>
      </c>
      <c r="T170" s="190" t="str">
        <f t="shared" si="50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1"/>
        <v>https://d0f6bd738d7f1b3e5a7ca70fe4ff75f0.us-east-1.aws.found.io/app/kibana#/discover/Steve-Slow-Train-Analysis-(2080s-and-2083s)?_g=(refreshInterval:(display:Off,pause:!f,section:0,value:0),time:(from:'2017-05-18T07:59:40-0600',mode:absolute,to:'2017-05-18T10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192" t="str">
        <f t="shared" si="52"/>
        <v>N</v>
      </c>
      <c r="X170" s="192">
        <f t="shared" si="65"/>
        <v>1</v>
      </c>
      <c r="Y170" s="192">
        <f t="shared" si="53"/>
        <v>9.8599999999999993E-2</v>
      </c>
      <c r="Z170" s="192">
        <f t="shared" si="54"/>
        <v>5.8939000000000004</v>
      </c>
      <c r="AA170" s="192">
        <f t="shared" si="55"/>
        <v>5.7953000000000001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6"/>
        <v>0813-18</v>
      </c>
      <c r="AE170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70" s="77" t="str">
        <f t="shared" si="58"/>
        <v>"C:\Program Files (x86)\AstroGrep\AstroGrep.exe" /e /r /s /spath="%USERPROFILE%\AppData\Local\Temp\OnboardLogs" /stypes="app*4026*20170518*" /stext=" 15:.+((SYSTEM_STATE.+slice.+state.+changed )|(ment ac)|(multiple cpu faults)|(system.+state.+changed )|(\[timeout)|(PRM\|1\|D)|(kpr)|(kdp)|(train st.+moving)|(\|lc)|(penalty))"</v>
      </c>
      <c r="AG170" s="1" t="str">
        <f t="shared" si="59"/>
        <v>NW</v>
      </c>
      <c r="AH170" s="81" t="str">
        <f t="shared" si="60"/>
        <v>"%USERPROFILE%\Documents\GitHub\eaglep3\Utilities\RefineRTDCRunTimes.py" --tripid 813-18 --locoid 4026 --swversion DE.1.0.9.0 --startMP 204:986 --initTime 2017-05-18T08:59:40 --startdatetime 2017-05-18T09:21:17 --delay 1 --endMP 300:58939 --enddatetime 2017-05-18T09:33:59 --enforcementcount 0 &gt;&gt;C:\Users\stu\Documents\GitHub\eaglep3-reporting\EC\2017-05-18-refined-times.txt</v>
      </c>
      <c r="AI170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{"issue":{"subject":"","project_id":79,"tracker_id":40,"status_id":1,"priority_id":2,"assigned_to_id":23,"start_date":"2017-05-18","description":"","custom_fields":[{"id":1,"name":"Subdivision","value":"NW"},{"id":4,"name":"Milepost","value":"5.8939"},{"id":17,"name":"Train ID","value":"813-18"},{"id":16,"name":"Locomotive ID","value":"4026"},{"id":130,"name":"Impact","value":""},{"id":150,"name":"Time of Event (Mountain Time)","value":"09:33:59"},{"id":151,"name":"Denver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2"/>
        <v>start /low /b %USERPROFILE%\Documents\GitHub\eaglep3\Utilities\DownloadLogsFromS3.py --loco 4026 --day 2017-05-18</v>
      </c>
      <c r="AN170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681</v>
      </c>
      <c r="B171" s="7">
        <v>4025</v>
      </c>
      <c r="C171" s="21" t="s">
        <v>206</v>
      </c>
      <c r="D171" s="21" t="s">
        <v>511</v>
      </c>
      <c r="E171" s="13">
        <v>42873.400312500002</v>
      </c>
      <c r="F171" s="13">
        <v>42873.402060185188</v>
      </c>
      <c r="G171" s="7">
        <v>1</v>
      </c>
      <c r="H171" s="21" t="s">
        <v>577</v>
      </c>
      <c r="I171" s="13">
        <v>42873.412777777776</v>
      </c>
      <c r="J171" s="7">
        <v>0</v>
      </c>
      <c r="K171" s="92" t="str">
        <f t="shared" si="47"/>
        <v>4025/4026</v>
      </c>
      <c r="L171" s="21" t="str">
        <f>VLOOKUP(A171,'Trips&amp;Operators'!$C$1:$G$99999,5,FALSE)</f>
        <v>LOZA FIDEL</v>
      </c>
      <c r="M171" s="6">
        <f t="shared" si="48"/>
        <v>1.0717592587752733E-2</v>
      </c>
      <c r="N171" s="7">
        <f t="shared" si="66"/>
        <v>15.433333326363936</v>
      </c>
      <c r="O171" s="7"/>
      <c r="P171" s="7"/>
      <c r="Q171" s="22"/>
      <c r="R171" s="190"/>
      <c r="S171" s="196">
        <f t="shared" si="49"/>
        <v>1</v>
      </c>
      <c r="T171" s="190" t="str">
        <f t="shared" si="50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1"/>
        <v>https://d0f6bd738d7f1b3e5a7ca70fe4ff75f0.us-east-1.aws.found.io/app/kibana#/discover/Steve-Slow-Train-Analysis-(2080s-and-2083s)?_g=(refreshInterval:(display:Off,pause:!f,section:0,value:0),time:(from:'2017-05-18T08:36:27-0600',mode:absolute,to:'2017-05-18T10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1" s="192" t="str">
        <f t="shared" si="52"/>
        <v>N</v>
      </c>
      <c r="X171" s="192">
        <f t="shared" si="65"/>
        <v>1</v>
      </c>
      <c r="Y171" s="192">
        <f t="shared" si="53"/>
        <v>5.8624000000000001</v>
      </c>
      <c r="Z171" s="192">
        <f t="shared" si="54"/>
        <v>6.7500000000000004E-2</v>
      </c>
      <c r="AA171" s="192">
        <f t="shared" si="55"/>
        <v>5.7949000000000002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6"/>
        <v>0814-18</v>
      </c>
      <c r="AE171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71" s="77" t="str">
        <f t="shared" si="58"/>
        <v>"C:\Program Files (x86)\AstroGrep\AstroGrep.exe" /e /r /s /spath="%USERPROFILE%\AppData\Local\Temp\OnboardLogs" /stypes="app*4025*20170518*" /stext=" 15:.+((SYSTEM_STATE.+slice.+state.+changed )|(ment ac)|(multiple cpu faults)|(system.+state.+changed )|(\[timeout)|(PRM\|1\|D)|(kpr)|(kdp)|(train st.+moving)|(\|lc)|(penalty))"</v>
      </c>
      <c r="AG171" s="1" t="str">
        <f t="shared" si="59"/>
        <v>NW</v>
      </c>
      <c r="AH171" s="81" t="str">
        <f t="shared" si="60"/>
        <v>"%USERPROFILE%\Documents\GitHub\eaglep3\Utilities\RefineRTDCRunTimes.py" --tripid 814-18 --locoid 4025 --swversion DE.1.0.9.0 --startMP 300:58624 --initTime 2017-05-18T09:36:27 --startdatetime 2017-05-18T09:38:58 --delay 1 --endMP 204:675 --enddatetime 2017-05-18T09:54:24 --enforcementcount 0 &gt;&gt;C:\Users\stu\Documents\GitHub\eaglep3-reporting\EC\2017-05-18-refined-times.txt</v>
      </c>
      <c r="AI171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{"issue":{"subject":"","project_id":79,"tracker_id":40,"status_id":1,"priority_id":2,"assigned_to_id":23,"start_date":"2017-05-18","description":"","custom_fields":[{"id":1,"name":"Subdivision","value":"NW"},{"id":4,"name":"Milepost","value":"0.0675"},{"id":17,"name":"Train ID","value":"814-18"},{"id":16,"name":"Locomotive ID","value":"4025"},{"id":130,"name":"Impact","value":""},{"id":150,"name":"Time of Event (Mountain Time)","value":"09:54:24"},{"id":151,"name":"Denver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2"/>
        <v>start /low /b %USERPROFILE%\Documents\GitHub\eaglep3\Utilities\DownloadLogsFromS3.py --loco 4025 --day 2017-05-18</v>
      </c>
      <c r="AN171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15:54:24"},{"id":29,"name":"Sharepoint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683</v>
      </c>
      <c r="B172" s="7">
        <v>4026</v>
      </c>
      <c r="C172" s="21" t="s">
        <v>206</v>
      </c>
      <c r="D172" s="21" t="s">
        <v>983</v>
      </c>
      <c r="E172" s="13">
        <v>42873.414976851855</v>
      </c>
      <c r="F172" s="13">
        <v>42873.431446759256</v>
      </c>
      <c r="G172" s="7">
        <v>1</v>
      </c>
      <c r="H172" s="21" t="s">
        <v>510</v>
      </c>
      <c r="I172" s="13">
        <v>42873.441168981481</v>
      </c>
      <c r="J172" s="7">
        <v>0</v>
      </c>
      <c r="K172" s="92" t="str">
        <f t="shared" si="47"/>
        <v>4025/4026</v>
      </c>
      <c r="L172" s="21" t="str">
        <f>VLOOKUP(A172,'Trips&amp;Operators'!$C$1:$G$99999,5,FALSE)</f>
        <v>LOZA FIDEL</v>
      </c>
      <c r="M172" s="6">
        <f t="shared" si="48"/>
        <v>9.7222222248092294E-3</v>
      </c>
      <c r="N172" s="7">
        <f t="shared" si="66"/>
        <v>14.00000000372529</v>
      </c>
      <c r="O172" s="7"/>
      <c r="P172" s="7"/>
      <c r="Q172" s="22"/>
      <c r="R172" s="190"/>
      <c r="S172" s="196">
        <f t="shared" si="49"/>
        <v>1</v>
      </c>
      <c r="T172" s="190" t="str">
        <f t="shared" si="50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1"/>
        <v>https://d0f6bd738d7f1b3e5a7ca70fe4ff75f0.us-east-1.aws.found.io/app/kibana#/discover/Steve-Slow-Train-Analysis-(2080s-and-2083s)?_g=(refreshInterval:(display:Off,pause:!f,section:0,value:0),time:(from:'2017-05-18T08:57:34-0600',mode:absolute,to:'2017-05-18T11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192" t="str">
        <f t="shared" si="52"/>
        <v>N</v>
      </c>
      <c r="X172" s="192">
        <f t="shared" si="65"/>
        <v>1</v>
      </c>
      <c r="Y172" s="192">
        <f t="shared" si="53"/>
        <v>9.7199999999999995E-2</v>
      </c>
      <c r="Z172" s="192">
        <f t="shared" si="54"/>
        <v>5.8940999999999999</v>
      </c>
      <c r="AA172" s="192">
        <f t="shared" si="55"/>
        <v>5.7968999999999999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6"/>
        <v>0815-18</v>
      </c>
      <c r="AE172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72" s="77" t="str">
        <f t="shared" si="58"/>
        <v>"C:\Program Files (x86)\AstroGrep\AstroGrep.exe" /e /r /s /spath="%USERPROFILE%\AppData\Local\Temp\OnboardLogs" /stypes="app*4026*20170518*" /stext=" 16:.+((SYSTEM_STATE.+slice.+state.+changed )|(ment ac)|(multiple cpu faults)|(system.+state.+changed )|(\[timeout)|(PRM\|1\|D)|(kpr)|(kdp)|(train st.+moving)|(\|lc)|(penalty))"</v>
      </c>
      <c r="AG172" s="1" t="str">
        <f t="shared" si="59"/>
        <v>NW</v>
      </c>
      <c r="AH172" s="81" t="str">
        <f t="shared" si="60"/>
        <v>"%USERPROFILE%\Documents\GitHub\eaglep3\Utilities\RefineRTDCRunTimes.py" --tripid 815-18 --locoid 4026 --swversion DE.1.0.9.0 --startMP 204:972 --initTime 2017-05-18T09:57:34 --startdatetime 2017-05-18T10:21:17 --delay 1 --endMP 300:58941 --enddatetime 2017-05-18T10:35:17 --enforcementcount 0 &gt;&gt;C:\Users\stu\Documents\GitHub\eaglep3-reporting\EC\2017-05-18-refined-times.txt</v>
      </c>
      <c r="AI172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{"issue":{"subject":"","project_id":79,"tracker_id":40,"status_id":1,"priority_id":2,"assigned_to_id":23,"start_date":"2017-05-18","description":"","custom_fields":[{"id":1,"name":"Subdivision","value":"NW"},{"id":4,"name":"Milepost","value":"5.8941"},{"id":17,"name":"Train ID","value":"815-18"},{"id":16,"name":"Locomotive ID","value":"4026"},{"id":130,"name":"Impact","value":""},{"id":150,"name":"Time of Event (Mountain Time)","value":"10:35:17"},{"id":151,"name":"Denver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2"/>
        <v>start /low /b %USERPROFILE%\Documents\GitHub\eaglep3\Utilities\DownloadLogsFromS3.py --loco 4026 --day 2017-05-18</v>
      </c>
      <c r="AN172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690</v>
      </c>
      <c r="B173" s="7">
        <v>4025</v>
      </c>
      <c r="C173" s="21" t="s">
        <v>206</v>
      </c>
      <c r="D173" s="21" t="s">
        <v>409</v>
      </c>
      <c r="E173" s="13">
        <v>42873.442800925928</v>
      </c>
      <c r="F173" s="13">
        <v>42873.444409722222</v>
      </c>
      <c r="G173" s="7">
        <v>1</v>
      </c>
      <c r="H173" s="21" t="s">
        <v>984</v>
      </c>
      <c r="I173" s="13">
        <v>42873.454293981478</v>
      </c>
      <c r="J173" s="7">
        <v>0</v>
      </c>
      <c r="K173" s="92" t="str">
        <f t="shared" si="47"/>
        <v>4025/4026</v>
      </c>
      <c r="L173" s="21" t="str">
        <f>VLOOKUP(A173,'Trips&amp;Operators'!$C$1:$G$99999,5,FALSE)</f>
        <v>LOZA FIDEL</v>
      </c>
      <c r="M173" s="6">
        <f t="shared" si="48"/>
        <v>9.8842592560686171E-3</v>
      </c>
      <c r="N173" s="7">
        <f t="shared" si="66"/>
        <v>14.233333328738809</v>
      </c>
      <c r="O173" s="7"/>
      <c r="P173" s="7"/>
      <c r="Q173" s="22"/>
      <c r="R173" s="190"/>
      <c r="S173" s="196">
        <f t="shared" si="49"/>
        <v>1</v>
      </c>
      <c r="T173" s="190" t="str">
        <f t="shared" si="50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1"/>
        <v>https://d0f6bd738d7f1b3e5a7ca70fe4ff75f0.us-east-1.aws.found.io/app/kibana#/discover/Steve-Slow-Train-Analysis-(2080s-and-2083s)?_g=(refreshInterval:(display:Off,pause:!f,section:0,value:0),time:(from:'2017-05-18T09:37:38-0600',mode:absolute,to:'2017-05-18T11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192" t="str">
        <f t="shared" si="52"/>
        <v>N</v>
      </c>
      <c r="X173" s="192">
        <f t="shared" si="65"/>
        <v>1</v>
      </c>
      <c r="Y173" s="192">
        <f t="shared" si="53"/>
        <v>5.8616999999999999</v>
      </c>
      <c r="Z173" s="192">
        <f t="shared" si="54"/>
        <v>6.9800000000000001E-2</v>
      </c>
      <c r="AA173" s="192">
        <f t="shared" si="55"/>
        <v>5.7919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6"/>
        <v>0816-18</v>
      </c>
      <c r="AE173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73" s="77" t="str">
        <f t="shared" si="58"/>
        <v>"C:\Program Files (x86)\AstroGrep\AstroGrep.exe" /e /r /s /spath="%USERPROFILE%\AppData\Local\Temp\OnboardLogs" /stypes="app*4025*20170518*" /stext=" 16:.+((SYSTEM_STATE.+slice.+state.+changed )|(ment ac)|(multiple cpu faults)|(system.+state.+changed )|(\[timeout)|(PRM\|1\|D)|(kpr)|(kdp)|(train st.+moving)|(\|lc)|(penalty))"</v>
      </c>
      <c r="AG173" s="1" t="str">
        <f t="shared" si="59"/>
        <v>NW</v>
      </c>
      <c r="AH173" s="81" t="str">
        <f t="shared" si="60"/>
        <v>"%USERPROFILE%\Documents\GitHub\eaglep3\Utilities\RefineRTDCRunTimes.py" --tripid 816-18 --locoid 4025 --swversion DE.1.0.9.0 --startMP 300:58617 --initTime 2017-05-18T10:37:38 --startdatetime 2017-05-18T10:39:57 --delay 1 --endMP 204:698 --enddatetime 2017-05-18T10:54:11 --enforcementcount 0 &gt;&gt;C:\Users\stu\Documents\GitHub\eaglep3-reporting\EC\2017-05-18-refined-times.txt</v>
      </c>
      <c r="AI173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{"issue":{"subject":"","project_id":79,"tracker_id":40,"status_id":1,"priority_id":2,"assigned_to_id":23,"start_date":"2017-05-18","description":"","custom_fields":[{"id":1,"name":"Subdivision","value":"NW"},{"id":4,"name":"Milepost","value":"0.0698"},{"id":17,"name":"Train ID","value":"816-18"},{"id":16,"name":"Locomotive ID","value":"4025"},{"id":130,"name":"Impact","value":""},{"id":150,"name":"Time of Event (Mountain Time)","value":"10:54:11"},{"id":151,"name":"Denver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2"/>
        <v>start /low /b %USERPROFILE%\Documents\GitHub\eaglep3\Utilities\DownloadLogsFromS3.py --loco 4025 --day 2017-05-18</v>
      </c>
      <c r="AN173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693</v>
      </c>
      <c r="B174" s="7">
        <v>4026</v>
      </c>
      <c r="C174" s="21" t="s">
        <v>206</v>
      </c>
      <c r="D174" s="21" t="s">
        <v>972</v>
      </c>
      <c r="E174" s="13">
        <v>42873.456921296296</v>
      </c>
      <c r="F174" s="13">
        <v>42873.473113425927</v>
      </c>
      <c r="G174" s="7">
        <v>1</v>
      </c>
      <c r="H174" s="21" t="s">
        <v>512</v>
      </c>
      <c r="I174" s="13">
        <v>42873.48170138889</v>
      </c>
      <c r="J174" s="7">
        <v>0</v>
      </c>
      <c r="K174" s="92" t="str">
        <f t="shared" si="47"/>
        <v>4025/4026</v>
      </c>
      <c r="L174" s="21" t="str">
        <f>VLOOKUP(A174,'Trips&amp;Operators'!$C$1:$G$99999,5,FALSE)</f>
        <v>LOZA FIDEL</v>
      </c>
      <c r="M174" s="6">
        <f t="shared" si="48"/>
        <v>8.5879629623377696E-3</v>
      </c>
      <c r="N174" s="7">
        <f t="shared" si="66"/>
        <v>12.366666665766388</v>
      </c>
      <c r="O174" s="7"/>
      <c r="P174" s="7"/>
      <c r="Q174" s="22"/>
      <c r="R174" s="190"/>
      <c r="S174" s="196">
        <f t="shared" si="49"/>
        <v>1</v>
      </c>
      <c r="T174" s="190" t="str">
        <f t="shared" si="50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1"/>
        <v>https://d0f6bd738d7f1b3e5a7ca70fe4ff75f0.us-east-1.aws.found.io/app/kibana#/discover/Steve-Slow-Train-Analysis-(2080s-and-2083s)?_g=(refreshInterval:(display:Off,pause:!f,section:0,value:0),time:(from:'2017-05-18T09:57:58-0600',mode:absolute,to:'2017-05-18T12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4" s="192" t="str">
        <f t="shared" si="52"/>
        <v>N</v>
      </c>
      <c r="X174" s="192">
        <f t="shared" si="65"/>
        <v>1</v>
      </c>
      <c r="Y174" s="192">
        <f t="shared" si="53"/>
        <v>9.69E-2</v>
      </c>
      <c r="Z174" s="192">
        <f t="shared" si="54"/>
        <v>5.8943000000000003</v>
      </c>
      <c r="AA174" s="192">
        <f t="shared" si="55"/>
        <v>5.7974000000000006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6"/>
        <v>0817-18</v>
      </c>
      <c r="AE174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74" s="77" t="str">
        <f t="shared" si="58"/>
        <v>"C:\Program Files (x86)\AstroGrep\AstroGrep.exe" /e /r /s /spath="%USERPROFILE%\AppData\Local\Temp\OnboardLogs" /stypes="app*4026*20170518*" /stext=" 17:.+((SYSTEM_STATE.+slice.+state.+changed )|(ment ac)|(multiple cpu faults)|(system.+state.+changed )|(\[timeout)|(PRM\|1\|D)|(kpr)|(kdp)|(train st.+moving)|(\|lc)|(penalty))"</v>
      </c>
      <c r="AG174" s="1" t="str">
        <f t="shared" si="59"/>
        <v>NW</v>
      </c>
      <c r="AH174" s="81" t="str">
        <f t="shared" si="60"/>
        <v>"%USERPROFILE%\Documents\GitHub\eaglep3\Utilities\RefineRTDCRunTimes.py" --tripid 817-18 --locoid 4026 --swversion DE.1.0.9.0 --startMP 204:969 --initTime 2017-05-18T10:57:58 --startdatetime 2017-05-18T11:21:17 --delay 1 --endMP 300:58943 --enddatetime 2017-05-18T11:33:39 --enforcementcount 0 &gt;&gt;C:\Users\stu\Documents\GitHub\eaglep3-reporting\EC\2017-05-18-refined-times.txt</v>
      </c>
      <c r="AI174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{"issue":{"subject":"","project_id":79,"tracker_id":40,"status_id":1,"priority_id":2,"assigned_to_id":23,"start_date":"2017-05-18","description":"","custom_fields":[{"id":1,"name":"Subdivision","value":"NW"},{"id":4,"name":"Milepost","value":"5.8943"},{"id":17,"name":"Train ID","value":"817-18"},{"id":16,"name":"Locomotive ID","value":"4026"},{"id":130,"name":"Impact","value":""},{"id":150,"name":"Time of Event (Mountain Time)","value":"11:33:39"},{"id":151,"name":"Denver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62"/>
        <v>start /low /b %USERPROFILE%\Documents\GitHub\eaglep3\Utilities\DownloadLogsFromS3.py --loco 4026 --day 2017-05-18</v>
      </c>
      <c r="AN174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2" t="s">
        <v>704</v>
      </c>
      <c r="B175" s="7">
        <v>4025</v>
      </c>
      <c r="C175" s="21" t="s">
        <v>206</v>
      </c>
      <c r="D175" s="21" t="s">
        <v>985</v>
      </c>
      <c r="E175" s="13">
        <v>42873.483113425929</v>
      </c>
      <c r="F175" s="13">
        <v>42873.485277777778</v>
      </c>
      <c r="G175" s="7">
        <v>1</v>
      </c>
      <c r="H175" s="21" t="s">
        <v>986</v>
      </c>
      <c r="I175" s="13">
        <v>42873.496064814812</v>
      </c>
      <c r="J175" s="7">
        <v>0</v>
      </c>
      <c r="K175" s="92" t="str">
        <f t="shared" si="47"/>
        <v>4025/4026</v>
      </c>
      <c r="L175" s="21" t="str">
        <f>VLOOKUP(A175,'Trips&amp;Operators'!$C$1:$G$99999,5,FALSE)</f>
        <v>LOZA FIDEL</v>
      </c>
      <c r="M175" s="6">
        <f t="shared" si="48"/>
        <v>1.0787037033878732E-2</v>
      </c>
      <c r="N175" s="7">
        <f t="shared" si="66"/>
        <v>15.533333328785375</v>
      </c>
      <c r="O175" s="7"/>
      <c r="P175" s="7"/>
      <c r="Q175" s="22"/>
      <c r="R175" s="190"/>
      <c r="S175" s="196">
        <f t="shared" si="49"/>
        <v>1</v>
      </c>
      <c r="T175" s="190" t="str">
        <f t="shared" si="50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1"/>
        <v>https://d0f6bd738d7f1b3e5a7ca70fe4ff75f0.us-east-1.aws.found.io/app/kibana#/discover/Steve-Slow-Train-Analysis-(2080s-and-2083s)?_g=(refreshInterval:(display:Off,pause:!f,section:0,value:0),time:(from:'2017-05-18T10:35:41-0600',mode:absolute,to:'2017-05-18T12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5" s="192" t="str">
        <f t="shared" si="52"/>
        <v>N</v>
      </c>
      <c r="X175" s="192">
        <f t="shared" si="65"/>
        <v>1</v>
      </c>
      <c r="Y175" s="192">
        <f t="shared" si="53"/>
        <v>5.8630000000000004</v>
      </c>
      <c r="Z175" s="192">
        <f t="shared" si="54"/>
        <v>6.9400000000000003E-2</v>
      </c>
      <c r="AA175" s="192">
        <f t="shared" si="55"/>
        <v>5.7936000000000005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6"/>
        <v>0818-18</v>
      </c>
      <c r="AE175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75" s="77" t="str">
        <f t="shared" si="58"/>
        <v>"C:\Program Files (x86)\AstroGrep\AstroGrep.exe" /e /r /s /spath="%USERPROFILE%\AppData\Local\Temp\OnboardLogs" /stypes="app*4025*20170518*" /stext=" 17:.+((SYSTEM_STATE.+slice.+state.+changed )|(ment ac)|(multiple cpu faults)|(system.+state.+changed )|(\[timeout)|(PRM\|1\|D)|(kpr)|(kdp)|(train st.+moving)|(\|lc)|(penalty))"</v>
      </c>
      <c r="AG175" s="1" t="str">
        <f t="shared" si="59"/>
        <v>NW</v>
      </c>
      <c r="AH175" s="81" t="str">
        <f t="shared" si="60"/>
        <v>"%USERPROFILE%\Documents\GitHub\eaglep3\Utilities\RefineRTDCRunTimes.py" --tripid 818-18 --locoid 4025 --swversion DE.1.0.9.0 --startMP 300:58630 --initTime 2017-05-18T11:35:41 --startdatetime 2017-05-18T11:38:48 --delay 1 --endMP 204:694 --enddatetime 2017-05-18T11:54:20 --enforcementcount 0 &gt;&gt;C:\Users\stu\Documents\GitHub\eaglep3-reporting\EC\2017-05-18-refined-times.txt</v>
      </c>
      <c r="AI175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{"issue":{"subject":"","project_id":79,"tracker_id":40,"status_id":1,"priority_id":2,"assigned_to_id":23,"start_date":"2017-05-18","description":"","custom_fields":[{"id":1,"name":"Subdivision","value":"NW"},{"id":4,"name":"Milepost","value":"0.0694"},{"id":17,"name":"Train ID","value":"818-18"},{"id":16,"name":"Locomotive ID","value":"4025"},{"id":130,"name":"Impact","value":""},{"id":150,"name":"Time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2"/>
        <v>start /low /b %USERPROFILE%\Documents\GitHub\eaglep3\Utilities\DownloadLogsFromS3.py --loco 4025 --day 2017-05-18</v>
      </c>
      <c r="AN175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713</v>
      </c>
      <c r="B176" s="7">
        <v>4026</v>
      </c>
      <c r="C176" s="21" t="s">
        <v>206</v>
      </c>
      <c r="D176" s="21" t="s">
        <v>987</v>
      </c>
      <c r="E176" s="13">
        <v>42873.511157407411</v>
      </c>
      <c r="F176" s="13">
        <v>42873.527766203704</v>
      </c>
      <c r="G176" s="7">
        <v>2</v>
      </c>
      <c r="H176" s="21" t="s">
        <v>512</v>
      </c>
      <c r="I176" s="13">
        <v>42873.53769675926</v>
      </c>
      <c r="J176" s="7">
        <v>0</v>
      </c>
      <c r="K176" s="92" t="str">
        <f t="shared" si="47"/>
        <v>4025/4026</v>
      </c>
      <c r="L176" s="21" t="str">
        <f>VLOOKUP(A176,'Trips&amp;Operators'!$C$1:$G$99999,5,FALSE)</f>
        <v>LOZA FIDEL</v>
      </c>
      <c r="M176" s="6">
        <f t="shared" si="48"/>
        <v>9.930555555911269E-3</v>
      </c>
      <c r="N176" s="7">
        <f t="shared" si="66"/>
        <v>14.300000000512227</v>
      </c>
      <c r="O176" s="7"/>
      <c r="P176" s="7"/>
      <c r="Q176" s="22"/>
      <c r="R176" s="190"/>
      <c r="S176" s="196">
        <f t="shared" si="49"/>
        <v>1</v>
      </c>
      <c r="T176" s="190" t="str">
        <f t="shared" si="50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1"/>
        <v>https://d0f6bd738d7f1b3e5a7ca70fe4ff75f0.us-east-1.aws.found.io/app/kibana#/discover/Steve-Slow-Train-Analysis-(2080s-and-2083s)?_g=(refreshInterval:(display:Off,pause:!f,section:0,value:0),time:(from:'2017-05-18T11:16:04-0600',mode:absolute,to:'2017-05-18T13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6" s="192" t="str">
        <f t="shared" si="52"/>
        <v>N</v>
      </c>
      <c r="X176" s="192">
        <f t="shared" si="65"/>
        <v>1</v>
      </c>
      <c r="Y176" s="192">
        <f t="shared" si="53"/>
        <v>9.7799999999999998E-2</v>
      </c>
      <c r="Z176" s="192">
        <f t="shared" si="54"/>
        <v>5.8943000000000003</v>
      </c>
      <c r="AA176" s="192">
        <f t="shared" si="55"/>
        <v>5.7965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6"/>
        <v>0819-18</v>
      </c>
      <c r="AE176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76" s="77" t="str">
        <f t="shared" si="58"/>
        <v>"C:\Program Files (x86)\AstroGrep\AstroGrep.exe" /e /r /s /spath="%USERPROFILE%\AppData\Local\Temp\OnboardLogs" /stypes="app*4026*20170518*" /stext=" 18:.+((SYSTEM_STATE.+slice.+state.+changed )|(ment ac)|(multiple cpu faults)|(system.+state.+changed )|(\[timeout)|(PRM\|1\|D)|(kpr)|(kdp)|(train st.+moving)|(\|lc)|(penalty))"</v>
      </c>
      <c r="AG176" s="1" t="str">
        <f t="shared" si="59"/>
        <v>NW</v>
      </c>
      <c r="AH176" s="81" t="str">
        <f t="shared" si="60"/>
        <v>"%USERPROFILE%\Documents\GitHub\eaglep3\Utilities\RefineRTDCRunTimes.py" --tripid 819-18 --locoid 4026 --swversion DE.1.0.9.0 --startMP 204:978 --initTime 2017-05-18T12:16:04 --startdatetime 2017-05-18T12:39:59 --delay 2 --endMP 300:58943 --enddatetime 2017-05-18T12:54:17 --enforcementcount 0 &gt;&gt;C:\Users\stu\Documents\GitHub\eaglep3-reporting\EC\2017-05-18-refined-times.txt</v>
      </c>
      <c r="AI176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{"issue":{"subject":"","project_id":79,"tracker_id":40,"status_id":1,"priority_id":2,"assigned_to_id":23,"start_date":"2017-05-18","description":"","custom_fields":[{"id":1,"name":"Subdivision","value":"NW"},{"id":4,"name":"Milepost","value":"5.8943"},{"id":17,"name":"Train ID","value":"819-18"},{"id":16,"name":"Locomotive ID","value":"4026"},{"id":130,"name":"Impact","value":""},{"id":150,"name":"Time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2"/>
        <v>start /low /b %USERPROFILE%\Documents\GitHub\eaglep3\Utilities\DownloadLogsFromS3.py --loco 4026 --day 2017-05-18</v>
      </c>
      <c r="AN176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719</v>
      </c>
      <c r="B177" s="7">
        <v>4025</v>
      </c>
      <c r="C177" s="21" t="s">
        <v>206</v>
      </c>
      <c r="D177" s="21" t="s">
        <v>985</v>
      </c>
      <c r="E177" s="13">
        <v>42873.526388888888</v>
      </c>
      <c r="F177" s="13">
        <v>42873.527766203704</v>
      </c>
      <c r="G177" s="7">
        <v>0</v>
      </c>
      <c r="H177" s="21" t="s">
        <v>984</v>
      </c>
      <c r="I177" s="13">
        <v>42873.53769675926</v>
      </c>
      <c r="J177" s="7">
        <v>0</v>
      </c>
      <c r="K177" s="92" t="str">
        <f t="shared" si="47"/>
        <v>4025/4026</v>
      </c>
      <c r="L177" s="21" t="str">
        <f>VLOOKUP(A177,'Trips&amp;Operators'!$C$1:$G$99999,5,FALSE)</f>
        <v>LOZA FIDEL</v>
      </c>
      <c r="M177" s="6">
        <f t="shared" si="48"/>
        <v>9.930555555911269E-3</v>
      </c>
      <c r="N177" s="7">
        <f t="shared" si="66"/>
        <v>14.300000000512227</v>
      </c>
      <c r="O177" s="7"/>
      <c r="P177" s="7"/>
      <c r="Q177" s="22"/>
      <c r="R177" s="190"/>
      <c r="S177" s="196">
        <f t="shared" si="49"/>
        <v>1</v>
      </c>
      <c r="T177" s="190" t="str">
        <f t="shared" si="50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1"/>
        <v>https://d0f6bd738d7f1b3e5a7ca70fe4ff75f0.us-east-1.aws.found.io/app/kibana#/discover/Steve-Slow-Train-Analysis-(2080s-and-2083s)?_g=(refreshInterval:(display:Off,pause:!f,section:0,value:0),time:(from:'2017-05-18T11:38:00-0600',mode:absolute,to:'2017-05-18T13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7" s="192" t="str">
        <f t="shared" si="52"/>
        <v>N</v>
      </c>
      <c r="X177" s="192">
        <f t="shared" si="65"/>
        <v>1</v>
      </c>
      <c r="Y177" s="192">
        <f t="shared" si="53"/>
        <v>5.8630000000000004</v>
      </c>
      <c r="Z177" s="192">
        <f t="shared" si="54"/>
        <v>6.9800000000000001E-2</v>
      </c>
      <c r="AA177" s="192">
        <f t="shared" si="55"/>
        <v>5.7932000000000006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6"/>
        <v>0820-18</v>
      </c>
      <c r="AE177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77" s="77" t="str">
        <f t="shared" si="58"/>
        <v>"C:\Program Files (x86)\AstroGrep\AstroGrep.exe" /e /r /s /spath="%USERPROFILE%\AppData\Local\Temp\OnboardLogs" /stypes="app*4025*20170518*" /stext=" 18:.+((SYSTEM_STATE.+slice.+state.+changed )|(ment ac)|(multiple cpu faults)|(system.+state.+changed )|(\[timeout)|(PRM\|1\|D)|(kpr)|(kdp)|(train st.+moving)|(\|lc)|(penalty))"</v>
      </c>
      <c r="AG177" s="1" t="str">
        <f t="shared" si="59"/>
        <v>NW</v>
      </c>
      <c r="AH177" s="81" t="str">
        <f t="shared" si="60"/>
        <v>"%USERPROFILE%\Documents\GitHub\eaglep3\Utilities\RefineRTDCRunTimes.py" --tripid 820-18 --locoid 4025 --swversion DE.1.0.9.0 --startMP 300:58630 --initTime 2017-05-18T12:38:00 --startdatetime 2017-05-18T12:39:59 --delay 0 --endMP 204:698 --enddatetime 2017-05-18T12:54:17 --enforcementcount 0 &gt;&gt;C:\Users\stu\Documents\GitHub\eaglep3-reporting\EC\2017-05-18-refined-times.txt</v>
      </c>
      <c r="AI177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{"issue":{"subject":"","project_id":79,"tracker_id":40,"status_id":1,"priority_id":2,"assigned_to_id":23,"start_date":"2017-05-18","description":"","custom_fields":[{"id":1,"name":"Subdivision","value":"NW"},{"id":4,"name":"Milepost","value":"0.0698"},{"id":17,"name":"Train ID","value":"820-18"},{"id":16,"name":"Locomotive ID","value":"4025"},{"id":130,"name":"Impact","value":""},{"id":150,"name":"Time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2"/>
        <v>start /low /b %USERPROFILE%\Documents\GitHub\eaglep3\Utilities\DownloadLogsFromS3.py --loco 4025 --day 2017-05-18</v>
      </c>
      <c r="AN177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18:54:17"},{"id":29,"name":"Sharepoint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726</v>
      </c>
      <c r="B178" s="7">
        <v>4026</v>
      </c>
      <c r="C178" s="21" t="s">
        <v>206</v>
      </c>
      <c r="D178" s="21" t="s">
        <v>514</v>
      </c>
      <c r="E178" s="13">
        <v>42873.547511574077</v>
      </c>
      <c r="F178" s="13">
        <v>42873.556469907409</v>
      </c>
      <c r="G178" s="7">
        <v>2</v>
      </c>
      <c r="H178" s="21" t="s">
        <v>988</v>
      </c>
      <c r="I178" s="13">
        <v>42873.566134259258</v>
      </c>
      <c r="J178" s="7">
        <v>0</v>
      </c>
      <c r="K178" s="92" t="str">
        <f t="shared" si="47"/>
        <v>4025/4026</v>
      </c>
      <c r="L178" s="21" t="str">
        <f>VLOOKUP(A178,'Trips&amp;Operators'!$C$1:$G$99999,5,FALSE)</f>
        <v>BIRENBAUM THOMAS</v>
      </c>
      <c r="M178" s="6">
        <f t="shared" si="48"/>
        <v>9.6643518481869251E-3</v>
      </c>
      <c r="N178" s="7">
        <f t="shared" si="66"/>
        <v>13.916666661389172</v>
      </c>
      <c r="O178" s="7"/>
      <c r="P178" s="7"/>
      <c r="Q178" s="22"/>
      <c r="R178" s="190"/>
      <c r="S178" s="196">
        <f t="shared" si="49"/>
        <v>1</v>
      </c>
      <c r="T178" s="190" t="str">
        <f t="shared" si="50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1"/>
        <v>https://d0f6bd738d7f1b3e5a7ca70fe4ff75f0.us-east-1.aws.found.io/app/kibana#/discover/Steve-Slow-Train-Analysis-(2080s-and-2083s)?_g=(refreshInterval:(display:Off,pause:!f,section:0,value:0),time:(from:'2017-05-18T12:08:25-0600',mode:absolute,to:'2017-05-18T14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8" s="192" t="str">
        <f t="shared" si="52"/>
        <v>N</v>
      </c>
      <c r="X178" s="192">
        <f t="shared" si="65"/>
        <v>1</v>
      </c>
      <c r="Y178" s="192">
        <f t="shared" si="53"/>
        <v>9.8100000000000007E-2</v>
      </c>
      <c r="Z178" s="192">
        <f t="shared" si="54"/>
        <v>5.8971</v>
      </c>
      <c r="AA178" s="192">
        <f t="shared" si="55"/>
        <v>5.7990000000000004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6"/>
        <v>0821-18</v>
      </c>
      <c r="AE178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78" s="77" t="str">
        <f t="shared" si="58"/>
        <v>"C:\Program Files (x86)\AstroGrep\AstroGrep.exe" /e /r /s /spath="%USERPROFILE%\AppData\Local\Temp\OnboardLogs" /stypes="app*4026*20170518*" /stext=" 19:.+((SYSTEM_STATE.+slice.+state.+changed )|(ment ac)|(multiple cpu faults)|(system.+state.+changed )|(\[timeout)|(PRM\|1\|D)|(kpr)|(kdp)|(train st.+moving)|(\|lc)|(penalty))"</v>
      </c>
      <c r="AG178" s="1" t="str">
        <f t="shared" si="59"/>
        <v>NW</v>
      </c>
      <c r="AH178" s="81" t="str">
        <f t="shared" si="60"/>
        <v>"%USERPROFILE%\Documents\GitHub\eaglep3\Utilities\RefineRTDCRunTimes.py" --tripid 821-18 --locoid 4026 --swversion DE.1.0.9.0 --startMP 204:981 --initTime 2017-05-18T13:08:25 --startdatetime 2017-05-18T13:21:19 --delay 2 --endMP 300:58971 --enddatetime 2017-05-18T13:35:14 --enforcementcount 0 &gt;&gt;C:\Users\stu\Documents\GitHub\eaglep3-reporting\EC\2017-05-18-refined-times.txt</v>
      </c>
      <c r="AI178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{"issue":{"subject":"","project_id":79,"tracker_id":40,"status_id":1,"priority_id":2,"assigned_to_id":23,"start_date":"2017-05-18","description":"","custom_fields":[{"id":1,"name":"Subdivision","value":"NW"},{"id":4,"name":"Milepost","value":"5.8971"},{"id":17,"name":"Train ID","value":"821-18"},{"id":16,"name":"Locomotive ID","value":"4026"},{"id":130,"name":"Impact","value":""},{"id":150,"name":"Time of Event (Mountain Time)","value":"13:35:14"},{"id":151,"name":"Denver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2"/>
        <v>start /low /b %USERPROFILE%\Documents\GitHub\eaglep3\Utilities\DownloadLogsFromS3.py --loco 4026 --day 2017-05-18</v>
      </c>
      <c r="AN178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730</v>
      </c>
      <c r="B179" s="7">
        <v>4025</v>
      </c>
      <c r="C179" s="21" t="s">
        <v>206</v>
      </c>
      <c r="D179" s="21" t="s">
        <v>989</v>
      </c>
      <c r="E179" s="13">
        <v>42873.567673611113</v>
      </c>
      <c r="F179" s="13">
        <v>42873.569687499999</v>
      </c>
      <c r="G179" s="7">
        <v>1</v>
      </c>
      <c r="H179" s="21" t="s">
        <v>990</v>
      </c>
      <c r="I179" s="13">
        <v>42873.580462962964</v>
      </c>
      <c r="J179" s="7">
        <v>0</v>
      </c>
      <c r="K179" s="92" t="str">
        <f t="shared" si="47"/>
        <v>4025/4026</v>
      </c>
      <c r="L179" s="21" t="str">
        <f>VLOOKUP(A179,'Trips&amp;Operators'!$C$1:$G$99999,5,FALSE)</f>
        <v>BIRENBAUM THOMAS</v>
      </c>
      <c r="M179" s="6">
        <f t="shared" si="48"/>
        <v>1.0775462964375038E-2</v>
      </c>
      <c r="N179" s="7">
        <f t="shared" si="66"/>
        <v>15.516666668700054</v>
      </c>
      <c r="O179" s="7"/>
      <c r="P179" s="7"/>
      <c r="Q179" s="22"/>
      <c r="R179" s="190"/>
      <c r="S179" s="196">
        <f t="shared" si="49"/>
        <v>1</v>
      </c>
      <c r="T179" s="190" t="str">
        <f t="shared" si="50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1"/>
        <v>https://d0f6bd738d7f1b3e5a7ca70fe4ff75f0.us-east-1.aws.found.io/app/kibana#/discover/Steve-Slow-Train-Analysis-(2080s-and-2083s)?_g=(refreshInterval:(display:Off,pause:!f,section:0,value:0),time:(from:'2017-05-18T12:37:27-0600',mode:absolute,to:'2017-05-18T14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9" s="192" t="str">
        <f t="shared" si="52"/>
        <v>N</v>
      </c>
      <c r="X179" s="192">
        <f t="shared" si="65"/>
        <v>1</v>
      </c>
      <c r="Y179" s="192">
        <f t="shared" si="53"/>
        <v>5.8658000000000001</v>
      </c>
      <c r="Z179" s="192">
        <f t="shared" si="54"/>
        <v>7.0300000000000001E-2</v>
      </c>
      <c r="AA179" s="192">
        <f t="shared" si="55"/>
        <v>5.7955000000000005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6"/>
        <v>0822-18</v>
      </c>
      <c r="AE179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79" s="77" t="str">
        <f t="shared" si="58"/>
        <v>"C:\Program Files (x86)\AstroGrep\AstroGrep.exe" /e /r /s /spath="%USERPROFILE%\AppData\Local\Temp\OnboardLogs" /stypes="app*4025*20170518*" /stext=" 19:.+((SYSTEM_STATE.+slice.+state.+changed )|(ment ac)|(multiple cpu faults)|(system.+state.+changed )|(\[timeout)|(PRM\|1\|D)|(kpr)|(kdp)|(train st.+moving)|(\|lc)|(penalty))"</v>
      </c>
      <c r="AG179" s="1" t="str">
        <f t="shared" si="59"/>
        <v>NW</v>
      </c>
      <c r="AH179" s="81" t="str">
        <f t="shared" si="60"/>
        <v>"%USERPROFILE%\Documents\GitHub\eaglep3\Utilities\RefineRTDCRunTimes.py" --tripid 822-18 --locoid 4025 --swversion DE.1.0.9.0 --startMP 300:58658 --initTime 2017-05-18T13:37:27 --startdatetime 2017-05-18T13:40:21 --delay 1 --endMP 204:703 --enddatetime 2017-05-18T13:55:52 --enforcementcount 0 &gt;&gt;C:\Users\stu\Documents\GitHub\eaglep3-reporting\EC\2017-05-18-refined-times.txt</v>
      </c>
      <c r="AI179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{"issue":{"subject":"","project_id":79,"tracker_id":40,"status_id":1,"priority_id":2,"assigned_to_id":23,"start_date":"2017-05-18","description":"","custom_fields":[{"id":1,"name":"Subdivision","value":"NW"},{"id":4,"name":"Milepost","value":"0.0703"},{"id":17,"name":"Train ID","value":"822-18"},{"id":16,"name":"Locomotive ID","value":"4025"},{"id":130,"name":"Impact","value":""},{"id":150,"name":"Time of Event (Mountain Time)","value":"13:55:52"},{"id":151,"name":"Denver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2"/>
        <v>start /low /b %USERPROFILE%\Documents\GitHub\eaglep3\Utilities\DownloadLogsFromS3.py --loco 4025 --day 2017-05-18</v>
      </c>
      <c r="AN179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19:55:52"},{"id":29,"name":"Sharepoint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733</v>
      </c>
      <c r="B180" s="7">
        <v>4026</v>
      </c>
      <c r="C180" s="21" t="s">
        <v>206</v>
      </c>
      <c r="D180" s="21" t="s">
        <v>983</v>
      </c>
      <c r="E180" s="13">
        <v>42873.589062500003</v>
      </c>
      <c r="F180" s="13">
        <v>42873.598113425927</v>
      </c>
      <c r="G180" s="7">
        <v>1</v>
      </c>
      <c r="H180" s="21" t="s">
        <v>991</v>
      </c>
      <c r="I180" s="13">
        <v>42873.607870370368</v>
      </c>
      <c r="J180" s="7">
        <v>0</v>
      </c>
      <c r="K180" s="92" t="str">
        <f t="shared" si="47"/>
        <v>4025/4026</v>
      </c>
      <c r="L180" s="21" t="str">
        <f>VLOOKUP(A180,'Trips&amp;Operators'!$C$1:$G$99999,5,FALSE)</f>
        <v>BIRENBAUM THOMAS</v>
      </c>
      <c r="M180" s="6">
        <f t="shared" si="48"/>
        <v>9.7569444405962713E-3</v>
      </c>
      <c r="N180" s="7">
        <f t="shared" si="66"/>
        <v>14.049999994458631</v>
      </c>
      <c r="O180" s="7"/>
      <c r="P180" s="7"/>
      <c r="Q180" s="22"/>
      <c r="R180" s="190"/>
      <c r="S180" s="196">
        <f t="shared" si="49"/>
        <v>1</v>
      </c>
      <c r="T180" s="190" t="str">
        <f t="shared" si="50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1"/>
        <v>https://d0f6bd738d7f1b3e5a7ca70fe4ff75f0.us-east-1.aws.found.io/app/kibana#/discover/Steve-Slow-Train-Analysis-(2080s-and-2083s)?_g=(refreshInterval:(display:Off,pause:!f,section:0,value:0),time:(from:'2017-05-18T13:08:15-0600',mode:absolute,to:'2017-05-18T15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0" s="192" t="str">
        <f t="shared" si="52"/>
        <v>N</v>
      </c>
      <c r="X180" s="192">
        <f t="shared" si="65"/>
        <v>1</v>
      </c>
      <c r="Y180" s="192">
        <f t="shared" si="53"/>
        <v>9.7199999999999995E-2</v>
      </c>
      <c r="Z180" s="192">
        <f t="shared" si="54"/>
        <v>5.8959999999999999</v>
      </c>
      <c r="AA180" s="192">
        <f t="shared" si="55"/>
        <v>5.7988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6"/>
        <v>0823-18</v>
      </c>
      <c r="AE180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80" s="77" t="str">
        <f t="shared" si="58"/>
        <v>"C:\Program Files (x86)\AstroGrep\AstroGrep.exe" /e /r /s /spath="%USERPROFILE%\AppData\Local\Temp\OnboardLogs" /stypes="app*4026*20170518*" /stext=" 20:.+((SYSTEM_STATE.+slice.+state.+changed )|(ment ac)|(multiple cpu faults)|(system.+state.+changed )|(\[timeout)|(PRM\|1\|D)|(kpr)|(kdp)|(train st.+moving)|(\|lc)|(penalty))"</v>
      </c>
      <c r="AG180" s="1" t="str">
        <f t="shared" si="59"/>
        <v>NW</v>
      </c>
      <c r="AH180" s="81" t="str">
        <f t="shared" si="60"/>
        <v>"%USERPROFILE%\Documents\GitHub\eaglep3\Utilities\RefineRTDCRunTimes.py" --tripid 823-18 --locoid 4026 --swversion DE.1.0.9.0 --startMP 204:972 --initTime 2017-05-18T14:08:15 --startdatetime 2017-05-18T14:21:17 --delay 1 --endMP 300:58960 --enddatetime 2017-05-18T14:35:20 --enforcementcount 0 &gt;&gt;C:\Users\stu\Documents\GitHub\eaglep3-reporting\EC\2017-05-18-refined-times.txt</v>
      </c>
      <c r="AI180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{"issue":{"subject":"","project_id":79,"tracker_id":40,"status_id":1,"priority_id":2,"assigned_to_id":23,"start_date":"2017-05-18","description":"","custom_fields":[{"id":1,"name":"Subdivision","value":"NW"},{"id":4,"name":"Milepost","value":"5.896"},{"id":17,"name":"Train ID","value":"823-18"},{"id":16,"name":"Locomotive ID","value":"4026"},{"id":130,"name":"Impact","value":""},{"id":150,"name":"Time of Event (Mountain Time)","value":"14:35:20"},{"id":151,"name":"Denver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2"/>
        <v>start /low /b %USERPROFILE%\Documents\GitHub\eaglep3\Utilities\DownloadLogsFromS3.py --loco 4026 --day 2017-05-18</v>
      </c>
      <c r="AN180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739</v>
      </c>
      <c r="B181" s="7">
        <v>4025</v>
      </c>
      <c r="C181" s="21" t="s">
        <v>206</v>
      </c>
      <c r="D181" s="21" t="s">
        <v>992</v>
      </c>
      <c r="E181" s="13">
        <v>42873.608773148146</v>
      </c>
      <c r="F181" s="13">
        <v>42873.610520833332</v>
      </c>
      <c r="G181" s="7">
        <v>1</v>
      </c>
      <c r="H181" s="21" t="s">
        <v>993</v>
      </c>
      <c r="I181" s="13">
        <v>42873.623217592591</v>
      </c>
      <c r="J181" s="7">
        <v>0</v>
      </c>
      <c r="K181" s="92" t="str">
        <f t="shared" si="47"/>
        <v>4025/4026</v>
      </c>
      <c r="L181" s="21" t="str">
        <f>VLOOKUP(A181,'Trips&amp;Operators'!$C$1:$G$99999,5,FALSE)</f>
        <v>BIRENBAUM THOMAS</v>
      </c>
      <c r="M181" s="6">
        <f t="shared" si="48"/>
        <v>1.2696759258687962E-2</v>
      </c>
      <c r="N181" s="7">
        <f t="shared" si="66"/>
        <v>18.283333332510665</v>
      </c>
      <c r="O181" s="7"/>
      <c r="P181" s="7"/>
      <c r="Q181" s="22"/>
      <c r="R181" s="190"/>
      <c r="S181" s="196">
        <f t="shared" si="49"/>
        <v>1</v>
      </c>
      <c r="T181" s="190" t="str">
        <f t="shared" si="50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1"/>
        <v>https://d0f6bd738d7f1b3e5a7ca70fe4ff75f0.us-east-1.aws.found.io/app/kibana#/discover/Steve-Slow-Train-Analysis-(2080s-and-2083s)?_g=(refreshInterval:(display:Off,pause:!f,section:0,value:0),time:(from:'2017-05-18T13:36:38-0600',mode:absolute,to:'2017-05-18T15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1" s="192" t="str">
        <f t="shared" si="52"/>
        <v>N</v>
      </c>
      <c r="X181" s="192">
        <f t="shared" si="65"/>
        <v>1</v>
      </c>
      <c r="Y181" s="192">
        <f t="shared" si="53"/>
        <v>5.8654999999999999</v>
      </c>
      <c r="Z181" s="192">
        <f t="shared" si="54"/>
        <v>6.9900000000000004E-2</v>
      </c>
      <c r="AA181" s="192">
        <f t="shared" si="55"/>
        <v>5.7956000000000003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6"/>
        <v>0824-18</v>
      </c>
      <c r="AE181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81" s="77" t="str">
        <f t="shared" si="58"/>
        <v>"C:\Program Files (x86)\AstroGrep\AstroGrep.exe" /e /r /s /spath="%USERPROFILE%\AppData\Local\Temp\OnboardLogs" /stypes="app*4025*20170518*" /stext=" 20:.+((SYSTEM_STATE.+slice.+state.+changed )|(ment ac)|(multiple cpu faults)|(system.+state.+changed )|(\[timeout)|(PRM\|1\|D)|(kpr)|(kdp)|(train st.+moving)|(\|lc)|(penalty))"</v>
      </c>
      <c r="AG181" s="1" t="str">
        <f t="shared" si="59"/>
        <v>NW</v>
      </c>
      <c r="AH181" s="81" t="str">
        <f t="shared" si="60"/>
        <v>"%USERPROFILE%\Documents\GitHub\eaglep3\Utilities\RefineRTDCRunTimes.py" --tripid 824-18 --locoid 4025 --swversion DE.1.0.9.0 --startMP 300:58655 --initTime 2017-05-18T14:36:38 --startdatetime 2017-05-18T14:39:09 --delay 1 --endMP 204:699 --enddatetime 2017-05-18T14:57:26 --enforcementcount 0 &gt;&gt;C:\Users\stu\Documents\GitHub\eaglep3-reporting\EC\2017-05-18-refined-times.txt</v>
      </c>
      <c r="AI181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{"issue":{"subject":"","project_id":79,"tracker_id":40,"status_id":1,"priority_id":2,"assigned_to_id":23,"start_date":"2017-05-18","description":"","custom_fields":[{"id":1,"name":"Subdivision","value":"NW"},{"id":4,"name":"Milepost","value":"0.0699"},{"id":17,"name":"Train ID","value":"824-18"},{"id":16,"name":"Locomotive ID","value":"4025"},{"id":130,"name":"Impact","value":""},{"id":150,"name":"Time of Event (Mountain Time)","value":"14:57:26"},{"id":151,"name":"Denver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2"/>
        <v>start /low /b %USERPROFILE%\Documents\GitHub\eaglep3\Utilities\DownloadLogsFromS3.py --loco 4025 --day 2017-05-18</v>
      </c>
      <c r="AN181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747</v>
      </c>
      <c r="B182" s="7">
        <v>4026</v>
      </c>
      <c r="C182" s="21" t="s">
        <v>206</v>
      </c>
      <c r="D182" s="21" t="s">
        <v>994</v>
      </c>
      <c r="E182" s="13">
        <v>42873.637199074074</v>
      </c>
      <c r="F182" s="13">
        <v>42873.640081018515</v>
      </c>
      <c r="G182" s="7">
        <v>1</v>
      </c>
      <c r="H182" s="21" t="s">
        <v>451</v>
      </c>
      <c r="I182" s="13">
        <v>42873.649629629632</v>
      </c>
      <c r="J182" s="7">
        <v>0</v>
      </c>
      <c r="K182" s="92" t="str">
        <f t="shared" si="47"/>
        <v>4025/4026</v>
      </c>
      <c r="L182" s="21" t="str">
        <f>VLOOKUP(A182,'Trips&amp;Operators'!$C$1:$G$99999,5,FALSE)</f>
        <v>BIRENBAUM THOMAS</v>
      </c>
      <c r="M182" s="6">
        <f t="shared" si="48"/>
        <v>9.5486111167701893E-3</v>
      </c>
      <c r="N182" s="7">
        <f t="shared" si="66"/>
        <v>13.750000008149073</v>
      </c>
      <c r="O182" s="7"/>
      <c r="P182" s="7"/>
      <c r="Q182" s="22"/>
      <c r="R182" s="190"/>
      <c r="S182" s="196">
        <f t="shared" si="49"/>
        <v>1</v>
      </c>
      <c r="T182" s="190" t="str">
        <f t="shared" si="50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1"/>
        <v>https://d0f6bd738d7f1b3e5a7ca70fe4ff75f0.us-east-1.aws.found.io/app/kibana#/discover/Steve-Slow-Train-Analysis-(2080s-and-2083s)?_g=(refreshInterval:(display:Off,pause:!f,section:0,value:0),time:(from:'2017-05-18T14:17:34-0600',mode:absolute,to:'2017-05-18T16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2" s="192" t="str">
        <f t="shared" si="52"/>
        <v>N</v>
      </c>
      <c r="X182" s="192">
        <f t="shared" si="65"/>
        <v>1</v>
      </c>
      <c r="Y182" s="192">
        <f t="shared" si="53"/>
        <v>9.9299999999999999E-2</v>
      </c>
      <c r="Z182" s="192">
        <f t="shared" si="54"/>
        <v>5.8954000000000004</v>
      </c>
      <c r="AA182" s="192">
        <f t="shared" si="55"/>
        <v>5.7961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6"/>
        <v>0825-18</v>
      </c>
      <c r="AE182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82" s="77" t="str">
        <f t="shared" si="58"/>
        <v>"C:\Program Files (x86)\AstroGrep\AstroGrep.exe" /e /r /s /spath="%USERPROFILE%\AppData\Local\Temp\OnboardLogs" /stypes="app*4026*20170518*" /stext=" 21:.+((SYSTEM_STATE.+slice.+state.+changed )|(ment ac)|(multiple cpu faults)|(system.+state.+changed )|(\[timeout)|(PRM\|1\|D)|(kpr)|(kdp)|(train st.+moving)|(\|lc)|(penalty))"</v>
      </c>
      <c r="AG182" s="1" t="str">
        <f t="shared" si="59"/>
        <v>NW</v>
      </c>
      <c r="AH182" s="81" t="str">
        <f t="shared" si="60"/>
        <v>"%USERPROFILE%\Documents\GitHub\eaglep3\Utilities\RefineRTDCRunTimes.py" --tripid 825-18 --locoid 4026 --swversion DE.1.0.9.0 --startMP 204:993 --initTime 2017-05-18T15:17:34 --startdatetime 2017-05-18T15:21:43 --delay 1 --endMP 300:58954 --enddatetime 2017-05-18T15:35:28 --enforcementcount 0 &gt;&gt;C:\Users\stu\Documents\GitHub\eaglep3-reporting\EC\2017-05-18-refined-times.txt</v>
      </c>
      <c r="AI182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{"issue":{"subject":"","project_id":79,"tracker_id":40,"status_id":1,"priority_id":2,"assigned_to_id":23,"start_date":"2017-05-18","description":"","custom_fields":[{"id":1,"name":"Subdivision","value":"NW"},{"id":4,"name":"Milepost","value":"5.8954"},{"id":17,"name":"Train ID","value":"825-18"},{"id":16,"name":"Locomotive ID","value":"4026"},{"id":130,"name":"Impact","value":""},{"id":150,"name":"Time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2"/>
        <v>start /low /b %USERPROFILE%\Documents\GitHub\eaglep3\Utilities\DownloadLogsFromS3.py --loco 4026 --day 2017-05-18</v>
      </c>
      <c r="AN182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605</v>
      </c>
      <c r="B183" s="7">
        <v>4025</v>
      </c>
      <c r="C183" s="21" t="s">
        <v>206</v>
      </c>
      <c r="D183" s="21" t="s">
        <v>508</v>
      </c>
      <c r="E183" s="13">
        <v>42873.650752314818</v>
      </c>
      <c r="F183" s="13">
        <v>42873.652129629627</v>
      </c>
      <c r="G183" s="7">
        <v>1</v>
      </c>
      <c r="H183" s="21" t="s">
        <v>995</v>
      </c>
      <c r="I183" s="13">
        <v>42873.663923611108</v>
      </c>
      <c r="J183" s="7">
        <v>0</v>
      </c>
      <c r="K183" s="92" t="str">
        <f t="shared" si="47"/>
        <v>4025/4026</v>
      </c>
      <c r="L183" s="21" t="str">
        <f>VLOOKUP(A183,'Trips&amp;Operators'!$C$1:$G$99999,5,FALSE)</f>
        <v>BIRENBAUM THOMAS</v>
      </c>
      <c r="M183" s="6">
        <f t="shared" si="48"/>
        <v>1.1793981480877846E-2</v>
      </c>
      <c r="N183" s="7">
        <f t="shared" si="66"/>
        <v>16.983333332464099</v>
      </c>
      <c r="O183" s="7"/>
      <c r="P183" s="7"/>
      <c r="Q183" s="22"/>
      <c r="R183" s="190"/>
      <c r="S183" s="196">
        <f t="shared" si="49"/>
        <v>1</v>
      </c>
      <c r="T183" s="190" t="str">
        <f t="shared" si="50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1"/>
        <v>https://d0f6bd738d7f1b3e5a7ca70fe4ff75f0.us-east-1.aws.found.io/app/kibana#/discover/Steve-Slow-Train-Analysis-(2080s-and-2083s)?_g=(refreshInterval:(display:Off,pause:!f,section:0,value:0),time:(from:'2017-05-18T14:37:05-0600',mode:absolute,to:'2017-05-18T16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3" s="192" t="str">
        <f t="shared" si="52"/>
        <v>N</v>
      </c>
      <c r="X183" s="192">
        <f t="shared" ref="X183:X214" si="67">VALUE(LEFT(AD183,4))-VALUE(LEFT(AD182,4))</f>
        <v>1</v>
      </c>
      <c r="Y183" s="192">
        <f t="shared" si="53"/>
        <v>5.8632</v>
      </c>
      <c r="Z183" s="192">
        <f t="shared" si="54"/>
        <v>6.6100000000000006E-2</v>
      </c>
      <c r="AA183" s="192">
        <f t="shared" si="55"/>
        <v>5.7971000000000004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6"/>
        <v>0826-18</v>
      </c>
      <c r="AE183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83" s="77" t="str">
        <f t="shared" si="58"/>
        <v>"C:\Program Files (x86)\AstroGrep\AstroGrep.exe" /e /r /s /spath="%USERPROFILE%\AppData\Local\Temp\OnboardLogs" /stypes="app*4025*20170518*" /stext=" 21:.+((SYSTEM_STATE.+slice.+state.+changed )|(ment ac)|(multiple cpu faults)|(system.+state.+changed )|(\[timeout)|(PRM\|1\|D)|(kpr)|(kdp)|(train st.+moving)|(\|lc)|(penalty))"</v>
      </c>
      <c r="AG183" s="1" t="str">
        <f t="shared" si="59"/>
        <v>NW</v>
      </c>
      <c r="AH183" s="81" t="str">
        <f t="shared" si="60"/>
        <v>"%USERPROFILE%\Documents\GitHub\eaglep3\Utilities\RefineRTDCRunTimes.py" --tripid 826-18 --locoid 4025 --swversion DE.1.0.9.0 --startMP 300:58632 --initTime 2017-05-18T15:37:05 --startdatetime 2017-05-18T15:39:04 --delay 1 --endMP 204:661 --enddatetime 2017-05-18T15:56:03 --enforcementcount 0 &gt;&gt;C:\Users\stu\Documents\GitHub\eaglep3-reporting\EC\2017-05-18-refined-times.txt</v>
      </c>
      <c r="AI183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{"issue":{"subject":"","project_id":79,"tracker_id":40,"status_id":1,"priority_id":2,"assigned_to_id":23,"start_date":"2017-05-18","description":"","custom_fields":[{"id":1,"name":"Subdivision","value":"NW"},{"id":4,"name":"Milepost","value":"0.0661"},{"id":17,"name":"Train ID","value":"826-18"},{"id":16,"name":"Locomotive ID","value":"4025"},{"id":130,"name":"Impact","value":""},{"id":150,"name":"Time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2"/>
        <v>start /low /b %USERPROFILE%\Documents\GitHub\eaglep3\Utilities\DownloadLogsFromS3.py --loco 4025 --day 2017-05-18</v>
      </c>
      <c r="AN183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752</v>
      </c>
      <c r="B184" s="7">
        <v>4012</v>
      </c>
      <c r="C184" s="21" t="s">
        <v>206</v>
      </c>
      <c r="D184" s="21" t="s">
        <v>987</v>
      </c>
      <c r="E184" s="13">
        <v>42873.653761574074</v>
      </c>
      <c r="F184" s="13">
        <v>42873.660636574074</v>
      </c>
      <c r="G184" s="7">
        <v>3</v>
      </c>
      <c r="H184" s="21" t="s">
        <v>996</v>
      </c>
      <c r="I184" s="13">
        <v>42873.670532407406</v>
      </c>
      <c r="J184" s="7">
        <v>0</v>
      </c>
      <c r="K184" s="92" t="str">
        <f t="shared" si="47"/>
        <v>4011/4012</v>
      </c>
      <c r="L184" s="21" t="str">
        <f>VLOOKUP(A184,'Trips&amp;Operators'!$C$1:$G$99999,5,FALSE)</f>
        <v>THOMPSON LESTER</v>
      </c>
      <c r="M184" s="6">
        <f t="shared" si="48"/>
        <v>9.8958333328482695E-3</v>
      </c>
      <c r="N184" s="7">
        <f t="shared" si="66"/>
        <v>14.249999999301508</v>
      </c>
      <c r="O184" s="7"/>
      <c r="P184" s="7"/>
      <c r="Q184" s="22"/>
      <c r="R184" s="190"/>
      <c r="S184" s="196">
        <f t="shared" si="49"/>
        <v>1</v>
      </c>
      <c r="T184" s="190" t="str">
        <f t="shared" si="50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1"/>
        <v>https://d0f6bd738d7f1b3e5a7ca70fe4ff75f0.us-east-1.aws.found.io/app/kibana#/discover/Steve-Slow-Train-Analysis-(2080s-and-2083s)?_g=(refreshInterval:(display:Off,pause:!f,section:0,value:0),time:(from:'2017-05-18T14:41:25-0600',mode:absolute,to:'2017-05-18T17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192" t="str">
        <f t="shared" si="52"/>
        <v>N</v>
      </c>
      <c r="X184" s="192">
        <f t="shared" si="67"/>
        <v>1</v>
      </c>
      <c r="Y184" s="192">
        <f t="shared" si="53"/>
        <v>9.7799999999999998E-2</v>
      </c>
      <c r="Z184" s="192">
        <f t="shared" si="54"/>
        <v>5.8975</v>
      </c>
      <c r="AA184" s="192">
        <f t="shared" si="55"/>
        <v>5.7996999999999996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6"/>
        <v>0827-18</v>
      </c>
      <c r="AE184" s="80" t="str">
        <f t="shared" si="57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184" s="77" t="str">
        <f t="shared" si="58"/>
        <v>"C:\Program Files (x86)\AstroGrep\AstroGrep.exe" /e /r /s /spath="%USERPROFILE%\AppData\Local\Temp\OnboardLogs" /stypes="app*4012*20170518*" /stext=" 22:.+((SYSTEM_STATE.+slice.+state.+changed )|(ment ac)|(multiple cpu faults)|(system.+state.+changed )|(\[timeout)|(PRM\|1\|D)|(kpr)|(kdp)|(train st.+moving)|(\|lc)|(penalty))"</v>
      </c>
      <c r="AG184" s="1" t="str">
        <f t="shared" si="59"/>
        <v>NW</v>
      </c>
      <c r="AH184" s="81" t="str">
        <f t="shared" si="60"/>
        <v>"%USERPROFILE%\Documents\GitHub\eaglep3\Utilities\RefineRTDCRunTimes.py" --tripid 827-18 --locoid 4012 --swversion DE.1.0.9.0 --startMP 204:978 --initTime 2017-05-18T15:41:25 --startdatetime 2017-05-18T15:51:19 --delay 3 --endMP 300:58975 --enddatetime 2017-05-18T16:05:34 --enforcementcount 0 &gt;&gt;C:\Users\stu\Documents\GitHub\eaglep3-reporting\EC\2017-05-18-refined-times.txt</v>
      </c>
      <c r="AI184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{"issue":{"subject":"","project_id":79,"tracker_id":40,"status_id":1,"priority_id":2,"assigned_to_id":23,"start_date":"2017-05-18","description":"","custom_fields":[{"id":1,"name":"Subdivision","value":"NW"},{"id":4,"name":"Milepost","value":"5.8975"},{"id":17,"name":"Train ID","value":"827-18"},{"id":16,"name":"Locomotive ID","value":"4012"},{"id":130,"name":"Impact","value":""},{"id":150,"name":"Time of Event (Mountain Time)","value":"16:05:34"},{"id":151,"name":"Denver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2"/>
        <v>start /low /b %USERPROFILE%\Documents\GitHub\eaglep3\Utilities\DownloadLogsFromS3.py --loco 4012 --day 2017-05-18</v>
      </c>
      <c r="AN184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756</v>
      </c>
      <c r="B185" s="7">
        <v>4011</v>
      </c>
      <c r="C185" s="21" t="s">
        <v>206</v>
      </c>
      <c r="D185" s="21" t="s">
        <v>452</v>
      </c>
      <c r="E185" s="13">
        <v>42873.67150462963</v>
      </c>
      <c r="F185" s="13">
        <v>42873.673009259262</v>
      </c>
      <c r="G185" s="7">
        <v>1</v>
      </c>
      <c r="H185" s="21" t="s">
        <v>997</v>
      </c>
      <c r="I185" s="13">
        <v>42873.685173611113</v>
      </c>
      <c r="J185" s="7">
        <v>0</v>
      </c>
      <c r="K185" s="92" t="str">
        <f t="shared" si="47"/>
        <v>4011/4012</v>
      </c>
      <c r="L185" s="21" t="str">
        <f>VLOOKUP(A185,'Trips&amp;Operators'!$C$1:$G$99999,5,FALSE)</f>
        <v>THOMPSON LESTER</v>
      </c>
      <c r="M185" s="6">
        <f t="shared" si="48"/>
        <v>1.2164351850515231E-2</v>
      </c>
      <c r="N185" s="7">
        <f t="shared" si="66"/>
        <v>17.516666664741933</v>
      </c>
      <c r="O185" s="7"/>
      <c r="P185" s="7"/>
      <c r="Q185" s="22"/>
      <c r="R185" s="190"/>
      <c r="S185" s="196">
        <f t="shared" si="49"/>
        <v>1</v>
      </c>
      <c r="T185" s="190" t="str">
        <f t="shared" si="50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1"/>
        <v>https://d0f6bd738d7f1b3e5a7ca70fe4ff75f0.us-east-1.aws.found.io/app/kibana#/discover/Steve-Slow-Train-Analysis-(2080s-and-2083s)?_g=(refreshInterval:(display:Off,pause:!f,section:0,value:0),time:(from:'2017-05-18T15:06:58-0600',mode:absolute,to:'2017-05-18T17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192" t="str">
        <f t="shared" si="52"/>
        <v>N</v>
      </c>
      <c r="X185" s="192">
        <f t="shared" si="67"/>
        <v>1</v>
      </c>
      <c r="Y185" s="192">
        <f t="shared" si="53"/>
        <v>5.8644999999999996</v>
      </c>
      <c r="Z185" s="192">
        <f t="shared" si="54"/>
        <v>7.0099999999999996E-2</v>
      </c>
      <c r="AA185" s="192">
        <f t="shared" si="55"/>
        <v>5.7943999999999996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6"/>
        <v>0828-18</v>
      </c>
      <c r="AE185" s="80" t="str">
        <f t="shared" si="57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185" s="77" t="str">
        <f t="shared" si="58"/>
        <v>"C:\Program Files (x86)\AstroGrep\AstroGrep.exe" /e /r /s /spath="%USERPROFILE%\AppData\Local\Temp\OnboardLogs" /stypes="app*4011*20170518*" /stext=" 22:.+((SYSTEM_STATE.+slice.+state.+changed )|(ment ac)|(multiple cpu faults)|(system.+state.+changed )|(\[timeout)|(PRM\|1\|D)|(kpr)|(kdp)|(train st.+moving)|(\|lc)|(penalty))"</v>
      </c>
      <c r="AG185" s="1" t="str">
        <f t="shared" si="59"/>
        <v>NW</v>
      </c>
      <c r="AH185" s="81" t="str">
        <f t="shared" si="60"/>
        <v>"%USERPROFILE%\Documents\GitHub\eaglep3\Utilities\RefineRTDCRunTimes.py" --tripid 828-18 --locoid 4011 --swversion DE.1.0.9.0 --startMP 300:58645 --initTime 2017-05-18T16:06:58 --startdatetime 2017-05-18T16:09:08 --delay 1 --endMP 204:701 --enddatetime 2017-05-18T16:26:39 --enforcementcount 0 &gt;&gt;C:\Users\stu\Documents\GitHub\eaglep3-reporting\EC\2017-05-18-refined-times.txt</v>
      </c>
      <c r="AI185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{"issue":{"subject":"","project_id":79,"tracker_id":40,"status_id":1,"priority_id":2,"assigned_to_id":23,"start_date":"2017-05-18","description":"","custom_fields":[{"id":1,"name":"Subdivision","value":"NW"},{"id":4,"name":"Milepost","value":"0.0701"},{"id":17,"name":"Train ID","value":"828-18"},{"id":16,"name":"Locomotive ID","value":"4011"},{"id":130,"name":"Impact","value":""},{"id":150,"name":"Time of Event (Mountain Time)","value":"16:26:39"},{"id":151,"name":"Denver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2"/>
        <v>start /low /b %USERPROFILE%\Documents\GitHub\eaglep3\Utilities\DownloadLogsFromS3.py --loco 4011 --day 2017-05-18</v>
      </c>
      <c r="AN185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759</v>
      </c>
      <c r="B186" s="7">
        <v>4026</v>
      </c>
      <c r="C186" s="21" t="s">
        <v>206</v>
      </c>
      <c r="D186" s="21" t="s">
        <v>513</v>
      </c>
      <c r="E186" s="13">
        <v>42873.677048611113</v>
      </c>
      <c r="F186" s="13">
        <v>42873.681493055556</v>
      </c>
      <c r="G186" s="7">
        <v>1</v>
      </c>
      <c r="H186" s="21" t="s">
        <v>512</v>
      </c>
      <c r="I186" s="13">
        <v>42873.694039351853</v>
      </c>
      <c r="J186" s="7">
        <v>0</v>
      </c>
      <c r="K186" s="92" t="str">
        <f t="shared" si="47"/>
        <v>4025/4026</v>
      </c>
      <c r="L186" s="21" t="str">
        <f>VLOOKUP(A186,'Trips&amp;Operators'!$C$1:$G$99999,5,FALSE)</f>
        <v>BIRENBAUM THOMAS</v>
      </c>
      <c r="M186" s="6">
        <f t="shared" si="48"/>
        <v>1.2546296296932269E-2</v>
      </c>
      <c r="N186" s="7">
        <f t="shared" si="66"/>
        <v>18.066666667582467</v>
      </c>
      <c r="O186" s="7"/>
      <c r="P186" s="7"/>
      <c r="Q186" s="22"/>
      <c r="R186" s="190" t="s">
        <v>1050</v>
      </c>
      <c r="S186" s="196">
        <f t="shared" si="49"/>
        <v>1</v>
      </c>
      <c r="T186" s="190" t="str">
        <f t="shared" si="50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1"/>
        <v>https://d0f6bd738d7f1b3e5a7ca70fe4ff75f0.us-east-1.aws.found.io/app/kibana#/discover/Steve-Slow-Train-Analysis-(2080s-and-2083s)?_g=(refreshInterval:(display:Off,pause:!f,section:0,value:0),time:(from:'2017-05-18T15:14:57-0600',mode:absolute,to:'2017-05-18T17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192" t="str">
        <f t="shared" si="52"/>
        <v>N</v>
      </c>
      <c r="X186" s="192">
        <f t="shared" si="67"/>
        <v>1</v>
      </c>
      <c r="Y186" s="192">
        <f t="shared" si="53"/>
        <v>9.8799999999999999E-2</v>
      </c>
      <c r="Z186" s="192">
        <f t="shared" si="54"/>
        <v>5.8943000000000003</v>
      </c>
      <c r="AA186" s="192">
        <f t="shared" si="55"/>
        <v>5.7955000000000005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6"/>
        <v>0829-18</v>
      </c>
      <c r="AE186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86" s="77" t="str">
        <f t="shared" si="58"/>
        <v>"C:\Program Files (x86)\AstroGrep\AstroGrep.exe" /e /r /s /spath="%USERPROFILE%\AppData\Local\Temp\OnboardLogs" /stypes="app*4026*20170518*" /stext=" 22:.+((SYSTEM_STATE.+slice.+state.+changed )|(ment ac)|(multiple cpu faults)|(system.+state.+changed )|(\[timeout)|(PRM\|1\|D)|(kpr)|(kdp)|(train st.+moving)|(\|lc)|(penalty))"</v>
      </c>
      <c r="AG186" s="1" t="str">
        <f t="shared" si="59"/>
        <v>NW</v>
      </c>
      <c r="AH186" s="81" t="str">
        <f t="shared" si="60"/>
        <v>"%USERPROFILE%\Documents\GitHub\eaglep3\Utilities\RefineRTDCRunTimes.py" --tripid 829-18 --locoid 4026 --swversion DE.1.0.9.0 --startMP 204:988 --initTime 2017-05-18T16:14:57 --startdatetime 2017-05-18T16:21:21 --delay 1 --endMP 300:58943 --enddatetime 2017-05-18T16:39:25 --enforcementcount 0 &gt;&gt;C:\Users\stu\Documents\GitHub\eaglep3-reporting\EC\2017-05-18-refined-times.txt</v>
      </c>
      <c r="AI186" s="99" t="str">
        <f t="shared" si="61"/>
        <v>echo {"issue":{"subject":"Braking without banner against speed restriction","project_id":79,"tracker_id":40,"status_id":1,"priority_id":2,"assigned_to_id":23,"start_date":"2017-05-18","description":"","custom_fields":[{"id":1,"name":"Subdivision","value":"NW"},{"id":4,"name":"Milepost","value":"5.8943"},{"id":17,"name":"Train ID","value":"829-18"},{"id":16,"name":"Locomotive ID","value":"4026"},{"id":130,"name":"Impact","value":""},{"id":150,"name":"Time of Event (Mountain Time)","value":"16:39:25"},{"id":151,"name":"Denver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62"/>
        <v>start /low /b %USERPROFILE%\Documents\GitHub\eaglep3\Utilities\DownloadLogsFromS3.py --loco 4026 --day 2017-05-18</v>
      </c>
      <c r="AN186" s="154" t="str">
        <f t="shared" si="63"/>
        <v>echo {"issue":{"subject":"Braking without banner against speed restriction","project_id":30,"tracker_id":4,"status_id":1,"priority_id":1,"assigned_to_id":10,"start_date":"2017-05-18","description":"","custom_fields":[{"id":30,"name":"Category","value":"Issue"},{"id":3,"name":"Functional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763</v>
      </c>
      <c r="B187" s="7">
        <v>4025</v>
      </c>
      <c r="C187" s="21" t="s">
        <v>206</v>
      </c>
      <c r="D187" s="21" t="s">
        <v>998</v>
      </c>
      <c r="E187" s="13">
        <v>42873.694930555554</v>
      </c>
      <c r="F187" s="13">
        <v>42873.696122685185</v>
      </c>
      <c r="G187" s="7">
        <v>0</v>
      </c>
      <c r="H187" s="21" t="s">
        <v>990</v>
      </c>
      <c r="I187" s="13">
        <v>42873.705405092594</v>
      </c>
      <c r="J187" s="7">
        <v>0</v>
      </c>
      <c r="K187" s="92" t="str">
        <f t="shared" si="47"/>
        <v>4025/4026</v>
      </c>
      <c r="L187" s="21" t="str">
        <f>VLOOKUP(A187,'Trips&amp;Operators'!$C$1:$G$99999,5,FALSE)</f>
        <v>BIRENBAUM THOMAS</v>
      </c>
      <c r="M187" s="6">
        <f t="shared" si="48"/>
        <v>9.2824074090458453E-3</v>
      </c>
      <c r="N187" s="7">
        <f t="shared" si="66"/>
        <v>13.366666669026017</v>
      </c>
      <c r="O187" s="7"/>
      <c r="P187" s="7"/>
      <c r="Q187" s="22"/>
      <c r="R187" s="190"/>
      <c r="S187" s="196">
        <f t="shared" si="49"/>
        <v>1</v>
      </c>
      <c r="T187" s="190" t="str">
        <f t="shared" si="50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1"/>
        <v>https://d0f6bd738d7f1b3e5a7ca70fe4ff75f0.us-east-1.aws.found.io/app/kibana#/discover/Steve-Slow-Train-Analysis-(2080s-and-2083s)?_g=(refreshInterval:(display:Off,pause:!f,section:0,value:0),time:(from:'2017-05-18T15:40:42-0600',mode:absolute,to:'2017-05-18T17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92" t="str">
        <f t="shared" si="52"/>
        <v>N</v>
      </c>
      <c r="X187" s="192">
        <f t="shared" si="67"/>
        <v>1</v>
      </c>
      <c r="Y187" s="192">
        <f t="shared" si="53"/>
        <v>5.8624999999999998</v>
      </c>
      <c r="Z187" s="192">
        <f t="shared" si="54"/>
        <v>7.0300000000000001E-2</v>
      </c>
      <c r="AA187" s="192">
        <f t="shared" si="55"/>
        <v>5.7922000000000002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6"/>
        <v>0830-18</v>
      </c>
      <c r="AE187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87" s="77" t="str">
        <f t="shared" si="58"/>
        <v>"C:\Program Files (x86)\AstroGrep\AstroGrep.exe" /e /r /s /spath="%USERPROFILE%\AppData\Local\Temp\OnboardLogs" /stypes="app*4025*20170518*" /stext=" 22:.+((SYSTEM_STATE.+slice.+state.+changed )|(ment ac)|(multiple cpu faults)|(system.+state.+changed )|(\[timeout)|(PRM\|1\|D)|(kpr)|(kdp)|(train st.+moving)|(\|lc)|(penalty))"</v>
      </c>
      <c r="AG187" s="1" t="str">
        <f t="shared" si="59"/>
        <v>NW</v>
      </c>
      <c r="AH187" s="81" t="str">
        <f t="shared" si="60"/>
        <v>"%USERPROFILE%\Documents\GitHub\eaglep3\Utilities\RefineRTDCRunTimes.py" --tripid 830-18 --locoid 4025 --swversion DE.1.0.9.0 --startMP 300:58625 --initTime 2017-05-18T16:40:42 --startdatetime 2017-05-18T16:42:25 --delay 0 --endMP 204:703 --enddatetime 2017-05-18T16:55:47 --enforcementcount 0 &gt;&gt;C:\Users\stu\Documents\GitHub\eaglep3-reporting\EC\2017-05-18-refined-times.txt</v>
      </c>
      <c r="AI187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{"issue":{"subject":"","project_id":79,"tracker_id":40,"status_id":1,"priority_id":2,"assigned_to_id":23,"start_date":"2017-05-18","description":"","custom_fields":[{"id":1,"name":"Subdivision","value":"NW"},{"id":4,"name":"Milepost","value":"0.0703"},{"id":17,"name":"Train ID","value":"830-18"},{"id":16,"name":"Locomotive ID","value":"4025"},{"id":130,"name":"Impact","value":""},{"id":150,"name":"Time of Event (Mountain Time)","value":"16:55:47"},{"id":151,"name":"Denver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2"/>
        <v>start /low /b %USERPROFILE%\Documents\GitHub\eaglep3\Utilities\DownloadLogsFromS3.py --loco 4025 --day 2017-05-18</v>
      </c>
      <c r="AN187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22:55:47"},{"id":29,"name":"Sharepoint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760</v>
      </c>
      <c r="B188" s="7">
        <v>4012</v>
      </c>
      <c r="C188" s="21" t="s">
        <v>206</v>
      </c>
      <c r="D188" s="21" t="s">
        <v>974</v>
      </c>
      <c r="E188" s="13">
        <v>42873.686261574076</v>
      </c>
      <c r="F188" s="13">
        <v>42873.702361111114</v>
      </c>
      <c r="G188" s="7">
        <v>0</v>
      </c>
      <c r="H188" s="21" t="s">
        <v>991</v>
      </c>
      <c r="I188" s="13">
        <v>42873.711840277778</v>
      </c>
      <c r="J188" s="7">
        <v>0</v>
      </c>
      <c r="K188" s="92" t="str">
        <f t="shared" si="47"/>
        <v>4011/4012</v>
      </c>
      <c r="L188" s="21" t="str">
        <f>VLOOKUP(A188,'Trips&amp;Operators'!$C$1:$G$99999,5,FALSE)</f>
        <v>THOMPSON LESTER</v>
      </c>
      <c r="M188" s="6">
        <f t="shared" si="48"/>
        <v>9.4791666633682325E-3</v>
      </c>
      <c r="N188" s="7">
        <f t="shared" si="66"/>
        <v>13.649999995250255</v>
      </c>
      <c r="O188" s="7"/>
      <c r="P188" s="7"/>
      <c r="Q188" s="22"/>
      <c r="R188" s="190"/>
      <c r="S188" s="196">
        <f t="shared" si="49"/>
        <v>1</v>
      </c>
      <c r="T188" s="190" t="str">
        <f t="shared" si="50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1"/>
        <v>https://d0f6bd738d7f1b3e5a7ca70fe4ff75f0.us-east-1.aws.found.io/app/kibana#/discover/Steve-Slow-Train-Analysis-(2080s-and-2083s)?_g=(refreshInterval:(display:Off,pause:!f,section:0,value:0),time:(from:'2017-05-18T15:28:13-0600',mode:absolute,to:'2017-05-18T18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8" s="192" t="str">
        <f t="shared" si="52"/>
        <v>N</v>
      </c>
      <c r="X188" s="192">
        <f t="shared" si="67"/>
        <v>1</v>
      </c>
      <c r="Y188" s="192">
        <f t="shared" si="53"/>
        <v>9.7100000000000006E-2</v>
      </c>
      <c r="Z188" s="192">
        <f t="shared" si="54"/>
        <v>5.8959999999999999</v>
      </c>
      <c r="AA188" s="192">
        <f t="shared" si="55"/>
        <v>5.7988999999999997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6"/>
        <v>0831-18</v>
      </c>
      <c r="AE188" s="80" t="str">
        <f t="shared" si="57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188" s="77" t="str">
        <f t="shared" si="58"/>
        <v>"C:\Program Files (x86)\AstroGrep\AstroGrep.exe" /e /r /s /spath="%USERPROFILE%\AppData\Local\Temp\OnboardLogs" /stypes="app*4012*20170518*" /stext=" 23:.+((SYSTEM_STATE.+slice.+state.+changed )|(ment ac)|(multiple cpu faults)|(system.+state.+changed )|(\[timeout)|(PRM\|1\|D)|(kpr)|(kdp)|(train st.+moving)|(\|lc)|(penalty))"</v>
      </c>
      <c r="AG188" s="1" t="str">
        <f t="shared" si="59"/>
        <v>NW</v>
      </c>
      <c r="AH188" s="81" t="str">
        <f t="shared" si="60"/>
        <v>"%USERPROFILE%\Documents\GitHub\eaglep3\Utilities\RefineRTDCRunTimes.py" --tripid 831-18 --locoid 4012 --swversion DE.1.0.9.0 --startMP 204:971 --initTime 2017-05-18T16:28:13 --startdatetime 2017-05-18T16:51:24 --delay 0 --endMP 300:58960 --enddatetime 2017-05-18T17:05:03 --enforcementcount 0 &gt;&gt;C:\Users\stu\Documents\GitHub\eaglep3-reporting\EC\2017-05-18-refined-times.txt</v>
      </c>
      <c r="AI188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{"issue":{"subject":"","project_id":79,"tracker_id":40,"status_id":1,"priority_id":2,"assigned_to_id":23,"start_date":"2017-05-18","description":"","custom_fields":[{"id":1,"name":"Subdivision","value":"NW"},{"id":4,"name":"Milepost","value":"5.896"},{"id":17,"name":"Train ID","value":"831-18"},{"id":16,"name":"Locomotive ID","value":"4012"},{"id":130,"name":"Impact","value":""},{"id":150,"name":"Time of Event (Mountain Time)","value":"17:05:03"},{"id":151,"name":"Denver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2"/>
        <v>start /low /b %USERPROFILE%\Documents\GitHub\eaglep3\Utilities\DownloadLogsFromS3.py --loco 4012 --day 2017-05-18</v>
      </c>
      <c r="AN188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766</v>
      </c>
      <c r="B189" s="7">
        <v>4011</v>
      </c>
      <c r="C189" s="21" t="s">
        <v>206</v>
      </c>
      <c r="D189" s="21" t="s">
        <v>999</v>
      </c>
      <c r="E189" s="13">
        <v>42873.712743055556</v>
      </c>
      <c r="F189" s="13">
        <v>42873.714085648149</v>
      </c>
      <c r="G189" s="7">
        <v>1</v>
      </c>
      <c r="H189" s="21" t="s">
        <v>1000</v>
      </c>
      <c r="I189" s="13">
        <v>42873.725856481484</v>
      </c>
      <c r="J189" s="7">
        <v>0</v>
      </c>
      <c r="K189" s="92" t="str">
        <f t="shared" si="47"/>
        <v>4011/4012</v>
      </c>
      <c r="L189" s="21" t="str">
        <f>VLOOKUP(A189,'Trips&amp;Operators'!$C$1:$G$99999,5,FALSE)</f>
        <v>THOMPSON LESTER</v>
      </c>
      <c r="M189" s="6">
        <f t="shared" si="48"/>
        <v>1.1770833334594499E-2</v>
      </c>
      <c r="N189" s="7">
        <f t="shared" si="66"/>
        <v>16.950000001816079</v>
      </c>
      <c r="O189" s="7"/>
      <c r="P189" s="7"/>
      <c r="Q189" s="22"/>
      <c r="R189" s="190"/>
      <c r="S189" s="196">
        <f t="shared" si="49"/>
        <v>1</v>
      </c>
      <c r="T189" s="190" t="str">
        <f t="shared" si="50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1"/>
        <v>https://d0f6bd738d7f1b3e5a7ca70fe4ff75f0.us-east-1.aws.found.io/app/kibana#/discover/Steve-Slow-Train-Analysis-(2080s-and-2083s)?_g=(refreshInterval:(display:Off,pause:!f,section:0,value:0),time:(from:'2017-05-18T16:06:21-0600',mode:absolute,to:'2017-05-18T18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192" t="str">
        <f t="shared" si="52"/>
        <v>N</v>
      </c>
      <c r="X189" s="192">
        <f t="shared" si="67"/>
        <v>1</v>
      </c>
      <c r="Y189" s="192">
        <f t="shared" si="53"/>
        <v>5.8639999999999999</v>
      </c>
      <c r="Z189" s="192">
        <f t="shared" si="54"/>
        <v>6.5000000000000002E-2</v>
      </c>
      <c r="AA189" s="192">
        <f t="shared" si="55"/>
        <v>5.7989999999999995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6"/>
        <v>0832-18</v>
      </c>
      <c r="AE189" s="80" t="str">
        <f t="shared" si="57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189" s="77" t="str">
        <f t="shared" si="58"/>
        <v>"C:\Program Files (x86)\AstroGrep\AstroGrep.exe" /e /r /s /spath="%USERPROFILE%\AppData\Local\Temp\OnboardLogs" /stypes="app*4011*20170518*" /stext=" 23:.+((SYSTEM_STATE.+slice.+state.+changed )|(ment ac)|(multiple cpu faults)|(system.+state.+changed )|(\[timeout)|(PRM\|1\|D)|(kpr)|(kdp)|(train st.+moving)|(\|lc)|(penalty))"</v>
      </c>
      <c r="AG189" s="1" t="str">
        <f t="shared" si="59"/>
        <v>NW</v>
      </c>
      <c r="AH189" s="81" t="str">
        <f t="shared" si="60"/>
        <v>"%USERPROFILE%\Documents\GitHub\eaglep3\Utilities\RefineRTDCRunTimes.py" --tripid 832-18 --locoid 4011 --swversion DE.1.0.9.0 --startMP 300:58640 --initTime 2017-05-18T17:06:21 --startdatetime 2017-05-18T17:08:17 --delay 1 --endMP 204:650 --enddatetime 2017-05-18T17:25:14 --enforcementcount 0 &gt;&gt;C:\Users\stu\Documents\GitHub\eaglep3-reporting\EC\2017-05-18-refined-times.txt</v>
      </c>
      <c r="AI189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{"issue":{"subject":"","project_id":79,"tracker_id":40,"status_id":1,"priority_id":2,"assigned_to_id":23,"start_date":"2017-05-18","description":"","custom_fields":[{"id":1,"name":"Subdivision","value":"NW"},{"id":4,"name":"Milepost","value":"0.065"},{"id":17,"name":"Train ID","value":"832-18"},{"id":16,"name":"Locomotive ID","value":"4011"},{"id":130,"name":"Impact","value":""},{"id":150,"name":"Time of Event (Mountain Time)","value":"17:25:14"},{"id":151,"name":"Denver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2"/>
        <v>start /low /b %USERPROFILE%\Documents\GitHub\eaglep3\Utilities\DownloadLogsFromS3.py --loco 4011 --day 2017-05-18</v>
      </c>
      <c r="AN189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769</v>
      </c>
      <c r="B190" s="7">
        <v>4026</v>
      </c>
      <c r="C190" s="21" t="s">
        <v>206</v>
      </c>
      <c r="D190" s="21" t="s">
        <v>1001</v>
      </c>
      <c r="E190" s="13">
        <v>42873.718611111108</v>
      </c>
      <c r="F190" s="13">
        <v>42873.72314814815</v>
      </c>
      <c r="G190" s="7">
        <v>1</v>
      </c>
      <c r="H190" s="21" t="s">
        <v>1002</v>
      </c>
      <c r="I190" s="13">
        <v>42873.732418981483</v>
      </c>
      <c r="J190" s="7">
        <v>0</v>
      </c>
      <c r="K190" s="92" t="str">
        <f t="shared" si="47"/>
        <v>4025/4026</v>
      </c>
      <c r="L190" s="21" t="str">
        <f>VLOOKUP(A190,'Trips&amp;Operators'!$C$1:$G$99999,5,FALSE)</f>
        <v>BIRENBAUM THOMAS</v>
      </c>
      <c r="M190" s="6">
        <f t="shared" si="48"/>
        <v>9.2708333322661929E-3</v>
      </c>
      <c r="N190" s="7">
        <f t="shared" si="66"/>
        <v>13.349999998463318</v>
      </c>
      <c r="O190" s="7"/>
      <c r="P190" s="7"/>
      <c r="Q190" s="22"/>
      <c r="R190" s="190"/>
      <c r="S190" s="196">
        <f t="shared" si="49"/>
        <v>1</v>
      </c>
      <c r="T190" s="190" t="str">
        <f t="shared" si="50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1"/>
        <v>https://d0f6bd738d7f1b3e5a7ca70fe4ff75f0.us-east-1.aws.found.io/app/kibana#/discover/Steve-Slow-Train-Analysis-(2080s-and-2083s)?_g=(refreshInterval:(display:Off,pause:!f,section:0,value:0),time:(from:'2017-05-18T16:14:48-0600',mode:absolute,to:'2017-05-18T18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192" t="str">
        <f t="shared" si="52"/>
        <v>N</v>
      </c>
      <c r="X190" s="192">
        <f t="shared" si="67"/>
        <v>1</v>
      </c>
      <c r="Y190" s="192">
        <f t="shared" si="53"/>
        <v>9.9000000000000005E-2</v>
      </c>
      <c r="Z190" s="192">
        <f t="shared" si="54"/>
        <v>5.8968999999999996</v>
      </c>
      <c r="AA190" s="192">
        <f t="shared" si="55"/>
        <v>5.7978999999999994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6"/>
        <v>0833-18</v>
      </c>
      <c r="AE190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90" s="77" t="str">
        <f t="shared" si="58"/>
        <v>"C:\Program Files (x86)\AstroGrep\AstroGrep.exe" /e /r /s /spath="%USERPROFILE%\AppData\Local\Temp\OnboardLogs" /stypes="app*4026*20170518*" /stext=" 23:.+((SYSTEM_STATE.+slice.+state.+changed )|(ment ac)|(multiple cpu faults)|(system.+state.+changed )|(\[timeout)|(PRM\|1\|D)|(kpr)|(kdp)|(train st.+moving)|(\|lc)|(penalty))"</v>
      </c>
      <c r="AG190" s="1" t="str">
        <f t="shared" si="59"/>
        <v>NW</v>
      </c>
      <c r="AH190" s="81" t="str">
        <f t="shared" si="60"/>
        <v>"%USERPROFILE%\Documents\GitHub\eaglep3\Utilities\RefineRTDCRunTimes.py" --tripid 833-18 --locoid 4026 --swversion DE.1.0.9.0 --startMP 204:990 --initTime 2017-05-18T17:14:48 --startdatetime 2017-05-18T17:21:20 --delay 1 --endMP 300:58969 --enddatetime 2017-05-18T17:34:41 --enforcementcount 0 &gt;&gt;C:\Users\stu\Documents\GitHub\eaglep3-reporting\EC\2017-05-18-refined-times.txt</v>
      </c>
      <c r="AI190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{"issue":{"subject":"","project_id":79,"tracker_id":40,"status_id":1,"priority_id":2,"assigned_to_id":23,"start_date":"2017-05-18","description":"","custom_fields":[{"id":1,"name":"Subdivision","value":"NW"},{"id":4,"name":"Milepost","value":"5.8969"},{"id":17,"name":"Train ID","value":"833-18"},{"id":16,"name":"Locomotive ID","value":"4026"},{"id":130,"name":"Impact","value":""},{"id":150,"name":"Time of Event (Mountain Time)","value":"17:34:41"},{"id":151,"name":"Denver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2"/>
        <v>start /low /b %USERPROFILE%\Documents\GitHub\eaglep3\Utilities\DownloadLogsFromS3.py --loco 4026 --day 2017-05-18</v>
      </c>
      <c r="AN190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774</v>
      </c>
      <c r="B191" s="7">
        <v>4025</v>
      </c>
      <c r="C191" s="21" t="s">
        <v>206</v>
      </c>
      <c r="D191" s="21" t="s">
        <v>1003</v>
      </c>
      <c r="E191" s="13">
        <v>42873.733564814815</v>
      </c>
      <c r="F191" s="13">
        <v>42873.734699074077</v>
      </c>
      <c r="G191" s="7">
        <v>0</v>
      </c>
      <c r="H191" s="21" t="s">
        <v>1004</v>
      </c>
      <c r="I191" s="13">
        <v>42873.747152777774</v>
      </c>
      <c r="J191" s="7">
        <v>0</v>
      </c>
      <c r="K191" s="92" t="str">
        <f t="shared" si="47"/>
        <v>4025/4026</v>
      </c>
      <c r="L191" s="21" t="str">
        <f>VLOOKUP(A191,'Trips&amp;Operators'!$C$1:$G$99999,5,FALSE)</f>
        <v>BIRENBAUM THOMAS</v>
      </c>
      <c r="M191" s="6">
        <f t="shared" si="48"/>
        <v>1.2453703697246965E-2</v>
      </c>
      <c r="N191" s="7">
        <f t="shared" si="66"/>
        <v>17.93333332403563</v>
      </c>
      <c r="O191" s="7"/>
      <c r="P191" s="7"/>
      <c r="Q191" s="22"/>
      <c r="R191" s="190"/>
      <c r="S191" s="196">
        <f t="shared" si="49"/>
        <v>1</v>
      </c>
      <c r="T191" s="190" t="str">
        <f t="shared" si="50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1"/>
        <v>https://d0f6bd738d7f1b3e5a7ca70fe4ff75f0.us-east-1.aws.found.io/app/kibana#/discover/Steve-Slow-Train-Analysis-(2080s-and-2083s)?_g=(refreshInterval:(display:Off,pause:!f,section:0,value:0),time:(from:'2017-05-18T16:36:20-0600',mode:absolute,to:'2017-05-18T18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92" t="str">
        <f t="shared" si="52"/>
        <v>N</v>
      </c>
      <c r="X191" s="192">
        <f t="shared" si="67"/>
        <v>1</v>
      </c>
      <c r="Y191" s="192">
        <f t="shared" si="53"/>
        <v>5.8651</v>
      </c>
      <c r="Z191" s="192">
        <f t="shared" si="54"/>
        <v>6.8900000000000003E-2</v>
      </c>
      <c r="AA191" s="192">
        <f t="shared" si="55"/>
        <v>5.7961999999999998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6"/>
        <v>0834-18</v>
      </c>
      <c r="AE191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91" s="77" t="str">
        <f t="shared" si="58"/>
        <v>"C:\Program Files (x86)\AstroGrep\AstroGrep.exe" /e /r /s /spath="%USERPROFILE%\AppData\Local\Temp\OnboardLogs" /stypes="app*4025*20170518*" /stext=" 23:.+((SYSTEM_STATE.+slice.+state.+changed )|(ment ac)|(multiple cpu faults)|(system.+state.+changed )|(\[timeout)|(PRM\|1\|D)|(kpr)|(kdp)|(train st.+moving)|(\|lc)|(penalty))"</v>
      </c>
      <c r="AG191" s="1" t="str">
        <f t="shared" si="59"/>
        <v>NW</v>
      </c>
      <c r="AH191" s="81" t="str">
        <f t="shared" si="60"/>
        <v>"%USERPROFILE%\Documents\GitHub\eaglep3\Utilities\RefineRTDCRunTimes.py" --tripid 834-18 --locoid 4025 --swversion DE.1.0.9.0 --startMP 300:58651 --initTime 2017-05-18T17:36:20 --startdatetime 2017-05-18T17:37:58 --delay 0 --endMP 204:689 --enddatetime 2017-05-18T17:55:54 --enforcementcount 0 &gt;&gt;C:\Users\stu\Documents\GitHub\eaglep3-reporting\EC\2017-05-18-refined-times.txt</v>
      </c>
      <c r="AI191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{"issue":{"subject":"","project_id":79,"tracker_id":40,"status_id":1,"priority_id":2,"assigned_to_id":23,"start_date":"2017-05-18","description":"","custom_fields":[{"id":1,"name":"Subdivision","value":"NW"},{"id":4,"name":"Milepost","value":"0.0689"},{"id":17,"name":"Train ID","value":"834-18"},{"id":16,"name":"Locomotive ID","value":"4025"},{"id":130,"name":"Impact","value":""},{"id":150,"name":"Time of Event (Mountain Time)","value":"17:55:54"},{"id":151,"name":"Denver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2"/>
        <v>start /low /b %USERPROFILE%\Documents\GitHub\eaglep3\Utilities\DownloadLogsFromS3.py --loco 4025 --day 2017-05-18</v>
      </c>
      <c r="AN191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608</v>
      </c>
      <c r="B192" s="7">
        <v>4012</v>
      </c>
      <c r="C192" s="21" t="s">
        <v>206</v>
      </c>
      <c r="D192" s="21" t="s">
        <v>1005</v>
      </c>
      <c r="E192" s="13">
        <v>42873.727210648147</v>
      </c>
      <c r="F192" s="13">
        <v>42873.744270833333</v>
      </c>
      <c r="G192" s="7">
        <v>0</v>
      </c>
      <c r="H192" s="21" t="s">
        <v>576</v>
      </c>
      <c r="I192" s="13">
        <v>42873.754907407405</v>
      </c>
      <c r="J192" s="7">
        <v>0</v>
      </c>
      <c r="K192" s="92" t="str">
        <f t="shared" si="47"/>
        <v>4011/4012</v>
      </c>
      <c r="L192" s="21" t="str">
        <f>VLOOKUP(A192,'Trips&amp;Operators'!$C$1:$G$99999,5,FALSE)</f>
        <v>THOMPSON LESTER</v>
      </c>
      <c r="M192" s="6">
        <f t="shared" si="48"/>
        <v>1.063657407212304E-2</v>
      </c>
      <c r="N192" s="7">
        <f t="shared" si="66"/>
        <v>15.316666663857177</v>
      </c>
      <c r="O192" s="7"/>
      <c r="P192" s="7"/>
      <c r="Q192" s="22"/>
      <c r="R192" s="190"/>
      <c r="S192" s="196">
        <f t="shared" si="49"/>
        <v>1</v>
      </c>
      <c r="T192" s="190" t="str">
        <f t="shared" si="50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1"/>
        <v>https://d0f6bd738d7f1b3e5a7ca70fe4ff75f0.us-east-1.aws.found.io/app/kibana#/discover/Steve-Slow-Train-Analysis-(2080s-and-2083s)?_g=(refreshInterval:(display:Off,pause:!f,section:0,value:0),time:(from:'2017-05-18T16:27:11-0600',mode:absolute,to:'2017-05-18T19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2" s="192" t="str">
        <f t="shared" si="52"/>
        <v>N</v>
      </c>
      <c r="X192" s="192">
        <f t="shared" si="67"/>
        <v>1</v>
      </c>
      <c r="Y192" s="192">
        <f t="shared" si="53"/>
        <v>9.3899999999999997E-2</v>
      </c>
      <c r="Z192" s="192">
        <f t="shared" si="54"/>
        <v>5.8960999999999997</v>
      </c>
      <c r="AA192" s="192">
        <f t="shared" si="55"/>
        <v>5.8022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6"/>
        <v>0835-18</v>
      </c>
      <c r="AE192" s="80" t="str">
        <f t="shared" si="57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192" s="77" t="str">
        <f t="shared" si="58"/>
        <v>"C:\Program Files (x86)\AstroGrep\AstroGrep.exe" /e /r /s /spath="%USERPROFILE%\AppData\Local\Temp\OnboardLogs" /stypes="app*4012*20170519*" /stext=" 00:.+((SYSTEM_STATE.+slice.+state.+changed )|(ment ac)|(multiple cpu faults)|(system.+state.+changed )|(\[timeout)|(PRM\|1\|D)|(kpr)|(kdp)|(train st.+moving)|(\|lc)|(penalty))"</v>
      </c>
      <c r="AG192" s="1" t="str">
        <f t="shared" si="59"/>
        <v>NW</v>
      </c>
      <c r="AH192" s="81" t="str">
        <f t="shared" si="60"/>
        <v>"%USERPROFILE%\Documents\GitHub\eaglep3\Utilities\RefineRTDCRunTimes.py" --tripid 835-18 --locoid 4012 --swversion DE.1.0.9.0 --startMP 204:939 --initTime 2017-05-18T17:27:11 --startdatetime 2017-05-18T17:51:45 --delay 0 --endMP 300:58961 --enddatetime 2017-05-18T18:07:04 --enforcementcount 0 &gt;&gt;C:\Users\stu\Documents\GitHub\eaglep3-reporting\EC\2017-05-18-refined-times.txt</v>
      </c>
      <c r="AI192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{"issue":{"subject":"","project_id":79,"tracker_id":40,"status_id":1,"priority_id":2,"assigned_to_id":23,"start_date":"2017-05-18","description":"","custom_fields":[{"id":1,"name":"Subdivision","value":"NW"},{"id":4,"name":"Milepost","value":"5.8961"},{"id":17,"name":"Train ID","value":"835-18"},{"id":16,"name":"Locomotive ID","value":"4012"},{"id":130,"name":"Impact","value":""},{"id":150,"name":"Time of Event (Mountain Time)","value":"18:07:04"},{"id":151,"name":"Denver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2"/>
        <v>start /low /b %USERPROFILE%\Documents\GitHub\eaglep3\Utilities\DownloadLogsFromS3.py --loco 4012 --day 2017-05-18</v>
      </c>
      <c r="AN192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782</v>
      </c>
      <c r="B193" s="7">
        <v>4011</v>
      </c>
      <c r="C193" s="21" t="s">
        <v>206</v>
      </c>
      <c r="D193" s="21" t="s">
        <v>976</v>
      </c>
      <c r="E193" s="13">
        <v>42873.756041666667</v>
      </c>
      <c r="F193" s="13">
        <v>42873.7578587963</v>
      </c>
      <c r="G193" s="7">
        <v>1</v>
      </c>
      <c r="H193" s="21" t="s">
        <v>986</v>
      </c>
      <c r="I193" s="13">
        <v>42873.77070601852</v>
      </c>
      <c r="J193" s="7">
        <v>0</v>
      </c>
      <c r="K193" s="92" t="str">
        <f t="shared" si="47"/>
        <v>4011/4012</v>
      </c>
      <c r="L193" s="21" t="str">
        <f>VLOOKUP(A193,'Trips&amp;Operators'!$C$1:$G$99999,5,FALSE)</f>
        <v>THOMPSON LESTER</v>
      </c>
      <c r="M193" s="6">
        <f t="shared" si="48"/>
        <v>1.2847222220443655E-2</v>
      </c>
      <c r="N193" s="7">
        <f t="shared" si="66"/>
        <v>18.499999997438863</v>
      </c>
      <c r="O193" s="7"/>
      <c r="P193" s="7"/>
      <c r="Q193" s="22"/>
      <c r="R193" s="190"/>
      <c r="S193" s="196">
        <f t="shared" si="49"/>
        <v>1</v>
      </c>
      <c r="T193" s="190" t="str">
        <f t="shared" si="50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1"/>
        <v>https://d0f6bd738d7f1b3e5a7ca70fe4ff75f0.us-east-1.aws.found.io/app/kibana#/discover/Steve-Slow-Train-Analysis-(2080s-and-2083s)?_g=(refreshInterval:(display:Off,pause:!f,section:0,value:0),time:(from:'2017-05-18T17:08:42-0600',mode:absolute,to:'2017-05-18T19:29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3" s="192" t="str">
        <f t="shared" si="52"/>
        <v>N</v>
      </c>
      <c r="X193" s="192">
        <f t="shared" si="67"/>
        <v>1</v>
      </c>
      <c r="Y193" s="192">
        <f t="shared" si="53"/>
        <v>5.8653000000000004</v>
      </c>
      <c r="Z193" s="192">
        <f t="shared" si="54"/>
        <v>6.9400000000000003E-2</v>
      </c>
      <c r="AA193" s="192">
        <f t="shared" si="55"/>
        <v>5.7959000000000005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6"/>
        <v>0836-18</v>
      </c>
      <c r="AE193" s="80" t="str">
        <f t="shared" si="57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193" s="77" t="str">
        <f t="shared" si="58"/>
        <v>"C:\Program Files (x86)\AstroGrep\AstroGrep.exe" /e /r /s /spath="%USERPROFILE%\AppData\Local\Temp\OnboardLogs" /stypes="app*4011*20170519*" /stext=" 00:.+((SYSTEM_STATE.+slice.+state.+changed )|(ment ac)|(multiple cpu faults)|(system.+state.+changed )|(\[timeout)|(PRM\|1\|D)|(kpr)|(kdp)|(train st.+moving)|(\|lc)|(penalty))"</v>
      </c>
      <c r="AG193" s="1" t="str">
        <f t="shared" si="59"/>
        <v>NW</v>
      </c>
      <c r="AH193" s="81" t="str">
        <f t="shared" si="60"/>
        <v>"%USERPROFILE%\Documents\GitHub\eaglep3\Utilities\RefineRTDCRunTimes.py" --tripid 836-18 --locoid 4011 --swversion DE.1.0.9.0 --startMP 300:58653 --initTime 2017-05-18T18:08:42 --startdatetime 2017-05-18T18:11:19 --delay 1 --endMP 204:694 --enddatetime 2017-05-18T18:29:49 --enforcementcount 0 &gt;&gt;C:\Users\stu\Documents\GitHub\eaglep3-reporting\EC\2017-05-18-refined-times.txt</v>
      </c>
      <c r="AI193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{"issue":{"subject":"","project_id":79,"tracker_id":40,"status_id":1,"priority_id":2,"assigned_to_id":23,"start_date":"2017-05-18","description":"","custom_fields":[{"id":1,"name":"Subdivision","value":"NW"},{"id":4,"name":"Milepost","value":"0.0694"},{"id":17,"name":"Train ID","value":"836-18"},{"id":16,"name":"Locomotive ID","value":"4011"},{"id":130,"name":"Impact","value":""},{"id":150,"name":"Time of Event (Mountain Time)","value":"18:29:49"},{"id":151,"name":"Denver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62"/>
        <v>start /low /b %USERPROFILE%\Documents\GitHub\eaglep3\Utilities\DownloadLogsFromS3.py --loco 4011 --day 2017-05-18</v>
      </c>
      <c r="AN193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00:29:49"},{"id":29,"name":"Sharepoint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783</v>
      </c>
      <c r="B194" s="7">
        <v>4026</v>
      </c>
      <c r="C194" s="21" t="s">
        <v>206</v>
      </c>
      <c r="D194" s="21" t="s">
        <v>569</v>
      </c>
      <c r="E194" s="13">
        <v>42873.756238425929</v>
      </c>
      <c r="F194" s="13">
        <v>42873.764780092592</v>
      </c>
      <c r="G194" s="7">
        <v>1</v>
      </c>
      <c r="H194" s="21" t="s">
        <v>996</v>
      </c>
      <c r="I194" s="13">
        <v>42873.774884259263</v>
      </c>
      <c r="J194" s="7">
        <v>0</v>
      </c>
      <c r="K194" s="92" t="str">
        <f t="shared" si="47"/>
        <v>4025/4026</v>
      </c>
      <c r="L194" s="21" t="str">
        <f>VLOOKUP(A194,'Trips&amp;Operators'!$C$1:$G$99999,5,FALSE)</f>
        <v>BIRENBAUM THOMAS</v>
      </c>
      <c r="M194" s="6">
        <f t="shared" si="48"/>
        <v>1.0104166671226267E-2</v>
      </c>
      <c r="N194" s="7">
        <f t="shared" si="66"/>
        <v>14.550000006565824</v>
      </c>
      <c r="O194" s="7"/>
      <c r="P194" s="7"/>
      <c r="Q194" s="22"/>
      <c r="R194" s="190"/>
      <c r="S194" s="196">
        <f t="shared" si="49"/>
        <v>1</v>
      </c>
      <c r="T194" s="190" t="str">
        <f t="shared" si="50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1"/>
        <v>https://d0f6bd738d7f1b3e5a7ca70fe4ff75f0.us-east-1.aws.found.io/app/kibana#/discover/Steve-Slow-Train-Analysis-(2080s-and-2083s)?_g=(refreshInterval:(display:Off,pause:!f,section:0,value:0),time:(from:'2017-05-18T17:08:59-0600',mode:absolute,to:'2017-05-18T19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4" s="192" t="str">
        <f t="shared" si="52"/>
        <v>N</v>
      </c>
      <c r="X194" s="192">
        <f t="shared" si="67"/>
        <v>1</v>
      </c>
      <c r="Y194" s="192">
        <f t="shared" si="53"/>
        <v>9.7900000000000001E-2</v>
      </c>
      <c r="Z194" s="192">
        <f t="shared" si="54"/>
        <v>5.8975</v>
      </c>
      <c r="AA194" s="192">
        <f t="shared" si="55"/>
        <v>5.7995999999999999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6"/>
        <v>0837-18</v>
      </c>
      <c r="AE194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94" s="77" t="str">
        <f t="shared" si="58"/>
        <v>"C:\Program Files (x86)\AstroGrep\AstroGrep.exe" /e /r /s /spath="%USERPROFILE%\AppData\Local\Temp\OnboardLogs" /stypes="app*4026*20170519*" /stext=" 00:.+((SYSTEM_STATE.+slice.+state.+changed )|(ment ac)|(multiple cpu faults)|(system.+state.+changed )|(\[timeout)|(PRM\|1\|D)|(kpr)|(kdp)|(train st.+moving)|(\|lc)|(penalty))"</v>
      </c>
      <c r="AG194" s="1" t="str">
        <f t="shared" si="59"/>
        <v>NW</v>
      </c>
      <c r="AH194" s="81" t="str">
        <f t="shared" si="60"/>
        <v>"%USERPROFILE%\Documents\GitHub\eaglep3\Utilities\RefineRTDCRunTimes.py" --tripid 837-18 --locoid 4026 --swversion DE.1.0.9.0 --startMP 204:979 --initTime 2017-05-18T18:08:59 --startdatetime 2017-05-18T18:21:17 --delay 1 --endMP 300:58975 --enddatetime 2017-05-18T18:35:50 --enforcementcount 0 &gt;&gt;C:\Users\stu\Documents\GitHub\eaglep3-reporting\EC\2017-05-18-refined-times.txt</v>
      </c>
      <c r="AI194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{"issue":{"subject":"","project_id":79,"tracker_id":40,"status_id":1,"priority_id":2,"assigned_to_id":23,"start_date":"2017-05-18","description":"","custom_fields":[{"id":1,"name":"Subdivision","value":"NW"},{"id":4,"name":"Milepost","value":"5.8975"},{"id":17,"name":"Train ID","value":"837-18"},{"id":16,"name":"Locomotive ID","value":"4026"},{"id":130,"name":"Impact","value":""},{"id":150,"name":"Time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2"/>
        <v>start /low /b %USERPROFILE%\Documents\GitHub\eaglep3\Utilities\DownloadLogsFromS3.py --loco 4026 --day 2017-05-18</v>
      </c>
      <c r="AN194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787</v>
      </c>
      <c r="B195" s="7">
        <v>4025</v>
      </c>
      <c r="C195" s="21" t="s">
        <v>206</v>
      </c>
      <c r="D195" s="21" t="s">
        <v>1006</v>
      </c>
      <c r="E195" s="13">
        <v>42873.776087962964</v>
      </c>
      <c r="F195" s="13">
        <v>42873.777708333335</v>
      </c>
      <c r="G195" s="7">
        <v>1</v>
      </c>
      <c r="H195" s="21" t="s">
        <v>993</v>
      </c>
      <c r="I195" s="13">
        <v>42873.790150462963</v>
      </c>
      <c r="J195" s="7">
        <v>0</v>
      </c>
      <c r="K195" s="92" t="str">
        <f t="shared" si="47"/>
        <v>4025/4026</v>
      </c>
      <c r="L195" s="21" t="str">
        <f>VLOOKUP(A195,'Trips&amp;Operators'!$C$1:$G$99999,5,FALSE)</f>
        <v>BIRENBAUM THOMAS</v>
      </c>
      <c r="M195" s="6">
        <f t="shared" si="48"/>
        <v>1.244212962774327E-2</v>
      </c>
      <c r="N195" s="7">
        <f t="shared" si="66"/>
        <v>17.916666663950309</v>
      </c>
      <c r="O195" s="7"/>
      <c r="P195" s="7"/>
      <c r="Q195" s="22"/>
      <c r="R195" s="190"/>
      <c r="S195" s="196">
        <f t="shared" si="49"/>
        <v>1</v>
      </c>
      <c r="T195" s="190" t="str">
        <f t="shared" si="50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1"/>
        <v>https://d0f6bd738d7f1b3e5a7ca70fe4ff75f0.us-east-1.aws.found.io/app/kibana#/discover/Steve-Slow-Train-Analysis-(2080s-and-2083s)?_g=(refreshInterval:(display:Off,pause:!f,section:0,value:0),time:(from:'2017-05-18T17:37:34-0600',mode:absolute,to:'2017-05-18T19:57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92" t="str">
        <f t="shared" si="52"/>
        <v>N</v>
      </c>
      <c r="X195" s="192">
        <f t="shared" si="67"/>
        <v>1</v>
      </c>
      <c r="Y195" s="192">
        <f t="shared" si="53"/>
        <v>5.8648999999999996</v>
      </c>
      <c r="Z195" s="192">
        <f t="shared" si="54"/>
        <v>6.9900000000000004E-2</v>
      </c>
      <c r="AA195" s="192">
        <f t="shared" si="55"/>
        <v>5.7949999999999999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6"/>
        <v>0838-18</v>
      </c>
      <c r="AE195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95" s="77" t="str">
        <f t="shared" si="58"/>
        <v>"C:\Program Files (x86)\AstroGrep\AstroGrep.exe" /e /r /s /spath="%USERPROFILE%\AppData\Local\Temp\OnboardLogs" /stypes="app*4025*20170519*" /stext=" 00:.+((SYSTEM_STATE.+slice.+state.+changed )|(ment ac)|(multiple cpu faults)|(system.+state.+changed )|(\[timeout)|(PRM\|1\|D)|(kpr)|(kdp)|(train st.+moving)|(\|lc)|(penalty))"</v>
      </c>
      <c r="AG195" s="1" t="str">
        <f t="shared" si="59"/>
        <v>NW</v>
      </c>
      <c r="AH195" s="81" t="str">
        <f t="shared" si="60"/>
        <v>"%USERPROFILE%\Documents\GitHub\eaglep3\Utilities\RefineRTDCRunTimes.py" --tripid 838-18 --locoid 4025 --swversion DE.1.0.9.0 --startMP 300:58649 --initTime 2017-05-18T18:37:34 --startdatetime 2017-05-18T18:39:54 --delay 1 --endMP 204:699 --enddatetime 2017-05-18T18:57:49 --enforcementcount 0 &gt;&gt;C:\Users\stu\Documents\GitHub\eaglep3-reporting\EC\2017-05-18-refined-times.txt</v>
      </c>
      <c r="AI195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{"issue":{"subject":"","project_id":79,"tracker_id":40,"status_id":1,"priority_id":2,"assigned_to_id":23,"start_date":"2017-05-18","description":"","custom_fields":[{"id":1,"name":"Subdivision","value":"NW"},{"id":4,"name":"Milepost","value":"0.0699"},{"id":17,"name":"Train ID","value":"838-18"},{"id":16,"name":"Locomotive ID","value":"4025"},{"id":130,"name":"Impact","value":""},{"id":150,"name":"Time of Event (Mountain Time)","value":"18:57:49"},{"id":151,"name":"Denver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2"/>
        <v>start /low /b %USERPROFILE%\Documents\GitHub\eaglep3\Utilities\DownloadLogsFromS3.py --loco 4025 --day 2017-05-18</v>
      </c>
      <c r="AN195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00:57:49"},{"id":29,"name":"Sharepoint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609</v>
      </c>
      <c r="B196" s="7">
        <v>4012</v>
      </c>
      <c r="C196" s="21" t="s">
        <v>206</v>
      </c>
      <c r="D196" s="21" t="s">
        <v>1007</v>
      </c>
      <c r="E196" s="13">
        <v>42873.783425925925</v>
      </c>
      <c r="F196" s="13">
        <v>42873.785671296297</v>
      </c>
      <c r="G196" s="7">
        <v>1</v>
      </c>
      <c r="H196" s="21" t="s">
        <v>510</v>
      </c>
      <c r="I196" s="13">
        <v>42873.796064814815</v>
      </c>
      <c r="J196" s="7">
        <v>0</v>
      </c>
      <c r="K196" s="92" t="str">
        <f t="shared" si="47"/>
        <v>4011/4012</v>
      </c>
      <c r="L196" s="21" t="str">
        <f>VLOOKUP(A196,'Trips&amp;Operators'!$C$1:$G$99999,5,FALSE)</f>
        <v>THOMPSON LESTER</v>
      </c>
      <c r="M196" s="6">
        <f t="shared" si="48"/>
        <v>1.0393518517958E-2</v>
      </c>
      <c r="N196" s="7">
        <f t="shared" si="66"/>
        <v>14.96666666585952</v>
      </c>
      <c r="O196" s="7"/>
      <c r="P196" s="7"/>
      <c r="Q196" s="22"/>
      <c r="R196" s="190"/>
      <c r="S196" s="196">
        <f t="shared" si="49"/>
        <v>1</v>
      </c>
      <c r="T196" s="190" t="str">
        <f t="shared" si="50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1"/>
        <v>https://d0f6bd738d7f1b3e5a7ca70fe4ff75f0.us-east-1.aws.found.io/app/kibana#/discover/Steve-Slow-Train-Analysis-(2080s-and-2083s)?_g=(refreshInterval:(display:Off,pause:!f,section:0,value:0),time:(from:'2017-05-18T17:48:08-0600',mode:absolute,to:'2017-05-18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192" t="str">
        <f t="shared" si="52"/>
        <v>N</v>
      </c>
      <c r="X196" s="192">
        <f t="shared" si="67"/>
        <v>1</v>
      </c>
      <c r="Y196" s="192">
        <f t="shared" si="53"/>
        <v>9.8299999999999998E-2</v>
      </c>
      <c r="Z196" s="192">
        <f t="shared" si="54"/>
        <v>5.8940999999999999</v>
      </c>
      <c r="AA196" s="192">
        <f t="shared" si="55"/>
        <v>5.7957999999999998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6"/>
        <v>0839-18</v>
      </c>
      <c r="AE196" s="80" t="str">
        <f t="shared" si="57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196" s="77" t="str">
        <f t="shared" si="58"/>
        <v>"C:\Program Files (x86)\AstroGrep\AstroGrep.exe" /e /r /s /spath="%USERPROFILE%\AppData\Local\Temp\OnboardLogs" /stypes="app*4012*20170519*" /stext=" 01:.+((SYSTEM_STATE.+slice.+state.+changed )|(ment ac)|(multiple cpu faults)|(system.+state.+changed )|(\[timeout)|(PRM\|1\|D)|(kpr)|(kdp)|(train st.+moving)|(\|lc)|(penalty))"</v>
      </c>
      <c r="AG196" s="1" t="str">
        <f t="shared" si="59"/>
        <v>NW</v>
      </c>
      <c r="AH196" s="81" t="str">
        <f t="shared" si="60"/>
        <v>"%USERPROFILE%\Documents\GitHub\eaglep3\Utilities\RefineRTDCRunTimes.py" --tripid 839-18 --locoid 4012 --swversion DE.1.0.9.0 --startMP 204:983 --initTime 2017-05-18T18:48:08 --startdatetime 2017-05-18T18:51:22 --delay 1 --endMP 300:58941 --enddatetime 2017-05-18T19:06:20 --enforcementcount 0 &gt;&gt;C:\Users\stu\Documents\GitHub\eaglep3-reporting\EC\2017-05-18-refined-times.txt</v>
      </c>
      <c r="AI196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{"issue":{"subject":"","project_id":79,"tracker_id":40,"status_id":1,"priority_id":2,"assigned_to_id":23,"start_date":"2017-05-18","description":"","custom_fields":[{"id":1,"name":"Subdivision","value":"NW"},{"id":4,"name":"Milepost","value":"5.8941"},{"id":17,"name":"Train ID","value":"839-18"},{"id":16,"name":"Locomotive ID","value":"4012"},{"id":130,"name":"Impact","value":""},{"id":150,"name":"Time of Event (Mountain Time)","value":"19:06:20"},{"id":151,"name":"Denver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62"/>
        <v>start /low /b %USERPROFILE%\Documents\GitHub\eaglep3\Utilities\DownloadLogsFromS3.py --loco 4012 --day 2017-05-18</v>
      </c>
      <c r="AN196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799</v>
      </c>
      <c r="B197" s="7">
        <v>4025</v>
      </c>
      <c r="C197" s="21" t="s">
        <v>206</v>
      </c>
      <c r="D197" s="21" t="s">
        <v>999</v>
      </c>
      <c r="E197" s="13">
        <v>42873.81690972222</v>
      </c>
      <c r="F197" s="13">
        <v>42873.818113425928</v>
      </c>
      <c r="G197" s="7">
        <v>0</v>
      </c>
      <c r="H197" s="21" t="s">
        <v>1004</v>
      </c>
      <c r="I197" s="13">
        <v>42873.830787037034</v>
      </c>
      <c r="J197" s="7">
        <v>0</v>
      </c>
      <c r="K197" s="92" t="str">
        <f t="shared" si="47"/>
        <v>4025/4026</v>
      </c>
      <c r="L197" s="21" t="str">
        <f>VLOOKUP(A197,'Trips&amp;Operators'!$C$1:$G$99999,5,FALSE)</f>
        <v>BIRENBAUM THOMAS</v>
      </c>
      <c r="M197" s="6">
        <f t="shared" si="48"/>
        <v>1.2673611105128657E-2</v>
      </c>
      <c r="N197" s="7">
        <f t="shared" si="66"/>
        <v>18.249999991385266</v>
      </c>
      <c r="O197" s="7"/>
      <c r="P197" s="7"/>
      <c r="Q197" s="22"/>
      <c r="R197" s="190"/>
      <c r="S197" s="196">
        <f t="shared" si="49"/>
        <v>1</v>
      </c>
      <c r="T197" s="190" t="str">
        <f t="shared" si="50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1"/>
        <v>https://d0f6bd738d7f1b3e5a7ca70fe4ff75f0.us-east-1.aws.found.io/app/kibana#/discover/Steve-Slow-Train-Analysis-(2080s-and-2083s)?_g=(refreshInterval:(display:Off,pause:!f,section:0,value:0),time:(from:'2017-05-18T18:36:21-0600',mode:absolute,to:'2017-05-18T20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7" s="192" t="str">
        <f t="shared" si="52"/>
        <v>N</v>
      </c>
      <c r="X197" s="192">
        <f t="shared" si="67"/>
        <v>1</v>
      </c>
      <c r="Y197" s="192">
        <f t="shared" si="53"/>
        <v>5.8639999999999999</v>
      </c>
      <c r="Z197" s="192">
        <f t="shared" si="54"/>
        <v>6.8900000000000003E-2</v>
      </c>
      <c r="AA197" s="192">
        <f t="shared" si="55"/>
        <v>5.7950999999999997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6"/>
        <v>0840-18</v>
      </c>
      <c r="AE197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97" s="77" t="str">
        <f t="shared" si="58"/>
        <v>"C:\Program Files (x86)\AstroGrep\AstroGrep.exe" /e /r /s /spath="%USERPROFILE%\AppData\Local\Temp\OnboardLogs" /stypes="app*4025*20170519*" /stext=" 01:.+((SYSTEM_STATE.+slice.+state.+changed )|(ment ac)|(multiple cpu faults)|(system.+state.+changed )|(\[timeout)|(PRM\|1\|D)|(kpr)|(kdp)|(train st.+moving)|(\|lc)|(penalty))"</v>
      </c>
      <c r="AG197" s="1" t="str">
        <f t="shared" si="59"/>
        <v>NW</v>
      </c>
      <c r="AH197" s="81" t="str">
        <f t="shared" si="60"/>
        <v>"%USERPROFILE%\Documents\GitHub\eaglep3\Utilities\RefineRTDCRunTimes.py" --tripid 840-18 --locoid 4025 --swversion DE.1.0.9.0 --startMP 300:58640 --initTime 2017-05-18T19:36:21 --startdatetime 2017-05-18T19:38:05 --delay 0 --endMP 204:689 --enddatetime 2017-05-18T19:56:20 --enforcementcount 0 &gt;&gt;C:\Users\stu\Documents\GitHub\eaglep3-reporting\EC\2017-05-18-refined-times.txt</v>
      </c>
      <c r="AI197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{"issue":{"subject":"","project_id":79,"tracker_id":40,"status_id":1,"priority_id":2,"assigned_to_id":23,"start_date":"2017-05-18","description":"","custom_fields":[{"id":1,"name":"Subdivision","value":"NW"},{"id":4,"name":"Milepost","value":"0.0689"},{"id":17,"name":"Train ID","value":"840-18"},{"id":16,"name":"Locomotive ID","value":"4025"},{"id":130,"name":"Impact","value":""},{"id":150,"name":"Time of Event (Mountain Time)","value":"19:56:20"},{"id":151,"name":"Denver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2"/>
        <v>start /low /b %USERPROFILE%\Documents\GitHub\eaglep3\Utilities\DownloadLogsFromS3.py --loco 4025 --day 2017-05-18</v>
      </c>
      <c r="AN197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795</v>
      </c>
      <c r="B198" s="7">
        <v>4026</v>
      </c>
      <c r="C198" s="21" t="s">
        <v>206</v>
      </c>
      <c r="D198" s="21" t="s">
        <v>974</v>
      </c>
      <c r="E198" s="13">
        <v>42873.802847222221</v>
      </c>
      <c r="F198" s="13">
        <v>42873.806458333333</v>
      </c>
      <c r="G198" s="7">
        <v>2</v>
      </c>
      <c r="H198" s="21" t="s">
        <v>1008</v>
      </c>
      <c r="I198" s="13">
        <v>42873.815729166665</v>
      </c>
      <c r="J198" s="7">
        <v>0</v>
      </c>
      <c r="K198" s="92" t="str">
        <f t="shared" si="47"/>
        <v>4025/4026</v>
      </c>
      <c r="L198" s="21" t="str">
        <f>VLOOKUP(A198,'Trips&amp;Operators'!$C$1:$G$99999,5,FALSE)</f>
        <v>BIRENBAUM THOMAS</v>
      </c>
      <c r="M198" s="6">
        <f t="shared" si="48"/>
        <v>9.2708333322661929E-3</v>
      </c>
      <c r="N198" s="7">
        <f t="shared" ref="N198:N229" si="68">24*60*SUM($M198:$M198)</f>
        <v>13.349999998463318</v>
      </c>
      <c r="O198" s="7"/>
      <c r="P198" s="7"/>
      <c r="Q198" s="22"/>
      <c r="R198" s="190"/>
      <c r="S198" s="196">
        <f t="shared" si="49"/>
        <v>1</v>
      </c>
      <c r="T198" s="190" t="str">
        <f t="shared" si="50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1"/>
        <v>https://d0f6bd738d7f1b3e5a7ca70fe4ff75f0.us-east-1.aws.found.io/app/kibana#/discover/Steve-Slow-Train-Analysis-(2080s-and-2083s)?_g=(refreshInterval:(display:Off,pause:!f,section:0,value:0),time:(from:'2017-05-18T18:16:06-0600',mode:absolute,to:'2017-05-18T20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8" s="192" t="str">
        <f t="shared" si="52"/>
        <v>N</v>
      </c>
      <c r="X198" s="192">
        <f t="shared" si="67"/>
        <v>1</v>
      </c>
      <c r="Y198" s="192">
        <f t="shared" si="53"/>
        <v>9.7100000000000006E-2</v>
      </c>
      <c r="Z198" s="192">
        <f t="shared" si="54"/>
        <v>5.8963000000000001</v>
      </c>
      <c r="AA198" s="192">
        <f t="shared" si="55"/>
        <v>5.7991999999999999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6"/>
        <v>0841-18</v>
      </c>
      <c r="AE198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198" s="77" t="str">
        <f t="shared" si="58"/>
        <v>"C:\Program Files (x86)\AstroGrep\AstroGrep.exe" /e /r /s /spath="%USERPROFILE%\AppData\Local\Temp\OnboardLogs" /stypes="app*4026*20170519*" /stext=" 01:.+((SYSTEM_STATE.+slice.+state.+changed )|(ment ac)|(multiple cpu faults)|(system.+state.+changed )|(\[timeout)|(PRM\|1\|D)|(kpr)|(kdp)|(train st.+moving)|(\|lc)|(penalty))"</v>
      </c>
      <c r="AG198" s="1" t="str">
        <f t="shared" si="59"/>
        <v>NW</v>
      </c>
      <c r="AH198" s="81" t="str">
        <f t="shared" si="60"/>
        <v>"%USERPROFILE%\Documents\GitHub\eaglep3\Utilities\RefineRTDCRunTimes.py" --tripid 841-18 --locoid 4026 --swversion DE.1.0.9.0 --startMP 204:971 --initTime 2017-05-18T19:16:06 --startdatetime 2017-05-18T19:21:18 --delay 2 --endMP 300:58963 --enddatetime 2017-05-18T19:34:39 --enforcementcount 0 &gt;&gt;C:\Users\stu\Documents\GitHub\eaglep3-reporting\EC\2017-05-18-refined-times.txt</v>
      </c>
      <c r="AI198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{"issue":{"subject":"","project_id":79,"tracker_id":40,"status_id":1,"priority_id":2,"assigned_to_id":23,"start_date":"2017-05-18","description":"","custom_fields":[{"id":1,"name":"Subdivision","value":"NW"},{"id":4,"name":"Milepost","value":"5.8963"},{"id":17,"name":"Train ID","value":"841-18"},{"id":16,"name":"Locomotive ID","value":"4026"},{"id":130,"name":"Impact","value":""},{"id":150,"name":"Time of Event (Mountain Time)","value":"19:34:39"},{"id":151,"name":"Denver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2"/>
        <v>start /low /b %USERPROFILE%\Documents\GitHub\eaglep3\Utilities\DownloadLogsFromS3.py --loco 4026 --day 2017-05-18</v>
      </c>
      <c r="AN198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808</v>
      </c>
      <c r="B199" s="7">
        <v>4025</v>
      </c>
      <c r="C199" s="21" t="s">
        <v>206</v>
      </c>
      <c r="D199" s="21" t="s">
        <v>573</v>
      </c>
      <c r="E199" s="13">
        <v>42873.859131944446</v>
      </c>
      <c r="F199" s="13">
        <v>42873.860509259262</v>
      </c>
      <c r="G199" s="7">
        <v>1</v>
      </c>
      <c r="H199" s="21" t="s">
        <v>997</v>
      </c>
      <c r="I199" s="13">
        <v>42873.87128472222</v>
      </c>
      <c r="J199" s="7">
        <v>0</v>
      </c>
      <c r="K199" s="92" t="str">
        <f t="shared" si="47"/>
        <v>4025/4026</v>
      </c>
      <c r="L199" s="21" t="str">
        <f>VLOOKUP(A199,'Trips&amp;Operators'!$C$1:$G$99999,5,FALSE)</f>
        <v>BIRENBAUM THOMAS</v>
      </c>
      <c r="M199" s="6">
        <f t="shared" si="48"/>
        <v>1.077546295709908E-2</v>
      </c>
      <c r="N199" s="7">
        <f t="shared" si="68"/>
        <v>15.516666658222675</v>
      </c>
      <c r="O199" s="7"/>
      <c r="P199" s="7"/>
      <c r="Q199" s="22"/>
      <c r="R199" s="190"/>
      <c r="S199" s="196">
        <f t="shared" si="49"/>
        <v>1</v>
      </c>
      <c r="T199" s="190" t="str">
        <f t="shared" si="50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1"/>
        <v>https://d0f6bd738d7f1b3e5a7ca70fe4ff75f0.us-east-1.aws.found.io/app/kibana#/discover/Steve-Slow-Train-Analysis-(2080s-and-2083s)?_g=(refreshInterval:(display:Off,pause:!f,section:0,value:0),time:(from:'2017-05-18T19:37:09-0600',mode:absolute,to:'2017-05-18T21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192" t="str">
        <f t="shared" si="52"/>
        <v>N</v>
      </c>
      <c r="X199" s="192">
        <f t="shared" si="67"/>
        <v>1</v>
      </c>
      <c r="Y199" s="192">
        <f t="shared" si="53"/>
        <v>5.8623000000000003</v>
      </c>
      <c r="Z199" s="192">
        <f t="shared" si="54"/>
        <v>7.0099999999999996E-2</v>
      </c>
      <c r="AA199" s="192">
        <f t="shared" si="55"/>
        <v>5.7922000000000002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6"/>
        <v>0842-18</v>
      </c>
      <c r="AE199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199" s="77" t="str">
        <f t="shared" si="58"/>
        <v>"C:\Program Files (x86)\AstroGrep\AstroGrep.exe" /e /r /s /spath="%USERPROFILE%\AppData\Local\Temp\OnboardLogs" /stypes="app*4025*20170519*" /stext=" 02:.+((SYSTEM_STATE.+slice.+state.+changed )|(ment ac)|(multiple cpu faults)|(system.+state.+changed )|(\[timeout)|(PRM\|1\|D)|(kpr)|(kdp)|(train st.+moving)|(\|lc)|(penalty))"</v>
      </c>
      <c r="AG199" s="1" t="str">
        <f t="shared" si="59"/>
        <v>NW</v>
      </c>
      <c r="AH199" s="81" t="str">
        <f t="shared" si="60"/>
        <v>"%USERPROFILE%\Documents\GitHub\eaglep3\Utilities\RefineRTDCRunTimes.py" --tripid 842-18 --locoid 4025 --swversion DE.1.0.9.0 --startMP 300:58623 --initTime 2017-05-18T20:37:09 --startdatetime 2017-05-18T20:39:08 --delay 1 --endMP 204:701 --enddatetime 2017-05-18T20:54:39 --enforcementcount 0 &gt;&gt;C:\Users\stu\Documents\GitHub\eaglep3-reporting\EC\2017-05-18-refined-times.txt</v>
      </c>
      <c r="AI199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{"issue":{"subject":"","project_id":79,"tracker_id":40,"status_id":1,"priority_id":2,"assigned_to_id":23,"start_date":"2017-05-18","description":"","custom_fields":[{"id":1,"name":"Subdivision","value":"NW"},{"id":4,"name":"Milepost","value":"0.0701"},{"id":17,"name":"Train ID","value":"842-18"},{"id":16,"name":"Locomotive ID","value":"4025"},{"id":130,"name":"Impact","value":""},{"id":150,"name":"Time of Event (Mountain Time)","value":"20:54:39"},{"id":151,"name":"Denver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2"/>
        <v>start /low /b %USERPROFILE%\Documents\GitHub\eaglep3\Utilities\DownloadLogsFromS3.py --loco 4025 --day 2017-05-18</v>
      </c>
      <c r="AN199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806</v>
      </c>
      <c r="B200" s="7">
        <v>4026</v>
      </c>
      <c r="C200" s="21" t="s">
        <v>206</v>
      </c>
      <c r="D200" s="21" t="s">
        <v>982</v>
      </c>
      <c r="E200" s="13">
        <v>42873.845034722224</v>
      </c>
      <c r="F200" s="13">
        <v>42873.848043981481</v>
      </c>
      <c r="G200" s="7">
        <v>1</v>
      </c>
      <c r="H200" s="21" t="s">
        <v>510</v>
      </c>
      <c r="I200" s="13">
        <v>42873.857673611114</v>
      </c>
      <c r="J200" s="7">
        <v>0</v>
      </c>
      <c r="K200" s="92" t="str">
        <f t="shared" si="47"/>
        <v>4025/4026</v>
      </c>
      <c r="L200" s="21" t="str">
        <f>VLOOKUP(A200,'Trips&amp;Operators'!$C$1:$G$99999,5,FALSE)</f>
        <v>BIRENBAUM THOMAS</v>
      </c>
      <c r="M200" s="6">
        <f t="shared" si="48"/>
        <v>9.6296296323998831E-3</v>
      </c>
      <c r="N200" s="7">
        <f t="shared" si="68"/>
        <v>13.866666670655832</v>
      </c>
      <c r="O200" s="7"/>
      <c r="P200" s="7"/>
      <c r="Q200" s="22"/>
      <c r="R200" s="190"/>
      <c r="S200" s="196">
        <f t="shared" si="49"/>
        <v>1</v>
      </c>
      <c r="T200" s="190" t="str">
        <f t="shared" si="50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1"/>
        <v>https://d0f6bd738d7f1b3e5a7ca70fe4ff75f0.us-east-1.aws.found.io/app/kibana#/discover/Steve-Slow-Train-Analysis-(2080s-and-2083s)?_g=(refreshInterval:(display:Off,pause:!f,section:0,value:0),time:(from:'2017-05-18T19:16:51-0600',mode:absolute,to:'2017-05-18T21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0" s="192" t="str">
        <f t="shared" si="52"/>
        <v>N</v>
      </c>
      <c r="X200" s="192">
        <f t="shared" si="67"/>
        <v>1</v>
      </c>
      <c r="Y200" s="192">
        <f t="shared" si="53"/>
        <v>9.8599999999999993E-2</v>
      </c>
      <c r="Z200" s="192">
        <f t="shared" si="54"/>
        <v>5.8940999999999999</v>
      </c>
      <c r="AA200" s="192">
        <f t="shared" si="55"/>
        <v>5.7954999999999997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6"/>
        <v>0843-18</v>
      </c>
      <c r="AE200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200" s="77" t="str">
        <f t="shared" si="58"/>
        <v>"C:\Program Files (x86)\AstroGrep\AstroGrep.exe" /e /r /s /spath="%USERPROFILE%\AppData\Local\Temp\OnboardLogs" /stypes="app*4026*20170519*" /stext=" 02:.+((SYSTEM_STATE.+slice.+state.+changed )|(ment ac)|(multiple cpu faults)|(system.+state.+changed )|(\[timeout)|(PRM\|1\|D)|(kpr)|(kdp)|(train st.+moving)|(\|lc)|(penalty))"</v>
      </c>
      <c r="AG200" s="1" t="str">
        <f t="shared" si="59"/>
        <v>NW</v>
      </c>
      <c r="AH200" s="81" t="str">
        <f t="shared" si="60"/>
        <v>"%USERPROFILE%\Documents\GitHub\eaglep3\Utilities\RefineRTDCRunTimes.py" --tripid 843-18 --locoid 4026 --swversion DE.1.0.9.0 --startMP 204:986 --initTime 2017-05-18T20:16:51 --startdatetime 2017-05-18T20:21:11 --delay 1 --endMP 300:58941 --enddatetime 2017-05-18T20:35:03 --enforcementcount 0 &gt;&gt;C:\Users\stu\Documents\GitHub\eaglep3-reporting\EC\2017-05-18-refined-times.txt</v>
      </c>
      <c r="AI200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{"issue":{"subject":"","project_id":79,"tracker_id":40,"status_id":1,"priority_id":2,"assigned_to_id":23,"start_date":"2017-05-18","description":"","custom_fields":[{"id":1,"name":"Subdivision","value":"NW"},{"id":4,"name":"Milepost","value":"5.8941"},{"id":17,"name":"Train ID","value":"843-18"},{"id":16,"name":"Locomotive ID","value":"4026"},{"id":130,"name":"Impact","value":""},{"id":150,"name":"Time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2"/>
        <v>start /low /b %USERPROFILE%\Documents\GitHub\eaglep3\Utilities\DownloadLogsFromS3.py --loco 4026 --day 2017-05-18</v>
      </c>
      <c r="AN200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02:35:03"},{"id":29,"name":"Sharepoint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612</v>
      </c>
      <c r="B201" s="7">
        <v>4025</v>
      </c>
      <c r="C201" s="21" t="s">
        <v>206</v>
      </c>
      <c r="D201" s="21" t="s">
        <v>507</v>
      </c>
      <c r="E201" s="13">
        <v>42873.902407407404</v>
      </c>
      <c r="F201" s="13">
        <v>42873.904189814813</v>
      </c>
      <c r="G201" s="7">
        <v>1</v>
      </c>
      <c r="H201" s="21" t="s">
        <v>977</v>
      </c>
      <c r="I201" s="13">
        <v>42873.915590277778</v>
      </c>
      <c r="J201" s="7">
        <v>0</v>
      </c>
      <c r="K201" s="92" t="str">
        <f t="shared" si="47"/>
        <v>4025/4026</v>
      </c>
      <c r="L201" s="21" t="str">
        <f>VLOOKUP(A201,'Trips&amp;Operators'!$C$1:$G$99999,5,FALSE)</f>
        <v>THOMPSON LESTER</v>
      </c>
      <c r="M201" s="6">
        <f t="shared" si="48"/>
        <v>1.1400462964957114E-2</v>
      </c>
      <c r="N201" s="7">
        <f t="shared" si="68"/>
        <v>16.416666669538245</v>
      </c>
      <c r="O201" s="7"/>
      <c r="P201" s="7"/>
      <c r="Q201" s="22"/>
      <c r="R201" s="190"/>
      <c r="S201" s="196">
        <f t="shared" si="49"/>
        <v>1</v>
      </c>
      <c r="T201" s="190" t="str">
        <f t="shared" si="50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1"/>
        <v>https://d0f6bd738d7f1b3e5a7ca70fe4ff75f0.us-east-1.aws.found.io/app/kibana#/discover/Steve-Slow-Train-Analysis-(2080s-and-2083s)?_g=(refreshInterval:(display:Off,pause:!f,section:0,value:0),time:(from:'2017-05-18T20:39:28-0600',mode:absolute,to:'2017-05-18T22:58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1" s="192" t="str">
        <f t="shared" si="52"/>
        <v>N</v>
      </c>
      <c r="X201" s="192">
        <f t="shared" si="67"/>
        <v>1</v>
      </c>
      <c r="Y201" s="192">
        <f t="shared" si="53"/>
        <v>5.8619000000000003</v>
      </c>
      <c r="Z201" s="192">
        <f t="shared" si="54"/>
        <v>7.0800000000000002E-2</v>
      </c>
      <c r="AA201" s="192">
        <f t="shared" si="55"/>
        <v>5.7911000000000001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6"/>
        <v>0844-18</v>
      </c>
      <c r="AE201" s="80" t="str">
        <f t="shared" si="57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201" s="77" t="str">
        <f t="shared" si="58"/>
        <v>"C:\Program Files (x86)\AstroGrep\AstroGrep.exe" /e /r /s /spath="%USERPROFILE%\AppData\Local\Temp\OnboardLogs" /stypes="app*4025*20170519*" /stext=" 03:.+((SYSTEM_STATE.+slice.+state.+changed )|(ment ac)|(multiple cpu faults)|(system.+state.+changed )|(\[timeout)|(PRM\|1\|D)|(kpr)|(kdp)|(train st.+moving)|(\|lc)|(penalty))"</v>
      </c>
      <c r="AG201" s="1" t="str">
        <f t="shared" si="59"/>
        <v>NW</v>
      </c>
      <c r="AH201" s="81" t="str">
        <f t="shared" si="60"/>
        <v>"%USERPROFILE%\Documents\GitHub\eaglep3\Utilities\RefineRTDCRunTimes.py" --tripid 844-18 --locoid 4025 --swversion DE.1.0.9.0 --startMP 300:58619 --initTime 2017-05-18T21:39:28 --startdatetime 2017-05-18T21:42:02 --delay 1 --endMP 204:708 --enddatetime 2017-05-18T21:58:27 --enforcementcount 0 &gt;&gt;C:\Users\stu\Documents\GitHub\eaglep3-reporting\EC\2017-05-18-refined-times.txt</v>
      </c>
      <c r="AI201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{"issue":{"subject":"","project_id":79,"tracker_id":40,"status_id":1,"priority_id":2,"assigned_to_id":23,"start_date":"2017-05-18","description":"","custom_fields":[{"id":1,"name":"Subdivision","value":"NW"},{"id":4,"name":"Milepost","value":"0.0708"},{"id":17,"name":"Train ID","value":"844-18"},{"id":16,"name":"Locomotive ID","value":"4025"},{"id":130,"name":"Impact","value":""},{"id":150,"name":"Time of Event (Mountain Time)","value":"21:58:27"},{"id":151,"name":"Denver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2"/>
        <v>start /low /b %USERPROFILE%\Documents\GitHub\eaglep3\Utilities\DownloadLogsFromS3.py --loco 4025 --day 2017-05-18</v>
      </c>
      <c r="AN201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03:58:27"},{"id":29,"name":"Sharepoint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811</v>
      </c>
      <c r="B202" s="7">
        <v>4026</v>
      </c>
      <c r="C202" s="21" t="s">
        <v>206</v>
      </c>
      <c r="D202" s="21" t="s">
        <v>1009</v>
      </c>
      <c r="E202" s="13">
        <v>42873.875416666669</v>
      </c>
      <c r="F202" s="13">
        <v>42873.875358796293</v>
      </c>
      <c r="G202" s="7">
        <v>21</v>
      </c>
      <c r="H202" s="21" t="s">
        <v>1010</v>
      </c>
      <c r="I202" s="13">
        <v>42873.901273148149</v>
      </c>
      <c r="J202" s="7">
        <v>0</v>
      </c>
      <c r="K202" s="92" t="str">
        <f t="shared" si="47"/>
        <v>4025/4026</v>
      </c>
      <c r="L202" s="21" t="str">
        <f>VLOOKUP(A202,'Trips&amp;Operators'!$C$1:$G$99999,5,FALSE)</f>
        <v>THOMPSON LESTER</v>
      </c>
      <c r="M202" s="6">
        <f t="shared" si="48"/>
        <v>2.5914351856044959E-2</v>
      </c>
      <c r="N202" s="7">
        <f t="shared" si="68"/>
        <v>37.316666672704741</v>
      </c>
      <c r="O202" s="7"/>
      <c r="P202" s="7"/>
      <c r="Q202" s="22"/>
      <c r="R202" s="190" t="s">
        <v>1051</v>
      </c>
      <c r="S202" s="196">
        <f t="shared" si="49"/>
        <v>1</v>
      </c>
      <c r="T202" s="190" t="str">
        <f t="shared" si="50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1"/>
        <v>https://d0f6bd738d7f1b3e5a7ca70fe4ff75f0.us-east-1.aws.found.io/app/kibana#/discover/Steve-Slow-Train-Analysis-(2080s-and-2083s)?_g=(refreshInterval:(display:Off,pause:!f,section:0,value:0),time:(from:'2017-05-18T20:00:36-0600',mode:absolute,to:'2017-05-18T22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2" s="192" t="str">
        <f t="shared" si="52"/>
        <v>N</v>
      </c>
      <c r="X202" s="192">
        <f t="shared" si="67"/>
        <v>1</v>
      </c>
      <c r="Y202" s="192">
        <f t="shared" si="53"/>
        <v>9.9900000000000003E-2</v>
      </c>
      <c r="Z202" s="192">
        <f t="shared" si="54"/>
        <v>5.8949999999999996</v>
      </c>
      <c r="AA202" s="192">
        <f t="shared" si="55"/>
        <v>5.7950999999999997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6"/>
        <v>0845-18</v>
      </c>
      <c r="AE202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202" s="77" t="str">
        <f t="shared" si="58"/>
        <v>"C:\Program Files (x86)\AstroGrep\AstroGrep.exe" /e /r /s /spath="%USERPROFILE%\AppData\Local\Temp\OnboardLogs" /stypes="app*4026*20170519*" /stext=" 03:.+((SYSTEM_STATE.+slice.+state.+changed )|(ment ac)|(multiple cpu faults)|(system.+state.+changed )|(\[timeout)|(PRM\|1\|D)|(kpr)|(kdp)|(train st.+moving)|(\|lc)|(penalty))"</v>
      </c>
      <c r="AG202" s="1" t="str">
        <f t="shared" si="59"/>
        <v>NW</v>
      </c>
      <c r="AH202" s="81" t="str">
        <f t="shared" si="60"/>
        <v>"%USERPROFILE%\Documents\GitHub\eaglep3\Utilities\RefineRTDCRunTimes.py" --tripid 845-18 --locoid 4026 --swversion DE.1.0.9.0 --startMP 204:999 --initTime 2017-05-18T21:00:36 --startdatetime 2017-05-18T21:00:31 --delay 21 --endMP 300:58950 --enddatetime 2017-05-18T21:37:50 --enforcementcount 0 &gt;&gt;C:\Users\stu\Documents\GitHub\eaglep3-reporting\EC\2017-05-18-refined-times.txt</v>
      </c>
      <c r="AI202" s="99" t="str">
        <f t="shared" si="61"/>
        <v>echo {"issue":{"subject":"Delayed by onboard in-route failure","project_id":79,"tracker_id":40,"status_id":1,"priority_id":2,"assigned_to_id":23,"start_date":"2017-05-18","description":"","custom_fields":[{"id":1,"name":"Subdivision","value":"NW"},{"id":4,"name":"Milepost","value":"5.895"},{"id":17,"name":"Train ID","value":"845-18"},{"id":16,"name":"Locomotive ID","value":"4026"},{"id":130,"name":"Impact","value":""},{"id":150,"name":"Time of Event (Mountain Time)","value":"21:37:50"},{"id":151,"name":"Denver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2"/>
        <v>start /low /b %USERPROFILE%\Documents\GitHub\eaglep3\Utilities\DownloadLogsFromS3.py --loco 4026 --day 2017-05-18</v>
      </c>
      <c r="AN202" s="154" t="str">
        <f t="shared" si="63"/>
        <v>echo {"issue":{"subject":"Delayed by onboard in-route failure","project_id":30,"tracker_id":4,"status_id":1,"priority_id":1,"assigned_to_id":10,"start_date":"2017-05-19","description":"","custom_fields":[{"id":30,"name":"Category","value":"Issue"},{"id":3,"name":"Functional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816</v>
      </c>
      <c r="B203" s="7">
        <v>4026</v>
      </c>
      <c r="C203" s="21" t="s">
        <v>206</v>
      </c>
      <c r="D203" s="21" t="s">
        <v>574</v>
      </c>
      <c r="E203" s="13">
        <v>42873.930358796293</v>
      </c>
      <c r="F203" s="13">
        <v>42873.931793981479</v>
      </c>
      <c r="G203" s="7">
        <v>1</v>
      </c>
      <c r="H203" s="21" t="s">
        <v>512</v>
      </c>
      <c r="I203" s="13">
        <v>42873.94190972222</v>
      </c>
      <c r="J203" s="7">
        <v>0</v>
      </c>
      <c r="K203" s="92" t="str">
        <f t="shared" si="47"/>
        <v>4025/4026</v>
      </c>
      <c r="L203" s="21" t="str">
        <f>VLOOKUP(A203,'Trips&amp;Operators'!$C$1:$G$99999,5,FALSE)</f>
        <v>THOMPSON LESTER</v>
      </c>
      <c r="M203" s="6">
        <f t="shared" si="48"/>
        <v>1.0115740740729962E-2</v>
      </c>
      <c r="N203" s="7">
        <f t="shared" si="68"/>
        <v>14.566666666651145</v>
      </c>
      <c r="O203" s="7"/>
      <c r="P203" s="7"/>
      <c r="Q203" s="22"/>
      <c r="R203" s="190"/>
      <c r="S203" s="196">
        <f t="shared" si="49"/>
        <v>1</v>
      </c>
      <c r="T203" s="190" t="str">
        <f t="shared" si="50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1"/>
        <v>https://d0f6bd738d7f1b3e5a7ca70fe4ff75f0.us-east-1.aws.found.io/app/kibana#/discover/Steve-Slow-Train-Analysis-(2080s-and-2083s)?_g=(refreshInterval:(display:Off,pause:!f,section:0,value:0),time:(from:'2017-05-18T21:19:43-0600',mode:absolute,to:'2017-05-18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92" t="str">
        <f t="shared" si="52"/>
        <v>N</v>
      </c>
      <c r="X203" s="192">
        <f t="shared" si="67"/>
        <v>2</v>
      </c>
      <c r="Y203" s="192">
        <f t="shared" si="53"/>
        <v>9.74E-2</v>
      </c>
      <c r="Z203" s="192">
        <f t="shared" si="54"/>
        <v>5.8943000000000003</v>
      </c>
      <c r="AA203" s="192">
        <f t="shared" si="55"/>
        <v>5.7968999999999999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6"/>
        <v>0847-18</v>
      </c>
      <c r="AE203" s="80" t="str">
        <f t="shared" si="57"/>
        <v>aws s3 cp s3://rtdc.mdm.uploadarchive.raw/RTDC4026/ "%USERPROFILE%\AppData\Local\Temp\OnboardLogs"\RTDC4026\2017-05-18 --exclude "*" --recursive --include "*20170518*" &amp; "%USERPROFILE%\Documents\GitHub\mrs-test-scripts\Headless Mode &amp; Sideloading\WalkAndUnGZ.bat" "%USERPROFILE%\AppData\Local\Temp\OnboardLogs"\RTDC4026\2017-05-18 &amp; 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</v>
      </c>
      <c r="AF203" s="77" t="str">
        <f t="shared" si="58"/>
        <v>"C:\Program Files (x86)\AstroGrep\AstroGrep.exe" /e /r /s /spath="%USERPROFILE%\AppData\Local\Temp\OnboardLogs" /stypes="app*4026*20170519*" /stext=" 04:.+((SYSTEM_STATE.+slice.+state.+changed )|(ment ac)|(multiple cpu faults)|(system.+state.+changed )|(\[timeout)|(PRM\|1\|D)|(kpr)|(kdp)|(train st.+moving)|(\|lc)|(penalty))"</v>
      </c>
      <c r="AG203" s="1" t="str">
        <f t="shared" si="59"/>
        <v>NW</v>
      </c>
      <c r="AH203" s="81" t="str">
        <f t="shared" si="60"/>
        <v>"%USERPROFILE%\Documents\GitHub\eaglep3\Utilities\RefineRTDCRunTimes.py" --tripid 847-18 --locoid 4026 --swversion DE.1.0.9.0 --startMP 204:974 --initTime 2017-05-18T22:19:43 --startdatetime 2017-05-18T22:21:47 --delay 1 --endMP 300:58943 --enddatetime 2017-05-18T22:36:21 --enforcementcount 0 &gt;&gt;C:\Users\stu\Documents\GitHub\eaglep3-reporting\EC\2017-05-18-refined-times.txt</v>
      </c>
      <c r="AI203" s="99" t="str">
        <f t="shared" si="61"/>
        <v>echo {"issue":{"subject":"","project_id":79,"tracker_id":40,"status_id":1,"priority_id":2,"assigned_to_id":23,"start_date":"2017-05-18","description":"","custom_fields":[{"id":1,"name":"Subdivision","value":"NW"},{"id":4,"name":"Milepost","value":"5.8943"},{"id":17,"name":"Train ID","value":"847-18"},{"id":16,"name":"Locomotive ID","value":"4026"},{"id":130,"name":"Impact","value":""},{"id":150,"name":"Time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2"/>
        <v>start /low /b %USERPROFILE%\Documents\GitHub\eaglep3\Utilities\DownloadLogsFromS3.py --loco 4026 --day 2017-05-18</v>
      </c>
      <c r="AN203" s="154" t="str">
        <f t="shared" si="63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619</v>
      </c>
      <c r="B204" s="7">
        <v>4029</v>
      </c>
      <c r="C204" s="21" t="s">
        <v>206</v>
      </c>
      <c r="D204" s="21" t="s">
        <v>925</v>
      </c>
      <c r="E204" s="13">
        <v>42873.117361111108</v>
      </c>
      <c r="F204" s="13">
        <v>42873.121620370373</v>
      </c>
      <c r="G204" s="7">
        <v>6</v>
      </c>
      <c r="H204" s="21" t="s">
        <v>377</v>
      </c>
      <c r="I204" s="13">
        <v>42873.127337962964</v>
      </c>
      <c r="J204" s="7">
        <v>0</v>
      </c>
      <c r="K204" s="92" t="str">
        <f t="shared" si="47"/>
        <v>4029/4030</v>
      </c>
      <c r="L204" s="21" t="str">
        <f>VLOOKUP(A204,'Trips&amp;Operators'!$C$1:$G$99999,5,FALSE)</f>
        <v>BADERTSCHER DIANE</v>
      </c>
      <c r="M204" s="6">
        <f t="shared" si="48"/>
        <v>5.7175925903720781E-3</v>
      </c>
      <c r="N204" s="7">
        <f t="shared" si="68"/>
        <v>8.2333333301357925</v>
      </c>
      <c r="O204" s="7"/>
      <c r="P204" s="7"/>
      <c r="Q204" s="22"/>
      <c r="R204" s="190"/>
      <c r="S204" s="196">
        <f t="shared" si="49"/>
        <v>1</v>
      </c>
      <c r="T204" s="190" t="str">
        <f t="shared" si="50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1"/>
        <v>https://d0f6bd738d7f1b3e5a7ca70fe4ff75f0.us-east-1.aws.found.io/app/kibana#/discover/Steve-Slow-Train-Analysis-(2080s-and-2083s)?_g=(refreshInterval:(display:Off,pause:!f,section:0,value:0),time:(from:'2017-05-18T01:49:00-0600',mode:absolute,to:'2017-05-18T04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4" s="192" t="str">
        <f t="shared" si="52"/>
        <v>Y</v>
      </c>
      <c r="X204" s="192">
        <f t="shared" si="67"/>
        <v>-545</v>
      </c>
      <c r="Y204" s="192">
        <f t="shared" si="53"/>
        <v>2.2904</v>
      </c>
      <c r="Z204" s="192">
        <f t="shared" si="54"/>
        <v>1.3599999999999999E-2</v>
      </c>
      <c r="AA204" s="192">
        <f t="shared" si="55"/>
        <v>2.2768000000000002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6"/>
        <v>0302-18</v>
      </c>
      <c r="AE204" s="80" t="str">
        <f t="shared" si="57"/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AF204" s="77" t="str">
        <f t="shared" si="58"/>
        <v>"C:\Program Files (x86)\AstroGrep\AstroGrep.exe" /e /r /s /spath="%USERPROFILE%\AppData\Local\Temp\OnboardLogs" /stypes="app*4029*20170518*" /stext=" 09:.+((SYSTEM_STATE.+slice.+state.+changed )|(ment ac)|(multiple cpu faults)|(system.+state.+changed )|(\[timeout)|(PRM\|1\|D)|(kpr)|(kdp)|(train st.+moving)|(\|lc)|(penalty))"</v>
      </c>
      <c r="AG204" s="1" t="str">
        <f t="shared" si="59"/>
        <v>Other</v>
      </c>
      <c r="AH204" s="81" t="str">
        <f t="shared" si="60"/>
        <v>"%USERPROFILE%\Documents\GitHub\eaglep3\Utilities\RefineRTDCRunTimes.py" --tripid 302-18 --locoid 4029 --swversion DE.1.0.9.0 --startMP 300:22904 --initTime 2017-05-18T02:49:00 --startdatetime 2017-05-18T02:55:08 --delay 6 --endMP 204:136 --enddatetime 2017-05-18T03:03:22 --enforcementcount 0 &gt;&gt;C:\Users\stu\Documents\GitHub\eaglep3-reporting\EC\2017-05-18-refined-times.txt</v>
      </c>
      <c r="AI204" s="99" t="str">
        <f t="shared" si="61"/>
        <v>echo {"issue":{"subject":"","project_id":79,"tracker_id":40,"status_id":1,"priority_id":2,"assigned_to_id":23,"start_date":"2017-05-18","description":"","custom_fields":[{"id":1,"name":"Subdivision","value":"Other"},{"id":4,"name":"Milepost","value":"0.0136"},{"id":17,"name":"Train ID","value":"302-18"},{"id":16,"name":"Locomotive ID","value":"4029"},{"id":130,"name":"Impact","value":""},{"id":150,"name":"Time of Event (Mountain Time)","value":"03:03:22"},{"id":151,"name":"Denver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2"/>
        <v>start /low /b %USERPROFILE%\Documents\GitHub\eaglep3\Utilities\DownloadLogsFromS3.py --loco 4029 --day 2017-05-18</v>
      </c>
      <c r="AN204" s="154" t="str">
        <f t="shared" si="63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09:03:22"},{"id":29,"name":"Sharepoint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788</v>
      </c>
      <c r="B205" s="7">
        <v>4032</v>
      </c>
      <c r="C205" s="21" t="s">
        <v>206</v>
      </c>
      <c r="D205" s="21" t="s">
        <v>374</v>
      </c>
      <c r="E205" s="13">
        <v>42873.776087962964</v>
      </c>
      <c r="F205" s="13">
        <v>42873.778425925928</v>
      </c>
      <c r="G205" s="7">
        <v>2</v>
      </c>
      <c r="H205" s="21" t="s">
        <v>505</v>
      </c>
      <c r="I205" s="13">
        <v>42873.787245370368</v>
      </c>
      <c r="J205" s="7">
        <v>0</v>
      </c>
      <c r="K205" s="92" t="str">
        <f t="shared" ref="K205:K249" si="69">IF(ISEVEN(B205),(B205-1)&amp;"/"&amp;B205,B205&amp;"/"&amp;(B205+1))</f>
        <v>4031/4032</v>
      </c>
      <c r="L205" s="21" t="str">
        <f>VLOOKUP(A205,'Trips&amp;Operators'!$C$1:$G$99999,5,FALSE)</f>
        <v>ZEWDU DEREJE</v>
      </c>
      <c r="M205" s="6">
        <f t="shared" ref="M205:M249" si="70">I205-F205</f>
        <v>8.8194444397231564E-3</v>
      </c>
      <c r="N205" s="7">
        <f t="shared" si="68"/>
        <v>12.699999993201345</v>
      </c>
      <c r="O205" s="7"/>
      <c r="P205" s="7"/>
      <c r="Q205" s="22"/>
      <c r="R205" s="190"/>
      <c r="S205" s="196">
        <f t="shared" ref="S205:S249" si="71">SUM(U205:U205)/IF(AG205="EC",12,1)</f>
        <v>1</v>
      </c>
      <c r="T205" s="190" t="str">
        <f t="shared" ref="T205:T249" si="72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49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-18T17:37:34-0600',mode:absolute,to:'2017-05-18T19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192" t="str">
        <f t="shared" ref="W205:W249" si="74">IF(AA205&lt;IF(AG205="EC",23,5.65),"Y","N")</f>
        <v>Y</v>
      </c>
      <c r="X205" s="192">
        <f t="shared" si="67"/>
        <v>1</v>
      </c>
      <c r="Y205" s="192">
        <f t="shared" ref="Y205:Y249" si="75">RIGHT(D205,LEN(D205)-4)/10000</f>
        <v>4.5499999999999999E-2</v>
      </c>
      <c r="Z205" s="192">
        <f t="shared" ref="Z205:Z249" si="76">RIGHT(H205,LEN(H205)-4)/10000</f>
        <v>2.3308</v>
      </c>
      <c r="AA205" s="192">
        <f t="shared" ref="AA205:AA249" si="77">ABS(Z205-Y205)</f>
        <v>2.2852999999999999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9" si="78">IF(LEN(A205)=6,"0"&amp;A205,A205)</f>
        <v>0303-18</v>
      </c>
      <c r="AE205" s="80" t="str">
        <f t="shared" ref="AE205:AE249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205" s="77" t="str">
        <f t="shared" ref="AF205:AF249" si="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/stypes="app*4032*20170519*" /stext=" 00:.+((SYSTEM_STATE.+slice.+state.+changed )|(ment ac)|(multiple cpu faults)|(system.+state.+changed )|(\[timeout)|(PRM\|1\|D)|(kpr)|(kdp)|(train st.+moving)|(\|lc)|(penalty))"</v>
      </c>
      <c r="AG205" s="1" t="str">
        <f t="shared" ref="AG205:AG249" si="81">IFERROR(IF(VALUE(LEFT(AD205,2))&lt;=2,"EC",IF(OR(VALUE(LEFT(AD205,2))=8,VALUE(LEFT(AD205,2))=18),"NW","Other")),"Other")</f>
        <v>Other</v>
      </c>
      <c r="AH205" s="81" t="str">
        <f t="shared" ref="AH205:AH249" si="8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303-18 --locoid 4032 --swversion DE.1.0.9.0 --startMP 204:455 --initTime 2017-05-18T18:37:34 --startdatetime 2017-05-18T18:40:56 --delay 2 --endMP 300:23308 --enddatetime 2017-05-18T18:53:38 --enforcementcount 0 &gt;&gt;C:\Users\stu\Documents\GitHub\eaglep3-reporting\EC\2017-05-18-refined-times.txt</v>
      </c>
      <c r="AI205" s="99" t="str">
        <f t="shared" ref="AI205:AI249" si="8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{"issue":{"subject":"","project_id":79,"tracker_id":40,"status_id":1,"priority_id":2,"assigned_to_id":23,"start_date":"2017-05-18","description":"","custom_fields":[{"id":1,"name":"Subdivision","value":"Other"},{"id":4,"name":"Milepost","value":"2.3308"},{"id":17,"name":"Train ID","value":"303-18"},{"id":16,"name":"Locomotive ID","value":"4032"},{"id":130,"name":"Impact","value":""},{"id":150,"name":"Time of Event (Mountain Time)","value":"18:53:38"},{"id":151,"name":"Denver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49" si="84">"start /low /b "&amp;dls3logs&amp;" --loco "&amp;B205&amp;" --day "&amp;TEXT(F205,"YYYY-MM-DD")</f>
        <v>start /low /b %USERPROFILE%\Documents\GitHub\eaglep3\Utilities\DownloadLogsFromS3.py --loco 4032 --day 2017-05-18</v>
      </c>
      <c r="AN205" s="154" t="str">
        <f t="shared" ref="AN205:AN249" si="8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792</v>
      </c>
      <c r="B206" s="7">
        <v>4030</v>
      </c>
      <c r="C206" s="21" t="s">
        <v>206</v>
      </c>
      <c r="D206" s="21" t="s">
        <v>374</v>
      </c>
      <c r="E206" s="13">
        <v>42873.795405092591</v>
      </c>
      <c r="F206" s="13">
        <v>42873.797997685186</v>
      </c>
      <c r="G206" s="7">
        <v>1</v>
      </c>
      <c r="H206" s="21" t="s">
        <v>567</v>
      </c>
      <c r="I206" s="13">
        <v>42873.804756944446</v>
      </c>
      <c r="J206" s="7">
        <v>0</v>
      </c>
      <c r="K206" s="92" t="str">
        <f t="shared" si="69"/>
        <v>4029/4030</v>
      </c>
      <c r="L206" s="21" t="str">
        <f>VLOOKUP(A206,'Trips&amp;Operators'!$C$1:$G$99999,5,FALSE)</f>
        <v>LALONDE GREGORY</v>
      </c>
      <c r="M206" s="6">
        <f t="shared" si="70"/>
        <v>6.7592592604341917E-3</v>
      </c>
      <c r="N206" s="7">
        <f t="shared" si="68"/>
        <v>9.733333335025236</v>
      </c>
      <c r="O206" s="7"/>
      <c r="P206" s="7"/>
      <c r="Q206" s="22"/>
      <c r="R206" s="190"/>
      <c r="S206" s="196">
        <f t="shared" si="71"/>
        <v>1</v>
      </c>
      <c r="T206" s="190" t="str">
        <f t="shared" si="72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73"/>
        <v>https://d0f6bd738d7f1b3e5a7ca70fe4ff75f0.us-east-1.aws.found.io/app/kibana#/discover/Steve-Slow-Train-Analysis-(2080s-and-2083s)?_g=(refreshInterval:(display:Off,pause:!f,section:0,value:0),time:(from:'2017-05-18T18:05:23-0600',mode:absolute,to:'2017-05-18T20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192" t="str">
        <f t="shared" si="74"/>
        <v>Y</v>
      </c>
      <c r="X206" s="192">
        <f t="shared" si="67"/>
        <v>2</v>
      </c>
      <c r="Y206" s="192">
        <f t="shared" si="75"/>
        <v>4.5499999999999999E-2</v>
      </c>
      <c r="Z206" s="192">
        <f t="shared" si="76"/>
        <v>2.3300999999999998</v>
      </c>
      <c r="AA206" s="192">
        <f t="shared" si="77"/>
        <v>2.2845999999999997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78"/>
        <v>0305-18</v>
      </c>
      <c r="AE206" s="80" t="str">
        <f t="shared" si="79"/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AF206" s="77" t="str">
        <f t="shared" si="80"/>
        <v>"C:\Program Files (x86)\AstroGrep\AstroGrep.exe" /e /r /s /spath="%USERPROFILE%\AppData\Local\Temp\OnboardLogs" /stypes="app*4030*20170519*" /stext=" 01:.+((SYSTEM_STATE.+slice.+state.+changed )|(ment ac)|(multiple cpu faults)|(system.+state.+changed )|(\[timeout)|(PRM\|1\|D)|(kpr)|(kdp)|(train st.+moving)|(\|lc)|(penalty))"</v>
      </c>
      <c r="AG206" s="1" t="str">
        <f t="shared" si="81"/>
        <v>Other</v>
      </c>
      <c r="AH206" s="81" t="str">
        <f t="shared" si="82"/>
        <v>"%USERPROFILE%\Documents\GitHub\eaglep3\Utilities\RefineRTDCRunTimes.py" --tripid 305-18 --locoid 4030 --swversion DE.1.0.9.0 --startMP 204:455 --initTime 2017-05-18T19:05:23 --startdatetime 2017-05-18T19:09:07 --delay 1 --endMP 300:23301 --enddatetime 2017-05-18T19:18:51 --enforcementcount 0 &gt;&gt;C:\Users\stu\Documents\GitHub\eaglep3-reporting\EC\2017-05-18-refined-times.txt</v>
      </c>
      <c r="AI206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{"issue":{"subject":"","project_id":79,"tracker_id":40,"status_id":1,"priority_id":2,"assigned_to_id":23,"start_date":"2017-05-18","description":"","custom_fields":[{"id":1,"name":"Subdivision","value":"Other"},{"id":4,"name":"Milepost","value":"2.3301"},{"id":17,"name":"Train ID","value":"305-18"},{"id":16,"name":"Locomotive ID","value":"4030"},{"id":130,"name":"Impact","value":""},{"id":150,"name":"Time of Event (Mountain Time)","value":"19:18:51"},{"id":151,"name":"Denver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4"/>
        <v>start /low /b %USERPROFILE%\Documents\GitHub\eaglep3\Utilities\DownloadLogsFromS3.py --loco 4030 --day 2017-05-18</v>
      </c>
      <c r="AN206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621</v>
      </c>
      <c r="B207" s="7">
        <v>4009</v>
      </c>
      <c r="C207" s="21" t="s">
        <v>206</v>
      </c>
      <c r="D207" s="21" t="s">
        <v>926</v>
      </c>
      <c r="E207" s="13">
        <v>42873.158634259256</v>
      </c>
      <c r="F207" s="13">
        <v>42873.161817129629</v>
      </c>
      <c r="G207" s="7">
        <v>5</v>
      </c>
      <c r="H207" s="21" t="s">
        <v>353</v>
      </c>
      <c r="I207" s="13">
        <v>42873.16851851852</v>
      </c>
      <c r="J207" s="7">
        <v>0</v>
      </c>
      <c r="K207" s="92" t="str">
        <f t="shared" si="69"/>
        <v>4009/4010</v>
      </c>
      <c r="L207" s="21" t="str">
        <f>VLOOKUP(A207,'Trips&amp;Operators'!$C$1:$G$99999,5,FALSE)</f>
        <v>ROBINSON KADDIBA</v>
      </c>
      <c r="M207" s="6">
        <f t="shared" si="70"/>
        <v>6.701388891087845E-3</v>
      </c>
      <c r="N207" s="7">
        <f t="shared" si="68"/>
        <v>9.6500000031664968</v>
      </c>
      <c r="O207" s="7"/>
      <c r="P207" s="7"/>
      <c r="Q207" s="22"/>
      <c r="R207" s="190"/>
      <c r="S207" s="196">
        <f t="shared" si="71"/>
        <v>1</v>
      </c>
      <c r="T207" s="190" t="str">
        <f t="shared" si="72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73"/>
        <v>https://d0f6bd738d7f1b3e5a7ca70fe4ff75f0.us-east-1.aws.found.io/app/kibana#/discover/Steve-Slow-Train-Analysis-(2080s-and-2083s)?_g=(refreshInterval:(display:Off,pause:!f,section:0,value:0),time:(from:'2017-05-18T02:48:26-0600',mode:absolute,to:'2017-05-18T05:02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192" t="str">
        <f t="shared" si="74"/>
        <v>Y</v>
      </c>
      <c r="X207" s="192">
        <f t="shared" si="67"/>
        <v>1</v>
      </c>
      <c r="Y207" s="192">
        <f t="shared" si="75"/>
        <v>2.1684999999999999</v>
      </c>
      <c r="Z207" s="192">
        <f t="shared" si="76"/>
        <v>1.4500000000000001E-2</v>
      </c>
      <c r="AA207" s="192">
        <f t="shared" si="77"/>
        <v>2.1539999999999999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78"/>
        <v>0306-18</v>
      </c>
      <c r="AE207" s="80" t="str">
        <f t="shared" si="79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207" s="77" t="str">
        <f t="shared" si="80"/>
        <v>"C:\Program Files (x86)\AstroGrep\AstroGrep.exe" /e /r /s /spath="%USERPROFILE%\AppData\Local\Temp\OnboardLogs" /stypes="app*4009*20170518*" /stext=" 10:.+((SYSTEM_STATE.+slice.+state.+changed )|(ment ac)|(multiple cpu faults)|(system.+state.+changed )|(\[timeout)|(PRM\|1\|D)|(kpr)|(kdp)|(train st.+moving)|(\|lc)|(penalty))"</v>
      </c>
      <c r="AG207" s="1" t="str">
        <f t="shared" si="81"/>
        <v>Other</v>
      </c>
      <c r="AH207" s="81" t="str">
        <f t="shared" si="82"/>
        <v>"%USERPROFILE%\Documents\GitHub\eaglep3\Utilities\RefineRTDCRunTimes.py" --tripid 306-18 --locoid 4009 --swversion DE.1.0.9.0 --startMP 300:21685 --initTime 2017-05-18T03:48:26 --startdatetime 2017-05-18T03:53:01 --delay 5 --endMP 204:145 --enddatetime 2017-05-18T04:02:40 --enforcementcount 0 &gt;&gt;C:\Users\stu\Documents\GitHub\eaglep3-reporting\EC\2017-05-18-refined-times.txt</v>
      </c>
      <c r="AI207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{"issue":{"subject":"","project_id":79,"tracker_id":40,"status_id":1,"priority_id":2,"assigned_to_id":23,"start_date":"2017-05-18","description":"","custom_fields":[{"id":1,"name":"Subdivision","value":"Other"},{"id":4,"name":"Milepost","value":"0.0145"},{"id":17,"name":"Train ID","value":"306-18"},{"id":16,"name":"Locomotive ID","value":"4009"},{"id":130,"name":"Impact","value":""},{"id":150,"name":"Time of Event (Mountain Time)","value":"04:02:40"},{"id":151,"name":"Denver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4"/>
        <v>start /low /b %USERPROFILE%\Documents\GitHub\eaglep3\Utilities\DownloadLogsFromS3.py --loco 4009 --day 2017-05-18</v>
      </c>
      <c r="AN207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10:02:40"},{"id":29,"name":"Sharepoint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621</v>
      </c>
      <c r="B208" s="7">
        <v>4009</v>
      </c>
      <c r="C208" s="21" t="s">
        <v>206</v>
      </c>
      <c r="D208" s="21" t="s">
        <v>927</v>
      </c>
      <c r="E208" s="13">
        <v>42873.158634259256</v>
      </c>
      <c r="F208" s="13">
        <v>42873.161817129629</v>
      </c>
      <c r="G208" s="7">
        <v>4</v>
      </c>
      <c r="H208" s="21" t="s">
        <v>353</v>
      </c>
      <c r="I208" s="13">
        <v>42873.16851851852</v>
      </c>
      <c r="J208" s="7">
        <v>0</v>
      </c>
      <c r="K208" s="92" t="str">
        <f t="shared" si="69"/>
        <v>4009/4010</v>
      </c>
      <c r="L208" s="21" t="str">
        <f>VLOOKUP(A208,'Trips&amp;Operators'!$C$1:$G$99999,5,FALSE)</f>
        <v>ROBINSON KADDIBA</v>
      </c>
      <c r="M208" s="6">
        <f t="shared" si="70"/>
        <v>6.701388891087845E-3</v>
      </c>
      <c r="N208" s="7">
        <f t="shared" si="68"/>
        <v>9.6500000031664968</v>
      </c>
      <c r="O208" s="7"/>
      <c r="P208" s="7"/>
      <c r="Q208" s="22"/>
      <c r="R208" s="190"/>
      <c r="S208" s="196">
        <f t="shared" si="71"/>
        <v>1</v>
      </c>
      <c r="T208" s="190" t="str">
        <f t="shared" si="72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73"/>
        <v>https://d0f6bd738d7f1b3e5a7ca70fe4ff75f0.us-east-1.aws.found.io/app/kibana#/discover/Steve-Slow-Train-Analysis-(2080s-and-2083s)?_g=(refreshInterval:(display:Off,pause:!f,section:0,value:0),time:(from:'2017-05-18T02:48:26-0600',mode:absolute,to:'2017-05-18T05:02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8" s="192" t="str">
        <f t="shared" si="74"/>
        <v>Y</v>
      </c>
      <c r="X208" s="192">
        <f t="shared" si="67"/>
        <v>0</v>
      </c>
      <c r="Y208" s="192">
        <f t="shared" si="75"/>
        <v>2.3115999999999999</v>
      </c>
      <c r="Z208" s="192">
        <f t="shared" si="76"/>
        <v>1.4500000000000001E-2</v>
      </c>
      <c r="AA208" s="192">
        <f t="shared" si="77"/>
        <v>2.2970999999999999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78"/>
        <v>0306-18</v>
      </c>
      <c r="AE208" s="80" t="str">
        <f t="shared" si="79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208" s="77" t="str">
        <f t="shared" si="80"/>
        <v>"C:\Program Files (x86)\AstroGrep\AstroGrep.exe" /e /r /s /spath="%USERPROFILE%\AppData\Local\Temp\OnboardLogs" /stypes="app*4009*20170518*" /stext=" 10:.+((SYSTEM_STATE.+slice.+state.+changed )|(ment ac)|(multiple cpu faults)|(system.+state.+changed )|(\[timeout)|(PRM\|1\|D)|(kpr)|(kdp)|(train st.+moving)|(\|lc)|(penalty))"</v>
      </c>
      <c r="AG208" s="1" t="str">
        <f t="shared" si="81"/>
        <v>Other</v>
      </c>
      <c r="AH208" s="81" t="str">
        <f t="shared" si="82"/>
        <v>"%USERPROFILE%\Documents\GitHub\eaglep3\Utilities\RefineRTDCRunTimes.py" --tripid 306-18 --locoid 4009 --swversion DE.1.0.9.0 --startMP 300:23116 --initTime 2017-05-18T03:48:26 --startdatetime 2017-05-18T03:53:01 --delay 4 --endMP 204:145 --enddatetime 2017-05-18T04:02:40 --enforcementcount 0 &gt;&gt;C:\Users\stu\Documents\GitHub\eaglep3-reporting\EC\2017-05-18-refined-times.txt</v>
      </c>
      <c r="AI208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{"issue":{"subject":"","project_id":79,"tracker_id":40,"status_id":1,"priority_id":2,"assigned_to_id":23,"start_date":"2017-05-18","description":"","custom_fields":[{"id":1,"name":"Subdivision","value":"Other"},{"id":4,"name":"Milepost","value":"0.0145"},{"id":17,"name":"Train ID","value":"306-18"},{"id":16,"name":"Locomotive ID","value":"4009"},{"id":130,"name":"Impact","value":""},{"id":150,"name":"Time of Event (Mountain Time)","value":"04:02:40"},{"id":151,"name":"Denver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4"/>
        <v>start /low /b %USERPROFILE%\Documents\GitHub\eaglep3\Utilities\DownloadLogsFromS3.py --loco 4009 --day 2017-05-18</v>
      </c>
      <c r="AN208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10:02:40"},{"id":29,"name":"Sharepoint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800</v>
      </c>
      <c r="B209" s="7">
        <v>4002</v>
      </c>
      <c r="C209" s="21" t="s">
        <v>206</v>
      </c>
      <c r="D209" s="21" t="s">
        <v>928</v>
      </c>
      <c r="E209" s="13">
        <v>42873.818495370368</v>
      </c>
      <c r="F209" s="13">
        <v>42873.821180555555</v>
      </c>
      <c r="G209" s="7">
        <v>1</v>
      </c>
      <c r="H209" s="21" t="s">
        <v>361</v>
      </c>
      <c r="I209" s="13">
        <v>42873.827824074076</v>
      </c>
      <c r="J209" s="7">
        <v>0</v>
      </c>
      <c r="K209" s="92" t="str">
        <f t="shared" si="69"/>
        <v>4001/4002</v>
      </c>
      <c r="L209" s="21" t="str">
        <f>VLOOKUP(A209,'Trips&amp;Operators'!$C$1:$G$99999,5,FALSE)</f>
        <v>MOSES BRADLEY</v>
      </c>
      <c r="M209" s="6">
        <f t="shared" si="70"/>
        <v>6.6435185217414983E-3</v>
      </c>
      <c r="N209" s="7">
        <f t="shared" si="68"/>
        <v>9.5666666713077575</v>
      </c>
      <c r="O209" s="7"/>
      <c r="P209" s="7"/>
      <c r="Q209" s="22"/>
      <c r="R209" s="190"/>
      <c r="S209" s="196">
        <f t="shared" si="71"/>
        <v>1</v>
      </c>
      <c r="T209" s="190" t="str">
        <f t="shared" si="72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73"/>
        <v>https://d0f6bd738d7f1b3e5a7ca70fe4ff75f0.us-east-1.aws.found.io/app/kibana#/discover/Steve-Slow-Train-Analysis-(2080s-and-2083s)?_g=(refreshInterval:(display:Off,pause:!f,section:0,value:0),time:(from:'2017-05-18T18:38:38-0600',mode:absolute,to:'2017-05-18T20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92" t="str">
        <f t="shared" si="74"/>
        <v>Y</v>
      </c>
      <c r="X209" s="192">
        <f t="shared" si="67"/>
        <v>1</v>
      </c>
      <c r="Y209" s="192">
        <f t="shared" si="75"/>
        <v>5.04E-2</v>
      </c>
      <c r="Z209" s="192">
        <f t="shared" si="76"/>
        <v>2.3346</v>
      </c>
      <c r="AA209" s="192">
        <f t="shared" si="77"/>
        <v>2.2842000000000002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78"/>
        <v>0307-18</v>
      </c>
      <c r="AE209" s="80" t="str">
        <f t="shared" si="79"/>
        <v>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 &amp; 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</v>
      </c>
      <c r="AF209" s="77" t="str">
        <f t="shared" si="80"/>
        <v>"C:\Program Files (x86)\AstroGrep\AstroGrep.exe" /e /r /s /spath="%USERPROFILE%\AppData\Local\Temp\OnboardLogs" /stypes="app*4002*20170519*" /stext=" 01:.+((SYSTEM_STATE.+slice.+state.+changed )|(ment ac)|(multiple cpu faults)|(system.+state.+changed )|(\[timeout)|(PRM\|1\|D)|(kpr)|(kdp)|(train st.+moving)|(\|lc)|(penalty))"</v>
      </c>
      <c r="AG209" s="1" t="str">
        <f t="shared" si="81"/>
        <v>Other</v>
      </c>
      <c r="AH209" s="81" t="str">
        <f t="shared" si="82"/>
        <v>"%USERPROFILE%\Documents\GitHub\eaglep3\Utilities\RefineRTDCRunTimes.py" --tripid 307-18 --locoid 4002 --swversion DE.1.0.9.0 --startMP 204:504 --initTime 2017-05-18T19:38:38 --startdatetime 2017-05-18T19:42:30 --delay 1 --endMP 300:23346 --enddatetime 2017-05-18T19:52:04 --enforcementcount 0 &gt;&gt;C:\Users\stu\Documents\GitHub\eaglep3-reporting\EC\2017-05-18-refined-times.txt</v>
      </c>
      <c r="AI209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{"issue":{"subject":"","project_id":79,"tracker_id":40,"status_id":1,"priority_id":2,"assigned_to_id":23,"start_date":"2017-05-18","description":"","custom_fields":[{"id":1,"name":"Subdivision","value":"Other"},{"id":4,"name":"Milepost","value":"2.3346"},{"id":17,"name":"Train ID","value":"307-18"},{"id":16,"name":"Locomotive ID","value":"4002"},{"id":130,"name":"Impact","value":""},{"id":150,"name":"Time of Event (Mountain Time)","value":"19:52:04"},{"id":151,"name":"Denver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4"/>
        <v>start /low /b %USERPROFILE%\Documents\GitHub\eaglep3\Utilities\DownloadLogsFromS3.py --loco 4002 --day 2017-05-18</v>
      </c>
      <c r="AN209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624</v>
      </c>
      <c r="B210" s="7">
        <v>4013</v>
      </c>
      <c r="C210" s="21" t="s">
        <v>206</v>
      </c>
      <c r="D210" s="21" t="s">
        <v>929</v>
      </c>
      <c r="E210" s="13">
        <v>42873.168206018519</v>
      </c>
      <c r="F210" s="13">
        <v>42873.173136574071</v>
      </c>
      <c r="G210" s="7">
        <v>7</v>
      </c>
      <c r="H210" s="21" t="s">
        <v>367</v>
      </c>
      <c r="I210" s="13">
        <v>42873.180277777778</v>
      </c>
      <c r="J210" s="7">
        <v>0</v>
      </c>
      <c r="K210" s="92" t="str">
        <f t="shared" si="69"/>
        <v>4013/4014</v>
      </c>
      <c r="L210" s="21" t="str">
        <f>VLOOKUP(A210,'Trips&amp;Operators'!$C$1:$G$99999,5,FALSE)</f>
        <v>GEBRETEKLE DAGNEW</v>
      </c>
      <c r="M210" s="6">
        <f t="shared" si="70"/>
        <v>7.1412037068512291E-3</v>
      </c>
      <c r="N210" s="7">
        <f t="shared" si="68"/>
        <v>10.28333333786577</v>
      </c>
      <c r="O210" s="7"/>
      <c r="P210" s="7"/>
      <c r="Q210" s="22"/>
      <c r="R210" s="190"/>
      <c r="S210" s="196">
        <f t="shared" si="71"/>
        <v>1</v>
      </c>
      <c r="T210" s="190" t="str">
        <f t="shared" si="72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73"/>
        <v>https://d0f6bd738d7f1b3e5a7ca70fe4ff75f0.us-east-1.aws.found.io/app/kibana#/discover/Steve-Slow-Train-Analysis-(2080s-and-2083s)?_g=(refreshInterval:(display:Off,pause:!f,section:0,value:0),time:(from:'2017-05-18T03:02:13-0600',mode:absolute,to:'2017-05-18T05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0" s="192" t="str">
        <f t="shared" si="74"/>
        <v>Y</v>
      </c>
      <c r="X210" s="192">
        <f t="shared" si="67"/>
        <v>1</v>
      </c>
      <c r="Y210" s="192">
        <f t="shared" si="75"/>
        <v>2.3437999999999999</v>
      </c>
      <c r="Z210" s="192">
        <f t="shared" si="76"/>
        <v>1.3899999999999999E-2</v>
      </c>
      <c r="AA210" s="192">
        <f t="shared" si="77"/>
        <v>2.3298999999999999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78"/>
        <v>0308-18</v>
      </c>
      <c r="AE210" s="80" t="str">
        <f t="shared" si="79"/>
        <v>aws s3 cp s3://rtdc.mdm.uploadarchive.raw/RTDC4013/ "%USERPROFILE%\AppData\Local\Temp\OnboardLogs"\RTDC4013\2017-05-18 --exclude "*" --recursive --include "*20170518*" &amp; "%USERPROFILE%\Documents\GitHub\mrs-test-scripts\Headless Mode &amp; Sideloading\WalkAndUnGZ.bat" "%USERPROFILE%\AppData\Local\Temp\OnboardLogs"\RTDC4013\2017-05-18 &amp; aws s3 cp s3://rtdc.mdm.uploadarchive.raw/RTDC4013/ "%USERPROFILE%\AppData\Local\Temp\OnboardLogs"\RTDC4013\2017-05-19 --exclude "*" --recursive --include "*20170519*" &amp; "%USERPROFILE%\Documents\GitHub\mrs-test-scripts\Headless Mode &amp; Sideloading\WalkAndUnGZ.bat" "%USERPROFILE%\AppData\Local\Temp\OnboardLogs"\RTDC4013\2017-05-19</v>
      </c>
      <c r="AF210" s="77" t="str">
        <f t="shared" si="80"/>
        <v>"C:\Program Files (x86)\AstroGrep\AstroGrep.exe" /e /r /s /spath="%USERPROFILE%\AppData\Local\Temp\OnboardLogs" /stypes="app*4013*20170518*" /stext=" 10:.+((SYSTEM_STATE.+slice.+state.+changed )|(ment ac)|(multiple cpu faults)|(system.+state.+changed )|(\[timeout)|(PRM\|1\|D)|(kpr)|(kdp)|(train st.+moving)|(\|lc)|(penalty))"</v>
      </c>
      <c r="AG210" s="1" t="str">
        <f t="shared" si="81"/>
        <v>Other</v>
      </c>
      <c r="AH210" s="81" t="str">
        <f t="shared" si="82"/>
        <v>"%USERPROFILE%\Documents\GitHub\eaglep3\Utilities\RefineRTDCRunTimes.py" --tripid 308-18 --locoid 4013 --swversion DE.1.0.9.0 --startMP 300:23438 --initTime 2017-05-18T04:02:13 --startdatetime 2017-05-18T04:09:19 --delay 7 --endMP 204:139 --enddatetime 2017-05-18T04:19:36 --enforcementcount 0 &gt;&gt;C:\Users\stu\Documents\GitHub\eaglep3-reporting\EC\2017-05-18-refined-times.txt</v>
      </c>
      <c r="AI210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{"issue":{"subject":"","project_id":79,"tracker_id":40,"status_id":1,"priority_id":2,"assigned_to_id":23,"start_date":"2017-05-18","description":"","custom_fields":[{"id":1,"name":"Subdivision","value":"Other"},{"id":4,"name":"Milepost","value":"0.0139"},{"id":17,"name":"Train ID","value":"308-18"},{"id":16,"name":"Locomotive ID","value":"4013"},{"id":130,"name":"Impact","value":""},{"id":150,"name":"Time of Event (Mountain Time)","value":"04:19:36"},{"id":151,"name":"Denver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4"/>
        <v>start /low /b %USERPROFILE%\Documents\GitHub\eaglep3\Utilities\DownloadLogsFromS3.py --loco 4013 --day 2017-05-18</v>
      </c>
      <c r="AN210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827</v>
      </c>
      <c r="B211" s="7">
        <v>4054</v>
      </c>
      <c r="C211" s="21" t="s">
        <v>206</v>
      </c>
      <c r="D211" s="21" t="s">
        <v>360</v>
      </c>
      <c r="E211" s="13">
        <v>42874.048171296294</v>
      </c>
      <c r="F211" s="13">
        <v>42874.049756944441</v>
      </c>
      <c r="G211" s="7">
        <v>1</v>
      </c>
      <c r="H211" s="21" t="s">
        <v>420</v>
      </c>
      <c r="I211" s="13">
        <v>42874.058553240742</v>
      </c>
      <c r="J211" s="7">
        <v>0</v>
      </c>
      <c r="K211" s="92" t="str">
        <f t="shared" si="69"/>
        <v>4053/4054</v>
      </c>
      <c r="L211" s="21" t="str">
        <f>VLOOKUP(A211,'Trips&amp;Operators'!$C$1:$G$99999,5,FALSE)</f>
        <v>YANG JAN</v>
      </c>
      <c r="M211" s="6">
        <f t="shared" si="70"/>
        <v>8.7962963007157668E-3</v>
      </c>
      <c r="N211" s="7">
        <f t="shared" si="68"/>
        <v>12.666666673030704</v>
      </c>
      <c r="O211" s="7"/>
      <c r="P211" s="7"/>
      <c r="Q211" s="22"/>
      <c r="R211" s="190"/>
      <c r="S211" s="196">
        <f t="shared" si="71"/>
        <v>1</v>
      </c>
      <c r="T211" s="190" t="str">
        <f t="shared" si="72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73"/>
        <v>https://d0f6bd738d7f1b3e5a7ca70fe4ff75f0.us-east-1.aws.found.io/app/kibana#/discover/Steve-Slow-Train-Analysis-(2080s-and-2083s)?_g=(refreshInterval:(display:Off,pause:!f,section:0,value:0),time:(from:'2017-05-19T00:09:22-0600',mode:absolute,to:'2017-05-19T02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1" s="192" t="str">
        <f t="shared" si="74"/>
        <v>Y</v>
      </c>
      <c r="X211" s="192">
        <f t="shared" si="67"/>
        <v>1</v>
      </c>
      <c r="Y211" s="192">
        <f t="shared" si="75"/>
        <v>4.5100000000000001E-2</v>
      </c>
      <c r="Z211" s="192">
        <f t="shared" si="76"/>
        <v>2.3304</v>
      </c>
      <c r="AA211" s="192">
        <f t="shared" si="77"/>
        <v>2.2852999999999999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78"/>
        <v>0309-18</v>
      </c>
      <c r="AE211" s="80" t="str">
        <f t="shared" si="79"/>
        <v>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 &amp; aws s3 cp s3://rtdc.mdm.uploadarchive.raw/RTDC4054/ "%USERPROFILE%\AppData\Local\Temp\OnboardLogs"\RTDC4054\2017-05-20 --exclude "*" --recursive --include "*20170520*" &amp; "%USERPROFILE%\Documents\GitHub\mrs-test-scripts\Headless Mode &amp; Sideloading\WalkAndUnGZ.bat" "%USERPROFILE%\AppData\Local\Temp\OnboardLogs"\RTDC4054\2017-05-20</v>
      </c>
      <c r="AF211" s="77" t="str">
        <f t="shared" si="80"/>
        <v>"C:\Program Files (x86)\AstroGrep\AstroGrep.exe" /e /r /s /spath="%USERPROFILE%\AppData\Local\Temp\OnboardLogs" /stypes="app*4054*20170519*" /stext=" 07:.+((SYSTEM_STATE.+slice.+state.+changed )|(ment ac)|(multiple cpu faults)|(system.+state.+changed )|(\[timeout)|(PRM\|1\|D)|(kpr)|(kdp)|(train st.+moving)|(\|lc)|(penalty))"</v>
      </c>
      <c r="AG211" s="1" t="str">
        <f t="shared" si="81"/>
        <v>Other</v>
      </c>
      <c r="AH211" s="81" t="str">
        <f t="shared" si="82"/>
        <v>"%USERPROFILE%\Documents\GitHub\eaglep3\Utilities\RefineRTDCRunTimes.py" --tripid 309-18 --locoid 4054 --swversion DE.1.0.9.0 --startMP 204:451 --initTime 2017-05-19T01:09:22 --startdatetime 2017-05-19T01:11:39 --delay 1 --endMP 300:23304 --enddatetime 2017-05-19T01:24:19 --enforcementcount 0 &gt;&gt;C:\Users\stu\Documents\GitHub\eaglep3-reporting\EC\2017-05-18-refined-times.txt</v>
      </c>
      <c r="AI211" s="99" t="str">
        <f t="shared" si="83"/>
        <v>echo {"issue":{"subject":"","project_id":79,"tracker_id":40,"status_id":1,"priority_id":2,"assigned_to_id":23,"start_date":"2017-05-19","description":"","custom_fields":[{"id":1,"name":"Subdivision","value":"Other"},{"id":4,"name":"Milepost","value":"2.3304"},{"id":17,"name":"Train ID","value":"309-18"},{"id":16,"name":"Locomotive ID","value":"4054"},{"id":130,"name":"Impact","value":""},{"id":150,"name":"Time of Event (Mountain Time)","value":"01:24:19"},{"id":151,"name":"Denver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84"/>
        <v>start /low /b %USERPROFILE%\Documents\GitHub\eaglep3\Utilities\DownloadLogsFromS3.py --loco 4054 --day 2017-05-19</v>
      </c>
      <c r="AN211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07:24:19"},{"id":29,"name":"Sharepoint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626</v>
      </c>
      <c r="B212" s="7">
        <v>4055</v>
      </c>
      <c r="C212" s="21" t="s">
        <v>206</v>
      </c>
      <c r="D212" s="21" t="s">
        <v>930</v>
      </c>
      <c r="E212" s="13">
        <v>42873.182025462964</v>
      </c>
      <c r="F212" s="13">
        <v>42873.185358796298</v>
      </c>
      <c r="G212" s="7">
        <v>5</v>
      </c>
      <c r="H212" s="21" t="s">
        <v>904</v>
      </c>
      <c r="I212" s="13">
        <v>42873.187824074077</v>
      </c>
      <c r="J212" s="7">
        <v>0</v>
      </c>
      <c r="K212" s="92" t="str">
        <f t="shared" si="69"/>
        <v>4055/4056</v>
      </c>
      <c r="L212" s="21" t="str">
        <f>VLOOKUP(A212,'Trips&amp;Operators'!$C$1:$G$99999,5,FALSE)</f>
        <v>ROCHA YAOTL</v>
      </c>
      <c r="M212" s="6">
        <f t="shared" si="70"/>
        <v>2.4652777792653069E-3</v>
      </c>
      <c r="N212" s="7">
        <f t="shared" si="68"/>
        <v>3.5500000021420419</v>
      </c>
      <c r="O212" s="7"/>
      <c r="P212" s="7"/>
      <c r="Q212" s="22"/>
      <c r="R212" s="190"/>
      <c r="S212" s="196">
        <f t="shared" si="71"/>
        <v>1</v>
      </c>
      <c r="T212" s="190" t="str">
        <f t="shared" si="72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73"/>
        <v>https://d0f6bd738d7f1b3e5a7ca70fe4ff75f0.us-east-1.aws.found.io/app/kibana#/discover/Steve-Slow-Train-Analysis-(2080s-and-2083s)?_g=(refreshInterval:(display:Off,pause:!f,section:0,value:0),time:(from:'2017-05-18T03:22:07-0600',mode:absolute,to:'2017-05-18T05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192" t="str">
        <f t="shared" si="74"/>
        <v>Y</v>
      </c>
      <c r="X212" s="192">
        <f t="shared" si="67"/>
        <v>1</v>
      </c>
      <c r="Y212" s="192">
        <f t="shared" si="75"/>
        <v>2.2031999999999998</v>
      </c>
      <c r="Z212" s="192">
        <f t="shared" si="76"/>
        <v>1.7399999999999999E-2</v>
      </c>
      <c r="AA212" s="192">
        <f t="shared" si="77"/>
        <v>2.1858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78"/>
        <v>0310-18</v>
      </c>
      <c r="AE212" s="80" t="str">
        <f t="shared" si="79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212" s="77" t="str">
        <f t="shared" si="80"/>
        <v>"C:\Program Files (x86)\AstroGrep\AstroGrep.exe" /e /r /s /spath="%USERPROFILE%\AppData\Local\Temp\OnboardLogs" /stypes="app*4055*20170518*" /stext=" 10:.+((SYSTEM_STATE.+slice.+state.+changed )|(ment ac)|(multiple cpu faults)|(system.+state.+changed )|(\[timeout)|(PRM\|1\|D)|(kpr)|(kdp)|(train st.+moving)|(\|lc)|(penalty))"</v>
      </c>
      <c r="AG212" s="1" t="str">
        <f t="shared" si="81"/>
        <v>Other</v>
      </c>
      <c r="AH212" s="81" t="str">
        <f t="shared" si="82"/>
        <v>"%USERPROFILE%\Documents\GitHub\eaglep3\Utilities\RefineRTDCRunTimes.py" --tripid 310-18 --locoid 4055 --swversion DE.1.0.9.0 --startMP 300:22032 --initTime 2017-05-18T04:22:07 --startdatetime 2017-05-18T04:26:55 --delay 5 --endMP 204:174 --enddatetime 2017-05-18T04:30:28 --enforcementcount 0 &gt;&gt;C:\Users\stu\Documents\GitHub\eaglep3-reporting\EC\2017-05-18-refined-times.txt</v>
      </c>
      <c r="AI212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{"issue":{"subject":"","project_id":79,"tracker_id":40,"status_id":1,"priority_id":2,"assigned_to_id":23,"start_date":"2017-05-18","description":"","custom_fields":[{"id":1,"name":"Subdivision","value":"Other"},{"id":4,"name":"Milepost","value":"0.0174"},{"id":17,"name":"Train ID","value":"310-18"},{"id":16,"name":"Locomotive ID","value":"4055"},{"id":130,"name":"Impact","value":""},{"id":150,"name":"Time of Event (Mountain Time)","value":"04:30:28"},{"id":151,"name":"Denver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84"/>
        <v>start /low /b %USERPROFILE%\Documents\GitHub\eaglep3\Utilities\DownloadLogsFromS3.py --loco 4055 --day 2017-05-18</v>
      </c>
      <c r="AN212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10:30:28"},{"id":29,"name":"Sharepoint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626</v>
      </c>
      <c r="B213" s="7">
        <v>4055</v>
      </c>
      <c r="C213" s="21" t="s">
        <v>206</v>
      </c>
      <c r="D213" s="21" t="s">
        <v>931</v>
      </c>
      <c r="E213" s="13">
        <v>42873.182025462964</v>
      </c>
      <c r="F213" s="13">
        <v>42873.185358796298</v>
      </c>
      <c r="G213" s="7">
        <v>4</v>
      </c>
      <c r="H213" s="21" t="s">
        <v>904</v>
      </c>
      <c r="I213" s="13">
        <v>42873.187824074077</v>
      </c>
      <c r="J213" s="7">
        <v>0</v>
      </c>
      <c r="K213" s="92" t="str">
        <f t="shared" si="69"/>
        <v>4055/4056</v>
      </c>
      <c r="L213" s="21" t="str">
        <f>VLOOKUP(A213,'Trips&amp;Operators'!$C$1:$G$99999,5,FALSE)</f>
        <v>ROCHA YAOTL</v>
      </c>
      <c r="M213" s="6">
        <f t="shared" si="70"/>
        <v>2.4652777792653069E-3</v>
      </c>
      <c r="N213" s="7">
        <f t="shared" si="68"/>
        <v>3.5500000021420419</v>
      </c>
      <c r="O213" s="7"/>
      <c r="P213" s="7"/>
      <c r="Q213" s="22"/>
      <c r="R213" s="190"/>
      <c r="S213" s="196">
        <f t="shared" si="71"/>
        <v>1</v>
      </c>
      <c r="T213" s="190" t="str">
        <f t="shared" si="72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73"/>
        <v>https://d0f6bd738d7f1b3e5a7ca70fe4ff75f0.us-east-1.aws.found.io/app/kibana#/discover/Steve-Slow-Train-Analysis-(2080s-and-2083s)?_g=(refreshInterval:(display:Off,pause:!f,section:0,value:0),time:(from:'2017-05-18T03:22:07-0600',mode:absolute,to:'2017-05-18T05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3" s="192" t="str">
        <f t="shared" si="74"/>
        <v>Y</v>
      </c>
      <c r="X213" s="192">
        <f t="shared" si="67"/>
        <v>0</v>
      </c>
      <c r="Y213" s="192">
        <f t="shared" si="75"/>
        <v>2.3220000000000001</v>
      </c>
      <c r="Z213" s="192">
        <f t="shared" si="76"/>
        <v>1.7399999999999999E-2</v>
      </c>
      <c r="AA213" s="192">
        <f t="shared" si="77"/>
        <v>2.3046000000000002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78"/>
        <v>0310-18</v>
      </c>
      <c r="AE213" s="80" t="str">
        <f t="shared" si="79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213" s="77" t="str">
        <f t="shared" si="80"/>
        <v>"C:\Program Files (x86)\AstroGrep\AstroGrep.exe" /e /r /s /spath="%USERPROFILE%\AppData\Local\Temp\OnboardLogs" /stypes="app*4055*20170518*" /stext=" 10:.+((SYSTEM_STATE.+slice.+state.+changed )|(ment ac)|(multiple cpu faults)|(system.+state.+changed )|(\[timeout)|(PRM\|1\|D)|(kpr)|(kdp)|(train st.+moving)|(\|lc)|(penalty))"</v>
      </c>
      <c r="AG213" s="1" t="str">
        <f t="shared" si="81"/>
        <v>Other</v>
      </c>
      <c r="AH213" s="81" t="str">
        <f t="shared" si="82"/>
        <v>"%USERPROFILE%\Documents\GitHub\eaglep3\Utilities\RefineRTDCRunTimes.py" --tripid 310-18 --locoid 4055 --swversion DE.1.0.9.0 --startMP 300:23220 --initTime 2017-05-18T04:22:07 --startdatetime 2017-05-18T04:26:55 --delay 4 --endMP 204:174 --enddatetime 2017-05-18T04:30:28 --enforcementcount 0 &gt;&gt;C:\Users\stu\Documents\GitHub\eaglep3-reporting\EC\2017-05-18-refined-times.txt</v>
      </c>
      <c r="AI213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{"issue":{"subject":"","project_id":79,"tracker_id":40,"status_id":1,"priority_id":2,"assigned_to_id":23,"start_date":"2017-05-18","description":"","custom_fields":[{"id":1,"name":"Subdivision","value":"Other"},{"id":4,"name":"Milepost","value":"0.0174"},{"id":17,"name":"Train ID","value":"310-18"},{"id":16,"name":"Locomotive ID","value":"4055"},{"id":130,"name":"Impact","value":""},{"id":150,"name":"Time of Event (Mountain Time)","value":"04:30:28"},{"id":151,"name":"Denver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84"/>
        <v>start /low /b %USERPROFILE%\Documents\GitHub\eaglep3\Utilities\DownloadLogsFromS3.py --loco 4055 --day 2017-05-18</v>
      </c>
      <c r="AN213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10:30:28"},{"id":29,"name":"Sharepoint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830</v>
      </c>
      <c r="B214" s="7">
        <v>4056</v>
      </c>
      <c r="C214" s="21" t="s">
        <v>206</v>
      </c>
      <c r="D214" s="21" t="s">
        <v>932</v>
      </c>
      <c r="E214" s="13">
        <v>42874.068379629629</v>
      </c>
      <c r="F214" s="13">
        <v>42874.070925925924</v>
      </c>
      <c r="G214" s="7">
        <v>3</v>
      </c>
      <c r="H214" s="21" t="s">
        <v>565</v>
      </c>
      <c r="I214" s="13">
        <v>42874.079409722224</v>
      </c>
      <c r="J214" s="7">
        <v>0</v>
      </c>
      <c r="K214" s="92" t="str">
        <f t="shared" si="69"/>
        <v>4055/4056</v>
      </c>
      <c r="L214" s="21" t="str">
        <f>VLOOKUP(A214,'Trips&amp;Operators'!$C$1:$G$99999,5,FALSE)</f>
        <v>BROWN JACOB</v>
      </c>
      <c r="M214" s="6">
        <f t="shared" si="70"/>
        <v>8.4837963004247285E-3</v>
      </c>
      <c r="N214" s="7">
        <f t="shared" si="68"/>
        <v>12.216666672611609</v>
      </c>
      <c r="O214" s="7"/>
      <c r="P214" s="7"/>
      <c r="Q214" s="22"/>
      <c r="R214" s="190"/>
      <c r="S214" s="196">
        <f t="shared" si="71"/>
        <v>1</v>
      </c>
      <c r="T214" s="190" t="str">
        <f t="shared" si="72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73"/>
        <v>https://d0f6bd738d7f1b3e5a7ca70fe4ff75f0.us-east-1.aws.found.io/app/kibana#/discover/Steve-Slow-Train-Analysis-(2080s-and-2083s)?_g=(refreshInterval:(display:Off,pause:!f,section:0,value:0),time:(from:'2017-05-19T00:38:28-0600',mode:absolute,to:'2017-05-19T02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4" s="192" t="str">
        <f t="shared" si="74"/>
        <v>Y</v>
      </c>
      <c r="X214" s="192">
        <f t="shared" si="67"/>
        <v>1</v>
      </c>
      <c r="Y214" s="192">
        <f t="shared" si="75"/>
        <v>4.82E-2</v>
      </c>
      <c r="Z214" s="192">
        <f t="shared" si="76"/>
        <v>2.3292999999999999</v>
      </c>
      <c r="AA214" s="192">
        <f t="shared" si="77"/>
        <v>2.2810999999999999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78"/>
        <v>0311-18</v>
      </c>
      <c r="AE214" s="80" t="str">
        <f t="shared" si="79"/>
        <v>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 &amp; 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</v>
      </c>
      <c r="AF214" s="77" t="str">
        <f t="shared" si="80"/>
        <v>"C:\Program Files (x86)\AstroGrep\AstroGrep.exe" /e /r /s /spath="%USERPROFILE%\AppData\Local\Temp\OnboardLogs" /stypes="app*4056*20170519*" /stext=" 07:.+((SYSTEM_STATE.+slice.+state.+changed )|(ment ac)|(multiple cpu faults)|(system.+state.+changed )|(\[timeout)|(PRM\|1\|D)|(kpr)|(kdp)|(train st.+moving)|(\|lc)|(penalty))"</v>
      </c>
      <c r="AG214" s="1" t="str">
        <f t="shared" si="81"/>
        <v>Other</v>
      </c>
      <c r="AH214" s="81" t="str">
        <f t="shared" si="82"/>
        <v>"%USERPROFILE%\Documents\GitHub\eaglep3\Utilities\RefineRTDCRunTimes.py" --tripid 311-18 --locoid 4056 --swversion DE.1.0.9.0 --startMP 204:482 --initTime 2017-05-19T01:38:28 --startdatetime 2017-05-19T01:42:08 --delay 3 --endMP 300:23293 --enddatetime 2017-05-19T01:54:21 --enforcementcount 0 &gt;&gt;C:\Users\stu\Documents\GitHub\eaglep3-reporting\EC\2017-05-18-refined-times.txt</v>
      </c>
      <c r="AI214" s="99" t="str">
        <f t="shared" si="83"/>
        <v>echo {"issue":{"subject":"","project_id":79,"tracker_id":40,"status_id":1,"priority_id":2,"assigned_to_id":23,"start_date":"2017-05-19","description":"","custom_fields":[{"id":1,"name":"Subdivision","value":"Other"},{"id":4,"name":"Milepost","value":"2.3293"},{"id":17,"name":"Train ID","value":"311-18"},{"id":16,"name":"Locomotive ID","value":"4056"},{"id":130,"name":"Impact","value":""},{"id":150,"name":"Time of Event (Mountain Time)","value":"01:54:21"},{"id":151,"name":"Denver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84"/>
        <v>start /low /b %USERPROFILE%\Documents\GitHub\eaglep3\Utilities\DownloadLogsFromS3.py --loco 4056 --day 2017-05-19</v>
      </c>
      <c r="AN214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07:54:21"},{"id":29,"name":"Sharepoint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s="20" customFormat="1" x14ac:dyDescent="0.25">
      <c r="A215" s="32" t="s">
        <v>538</v>
      </c>
      <c r="B215" s="7">
        <v>4040</v>
      </c>
      <c r="C215" s="21" t="s">
        <v>206</v>
      </c>
      <c r="D215" s="21" t="s">
        <v>431</v>
      </c>
      <c r="E215" s="13">
        <v>42873.089178240742</v>
      </c>
      <c r="F215" s="13">
        <v>42873.090289351851</v>
      </c>
      <c r="G215" s="7">
        <v>1</v>
      </c>
      <c r="H215" s="21" t="s">
        <v>450</v>
      </c>
      <c r="I215" s="13">
        <v>42873.095243055555</v>
      </c>
      <c r="J215" s="7">
        <v>0</v>
      </c>
      <c r="K215" s="92" t="str">
        <f t="shared" si="69"/>
        <v>4039/4040</v>
      </c>
      <c r="L215" s="21" t="str">
        <f>VLOOKUP(A215,'Trips&amp;Operators'!$C$1:$G$99999,5,FALSE)</f>
        <v>NEWELL JAMES</v>
      </c>
      <c r="M215" s="6">
        <f t="shared" si="70"/>
        <v>4.9537037048139609E-3</v>
      </c>
      <c r="N215" s="7">
        <f t="shared" si="68"/>
        <v>7.1333333349321038</v>
      </c>
      <c r="O215" s="7"/>
      <c r="P215" s="7"/>
      <c r="Q215" s="22"/>
      <c r="R215" s="190"/>
      <c r="S215" s="196">
        <f t="shared" si="71"/>
        <v>1</v>
      </c>
      <c r="T215" s="190" t="str">
        <f t="shared" si="72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73"/>
        <v>https://d0f6bd738d7f1b3e5a7ca70fe4ff75f0.us-east-1.aws.found.io/app/kibana#/discover/Steve-Slow-Train-Analysis-(2080s-and-2083s)?_g=(refreshInterval:(display:Off,pause:!f,section:0,value:0),time:(from:'2017-05-18T01:08:25-0600',mode:absolute,to:'2017-05-18T03:17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5" s="192" t="str">
        <f t="shared" si="74"/>
        <v>Y</v>
      </c>
      <c r="X215" s="192">
        <f t="shared" ref="X215:X249" si="86">VALUE(LEFT(AD215,4))-VALUE(LEFT(AD214,4))</f>
        <v>2</v>
      </c>
      <c r="Y215" s="192">
        <f t="shared" si="75"/>
        <v>4.7300000000000002E-2</v>
      </c>
      <c r="Z215" s="192">
        <f t="shared" si="76"/>
        <v>2.331</v>
      </c>
      <c r="AA215" s="192">
        <f t="shared" si="77"/>
        <v>2.2837000000000001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78"/>
        <v>0313-17</v>
      </c>
      <c r="AE215" s="80" t="str">
        <f t="shared" si="79"/>
        <v>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 &amp; 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</v>
      </c>
      <c r="AF215" s="77" t="str">
        <f t="shared" si="80"/>
        <v>"C:\Program Files (x86)\AstroGrep\AstroGrep.exe" /e /r /s /spath="%USERPROFILE%\AppData\Local\Temp\OnboardLogs" /stypes="app*4040*20170518*" /stext=" 08:.+((SYSTEM_STATE.+slice.+state.+changed )|(ment ac)|(multiple cpu faults)|(system.+state.+changed )|(\[timeout)|(PRM\|1\|D)|(kpr)|(kdp)|(train st.+moving)|(\|lc)|(penalty))"</v>
      </c>
      <c r="AG215" s="1" t="str">
        <f t="shared" si="81"/>
        <v>Other</v>
      </c>
      <c r="AH215" s="81" t="str">
        <f t="shared" si="82"/>
        <v>"%USERPROFILE%\Documents\GitHub\eaglep3\Utilities\RefineRTDCRunTimes.py" --tripid 313-17 --locoid 4040 --swversion DE.1.0.9.0 --startMP 204:473 --initTime 2017-05-18T02:08:25 --startdatetime 2017-05-18T02:10:01 --delay 1 --endMP 300:23310 --enddatetime 2017-05-18T02:17:09 --enforcementcount 0 &gt;&gt;C:\Users\stu\Documents\GitHub\eaglep3-reporting\EC\2017-05-18-refined-times.txt</v>
      </c>
      <c r="AI215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{"issue":{"subject":"","project_id":79,"tracker_id":40,"status_id":1,"priority_id":2,"assigned_to_id":23,"start_date":"2017-05-18","description":"","custom_fields":[{"id":1,"name":"Subdivision","value":"Other"},{"id":4,"name":"Milepost","value":"2.331"},{"id":17,"name":"Train ID","value":"313-17"},{"id":16,"name":"Locomotive ID","value":"4040"},{"id":130,"name":"Impact","value":""},{"id":150,"name":"Time of Event (Mountain Time)","value":"02:17:09"},{"id":151,"name":"Denver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5" t="str">
        <f t="shared" si="84"/>
        <v>start /low /b %USERPROFILE%\Documents\GitHub\eaglep3\Utilities\DownloadLogsFromS3.py --loco 4040 --day 2017-05-18</v>
      </c>
      <c r="AN215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08:17:09"},{"id":29,"name":"Sharepoint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825</v>
      </c>
      <c r="B216" s="7">
        <v>4008</v>
      </c>
      <c r="C216" s="21" t="s">
        <v>206</v>
      </c>
      <c r="D216" s="21" t="s">
        <v>881</v>
      </c>
      <c r="E216" s="13">
        <v>42874.028356481482</v>
      </c>
      <c r="F216" s="13">
        <v>42874.029374999998</v>
      </c>
      <c r="G216" s="7">
        <v>1</v>
      </c>
      <c r="H216" s="21" t="s">
        <v>933</v>
      </c>
      <c r="I216" s="13">
        <v>42874.035729166666</v>
      </c>
      <c r="J216" s="7">
        <v>0</v>
      </c>
      <c r="K216" s="92" t="str">
        <f t="shared" si="69"/>
        <v>4007/4008</v>
      </c>
      <c r="L216" s="21" t="str">
        <f>VLOOKUP(A216,'Trips&amp;Operators'!$C$1:$G$99999,5,FALSE)</f>
        <v>CHANDLER KELVIN</v>
      </c>
      <c r="M216" s="6">
        <f t="shared" si="70"/>
        <v>6.3541666677338071E-3</v>
      </c>
      <c r="N216" s="7">
        <f t="shared" si="68"/>
        <v>9.1500000015366822</v>
      </c>
      <c r="O216" s="7"/>
      <c r="P216" s="7"/>
      <c r="Q216" s="22"/>
      <c r="R216" s="190"/>
      <c r="S216" s="196">
        <f t="shared" si="71"/>
        <v>1</v>
      </c>
      <c r="T216" s="190" t="str">
        <f t="shared" si="72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73"/>
        <v>https://d0f6bd738d7f1b3e5a7ca70fe4ff75f0.us-east-1.aws.found.io/app/kibana#/discover/Steve-Slow-Train-Analysis-(2080s-and-2083s)?_g=(refreshInterval:(display:Off,pause:!f,section:0,value:0),time:(from:'2017-05-18T23:40:50-0600',mode:absolute,to:'2017-05-19T01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6" s="192" t="str">
        <f t="shared" si="74"/>
        <v>Y</v>
      </c>
      <c r="X216" s="192">
        <f t="shared" si="86"/>
        <v>2</v>
      </c>
      <c r="Y216" s="192">
        <f t="shared" si="75"/>
        <v>4.8599999999999997E-2</v>
      </c>
      <c r="Z216" s="192">
        <f t="shared" si="76"/>
        <v>2.3294999999999999</v>
      </c>
      <c r="AA216" s="192">
        <f t="shared" si="77"/>
        <v>2.2808999999999999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78"/>
        <v>0315-18</v>
      </c>
      <c r="AE216" s="80" t="str">
        <f t="shared" si="79"/>
        <v>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 &amp; 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</v>
      </c>
      <c r="AF216" s="77" t="str">
        <f t="shared" si="80"/>
        <v>"C:\Program Files (x86)\AstroGrep\AstroGrep.exe" /e /r /s /spath="%USERPROFILE%\AppData\Local\Temp\OnboardLogs" /stypes="app*4008*20170519*" /stext=" 06:.+((SYSTEM_STATE.+slice.+state.+changed )|(ment ac)|(multiple cpu faults)|(system.+state.+changed )|(\[timeout)|(PRM\|1\|D)|(kpr)|(kdp)|(train st.+moving)|(\|lc)|(penalty))"</v>
      </c>
      <c r="AG216" s="1" t="str">
        <f t="shared" si="81"/>
        <v>Other</v>
      </c>
      <c r="AH216" s="81" t="str">
        <f t="shared" si="82"/>
        <v>"%USERPROFILE%\Documents\GitHub\eaglep3\Utilities\RefineRTDCRunTimes.py" --tripid 315-18 --locoid 4008 --swversion DE.1.0.9.0 --startMP 204:486 --initTime 2017-05-19T00:40:50 --startdatetime 2017-05-19T00:42:18 --delay 1 --endMP 300:23295 --enddatetime 2017-05-19T00:51:27 --enforcementcount 0 &gt;&gt;C:\Users\stu\Documents\GitHub\eaglep3-reporting\EC\2017-05-18-refined-times.txt</v>
      </c>
      <c r="AI216" s="99" t="str">
        <f t="shared" si="83"/>
        <v>echo {"issue":{"subject":"","project_id":79,"tracker_id":40,"status_id":1,"priority_id":2,"assigned_to_id":23,"start_date":"2017-05-19","description":"","custom_fields":[{"id":1,"name":"Subdivision","value":"Other"},{"id":4,"name":"Milepost","value":"2.3295"},{"id":17,"name":"Train ID","value":"315-18"},{"id":16,"name":"Locomotive ID","value":"4008"},{"id":130,"name":"Impact","value":""},{"id":150,"name":"Time of Event (Mountain Time)","value":"00:51:27"},{"id":151,"name":"Denver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84"/>
        <v>start /low /b %USERPROFILE%\Documents\GitHub\eaglep3\Utilities\DownloadLogsFromS3.py --loco 4008 --day 2017-05-19</v>
      </c>
      <c r="AN216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06:51:27"},{"id":29,"name":"Sharepoint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582</v>
      </c>
      <c r="B217" s="7">
        <v>4012</v>
      </c>
      <c r="C217" s="21" t="s">
        <v>206</v>
      </c>
      <c r="D217" s="21" t="s">
        <v>1015</v>
      </c>
      <c r="E217" s="13">
        <v>42873.196238425924</v>
      </c>
      <c r="F217" s="13">
        <v>42873.199548611112</v>
      </c>
      <c r="G217" s="7">
        <v>4</v>
      </c>
      <c r="H217" s="21" t="s">
        <v>1016</v>
      </c>
      <c r="I217" s="13">
        <v>42873.199675925927</v>
      </c>
      <c r="J217" s="7">
        <v>0</v>
      </c>
      <c r="K217" s="92" t="str">
        <f t="shared" si="69"/>
        <v>4011/4012</v>
      </c>
      <c r="L217" s="21" t="str">
        <f>VLOOKUP(A217,'Trips&amp;Operators'!$C$1:$G$99999,5,FALSE)</f>
        <v>MACDONALD THOMAS</v>
      </c>
      <c r="M217" s="6">
        <f t="shared" si="70"/>
        <v>1.273148154723458E-4</v>
      </c>
      <c r="N217" s="7">
        <f t="shared" si="68"/>
        <v>0.18333333428017795</v>
      </c>
      <c r="O217" s="7"/>
      <c r="P217" s="7"/>
      <c r="Q217" s="22"/>
      <c r="R217" s="190"/>
      <c r="S217" s="196">
        <f t="shared" si="71"/>
        <v>0</v>
      </c>
      <c r="T217" s="190" t="str">
        <f t="shared" si="72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73"/>
        <v>https://d0f6bd738d7f1b3e5a7ca70fe4ff75f0.us-east-1.aws.found.io/app/kibana#/discover/Steve-Slow-Train-Analysis-(2080s-and-2083s)?_g=(refreshInterval:(display:Off,pause:!f,section:0,value:0),time:(from:'2017-05-18T03:42:35-0600',mode:absolute,to:'2017-05-18T05:47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7" s="192" t="str">
        <f t="shared" si="74"/>
        <v>Y</v>
      </c>
      <c r="X217" s="192">
        <f t="shared" si="86"/>
        <v>586</v>
      </c>
      <c r="Y217" s="192">
        <f t="shared" si="75"/>
        <v>2.9405999999999999</v>
      </c>
      <c r="Z217" s="192">
        <f t="shared" si="76"/>
        <v>2.964</v>
      </c>
      <c r="AA217" s="192">
        <f t="shared" si="77"/>
        <v>2.3400000000000087E-2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78"/>
        <v>0901-18</v>
      </c>
      <c r="AE217" s="80" t="str">
        <f t="shared" si="79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217" s="77" t="str">
        <f t="shared" si="80"/>
        <v>"C:\Program Files (x86)\AstroGrep\AstroGrep.exe" /e /r /s /spath="%USERPROFILE%\AppData\Local\Temp\OnboardLogs" /stypes="app*4012*20170518*" /stext=" 10:.+((SYSTEM_STATE.+slice.+state.+changed )|(ment ac)|(multiple cpu faults)|(system.+state.+changed )|(\[timeout)|(PRM\|1\|D)|(kpr)|(kdp)|(train st.+moving)|(\|lc)|(penalty))"</v>
      </c>
      <c r="AG217" s="1" t="str">
        <f t="shared" si="81"/>
        <v>Other</v>
      </c>
      <c r="AH217" s="81" t="str">
        <f t="shared" si="82"/>
        <v>"%USERPROFILE%\Documents\GitHub\eaglep3\Utilities\RefineRTDCRunTimes.py" --tripid 901-18 --locoid 4012 --swversion DE.1.0.9.0 --startMP 300:29406 --initTime 2017-05-18T04:42:35 --startdatetime 2017-05-18T04:47:21 --delay 4 --endMP 300:29640 --enddatetime 2017-05-18T04:47:32 --enforcementcount 0 &gt;&gt;C:\Users\stu\Documents\GitHub\eaglep3-reporting\EC\2017-05-18-refined-times.txt</v>
      </c>
      <c r="AI217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{"issue":{"subject":"","project_id":79,"tracker_id":40,"status_id":1,"priority_id":2,"assigned_to_id":23,"start_date":"2017-05-18","description":"","custom_fields":[{"id":1,"name":"Subdivision","value":"Other"},{"id":4,"name":"Milepost","value":"2.964"},{"id":17,"name":"Train ID","value":"901-18"},{"id":16,"name":"Locomotive ID","value":"4012"},{"id":130,"name":"Impact","value":""},{"id":150,"name":"Time of Event (Mountain Time)","value":"04:47:32"},{"id":151,"name":"Denver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84"/>
        <v>start /low /b %USERPROFILE%\Documents\GitHub\eaglep3\Utilities\DownloadLogsFromS3.py --loco 4012 --day 2017-05-18</v>
      </c>
      <c r="AN217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10:47:32"},{"id":29,"name":"Sharepoint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641</v>
      </c>
      <c r="B218" s="7">
        <v>4025</v>
      </c>
      <c r="C218" s="21" t="s">
        <v>206</v>
      </c>
      <c r="D218" s="21" t="s">
        <v>1017</v>
      </c>
      <c r="E218" s="13">
        <v>42873.253321759257</v>
      </c>
      <c r="F218" s="13">
        <v>42873.255416666667</v>
      </c>
      <c r="G218" s="7">
        <v>2</v>
      </c>
      <c r="H218" s="21" t="s">
        <v>973</v>
      </c>
      <c r="I218" s="13">
        <v>42873.260289351849</v>
      </c>
      <c r="J218" s="7">
        <v>0</v>
      </c>
      <c r="K218" s="92" t="str">
        <f t="shared" si="69"/>
        <v>4025/4026</v>
      </c>
      <c r="L218" s="21" t="str">
        <f>VLOOKUP(A218,'Trips&amp;Operators'!$C$1:$G$99999,5,FALSE)</f>
        <v>LOZA FIDEL</v>
      </c>
      <c r="M218" s="6">
        <f t="shared" si="70"/>
        <v>4.8726851819083095E-3</v>
      </c>
      <c r="N218" s="7">
        <f t="shared" si="68"/>
        <v>7.0166666619479656</v>
      </c>
      <c r="O218" s="7"/>
      <c r="P218" s="7"/>
      <c r="Q218" s="22"/>
      <c r="R218" s="190"/>
      <c r="S218" s="196">
        <f t="shared" si="71"/>
        <v>1</v>
      </c>
      <c r="T218" s="190" t="str">
        <f t="shared" si="72"/>
        <v>Southbound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73"/>
        <v>https://d0f6bd738d7f1b3e5a7ca70fe4ff75f0.us-east-1.aws.found.io/app/kibana#/discover/Steve-Slow-Train-Analysis-(2080s-and-2083s)?_g=(refreshInterval:(display:Off,pause:!f,section:0,value:0),time:(from:'2017-05-18T05:04:47-0600',mode:absolute,to:'2017-05-18T07:14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92" t="str">
        <f t="shared" si="74"/>
        <v>Y</v>
      </c>
      <c r="X218" s="192">
        <f t="shared" si="86"/>
        <v>1</v>
      </c>
      <c r="Y218" s="192">
        <f t="shared" si="75"/>
        <v>2.3445999999999998</v>
      </c>
      <c r="Z218" s="192">
        <f t="shared" si="76"/>
        <v>6.9599999999999995E-2</v>
      </c>
      <c r="AA218" s="192">
        <f t="shared" si="77"/>
        <v>2.2749999999999999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78"/>
        <v>0902-18</v>
      </c>
      <c r="AE218" s="80" t="str">
        <f t="shared" si="79"/>
        <v>aws s3 cp s3://rtdc.mdm.uploadarchive.raw/RTDC4025/ "%USERPROFILE%\AppData\Local\Temp\OnboardLogs"\RTDC4025\2017-05-18 --exclude "*" --recursive --include "*20170518*" &amp; "%USERPROFILE%\Documents\GitHub\mrs-test-scripts\Headless Mode &amp; Sideloading\WalkAndUnGZ.bat" "%USERPROFILE%\AppData\Local\Temp\OnboardLogs"\RTDC4025\2017-05-18 &amp; 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</v>
      </c>
      <c r="AF218" s="77" t="str">
        <f t="shared" si="80"/>
        <v>"C:\Program Files (x86)\AstroGrep\AstroGrep.exe" /e /r /s /spath="%USERPROFILE%\AppData\Local\Temp\OnboardLogs" /stypes="app*4025*20170518*" /stext=" 12:.+((SYSTEM_STATE.+slice.+state.+changed )|(ment ac)|(multiple cpu faults)|(system.+state.+changed )|(\[timeout)|(PRM\|1\|D)|(kpr)|(kdp)|(train st.+moving)|(\|lc)|(penalty))"</v>
      </c>
      <c r="AG218" s="1" t="str">
        <f t="shared" si="81"/>
        <v>Other</v>
      </c>
      <c r="AH218" s="81" t="str">
        <f t="shared" si="82"/>
        <v>"%USERPROFILE%\Documents\GitHub\eaglep3\Utilities\RefineRTDCRunTimes.py" --tripid 902-18 --locoid 4025 --swversion DE.1.0.9.0 --startMP 300:23446 --initTime 2017-05-18T06:04:47 --startdatetime 2017-05-18T06:07:48 --delay 2 --endMP 204:696 --enddatetime 2017-05-18T06:14:49 --enforcementcount 0 &gt;&gt;C:\Users\stu\Documents\GitHub\eaglep3-reporting\EC\2017-05-18-refined-times.txt</v>
      </c>
      <c r="AI218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{"issue":{"subject":"","project_id":79,"tracker_id":40,"status_id":1,"priority_id":2,"assigned_to_id":23,"start_date":"2017-05-18","description":"","custom_fields":[{"id":1,"name":"Subdivision","value":"Other"},{"id":4,"name":"Milepost","value":"0.0696"},{"id":17,"name":"Train ID","value":"902-18"},{"id":16,"name":"Locomotive ID","value":"4025"},{"id":130,"name":"Impact","value":""},{"id":150,"name":"Time of Event (Mountain Time)","value":"06:14:49"},{"id":151,"name":"Denver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84"/>
        <v>start /low /b %USERPROFILE%\Documents\GitHub\eaglep3\Utilities\DownloadLogsFromS3.py --loco 4025 --day 2017-05-18</v>
      </c>
      <c r="AN218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12:14:49"},{"id":29,"name":"Sharepoint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671</v>
      </c>
      <c r="B219" s="7">
        <v>4012</v>
      </c>
      <c r="C219" s="21" t="s">
        <v>206</v>
      </c>
      <c r="D219" s="21" t="s">
        <v>203</v>
      </c>
      <c r="E219" s="13">
        <v>42873.352106481485</v>
      </c>
      <c r="F219" s="13">
        <v>42873.353020833332</v>
      </c>
      <c r="G219" s="7">
        <v>0</v>
      </c>
      <c r="H219" s="21" t="s">
        <v>1018</v>
      </c>
      <c r="I219" s="13">
        <v>42873.359259259261</v>
      </c>
      <c r="J219" s="7">
        <v>0</v>
      </c>
      <c r="K219" s="92" t="str">
        <f t="shared" si="69"/>
        <v>4011/4012</v>
      </c>
      <c r="L219" s="21" t="str">
        <f>VLOOKUP(A219,'Trips&amp;Operators'!$C$1:$G$99999,5,FALSE)</f>
        <v>MACDONALD THOMAS</v>
      </c>
      <c r="M219" s="6">
        <f t="shared" si="70"/>
        <v>6.2384259290411137E-3</v>
      </c>
      <c r="N219" s="7">
        <f t="shared" si="68"/>
        <v>8.9833333378192037</v>
      </c>
      <c r="O219" s="7"/>
      <c r="P219" s="7"/>
      <c r="Q219" s="22"/>
      <c r="R219" s="190"/>
      <c r="S219" s="196">
        <f t="shared" si="71"/>
        <v>1</v>
      </c>
      <c r="T219" s="190" t="str">
        <f t="shared" si="72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73"/>
        <v>https://d0f6bd738d7f1b3e5a7ca70fe4ff75f0.us-east-1.aws.found.io/app/kibana#/discover/Steve-Slow-Train-Analysis-(2080s-and-2083s)?_g=(refreshInterval:(display:Off,pause:!f,section:0,value:0),time:(from:'2017-05-18T07:27:02-0600',mode:absolute,to:'2017-05-18T09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9" s="192" t="str">
        <f t="shared" si="74"/>
        <v>Y</v>
      </c>
      <c r="X219" s="192">
        <f t="shared" si="86"/>
        <v>1</v>
      </c>
      <c r="Y219" s="192">
        <f t="shared" si="75"/>
        <v>4.5999999999999999E-2</v>
      </c>
      <c r="Z219" s="192">
        <f t="shared" si="76"/>
        <v>2.4262000000000001</v>
      </c>
      <c r="AA219" s="192">
        <f t="shared" si="77"/>
        <v>2.3802000000000003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78"/>
        <v>0903-18</v>
      </c>
      <c r="AE219" s="80" t="str">
        <f t="shared" si="79"/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AF219" s="77" t="str">
        <f t="shared" si="80"/>
        <v>"C:\Program Files (x86)\AstroGrep\AstroGrep.exe" /e /r /s /spath="%USERPROFILE%\AppData\Local\Temp\OnboardLogs" /stypes="app*4012*20170518*" /stext=" 14:.+((SYSTEM_STATE.+slice.+state.+changed )|(ment ac)|(multiple cpu faults)|(system.+state.+changed )|(\[timeout)|(PRM\|1\|D)|(kpr)|(kdp)|(train st.+moving)|(\|lc)|(penalty))"</v>
      </c>
      <c r="AG219" s="1" t="str">
        <f t="shared" si="81"/>
        <v>Other</v>
      </c>
      <c r="AH219" s="81" t="str">
        <f t="shared" si="82"/>
        <v>"%USERPROFILE%\Documents\GitHub\eaglep3\Utilities\RefineRTDCRunTimes.py" --tripid 903-18 --locoid 4012 --swversion DE.1.0.9.0 --startMP 204:460 --initTime 2017-05-18T08:27:02 --startdatetime 2017-05-18T08:28:21 --delay 0 --endMP 300:24262 --enddatetime 2017-05-18T08:37:20 --enforcementcount 0 &gt;&gt;C:\Users\stu\Documents\GitHub\eaglep3-reporting\EC\2017-05-18-refined-times.txt</v>
      </c>
      <c r="AI219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{"issue":{"subject":"","project_id":79,"tracker_id":40,"status_id":1,"priority_id":2,"assigned_to_id":23,"start_date":"2017-05-18","description":"","custom_fields":[{"id":1,"name":"Subdivision","value":"Other"},{"id":4,"name":"Milepost","value":"2.4262"},{"id":17,"name":"Train ID","value":"903-18"},{"id":16,"name":"Locomotive ID","value":"4012"},{"id":130,"name":"Impact","value":""},{"id":150,"name":"Time of Event (Mountain Time)","value":"08:37:20"},{"id":151,"name":"Denver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84"/>
        <v>start /low /b %USERPROFILE%\Documents\GitHub\eaglep3\Utilities\DownloadLogsFromS3.py --loco 4012 --day 2017-05-18</v>
      </c>
      <c r="AN219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14:37:20"},{"id":29,"name":"Sharepoint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746</v>
      </c>
      <c r="B220" s="7">
        <v>4011</v>
      </c>
      <c r="C220" s="21" t="s">
        <v>206</v>
      </c>
      <c r="D220" s="21" t="s">
        <v>1019</v>
      </c>
      <c r="E220" s="13">
        <v>42873.638645833336</v>
      </c>
      <c r="F220" s="13">
        <v>42873.641828703701</v>
      </c>
      <c r="G220" s="7">
        <v>4</v>
      </c>
      <c r="H220" s="21" t="s">
        <v>990</v>
      </c>
      <c r="I220" s="13">
        <v>42873.647662037038</v>
      </c>
      <c r="J220" s="7">
        <v>0</v>
      </c>
      <c r="K220" s="92" t="str">
        <f t="shared" si="69"/>
        <v>4011/4012</v>
      </c>
      <c r="L220" s="21" t="str">
        <f>VLOOKUP(A220,'Trips&amp;Operators'!$C$1:$G$99999,5,FALSE)</f>
        <v>MACDONALD THOMAS</v>
      </c>
      <c r="M220" s="6">
        <f t="shared" si="70"/>
        <v>5.8333333363407291E-3</v>
      </c>
      <c r="N220" s="7">
        <f t="shared" si="68"/>
        <v>8.40000000433065</v>
      </c>
      <c r="O220" s="7"/>
      <c r="P220" s="7"/>
      <c r="Q220" s="22"/>
      <c r="R220" s="190"/>
      <c r="S220" s="196">
        <f t="shared" si="71"/>
        <v>1</v>
      </c>
      <c r="T220" s="190" t="str">
        <f t="shared" si="72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73"/>
        <v>https://d0f6bd738d7f1b3e5a7ca70fe4ff75f0.us-east-1.aws.found.io/app/kibana#/discover/Steve-Slow-Train-Analysis-(2080s-and-2083s)?_g=(refreshInterval:(display:Off,pause:!f,section:0,value:0),time:(from:'2017-05-18T14:19:39-0600',mode:absolute,to:'2017-05-18T16:32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0" s="192" t="str">
        <f t="shared" si="74"/>
        <v>Y</v>
      </c>
      <c r="X220" s="192">
        <f t="shared" si="86"/>
        <v>1</v>
      </c>
      <c r="Y220" s="192">
        <f t="shared" si="75"/>
        <v>2.3273000000000001</v>
      </c>
      <c r="Z220" s="192">
        <f t="shared" si="76"/>
        <v>7.0300000000000001E-2</v>
      </c>
      <c r="AA220" s="192">
        <f t="shared" si="77"/>
        <v>2.2570000000000001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78"/>
        <v>0904-18</v>
      </c>
      <c r="AE220" s="80" t="str">
        <f t="shared" si="79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220" s="77" t="str">
        <f t="shared" si="80"/>
        <v>"C:\Program Files (x86)\AstroGrep\AstroGrep.exe" /e /r /s /spath="%USERPROFILE%\AppData\Local\Temp\OnboardLogs" /stypes="app*4011*20170518*" /stext=" 21:.+((SYSTEM_STATE.+slice.+state.+changed )|(ment ac)|(multiple cpu faults)|(system.+state.+changed )|(\[timeout)|(PRM\|1\|D)|(kpr)|(kdp)|(train st.+moving)|(\|lc)|(penalty))"</v>
      </c>
      <c r="AG220" s="1" t="str">
        <f t="shared" si="81"/>
        <v>Other</v>
      </c>
      <c r="AH220" s="81" t="str">
        <f t="shared" si="82"/>
        <v>"%USERPROFILE%\Documents\GitHub\eaglep3\Utilities\RefineRTDCRunTimes.py" --tripid 904-18 --locoid 4011 --swversion DE.1.0.9.0 --startMP 300:23273 --initTime 2017-05-18T15:19:39 --startdatetime 2017-05-18T15:24:14 --delay 4 --endMP 204:703 --enddatetime 2017-05-18T15:32:38 --enforcementcount 0 &gt;&gt;C:\Users\stu\Documents\GitHub\eaglep3-reporting\EC\2017-05-18-refined-times.txt</v>
      </c>
      <c r="AI220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{"issue":{"subject":"","project_id":79,"tracker_id":40,"status_id":1,"priority_id":2,"assigned_to_id":23,"start_date":"2017-05-18","description":"","custom_fields":[{"id":1,"name":"Subdivision","value":"Other"},{"id":4,"name":"Milepost","value":"0.0703"},{"id":17,"name":"Train ID","value":"904-18"},{"id":16,"name":"Locomotive ID","value":"4011"},{"id":130,"name":"Impact","value":""},{"id":150,"name":"Time of Event (Mountain Time)","value":"15:32:38"},{"id":151,"name":"Denver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84"/>
        <v>start /low /b %USERPROFILE%\Documents\GitHub\eaglep3\Utilities\DownloadLogsFromS3.py --loco 4011 --day 2017-05-18</v>
      </c>
      <c r="AN220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21:32:38"},{"id":29,"name":"Sharepoint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793</v>
      </c>
      <c r="B221" s="7">
        <v>4011</v>
      </c>
      <c r="C221" s="21" t="s">
        <v>206</v>
      </c>
      <c r="D221" s="21" t="s">
        <v>980</v>
      </c>
      <c r="E221" s="13">
        <v>42873.796863425923</v>
      </c>
      <c r="F221" s="13">
        <v>42873.798333333332</v>
      </c>
      <c r="G221" s="7">
        <v>1</v>
      </c>
      <c r="H221" s="21" t="s">
        <v>1020</v>
      </c>
      <c r="I221" s="13">
        <v>42873.808368055557</v>
      </c>
      <c r="J221" s="7">
        <v>0</v>
      </c>
      <c r="K221" s="92" t="str">
        <f t="shared" si="69"/>
        <v>4011/4012</v>
      </c>
      <c r="L221" s="21" t="str">
        <f>VLOOKUP(A221,'Trips&amp;Operators'!$C$1:$G$99999,5,FALSE)</f>
        <v>THOMPSON LESTER</v>
      </c>
      <c r="M221" s="6">
        <f t="shared" si="70"/>
        <v>1.0034722225100268E-2</v>
      </c>
      <c r="N221" s="7">
        <f t="shared" si="68"/>
        <v>14.450000004144385</v>
      </c>
      <c r="O221" s="7"/>
      <c r="P221" s="7"/>
      <c r="Q221" s="22"/>
      <c r="R221" s="190"/>
      <c r="S221" s="196">
        <f t="shared" si="71"/>
        <v>0</v>
      </c>
      <c r="T221" s="190" t="str">
        <f t="shared" si="72"/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73"/>
        <v>https://d0f6bd738d7f1b3e5a7ca70fe4ff75f0.us-east-1.aws.found.io/app/kibana#/discover/Steve-Slow-Train-Analysis-(2080s-and-2083s)?_g=(refreshInterval:(display:Off,pause:!f,section:0,value:0),time:(from:'2017-05-18T18:07:29-0600',mode:absolute,to:'2017-05-18T20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1" s="192" t="str">
        <f t="shared" si="74"/>
        <v>Y</v>
      </c>
      <c r="X221" s="192">
        <f t="shared" si="86"/>
        <v>2</v>
      </c>
      <c r="Y221" s="192">
        <f t="shared" si="75"/>
        <v>5.8628</v>
      </c>
      <c r="Z221" s="192">
        <f t="shared" si="76"/>
        <v>2.8774000000000002</v>
      </c>
      <c r="AA221" s="192">
        <f t="shared" si="77"/>
        <v>2.9853999999999998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78"/>
        <v>0906-18</v>
      </c>
      <c r="AE221" s="80" t="str">
        <f t="shared" si="79"/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AF221" s="77" t="str">
        <f t="shared" si="80"/>
        <v>"C:\Program Files (x86)\AstroGrep\AstroGrep.exe" /e /r /s /spath="%USERPROFILE%\AppData\Local\Temp\OnboardLogs" /stypes="app*4011*20170519*" /stext=" 01:.+((SYSTEM_STATE.+slice.+state.+changed )|(ment ac)|(multiple cpu faults)|(system.+state.+changed )|(\[timeout)|(PRM\|1\|D)|(kpr)|(kdp)|(train st.+moving)|(\|lc)|(penalty))"</v>
      </c>
      <c r="AG221" s="1" t="str">
        <f t="shared" si="81"/>
        <v>Other</v>
      </c>
      <c r="AH221" s="81" t="str">
        <f t="shared" si="82"/>
        <v>"%USERPROFILE%\Documents\GitHub\eaglep3\Utilities\RefineRTDCRunTimes.py" --tripid 906-18 --locoid 4011 --swversion DE.1.0.9.0 --startMP 300:58628 --initTime 2017-05-18T19:07:29 --startdatetime 2017-05-18T19:09:36 --delay 1 --endMP 300:28774 --enddatetime 2017-05-18T19:24:03 --enforcementcount 0 &gt;&gt;C:\Users\stu\Documents\GitHub\eaglep3-reporting\EC\2017-05-18-refined-times.txt</v>
      </c>
      <c r="AI221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{"issue":{"subject":"","project_id":79,"tracker_id":40,"status_id":1,"priority_id":2,"assigned_to_id":23,"start_date":"2017-05-18","description":"","custom_fields":[{"id":1,"name":"Subdivision","value":"Other"},{"id":4,"name":"Milepost","value":"2.8774"},{"id":17,"name":"Train ID","value":"906-18"},{"id":16,"name":"Locomotive ID","value":"4011"},{"id":130,"name":"Impact","value":""},{"id":150,"name":"Time of Event (Mountain Time)","value":"19:24:03"},{"id":151,"name":"Denver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84"/>
        <v>start /low /b %USERPROFILE%\Documents\GitHub\eaglep3\Utilities\DownloadLogsFromS3.py --loco 4011 --day 2017-05-18</v>
      </c>
      <c r="AN221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817</v>
      </c>
      <c r="B222" s="7">
        <v>4025</v>
      </c>
      <c r="C222" s="21" t="s">
        <v>206</v>
      </c>
      <c r="D222" s="21" t="s">
        <v>507</v>
      </c>
      <c r="E222" s="13">
        <v>42873.942916666667</v>
      </c>
      <c r="F222" s="13">
        <v>25568.708333333332</v>
      </c>
      <c r="G222" s="7">
        <v>1</v>
      </c>
      <c r="H222" s="21" t="s">
        <v>1021</v>
      </c>
      <c r="I222" s="13">
        <v>25568.708333333332</v>
      </c>
      <c r="J222" s="7">
        <v>0</v>
      </c>
      <c r="K222" s="92" t="str">
        <f t="shared" si="69"/>
        <v>4025/4026</v>
      </c>
      <c r="L222" s="21" t="str">
        <f>VLOOKUP(A222,'Trips&amp;Operators'!$C$1:$G$99999,5,FALSE)</f>
        <v>THOMPSON LESTER</v>
      </c>
      <c r="M222" s="6">
        <f t="shared" si="70"/>
        <v>0</v>
      </c>
      <c r="N222" s="7">
        <f t="shared" si="68"/>
        <v>0</v>
      </c>
      <c r="O222" s="7"/>
      <c r="P222" s="7"/>
      <c r="Q222" s="22"/>
      <c r="R222" s="190"/>
      <c r="S222" s="196">
        <f t="shared" si="71"/>
        <v>0</v>
      </c>
      <c r="T222" s="190" t="str">
        <f t="shared" si="72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73"/>
        <v>https://d0f6bd738d7f1b3e5a7ca70fe4ff75f0.us-east-1.aws.found.io/app/kibana#/discover/Steve-Slow-Train-Analysis-(2080s-and-2083s)?_g=(refreshInterval:(display:Off,pause:!f,section:0,value:0),time:(from:'2017-05-18T21:37:48-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2" s="192" t="str">
        <f t="shared" si="74"/>
        <v>Y</v>
      </c>
      <c r="X222" s="192">
        <f t="shared" si="86"/>
        <v>2</v>
      </c>
      <c r="Y222" s="192">
        <f t="shared" si="75"/>
        <v>5.8619000000000003</v>
      </c>
      <c r="Z222" s="192">
        <f t="shared" si="76"/>
        <v>2.1686999999999999</v>
      </c>
      <c r="AA222" s="192">
        <f t="shared" si="77"/>
        <v>3.6932000000000005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78"/>
        <v>0908-18</v>
      </c>
      <c r="AE222" s="80" t="str">
        <f t="shared" si="7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2" s="77" t="str">
        <f t="shared" si="80"/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)|(\[timeout)|(PRM\|1\|D)|(kpr)|(kdp)|(train st.+moving)|(\|lc)|(penalty))"</v>
      </c>
      <c r="AG222" s="1" t="str">
        <f t="shared" si="81"/>
        <v>Other</v>
      </c>
      <c r="AH222" s="81" t="str">
        <f t="shared" si="82"/>
        <v>"%USERPROFILE%\Documents\GitHub\eaglep3\Utilities\RefineRTDCRunTimes.py" --tripid 908-18 --locoid 4025 --swversion DE.1.0.9.0 --startMP 300:58619 --initTime 2017-05-18T22:37:48 --startdatetime 1969-12-31T17:00:00 --delay 1 --endMP 300:21687 --enddatetime 1969-12-31T17:00:00 --enforcementcount 0 &gt;&gt;C:\Users\stu\Documents\GitHub\eaglep3-reporting\EC\2017-05-18-refined-times.txt</v>
      </c>
      <c r="AI222" s="9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{"issue":{"subject":"","project_id":79,"tracker_id":40,"status_id":1,"priority_id":2,"assigned_to_id":23,"start_date":"1969-12-31","description":"","custom_fields":[{"id":1,"name":"Subdivision","value":"Other"},{"id":4,"name":"Milepost","value":"2.1687"},{"id":17,"name":"Train ID","value":"908-18"},{"id":16,"name":"Locomotive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84"/>
        <v>start /low /b %USERPROFILE%\Documents\GitHub\eaglep3\Utilities\DownloadLogsFromS3.py --loco 4025 --day 1969-12-31</v>
      </c>
      <c r="AN222" s="154" t="str">
        <f t="shared" si="8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824</v>
      </c>
      <c r="B223" s="7">
        <v>4061</v>
      </c>
      <c r="C223" s="21" t="s">
        <v>206</v>
      </c>
      <c r="D223" s="21" t="s">
        <v>934</v>
      </c>
      <c r="E223" s="13">
        <v>42874.059930555559</v>
      </c>
      <c r="F223" s="13">
        <v>42874.061249999999</v>
      </c>
      <c r="G223" s="7">
        <v>1</v>
      </c>
      <c r="H223" s="21" t="s">
        <v>935</v>
      </c>
      <c r="I223" s="13">
        <v>42874.065879629627</v>
      </c>
      <c r="J223" s="7">
        <v>0</v>
      </c>
      <c r="K223" s="92" t="str">
        <f t="shared" si="69"/>
        <v>4061/4062</v>
      </c>
      <c r="L223" s="21" t="str">
        <f>VLOOKUP(A223,'Trips&amp;Operators'!$C$1:$G$99999,5,FALSE)</f>
        <v>WILLIAMS DONTE</v>
      </c>
      <c r="M223" s="6">
        <f t="shared" si="70"/>
        <v>4.6296296277432702E-3</v>
      </c>
      <c r="N223" s="7">
        <f t="shared" si="68"/>
        <v>6.6666666639503092</v>
      </c>
      <c r="O223" s="7"/>
      <c r="P223" s="7"/>
      <c r="Q223" s="22"/>
      <c r="R223" s="190"/>
      <c r="S223" s="196">
        <f t="shared" si="71"/>
        <v>0</v>
      </c>
      <c r="T223" s="190" t="str">
        <f t="shared" si="72"/>
        <v>NorthBound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73"/>
        <v>https://d0f6bd738d7f1b3e5a7ca70fe4ff75f0.us-east-1.aws.found.io/app/kibana#/discover/Steve-Slow-Train-Analysis-(2080s-and-2083s)?_g=(refreshInterval:(display:Off,pause:!f,section:0,value:0),time:(from:'2017-05-19T00:26:18-0600',mode:absolute,to:'2017-05-19T02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3" s="192" t="str">
        <f t="shared" si="74"/>
        <v>Y</v>
      </c>
      <c r="X223" s="192">
        <f t="shared" si="86"/>
        <v>3153</v>
      </c>
      <c r="Y223" s="192">
        <f t="shared" si="75"/>
        <v>1.4846999999999999</v>
      </c>
      <c r="Z223" s="192">
        <f t="shared" si="76"/>
        <v>3.3300000000000003E-2</v>
      </c>
      <c r="AA223" s="192">
        <f t="shared" si="77"/>
        <v>1.4513999999999998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78"/>
        <v>4061-18</v>
      </c>
      <c r="AE223" s="80" t="str">
        <f t="shared" si="79"/>
        <v>aws s3 cp s3://rtdc.mdm.uploadarchive.raw/RTDC4061/ "%USERPROFILE%\AppData\Local\Temp\OnboardLogs"\RTDC4061\2017-05-19 --exclude "*" --recursive --include "*20170519*" &amp; "%USERPROFILE%\Documents\GitHub\mrs-test-scripts\Headless Mode &amp; Sideloading\WalkAndUnGZ.bat" "%USERPROFILE%\AppData\Local\Temp\OnboardLogs"\RTDC4061\2017-05-19 &amp; 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</v>
      </c>
      <c r="AF223" s="77" t="str">
        <f t="shared" si="80"/>
        <v>"C:\Program Files (x86)\AstroGrep\AstroGrep.exe" /e /r /s /spath="%USERPROFILE%\AppData\Local\Temp\OnboardLogs" /stypes="app*4061*20170519*" /stext=" 07:.+((SYSTEM_STATE.+slice.+state.+changed )|(ment ac)|(multiple cpu faults)|(system.+state.+changed )|(\[timeout)|(PRM\|1\|D)|(kpr)|(kdp)|(train st.+moving)|(\|lc)|(penalty))"</v>
      </c>
      <c r="AG223" s="1" t="str">
        <f t="shared" si="81"/>
        <v>Other</v>
      </c>
      <c r="AH223" s="81" t="str">
        <f t="shared" si="82"/>
        <v>"%USERPROFILE%\Documents\GitHub\eaglep3\Utilities\RefineRTDCRunTimes.py" --tripid 4061-18 --locoid 4061 --swversion DE.1.0.9.0 --startMP 204:14847 --initTime 2017-05-19T01:26:18 --startdatetime 2017-05-19T01:28:12 --delay 1 --endMP 204:333 --enddatetime 2017-05-19T01:34:52 --enforcementcount 0 &gt;&gt;C:\Users\stu\Documents\GitHub\eaglep3-reporting\EC\2017-05-18-refined-times.txt</v>
      </c>
      <c r="AI223" s="99" t="str">
        <f t="shared" si="83"/>
        <v>echo {"issue":{"subject":"","project_id":79,"tracker_id":40,"status_id":1,"priority_id":2,"assigned_to_id":23,"start_date":"2017-05-19","description":"","custom_fields":[{"id":1,"name":"Subdivision","value":"Other"},{"id":4,"name":"Milepost","value":"0.0333"},{"id":17,"name":"Train ID","value":"4061-18"},{"id":16,"name":"Locomotive ID","value":"4061"},{"id":130,"name":"Impact","value":""},{"id":150,"name":"Time of Event (Mountain Time)","value":"01:34:52"},{"id":151,"name":"Denver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84"/>
        <v>start /low /b %USERPROFILE%\Documents\GitHub\eaglep3\Utilities\DownloadLogsFromS3.py --loco 4061 --day 2017-05-19</v>
      </c>
      <c r="AN223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824</v>
      </c>
      <c r="B224" s="7">
        <v>4061</v>
      </c>
      <c r="C224" s="21" t="s">
        <v>206</v>
      </c>
      <c r="D224" s="21" t="s">
        <v>936</v>
      </c>
      <c r="E224" s="13">
        <v>42874.026203703703</v>
      </c>
      <c r="F224" s="13">
        <v>42874.061249999999</v>
      </c>
      <c r="G224" s="7">
        <v>1</v>
      </c>
      <c r="H224" s="21" t="s">
        <v>937</v>
      </c>
      <c r="I224" s="13">
        <v>42874.065879629627</v>
      </c>
      <c r="J224" s="7">
        <v>0</v>
      </c>
      <c r="K224" s="92" t="str">
        <f t="shared" si="69"/>
        <v>4061/4062</v>
      </c>
      <c r="L224" s="21" t="str">
        <f>VLOOKUP(A224,'Trips&amp;Operators'!$C$1:$G$99999,5,FALSE)</f>
        <v>WILLIAMS DONTE</v>
      </c>
      <c r="M224" s="6">
        <f t="shared" si="70"/>
        <v>4.6296296277432702E-3</v>
      </c>
      <c r="N224" s="7">
        <f t="shared" si="68"/>
        <v>6.6666666639503092</v>
      </c>
      <c r="O224" s="7"/>
      <c r="P224" s="7"/>
      <c r="Q224" s="22"/>
      <c r="R224" s="190"/>
      <c r="S224" s="196">
        <f t="shared" si="71"/>
        <v>0</v>
      </c>
      <c r="T224" s="190" t="str">
        <f t="shared" si="72"/>
        <v>NorthBound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73"/>
        <v>https://d0f6bd738d7f1b3e5a7ca70fe4ff75f0.us-east-1.aws.found.io/app/kibana#/discover/Steve-Slow-Train-Analysis-(2080s-and-2083s)?_g=(refreshInterval:(display:Off,pause:!f,section:0,value:0),time:(from:'2017-05-18T23:37:44-0600',mode:absolute,to:'2017-05-19T02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4" s="192" t="str">
        <f t="shared" si="74"/>
        <v>N</v>
      </c>
      <c r="X224" s="192">
        <f t="shared" si="86"/>
        <v>0</v>
      </c>
      <c r="Y224" s="192">
        <f t="shared" si="75"/>
        <v>23.309899999999999</v>
      </c>
      <c r="Z224" s="192">
        <f t="shared" si="76"/>
        <v>1.4835</v>
      </c>
      <c r="AA224" s="192">
        <f t="shared" si="77"/>
        <v>21.8264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78"/>
        <v>4061-18</v>
      </c>
      <c r="AE224" s="80" t="str">
        <f t="shared" si="79"/>
        <v>aws s3 cp s3://rtdc.mdm.uploadarchive.raw/RTDC4061/ "%USERPROFILE%\AppData\Local\Temp\OnboardLogs"\RTDC4061\2017-05-19 --exclude "*" --recursive --include "*20170519*" &amp; "%USERPROFILE%\Documents\GitHub\mrs-test-scripts\Headless Mode &amp; Sideloading\WalkAndUnGZ.bat" "%USERPROFILE%\AppData\Local\Temp\OnboardLogs"\RTDC4061\2017-05-19 &amp; 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</v>
      </c>
      <c r="AF224" s="77" t="str">
        <f t="shared" si="80"/>
        <v>"C:\Program Files (x86)\AstroGrep\AstroGrep.exe" /e /r /s /spath="%USERPROFILE%\AppData\Local\Temp\OnboardLogs" /stypes="app*4061*20170519*" /stext=" 07:.+((SYSTEM_STATE.+slice.+state.+changed )|(ment ac)|(multiple cpu faults)|(system.+state.+changed )|(\[timeout)|(PRM\|1\|D)|(kpr)|(kdp)|(train st.+moving)|(\|lc)|(penalty))"</v>
      </c>
      <c r="AG224" s="1" t="str">
        <f t="shared" si="81"/>
        <v>Other</v>
      </c>
      <c r="AH224" s="81" t="str">
        <f t="shared" si="82"/>
        <v>"%USERPROFILE%\Documents\GitHub\eaglep3\Utilities\RefineRTDCRunTimes.py" --tripid 4061-18 --locoid 4061 --swversion DE.1.0.9.0 --startMP 204:233099 --initTime 2017-05-19T00:37:44 --startdatetime 2017-05-19T01:28:12 --delay 1 --endMP 204:14835 --enddatetime 2017-05-19T01:34:52 --enforcementcount 0 &gt;&gt;C:\Users\stu\Documents\GitHub\eaglep3-reporting\EC\2017-05-18-refined-times.txt</v>
      </c>
      <c r="AI224" s="99" t="str">
        <f t="shared" si="83"/>
        <v>echo {"issue":{"subject":"","project_id":79,"tracker_id":40,"status_id":1,"priority_id":2,"assigned_to_id":23,"start_date":"2017-05-19","description":"","custom_fields":[{"id":1,"name":"Subdivision","value":"Other"},{"id":4,"name":"Milepost","value":"1.4835"},{"id":17,"name":"Train ID","value":"4061-18"},{"id":16,"name":"Locomotive ID","value":"4061"},{"id":130,"name":"Impact","value":""},{"id":150,"name":"Time of Event (Mountain Time)","value":"01:34:52"},{"id":151,"name":"Denver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84"/>
        <v>start /low /b %USERPROFILE%\Documents\GitHub\eaglep3\Utilities\DownloadLogsFromS3.py --loco 4061 --day 2017-05-19</v>
      </c>
      <c r="AN224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829</v>
      </c>
      <c r="B225" s="7">
        <v>4062</v>
      </c>
      <c r="C225" s="21" t="s">
        <v>206</v>
      </c>
      <c r="D225" s="21" t="s">
        <v>938</v>
      </c>
      <c r="E225" s="13">
        <v>42874.06758101852</v>
      </c>
      <c r="F225" s="13">
        <v>42874.073611111111</v>
      </c>
      <c r="G225" s="7">
        <v>1</v>
      </c>
      <c r="H225" s="21" t="s">
        <v>566</v>
      </c>
      <c r="I225" s="13">
        <v>42874.084722222222</v>
      </c>
      <c r="J225" s="7">
        <v>0</v>
      </c>
      <c r="K225" s="92" t="str">
        <f t="shared" si="69"/>
        <v>4061/4062</v>
      </c>
      <c r="L225" s="21" t="str">
        <f>VLOOKUP(A225,'Trips&amp;Operators'!$C$1:$G$99999,5,FALSE)</f>
        <v>WILLIAMS DONTE</v>
      </c>
      <c r="M225" s="6">
        <f t="shared" si="70"/>
        <v>1.1111111110949423E-2</v>
      </c>
      <c r="N225" s="7">
        <f t="shared" si="68"/>
        <v>15.999999999767169</v>
      </c>
      <c r="O225" s="7"/>
      <c r="P225" s="7"/>
      <c r="Q225" s="22"/>
      <c r="R225" s="190"/>
      <c r="S225" s="196">
        <f t="shared" si="71"/>
        <v>0</v>
      </c>
      <c r="T225" s="190" t="str">
        <f t="shared" si="72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73"/>
        <v>https://d0f6bd738d7f1b3e5a7ca70fe4ff75f0.us-east-1.aws.found.io/app/kibana#/discover/Steve-Slow-Train-Analysis-(2080s-and-2083s)?_g=(refreshInterval:(display:Off,pause:!f,section:0,value:0),time:(from:'2017-05-19T00:37:19-0600',mode:absolute,to:'2017-05-19T03:02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5" s="192" t="str">
        <f t="shared" si="74"/>
        <v>Y</v>
      </c>
      <c r="X225" s="192">
        <f t="shared" si="86"/>
        <v>1</v>
      </c>
      <c r="Y225" s="192">
        <f t="shared" si="75"/>
        <v>6.4100000000000004E-2</v>
      </c>
      <c r="Z225" s="192">
        <f t="shared" si="76"/>
        <v>2.3306</v>
      </c>
      <c r="AA225" s="192">
        <f t="shared" si="77"/>
        <v>2.2665000000000002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78"/>
        <v>4062-18</v>
      </c>
      <c r="AE225" s="80" t="str">
        <f t="shared" si="79"/>
        <v>aws s3 cp s3://rtdc.mdm.uploadarchive.raw/RTDC4062/ "%USERPROFILE%\AppData\Local\Temp\OnboardLogs"\RTDC4062\2017-05-19 --exclude "*" --recursive --include "*20170519*" &amp; "%USERPROFILE%\Documents\GitHub\mrs-test-scripts\Headless Mode &amp; Sideloading\WalkAndUnGZ.bat" "%USERPROFILE%\AppData\Local\Temp\OnboardLogs"\RTDC4062\2017-05-19 &amp; aws s3 cp s3://rtdc.mdm.uploadarchive.raw/RTDC4062/ "%USERPROFILE%\AppData\Local\Temp\OnboardLogs"\RTDC4062\2017-05-20 --exclude "*" --recursive --include "*20170520*" &amp; "%USERPROFILE%\Documents\GitHub\mrs-test-scripts\Headless Mode &amp; Sideloading\WalkAndUnGZ.bat" "%USERPROFILE%\AppData\Local\Temp\OnboardLogs"\RTDC4062\2017-05-20</v>
      </c>
      <c r="AF225" s="77" t="str">
        <f t="shared" si="80"/>
        <v>"C:\Program Files (x86)\AstroGrep\AstroGrep.exe" /e /r /s /spath="%USERPROFILE%\AppData\Local\Temp\OnboardLogs" /stypes="app*4062*20170519*" /stext=" 08:.+((SYSTEM_STATE.+slice.+state.+changed )|(ment ac)|(multiple cpu faults)|(system.+state.+changed )|(\[timeout)|(PRM\|1\|D)|(kpr)|(kdp)|(train st.+moving)|(\|lc)|(penalty))"</v>
      </c>
      <c r="AG225" s="1" t="str">
        <f t="shared" si="81"/>
        <v>Other</v>
      </c>
      <c r="AH225" s="81" t="str">
        <f t="shared" si="82"/>
        <v>"%USERPROFILE%\Documents\GitHub\eaglep3\Utilities\RefineRTDCRunTimes.py" --tripid 4062-18 --locoid 4062 --swversion DE.1.0.9.0 --startMP 204:641 --initTime 2017-05-19T01:37:19 --startdatetime 2017-05-19T01:46:00 --delay 1 --endMP 300:23306 --enddatetime 2017-05-19T02:02:00 --enforcementcount 0 &gt;&gt;C:\Users\stu\Documents\GitHub\eaglep3-reporting\EC\2017-05-18-refined-times.txt</v>
      </c>
      <c r="AI225" s="99" t="str">
        <f t="shared" si="83"/>
        <v>echo {"issue":{"subject":"","project_id":79,"tracker_id":40,"status_id":1,"priority_id":2,"assigned_to_id":23,"start_date":"2017-05-19","description":"","custom_fields":[{"id":1,"name":"Subdivision","value":"Other"},{"id":4,"name":"Milepost","value":"2.3306"},{"id":17,"name":"Train ID","value":"4062-18"},{"id":16,"name":"Locomotive ID","value":"4062"},{"id":130,"name":"Impact","value":""},{"id":150,"name":"Time of Event (Mountain Time)","value":"02:02:00"},{"id":151,"name":"Denver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84"/>
        <v>start /low /b %USERPROFILE%\Documents\GitHub\eaglep3\Utilities\DownloadLogsFromS3.py --loco 4062 --day 2017-05-19</v>
      </c>
      <c r="AN225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08:02:00"},{"id":29,"name":"Sharepoint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596</v>
      </c>
      <c r="B226" s="7">
        <v>4005</v>
      </c>
      <c r="C226" s="21" t="s">
        <v>206</v>
      </c>
      <c r="D226" s="21" t="s">
        <v>939</v>
      </c>
      <c r="E226" s="13">
        <v>42873.427916666667</v>
      </c>
      <c r="F226" s="13">
        <v>42873.432314814818</v>
      </c>
      <c r="G226" s="7">
        <v>6</v>
      </c>
      <c r="H226" s="21" t="s">
        <v>940</v>
      </c>
      <c r="I226" s="13">
        <v>42873.437245370369</v>
      </c>
      <c r="J226" s="7">
        <v>0</v>
      </c>
      <c r="K226" s="92" t="str">
        <f t="shared" si="69"/>
        <v>4005/4006</v>
      </c>
      <c r="L226" s="21" t="str">
        <f>VLOOKUP(A226,'Trips&amp;Operators'!$C$1:$G$99999,5,FALSE)</f>
        <v>DELGADO DIANAH</v>
      </c>
      <c r="M226" s="6">
        <f t="shared" si="70"/>
        <v>4.9305555512546562E-3</v>
      </c>
      <c r="N226" s="7">
        <f t="shared" si="68"/>
        <v>7.0999999938067049</v>
      </c>
      <c r="O226" s="7"/>
      <c r="P226" s="7"/>
      <c r="Q226" s="22"/>
      <c r="R226" s="190"/>
      <c r="S226" s="196">
        <f t="shared" si="71"/>
        <v>0</v>
      </c>
      <c r="T226" s="190" t="e">
        <f t="shared" si="72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73"/>
        <v>https://d0f6bd738d7f1b3e5a7ca70fe4ff75f0.us-east-1.aws.found.io/app/kibana#/discover/Steve-Slow-Train-Analysis-(2080s-and-2083s)?_g=(refreshInterval:(display:Off,pause:!f,section:0,value:0),time:(from:'2017-05-18T09:16:12-0600',mode:absolute,to:'2017-05-18T11:29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192" t="str">
        <f t="shared" si="74"/>
        <v>Y</v>
      </c>
      <c r="X226" s="192" t="e">
        <f t="shared" si="86"/>
        <v>#VALUE!</v>
      </c>
      <c r="Y226" s="192">
        <f t="shared" si="75"/>
        <v>2.2456999999999998</v>
      </c>
      <c r="Z226" s="192">
        <f t="shared" si="76"/>
        <v>7.3000000000000001E-3</v>
      </c>
      <c r="AA226" s="192">
        <f t="shared" si="77"/>
        <v>2.2383999999999999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78"/>
        <v>50-18</v>
      </c>
      <c r="AE226" s="80" t="str">
        <f t="shared" si="79"/>
        <v>aws s3 cp s3://rtdc.mdm.uploadarchive.raw/RTDC4005/ "%USERPROFILE%\AppData\Local\Temp\OnboardLogs"\RTDC4005\2017-05-18 --exclude "*" --recursive --include "*20170518*" &amp; "%USERPROFILE%\Documents\GitHub\mrs-test-scripts\Headless Mode &amp; Sideloading\WalkAndUnGZ.bat" "%USERPROFILE%\AppData\Local\Temp\OnboardLogs"\RTDC4005\2017-05-18 &amp; 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</v>
      </c>
      <c r="AF226" s="77" t="str">
        <f t="shared" si="80"/>
        <v>"C:\Program Files (x86)\AstroGrep\AstroGrep.exe" /e /r /s /spath="%USERPROFILE%\AppData\Local\Temp\OnboardLogs" /stypes="app*4005*20170518*" /stext=" 16:.+((SYSTEM_STATE.+slice.+state.+changed )|(ment ac)|(multiple cpu faults)|(system.+state.+changed )|(\[timeout)|(PRM\|1\|D)|(kpr)|(kdp)|(train st.+moving)|(\|lc)|(penalty))"</v>
      </c>
      <c r="AG226" s="1" t="str">
        <f t="shared" si="81"/>
        <v>Other</v>
      </c>
      <c r="AH226" s="81" t="str">
        <f t="shared" si="82"/>
        <v>"%USERPROFILE%\Documents\GitHub\eaglep3\Utilities\RefineRTDCRunTimes.py" --tripid 50-18 --locoid 4005 --swversion DE.1.0.9.0 --startMP 300:22457 --initTime 2017-05-18T10:16:12 --startdatetime 2017-05-18T10:22:32 --delay 6 --endMP 204:73 --enddatetime 2017-05-18T10:29:38 --enforcementcount 0 &gt;&gt;C:\Users\stu\Documents\GitHub\eaglep3-reporting\EC\2017-05-18-refined-times.txt</v>
      </c>
      <c r="AI226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{"issue":{"subject":"","project_id":79,"tracker_id":40,"status_id":1,"priority_id":2,"assigned_to_id":23,"start_date":"2017-05-18","description":"","custom_fields":[{"id":1,"name":"Subdivision","value":"Other"},{"id":4,"name":"Milepost","value":"0.0073"},{"id":17,"name":"Train ID","value":"50-18"},{"id":16,"name":"Locomotive ID","value":"4005"},{"id":130,"name":"Impact","value":""},{"id":150,"name":"Time of Event (Mountain Time)","value":"10:29:38"},{"id":151,"name":"Denver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84"/>
        <v>start /low /b %USERPROFILE%\Documents\GitHub\eaglep3\Utilities\DownloadLogsFromS3.py --loco 4005 --day 2017-05-18</v>
      </c>
      <c r="AN226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16:29:38"},{"id":29,"name":"Sharepoint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639</v>
      </c>
      <c r="B227" s="7">
        <v>4006</v>
      </c>
      <c r="C227" s="21" t="s">
        <v>206</v>
      </c>
      <c r="D227" s="21" t="s">
        <v>941</v>
      </c>
      <c r="E227" s="13">
        <v>42873.466435185182</v>
      </c>
      <c r="F227" s="13">
        <v>42873.4684375</v>
      </c>
      <c r="G227" s="7">
        <v>2</v>
      </c>
      <c r="H227" s="21" t="s">
        <v>942</v>
      </c>
      <c r="I227" s="13">
        <v>42873.474039351851</v>
      </c>
      <c r="J227" s="7">
        <v>0</v>
      </c>
      <c r="K227" s="92" t="str">
        <f t="shared" si="69"/>
        <v>4005/4006</v>
      </c>
      <c r="L227" s="21" t="str">
        <f>VLOOKUP(A227,'Trips&amp;Operators'!$C$1:$G$99999,5,FALSE)</f>
        <v>SPECTOR MICHAEL</v>
      </c>
      <c r="M227" s="6">
        <f t="shared" si="70"/>
        <v>5.6018518516793847E-3</v>
      </c>
      <c r="N227" s="7">
        <f t="shared" si="68"/>
        <v>8.066666666418314</v>
      </c>
      <c r="O227" s="7"/>
      <c r="P227" s="7"/>
      <c r="Q227" s="22"/>
      <c r="R227" s="190"/>
      <c r="S227" s="196">
        <f t="shared" si="71"/>
        <v>0</v>
      </c>
      <c r="T227" s="190" t="e">
        <f t="shared" si="72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73"/>
        <v>https://d0f6bd738d7f1b3e5a7ca70fe4ff75f0.us-east-1.aws.found.io/app/kibana#/discover/Steve-Slow-Train-Analysis-(2080s-and-2083s)?_g=(refreshInterval:(display:Off,pause:!f,section:0,value:0),time:(from:'2017-05-18T10:11:40-0600',mode:absolute,to:'2017-05-18T12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7" s="192" t="str">
        <f t="shared" si="74"/>
        <v>Y</v>
      </c>
      <c r="X227" s="192" t="e">
        <f t="shared" si="86"/>
        <v>#VALUE!</v>
      </c>
      <c r="Y227" s="192">
        <f t="shared" si="75"/>
        <v>3.7900000000000003E-2</v>
      </c>
      <c r="Z227" s="192">
        <f t="shared" si="76"/>
        <v>2.4239000000000002</v>
      </c>
      <c r="AA227" s="192">
        <f t="shared" si="77"/>
        <v>2.3860000000000001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78"/>
        <v>51-18</v>
      </c>
      <c r="AE227" s="80" t="str">
        <f t="shared" si="79"/>
        <v>aws s3 cp s3://rtdc.mdm.uploadarchive.raw/RTDC4006/ "%USERPROFILE%\AppData\Local\Temp\OnboardLogs"\RTDC4006\2017-05-18 --exclude "*" --recursive --include "*20170518*" &amp; "%USERPROFILE%\Documents\GitHub\mrs-test-scripts\Headless Mode &amp; Sideloading\WalkAndUnGZ.bat" "%USERPROFILE%\AppData\Local\Temp\OnboardLogs"\RTDC4006\2017-05-18 &amp; 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</v>
      </c>
      <c r="AF227" s="77" t="str">
        <f t="shared" si="80"/>
        <v>"C:\Program Files (x86)\AstroGrep\AstroGrep.exe" /e /r /s /spath="%USERPROFILE%\AppData\Local\Temp\OnboardLogs" /stypes="app*4006*20170518*" /stext=" 17:.+((SYSTEM_STATE.+slice.+state.+changed )|(ment ac)|(multiple cpu faults)|(system.+state.+changed )|(\[timeout)|(PRM\|1\|D)|(kpr)|(kdp)|(train st.+moving)|(\|lc)|(penalty))"</v>
      </c>
      <c r="AG227" s="1" t="str">
        <f t="shared" si="81"/>
        <v>Other</v>
      </c>
      <c r="AH227" s="81" t="str">
        <f t="shared" si="82"/>
        <v>"%USERPROFILE%\Documents\GitHub\eaglep3\Utilities\RefineRTDCRunTimes.py" --tripid 51-18 --locoid 4006 --swversion DE.1.0.9.0 --startMP 204:379 --initTime 2017-05-18T11:11:40 --startdatetime 2017-05-18T11:14:33 --delay 2 --endMP 300:24239 --enddatetime 2017-05-18T11:22:37 --enforcementcount 0 &gt;&gt;C:\Users\stu\Documents\GitHub\eaglep3-reporting\EC\2017-05-18-refined-times.txt</v>
      </c>
      <c r="AI227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{"issue":{"subject":"","project_id":79,"tracker_id":40,"status_id":1,"priority_id":2,"assigned_to_id":23,"start_date":"2017-05-18","description":"","custom_fields":[{"id":1,"name":"Subdivision","value":"Other"},{"id":4,"name":"Milepost","value":"2.4239"},{"id":17,"name":"Train ID","value":"51-18"},{"id":16,"name":"Locomotive ID","value":"4006"},{"id":130,"name":"Impact","value":""},{"id":150,"name":"Time of Event (Mountain Time)","value":"11:22:37"},{"id":151,"name":"Denver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84"/>
        <v>start /low /b %USERPROFILE%\Documents\GitHub\eaglep3\Utilities\DownloadLogsFromS3.py --loco 4006 --day 2017-05-18</v>
      </c>
      <c r="AN227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s="20" customFormat="1" x14ac:dyDescent="0.25">
      <c r="A228" s="32" t="s">
        <v>639</v>
      </c>
      <c r="B228" s="7">
        <v>4010</v>
      </c>
      <c r="C228" s="21" t="s">
        <v>206</v>
      </c>
      <c r="D228" s="21" t="s">
        <v>364</v>
      </c>
      <c r="E228" s="13">
        <v>42873.247789351852</v>
      </c>
      <c r="F228" s="13">
        <v>42873.252847222226</v>
      </c>
      <c r="G228" s="7">
        <v>1</v>
      </c>
      <c r="H228" s="21" t="s">
        <v>943</v>
      </c>
      <c r="I228" s="13">
        <v>42873.253796296296</v>
      </c>
      <c r="J228" s="7">
        <v>0</v>
      </c>
      <c r="K228" s="92" t="str">
        <f t="shared" si="69"/>
        <v>4009/4010</v>
      </c>
      <c r="L228" s="21" t="str">
        <f>VLOOKUP(A228,'Trips&amp;Operators'!$C$1:$G$99999,5,FALSE)</f>
        <v>SPECTOR MICHAEL</v>
      </c>
      <c r="M228" s="6">
        <f t="shared" si="70"/>
        <v>9.4907407037680969E-4</v>
      </c>
      <c r="N228" s="7">
        <f t="shared" si="68"/>
        <v>1.3666666613426059</v>
      </c>
      <c r="O228" s="7"/>
      <c r="P228" s="7"/>
      <c r="Q228" s="22"/>
      <c r="R228" s="190"/>
      <c r="S228" s="196">
        <f t="shared" si="71"/>
        <v>0</v>
      </c>
      <c r="T228" s="190" t="e">
        <f t="shared" si="72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73"/>
        <v>https://d0f6bd738d7f1b3e5a7ca70fe4ff75f0.us-east-1.aws.found.io/app/kibana#/discover/Steve-Slow-Train-Analysis-(2080s-and-2083s)?_g=(refreshInterval:(display:Off,pause:!f,section:0,value:0),time:(from:'2017-05-18T04:56:49-0600',mode:absolute,to:'2017-05-18T07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8" s="192" t="str">
        <f t="shared" si="74"/>
        <v>Y</v>
      </c>
      <c r="X228" s="192" t="e">
        <f t="shared" si="86"/>
        <v>#VALUE!</v>
      </c>
      <c r="Y228" s="192">
        <f t="shared" si="75"/>
        <v>4.53E-2</v>
      </c>
      <c r="Z228" s="192">
        <f t="shared" si="76"/>
        <v>0.35320000000000001</v>
      </c>
      <c r="AA228" s="192">
        <f t="shared" si="77"/>
        <v>0.30790000000000001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78"/>
        <v>51-18</v>
      </c>
      <c r="AE228" s="80" t="str">
        <f t="shared" si="79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228" s="77" t="str">
        <f t="shared" si="80"/>
        <v>"C:\Program Files (x86)\AstroGrep\AstroGrep.exe" /e /r /s /spath="%USERPROFILE%\AppData\Local\Temp\OnboardLogs" /stypes="app*4010*20170518*" /stext=" 12:.+((SYSTEM_STATE.+slice.+state.+changed )|(ment ac)|(multiple cpu faults)|(system.+state.+changed )|(\[timeout)|(PRM\|1\|D)|(kpr)|(kdp)|(train st.+moving)|(\|lc)|(penalty))"</v>
      </c>
      <c r="AG228" s="1" t="str">
        <f t="shared" si="81"/>
        <v>Other</v>
      </c>
      <c r="AH228" s="81" t="str">
        <f t="shared" si="82"/>
        <v>"%USERPROFILE%\Documents\GitHub\eaglep3\Utilities\RefineRTDCRunTimes.py" --tripid 51-18 --locoid 4010 --swversion DE.1.0.9.0 --startMP 204:453 --initTime 2017-05-18T05:56:49 --startdatetime 2017-05-18T06:04:06 --delay 1 --endMP 204:3532 --enddatetime 2017-05-18T06:05:28 --enforcementcount 0 &gt;&gt;C:\Users\stu\Documents\GitHub\eaglep3-reporting\EC\2017-05-18-refined-times.txt</v>
      </c>
      <c r="AI228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{"issue":{"subject":"","project_id":79,"tracker_id":40,"status_id":1,"priority_id":2,"assigned_to_id":23,"start_date":"2017-05-18","description":"","custom_fields":[{"id":1,"name":"Subdivision","value":"Other"},{"id":4,"name":"Milepost","value":"0.3532"},{"id":17,"name":"Train ID","value":"51-18"},{"id":16,"name":"Locomotive ID","value":"4010"},{"id":130,"name":"Impact","value":""},{"id":150,"name":"Time of Event (Mountain Time)","value":"06:05:28"},{"id":151,"name":"Denver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7"/>
      <c r="AL228" s="47"/>
      <c r="AM228" s="145" t="str">
        <f t="shared" si="84"/>
        <v>start /low /b %USERPROFILE%\Documents\GitHub\eaglep3\Utilities\DownloadLogsFromS3.py --loco 4010 --day 2017-05-18</v>
      </c>
      <c r="AN228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831</v>
      </c>
      <c r="B229" s="7">
        <v>4014</v>
      </c>
      <c r="C229" s="21" t="s">
        <v>206</v>
      </c>
      <c r="D229" s="21" t="s">
        <v>374</v>
      </c>
      <c r="E229" s="13">
        <v>42874.108912037038</v>
      </c>
      <c r="F229" s="13">
        <v>42874.156875000001</v>
      </c>
      <c r="G229" s="7">
        <v>1</v>
      </c>
      <c r="H229" s="21" t="s">
        <v>944</v>
      </c>
      <c r="I229" s="13">
        <v>42874.165868055556</v>
      </c>
      <c r="J229" s="7">
        <v>0</v>
      </c>
      <c r="K229" s="92" t="str">
        <f t="shared" si="69"/>
        <v>4013/4014</v>
      </c>
      <c r="L229" s="21" t="str">
        <f>VLOOKUP(A229,'Trips&amp;Operators'!$C$1:$G$99999,5,FALSE)</f>
        <v>SPECTOR MICHAEL</v>
      </c>
      <c r="M229" s="6">
        <f t="shared" si="70"/>
        <v>8.9930555550381541E-3</v>
      </c>
      <c r="N229" s="7">
        <f t="shared" si="68"/>
        <v>12.949999999254942</v>
      </c>
      <c r="O229" s="7"/>
      <c r="P229" s="7"/>
      <c r="Q229" s="22"/>
      <c r="R229" s="190"/>
      <c r="S229" s="196">
        <f t="shared" si="71"/>
        <v>0</v>
      </c>
      <c r="T229" s="190" t="e">
        <f t="shared" si="72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73"/>
        <v>https://d0f6bd738d7f1b3e5a7ca70fe4ff75f0.us-east-1.aws.found.io/app/kibana#/discover/Steve-Slow-Train-Analysis-(2080s-and-2083s)?_g=(refreshInterval:(display:Off,pause:!f,section:0,value:0),time:(from:'2017-05-19T01:36:50-0600',mode:absolute,to:'2017-05-19T04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9" s="192" t="str">
        <f t="shared" si="74"/>
        <v>Y</v>
      </c>
      <c r="X229" s="192" t="e">
        <f t="shared" si="86"/>
        <v>#VALUE!</v>
      </c>
      <c r="Y229" s="192">
        <f t="shared" si="75"/>
        <v>4.5499999999999999E-2</v>
      </c>
      <c r="Z229" s="192">
        <f t="shared" si="76"/>
        <v>0.32079999999999997</v>
      </c>
      <c r="AA229" s="192">
        <f t="shared" si="77"/>
        <v>0.27529999999999999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78"/>
        <v>51-19</v>
      </c>
      <c r="AE229" s="80" t="str">
        <f t="shared" si="79"/>
        <v>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 &amp; 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</v>
      </c>
      <c r="AF229" s="77" t="str">
        <f t="shared" si="80"/>
        <v>"C:\Program Files (x86)\AstroGrep\AstroGrep.exe" /e /r /s /spath="%USERPROFILE%\AppData\Local\Temp\OnboardLogs" /stypes="app*4014*20170519*" /stext=" 09:.+((SYSTEM_STATE.+slice.+state.+changed )|(ment ac)|(multiple cpu faults)|(system.+state.+changed )|(\[timeout)|(PRM\|1\|D)|(kpr)|(kdp)|(train st.+moving)|(\|lc)|(penalty))"</v>
      </c>
      <c r="AG229" s="1" t="str">
        <f t="shared" si="81"/>
        <v>Other</v>
      </c>
      <c r="AH229" s="81" t="str">
        <f t="shared" si="82"/>
        <v>"%USERPROFILE%\Documents\GitHub\eaglep3\Utilities\RefineRTDCRunTimes.py" --tripid 51-19 --locoid 4014 --swversion DE.1.0.9.0 --startMP 204:455 --initTime 2017-05-19T02:36:50 --startdatetime 2017-05-19T03:45:54 --delay 1 --endMP 204:3208 --enddatetime 2017-05-19T03:58:51 --enforcementcount 0 &gt;&gt;C:\Users\stu\Documents\GitHub\eaglep3-reporting\EC\2017-05-18-refined-times.txt</v>
      </c>
      <c r="AI229" s="99" t="str">
        <f t="shared" si="83"/>
        <v>echo {"issue":{"subject":"","project_id":79,"tracker_id":40,"status_id":1,"priority_id":2,"assigned_to_id":23,"start_date":"2017-05-19","description":"","custom_fields":[{"id":1,"name":"Subdivision","value":"Other"},{"id":4,"name":"Milepost","value":"0.3208"},{"id":17,"name":"Train ID","value":"51-19"},{"id":16,"name":"Locomotive ID","value":"4014"},{"id":130,"name":"Impact","value":""},{"id":150,"name":"Time of Event (Mountain Time)","value":"03:58:51"},{"id":151,"name":"Denver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84"/>
        <v>start /low /b %USERPROFILE%\Documents\GitHub\eaglep3\Utilities\DownloadLogsFromS3.py --loco 4014 --day 2017-05-19</v>
      </c>
      <c r="AN229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09:58:51"},{"id":29,"name":"Sharepoint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643</v>
      </c>
      <c r="B230" s="7">
        <v>4009</v>
      </c>
      <c r="C230" s="21" t="s">
        <v>206</v>
      </c>
      <c r="D230" s="21" t="s">
        <v>945</v>
      </c>
      <c r="E230" s="13">
        <v>42873.255289351851</v>
      </c>
      <c r="F230" s="13">
        <v>42873.2577662037</v>
      </c>
      <c r="G230" s="7">
        <v>1</v>
      </c>
      <c r="H230" s="21" t="s">
        <v>946</v>
      </c>
      <c r="I230" s="13">
        <v>42873.25885416667</v>
      </c>
      <c r="J230" s="7">
        <v>0</v>
      </c>
      <c r="K230" s="92" t="str">
        <f t="shared" si="69"/>
        <v>4009/4010</v>
      </c>
      <c r="L230" s="21" t="str">
        <f>VLOOKUP(A230,'Trips&amp;Operators'!$C$1:$G$99999,5,FALSE)</f>
        <v>SPECTOR MICHAEL</v>
      </c>
      <c r="M230" s="6">
        <f t="shared" si="70"/>
        <v>1.0879629699047655E-3</v>
      </c>
      <c r="N230" s="7">
        <f t="shared" ref="N230:N249" si="87">24*60*SUM($M230:$M230)</f>
        <v>1.5666666766628623</v>
      </c>
      <c r="O230" s="7"/>
      <c r="P230" s="7"/>
      <c r="Q230" s="22"/>
      <c r="R230" s="190"/>
      <c r="S230" s="196">
        <f t="shared" si="71"/>
        <v>0</v>
      </c>
      <c r="T230" s="190" t="e">
        <f t="shared" si="72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73"/>
        <v>https://d0f6bd738d7f1b3e5a7ca70fe4ff75f0.us-east-1.aws.found.io/app/kibana#/discover/Steve-Slow-Train-Analysis-(2080s-and-2083s)?_g=(refreshInterval:(display:Off,pause:!f,section:0,value:0),time:(from:'2017-05-18T05:07:37-0600',mode:absolute,to:'2017-05-18T07:12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0" s="192" t="str">
        <f t="shared" si="74"/>
        <v>Y</v>
      </c>
      <c r="X230" s="192" t="e">
        <f t="shared" si="86"/>
        <v>#VALUE!</v>
      </c>
      <c r="Y230" s="192">
        <f t="shared" si="75"/>
        <v>0.32490000000000002</v>
      </c>
      <c r="Z230" s="192">
        <f t="shared" si="76"/>
        <v>0.1169</v>
      </c>
      <c r="AA230" s="192">
        <f t="shared" si="77"/>
        <v>0.20800000000000002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78"/>
        <v>52-18</v>
      </c>
      <c r="AE230" s="80" t="str">
        <f t="shared" si="79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230" s="77" t="str">
        <f t="shared" si="80"/>
        <v>"C:\Program Files (x86)\AstroGrep\AstroGrep.exe" /e /r /s /spath="%USERPROFILE%\AppData\Local\Temp\OnboardLogs" /stypes="app*4009*20170518*" /stext=" 12:.+((SYSTEM_STATE.+slice.+state.+changed )|(ment ac)|(multiple cpu faults)|(system.+state.+changed )|(\[timeout)|(PRM\|1\|D)|(kpr)|(kdp)|(train st.+moving)|(\|lc)|(penalty))"</v>
      </c>
      <c r="AG230" s="1" t="str">
        <f t="shared" si="81"/>
        <v>Other</v>
      </c>
      <c r="AH230" s="81" t="str">
        <f t="shared" si="82"/>
        <v>"%USERPROFILE%\Documents\GitHub\eaglep3\Utilities\RefineRTDCRunTimes.py" --tripid 52-18 --locoid 4009 --swversion DE.1.0.9.0 --startMP 204:3249 --initTime 2017-05-18T06:07:37 --startdatetime 2017-05-18T06:11:11 --delay 1 --endMP 204:1169 --enddatetime 2017-05-18T06:12:45 --enforcementcount 0 &gt;&gt;C:\Users\stu\Documents\GitHub\eaglep3-reporting\EC\2017-05-18-refined-times.txt</v>
      </c>
      <c r="AI230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{"issue":{"subject":"","project_id":79,"tracker_id":40,"status_id":1,"priority_id":2,"assigned_to_id":23,"start_date":"2017-05-18","description":"","custom_fields":[{"id":1,"name":"Subdivision","value":"Other"},{"id":4,"name":"Milepost","value":"0.1169"},{"id":17,"name":"Train ID","value":"52-18"},{"id":16,"name":"Locomotive ID","value":"4009"},{"id":130,"name":"Impact","value":""},{"id":150,"name":"Time of Event (Mountain Time)","value":"06:12:45"},{"id":151,"name":"Denver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84"/>
        <v>start /low /b %USERPROFILE%\Documents\GitHub\eaglep3\Utilities\DownloadLogsFromS3.py --loco 4009 --day 2017-05-18</v>
      </c>
      <c r="AN230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12:12:45"},{"id":29,"name":"Sharepoint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697</v>
      </c>
      <c r="B231" s="7">
        <v>4031</v>
      </c>
      <c r="C231" s="21" t="s">
        <v>206</v>
      </c>
      <c r="D231" s="21" t="s">
        <v>947</v>
      </c>
      <c r="E231" s="13">
        <v>42873.473530092589</v>
      </c>
      <c r="F231" s="13">
        <v>42873.475486111114</v>
      </c>
      <c r="G231" s="7">
        <v>2</v>
      </c>
      <c r="H231" s="21" t="s">
        <v>197</v>
      </c>
      <c r="I231" s="13">
        <v>42873.477164351854</v>
      </c>
      <c r="J231" s="7">
        <v>0</v>
      </c>
      <c r="K231" s="92" t="str">
        <f t="shared" si="69"/>
        <v>4031/4032</v>
      </c>
      <c r="L231" s="21" t="str">
        <f>VLOOKUP(A231,'Trips&amp;Operators'!$C$1:$G$99999,5,FALSE)</f>
        <v>ARVIDSON DANIEL</v>
      </c>
      <c r="M231" s="6">
        <f t="shared" si="70"/>
        <v>1.6782407401478849E-3</v>
      </c>
      <c r="N231" s="7">
        <f t="shared" si="87"/>
        <v>2.4166666658129543</v>
      </c>
      <c r="O231" s="7"/>
      <c r="P231" s="7"/>
      <c r="Q231" s="22"/>
      <c r="R231" s="190"/>
      <c r="S231" s="196">
        <f t="shared" si="71"/>
        <v>0</v>
      </c>
      <c r="T231" s="190" t="e">
        <f t="shared" si="72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73"/>
        <v>https://d0f6bd738d7f1b3e5a7ca70fe4ff75f0.us-east-1.aws.found.io/app/kibana#/discover/Steve-Slow-Train-Analysis-(2080s-and-2083s)?_g=(refreshInterval:(display:Off,pause:!f,section:0,value:0),time:(from:'2017-05-18T10:21:53-0600',mode:absolute,to:'2017-05-18T12:27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1" s="192" t="str">
        <f t="shared" si="74"/>
        <v>Y</v>
      </c>
      <c r="X231" s="192" t="e">
        <f t="shared" si="86"/>
        <v>#VALUE!</v>
      </c>
      <c r="Y231" s="192">
        <f t="shared" si="75"/>
        <v>0.32919999999999999</v>
      </c>
      <c r="Z231" s="192">
        <f t="shared" si="76"/>
        <v>1.52E-2</v>
      </c>
      <c r="AA231" s="192">
        <f t="shared" si="77"/>
        <v>0.314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78"/>
        <v>53-18</v>
      </c>
      <c r="AE231" s="80" t="str">
        <f t="shared" si="79"/>
        <v>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 &amp; 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</v>
      </c>
      <c r="AF231" s="77" t="str">
        <f t="shared" si="80"/>
        <v>"C:\Program Files (x86)\AstroGrep\AstroGrep.exe" /e /r /s /spath="%USERPROFILE%\AppData\Local\Temp\OnboardLogs" /stypes="app*4031*20170518*" /stext=" 17:.+((SYSTEM_STATE.+slice.+state.+changed )|(ment ac)|(multiple cpu faults)|(system.+state.+changed )|(\[timeout)|(PRM\|1\|D)|(kpr)|(kdp)|(train st.+moving)|(\|lc)|(penalty))"</v>
      </c>
      <c r="AG231" s="1" t="str">
        <f t="shared" si="81"/>
        <v>Other</v>
      </c>
      <c r="AH231" s="81" t="str">
        <f t="shared" si="82"/>
        <v>"%USERPROFILE%\Documents\GitHub\eaglep3\Utilities\RefineRTDCRunTimes.py" --tripid 53-18 --locoid 4031 --swversion DE.1.0.9.0 --startMP 204:3292 --initTime 2017-05-18T11:21:53 --startdatetime 2017-05-18T11:24:42 --delay 2 --endMP 204:152 --enddatetime 2017-05-18T11:27:07 --enforcementcount 0 &gt;&gt;C:\Users\stu\Documents\GitHub\eaglep3-reporting\EC\2017-05-18-refined-times.txt</v>
      </c>
      <c r="AI231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{"issue":{"subject":"","project_id":79,"tracker_id":40,"status_id":1,"priority_id":2,"assigned_to_id":23,"start_date":"2017-05-18","description":"","custom_fields":[{"id":1,"name":"Subdivision","value":"Other"},{"id":4,"name":"Milepost","value":"0.0152"},{"id":17,"name":"Train ID","value":"53-18"},{"id":16,"name":"Locomotive ID","value":"4031"},{"id":130,"name":"Impact","value":""},{"id":150,"name":"Time of Event (Mountain Time)","value":"11:27:07"},{"id":151,"name":"Denver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84"/>
        <v>start /low /b %USERPROFILE%\Documents\GitHub\eaglep3\Utilities\DownloadLogsFromS3.py --loco 4031 --day 2017-05-18</v>
      </c>
      <c r="AN231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17:27:07"},{"id":29,"name":"Sharepoint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697</v>
      </c>
      <c r="B232" s="7">
        <v>4032</v>
      </c>
      <c r="C232" s="21" t="s">
        <v>206</v>
      </c>
      <c r="D232" s="21" t="s">
        <v>948</v>
      </c>
      <c r="E232" s="13">
        <v>42873.470717592594</v>
      </c>
      <c r="F232" s="13">
        <v>42873.475486111114</v>
      </c>
      <c r="G232" s="7">
        <v>1</v>
      </c>
      <c r="H232" s="21" t="s">
        <v>949</v>
      </c>
      <c r="I232" s="13">
        <v>42873.477164351854</v>
      </c>
      <c r="J232" s="7">
        <v>0</v>
      </c>
      <c r="K232" s="92" t="str">
        <f t="shared" si="69"/>
        <v>4031/4032</v>
      </c>
      <c r="L232" s="21" t="str">
        <f>VLOOKUP(A232,'Trips&amp;Operators'!$C$1:$G$99999,5,FALSE)</f>
        <v>ARVIDSON DANIEL</v>
      </c>
      <c r="M232" s="6">
        <f t="shared" si="70"/>
        <v>1.6782407401478849E-3</v>
      </c>
      <c r="N232" s="7">
        <f t="shared" si="87"/>
        <v>2.4166666658129543</v>
      </c>
      <c r="O232" s="7"/>
      <c r="P232" s="7"/>
      <c r="Q232" s="22"/>
      <c r="R232" s="190"/>
      <c r="S232" s="196">
        <f t="shared" si="71"/>
        <v>0</v>
      </c>
      <c r="T232" s="190" t="e">
        <f t="shared" si="72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73"/>
        <v>https://d0f6bd738d7f1b3e5a7ca70fe4ff75f0.us-east-1.aws.found.io/app/kibana#/discover/Steve-Slow-Train-Analysis-(2080s-and-2083s)?_g=(refreshInterval:(display:Off,pause:!f,section:0,value:0),time:(from:'2017-05-18T10:17:50-0600',mode:absolute,to:'2017-05-18T12:27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2" s="192" t="str">
        <f t="shared" si="74"/>
        <v>Y</v>
      </c>
      <c r="X232" s="192" t="e">
        <f t="shared" si="86"/>
        <v>#VALUE!</v>
      </c>
      <c r="Y232" s="192">
        <f t="shared" si="75"/>
        <v>0.1477</v>
      </c>
      <c r="Z232" s="192">
        <f t="shared" si="76"/>
        <v>0.36</v>
      </c>
      <c r="AA232" s="192">
        <f t="shared" si="77"/>
        <v>0.21229999999999999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78"/>
        <v>53-18</v>
      </c>
      <c r="AE232" s="80" t="str">
        <f t="shared" si="79"/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AF232" s="77" t="str">
        <f t="shared" si="80"/>
        <v>"C:\Program Files (x86)\AstroGrep\AstroGrep.exe" /e /r /s /spath="%USERPROFILE%\AppData\Local\Temp\OnboardLogs" /stypes="app*4032*20170518*" /stext=" 17:.+((SYSTEM_STATE.+slice.+state.+changed )|(ment ac)|(multiple cpu faults)|(system.+state.+changed )|(\[timeout)|(PRM\|1\|D)|(kpr)|(kdp)|(train st.+moving)|(\|lc)|(penalty))"</v>
      </c>
      <c r="AG232" s="1" t="str">
        <f t="shared" si="81"/>
        <v>Other</v>
      </c>
      <c r="AH232" s="81" t="str">
        <f t="shared" si="82"/>
        <v>"%USERPROFILE%\Documents\GitHub\eaglep3\Utilities\RefineRTDCRunTimes.py" --tripid 53-18 --locoid 4032 --swversion DE.1.0.9.0 --startMP 204:1477 --initTime 2017-05-18T11:17:50 --startdatetime 2017-05-18T11:24:42 --delay 1 --endMP 204:3600 --enddatetime 2017-05-18T11:27:07 --enforcementcount 0 &gt;&gt;C:\Users\stu\Documents\GitHub\eaglep3-reporting\EC\2017-05-18-refined-times.txt</v>
      </c>
      <c r="AI232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{"issue":{"subject":"","project_id":79,"tracker_id":40,"status_id":1,"priority_id":2,"assigned_to_id":23,"start_date":"2017-05-18","description":"","custom_fields":[{"id":1,"name":"Subdivision","value":"Other"},{"id":4,"name":"Milepost","value":"0.36"},{"id":17,"name":"Train ID","value":"53-18"},{"id":16,"name":"Locomotive ID","value":"4032"},{"id":130,"name":"Impact","value":""},{"id":150,"name":"Time of Event (Mountain Time)","value":"11:27:07"},{"id":151,"name":"Denver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84"/>
        <v>start /low /b %USERPROFILE%\Documents\GitHub\eaglep3\Utilities\DownloadLogsFromS3.py --loco 4032 --day 2017-05-18</v>
      </c>
      <c r="AN232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17:27:07"},{"id":29,"name":"Sharepoint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654</v>
      </c>
      <c r="B233" s="7">
        <v>4009</v>
      </c>
      <c r="C233" s="21" t="s">
        <v>206</v>
      </c>
      <c r="D233" s="21" t="s">
        <v>950</v>
      </c>
      <c r="E233" s="13">
        <v>42873.296331018515</v>
      </c>
      <c r="F233" s="13">
        <v>42873.297835648147</v>
      </c>
      <c r="G233" s="7">
        <v>1</v>
      </c>
      <c r="H233" s="21" t="s">
        <v>369</v>
      </c>
      <c r="I233" s="13">
        <v>42873.299247685187</v>
      </c>
      <c r="J233" s="7">
        <v>0</v>
      </c>
      <c r="K233" s="92" t="str">
        <f t="shared" si="69"/>
        <v>4009/4010</v>
      </c>
      <c r="L233" s="21" t="str">
        <f>VLOOKUP(A233,'Trips&amp;Operators'!$C$1:$G$99999,5,FALSE)</f>
        <v>SPECTOR MICHAEL</v>
      </c>
      <c r="M233" s="6">
        <f t="shared" si="70"/>
        <v>1.4120370396994986E-3</v>
      </c>
      <c r="N233" s="7">
        <f t="shared" si="87"/>
        <v>2.0333333371672779</v>
      </c>
      <c r="O233" s="7"/>
      <c r="P233" s="7"/>
      <c r="Q233" s="22"/>
      <c r="R233" s="190"/>
      <c r="S233" s="196">
        <f t="shared" si="71"/>
        <v>0</v>
      </c>
      <c r="T233" s="190" t="e">
        <f t="shared" si="72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73"/>
        <v>https://d0f6bd738d7f1b3e5a7ca70fe4ff75f0.us-east-1.aws.found.io/app/kibana#/discover/Steve-Slow-Train-Analysis-(2080s-and-2083s)?_g=(refreshInterval:(display:Off,pause:!f,section:0,value:0),time:(from:'2017-05-18T06:06:43-0600',mode:absolute,to:'2017-05-18T08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3" s="192" t="str">
        <f t="shared" si="74"/>
        <v>Y</v>
      </c>
      <c r="X233" s="192" t="e">
        <f t="shared" si="86"/>
        <v>#VALUE!</v>
      </c>
      <c r="Y233" s="192">
        <f t="shared" si="75"/>
        <v>0.32090000000000002</v>
      </c>
      <c r="Z233" s="192">
        <f t="shared" si="76"/>
        <v>1.41E-2</v>
      </c>
      <c r="AA233" s="192">
        <f t="shared" si="77"/>
        <v>0.30680000000000002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78"/>
        <v>55-18</v>
      </c>
      <c r="AE233" s="80" t="str">
        <f t="shared" si="79"/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AF233" s="77" t="str">
        <f t="shared" si="80"/>
        <v>"C:\Program Files (x86)\AstroGrep\AstroGrep.exe" /e /r /s /spath="%USERPROFILE%\AppData\Local\Temp\OnboardLogs" /stypes="app*4009*20170518*" /stext=" 13:.+((SYSTEM_STATE.+slice.+state.+changed )|(ment ac)|(multiple cpu faults)|(system.+state.+changed )|(\[timeout)|(PRM\|1\|D)|(kpr)|(kdp)|(train st.+moving)|(\|lc)|(penalty))"</v>
      </c>
      <c r="AG233" s="1" t="str">
        <f t="shared" si="81"/>
        <v>Other</v>
      </c>
      <c r="AH233" s="81" t="str">
        <f t="shared" si="82"/>
        <v>"%USERPROFILE%\Documents\GitHub\eaglep3\Utilities\RefineRTDCRunTimes.py" --tripid 55-18 --locoid 4009 --swversion DE.1.0.9.0 --startMP 204:3209 --initTime 2017-05-18T07:06:43 --startdatetime 2017-05-18T07:08:53 --delay 1 --endMP 204:141 --enddatetime 2017-05-18T07:10:55 --enforcementcount 0 &gt;&gt;C:\Users\stu\Documents\GitHub\eaglep3-reporting\EC\2017-05-18-refined-times.txt</v>
      </c>
      <c r="AI233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{"issue":{"subject":"","project_id":79,"tracker_id":40,"status_id":1,"priority_id":2,"assigned_to_id":23,"start_date":"2017-05-18","description":"","custom_fields":[{"id":1,"name":"Subdivision","value":"Other"},{"id":4,"name":"Milepost","value":"0.0141"},{"id":17,"name":"Train ID","value":"55-18"},{"id":16,"name":"Locomotive ID","value":"4009"},{"id":130,"name":"Impact","value":""},{"id":150,"name":"Time of Event (Mountain Time)","value":"07:10:55"},{"id":151,"name":"Denver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84"/>
        <v>start /low /b %USERPROFILE%\Documents\GitHub\eaglep3\Utilities\DownloadLogsFromS3.py --loco 4009 --day 2017-05-18</v>
      </c>
      <c r="AN233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654</v>
      </c>
      <c r="B234" s="7">
        <v>4010</v>
      </c>
      <c r="C234" s="21" t="s">
        <v>206</v>
      </c>
      <c r="D234" s="21" t="s">
        <v>951</v>
      </c>
      <c r="E234" s="13">
        <v>42873.291006944448</v>
      </c>
      <c r="F234" s="13">
        <v>42873.297835648147</v>
      </c>
      <c r="G234" s="7">
        <v>1</v>
      </c>
      <c r="H234" s="21" t="s">
        <v>952</v>
      </c>
      <c r="I234" s="13">
        <v>42873.299247685187</v>
      </c>
      <c r="J234" s="7">
        <v>0</v>
      </c>
      <c r="K234" s="92" t="str">
        <f t="shared" si="69"/>
        <v>4009/4010</v>
      </c>
      <c r="L234" s="21" t="str">
        <f>VLOOKUP(A234,'Trips&amp;Operators'!$C$1:$G$99999,5,FALSE)</f>
        <v>SPECTOR MICHAEL</v>
      </c>
      <c r="M234" s="6">
        <f t="shared" si="70"/>
        <v>1.4120370396994986E-3</v>
      </c>
      <c r="N234" s="7">
        <f t="shared" si="87"/>
        <v>2.0333333371672779</v>
      </c>
      <c r="O234" s="7"/>
      <c r="P234" s="7"/>
      <c r="Q234" s="22"/>
      <c r="R234" s="190"/>
      <c r="S234" s="196">
        <f t="shared" si="71"/>
        <v>0</v>
      </c>
      <c r="T234" s="190" t="e">
        <f t="shared" si="72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73"/>
        <v>https://d0f6bd738d7f1b3e5a7ca70fe4ff75f0.us-east-1.aws.found.io/app/kibana#/discover/Steve-Slow-Train-Analysis-(2080s-and-2083s)?_g=(refreshInterval:(display:Off,pause:!f,section:0,value:0),time:(from:'2017-05-18T05:59:03-0600',mode:absolute,to:'2017-05-18T08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4" s="192" t="str">
        <f t="shared" si="74"/>
        <v>Y</v>
      </c>
      <c r="X234" s="192" t="e">
        <f t="shared" si="86"/>
        <v>#VALUE!</v>
      </c>
      <c r="Y234" s="192">
        <f t="shared" si="75"/>
        <v>0.14749999999999999</v>
      </c>
      <c r="Z234" s="192">
        <f t="shared" si="76"/>
        <v>0.35539999999999999</v>
      </c>
      <c r="AA234" s="192">
        <f t="shared" si="77"/>
        <v>0.2079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78"/>
        <v>55-18</v>
      </c>
      <c r="AE234" s="80" t="str">
        <f t="shared" si="79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234" s="77" t="str">
        <f t="shared" si="80"/>
        <v>"C:\Program Files (x86)\AstroGrep\AstroGrep.exe" /e /r /s /spath="%USERPROFILE%\AppData\Local\Temp\OnboardLogs" /stypes="app*4010*20170518*" /stext=" 13:.+((SYSTEM_STATE.+slice.+state.+changed )|(ment ac)|(multiple cpu faults)|(system.+state.+changed )|(\[timeout)|(PRM\|1\|D)|(kpr)|(kdp)|(train st.+moving)|(\|lc)|(penalty))"</v>
      </c>
      <c r="AG234" s="1" t="str">
        <f t="shared" si="81"/>
        <v>Other</v>
      </c>
      <c r="AH234" s="81" t="str">
        <f t="shared" si="82"/>
        <v>"%USERPROFILE%\Documents\GitHub\eaglep3\Utilities\RefineRTDCRunTimes.py" --tripid 55-18 --locoid 4010 --swversion DE.1.0.9.0 --startMP 204:1475 --initTime 2017-05-18T06:59:03 --startdatetime 2017-05-18T07:08:53 --delay 1 --endMP 204:3554 --enddatetime 2017-05-18T07:10:55 --enforcementcount 0 &gt;&gt;C:\Users\stu\Documents\GitHub\eaglep3-reporting\EC\2017-05-18-refined-times.txt</v>
      </c>
      <c r="AI234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{"issue":{"subject":"","project_id":79,"tracker_id":40,"status_id":1,"priority_id":2,"assigned_to_id":23,"start_date":"2017-05-18","description":"","custom_fields":[{"id":1,"name":"Subdivision","value":"Other"},{"id":4,"name":"Milepost","value":"0.3554"},{"id":17,"name":"Train ID","value":"55-18"},{"id":16,"name":"Locomotive ID","value":"4010"},{"id":130,"name":"Impact","value":""},{"id":150,"name":"Time of Event (Mountain Time)","value":"07:10:55"},{"id":151,"name":"Denver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84"/>
        <v>start /low /b %USERPROFILE%\Documents\GitHub\eaglep3\Utilities\DownloadLogsFromS3.py --loco 4010 --day 2017-05-18</v>
      </c>
      <c r="AN234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13:10:55"},{"id":29,"name":"Sharepoint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736</v>
      </c>
      <c r="B235" s="7">
        <v>4055</v>
      </c>
      <c r="C235" s="21" t="s">
        <v>206</v>
      </c>
      <c r="D235" s="21" t="s">
        <v>953</v>
      </c>
      <c r="E235" s="13">
        <v>42873.600532407407</v>
      </c>
      <c r="F235" s="13">
        <v>42873.602175925924</v>
      </c>
      <c r="G235" s="7">
        <v>1</v>
      </c>
      <c r="H235" s="21" t="s">
        <v>198</v>
      </c>
      <c r="I235" s="13">
        <v>42873.603634259256</v>
      </c>
      <c r="J235" s="7">
        <v>0</v>
      </c>
      <c r="K235" s="92" t="str">
        <f t="shared" si="69"/>
        <v>4055/4056</v>
      </c>
      <c r="L235" s="21" t="str">
        <f>VLOOKUP(A235,'Trips&amp;Operators'!$C$1:$G$99999,5,FALSE)</f>
        <v>ARVIDSON DANIEL</v>
      </c>
      <c r="M235" s="6">
        <f t="shared" si="70"/>
        <v>1.4583333322661929E-3</v>
      </c>
      <c r="N235" s="7">
        <f t="shared" si="87"/>
        <v>2.0999999984633178</v>
      </c>
      <c r="O235" s="7"/>
      <c r="P235" s="7"/>
      <c r="Q235" s="22"/>
      <c r="R235" s="190"/>
      <c r="S235" s="196">
        <f t="shared" si="71"/>
        <v>0</v>
      </c>
      <c r="T235" s="190" t="e">
        <f t="shared" si="72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73"/>
        <v>https://d0f6bd738d7f1b3e5a7ca70fe4ff75f0.us-east-1.aws.found.io/app/kibana#/discover/Steve-Slow-Train-Analysis-(2080s-and-2083s)?_g=(refreshInterval:(display:Off,pause:!f,section:0,value:0),time:(from:'2017-05-18T13:24:46-0600',mode:absolute,to:'2017-05-18T15:29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192" t="str">
        <f t="shared" si="74"/>
        <v>Y</v>
      </c>
      <c r="X235" s="192" t="e">
        <f t="shared" si="86"/>
        <v>#VALUE!</v>
      </c>
      <c r="Y235" s="192">
        <f t="shared" si="75"/>
        <v>0.33150000000000002</v>
      </c>
      <c r="Z235" s="192">
        <f t="shared" si="76"/>
        <v>1.5800000000000002E-2</v>
      </c>
      <c r="AA235" s="192">
        <f t="shared" si="77"/>
        <v>0.31570000000000004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78"/>
        <v>60-18</v>
      </c>
      <c r="AE235" s="80" t="str">
        <f t="shared" si="79"/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AF235" s="77" t="str">
        <f t="shared" si="80"/>
        <v>"C:\Program Files (x86)\AstroGrep\AstroGrep.exe" /e /r /s /spath="%USERPROFILE%\AppData\Local\Temp\OnboardLogs" /stypes="app*4055*20170518*" /stext=" 20:.+((SYSTEM_STATE.+slice.+state.+changed )|(ment ac)|(multiple cpu faults)|(system.+state.+changed )|(\[timeout)|(PRM\|1\|D)|(kpr)|(kdp)|(train st.+moving)|(\|lc)|(penalty))"</v>
      </c>
      <c r="AG235" s="1" t="str">
        <f t="shared" si="81"/>
        <v>Other</v>
      </c>
      <c r="AH235" s="81" t="str">
        <f t="shared" si="82"/>
        <v>"%USERPROFILE%\Documents\GitHub\eaglep3\Utilities\RefineRTDCRunTimes.py" --tripid 60-18 --locoid 4055 --swversion DE.1.0.9.0 --startMP 204:3315 --initTime 2017-05-18T14:24:46 --startdatetime 2017-05-18T14:27:08 --delay 1 --endMP 204:158 --enddatetime 2017-05-18T14:29:14 --enforcementcount 0 &gt;&gt;C:\Users\stu\Documents\GitHub\eaglep3-reporting\EC\2017-05-18-refined-times.txt</v>
      </c>
      <c r="AI235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{"issue":{"subject":"","project_id":79,"tracker_id":40,"status_id":1,"priority_id":2,"assigned_to_id":23,"start_date":"2017-05-18","description":"","custom_fields":[{"id":1,"name":"Subdivision","value":"Other"},{"id":4,"name":"Milepost","value":"0.0158"},{"id":17,"name":"Train ID","value":"60-18"},{"id":16,"name":"Locomotive ID","value":"4055"},{"id":130,"name":"Impact","value":""},{"id":150,"name":"Time of Event (Mountain Time)","value":"14:29:14"},{"id":151,"name":"Denver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84"/>
        <v>start /low /b %USERPROFILE%\Documents\GitHub\eaglep3\Utilities\DownloadLogsFromS3.py --loco 4055 --day 2017-05-18</v>
      </c>
      <c r="AN235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20:29:14"},{"id":29,"name":"Sharepoint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736</v>
      </c>
      <c r="B236" s="7">
        <v>4056</v>
      </c>
      <c r="C236" s="21" t="s">
        <v>206</v>
      </c>
      <c r="D236" s="21" t="s">
        <v>951</v>
      </c>
      <c r="E236" s="13">
        <v>42873.591689814813</v>
      </c>
      <c r="F236" s="13">
        <v>42873.602175925924</v>
      </c>
      <c r="G236" s="7">
        <v>2</v>
      </c>
      <c r="H236" s="21" t="s">
        <v>954</v>
      </c>
      <c r="I236" s="13">
        <v>42873.603634259256</v>
      </c>
      <c r="J236" s="7">
        <v>0</v>
      </c>
      <c r="K236" s="92" t="str">
        <f t="shared" si="69"/>
        <v>4055/4056</v>
      </c>
      <c r="L236" s="21" t="str">
        <f>VLOOKUP(A236,'Trips&amp;Operators'!$C$1:$G$99999,5,FALSE)</f>
        <v>ARVIDSON DANIEL</v>
      </c>
      <c r="M236" s="6">
        <f t="shared" si="70"/>
        <v>1.4583333322661929E-3</v>
      </c>
      <c r="N236" s="7">
        <f t="shared" si="87"/>
        <v>2.0999999984633178</v>
      </c>
      <c r="O236" s="7"/>
      <c r="P236" s="7"/>
      <c r="Q236" s="22"/>
      <c r="R236" s="190"/>
      <c r="S236" s="196">
        <f t="shared" si="71"/>
        <v>0</v>
      </c>
      <c r="T236" s="190" t="e">
        <f t="shared" si="72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73"/>
        <v>https://d0f6bd738d7f1b3e5a7ca70fe4ff75f0.us-east-1.aws.found.io/app/kibana#/discover/Steve-Slow-Train-Analysis-(2080s-and-2083s)?_g=(refreshInterval:(display:Off,pause:!f,section:0,value:0),time:(from:'2017-05-18T13:12:02-0600',mode:absolute,to:'2017-05-18T15:29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6" s="192" t="str">
        <f t="shared" si="74"/>
        <v>Y</v>
      </c>
      <c r="X236" s="192" t="e">
        <f t="shared" si="86"/>
        <v>#VALUE!</v>
      </c>
      <c r="Y236" s="192">
        <f t="shared" si="75"/>
        <v>0.14749999999999999</v>
      </c>
      <c r="Z236" s="192">
        <f t="shared" si="76"/>
        <v>0.3614</v>
      </c>
      <c r="AA236" s="192">
        <f t="shared" si="77"/>
        <v>0.21390000000000001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78"/>
        <v>60-18</v>
      </c>
      <c r="AE236" s="80" t="str">
        <f t="shared" si="79"/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AF236" s="77" t="str">
        <f t="shared" si="80"/>
        <v>"C:\Program Files (x86)\AstroGrep\AstroGrep.exe" /e /r /s /spath="%USERPROFILE%\AppData\Local\Temp\OnboardLogs" /stypes="app*4056*20170518*" /stext=" 20:.+((SYSTEM_STATE.+slice.+state.+changed )|(ment ac)|(multiple cpu faults)|(system.+state.+changed )|(\[timeout)|(PRM\|1\|D)|(kpr)|(kdp)|(train st.+moving)|(\|lc)|(penalty))"</v>
      </c>
      <c r="AG236" s="1" t="str">
        <f t="shared" si="81"/>
        <v>Other</v>
      </c>
      <c r="AH236" s="81" t="str">
        <f t="shared" si="82"/>
        <v>"%USERPROFILE%\Documents\GitHub\eaglep3\Utilities\RefineRTDCRunTimes.py" --tripid 60-18 --locoid 4056 --swversion DE.1.0.9.0 --startMP 204:1475 --initTime 2017-05-18T14:12:02 --startdatetime 2017-05-18T14:27:08 --delay 2 --endMP 204:3614 --enddatetime 2017-05-18T14:29:14 --enforcementcount 0 &gt;&gt;C:\Users\stu\Documents\GitHub\eaglep3-reporting\EC\2017-05-18-refined-times.txt</v>
      </c>
      <c r="AI236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{"issue":{"subject":"","project_id":79,"tracker_id":40,"status_id":1,"priority_id":2,"assigned_to_id":23,"start_date":"2017-05-18","description":"","custom_fields":[{"id":1,"name":"Subdivision","value":"Other"},{"id":4,"name":"Milepost","value":"0.3614"},{"id":17,"name":"Train ID","value":"60-18"},{"id":16,"name":"Locomotive ID","value":"4056"},{"id":130,"name":"Impact","value":""},{"id":150,"name":"Time of Event (Mountain Time)","value":"14:29:14"},{"id":151,"name":"Denver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84"/>
        <v>start /low /b %USERPROFILE%\Documents\GitHub\eaglep3\Utilities\DownloadLogsFromS3.py --loco 4056 --day 2017-05-18</v>
      </c>
      <c r="AN236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20:29:14"},{"id":29,"name":"Sharepoint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740</v>
      </c>
      <c r="B237" s="7">
        <v>4028</v>
      </c>
      <c r="C237" s="21" t="s">
        <v>206</v>
      </c>
      <c r="D237" s="21" t="s">
        <v>955</v>
      </c>
      <c r="E237" s="13">
        <v>42873.611805555556</v>
      </c>
      <c r="F237" s="13">
        <v>42873.614131944443</v>
      </c>
      <c r="G237" s="7">
        <v>1</v>
      </c>
      <c r="H237" s="21" t="s">
        <v>567</v>
      </c>
      <c r="I237" s="13">
        <v>42873.621828703705</v>
      </c>
      <c r="J237" s="7">
        <v>0</v>
      </c>
      <c r="K237" s="92" t="str">
        <f t="shared" si="69"/>
        <v>4027/4028</v>
      </c>
      <c r="L237" s="21" t="str">
        <f>VLOOKUP(A237,'Trips&amp;Operators'!$C$1:$G$99999,5,FALSE)</f>
        <v>DELGADO DIANAH</v>
      </c>
      <c r="M237" s="6">
        <f t="shared" si="70"/>
        <v>7.6967592613073066E-3</v>
      </c>
      <c r="N237" s="7">
        <f t="shared" si="87"/>
        <v>11.083333336282521</v>
      </c>
      <c r="O237" s="7"/>
      <c r="P237" s="7"/>
      <c r="Q237" s="22"/>
      <c r="R237" s="190"/>
      <c r="S237" s="196">
        <f t="shared" si="71"/>
        <v>0</v>
      </c>
      <c r="T237" s="190" t="e">
        <f t="shared" si="72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73"/>
        <v>https://d0f6bd738d7f1b3e5a7ca70fe4ff75f0.us-east-1.aws.found.io/app/kibana#/discover/Steve-Slow-Train-Analysis-(2080s-and-2083s)?_g=(refreshInterval:(display:Off,pause:!f,section:0,value:0),time:(from:'2017-05-18T13:41:00-0600',mode:absolute,to:'2017-05-18T15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7" s="192" t="str">
        <f t="shared" si="74"/>
        <v>Y</v>
      </c>
      <c r="X237" s="192" t="e">
        <f t="shared" si="86"/>
        <v>#VALUE!</v>
      </c>
      <c r="Y237" s="192">
        <f t="shared" si="75"/>
        <v>4.1500000000000002E-2</v>
      </c>
      <c r="Z237" s="192">
        <f t="shared" si="76"/>
        <v>2.3300999999999998</v>
      </c>
      <c r="AA237" s="192">
        <f t="shared" si="77"/>
        <v>2.2885999999999997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78"/>
        <v>67-18</v>
      </c>
      <c r="AE237" s="80" t="str">
        <f t="shared" si="79"/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AF237" s="77" t="str">
        <f t="shared" si="80"/>
        <v>"C:\Program Files (x86)\AstroGrep\AstroGrep.exe" /e /r /s /spath="%USERPROFILE%\AppData\Local\Temp\OnboardLogs" /stypes="app*4028*20170518*" /stext=" 20:.+((SYSTEM_STATE.+slice.+state.+changed )|(ment ac)|(multiple cpu faults)|(system.+state.+changed )|(\[timeout)|(PRM\|1\|D)|(kpr)|(kdp)|(train st.+moving)|(\|lc)|(penalty))"</v>
      </c>
      <c r="AG237" s="1" t="str">
        <f t="shared" si="81"/>
        <v>Other</v>
      </c>
      <c r="AH237" s="81" t="str">
        <f t="shared" si="82"/>
        <v>"%USERPROFILE%\Documents\GitHub\eaglep3\Utilities\RefineRTDCRunTimes.py" --tripid 67-18 --locoid 4028 --swversion DE.1.0.9.0 --startMP 204:415 --initTime 2017-05-18T14:41:00 --startdatetime 2017-05-18T14:44:21 --delay 1 --endMP 300:23301 --enddatetime 2017-05-18T14:55:26 --enforcementcount 0 &gt;&gt;C:\Users\stu\Documents\GitHub\eaglep3-reporting\EC\2017-05-18-refined-times.txt</v>
      </c>
      <c r="AI237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{"issue":{"subject":"","project_id":79,"tracker_id":40,"status_id":1,"priority_id":2,"assigned_to_id":23,"start_date":"2017-05-18","description":"","custom_fields":[{"id":1,"name":"Subdivision","value":"Other"},{"id":4,"name":"Milepost","value":"2.3301"},{"id":17,"name":"Train ID","value":"67-18"},{"id":16,"name":"Locomotive ID","value":"4028"},{"id":130,"name":"Impact","value":""},{"id":150,"name":"Time of Event (Mountain Time)","value":"14:55:26"},{"id":151,"name":"Denver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84"/>
        <v>start /low /b %USERPROFILE%\Documents\GitHub\eaglep3\Utilities\DownloadLogsFromS3.py --loco 4028 --day 2017-05-18</v>
      </c>
      <c r="AN237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20:55:26"},{"id":29,"name":"Sharepoint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748</v>
      </c>
      <c r="B238" s="7">
        <v>4023</v>
      </c>
      <c r="C238" s="21" t="s">
        <v>206</v>
      </c>
      <c r="D238" s="21" t="s">
        <v>956</v>
      </c>
      <c r="E238" s="13">
        <v>42873.640069444446</v>
      </c>
      <c r="F238" s="13">
        <v>42873.644930555558</v>
      </c>
      <c r="G238" s="7">
        <v>6</v>
      </c>
      <c r="H238" s="21" t="s">
        <v>957</v>
      </c>
      <c r="I238" s="13">
        <v>42873.649016203701</v>
      </c>
      <c r="J238" s="7">
        <v>0</v>
      </c>
      <c r="K238" s="92" t="str">
        <f t="shared" si="69"/>
        <v>4023/4024</v>
      </c>
      <c r="L238" s="21" t="str">
        <f>VLOOKUP(A238,'Trips&amp;Operators'!$C$1:$G$99999,5,FALSE)</f>
        <v>DELGADO DIANAH</v>
      </c>
      <c r="M238" s="6">
        <f t="shared" si="70"/>
        <v>4.0856481427908875E-3</v>
      </c>
      <c r="N238" s="7">
        <f t="shared" si="87"/>
        <v>5.883333325618878</v>
      </c>
      <c r="O238" s="7"/>
      <c r="P238" s="7"/>
      <c r="Q238" s="22"/>
      <c r="R238" s="190"/>
      <c r="S238" s="196">
        <f t="shared" si="71"/>
        <v>0</v>
      </c>
      <c r="T238" s="190" t="e">
        <f t="shared" si="72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73"/>
        <v>https://d0f6bd738d7f1b3e5a7ca70fe4ff75f0.us-east-1.aws.found.io/app/kibana#/discover/Steve-Slow-Train-Analysis-(2080s-and-2083s)?_g=(refreshInterval:(display:Off,pause:!f,section:0,value:0),time:(from:'2017-05-18T14:21:42-0600',mode:absolute,to:'2017-05-18T16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8" s="192" t="str">
        <f t="shared" si="74"/>
        <v>Y</v>
      </c>
      <c r="X238" s="192" t="e">
        <f t="shared" si="86"/>
        <v>#VALUE!</v>
      </c>
      <c r="Y238" s="192">
        <f t="shared" si="75"/>
        <v>1.9836</v>
      </c>
      <c r="Z238" s="192">
        <f t="shared" si="76"/>
        <v>0.16750000000000001</v>
      </c>
      <c r="AA238" s="192">
        <f t="shared" si="77"/>
        <v>1.8161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78"/>
        <v>68-18</v>
      </c>
      <c r="AE238" s="80" t="str">
        <f t="shared" si="79"/>
        <v>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 &amp; 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</v>
      </c>
      <c r="AF238" s="77" t="str">
        <f t="shared" si="80"/>
        <v>"C:\Program Files (x86)\AstroGrep\AstroGrep.exe" /e /r /s /spath="%USERPROFILE%\AppData\Local\Temp\OnboardLogs" /stypes="app*4023*20170518*" /stext=" 21:.+((SYSTEM_STATE.+slice.+state.+changed )|(ment ac)|(multiple cpu faults)|(system.+state.+changed )|(\[timeout)|(PRM\|1\|D)|(kpr)|(kdp)|(train st.+moving)|(\|lc)|(penalty))"</v>
      </c>
      <c r="AG238" s="1" t="str">
        <f t="shared" si="81"/>
        <v>Other</v>
      </c>
      <c r="AH238" s="81" t="str">
        <f t="shared" si="82"/>
        <v>"%USERPROFILE%\Documents\GitHub\eaglep3\Utilities\RefineRTDCRunTimes.py" --tripid 68-18 --locoid 4023 --swversion DE.1.0.9.0 --startMP 300:19836 --initTime 2017-05-18T15:21:42 --startdatetime 2017-05-18T15:28:42 --delay 6 --endMP 204:1675 --enddatetime 2017-05-18T15:34:35 --enforcementcount 0 &gt;&gt;C:\Users\stu\Documents\GitHub\eaglep3-reporting\EC\2017-05-18-refined-times.txt</v>
      </c>
      <c r="AI238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{"issue":{"subject":"","project_id":79,"tracker_id":40,"status_id":1,"priority_id":2,"assigned_to_id":23,"start_date":"2017-05-18","description":"","custom_fields":[{"id":1,"name":"Subdivision","value":"Other"},{"id":4,"name":"Milepost","value":"0.1675"},{"id":17,"name":"Train ID","value":"68-18"},{"id":16,"name":"Locomotive ID","value":"4023"},{"id":130,"name":"Impact","value":""},{"id":150,"name":"Time of Event (Mountain Time)","value":"15:34:35"},{"id":151,"name":"Denver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84"/>
        <v>start /low /b %USERPROFILE%\Documents\GitHub\eaglep3\Utilities\DownloadLogsFromS3.py --loco 4023 --day 2017-05-18</v>
      </c>
      <c r="AN238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773</v>
      </c>
      <c r="B239" s="7">
        <v>4005</v>
      </c>
      <c r="C239" s="21" t="s">
        <v>206</v>
      </c>
      <c r="D239" s="21" t="s">
        <v>958</v>
      </c>
      <c r="E239" s="13">
        <v>42873.733043981483</v>
      </c>
      <c r="F239" s="13">
        <v>42873.735775462963</v>
      </c>
      <c r="G239" s="7">
        <v>3</v>
      </c>
      <c r="H239" s="21">
        <v>8.5256944444444454</v>
      </c>
      <c r="I239" s="13">
        <v>42873.741909722223</v>
      </c>
      <c r="J239" s="7">
        <v>0</v>
      </c>
      <c r="K239" s="92" t="str">
        <f t="shared" si="69"/>
        <v>4005/4006</v>
      </c>
      <c r="L239" s="21" t="str">
        <f>VLOOKUP(A239,'Trips&amp;Operators'!$C$1:$G$99999,5,FALSE)</f>
        <v>GUZMAN DANNY</v>
      </c>
      <c r="M239" s="6">
        <f t="shared" si="70"/>
        <v>6.1342592598521151E-3</v>
      </c>
      <c r="N239" s="7">
        <f t="shared" si="87"/>
        <v>8.8333333341870457</v>
      </c>
      <c r="O239" s="7"/>
      <c r="P239" s="7"/>
      <c r="Q239" s="22"/>
      <c r="R239" s="190"/>
      <c r="S239" s="196">
        <f t="shared" si="71"/>
        <v>0</v>
      </c>
      <c r="T239" s="190" t="e">
        <f t="shared" si="72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73"/>
        <v>https://d0f6bd738d7f1b3e5a7ca70fe4ff75f0.us-east-1.aws.found.io/app/kibana#/discover/Steve-Slow-Train-Analysis-(2080s-and-2083s)?_g=(refreshInterval:(display:Off,pause:!f,section:0,value:0),time:(from:'2017-05-18T16:35:35-0600',mode:absolute,to:'2017-05-18T18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9" s="192" t="str">
        <f t="shared" si="74"/>
        <v>N</v>
      </c>
      <c r="X239" s="192" t="e">
        <f t="shared" si="86"/>
        <v>#VALUE!</v>
      </c>
      <c r="Y239" s="192">
        <f t="shared" si="75"/>
        <v>2.3795999999999999</v>
      </c>
      <c r="Z239" s="192">
        <f t="shared" si="76"/>
        <v>56944444.444499999</v>
      </c>
      <c r="AA239" s="192">
        <f t="shared" si="77"/>
        <v>56944442.064899996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78"/>
        <v>70-18</v>
      </c>
      <c r="AE239" s="80" t="str">
        <f t="shared" si="79"/>
        <v>aws s3 cp s3://rtdc.mdm.uploadarchive.raw/RTDC4005/ "%USERPROFILE%\AppData\Local\Temp\OnboardLogs"\RTDC4005\2017-05-18 --exclude "*" --recursive --include "*20170518*" &amp; "%USERPROFILE%\Documents\GitHub\mrs-test-scripts\Headless Mode &amp; Sideloading\WalkAndUnGZ.bat" "%USERPROFILE%\AppData\Local\Temp\OnboardLogs"\RTDC4005\2017-05-18 &amp; 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</v>
      </c>
      <c r="AF239" s="77" t="str">
        <f t="shared" si="80"/>
        <v>"C:\Program Files (x86)\AstroGrep\AstroGrep.exe" /e /r /s /spath="%USERPROFILE%\AppData\Local\Temp\OnboardLogs" /stypes="app*4005*20170518*" /stext=" 23:.+((SYSTEM_STATE.+slice.+state.+changed )|(ment ac)|(multiple cpu faults)|(system.+state.+changed )|(\[timeout)|(PRM\|1\|D)|(kpr)|(kdp)|(train st.+moving)|(\|lc)|(penalty))"</v>
      </c>
      <c r="AG239" s="1" t="str">
        <f t="shared" si="81"/>
        <v>Other</v>
      </c>
      <c r="AH239" s="81" t="str">
        <f t="shared" si="82"/>
        <v>"%USERPROFILE%\Documents\GitHub\eaglep3\Utilities\RefineRTDCRunTimes.py" --tripid 70-18 --locoid 4005 --swversion DE.1.0.9.0 --startMP 300:23796 --initTime 2017-05-18T17:35:35 --startdatetime 2017-05-18T17:39:31 --delay 3 --endMP 8.52569444444445 --enddatetime 2017-05-18T17:48:21 --enforcementcount 0 &gt;&gt;C:\Users\stu\Documents\GitHub\eaglep3-reporting\EC\2017-05-18-refined-times.txt</v>
      </c>
      <c r="AI239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56944444.4445"},{"id":17,"name":"Train ID","value":"70-18"},{"id":16,"name":"Locomotive ID","value":"4005"},{"id":130,"name":"Impact","value":""},{"id":150,"name":"Time of Event (Mountain Time)","value":"17:48:21"},{"id":151,"name":"Denver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84"/>
        <v>start /low /b %USERPROFILE%\Documents\GitHub\eaglep3\Utilities\DownloadLogsFromS3.py --loco 4005 --day 2017-05-18</v>
      </c>
      <c r="AN239" s="154" t="str">
        <f t="shared" si="8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23:48:21"},{"id":29,"name":"Sharepoint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768</v>
      </c>
      <c r="B240" s="7">
        <v>4010</v>
      </c>
      <c r="C240" s="21" t="s">
        <v>206</v>
      </c>
      <c r="D240" s="21" t="s">
        <v>959</v>
      </c>
      <c r="E240" s="13">
        <v>42873.744305555556</v>
      </c>
      <c r="F240" s="13">
        <v>42873.747453703705</v>
      </c>
      <c r="G240" s="7">
        <v>1</v>
      </c>
      <c r="H240" s="21" t="s">
        <v>361</v>
      </c>
      <c r="I240" s="13">
        <v>42873.757060185184</v>
      </c>
      <c r="J240" s="7">
        <v>0</v>
      </c>
      <c r="K240" s="92" t="str">
        <f t="shared" si="69"/>
        <v>4009/4010</v>
      </c>
      <c r="L240" s="21" t="str">
        <f>VLOOKUP(A240,'Trips&amp;Operators'!$C$1:$G$99999,5,FALSE)</f>
        <v>WHITED DUSTIN</v>
      </c>
      <c r="M240" s="6">
        <f t="shared" si="70"/>
        <v>9.6064814788405783E-3</v>
      </c>
      <c r="N240" s="7">
        <f t="shared" si="87"/>
        <v>13.833333329530433</v>
      </c>
      <c r="O240" s="7"/>
      <c r="P240" s="7"/>
      <c r="Q240" s="22"/>
      <c r="R240" s="190"/>
      <c r="S240" s="196">
        <f t="shared" si="71"/>
        <v>0</v>
      </c>
      <c r="T240" s="190" t="e">
        <f t="shared" si="72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73"/>
        <v>https://d0f6bd738d7f1b3e5a7ca70fe4ff75f0.us-east-1.aws.found.io/app/kibana#/discover/Steve-Slow-Train-Analysis-(2080s-and-2083s)?_g=(refreshInterval:(display:Off,pause:!f,section:0,value:0),time:(from:'2017-05-18T16:51:48-0600',mode:absolute,to:'2017-05-18T19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0" s="192" t="str">
        <f t="shared" si="74"/>
        <v>Y</v>
      </c>
      <c r="X240" s="192" t="e">
        <f t="shared" si="86"/>
        <v>#VALUE!</v>
      </c>
      <c r="Y240" s="192">
        <f t="shared" si="75"/>
        <v>0.12130000000000001</v>
      </c>
      <c r="Z240" s="192">
        <f t="shared" si="76"/>
        <v>2.3346</v>
      </c>
      <c r="AA240" s="192">
        <f t="shared" si="77"/>
        <v>2.2132999999999998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78"/>
        <v>75-18</v>
      </c>
      <c r="AE240" s="80" t="str">
        <f t="shared" si="79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240" s="77" t="str">
        <f t="shared" si="80"/>
        <v>"C:\Program Files (x86)\AstroGrep\AstroGrep.exe" /e /r /s /spath="%USERPROFILE%\AppData\Local\Temp\OnboardLogs" /stypes="app*4010*20170519*" /stext=" 00:.+((SYSTEM_STATE.+slice.+state.+changed )|(ment ac)|(multiple cpu faults)|(system.+state.+changed )|(\[timeout)|(PRM\|1\|D)|(kpr)|(kdp)|(train st.+moving)|(\|lc)|(penalty))"</v>
      </c>
      <c r="AG240" s="1" t="str">
        <f t="shared" si="81"/>
        <v>Other</v>
      </c>
      <c r="AH240" s="81" t="str">
        <f t="shared" si="82"/>
        <v>"%USERPROFILE%\Documents\GitHub\eaglep3\Utilities\RefineRTDCRunTimes.py" --tripid 75-18 --locoid 4010 --swversion DE.1.0.9.0 --startMP 204:1213 --initTime 2017-05-18T17:51:48 --startdatetime 2017-05-18T17:56:20 --delay 1 --endMP 300:23346 --enddatetime 2017-05-18T18:10:10 --enforcementcount 0 &gt;&gt;C:\Users\stu\Documents\GitHub\eaglep3-reporting\EC\2017-05-18-refined-times.txt</v>
      </c>
      <c r="AI240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{"issue":{"subject":"","project_id":79,"tracker_id":40,"status_id":1,"priority_id":2,"assigned_to_id":23,"start_date":"2017-05-18","description":"","custom_fields":[{"id":1,"name":"Subdivision","value":"Other"},{"id":4,"name":"Milepost","value":"2.3346"},{"id":17,"name":"Train ID","value":"75-18"},{"id":16,"name":"Locomotive ID","value":"4010"},{"id":130,"name":"Impact","value":""},{"id":150,"name":"Time of Event (Mountain Time)","value":"18:10:10"},{"id":151,"name":"Denver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84"/>
        <v>start /low /b %USERPROFILE%\Documents\GitHub\eaglep3\Utilities\DownloadLogsFromS3.py --loco 4010 --day 2017-05-18</v>
      </c>
      <c r="AN240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768</v>
      </c>
      <c r="B241" s="7">
        <v>4010</v>
      </c>
      <c r="C241" s="21" t="s">
        <v>206</v>
      </c>
      <c r="D241" s="21" t="s">
        <v>960</v>
      </c>
      <c r="E241" s="13">
        <v>42873.736226851855</v>
      </c>
      <c r="F241" s="13">
        <v>42873.747453703705</v>
      </c>
      <c r="G241" s="7">
        <v>3</v>
      </c>
      <c r="H241" s="21" t="s">
        <v>961</v>
      </c>
      <c r="I241" s="13">
        <v>42873.757060185184</v>
      </c>
      <c r="J241" s="7">
        <v>0</v>
      </c>
      <c r="K241" s="92" t="str">
        <f t="shared" si="69"/>
        <v>4009/4010</v>
      </c>
      <c r="L241" s="21" t="str">
        <f>VLOOKUP(A241,'Trips&amp;Operators'!$C$1:$G$99999,5,FALSE)</f>
        <v>WHITED DUSTIN</v>
      </c>
      <c r="M241" s="6">
        <f t="shared" si="70"/>
        <v>9.6064814788405783E-3</v>
      </c>
      <c r="N241" s="7">
        <f t="shared" si="87"/>
        <v>13.833333329530433</v>
      </c>
      <c r="O241" s="7"/>
      <c r="P241" s="7"/>
      <c r="Q241" s="22"/>
      <c r="R241" s="190"/>
      <c r="S241" s="196">
        <f t="shared" si="71"/>
        <v>0</v>
      </c>
      <c r="T241" s="190" t="e">
        <f t="shared" si="72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73"/>
        <v>https://d0f6bd738d7f1b3e5a7ca70fe4ff75f0.us-east-1.aws.found.io/app/kibana#/discover/Steve-Slow-Train-Analysis-(2080s-and-2083s)?_g=(refreshInterval:(display:Off,pause:!f,section:0,value:0),time:(from:'2017-05-18T16:40:10-0600',mode:absolute,to:'2017-05-18T19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1" s="192" t="str">
        <f t="shared" si="74"/>
        <v>Y</v>
      </c>
      <c r="X241" s="192" t="e">
        <f t="shared" si="86"/>
        <v>#VALUE!</v>
      </c>
      <c r="Y241" s="192">
        <f t="shared" si="75"/>
        <v>0.1226</v>
      </c>
      <c r="Z241" s="192">
        <f t="shared" si="76"/>
        <v>0.12239999999999999</v>
      </c>
      <c r="AA241" s="192">
        <f t="shared" si="77"/>
        <v>2.0000000000000573E-4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78"/>
        <v>75-18</v>
      </c>
      <c r="AE241" s="80" t="str">
        <f t="shared" si="79"/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AF241" s="77" t="str">
        <f t="shared" si="80"/>
        <v>"C:\Program Files (x86)\AstroGrep\AstroGrep.exe" /e /r /s /spath="%USERPROFILE%\AppData\Local\Temp\OnboardLogs" /stypes="app*4010*20170519*" /stext=" 00:.+((SYSTEM_STATE.+slice.+state.+changed )|(ment ac)|(multiple cpu faults)|(system.+state.+changed )|(\[timeout)|(PRM\|1\|D)|(kpr)|(kdp)|(train st.+moving)|(\|lc)|(penalty))"</v>
      </c>
      <c r="AG241" s="1" t="str">
        <f t="shared" si="81"/>
        <v>Other</v>
      </c>
      <c r="AH241" s="81" t="str">
        <f t="shared" si="82"/>
        <v>"%USERPROFILE%\Documents\GitHub\eaglep3\Utilities\RefineRTDCRunTimes.py" --tripid 75-18 --locoid 4010 --swversion DE.1.0.9.0 --startMP 204:1226 --initTime 2017-05-18T17:40:10 --startdatetime 2017-05-18T17:56:20 --delay 3 --endMP 204:1224 --enddatetime 2017-05-18T18:10:10 --enforcementcount 0 &gt;&gt;C:\Users\stu\Documents\GitHub\eaglep3-reporting\EC\2017-05-18-refined-times.txt</v>
      </c>
      <c r="AI241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{"issue":{"subject":"","project_id":79,"tracker_id":40,"status_id":1,"priority_id":2,"assigned_to_id":23,"start_date":"2017-05-18","description":"","custom_fields":[{"id":1,"name":"Subdivision","value":"Other"},{"id":4,"name":"Milepost","value":"0.1224"},{"id":17,"name":"Train ID","value":"75-18"},{"id":16,"name":"Locomotive ID","value":"4010"},{"id":130,"name":"Impact","value":""},{"id":150,"name":"Time of Event (Mountain Time)","value":"18:10:10"},{"id":151,"name":"Denver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84"/>
        <v>start /low /b %USERPROFILE%\Documents\GitHub\eaglep3\Utilities\DownloadLogsFromS3.py --loco 4010 --day 2017-05-18</v>
      </c>
      <c r="AN241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768</v>
      </c>
      <c r="B242" s="7">
        <v>4053</v>
      </c>
      <c r="C242" s="21" t="s">
        <v>206</v>
      </c>
      <c r="D242" s="21" t="s">
        <v>962</v>
      </c>
      <c r="E242" s="13">
        <v>42873.725011574075</v>
      </c>
      <c r="F242" s="13">
        <v>42873.747453703705</v>
      </c>
      <c r="G242" s="7">
        <v>1</v>
      </c>
      <c r="H242" s="21" t="s">
        <v>448</v>
      </c>
      <c r="I242" s="13">
        <v>42873.757060185184</v>
      </c>
      <c r="J242" s="7">
        <v>0</v>
      </c>
      <c r="K242" s="92" t="str">
        <f t="shared" si="69"/>
        <v>4053/4054</v>
      </c>
      <c r="L242" s="21" t="str">
        <f>VLOOKUP(A242,'Trips&amp;Operators'!$C$1:$G$99999,5,FALSE)</f>
        <v>WHITED DUSTIN</v>
      </c>
      <c r="M242" s="6">
        <f t="shared" si="70"/>
        <v>9.6064814788405783E-3</v>
      </c>
      <c r="N242" s="7">
        <f t="shared" si="87"/>
        <v>13.833333329530433</v>
      </c>
      <c r="O242" s="7"/>
      <c r="P242" s="7"/>
      <c r="Q242" s="22"/>
      <c r="R242" s="190"/>
      <c r="S242" s="196">
        <f t="shared" si="71"/>
        <v>0</v>
      </c>
      <c r="T242" s="190" t="e">
        <f t="shared" si="72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73"/>
        <v>https://d0f6bd738d7f1b3e5a7ca70fe4ff75f0.us-east-1.aws.found.io/app/kibana#/discover/Steve-Slow-Train-Analysis-(2080s-and-2083s)?_g=(refreshInterval:(display:Off,pause:!f,section:0,value:0),time:(from:'2017-05-18T16:24:01-0600',mode:absolute,to:'2017-05-18T19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2" s="192" t="str">
        <f t="shared" si="74"/>
        <v>Y</v>
      </c>
      <c r="X242" s="192" t="e">
        <f t="shared" si="86"/>
        <v>#VALUE!</v>
      </c>
      <c r="Y242" s="192">
        <f t="shared" si="75"/>
        <v>0.30220000000000002</v>
      </c>
      <c r="Z242" s="192">
        <f t="shared" si="76"/>
        <v>1.21E-2</v>
      </c>
      <c r="AA242" s="192">
        <f t="shared" si="77"/>
        <v>0.29010000000000002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78"/>
        <v>75-18</v>
      </c>
      <c r="AE242" s="80" t="str">
        <f t="shared" si="79"/>
        <v>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 &amp; 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</v>
      </c>
      <c r="AF242" s="77" t="str">
        <f t="shared" si="80"/>
        <v>"C:\Program Files (x86)\AstroGrep\AstroGrep.exe" /e /r /s /spath="%USERPROFILE%\AppData\Local\Temp\OnboardLogs" /stypes="app*4053*20170519*" /stext=" 00:.+((SYSTEM_STATE.+slice.+state.+changed )|(ment ac)|(multiple cpu faults)|(system.+state.+changed )|(\[timeout)|(PRM\|1\|D)|(kpr)|(kdp)|(train st.+moving)|(\|lc)|(penalty))"</v>
      </c>
      <c r="AG242" s="1" t="str">
        <f t="shared" si="81"/>
        <v>Other</v>
      </c>
      <c r="AH242" s="81" t="str">
        <f t="shared" si="82"/>
        <v>"%USERPROFILE%\Documents\GitHub\eaglep3\Utilities\RefineRTDCRunTimes.py" --tripid 75-18 --locoid 4053 --swversion DE.1.0.9.0 --startMP 204:3022 --initTime 2017-05-18T17:24:01 --startdatetime 2017-05-18T17:56:20 --delay 1 --endMP 204:121 --enddatetime 2017-05-18T18:10:10 --enforcementcount 0 &gt;&gt;C:\Users\stu\Documents\GitHub\eaglep3-reporting\EC\2017-05-18-refined-times.txt</v>
      </c>
      <c r="AI242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{"issue":{"subject":"","project_id":79,"tracker_id":40,"status_id":1,"priority_id":2,"assigned_to_id":23,"start_date":"2017-05-18","description":"","custom_fields":[{"id":1,"name":"Subdivision","value":"Other"},{"id":4,"name":"Milepost","value":"0.0121"},{"id":17,"name":"Train ID","value":"75-18"},{"id":16,"name":"Locomotive ID","value":"4053"},{"id":130,"name":"Impact","value":""},{"id":150,"name":"Time of Event (Mountain Time)","value":"18:10:10"},{"id":151,"name":"Denver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84"/>
        <v>start /low /b %USERPROFILE%\Documents\GitHub\eaglep3\Utilities\DownloadLogsFromS3.py --loco 4053 --day 2017-05-18</v>
      </c>
      <c r="AN242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768</v>
      </c>
      <c r="B243" s="7">
        <v>4054</v>
      </c>
      <c r="C243" s="21" t="s">
        <v>206</v>
      </c>
      <c r="D243" s="21" t="s">
        <v>963</v>
      </c>
      <c r="E243" s="13">
        <v>42873.717187499999</v>
      </c>
      <c r="F243" s="13">
        <v>42873.747453703705</v>
      </c>
      <c r="G243" s="7">
        <v>1</v>
      </c>
      <c r="H243" s="21" t="s">
        <v>964</v>
      </c>
      <c r="I243" s="13">
        <v>42873.757060185184</v>
      </c>
      <c r="J243" s="7">
        <v>0</v>
      </c>
      <c r="K243" s="92" t="str">
        <f t="shared" si="69"/>
        <v>4053/4054</v>
      </c>
      <c r="L243" s="21" t="str">
        <f>VLOOKUP(A243,'Trips&amp;Operators'!$C$1:$G$99999,5,FALSE)</f>
        <v>WHITED DUSTIN</v>
      </c>
      <c r="M243" s="6">
        <f t="shared" si="70"/>
        <v>9.6064814788405783E-3</v>
      </c>
      <c r="N243" s="7">
        <f t="shared" si="87"/>
        <v>13.833333329530433</v>
      </c>
      <c r="O243" s="7"/>
      <c r="P243" s="7"/>
      <c r="Q243" s="22"/>
      <c r="R243" s="190"/>
      <c r="S243" s="196">
        <f t="shared" si="71"/>
        <v>0</v>
      </c>
      <c r="T243" s="190" t="e">
        <f t="shared" si="72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73"/>
        <v>https://d0f6bd738d7f1b3e5a7ca70fe4ff75f0.us-east-1.aws.found.io/app/kibana#/discover/Steve-Slow-Train-Analysis-(2080s-and-2083s)?_g=(refreshInterval:(display:Off,pause:!f,section:0,value:0),time:(from:'2017-05-18T16:12:45-0600',mode:absolute,to:'2017-05-18T19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3" s="192" t="str">
        <f t="shared" si="74"/>
        <v>Y</v>
      </c>
      <c r="X243" s="192" t="e">
        <f t="shared" si="86"/>
        <v>#VALUE!</v>
      </c>
      <c r="Y243" s="192">
        <f t="shared" si="75"/>
        <v>0.1154</v>
      </c>
      <c r="Z243" s="192">
        <f t="shared" si="76"/>
        <v>0.33310000000000001</v>
      </c>
      <c r="AA243" s="192">
        <f t="shared" si="77"/>
        <v>0.2177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78"/>
        <v>75-18</v>
      </c>
      <c r="AE243" s="80" t="str">
        <f t="shared" si="79"/>
        <v>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 &amp; 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</v>
      </c>
      <c r="AF243" s="77" t="str">
        <f t="shared" si="80"/>
        <v>"C:\Program Files (x86)\AstroGrep\AstroGrep.exe" /e /r /s /spath="%USERPROFILE%\AppData\Local\Temp\OnboardLogs" /stypes="app*4054*20170519*" /stext=" 00:.+((SYSTEM_STATE.+slice.+state.+changed )|(ment ac)|(multiple cpu faults)|(system.+state.+changed )|(\[timeout)|(PRM\|1\|D)|(kpr)|(kdp)|(train st.+moving)|(\|lc)|(penalty))"</v>
      </c>
      <c r="AG243" s="1" t="str">
        <f t="shared" si="81"/>
        <v>Other</v>
      </c>
      <c r="AH243" s="81" t="str">
        <f t="shared" si="82"/>
        <v>"%USERPROFILE%\Documents\GitHub\eaglep3\Utilities\RefineRTDCRunTimes.py" --tripid 75-18 --locoid 4054 --swversion DE.1.0.9.0 --startMP 204:1154 --initTime 2017-05-18T17:12:45 --startdatetime 2017-05-18T17:56:20 --delay 1 --endMP 204:3331 --enddatetime 2017-05-18T18:10:10 --enforcementcount 0 &gt;&gt;C:\Users\stu\Documents\GitHub\eaglep3-reporting\EC\2017-05-18-refined-times.txt</v>
      </c>
      <c r="AI243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{"issue":{"subject":"","project_id":79,"tracker_id":40,"status_id":1,"priority_id":2,"assigned_to_id":23,"start_date":"2017-05-18","description":"","custom_fields":[{"id":1,"name":"Subdivision","value":"Other"},{"id":4,"name":"Milepost","value":"0.3331"},{"id":17,"name":"Train ID","value":"75-18"},{"id":16,"name":"Locomotive ID","value":"4054"},{"id":130,"name":"Impact","value":""},{"id":150,"name":"Time of Event (Mountain Time)","value":"18:10:10"},{"id":151,"name":"Denver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84"/>
        <v>start /low /b %USERPROFILE%\Documents\GitHub\eaglep3\Utilities\DownloadLogsFromS3.py --loco 4054 --day 2017-05-18</v>
      </c>
      <c r="AN243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784</v>
      </c>
      <c r="B244" s="7">
        <v>4006</v>
      </c>
      <c r="C244" s="21" t="s">
        <v>206</v>
      </c>
      <c r="D244" s="21" t="s">
        <v>965</v>
      </c>
      <c r="E244" s="13">
        <v>42873.75712962963</v>
      </c>
      <c r="F244" s="13">
        <v>42873.758796296293</v>
      </c>
      <c r="G244" s="7">
        <v>1</v>
      </c>
      <c r="H244" s="21" t="s">
        <v>567</v>
      </c>
      <c r="I244" s="13">
        <v>42873.766956018517</v>
      </c>
      <c r="J244" s="7">
        <v>0</v>
      </c>
      <c r="K244" s="92" t="str">
        <f t="shared" si="69"/>
        <v>4005/4006</v>
      </c>
      <c r="L244" s="21" t="str">
        <f>VLOOKUP(A244,'Trips&amp;Operators'!$C$1:$G$99999,5,FALSE)</f>
        <v>DELGADO DIANAH</v>
      </c>
      <c r="M244" s="6">
        <f t="shared" si="70"/>
        <v>8.1597222233540379E-3</v>
      </c>
      <c r="N244" s="7">
        <f t="shared" si="87"/>
        <v>11.750000001629815</v>
      </c>
      <c r="O244" s="7"/>
      <c r="P244" s="7"/>
      <c r="Q244" s="22"/>
      <c r="R244" s="190"/>
      <c r="S244" s="196">
        <f t="shared" si="71"/>
        <v>0</v>
      </c>
      <c r="T244" s="190" t="e">
        <f t="shared" si="72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73"/>
        <v>https://d0f6bd738d7f1b3e5a7ca70fe4ff75f0.us-east-1.aws.found.io/app/kibana#/discover/Steve-Slow-Train-Analysis-(2080s-and-2083s)?_g=(refreshInterval:(display:Off,pause:!f,section:0,value:0),time:(from:'2017-05-18T17:10:16-0600',mode:absolute,to:'2017-05-18T19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4" s="192" t="str">
        <f t="shared" si="74"/>
        <v>Y</v>
      </c>
      <c r="X244" s="192" t="e">
        <f t="shared" si="86"/>
        <v>#VALUE!</v>
      </c>
      <c r="Y244" s="192">
        <f t="shared" si="75"/>
        <v>3.5900000000000001E-2</v>
      </c>
      <c r="Z244" s="192">
        <f t="shared" si="76"/>
        <v>2.3300999999999998</v>
      </c>
      <c r="AA244" s="192">
        <f t="shared" si="77"/>
        <v>2.2942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78"/>
        <v>77-18</v>
      </c>
      <c r="AE244" s="80" t="str">
        <f t="shared" si="79"/>
        <v>aws s3 cp s3://rtdc.mdm.uploadarchive.raw/RTDC4006/ "%USERPROFILE%\AppData\Local\Temp\OnboardLogs"\RTDC4006\2017-05-18 --exclude "*" --recursive --include "*20170518*" &amp; "%USERPROFILE%\Documents\GitHub\mrs-test-scripts\Headless Mode &amp; Sideloading\WalkAndUnGZ.bat" "%USERPROFILE%\AppData\Local\Temp\OnboardLogs"\RTDC4006\2017-05-18 &amp; 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</v>
      </c>
      <c r="AF244" s="77" t="str">
        <f t="shared" si="80"/>
        <v>"C:\Program Files (x86)\AstroGrep\AstroGrep.exe" /e /r /s /spath="%USERPROFILE%\AppData\Local\Temp\OnboardLogs" /stypes="app*4006*20170519*" /stext=" 00:.+((SYSTEM_STATE.+slice.+state.+changed )|(ment ac)|(multiple cpu faults)|(system.+state.+changed )|(\[timeout)|(PRM\|1\|D)|(kpr)|(kdp)|(train st.+moving)|(\|lc)|(penalty))"</v>
      </c>
      <c r="AG244" s="1" t="str">
        <f t="shared" si="81"/>
        <v>Other</v>
      </c>
      <c r="AH244" s="81" t="str">
        <f t="shared" si="82"/>
        <v>"%USERPROFILE%\Documents\GitHub\eaglep3\Utilities\RefineRTDCRunTimes.py" --tripid 77-18 --locoid 4006 --swversion DE.1.0.9.0 --startMP 204:359 --initTime 2017-05-18T18:10:16 --startdatetime 2017-05-18T18:12:40 --delay 1 --endMP 300:23301 --enddatetime 2017-05-18T18:24:25 --enforcementcount 0 &gt;&gt;C:\Users\stu\Documents\GitHub\eaglep3-reporting\EC\2017-05-18-refined-times.txt</v>
      </c>
      <c r="AI244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{"issue":{"subject":"","project_id":79,"tracker_id":40,"status_id":1,"priority_id":2,"assigned_to_id":23,"start_date":"2017-05-18","description":"","custom_fields":[{"id":1,"name":"Subdivision","value":"Other"},{"id":4,"name":"Milepost","value":"2.3301"},{"id":17,"name":"Train ID","value":"77-18"},{"id":16,"name":"Locomotive ID","value":"4006"},{"id":130,"name":"Impact","value":""},{"id":150,"name":"Time of Event (Mountain Time)","value":"18:24:25"},{"id":151,"name":"Denver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84"/>
        <v>start /low /b %USERPROFILE%\Documents\GitHub\eaglep3\Utilities\DownloadLogsFromS3.py --loco 4006 --day 2017-05-18</v>
      </c>
      <c r="AN244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611</v>
      </c>
      <c r="B245" s="7">
        <v>4023</v>
      </c>
      <c r="C245" s="21" t="s">
        <v>206</v>
      </c>
      <c r="D245" s="21" t="s">
        <v>966</v>
      </c>
      <c r="E245" s="13">
        <v>42873.817453703705</v>
      </c>
      <c r="F245" s="13">
        <v>42873.819050925929</v>
      </c>
      <c r="G245" s="7">
        <v>1</v>
      </c>
      <c r="H245" s="21" t="s">
        <v>967</v>
      </c>
      <c r="I245" s="13">
        <v>42873.821273148147</v>
      </c>
      <c r="J245" s="7">
        <v>0</v>
      </c>
      <c r="K245" s="92" t="str">
        <f t="shared" si="69"/>
        <v>4023/4024</v>
      </c>
      <c r="L245" s="21" t="str">
        <f>VLOOKUP(A245,'Trips&amp;Operators'!$C$1:$G$99999,5,FALSE)</f>
        <v>PERKINS DARREN</v>
      </c>
      <c r="M245" s="6">
        <f t="shared" si="70"/>
        <v>2.2222222178243101E-3</v>
      </c>
      <c r="N245" s="7">
        <f t="shared" si="87"/>
        <v>3.1999999936670065</v>
      </c>
      <c r="O245" s="7"/>
      <c r="P245" s="7"/>
      <c r="Q245" s="22"/>
      <c r="R245" s="190"/>
      <c r="S245" s="196">
        <f t="shared" si="71"/>
        <v>0</v>
      </c>
      <c r="T245" s="190" t="e">
        <f t="shared" si="72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73"/>
        <v>https://d0f6bd738d7f1b3e5a7ca70fe4ff75f0.us-east-1.aws.found.io/app/kibana#/discover/Steve-Slow-Train-Analysis-(2080s-and-2083s)?_g=(refreshInterval:(display:Off,pause:!f,section:0,value:0),time:(from:'2017-05-18T18:37:08-0600',mode:absolute,to:'2017-05-18T20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5" s="192" t="str">
        <f t="shared" si="74"/>
        <v>Y</v>
      </c>
      <c r="X245" s="192" t="e">
        <f t="shared" si="86"/>
        <v>#VALUE!</v>
      </c>
      <c r="Y245" s="192">
        <f t="shared" si="75"/>
        <v>0.52100000000000002</v>
      </c>
      <c r="Z245" s="192">
        <f t="shared" si="76"/>
        <v>9.2799999999999994E-2</v>
      </c>
      <c r="AA245" s="192">
        <f t="shared" si="77"/>
        <v>0.42820000000000003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78"/>
        <v>79-18</v>
      </c>
      <c r="AE245" s="80" t="str">
        <f t="shared" si="79"/>
        <v>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 &amp; 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</v>
      </c>
      <c r="AF245" s="77" t="str">
        <f t="shared" si="80"/>
        <v>"C:\Program Files (x86)\AstroGrep\AstroGrep.exe" /e /r /s /spath="%USERPROFILE%\AppData\Local\Temp\OnboardLogs" /stypes="app*4023*20170519*" /stext=" 01:.+((SYSTEM_STATE.+slice.+state.+changed )|(ment ac)|(multiple cpu faults)|(system.+state.+changed )|(\[timeout)|(PRM\|1\|D)|(kpr)|(kdp)|(train st.+moving)|(\|lc)|(penalty))"</v>
      </c>
      <c r="AG245" s="1" t="str">
        <f t="shared" si="81"/>
        <v>Other</v>
      </c>
      <c r="AH245" s="81" t="str">
        <f t="shared" si="82"/>
        <v>"%USERPROFILE%\Documents\GitHub\eaglep3\Utilities\RefineRTDCRunTimes.py" --tripid 79-18 --locoid 4023 --swversion DE.1.0.9.0 --startMP 300:5210 --initTime 2017-05-18T19:37:08 --startdatetime 2017-05-18T19:39:26 --delay 1 --endMP 204:928 --enddatetime 2017-05-18T19:42:38 --enforcementcount 0 &gt;&gt;C:\Users\stu\Documents\GitHub\eaglep3-reporting\EC\2017-05-18-refined-times.txt</v>
      </c>
      <c r="AI245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{"issue":{"subject":"","project_id":79,"tracker_id":40,"status_id":1,"priority_id":2,"assigned_to_id":23,"start_date":"2017-05-18","description":"","custom_fields":[{"id":1,"name":"Subdivision","value":"Other"},{"id":4,"name":"Milepost","value":"0.0928"},{"id":17,"name":"Train ID","value":"79-18"},{"id":16,"name":"Locomotive ID","value":"4023"},{"id":130,"name":"Impact","value":""},{"id":150,"name":"Time of Event (Mountain Time)","value":"19:42:38"},{"id":151,"name":"Denver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84"/>
        <v>start /low /b %USERPROFILE%\Documents\GitHub\eaglep3\Utilities\DownloadLogsFromS3.py --loco 4023 --day 2017-05-18</v>
      </c>
      <c r="AN245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611</v>
      </c>
      <c r="B246" s="7">
        <v>4024</v>
      </c>
      <c r="C246" s="21" t="s">
        <v>206</v>
      </c>
      <c r="D246" s="21" t="s">
        <v>968</v>
      </c>
      <c r="E246" s="13">
        <v>42873.813738425924</v>
      </c>
      <c r="F246" s="13">
        <v>42873.819050925929</v>
      </c>
      <c r="G246" s="7">
        <v>1</v>
      </c>
      <c r="H246" s="21" t="s">
        <v>969</v>
      </c>
      <c r="I246" s="13">
        <v>42873.821273148147</v>
      </c>
      <c r="J246" s="7">
        <v>0</v>
      </c>
      <c r="K246" s="92" t="str">
        <f t="shared" si="69"/>
        <v>4023/4024</v>
      </c>
      <c r="L246" s="21" t="str">
        <f>VLOOKUP(A246,'Trips&amp;Operators'!$C$1:$G$99999,5,FALSE)</f>
        <v>PERKINS DARREN</v>
      </c>
      <c r="M246" s="6">
        <f t="shared" si="70"/>
        <v>2.2222222178243101E-3</v>
      </c>
      <c r="N246" s="7">
        <f t="shared" si="87"/>
        <v>3.1999999936670065</v>
      </c>
      <c r="O246" s="7"/>
      <c r="P246" s="7"/>
      <c r="Q246" s="22"/>
      <c r="R246" s="190"/>
      <c r="S246" s="196">
        <f t="shared" si="71"/>
        <v>0</v>
      </c>
      <c r="T246" s="190" t="e">
        <f t="shared" si="72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73"/>
        <v>https://d0f6bd738d7f1b3e5a7ca70fe4ff75f0.us-east-1.aws.found.io/app/kibana#/discover/Steve-Slow-Train-Analysis-(2080s-and-2083s)?_g=(refreshInterval:(display:Off,pause:!f,section:0,value:0),time:(from:'2017-05-18T18:31:47-0600',mode:absolute,to:'2017-05-18T20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6" s="192" t="str">
        <f t="shared" si="74"/>
        <v>Y</v>
      </c>
      <c r="X246" s="192" t="e">
        <f t="shared" si="86"/>
        <v>#VALUE!</v>
      </c>
      <c r="Y246" s="192">
        <f t="shared" si="75"/>
        <v>0.1132</v>
      </c>
      <c r="Z246" s="192">
        <f t="shared" si="76"/>
        <v>0.54569999999999996</v>
      </c>
      <c r="AA246" s="192">
        <f t="shared" si="77"/>
        <v>0.4325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78"/>
        <v>79-18</v>
      </c>
      <c r="AE246" s="80" t="str">
        <f t="shared" si="79"/>
        <v>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 &amp; 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</v>
      </c>
      <c r="AF246" s="77" t="str">
        <f t="shared" si="80"/>
        <v>"C:\Program Files (x86)\AstroGrep\AstroGrep.exe" /e /r /s /spath="%USERPROFILE%\AppData\Local\Temp\OnboardLogs" /stypes="app*4024*20170519*" /stext=" 01:.+((SYSTEM_STATE.+slice.+state.+changed )|(ment ac)|(multiple cpu faults)|(system.+state.+changed )|(\[timeout)|(PRM\|1\|D)|(kpr)|(kdp)|(train st.+moving)|(\|lc)|(penalty))"</v>
      </c>
      <c r="AG246" s="1" t="str">
        <f t="shared" si="81"/>
        <v>Other</v>
      </c>
      <c r="AH246" s="81" t="str">
        <f t="shared" si="82"/>
        <v>"%USERPROFILE%\Documents\GitHub\eaglep3\Utilities\RefineRTDCRunTimes.py" --tripid 79-18 --locoid 4024 --swversion DE.1.0.9.0 --startMP 204:1132 --initTime 2017-05-18T19:31:47 --startdatetime 2017-05-18T19:39:26 --delay 1 --endMP 300:5457 --enddatetime 2017-05-18T19:42:38 --enforcementcount 0 &gt;&gt;C:\Users\stu\Documents\GitHub\eaglep3-reporting\EC\2017-05-18-refined-times.txt</v>
      </c>
      <c r="AI246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{"issue":{"subject":"","project_id":79,"tracker_id":40,"status_id":1,"priority_id":2,"assigned_to_id":23,"start_date":"2017-05-18","description":"","custom_fields":[{"id":1,"name":"Subdivision","value":"Other"},{"id":4,"name":"Milepost","value":"0.5457"},{"id":17,"name":"Train ID","value":"79-18"},{"id":16,"name":"Locomotive ID","value":"4024"},{"id":130,"name":"Impact","value":""},{"id":150,"name":"Time of Event (Mountain Time)","value":"19:42:38"},{"id":151,"name":"Denver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84"/>
        <v>start /low /b %USERPROFILE%\Documents\GitHub\eaglep3\Utilities\DownloadLogsFromS3.py --loco 4024 --day 2017-05-18</v>
      </c>
      <c r="AN246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01:42:38"},{"id":29,"name":"Sharepoint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802</v>
      </c>
      <c r="B247" s="7">
        <v>4061</v>
      </c>
      <c r="C247" s="21" t="s">
        <v>206</v>
      </c>
      <c r="D247" s="21" t="s">
        <v>568</v>
      </c>
      <c r="E247" s="13">
        <v>42873.815486111111</v>
      </c>
      <c r="F247" s="13">
        <v>42873.828217592592</v>
      </c>
      <c r="G247" s="7">
        <v>18</v>
      </c>
      <c r="H247" s="21" t="s">
        <v>1011</v>
      </c>
      <c r="I247" s="13">
        <v>42873.835682870369</v>
      </c>
      <c r="J247" s="7">
        <v>0</v>
      </c>
      <c r="K247" s="92" t="str">
        <f t="shared" si="69"/>
        <v>4061/4062</v>
      </c>
      <c r="L247" s="21" t="str">
        <f>VLOOKUP(A247,'Trips&amp;Operators'!$C$1:$G$99999,5,FALSE)</f>
        <v>WILLIAMS DONTE</v>
      </c>
      <c r="M247" s="6">
        <f t="shared" si="70"/>
        <v>7.4652777766459621E-3</v>
      </c>
      <c r="N247" s="7">
        <f t="shared" si="87"/>
        <v>10.749999998370185</v>
      </c>
      <c r="O247" s="7"/>
      <c r="P247" s="7"/>
      <c r="Q247" s="22"/>
      <c r="R247" s="190"/>
      <c r="S247" s="196">
        <f t="shared" si="71"/>
        <v>0</v>
      </c>
      <c r="T247" s="190" t="e">
        <f t="shared" si="72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73"/>
        <v>https://d0f6bd738d7f1b3e5a7ca70fe4ff75f0.us-east-1.aws.found.io/app/kibana#/discover/Steve-Slow-Train-Analysis-(2080s-and-2083s)?_g=(refreshInterval:(display:Off,pause:!f,section:0,value:0),time:(from:'2017-05-18T18:34:18-0600',mode:absolute,to:'2017-05-18T21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7" s="192" t="str">
        <f t="shared" si="74"/>
        <v>Y</v>
      </c>
      <c r="X247" s="192" t="e">
        <f t="shared" si="86"/>
        <v>#VALUE!</v>
      </c>
      <c r="Y247" s="192">
        <f t="shared" si="75"/>
        <v>2.3418999999999999</v>
      </c>
      <c r="Z247" s="192">
        <f t="shared" si="76"/>
        <v>8.6099999999999996E-2</v>
      </c>
      <c r="AA247" s="192">
        <f t="shared" si="77"/>
        <v>2.2557999999999998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78"/>
        <v>88-18</v>
      </c>
      <c r="AE247" s="80" t="str">
        <f t="shared" si="79"/>
        <v>aws s3 cp s3://rtdc.mdm.uploadarchive.raw/RTDC4061/ "%USERPROFILE%\AppData\Local\Temp\OnboardLogs"\RTDC4061\2017-05-18 --exclude "*" --recursive --include "*20170518*" &amp; "%USERPROFILE%\Documents\GitHub\mrs-test-scripts\Headless Mode &amp; Sideloading\WalkAndUnGZ.bat" "%USERPROFILE%\AppData\Local\Temp\OnboardLogs"\RTDC4061\2017-05-18 &amp; aws s3 cp s3://rtdc.mdm.uploadarchive.raw/RTDC4061/ "%USERPROFILE%\AppData\Local\Temp\OnboardLogs"\RTDC4061\2017-05-19 --exclude "*" --recursive --include "*20170519*" &amp; "%USERPROFILE%\Documents\GitHub\mrs-test-scripts\Headless Mode &amp; Sideloading\WalkAndUnGZ.bat" "%USERPROFILE%\AppData\Local\Temp\OnboardLogs"\RTDC4061\2017-05-19</v>
      </c>
      <c r="AF247" s="77" t="str">
        <f t="shared" si="80"/>
        <v>"C:\Program Files (x86)\AstroGrep\AstroGrep.exe" /e /r /s /spath="%USERPROFILE%\AppData\Local\Temp\OnboardLogs" /stypes="app*4061*20170519*" /stext=" 02:.+((SYSTEM_STATE.+slice.+state.+changed )|(ment ac)|(multiple cpu faults)|(system.+state.+changed )|(\[timeout)|(PRM\|1\|D)|(kpr)|(kdp)|(train st.+moving)|(\|lc)|(penalty))"</v>
      </c>
      <c r="AG247" s="1" t="str">
        <f t="shared" si="81"/>
        <v>Other</v>
      </c>
      <c r="AH247" s="81" t="str">
        <f t="shared" si="82"/>
        <v>"%USERPROFILE%\Documents\GitHub\eaglep3\Utilities\RefineRTDCRunTimes.py" --tripid 88-18 --locoid 4061 --swversion DE.1.0.9.0 --startMP 300:23419 --initTime 2017-05-18T19:34:18 --startdatetime 2017-05-18T19:52:38 --delay 18 --endMP 204:861 --enddatetime 2017-05-18T20:03:23 --enforcementcount 0 &gt;&gt;C:\Users\stu\Documents\GitHub\eaglep3-reporting\EC\2017-05-18-refined-times.txt</v>
      </c>
      <c r="AI247" s="99" t="str">
        <f t="shared" si="83"/>
        <v>echo {"issue":{"subject":"","project_id":79,"tracker_id":40,"status_id":1,"priority_id":2,"assigned_to_id":23,"start_date":"2017-05-18","description":"","custom_fields":[{"id":1,"name":"Subdivision","value":"Other"},{"id":4,"name":"Milepost","value":"0.0861"},{"id":17,"name":"Train ID","value":"88-18"},{"id":16,"name":"Locomotive ID","value":"4061"},{"id":130,"name":"Impact","value":""},{"id":150,"name":"Time of Event (Mountain Time)","value":"20:03:23"},{"id":151,"name":"Denver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84"/>
        <v>start /low /b %USERPROFILE%\Documents\GitHub\eaglep3\Utilities\DownloadLogsFromS3.py --loco 4061 --day 2017-05-18</v>
      </c>
      <c r="AN247" s="154" t="str">
        <f t="shared" si="85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02:03:23"},{"id":29,"name":"Sharepoint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617</v>
      </c>
      <c r="B248" s="7">
        <v>4062</v>
      </c>
      <c r="C248" s="21" t="s">
        <v>206</v>
      </c>
      <c r="D248" s="21" t="s">
        <v>1012</v>
      </c>
      <c r="E248" s="13">
        <v>42873.837372685186</v>
      </c>
      <c r="F248" s="13">
        <v>42873.986250000002</v>
      </c>
      <c r="G248" s="7">
        <v>1</v>
      </c>
      <c r="H248" s="21" t="s">
        <v>1013</v>
      </c>
      <c r="I248" s="13">
        <v>25568.708333333332</v>
      </c>
      <c r="J248" s="7">
        <v>0</v>
      </c>
      <c r="K248" s="92" t="str">
        <f t="shared" si="69"/>
        <v>4061/4062</v>
      </c>
      <c r="L248" s="21" t="str">
        <f>VLOOKUP(A248,'Trips&amp;Operators'!$C$1:$G$99999,5,FALSE)</f>
        <v>WILLIAMS DONTE</v>
      </c>
      <c r="M248" s="6">
        <f t="shared" si="70"/>
        <v>-17305.27791666667</v>
      </c>
      <c r="N248" s="7">
        <f t="shared" si="87"/>
        <v>-24919600.200000003</v>
      </c>
      <c r="O248" s="7"/>
      <c r="P248" s="7"/>
      <c r="Q248" s="22"/>
      <c r="R248" s="190"/>
      <c r="S248" s="196">
        <f t="shared" si="71"/>
        <v>0</v>
      </c>
      <c r="T248" s="190" t="e">
        <f t="shared" si="72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73"/>
        <v>https://d0f6bd738d7f1b3e5a7ca70fe4ff75f0.us-east-1.aws.found.io/app/kibana#/discover/Steve-Slow-Train-Analysis-(2080s-and-2083s)?_g=(refreshInterval:(display:Off,pause:!f,section:0,value:0),time:(from:'2017-05-18T19:05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8" s="192" t="str">
        <f t="shared" si="74"/>
        <v>N</v>
      </c>
      <c r="X248" s="192" t="e">
        <f t="shared" si="86"/>
        <v>#VALUE!</v>
      </c>
      <c r="Y248" s="192">
        <f t="shared" si="75"/>
        <v>0.1181</v>
      </c>
      <c r="Z248" s="192">
        <f t="shared" si="76"/>
        <v>23.342199999999998</v>
      </c>
      <c r="AA248" s="192">
        <f t="shared" si="77"/>
        <v>23.2241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78"/>
        <v>89-18</v>
      </c>
      <c r="AE248" s="80" t="str">
        <f t="shared" si="79"/>
        <v>aws s3 cp s3://rtdc.mdm.uploadarchive.raw/RTDC4062/ "%USERPROFILE%\AppData\Local\Temp\OnboardLogs"\RTDC4062\2017-05-18 --exclude "*" --recursive --include "*20170518*" &amp; "%USERPROFILE%\Documents\GitHub\mrs-test-scripts\Headless Mode &amp; Sideloading\WalkAndUnGZ.bat" "%USERPROFILE%\AppData\Local\Temp\OnboardLogs"\RTDC4062\2017-05-18 &amp; aws s3 cp s3://rtdc.mdm.uploadarchive.raw/RTDC4062/ "%USERPROFILE%\AppData\Local\Temp\OnboardLogs"\RTDC4062\2017-05-19 --exclude "*" --recursive --include "*20170519*" &amp; "%USERPROFILE%\Documents\GitHub\mrs-test-scripts\Headless Mode &amp; Sideloading\WalkAndUnGZ.bat" "%USERPROFILE%\AppData\Local\Temp\OnboardLogs"\RTDC4062\2017-05-19</v>
      </c>
      <c r="AF248" s="77" t="str">
        <f t="shared" si="80"/>
        <v>"C:\Program Files (x86)\AstroGrep\AstroGrep.exe" /e /r /s /spath="%USERPROFILE%\AppData\Local\Temp\OnboardLogs" /stypes="app*4062*19691231*" /stext=" 23:.+((SYSTEM_STATE.+slice.+state.+changed )|(ment ac)|(multiple cpu faults)|(system.+state.+changed )|(\[timeout)|(PRM\|1\|D)|(kpr)|(kdp)|(train st.+moving)|(\|lc)|(penalty))"</v>
      </c>
      <c r="AG248" s="1" t="str">
        <f t="shared" si="81"/>
        <v>Other</v>
      </c>
      <c r="AH248" s="81" t="str">
        <f t="shared" si="82"/>
        <v>"%USERPROFILE%\Documents\GitHub\eaglep3\Utilities\RefineRTDCRunTimes.py" --tripid 89-18 --locoid 4062 --swversion DE.1.0.9.0 --startMP 204:1181 --initTime 2017-05-18T20:05:49 --startdatetime 2017-05-18T23:40:12 --delay 1 --endMP 204:233422 --enddatetime 1969-12-31T17:00:00 --enforcementcount 0 &gt;&gt;C:\Users\stu\Documents\GitHub\eaglep3-reporting\EC\2017-05-18-refined-times.txt</v>
      </c>
      <c r="AI248" s="9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{"issue":{"subject":"","project_id":79,"tracker_id":40,"status_id":1,"priority_id":2,"assigned_to_id":23,"start_date":"1969-12-31","description":"","custom_fields":[{"id":1,"name":"Subdivision","value":"Other"},{"id":4,"name":"Milepost","value":"23.3422"},{"id":17,"name":"Train ID","value":"89-18"},{"id":16,"name":"Locomotive ID","value":"4062"},{"id":130,"name":"Impact","value":""},{"id":150,"name":"Time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84"/>
        <v>start /low /b %USERPROFILE%\Documents\GitHub\eaglep3\Utilities\DownloadLogsFromS3.py --loco 4062 --day 2017-05-18</v>
      </c>
      <c r="AN248" s="154" t="str">
        <f t="shared" si="8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617</v>
      </c>
      <c r="B249" s="7">
        <v>4062</v>
      </c>
      <c r="C249" s="21" t="s">
        <v>206</v>
      </c>
      <c r="D249" s="21" t="s">
        <v>1014</v>
      </c>
      <c r="E249" s="13">
        <v>42873.881111111114</v>
      </c>
      <c r="F249" s="13">
        <v>42873.986250000002</v>
      </c>
      <c r="G249" s="7">
        <v>1</v>
      </c>
      <c r="H249" s="21" t="s">
        <v>1013</v>
      </c>
      <c r="I249" s="13">
        <v>25568.708333333332</v>
      </c>
      <c r="J249" s="7">
        <v>0</v>
      </c>
      <c r="K249" s="92" t="str">
        <f t="shared" si="69"/>
        <v>4061/4062</v>
      </c>
      <c r="L249" s="21" t="str">
        <f>VLOOKUP(A249,'Trips&amp;Operators'!$C$1:$G$99999,5,FALSE)</f>
        <v>WILLIAMS DONTE</v>
      </c>
      <c r="M249" s="6">
        <f t="shared" si="70"/>
        <v>-17305.27791666667</v>
      </c>
      <c r="N249" s="7">
        <f t="shared" si="87"/>
        <v>-24919600.200000003</v>
      </c>
      <c r="O249" s="7"/>
      <c r="P249" s="7"/>
      <c r="Q249" s="22"/>
      <c r="R249" s="190"/>
      <c r="S249" s="196">
        <f t="shared" si="71"/>
        <v>0</v>
      </c>
      <c r="T249" s="190" t="e">
        <f t="shared" si="72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73"/>
        <v>https://d0f6bd738d7f1b3e5a7ca70fe4ff75f0.us-east-1.aws.found.io/app/kibana#/discover/Steve-Slow-Train-Analysis-(2080s-and-2083s)?_g=(refreshInterval:(display:Off,pause:!f,section:0,value:0),time:(from:'2017-05-18T20:08:48-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9" s="192" t="str">
        <f t="shared" si="74"/>
        <v>N</v>
      </c>
      <c r="X249" s="192" t="e">
        <f t="shared" si="86"/>
        <v>#VALUE!</v>
      </c>
      <c r="Y249" s="192">
        <f t="shared" si="75"/>
        <v>0.11899999999999999</v>
      </c>
      <c r="Z249" s="192">
        <f t="shared" si="76"/>
        <v>23.342199999999998</v>
      </c>
      <c r="AA249" s="192">
        <f t="shared" si="77"/>
        <v>23.223199999999999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78"/>
        <v>89-18</v>
      </c>
      <c r="AE249" s="80" t="str">
        <f t="shared" si="79"/>
        <v>aws s3 cp s3://rtdc.mdm.uploadarchive.raw/RTDC4062/ "%USERPROFILE%\AppData\Local\Temp\OnboardLogs"\RTDC4062\2017-05-18 --exclude "*" --recursive --include "*20170518*" &amp; "%USERPROFILE%\Documents\GitHub\mrs-test-scripts\Headless Mode &amp; Sideloading\WalkAndUnGZ.bat" "%USERPROFILE%\AppData\Local\Temp\OnboardLogs"\RTDC4062\2017-05-18 &amp; aws s3 cp s3://rtdc.mdm.uploadarchive.raw/RTDC4062/ "%USERPROFILE%\AppData\Local\Temp\OnboardLogs"\RTDC4062\2017-05-19 --exclude "*" --recursive --include "*20170519*" &amp; "%USERPROFILE%\Documents\GitHub\mrs-test-scripts\Headless Mode &amp; Sideloading\WalkAndUnGZ.bat" "%USERPROFILE%\AppData\Local\Temp\OnboardLogs"\RTDC4062\2017-05-19</v>
      </c>
      <c r="AF249" s="77" t="str">
        <f t="shared" si="80"/>
        <v>"C:\Program Files (x86)\AstroGrep\AstroGrep.exe" /e /r /s /spath="%USERPROFILE%\AppData\Local\Temp\OnboardLogs" /stypes="app*4062*19691231*" /stext=" 23:.+((SYSTEM_STATE.+slice.+state.+changed )|(ment ac)|(multiple cpu faults)|(system.+state.+changed )|(\[timeout)|(PRM\|1\|D)|(kpr)|(kdp)|(train st.+moving)|(\|lc)|(penalty))"</v>
      </c>
      <c r="AG249" s="1" t="str">
        <f t="shared" si="81"/>
        <v>Other</v>
      </c>
      <c r="AH249" s="81" t="str">
        <f t="shared" si="82"/>
        <v>"%USERPROFILE%\Documents\GitHub\eaglep3\Utilities\RefineRTDCRunTimes.py" --tripid 89-18 --locoid 4062 --swversion DE.1.0.9.0 --startMP 204:1190 --initTime 2017-05-18T21:08:48 --startdatetime 2017-05-18T23:40:12 --delay 1 --endMP 204:233422 --enddatetime 1969-12-31T17:00:00 --enforcementcount 0 &gt;&gt;C:\Users\stu\Documents\GitHub\eaglep3-reporting\EC\2017-05-18-refined-times.txt</v>
      </c>
      <c r="AI249" s="99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{"issue":{"subject":"","project_id":79,"tracker_id":40,"status_id":1,"priority_id":2,"assigned_to_id":23,"start_date":"1969-12-31","description":"","custom_fields":[{"id":1,"name":"Subdivision","value":"Other"},{"id":4,"name":"Milepost","value":"23.3422"},{"id":17,"name":"Train ID","value":"89-18"},{"id":16,"name":"Locomotive ID","value":"4062"},{"id":130,"name":"Impact","value":""},{"id":150,"name":"Time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84"/>
        <v>start /low /b %USERPROFILE%\Documents\GitHub\eaglep3\Utilities\DownloadLogsFromS3.py --loco 4062 --day 2017-05-18</v>
      </c>
      <c r="AN249" s="154" t="str">
        <f t="shared" si="8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8"/>
  <sortState ref="A13:AH200">
    <sortCondition ref="AG13:AG200"/>
    <sortCondition ref="AD13:AD200"/>
  </sortState>
  <mergeCells count="1">
    <mergeCell ref="A11:P11"/>
  </mergeCells>
  <conditionalFormatting sqref="W11:W12 W269:X1048576 W13:X249">
    <cfRule type="cellIs" dxfId="10" priority="401" operator="equal">
      <formula>"Y"</formula>
    </cfRule>
  </conditionalFormatting>
  <conditionalFormatting sqref="X269:X1048576 X13:X249">
    <cfRule type="cellIs" dxfId="9" priority="384" operator="greaterThan">
      <formula>1</formula>
    </cfRule>
  </conditionalFormatting>
  <conditionalFormatting sqref="X269:X1048576 X12:X249">
    <cfRule type="cellIs" dxfId="8" priority="381" operator="equal">
      <formula>0</formula>
    </cfRule>
  </conditionalFormatting>
  <conditionalFormatting sqref="A13:S249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AK13:AK249</xm:sqref>
        </x14:dataValidation>
        <x14:dataValidation type="list" allowBlank="1" showInputMessage="1" showErrorMessage="1">
          <x14:formula1>
            <xm:f>'Redmine List Values'!$C$2:$C$15</xm:f>
          </x14:formula1>
          <xm:sqref>AL13:AL249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abSelected="1" topLeftCell="A2" zoomScaleNormal="100" workbookViewId="0">
      <selection activeCell="B16" sqref="B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COUNTIF($O$7:$O$288,"=Y")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COUNTA($O$7:$O$288)-O2</f>
        <v>32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42873.359652777777</v>
      </c>
      <c r="B7" s="30" t="s">
        <v>454</v>
      </c>
      <c r="C7" s="30" t="s">
        <v>591</v>
      </c>
      <c r="D7" s="30" t="s">
        <v>49</v>
      </c>
      <c r="E7" s="30" t="s">
        <v>191</v>
      </c>
      <c r="F7" s="42">
        <v>0</v>
      </c>
      <c r="G7" s="42">
        <v>240</v>
      </c>
      <c r="H7" s="42">
        <v>26796</v>
      </c>
      <c r="I7" s="42">
        <v>27104</v>
      </c>
      <c r="J7" s="30" t="s">
        <v>192</v>
      </c>
      <c r="K7" s="42">
        <v>27053</v>
      </c>
      <c r="L7" s="134" t="s">
        <v>50</v>
      </c>
      <c r="M7" s="135">
        <f t="shared" ref="M7:M42" si="0">CONVERT((I7-K7)/10000,"mi","ft")*IF(L7="Increasing Mileposts (1)",-1,1)</f>
        <v>-26.928000000000001</v>
      </c>
      <c r="N7" s="136" t="str">
        <f>VLOOKUP(C7,'Trips&amp;Operators'!$C$1:$G$99999,5,FALSE)</f>
        <v>YORK EDGAR</v>
      </c>
      <c r="O7" s="207" t="s">
        <v>184</v>
      </c>
      <c r="P7" s="137" t="s">
        <v>424</v>
      </c>
      <c r="Q7" s="30"/>
      <c r="R7" s="84" t="str">
        <f>IF(VLOOKUP(C7,'Train Runs'!$A$13:$AE$9927,1,1)=C7,VLOOKUP(C7,'Train Runs'!$A$13:$AE$9927,31,1),NA())</f>
        <v>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 &amp; aws s3 cp s3://rtdc.mdm.uploadarchive.raw/RTDC4008/ "%USERPROFILE%\AppData\Local\Temp\OnboardLogs"\RTDC4008\2017-05-19 --exclude "*" --recursive --include "*20170519*" &amp; "%USERPROFILE%\Documents\GitHub\mrs-test-scripts\Headless Mode &amp; Sideloading\WalkAndUnGZ.bat" "%USERPROFILE%\AppData\Local\Temp\OnboardLogs"\RTDC4008\2017-05-19</v>
      </c>
      <c r="S7" s="87" t="str">
        <f>VLOOKUP(C7,'Train Runs'!$A$13:$AE$9927,22,0)</f>
        <v>https://d0f6bd738d7f1b3e5a7ca70fe4ff75f0.us-east-1.aws.found.io/app/kibana#/discover/Steve-Slow-Train-Analysis-(2080s-and-2083s)?_g=(refreshInterval:(display:Off,pause:!f,section:0,value:0),time:(from:'2017-05-18T07:22:48-0600',mode:absolute,to:'2017-05-18T10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7" s="89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/stypes="*4008*201705181*" /stext=" 14:.+((SYSTEM_STATE.+slice.+state.+changed )|(ment ac)|(multiple cpu faults)|(system.+state.+changed )|(\[timeout)|(PRM\|1\|D)|(kpr)|(kdp)|(train st.+moving)|(\|lc)|(penalty))"</v>
      </c>
      <c r="U7" s="9" t="str">
        <f t="shared" ref="U7:U42" si="2">MID(B7,13,4)</f>
        <v>4008</v>
      </c>
      <c r="V7" s="31">
        <f t="shared" ref="V7:V42" si="3">A7-utc_offset/24</f>
        <v>42873.609652777777</v>
      </c>
      <c r="W7" s="45" t="str">
        <f t="shared" ref="W7:W42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2" si="5">IF(AND(E7="TRACK WARRANT AUTHORITY",G7&lt;10),"OMIT","KEEP")</f>
        <v>KEEP</v>
      </c>
      <c r="Y7" s="99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arrival","project_id":79,"tracker_id":40,"status_id":1,"priority_id":2,"assigned_to_id":23,"start_date":"2017-05-18","description":"","custom_fields":[{"id":1,"name":"Subdivision","value":"EC"},{"id":4,"name":"Milepost","value":"2.7053"},{"id":17,"name":"Train ID","value":"139-18"},{"id":16,"name":"Locomotive ID","value":"4008"},{"id":130,"name":"Impact","value":""},{"id":150,"name":"Time of Event (Mountain Time)","value":"08:37:54"},{"id":151,"name":"Denver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2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/cygdrive/c/Users/stu/AppData/Local/Temp/OnboardLogs/RTDC4008 --include="*4008*201705181*"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"%USERPROFILE%\AppData\Local\Temp\OnboardLogs"\RTDC4008\*4008*201705181* &gt;&gt; 2017-05-18-SliceDisagreementCheck.txt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4008 --day 2017-05-18</v>
      </c>
    </row>
    <row r="8" spans="1:32" s="1" customFormat="1" x14ac:dyDescent="0.25">
      <c r="A8" s="31">
        <v>42873.602638888886</v>
      </c>
      <c r="B8" s="30" t="s">
        <v>344</v>
      </c>
      <c r="C8" s="30" t="s">
        <v>602</v>
      </c>
      <c r="D8" s="30" t="s">
        <v>49</v>
      </c>
      <c r="E8" s="30" t="s">
        <v>191</v>
      </c>
      <c r="F8" s="42">
        <v>0</v>
      </c>
      <c r="G8" s="42">
        <v>123</v>
      </c>
      <c r="H8" s="42">
        <v>27354</v>
      </c>
      <c r="I8" s="42">
        <v>27231</v>
      </c>
      <c r="J8" s="30" t="s">
        <v>192</v>
      </c>
      <c r="K8" s="42">
        <v>27350</v>
      </c>
      <c r="L8" s="134" t="s">
        <v>51</v>
      </c>
      <c r="M8" s="135">
        <f t="shared" si="0"/>
        <v>-62.832000000000001</v>
      </c>
      <c r="N8" s="136" t="str">
        <f>VLOOKUP(C8,'Trips&amp;Operators'!$C$1:$G$99999,5,FALSE)</f>
        <v>DELGADO DIANAH</v>
      </c>
      <c r="O8" s="207" t="s">
        <v>184</v>
      </c>
      <c r="P8" s="137" t="s">
        <v>424</v>
      </c>
      <c r="Q8" s="30"/>
      <c r="R8" s="84" t="str">
        <f>IF(VLOOKUP(C8,'Train Runs'!$A$13:$AE$9927,1,1)=C8,VLOOKUP(C8,'Train Runs'!$A$13:$AE$9927,31,1),NA())</f>
        <v>aws s3 cp s3://rtdc.mdm.uploadarchive.raw/RTDC4027/ "%USERPROFILE%\AppData\Local\Temp\OnboardLogs"\RTDC4027\2017-05-18 --exclude "*" --recursive --include "*20170518*" &amp; "%USERPROFILE%\Documents\GitHub\mrs-test-scripts\Headless Mode &amp; Sideloading\WalkAndUnGZ.bat" "%USERPROFILE%\AppData\Local\Temp\OnboardLogs"\RTDC4027\2017-05-18 &amp; aws s3 cp s3://rtdc.mdm.uploadarchive.raw/RTDC4027/ "%USERPROFILE%\AppData\Local\Temp\OnboardLogs"\RTDC4027\2017-05-19 --exclude "*" --recursive --include "*20170519*" &amp; "%USERPROFILE%\Documents\GitHub\mrs-test-scripts\Headless Mode &amp; Sideloading\WalkAndUnGZ.bat" "%USERPROFILE%\AppData\Local\Temp\OnboardLogs"\RTDC4027\2017-05-19</v>
      </c>
      <c r="S8" s="87" t="str">
        <f>VLOOKUP(C8,'Train Runs'!$A$13:$AE$9927,22,0)</f>
        <v>https://d0f6bd738d7f1b3e5a7ca70fe4ff75f0.us-east-1.aws.found.io/app/kibana#/discover/Steve-Slow-Train-Analysis-(2080s-and-2083s)?_g=(refreshInterval:(display:Off,pause:!f,section:0,value:0),time:(from:'2017-05-18T12:46:06-0600',mode:absolute,to:'2017-05-18T15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9" t="str">
        <f t="shared" si="1"/>
        <v>"C:\Program Files (x86)\AstroGrep\AstroGrep.exe" /e /r /s /spath="%USERPROFILE%\AppData\Local\Temp\OnboardLogs" /stypes="*4027*201705182*"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4027</v>
      </c>
      <c r="V8" s="31">
        <f t="shared" si="3"/>
        <v>42873.852638888886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arrival","project_id":79,"tracker_id":40,"status_id":1,"priority_id":2,"assigned_to_id":23,"start_date":"2017-05-18","description":"","custom_fields":[{"id":1,"name":"Subdivision","value":"EC"},{"id":4,"name":"Milepost","value":"2.735"},{"id":17,"name":"Train ID","value":"176-18"},{"id":16,"name":"Locomotive ID","value":"4027"},{"id":130,"name":"Impact","value":""},{"id":150,"name":"Time of Event (Mountain Time)","value":"14:27:48"},{"id":151,"name":"Denver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/cygdrive/c/Users/stu/AppData/Local/Temp/OnboardLogs/RTDC4027 --include="*4027*201705182*"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"%USERPROFILE%\AppData\Local\Temp\OnboardLogs"\RTDC4027\*4027*201705182* &gt;&gt; 2017-05-18-SliceDisagreementCheck.txt</v>
      </c>
      <c r="AE8" s="148" t="str">
        <f t="shared" ref="AE8:AE42" si="9">"start /low /b "&amp;dls3logs&amp;" --loco "&amp;U8&amp;" --day "&amp;TEXT(V8,"YYYY-MM-DD")</f>
        <v>start /low /b %USERPROFILE%\Documents\GitHub\eaglep3\Utilities\DownloadLogsFromS3.py --loco 4027 --day 2017-05-18</v>
      </c>
    </row>
    <row r="9" spans="1:32" s="1" customFormat="1" x14ac:dyDescent="0.25">
      <c r="A9" s="31">
        <v>42873.588483796295</v>
      </c>
      <c r="B9" s="30" t="s">
        <v>434</v>
      </c>
      <c r="C9" s="30" t="s">
        <v>601</v>
      </c>
      <c r="D9" s="30" t="s">
        <v>49</v>
      </c>
      <c r="E9" s="30" t="s">
        <v>191</v>
      </c>
      <c r="F9" s="42">
        <v>0</v>
      </c>
      <c r="G9" s="42">
        <v>145</v>
      </c>
      <c r="H9" s="42">
        <v>30546</v>
      </c>
      <c r="I9" s="42">
        <v>30839</v>
      </c>
      <c r="J9" s="30" t="s">
        <v>192</v>
      </c>
      <c r="K9" s="42">
        <v>30830</v>
      </c>
      <c r="L9" s="134" t="s">
        <v>50</v>
      </c>
      <c r="M9" s="135">
        <f t="shared" si="0"/>
        <v>-4.7519999999999998</v>
      </c>
      <c r="N9" s="136" t="str">
        <f>VLOOKUP(C9,'Trips&amp;Operators'!$C$1:$G$99999,5,FALSE)</f>
        <v>HELVIE ADAM</v>
      </c>
      <c r="O9" s="207" t="s">
        <v>184</v>
      </c>
      <c r="P9" s="137" t="s">
        <v>424</v>
      </c>
      <c r="Q9" s="30"/>
      <c r="R9" s="84" t="str">
        <f>IF(VLOOKUP(C9,'Train Runs'!$A$13:$AE$9927,1,1)=C9,VLOOKUP(C9,'Train Runs'!$A$13:$AE$9927,31,1),NA())</f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S9" s="87" t="str">
        <f>VLOOKUP(C9,'Train Runs'!$A$13:$AE$9927,22,0)</f>
        <v>https://d0f6bd738d7f1b3e5a7ca70fe4ff75f0.us-east-1.aws.found.io/app/kibana#/discover/Steve-Slow-Train-Analysis-(2080s-and-2083s)?_g=(refreshInterval:(display:Off,pause:!f,section:0,value:0),time:(from:'2017-05-18T12:58:16-0600',mode:absolute,to:'2017-05-18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9" s="89" t="str">
        <f t="shared" si="1"/>
        <v>"C:\Program Files (x86)\AstroGrep\AstroGrep.exe" /e /r /s /spath="%USERPROFILE%\AppData\Local\Temp\OnboardLogs" /stypes="*4030*201705182*"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4030</v>
      </c>
      <c r="V9" s="31">
        <f t="shared" si="3"/>
        <v>42873.838483796295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arrival","project_id":79,"tracker_id":40,"status_id":1,"priority_id":2,"assigned_to_id":23,"start_date":"2017-05-18","description":"","custom_fields":[{"id":1,"name":"Subdivision","value":"EC"},{"id":4,"name":"Milepost","value":"3.083"},{"id":17,"name":"Train ID","value":"183-18"},{"id":16,"name":"Locomotive ID","value":"4030"},{"id":130,"name":"Impact","value":""},{"id":150,"name":"Time of Event (Mountain Time)","value":"14:07:25"},{"id":151,"name":"Denver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/cygdrive/c/Users/stu/AppData/Local/Temp/OnboardLogs/RTDC4030 --include="*4030*201705182*"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"%USERPROFILE%\AppData\Local\Temp\OnboardLogs"\RTDC4030\*4030*201705182* &gt;&gt; 2017-05-18-SliceDisagreementCheck.txt</v>
      </c>
      <c r="AE9" s="148" t="str">
        <f t="shared" si="9"/>
        <v>start /low /b %USERPROFILE%\Documents\GitHub\eaglep3\Utilities\DownloadLogsFromS3.py --loco 4030 --day 2017-05-18</v>
      </c>
    </row>
    <row r="10" spans="1:32" s="1" customFormat="1" x14ac:dyDescent="0.25">
      <c r="A10" s="31">
        <v>42873.341215277775</v>
      </c>
      <c r="B10" s="30" t="s">
        <v>455</v>
      </c>
      <c r="C10" s="30" t="s">
        <v>590</v>
      </c>
      <c r="D10" s="30" t="s">
        <v>49</v>
      </c>
      <c r="E10" s="30" t="s">
        <v>191</v>
      </c>
      <c r="F10" s="42">
        <v>240</v>
      </c>
      <c r="G10" s="42">
        <v>360</v>
      </c>
      <c r="H10" s="42">
        <v>35765</v>
      </c>
      <c r="I10" s="42">
        <v>34824</v>
      </c>
      <c r="J10" s="30" t="s">
        <v>192</v>
      </c>
      <c r="K10" s="42">
        <v>33257</v>
      </c>
      <c r="L10" s="134" t="s">
        <v>51</v>
      </c>
      <c r="M10" s="135">
        <f t="shared" si="0"/>
        <v>827.37599999999998</v>
      </c>
      <c r="N10" s="136" t="str">
        <f>VLOOKUP(C10,'Trips&amp;Operators'!$C$1:$G$99999,5,FALSE)</f>
        <v>YORK EDGAR</v>
      </c>
      <c r="O10" s="207" t="s">
        <v>184</v>
      </c>
      <c r="P10" s="137" t="s">
        <v>424</v>
      </c>
      <c r="Q10" s="30"/>
      <c r="R10" s="84" t="str">
        <f>IF(VLOOKUP(C10,'Train Runs'!$A$13:$AE$9927,1,1)=C10,VLOOKUP(C10,'Train Runs'!$A$13:$AE$9927,31,1),NA())</f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S10" s="87" t="str">
        <f>VLOOKUP(C10,'Train Runs'!$A$13:$AE$9927,22,0)</f>
        <v>https://d0f6bd738d7f1b3e5a7ca70fe4ff75f0.us-east-1.aws.found.io/app/kibana#/discover/Steve-Slow-Train-Analysis-(2080s-and-2083s)?_g=(refreshInterval:(display:Off,pause:!f,section:0,value:0),time:(from:'2017-05-18T06:21:53-0600',mode:absolute,to:'2017-05-18T09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89" t="str">
        <f t="shared" si="1"/>
        <v>"C:\Program Files (x86)\AstroGrep\AstroGrep.exe" /e /r /s /spath="%USERPROFILE%\AppData\Local\Temp\OnboardLogs" /stypes="*4007*201705181*"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4007</v>
      </c>
      <c r="V10" s="31">
        <f t="shared" si="3"/>
        <v>42873.591215277775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arrival","project_id":79,"tracker_id":40,"status_id":1,"priority_id":2,"assigned_to_id":23,"start_date":"2017-05-18","description":"","custom_fields":[{"id":1,"name":"Subdivision","value":"EC"},{"id":4,"name":"Milepost","value":"3.3257"},{"id":17,"name":"Train ID","value":"126-18"},{"id":16,"name":"Locomotive ID","value":"4007"},{"id":130,"name":"Impact","value":""},{"id":150,"name":"Time of Event (Mountain Time)","value":"08:11:21"},{"id":151,"name":"Denver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/cygdrive/c/Users/stu/AppData/Local/Temp/OnboardLogs/RTDC4007 --include="*4007*201705181*"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"%USERPROFILE%\AppData\Local\Temp\OnboardLogs"\RTDC4007\*4007*201705181* &gt;&gt; 2017-05-18-SliceDisagreementCheck.txt</v>
      </c>
      <c r="AE10" s="148" t="str">
        <f t="shared" si="9"/>
        <v>start /low /b %USERPROFILE%\Documents\GitHub\eaglep3\Utilities\DownloadLogsFromS3.py --loco 4007 --day 2017-05-18</v>
      </c>
    </row>
    <row r="11" spans="1:32" s="1" customFormat="1" x14ac:dyDescent="0.25">
      <c r="A11" s="31">
        <v>42873.953263888892</v>
      </c>
      <c r="B11" s="30" t="s">
        <v>457</v>
      </c>
      <c r="C11" s="30" t="s">
        <v>613</v>
      </c>
      <c r="D11" s="30" t="s">
        <v>49</v>
      </c>
      <c r="E11" s="30" t="s">
        <v>191</v>
      </c>
      <c r="F11" s="42">
        <v>460</v>
      </c>
      <c r="G11" s="42">
        <v>527</v>
      </c>
      <c r="H11" s="42">
        <v>54471</v>
      </c>
      <c r="I11" s="42">
        <v>52547</v>
      </c>
      <c r="J11" s="30" t="s">
        <v>192</v>
      </c>
      <c r="K11" s="42">
        <v>53277</v>
      </c>
      <c r="L11" s="134" t="s">
        <v>51</v>
      </c>
      <c r="M11" s="135">
        <f t="shared" si="0"/>
        <v>-385.44</v>
      </c>
      <c r="N11" s="136" t="str">
        <f>VLOOKUP(C11,'Trips&amp;Operators'!$C$1:$G$99999,5,FALSE)</f>
        <v>FORTUNATO FRANK</v>
      </c>
      <c r="O11" s="207" t="s">
        <v>184</v>
      </c>
      <c r="P11" s="137" t="s">
        <v>424</v>
      </c>
      <c r="Q11" s="30"/>
      <c r="R11" s="84" t="str">
        <f>IF(VLOOKUP(C11,'Train Runs'!$A$13:$AE$9927,1,1)=C11,VLOOKUP(C11,'Train Runs'!$A$13:$AE$9927,31,1),NA())</f>
        <v>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 &amp; 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</v>
      </c>
      <c r="S11" s="87" t="str">
        <f>VLOOKUP(C11,'Train Runs'!$A$13:$AE$9927,22,0)</f>
        <v>https://d0f6bd738d7f1b3e5a7ca70fe4ff75f0.us-east-1.aws.found.io/app/kibana#/discover/Steve-Slow-Train-Analysis-(2080s-and-2083s)?_g=(refreshInterval:(display:Off,pause:!f,section:0,value:0),time:(from:'2017-05-18T21:13:53-0600',mode:absolute,to:'2017-05-19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9" t="str">
        <f t="shared" si="1"/>
        <v>"C:\Program Files (x86)\AstroGrep\AstroGrep.exe" /e /r /s /spath="%USERPROFILE%\AppData\Local\Temp\OnboardLogs" /stypes="*4053*201705190*"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4053</v>
      </c>
      <c r="V11" s="31">
        <f t="shared" si="3"/>
        <v>42874.203263888892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arrival","project_id":79,"tracker_id":40,"status_id":1,"priority_id":2,"assigned_to_id":23,"start_date":"2017-05-18","description":"","custom_fields":[{"id":1,"name":"Subdivision","value":"EC"},{"id":4,"name":"Milepost","value":"5.3277"},{"id":17,"name":"Train ID","value":"232-18"},{"id":16,"name":"Locomotive ID","value":"4053"},{"id":130,"name":"Impact","value":""},{"id":150,"name":"Time of Event (Mountain Time)","value":"22:52:42"},{"id":151,"name":"Denver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/cygdrive/c/Users/stu/AppData/Local/Temp/OnboardLogs/RTDC4053 --include="*4053*201705190*"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"%USERPROFILE%\AppData\Local\Temp\OnboardLogs"\RTDC4053\*4053*201705190* &gt;&gt; 2017-05-18-SliceDisagreementCheck.txt</v>
      </c>
      <c r="AE11" s="148" t="str">
        <f t="shared" si="9"/>
        <v>start /low /b %USERPROFILE%\Documents\GitHub\eaglep3\Utilities\DownloadLogsFromS3.py --loco 4053 --day 2017-05-19</v>
      </c>
    </row>
    <row r="12" spans="1:32" s="1" customFormat="1" x14ac:dyDescent="0.25">
      <c r="A12" s="31">
        <v>42873.254664351851</v>
      </c>
      <c r="B12" s="30" t="s">
        <v>519</v>
      </c>
      <c r="C12" s="30" t="s">
        <v>587</v>
      </c>
      <c r="D12" s="30" t="s">
        <v>49</v>
      </c>
      <c r="E12" s="30" t="s">
        <v>191</v>
      </c>
      <c r="F12" s="42">
        <v>320</v>
      </c>
      <c r="G12" s="42">
        <v>370</v>
      </c>
      <c r="H12" s="42">
        <v>58800</v>
      </c>
      <c r="I12" s="42">
        <v>57623</v>
      </c>
      <c r="J12" s="30" t="s">
        <v>192</v>
      </c>
      <c r="K12" s="42">
        <v>58301</v>
      </c>
      <c r="L12" s="134" t="s">
        <v>51</v>
      </c>
      <c r="M12" s="135">
        <f t="shared" si="0"/>
        <v>-357.98399999999998</v>
      </c>
      <c r="N12" s="136" t="str">
        <f>VLOOKUP(C12,'Trips&amp;Operators'!$C$1:$G$99999,5,FALSE)</f>
        <v>ROCHA YAOTL</v>
      </c>
      <c r="O12" s="207" t="s">
        <v>184</v>
      </c>
      <c r="P12" s="137" t="s">
        <v>424</v>
      </c>
      <c r="Q12" s="30"/>
      <c r="R12" s="84" t="str">
        <f>IF(VLOOKUP(C12,'Train Runs'!$A$13:$AE$9927,1,1)=C12,VLOOKUP(C12,'Train Runs'!$A$13:$AE$9927,31,1),NA())</f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S12" s="87" t="str">
        <f>VLOOKUP(C12,'Train Runs'!$A$13:$AE$9927,22,0)</f>
        <v>https://d0f6bd738d7f1b3e5a7ca70fe4ff75f0.us-east-1.aws.found.io/app/kibana#/discover/Steve-Slow-Train-Analysis-(2080s-and-2083s)?_g=(refreshInterval:(display:Off,pause:!f,section:0,value:0),time:(from:'2017-05-18T04:40:08-0600',mode:absolute,to:'2017-05-18T07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9" t="str">
        <f t="shared" si="1"/>
        <v>"C:\Program Files (x86)\AstroGrep\AstroGrep.exe" /e /r /s /spath="%USERPROFILE%\AppData\Local\Temp\OnboardLogs" /stypes="*4055*201705181*" /stext=" 12:.+((SYSTEM_STATE.+slice.+state.+changed )|(ment ac)|(multiple cpu faults)|(system.+state.+changed )|(\[timeout)|(PRM\|1\|D)|(kpr)|(kdp)|(train st.+moving)|(\|lc)|(penalty))"</v>
      </c>
      <c r="U12" s="9" t="str">
        <f t="shared" si="2"/>
        <v>4055</v>
      </c>
      <c r="V12" s="31">
        <f t="shared" si="3"/>
        <v>42873.504664351851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arrival","project_id":79,"tracker_id":40,"status_id":1,"priority_id":2,"assigned_to_id":23,"start_date":"2017-05-18","description":"","custom_fields":[{"id":1,"name":"Subdivision","value":"EC"},{"id":4,"name":"Milepost","value":"5.8301"},{"id":17,"name":"Train ID","value":"110-18"},{"id":16,"name":"Locomotive ID","value":"4055"},{"id":130,"name":"Impact","value":""},{"id":150,"name":"Time of Event (Mountain Time)","value":"06:06:43"},{"id":151,"name":"Denver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/cygdrive/c/Users/stu/AppData/Local/Temp/OnboardLogs/RTDC4055 --include="*4055*201705181*"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"%USERPROFILE%\AppData\Local\Temp\OnboardLogs"\RTDC4055\*4055*201705181* &gt;&gt; 2017-05-18-SliceDisagreementCheck.txt</v>
      </c>
      <c r="AE12" s="148" t="str">
        <f t="shared" si="9"/>
        <v>start /low /b %USERPROFILE%\Documents\GitHub\eaglep3\Utilities\DownloadLogsFromS3.py --loco 4055 --day 2017-05-18</v>
      </c>
    </row>
    <row r="13" spans="1:32" s="1" customFormat="1" x14ac:dyDescent="0.25">
      <c r="A13" s="31">
        <v>42873.25990740741</v>
      </c>
      <c r="B13" s="30" t="s">
        <v>343</v>
      </c>
      <c r="C13" s="30" t="s">
        <v>588</v>
      </c>
      <c r="D13" s="30" t="s">
        <v>49</v>
      </c>
      <c r="E13" s="30" t="s">
        <v>191</v>
      </c>
      <c r="F13" s="42">
        <v>460</v>
      </c>
      <c r="G13" s="42">
        <v>532</v>
      </c>
      <c r="H13" s="42">
        <v>61960</v>
      </c>
      <c r="I13" s="42">
        <v>63748</v>
      </c>
      <c r="J13" s="30" t="s">
        <v>192</v>
      </c>
      <c r="K13" s="42">
        <v>63069</v>
      </c>
      <c r="L13" s="134" t="s">
        <v>50</v>
      </c>
      <c r="M13" s="135">
        <f t="shared" si="0"/>
        <v>-358.512</v>
      </c>
      <c r="N13" s="136" t="str">
        <f>VLOOKUP(C13,'Trips&amp;Operators'!$C$1:$G$99999,5,FALSE)</f>
        <v>ROBINSON KADDIBA</v>
      </c>
      <c r="O13" s="207" t="s">
        <v>184</v>
      </c>
      <c r="P13" s="137" t="s">
        <v>424</v>
      </c>
      <c r="Q13" s="30"/>
      <c r="R13" s="84" t="str">
        <f>IF(VLOOKUP(C13,'Train Runs'!$A$13:$AE$9927,1,1)=C13,VLOOKUP(C13,'Train Runs'!$A$13:$AE$9927,31,1),NA())</f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S13" s="87" t="str">
        <f>VLOOKUP(C13,'Train Runs'!$A$13:$AE$9927,22,0)</f>
        <v>https://d0f6bd738d7f1b3e5a7ca70fe4ff75f0.us-east-1.aws.found.io/app/kibana#/discover/Steve-Slow-Train-Analysis-(2080s-and-2083s)?_g=(refreshInterval:(display:Off,pause:!f,section:0,value:0),time:(from:'2017-05-18T04:56:43-0600',mode:absolute,to:'2017-05-18T07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89" t="str">
        <f t="shared" si="1"/>
        <v>"C:\Program Files (x86)\AstroGrep\AstroGrep.exe" /e /r /s /spath="%USERPROFILE%\AppData\Local\Temp\OnboardLogs" /stypes="*4028*201705181*"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4028</v>
      </c>
      <c r="V13" s="31">
        <f t="shared" si="3"/>
        <v>42873.50990740741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arrival","project_id":79,"tracker_id":40,"status_id":1,"priority_id":2,"assigned_to_id":23,"start_date":"2017-05-18","description":"","custom_fields":[{"id":1,"name":"Subdivision","value":"EC"},{"id":4,"name":"Milepost","value":"6.3069"},{"id":17,"name":"Train ID","value":"119-18"},{"id":16,"name":"Locomotive ID","value":"4028"},{"id":130,"name":"Impact","value":""},{"id":150,"name":"Time of Event (Mountain Time)","value":"06:14:16"},{"id":151,"name":"Denver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/cygdrive/c/Users/stu/AppData/Local/Temp/OnboardLogs/RTDC4028 --include="*4028*201705181*"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"%USERPROFILE%\AppData\Local\Temp\OnboardLogs"\RTDC4028\*4028*201705181* &gt;&gt; 2017-05-18-SliceDisagreementCheck.txt</v>
      </c>
      <c r="AE13" s="148" t="str">
        <f t="shared" si="9"/>
        <v>start /low /b %USERPROFILE%\Documents\GitHub\eaglep3\Utilities\DownloadLogsFromS3.py --loco 4028 --day 2017-05-18</v>
      </c>
    </row>
    <row r="14" spans="1:32" x14ac:dyDescent="0.25">
      <c r="A14" s="31">
        <v>42873.42627314815</v>
      </c>
      <c r="B14" s="30" t="s">
        <v>593</v>
      </c>
      <c r="C14" s="30" t="s">
        <v>594</v>
      </c>
      <c r="D14" s="30" t="s">
        <v>49</v>
      </c>
      <c r="E14" s="30" t="s">
        <v>191</v>
      </c>
      <c r="F14" s="42">
        <v>0</v>
      </c>
      <c r="G14" s="42">
        <v>453</v>
      </c>
      <c r="H14" s="42">
        <v>109607</v>
      </c>
      <c r="I14" s="42">
        <v>108306</v>
      </c>
      <c r="J14" s="30" t="s">
        <v>192</v>
      </c>
      <c r="K14" s="42">
        <v>109135</v>
      </c>
      <c r="L14" s="134" t="s">
        <v>51</v>
      </c>
      <c r="M14" s="135">
        <f t="shared" si="0"/>
        <v>-437.71199999999999</v>
      </c>
      <c r="N14" s="136" t="str">
        <f>VLOOKUP(C14,'Trips&amp;Operators'!$C$1:$G$99999,5,FALSE)</f>
        <v>STARKS ANGELINA</v>
      </c>
      <c r="O14" s="207" t="s">
        <v>184</v>
      </c>
      <c r="P14" s="137" t="s">
        <v>424</v>
      </c>
      <c r="Q14" s="30"/>
      <c r="R14" s="84" t="str">
        <f>IF(VLOOKUP(C14,'Train Runs'!$A$13:$AE$9927,1,1)=C14,VLOOKUP(C14,'Train Runs'!$A$13:$AE$9927,31,1),NA())</f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S14" s="87" t="str">
        <f>VLOOKUP(C14,'Train Runs'!$A$13:$AE$9927,22,0)</f>
        <v>https://d0f6bd738d7f1b3e5a7ca70fe4ff75f0.us-east-1.aws.found.io/app/kibana#/discover/Steve-Slow-Train-Analysis-(2080s-and-2083s)?_g=(refreshInterval:(display:Off,pause:!f,section:0,value:0),time:(from:'2017-05-18T08:50:14-0600',mode:absolute,to:'2017-05-18T11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89" t="str">
        <f t="shared" si="1"/>
        <v>"C:\Program Files (x86)\AstroGrep\AstroGrep.exe" /e /r /s /spath="%USERPROFILE%\AppData\Local\Temp\OnboardLogs" /stypes="*4009*201705181*"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4009</v>
      </c>
      <c r="V14" s="31">
        <f t="shared" si="3"/>
        <v>42873.67627314815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arrival","project_id":79,"tracker_id":40,"status_id":1,"priority_id":2,"assigned_to_id":23,"start_date":"2017-05-18","description":"","custom_fields":[{"id":1,"name":"Subdivision","value":"EC"},{"id":4,"name":"Milepost","value":"10.9135"},{"id":17,"name":"Train ID","value":"144-18"},{"id":16,"name":"Locomotive ID","value":"4009"},{"id":130,"name":"Impact","value":""},{"id":150,"name":"Time of Event (Mountain Time)","value":"10:13:50"},{"id":151,"name":"Denver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/cygdrive/c/Users/stu/AppData/Local/Temp/OnboardLogs/RTDC4009 --include="*4009*201705181*"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"%USERPROFILE%\AppData\Local\Temp\OnboardLogs"\RTDC4009\*4009*201705181* &gt;&gt; 2017-05-18-SliceDisagreementCheck.txt</v>
      </c>
      <c r="AE14" s="148" t="str">
        <f t="shared" si="9"/>
        <v>start /low /b %USERPROFILE%\Documents\GitHub\eaglep3\Utilities\DownloadLogsFromS3.py --loco 4009 --day 2017-05-18</v>
      </c>
      <c r="AF14" s="1"/>
    </row>
    <row r="15" spans="1:32" x14ac:dyDescent="0.25">
      <c r="A15" s="31">
        <v>42873.405092592591</v>
      </c>
      <c r="B15" s="30" t="s">
        <v>455</v>
      </c>
      <c r="C15" s="30" t="s">
        <v>592</v>
      </c>
      <c r="D15" s="30" t="s">
        <v>49</v>
      </c>
      <c r="E15" s="30" t="s">
        <v>191</v>
      </c>
      <c r="F15" s="42">
        <v>370</v>
      </c>
      <c r="G15" s="42">
        <v>420</v>
      </c>
      <c r="H15" s="42">
        <v>110111</v>
      </c>
      <c r="I15" s="42">
        <v>108889</v>
      </c>
      <c r="J15" s="30" t="s">
        <v>192</v>
      </c>
      <c r="K15" s="42">
        <v>109135</v>
      </c>
      <c r="L15" s="134" t="s">
        <v>51</v>
      </c>
      <c r="M15" s="135">
        <f t="shared" si="0"/>
        <v>-129.88800000000001</v>
      </c>
      <c r="N15" s="136" t="str">
        <f>VLOOKUP(C15,'Trips&amp;Operators'!$C$1:$G$99999,5,FALSE)</f>
        <v>YORK EDGAR</v>
      </c>
      <c r="O15" s="207" t="s">
        <v>184</v>
      </c>
      <c r="P15" s="137" t="s">
        <v>424</v>
      </c>
      <c r="Q15" s="30"/>
      <c r="R15" s="84" t="str">
        <f>IF(VLOOKUP(C15,'Train Runs'!$A$13:$AE$9927,1,1)=C15,VLOOKUP(C15,'Train Runs'!$A$13:$AE$9927,31,1),NA())</f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S15" s="87" t="str">
        <f>VLOOKUP(C15,'Train Runs'!$A$13:$AE$9927,22,0)</f>
        <v>https://d0f6bd738d7f1b3e5a7ca70fe4ff75f0.us-east-1.aws.found.io/app/kibana#/discover/Steve-Slow-Train-Analysis-(2080s-and-2083s)?_g=(refreshInterval:(display:Off,pause:!f,section:0,value:0),time:(from:'2017-05-18T08:19:40-0600',mode:absolute,to:'2017-05-18T11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9" t="str">
        <f t="shared" si="1"/>
        <v>"C:\Program Files (x86)\AstroGrep\AstroGrep.exe" /e /r /s /spath="%USERPROFILE%\AppData\Local\Temp\OnboardLogs" /stypes="*4007*201705181*"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4007</v>
      </c>
      <c r="V15" s="31">
        <f t="shared" si="3"/>
        <v>42873.655092592591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arrival","project_id":79,"tracker_id":40,"status_id":1,"priority_id":2,"assigned_to_id":23,"start_date":"2017-05-18","description":"","custom_fields":[{"id":1,"name":"Subdivision","value":"EC"},{"id":4,"name":"Milepost","value":"10.9135"},{"id":17,"name":"Train ID","value":"140-18"},{"id":16,"name":"Locomotive ID","value":"4007"},{"id":130,"name":"Impact","value":""},{"id":150,"name":"Time of Event (Mountain Time)","value":"09:43:20"},{"id":151,"name":"Denver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/cygdrive/c/Users/stu/AppData/Local/Temp/OnboardLogs/RTDC4007 --include="*4007*201705181*"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"%USERPROFILE%\AppData\Local\Temp\OnboardLogs"\RTDC4007\*4007*201705181* &gt;&gt; 2017-05-18-SliceDisagreementCheck.txt</v>
      </c>
      <c r="AE15" s="148" t="str">
        <f t="shared" si="9"/>
        <v>start /low /b %USERPROFILE%\Documents\GitHub\eaglep3\Utilities\DownloadLogsFromS3.py --loco 4007 --day 2017-05-18</v>
      </c>
      <c r="AF15" s="1"/>
    </row>
    <row r="16" spans="1:32" x14ac:dyDescent="0.25">
      <c r="A16" s="31">
        <v>42873.437349537038</v>
      </c>
      <c r="B16" s="30" t="s">
        <v>516</v>
      </c>
      <c r="C16" s="30" t="s">
        <v>597</v>
      </c>
      <c r="D16" s="30" t="s">
        <v>98</v>
      </c>
      <c r="E16" s="30" t="s">
        <v>204</v>
      </c>
      <c r="F16" s="42">
        <v>600</v>
      </c>
      <c r="G16" s="42">
        <v>653</v>
      </c>
      <c r="H16" s="42">
        <v>186602</v>
      </c>
      <c r="I16" s="42">
        <v>189623</v>
      </c>
      <c r="J16" s="30" t="s">
        <v>205</v>
      </c>
      <c r="K16" s="42">
        <v>183829</v>
      </c>
      <c r="L16" s="134" t="s">
        <v>50</v>
      </c>
      <c r="M16" s="135">
        <f t="shared" si="0"/>
        <v>-3059.232</v>
      </c>
      <c r="N16" s="136" t="str">
        <f>VLOOKUP(C16,'Trips&amp;Operators'!$C$1:$G$99999,5,FALSE)</f>
        <v>ROCHA YAOTL</v>
      </c>
      <c r="O16" s="207" t="s">
        <v>184</v>
      </c>
      <c r="P16" s="137"/>
      <c r="Q16" s="30"/>
      <c r="R16" s="84" t="str">
        <f>IF(VLOOKUP(C16,'Train Runs'!$A$13:$AE$9927,1,1)=C16,VLOOKUP(C16,'Train Runs'!$A$13:$AE$9927,31,1),NA())</f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S16" s="87" t="str">
        <f>VLOOKUP(C16,'Train Runs'!$A$13:$AE$9927,22,0)</f>
        <v>https://d0f6bd738d7f1b3e5a7ca70fe4ff75f0.us-east-1.aws.found.io/app/kibana#/discover/Steve-Slow-Train-Analysis-(2080s-and-2083s)?_g=(refreshInterval:(display:Off,pause:!f,section:0,value:0),time:(from:'2017-05-18T08:50:43-0600',mode:absolute,to:'2017-05-18T11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6" s="89" t="str">
        <f t="shared" si="1"/>
        <v>"C:\Program Files (x86)\AstroGrep\AstroGrep.exe" /e /r /s /spath="%USERPROFILE%\AppData\Local\Temp\OnboardLogs" /stypes="*4056*201705181*"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4056</v>
      </c>
      <c r="V16" s="31">
        <f t="shared" si="3"/>
        <v>42873.687349537038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{"issue":{"subject":"","project_id":79,"tracker_id":40,"status_id":1,"priority_id":2,"assigned_to_id":23,"start_date":"2017-05-18","description":"","custom_fields":[{"id":1,"name":"Subdivision","value":"EC"},{"id":4,"name":"Milepost","value":"18.3829"},{"id":17,"name":"Train ID","value":"151-18"},{"id":16,"name":"Locomotive ID","value":"4056"},{"id":130,"name":"Impact","value":""},{"id":150,"name":"Time of Event (Mountain Time)","value":"10:29:47"},{"id":151,"name":"Denver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/cygdrive/c/Users/stu/AppData/Local/Temp/OnboardLogs/RTDC4056 --include="*4056*201705181*"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"%USERPROFILE%\AppData\Local\Temp\OnboardLogs"\RTDC4056\*4056*201705181* &gt;&gt; 2017-05-18-SliceDisagreementCheck.txt</v>
      </c>
      <c r="AE16" s="148" t="str">
        <f t="shared" si="9"/>
        <v>start /low /b %USERPROFILE%\Documents\GitHub\eaglep3\Utilities\DownloadLogsFromS3.py --loco 4056 --day 2017-05-18</v>
      </c>
      <c r="AF16" s="1"/>
    </row>
    <row r="17" spans="1:32" x14ac:dyDescent="0.25">
      <c r="A17" s="31">
        <v>42873.461770833332</v>
      </c>
      <c r="B17" s="30" t="s">
        <v>519</v>
      </c>
      <c r="C17" s="30" t="s">
        <v>598</v>
      </c>
      <c r="D17" s="30" t="s">
        <v>98</v>
      </c>
      <c r="E17" s="30" t="s">
        <v>204</v>
      </c>
      <c r="F17" s="42">
        <v>700</v>
      </c>
      <c r="G17" s="42">
        <v>750</v>
      </c>
      <c r="H17" s="42">
        <v>170863</v>
      </c>
      <c r="I17" s="42">
        <v>167597</v>
      </c>
      <c r="J17" s="30" t="s">
        <v>205</v>
      </c>
      <c r="K17" s="42">
        <v>183829</v>
      </c>
      <c r="L17" s="134" t="s">
        <v>51</v>
      </c>
      <c r="M17" s="135">
        <f t="shared" si="0"/>
        <v>-8570.4959999999992</v>
      </c>
      <c r="N17" s="136" t="str">
        <f>VLOOKUP(C17,'Trips&amp;Operators'!$C$1:$G$99999,5,FALSE)</f>
        <v>ROCHA YAOTL</v>
      </c>
      <c r="O17" s="207" t="s">
        <v>184</v>
      </c>
      <c r="P17" s="137"/>
      <c r="Q17" s="30"/>
      <c r="R17" s="84" t="str">
        <f>IF(VLOOKUP(C17,'Train Runs'!$A$13:$AE$9927,1,1)=C17,VLOOKUP(C17,'Train Runs'!$A$13:$AE$9927,31,1),NA())</f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S17" s="87" t="str">
        <f>VLOOKUP(C17,'Train Runs'!$A$13:$AE$9927,22,0)</f>
        <v>https://d0f6bd738d7f1b3e5a7ca70fe4ff75f0.us-east-1.aws.found.io/app/kibana#/discover/Steve-Slow-Train-Analysis-(2080s-and-2083s)?_g=(refreshInterval:(display:Off,pause:!f,section:0,value:0),time:(from:'2017-05-18T09:54:52-0600',mode:absolute,to:'2017-05-18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7" s="89" t="str">
        <f t="shared" si="1"/>
        <v>"C:\Program Files (x86)\AstroGrep\AstroGrep.exe" /e /r /s /spath="%USERPROFILE%\AppData\Local\Temp\OnboardLogs" /stypes="*4055*201705181*"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4055</v>
      </c>
      <c r="V17" s="31">
        <f t="shared" si="3"/>
        <v>42873.711770833332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{"issue":{"subject":"","project_id":79,"tracker_id":40,"status_id":1,"priority_id":2,"assigned_to_id":23,"start_date":"2017-05-18","description":"","custom_fields":[{"id":1,"name":"Subdivision","value":"EC"},{"id":4,"name":"Milepost","value":"18.3829"},{"id":17,"name":"Train ID","value":"152-18"},{"id":16,"name":"Locomotive ID","value":"4055"},{"id":130,"name":"Impact","value":""},{"id":150,"name":"Time of Event (Mountain Time)","value":"11:04:57"},{"id":151,"name":"Denver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/cygdrive/c/Users/stu/AppData/Local/Temp/OnboardLogs/RTDC4055 --include="*4055*201705181*"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"%USERPROFILE%\AppData\Local\Temp\OnboardLogs"\RTDC4055\*4055*201705181* &gt;&gt; 2017-05-18-SliceDisagreementCheck.txt</v>
      </c>
      <c r="AE17" s="148" t="str">
        <f t="shared" si="9"/>
        <v>start /low /b %USERPROFILE%\Documents\GitHub\eaglep3\Utilities\DownloadLogsFromS3.py --loco 4055 --day 2017-05-18</v>
      </c>
      <c r="AF17" s="1"/>
    </row>
    <row r="18" spans="1:32" x14ac:dyDescent="0.25">
      <c r="A18" s="31">
        <v>42874.002083333333</v>
      </c>
      <c r="B18" s="30" t="s">
        <v>516</v>
      </c>
      <c r="C18" s="30" t="s">
        <v>615</v>
      </c>
      <c r="D18" s="30" t="s">
        <v>49</v>
      </c>
      <c r="E18" s="30" t="s">
        <v>372</v>
      </c>
      <c r="F18" s="42">
        <v>0</v>
      </c>
      <c r="G18" s="42">
        <v>402</v>
      </c>
      <c r="H18" s="42">
        <v>8774</v>
      </c>
      <c r="I18" s="42">
        <v>10024</v>
      </c>
      <c r="J18" s="30" t="s">
        <v>373</v>
      </c>
      <c r="K18" s="42">
        <v>10800</v>
      </c>
      <c r="L18" s="134" t="s">
        <v>50</v>
      </c>
      <c r="M18" s="135">
        <f t="shared" si="0"/>
        <v>409.72800000000001</v>
      </c>
      <c r="N18" s="136" t="str">
        <f>VLOOKUP(C18,'Trips&amp;Operators'!$C$1:$G$99999,5,FALSE)</f>
        <v>BROWN JACOB</v>
      </c>
      <c r="O18" s="207" t="s">
        <v>520</v>
      </c>
      <c r="P18" s="137" t="s">
        <v>1046</v>
      </c>
      <c r="Q18" s="30"/>
      <c r="R18" s="84" t="str">
        <f>IF(VLOOKUP(C18,'Train Runs'!$A$13:$AE$9927,1,1)=C18,VLOOKUP(C18,'Train Runs'!$A$13:$AE$9927,31,1),NA())</f>
        <v>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 &amp; 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</v>
      </c>
      <c r="S18" s="87" t="str">
        <f>VLOOKUP(C18,'Train Runs'!$A$13:$AE$9927,22,0)</f>
        <v>https://d0f6bd738d7f1b3e5a7ca70fe4ff75f0.us-east-1.aws.found.io/app/kibana#/discover/Steve-Slow-Train-Analysis-(2080s-and-2083s)?_g=(refreshInterval:(display:Off,pause:!f,section:0,value:0),time:(from:'2017-05-18T22:48:03-0600',mode:absolute,to:'2017-05-19T01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8" s="89" t="str">
        <f t="shared" si="1"/>
        <v>"C:\Program Files (x86)\AstroGrep\AstroGrep.exe" /e /r /s /spath="%USERPROFILE%\AppData\Local\Temp\OnboardLogs" /stypes="*4056*201705190*" /stext=" 06:.+((SYSTEM_STATE.+slice.+state.+changed )|(ment ac)|(multiple cpu faults)|(system.+state.+changed )|(\[timeout)|(PRM\|1\|D)|(kpr)|(kdp)|(train st.+moving)|(\|lc)|(penalty))"</v>
      </c>
      <c r="U18" s="9" t="str">
        <f t="shared" si="2"/>
        <v>4056</v>
      </c>
      <c r="V18" s="31">
        <f t="shared" si="3"/>
        <v>42874.252083333333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{"issue":{"subject":"Bright 2S premature downgrade","project_id":79,"tracker_id":40,"status_id":1,"priority_id":2,"assigned_to_id":23,"start_date":"2017-05-19","description":"00:02:39 - Bright 2S dropped to STOP, and then ~16s later re-upgraded to PROCEED CAB. Do logs show anything unusual at this time?","custom_fields":[{"id":1,"name":"Subdivision","value":"EC"},{"id":4,"name":"Milepost","value":"1.08"},{"id":17,"name":"Train ID","value":"241-18"},{"id":16,"name":"Locomotive ID","value":"4056"},{"id":130,"name":"Impact","value":"Enforcement"},{"id":150,"name":"Time of Event (Mountain Time)","value":"00:03:00"},{"id":151,"name":"Denver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162" t="s">
        <v>1047</v>
      </c>
      <c r="AA18" s="47" t="s">
        <v>124</v>
      </c>
      <c r="AB18" s="47" t="s">
        <v>129</v>
      </c>
      <c r="AC18" s="118" t="str">
        <f t="shared" si="7"/>
        <v>grep -hrE -A400 "Enforcement Action" /cygdrive/c/Users/stu/AppData/Local/Temp/OnboardLogs/RTDC4056 --include="*4056*201705190*"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"%USERPROFILE%\AppData\Local\Temp\OnboardLogs"\RTDC4056\*4056*201705190* &gt;&gt; 2017-05-18-SliceDisagreementCheck.txt</v>
      </c>
      <c r="AE18" s="148" t="str">
        <f t="shared" si="9"/>
        <v>start /low /b %USERPROFILE%\Documents\GitHub\eaglep3\Utilities\DownloadLogsFromS3.py --loco 4056 --day 2017-05-19</v>
      </c>
      <c r="AF18" s="1"/>
    </row>
    <row r="19" spans="1:32" x14ac:dyDescent="0.25">
      <c r="A19" s="31">
        <v>42873.465115740742</v>
      </c>
      <c r="B19" s="30" t="s">
        <v>519</v>
      </c>
      <c r="C19" s="30" t="s">
        <v>598</v>
      </c>
      <c r="D19" s="30" t="s">
        <v>49</v>
      </c>
      <c r="E19" s="30" t="s">
        <v>372</v>
      </c>
      <c r="F19" s="42">
        <v>0</v>
      </c>
      <c r="G19" s="42">
        <v>727</v>
      </c>
      <c r="H19" s="42">
        <v>142945</v>
      </c>
      <c r="I19" s="42">
        <v>139353</v>
      </c>
      <c r="J19" s="30" t="s">
        <v>373</v>
      </c>
      <c r="K19" s="42">
        <v>138851</v>
      </c>
      <c r="L19" s="134" t="s">
        <v>51</v>
      </c>
      <c r="M19" s="135">
        <f t="shared" si="0"/>
        <v>265.05599999999998</v>
      </c>
      <c r="N19" s="136" t="str">
        <f>VLOOKUP(C19,'Trips&amp;Operators'!$C$1:$G$99999,5,FALSE)</f>
        <v>ROCHA YAOTL</v>
      </c>
      <c r="O19" s="207" t="s">
        <v>520</v>
      </c>
      <c r="P19" s="137" t="s">
        <v>580</v>
      </c>
      <c r="Q19" s="30"/>
      <c r="R19" s="84" t="str">
        <f>IF(VLOOKUP(C19,'Train Runs'!$A$13:$AE$9927,1,1)=C19,VLOOKUP(C19,'Train Runs'!$A$13:$AE$9927,31,1),NA())</f>
        <v>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 &amp; 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</v>
      </c>
      <c r="S19" s="87" t="str">
        <f>VLOOKUP(C19,'Train Runs'!$A$13:$AE$9927,22,0)</f>
        <v>https://d0f6bd738d7f1b3e5a7ca70fe4ff75f0.us-east-1.aws.found.io/app/kibana#/discover/Steve-Slow-Train-Analysis-(2080s-and-2083s)?_g=(refreshInterval:(display:Off,pause:!f,section:0,value:0),time:(from:'2017-05-18T09:54:52-0600',mode:absolute,to:'2017-05-18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9" s="89" t="str">
        <f t="shared" si="1"/>
        <v>"C:\Program Files (x86)\AstroGrep\AstroGrep.exe" /e /r /s /spath="%USERPROFILE%\AppData\Local\Temp\OnboardLogs" /stypes="*4055*201705181*"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4055</v>
      </c>
      <c r="V19" s="31">
        <f t="shared" si="3"/>
        <v>42873.715115740742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drop","project_id":79,"tracker_id":40,"status_id":1,"priority_id":2,"assigned_to_id":23,"start_date":"2017-05-18","description":"","custom_fields":[{"id":1,"name":"Subdivision","value":"EC"},{"id":4,"name":"Milepost","value":"13.8851"},{"id":17,"name":"Train ID","value":"152-18"},{"id":16,"name":"Locomotive ID","value":"4055"},{"id":130,"name":"Impact","value":""},{"id":150,"name":"Time of Event (Mountain Time)","value":"11:09:46"},{"id":151,"name":"Denver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/cygdrive/c/Users/stu/AppData/Local/Temp/OnboardLogs/RTDC4055 --include="*4055*201705181*"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"%USERPROFILE%\AppData\Local\Temp\OnboardLogs"\RTDC4055\*4055*201705181* &gt;&gt; 2017-05-18-SliceDisagreementCheck.txt</v>
      </c>
      <c r="AE19" s="148" t="str">
        <f t="shared" si="9"/>
        <v>start /low /b %USERPROFILE%\Documents\GitHub\eaglep3\Utilities\DownloadLogsFromS3.py --loco 4055 --day 2017-05-18</v>
      </c>
      <c r="AF19" s="1"/>
    </row>
    <row r="20" spans="1:32" x14ac:dyDescent="0.25">
      <c r="A20" s="31">
        <v>42873.787314814814</v>
      </c>
      <c r="B20" s="30" t="s">
        <v>457</v>
      </c>
      <c r="C20" s="30" t="s">
        <v>610</v>
      </c>
      <c r="D20" s="30" t="s">
        <v>49</v>
      </c>
      <c r="E20" s="30" t="s">
        <v>372</v>
      </c>
      <c r="F20" s="42">
        <v>0</v>
      </c>
      <c r="G20" s="42">
        <v>556</v>
      </c>
      <c r="H20" s="42">
        <v>139025</v>
      </c>
      <c r="I20" s="42">
        <v>137363</v>
      </c>
      <c r="J20" s="30" t="s">
        <v>373</v>
      </c>
      <c r="K20" s="42">
        <v>138851</v>
      </c>
      <c r="L20" s="134" t="s">
        <v>51</v>
      </c>
      <c r="M20" s="135">
        <f t="shared" si="0"/>
        <v>-785.66399999999999</v>
      </c>
      <c r="N20" s="136" t="str">
        <f>VLOOKUP(C20,'Trips&amp;Operators'!$C$1:$G$99999,5,FALSE)</f>
        <v>YANG JAN</v>
      </c>
      <c r="O20" s="207" t="s">
        <v>520</v>
      </c>
      <c r="P20" s="137" t="s">
        <v>580</v>
      </c>
      <c r="Q20" s="30"/>
      <c r="R20" s="84" t="str">
        <f>IF(VLOOKUP(C20,'Train Runs'!$A$13:$AE$9927,1,1)=C20,VLOOKUP(C20,'Train Runs'!$A$13:$AE$9927,31,1),NA())</f>
        <v>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 &amp; 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</v>
      </c>
      <c r="S20" s="87" t="str">
        <f>VLOOKUP(C20,'Train Runs'!$A$13:$AE$9927,22,0)</f>
        <v>https://d0f6bd738d7f1b3e5a7ca70fe4ff75f0.us-east-1.aws.found.io/app/kibana#/discover/Steve-Slow-Train-Analysis-(2080s-and-2083s)?_g=(refreshInterval:(display:Off,pause:!f,section:0,value:0),time:(from:'2017-05-18T17:36:11-0600',mode:absolute,to:'2017-05-18T20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89" t="str">
        <f t="shared" si="1"/>
        <v>"C:\Program Files (x86)\AstroGrep\AstroGrep.exe" /e /r /s /spath="%USERPROFILE%\AppData\Local\Temp\OnboardLogs" /stypes="*4053*201705190*"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4053</v>
      </c>
      <c r="V20" s="31">
        <f t="shared" si="3"/>
        <v>42874.037314814814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drop","project_id":79,"tracker_id":40,"status_id":1,"priority_id":2,"assigned_to_id":23,"start_date":"2017-05-18","description":"","custom_fields":[{"id":1,"name":"Subdivision","value":"EC"},{"id":4,"name":"Milepost","value":"13.8851"},{"id":17,"name":"Train ID","value":"214-18"},{"id":16,"name":"Locomotive ID","value":"4053"},{"id":130,"name":"Impact","value":""},{"id":150,"name":"Time of Event (Mountain Time)","value":"18:53:44"},{"id":151,"name":"Denver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/cygdrive/c/Users/stu/AppData/Local/Temp/OnboardLogs/RTDC4053 --include="*4053*201705190*"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"%USERPROFILE%\AppData\Local\Temp\OnboardLogs"\RTDC4053\*4053*201705190* &gt;&gt; 2017-05-18-SliceDisagreementCheck.txt</v>
      </c>
      <c r="AE20" s="148" t="str">
        <f t="shared" si="9"/>
        <v>start /low /b %USERPROFILE%\Documents\GitHub\eaglep3\Utilities\DownloadLogsFromS3.py --loco 4053 --day 2017-05-19</v>
      </c>
      <c r="AF20" s="1"/>
    </row>
    <row r="21" spans="1:32" x14ac:dyDescent="0.25">
      <c r="A21" s="31">
        <v>42873.713090277779</v>
      </c>
      <c r="B21" s="30" t="s">
        <v>516</v>
      </c>
      <c r="C21" s="30" t="s">
        <v>606</v>
      </c>
      <c r="D21" s="30" t="s">
        <v>49</v>
      </c>
      <c r="E21" s="30" t="s">
        <v>372</v>
      </c>
      <c r="F21" s="42">
        <v>0</v>
      </c>
      <c r="G21" s="42">
        <v>59</v>
      </c>
      <c r="H21" s="42">
        <v>228123</v>
      </c>
      <c r="I21" s="42">
        <v>228174</v>
      </c>
      <c r="J21" s="30" t="s">
        <v>373</v>
      </c>
      <c r="K21" s="42">
        <v>228572</v>
      </c>
      <c r="L21" s="134" t="s">
        <v>50</v>
      </c>
      <c r="M21" s="135">
        <f t="shared" si="0"/>
        <v>210.14400000000001</v>
      </c>
      <c r="N21" s="136" t="str">
        <f>VLOOKUP(C21,'Trips&amp;Operators'!$C$1:$G$99999,5,FALSE)</f>
        <v>DELGADO DIANAH</v>
      </c>
      <c r="O21" s="207" t="s">
        <v>184</v>
      </c>
      <c r="P21" s="137" t="s">
        <v>1044</v>
      </c>
      <c r="Q21" s="30"/>
      <c r="R21" s="84" t="str">
        <f>IF(VLOOKUP(C21,'Train Runs'!$A$13:$AE$9927,1,1)=C21,VLOOKUP(C21,'Train Runs'!$A$13:$AE$9927,31,1),NA())</f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S21" s="87" t="str">
        <f>VLOOKUP(C21,'Train Runs'!$A$13:$AE$9927,22,0)</f>
        <v>https://d0f6bd738d7f1b3e5a7ca70fe4ff75f0.us-east-1.aws.found.io/app/kibana#/discover/Steve-Slow-Train-Analysis-(2080s-and-2083s)?_g=(refreshInterval:(display:Off,pause:!f,section:0,value:0),time:(from:'2017-05-18T15:26:43-0600',mode:absolute,to:'2017-05-18T18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1" s="89" t="str">
        <f t="shared" si="1"/>
        <v>"C:\Program Files (x86)\AstroGrep\AstroGrep.exe" /e /r /s /spath="%USERPROFILE%\AppData\Local\Temp\OnboardLogs" /stypes="*4056*201705182*"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4056</v>
      </c>
      <c r="V21" s="31">
        <f t="shared" si="3"/>
        <v>42873.963090277779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{"issue":{"subject":"DTO barricade test","project_id":79,"tracker_id":40,"status_id":1,"priority_id":2,"assigned_to_id":23,"start_date":"2017-05-18","description":"","custom_fields":[{"id":1,"name":"Subdivision","value":"EC"},{"id":4,"name":"Milepost","value":"22.8572"},{"id":17,"name":"Train ID","value":"203-18"},{"id":16,"name":"Locomotive ID","value":"4056"},{"id":130,"name":"Impact","value":""},{"id":150,"name":"Time of Event (Mountain Time)","value":"17:06:51"},{"id":151,"name":"Denver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/cygdrive/c/Users/stu/AppData/Local/Temp/OnboardLogs/RTDC4056 --include="*4056*201705182*"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"%USERPROFILE%\AppData\Local\Temp\OnboardLogs"\RTDC4056\*4056*201705182* &gt;&gt; 2017-05-18-SliceDisagreementCheck.txt</v>
      </c>
      <c r="AE21" s="148" t="str">
        <f t="shared" si="9"/>
        <v>start /low /b %USERPROFILE%\Documents\GitHub\eaglep3\Utilities\DownloadLogsFromS3.py --loco 4056 --day 2017-05-18</v>
      </c>
      <c r="AF21" s="1"/>
    </row>
    <row r="22" spans="1:32" x14ac:dyDescent="0.25">
      <c r="A22" s="31">
        <v>42873.430798611109</v>
      </c>
      <c r="B22" s="30" t="s">
        <v>517</v>
      </c>
      <c r="C22" s="30" t="s">
        <v>595</v>
      </c>
      <c r="D22" s="30" t="s">
        <v>49</v>
      </c>
      <c r="E22" s="30" t="s">
        <v>185</v>
      </c>
      <c r="F22" s="42">
        <v>0</v>
      </c>
      <c r="G22" s="42">
        <v>36</v>
      </c>
      <c r="H22" s="42">
        <v>132</v>
      </c>
      <c r="I22" s="42">
        <v>99</v>
      </c>
      <c r="J22" s="30" t="s">
        <v>186</v>
      </c>
      <c r="K22" s="42">
        <v>1</v>
      </c>
      <c r="L22" s="134" t="s">
        <v>51</v>
      </c>
      <c r="M22" s="135">
        <f t="shared" si="0"/>
        <v>51.744</v>
      </c>
      <c r="N22" s="136" t="str">
        <f>VLOOKUP(C22,'Trips&amp;Operators'!$C$1:$G$99999,5,FALSE)</f>
        <v>BADERTSCHER DIANE</v>
      </c>
      <c r="O22" s="207" t="s">
        <v>184</v>
      </c>
      <c r="P22" s="137"/>
      <c r="Q22" s="30"/>
      <c r="R22" s="84" t="str">
        <f>IF(VLOOKUP(C22,'Train Runs'!$A$13:$AE$9927,1,1)=C22,VLOOKUP(C22,'Train Runs'!$A$13:$AE$9927,31,1),NA())</f>
        <v>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 &amp; 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</v>
      </c>
      <c r="S22" s="87" t="str">
        <f>VLOOKUP(C22,'Train Runs'!$A$13:$AE$9927,22,0)</f>
        <v>https://d0f6bd738d7f1b3e5a7ca70fe4ff75f0.us-east-1.aws.found.io/app/kibana#/discover/Steve-Slow-Train-Analysis-(2080s-and-2083s)?_g=(refreshInterval:(display:Off,pause:!f,section:0,value:0),time:(from:'2017-05-18T08:28:54-0600',mode:absolute,to:'2017-05-18T11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9" t="str">
        <f t="shared" si="1"/>
        <v>"C:\Program Files (x86)\AstroGrep\AstroGrep.exe" /e /r /s /spath="%USERPROFILE%\AppData\Local\Temp\OnboardLogs" /stypes="*4029*201705181*"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4029</v>
      </c>
      <c r="V22" s="31">
        <f t="shared" si="3"/>
        <v>42873.680798611109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{"issue":{"subject":"","project_id":79,"tracker_id":40,"status_id":1,"priority_id":2,"assigned_to_id":23,"start_date":"2017-05-18","description":"","custom_fields":[{"id":1,"name":"Subdivision","value":"EC"},{"id":4,"name":"Milepost","value":"0.0001"},{"id":17,"name":"Train ID","value":"142-18"},{"id":16,"name":"Locomotive ID","value":"4029"},{"id":130,"name":"Impact","value":""},{"id":150,"name":"Time of Event (Mountain Time)","value":"10:20:21"},{"id":151,"name":"Denver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/cygdrive/c/Users/stu/AppData/Local/Temp/OnboardLogs/RTDC4029 --include="*4029*201705181*"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"%USERPROFILE%\AppData\Local\Temp\OnboardLogs"\RTDC4029\*4029*201705181* &gt;&gt; 2017-05-18-SliceDisagreementCheck.txt</v>
      </c>
      <c r="AE22" s="148" t="str">
        <f t="shared" si="9"/>
        <v>start /low /b %USERPROFILE%\Documents\GitHub\eaglep3\Utilities\DownloadLogsFromS3.py --loco 4029 --day 2017-05-18</v>
      </c>
      <c r="AF22" s="1"/>
    </row>
    <row r="23" spans="1:32" x14ac:dyDescent="0.25">
      <c r="A23" s="31">
        <v>42874.025405092594</v>
      </c>
      <c r="B23" s="30" t="s">
        <v>455</v>
      </c>
      <c r="C23" s="30" t="s">
        <v>618</v>
      </c>
      <c r="D23" s="30" t="s">
        <v>49</v>
      </c>
      <c r="E23" s="30" t="s">
        <v>185</v>
      </c>
      <c r="F23" s="42">
        <v>0</v>
      </c>
      <c r="G23" s="42">
        <v>57</v>
      </c>
      <c r="H23" s="42">
        <v>203</v>
      </c>
      <c r="I23" s="42">
        <v>154</v>
      </c>
      <c r="J23" s="30" t="s">
        <v>186</v>
      </c>
      <c r="K23" s="42">
        <v>1</v>
      </c>
      <c r="L23" s="134" t="s">
        <v>51</v>
      </c>
      <c r="M23" s="135">
        <f t="shared" si="0"/>
        <v>80.784000000000006</v>
      </c>
      <c r="N23" s="136" t="str">
        <f>VLOOKUP(C23,'Trips&amp;Operators'!$C$1:$G$99999,5,FALSE)</f>
        <v>CHANDLER KELVIN</v>
      </c>
      <c r="O23" s="207" t="s">
        <v>184</v>
      </c>
      <c r="P23" s="137"/>
      <c r="Q23" s="30"/>
      <c r="R23" s="84" t="str">
        <f>IF(VLOOKUP(C23,'Train Runs'!$A$13:$AE$9927,1,1)=C23,VLOOKUP(C23,'Train Runs'!$A$13:$AE$9927,31,1),NA())</f>
        <v>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 &amp; aws s3 cp s3://rtdc.mdm.uploadarchive.raw/RTDC4007/ "%USERPROFILE%\AppData\Local\Temp\OnboardLogs"\RTDC4007\2017-05-19 --exclude "*" --recursive --include "*20170519*" &amp; "%USERPROFILE%\Documents\GitHub\mrs-test-scripts\Headless Mode &amp; Sideloading\WalkAndUnGZ.bat" "%USERPROFILE%\AppData\Local\Temp\OnboardLogs"\RTDC4007\2017-05-19</v>
      </c>
      <c r="S23" s="87" t="str">
        <f>VLOOKUP(C23,'Train Runs'!$A$13:$AE$9927,22,0)</f>
        <v>https://d0f6bd738d7f1b3e5a7ca70fe4ff75f0.us-east-1.aws.found.io/app/kibana#/discover/Steve-Slow-Train-Analysis-(2080s-and-2083s)?_g=(refreshInterval:(display:Off,pause:!f,section:0,value:0),time:(from:'2017-05-18T22:49:04-0600',mode:absolute,to:'2017-05-19T01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3" s="89" t="str">
        <f t="shared" si="1"/>
        <v>"C:\Program Files (x86)\AstroGrep\AstroGrep.exe" /e /r /s /spath="%USERPROFILE%\AppData\Local\Temp\OnboardLogs" /stypes="*4007*201705190*" /stext=" 06:.+((SYSTEM_STATE.+slice.+state.+changed )|(ment ac)|(multiple cpu faults)|(system.+state.+changed )|(\[timeout)|(PRM\|1\|D)|(kpr)|(kdp)|(train st.+moving)|(\|lc)|(penalty))"</v>
      </c>
      <c r="U23" s="9" t="str">
        <f t="shared" si="2"/>
        <v>4007</v>
      </c>
      <c r="V23" s="31">
        <f t="shared" si="3"/>
        <v>42874.275405092594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{"issue":{"subject":"","project_id":79,"tracker_id":40,"status_id":1,"priority_id":2,"assigned_to_id":23,"start_date":"2017-05-19","description":"","custom_fields":[{"id":1,"name":"Subdivision","value":"EC"},{"id":4,"name":"Milepost","value":"0.0001"},{"id":17,"name":"Train ID","value":"238-18"},{"id":16,"name":"Locomotive ID","value":"4007"},{"id":130,"name":"Impact","value":""},{"id":150,"name":"Time of Event (Mountain Time)","value":"00:36:35"},{"id":151,"name":"Denver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/cygdrive/c/Users/stu/AppData/Local/Temp/OnboardLogs/RTDC4007 --include="*4007*201705190*"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"%USERPROFILE%\AppData\Local\Temp\OnboardLogs"\RTDC4007\*4007*201705190* &gt;&gt; 2017-05-18-SliceDisagreementCheck.txt</v>
      </c>
      <c r="AE23" s="148" t="str">
        <f t="shared" si="9"/>
        <v>start /low /b %USERPROFILE%\Documents\GitHub\eaglep3\Utilities\DownloadLogsFromS3.py --loco 4007 --day 2017-05-19</v>
      </c>
      <c r="AF23" s="1"/>
    </row>
    <row r="24" spans="1:32" x14ac:dyDescent="0.25">
      <c r="A24" s="31">
        <v>42873.732523148145</v>
      </c>
      <c r="B24" s="30" t="s">
        <v>593</v>
      </c>
      <c r="C24" s="30" t="s">
        <v>607</v>
      </c>
      <c r="D24" s="30" t="s">
        <v>49</v>
      </c>
      <c r="E24" s="30" t="s">
        <v>185</v>
      </c>
      <c r="F24" s="42">
        <v>0</v>
      </c>
      <c r="G24" s="42">
        <v>26</v>
      </c>
      <c r="H24" s="42">
        <v>892</v>
      </c>
      <c r="I24" s="42">
        <v>867</v>
      </c>
      <c r="J24" s="30" t="s">
        <v>186</v>
      </c>
      <c r="K24" s="42">
        <v>839</v>
      </c>
      <c r="L24" s="134" t="s">
        <v>51</v>
      </c>
      <c r="M24" s="135">
        <f t="shared" si="0"/>
        <v>14.784000000000001</v>
      </c>
      <c r="N24" s="136" t="str">
        <f>VLOOKUP(C24,'Trips&amp;Operators'!$C$1:$G$99999,5,FALSE)</f>
        <v>MOSES BRADLEY</v>
      </c>
      <c r="O24" s="207" t="s">
        <v>184</v>
      </c>
      <c r="P24" s="137"/>
      <c r="Q24" s="30"/>
      <c r="R24" s="84" t="str">
        <f>IF(VLOOKUP(C24,'Train Runs'!$A$13:$AE$9927,1,1)=C24,VLOOKUP(C24,'Train Runs'!$A$13:$AE$9927,31,1),NA())</f>
        <v>aws s3 cp s3://rtdc.mdm.uploadarchive.raw/RTDC4009/ "%USERPROFILE%\AppData\Local\Temp\OnboardLogs"\RTDC4009\2017-05-18 --exclude "*" --recursive --include "*20170518*" &amp; "%USERPROFILE%\Documents\GitHub\mrs-test-scripts\Headless Mode &amp; Sideloading\WalkAndUnGZ.bat" "%USERPROFILE%\AppData\Local\Temp\OnboardLogs"\RTDC4009\2017-05-18 &amp; 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</v>
      </c>
      <c r="S24" s="87" t="str">
        <f>VLOOKUP(C24,'Train Runs'!$A$13:$AE$9927,22,0)</f>
        <v>https://d0f6bd738d7f1b3e5a7ca70fe4ff75f0.us-east-1.aws.found.io/app/kibana#/discover/Steve-Slow-Train-Analysis-(2080s-and-2083s)?_g=(refreshInterval:(display:Off,pause:!f,section:0,value:0),time:(from:'2017-05-18T15:49:53-0600',mode:absolute,to:'2017-05-18T18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4" s="89" t="str">
        <f t="shared" si="1"/>
        <v>"C:\Program Files (x86)\AstroGrep\AstroGrep.exe" /e /r /s /spath="%USERPROFILE%\AppData\Local\Temp\OnboardLogs" /stypes="*4009*201705182*"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4009</v>
      </c>
      <c r="V24" s="31">
        <f t="shared" si="3"/>
        <v>42873.982523148145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{"issue":{"subject":"","project_id":79,"tracker_id":40,"status_id":1,"priority_id":2,"assigned_to_id":23,"start_date":"2017-05-18","description":"","custom_fields":[{"id":1,"name":"Subdivision","value":"EC"},{"id":4,"name":"Milepost","value":"0.0839"},{"id":17,"name":"Train ID","value":"200-18"},{"id":16,"name":"Locomotive ID","value":"4009"},{"id":130,"name":"Impact","value":""},{"id":150,"name":"Time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/cygdrive/c/Users/stu/AppData/Local/Temp/OnboardLogs/RTDC4009 --include="*4009*201705182*"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"%USERPROFILE%\AppData\Local\Temp\OnboardLogs"\RTDC4009\*4009*201705182* &gt;&gt; 2017-05-18-SliceDisagreementCheck.txt</v>
      </c>
      <c r="AE24" s="148" t="str">
        <f t="shared" si="9"/>
        <v>start /low /b %USERPROFILE%\Documents\GitHub\eaglep3\Utilities\DownloadLogsFromS3.py --loco 4009 --day 2017-05-18</v>
      </c>
      <c r="AF24" s="1"/>
    </row>
    <row r="25" spans="1:32" x14ac:dyDescent="0.25">
      <c r="A25" s="31">
        <v>42873.185034722221</v>
      </c>
      <c r="B25" s="30" t="s">
        <v>528</v>
      </c>
      <c r="C25" s="30" t="s">
        <v>581</v>
      </c>
      <c r="D25" s="30" t="s">
        <v>49</v>
      </c>
      <c r="E25" s="30" t="s">
        <v>185</v>
      </c>
      <c r="F25" s="42">
        <v>0</v>
      </c>
      <c r="G25" s="42">
        <v>47</v>
      </c>
      <c r="H25" s="42">
        <v>233197</v>
      </c>
      <c r="I25" s="42">
        <v>233255</v>
      </c>
      <c r="J25" s="30" t="s">
        <v>186</v>
      </c>
      <c r="K25" s="42">
        <v>233491</v>
      </c>
      <c r="L25" s="134" t="s">
        <v>50</v>
      </c>
      <c r="M25" s="135">
        <f t="shared" si="0"/>
        <v>124.608</v>
      </c>
      <c r="N25" s="136" t="str">
        <f>VLOOKUP(C25,'Trips&amp;Operators'!$C$1:$G$99999,5,FALSE)</f>
        <v>BONDS REYNALDO</v>
      </c>
      <c r="O25" s="207" t="s">
        <v>184</v>
      </c>
      <c r="P25" s="137"/>
      <c r="Q25" s="30"/>
      <c r="R25" s="84" t="str">
        <f>IF(VLOOKUP(C25,'Train Runs'!$A$13:$AE$9927,1,1)=C25,VLOOKUP(C25,'Train Runs'!$A$13:$AE$9927,31,1),NA())</f>
        <v>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 &amp; 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</v>
      </c>
      <c r="S25" s="87" t="str">
        <f>VLOOKUP(C25,'Train Runs'!$A$13:$AE$9927,22,0)</f>
        <v>https://d0f6bd738d7f1b3e5a7ca70fe4ff75f0.us-east-1.aws.found.io/app/kibana#/discover/Steve-Slow-Train-Analysis-(2080s-and-2083s)?_g=(refreshInterval:(display:Off,pause:!f,section:0,value:0),time:(from:'2017-05-18T02:45:32-0600',mode:absolute,to:'2017-05-18T05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89" t="str">
        <f t="shared" si="1"/>
        <v>"C:\Program Files (x86)\AstroGrep\AstroGrep.exe" /e /r /s /spath="%USERPROFILE%\AppData\Local\Temp\OnboardLogs" /stypes="*4032*201705181*" /stext=" 10:.+((SYSTEM_STATE.+slice.+state.+changed )|(ment ac)|(multiple cpu faults)|(system.+state.+changed )|(\[timeout)|(PRM\|1\|D)|(kpr)|(kdp)|(train st.+moving)|(\|lc)|(penalty))"</v>
      </c>
      <c r="U25" s="9" t="str">
        <f t="shared" si="2"/>
        <v>4032</v>
      </c>
      <c r="V25" s="31">
        <f t="shared" si="3"/>
        <v>42873.435034722221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{"issue":{"subject":"","project_id":79,"tracker_id":40,"status_id":1,"priority_id":2,"assigned_to_id":23,"start_date":"2017-05-18","description":"","custom_fields":[{"id":1,"name":"Subdivision","value":"EC"},{"id":4,"name":"Milepost","value":"23.3491"},{"id":17,"name":"Train ID","value":"103-18"},{"id":16,"name":"Locomotive ID","value":"4032"},{"id":130,"name":"Impact","value":""},{"id":150,"name":"Time of Event (Mountain Time)","value":"04:26:27"},{"id":151,"name":"Denver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/cygdrive/c/Users/stu/AppData/Local/Temp/OnboardLogs/RTDC4032 --include="*4032*201705181*"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"%USERPROFILE%\AppData\Local\Temp\OnboardLogs"\RTDC4032\*4032*201705181* &gt;&gt; 2017-05-18-SliceDisagreementCheck.txt</v>
      </c>
      <c r="AE25" s="148" t="str">
        <f t="shared" si="9"/>
        <v>start /low /b %USERPROFILE%\Documents\GitHub\eaglep3\Utilities\DownloadLogsFromS3.py --loco 4032 --day 2017-05-18</v>
      </c>
      <c r="AF25" s="1"/>
    </row>
    <row r="26" spans="1:32" x14ac:dyDescent="0.25">
      <c r="A26" s="31">
        <v>42873.203229166669</v>
      </c>
      <c r="B26" s="30" t="s">
        <v>343</v>
      </c>
      <c r="C26" s="30" t="s">
        <v>585</v>
      </c>
      <c r="D26" s="30" t="s">
        <v>49</v>
      </c>
      <c r="E26" s="30" t="s">
        <v>185</v>
      </c>
      <c r="F26" s="42">
        <v>0</v>
      </c>
      <c r="G26" s="42">
        <v>51</v>
      </c>
      <c r="H26" s="42">
        <v>233283</v>
      </c>
      <c r="I26" s="42">
        <v>233336</v>
      </c>
      <c r="J26" s="30" t="s">
        <v>186</v>
      </c>
      <c r="K26" s="42">
        <v>233491</v>
      </c>
      <c r="L26" s="134" t="s">
        <v>50</v>
      </c>
      <c r="M26" s="135">
        <f t="shared" si="0"/>
        <v>81.84</v>
      </c>
      <c r="N26" s="136" t="str">
        <f>VLOOKUP(C26,'Trips&amp;Operators'!$C$1:$G$99999,5,FALSE)</f>
        <v>ROBINSON KADDIBA</v>
      </c>
      <c r="O26" s="207" t="s">
        <v>184</v>
      </c>
      <c r="P26" s="137"/>
      <c r="Q26" s="30"/>
      <c r="R26" s="84" t="str">
        <f>IF(VLOOKUP(C26,'Train Runs'!$A$13:$AE$9927,1,1)=C26,VLOOKUP(C26,'Train Runs'!$A$13:$AE$9927,31,1),NA())</f>
        <v>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 &amp; aws s3 cp s3://rtdc.mdm.uploadarchive.raw/RTDC4028/ "%USERPROFILE%\AppData\Local\Temp\OnboardLogs"\RTDC4028\2017-05-19 --exclude "*" --recursive --include "*20170519*" &amp; "%USERPROFILE%\Documents\GitHub\mrs-test-scripts\Headless Mode &amp; Sideloading\WalkAndUnGZ.bat" "%USERPROFILE%\AppData\Local\Temp\OnboardLogs"\RTDC4028\2017-05-19</v>
      </c>
      <c r="S26" s="87" t="str">
        <f>VLOOKUP(C26,'Train Runs'!$A$13:$AE$9927,22,0)</f>
        <v>https://d0f6bd738d7f1b3e5a7ca70fe4ff75f0.us-east-1.aws.found.io/app/kibana#/discover/Steve-Slow-Train-Analysis-(2080s-and-2083s)?_g=(refreshInterval:(display:Off,pause:!f,section:0,value:0),time:(from:'2017-05-18T03:07:09-0600',mode:absolute,to:'2017-05-18T05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89" t="str">
        <f t="shared" si="1"/>
        <v>"C:\Program Files (x86)\AstroGrep\AstroGrep.exe" /e /r /s /spath="%USERPROFILE%\AppData\Local\Temp\OnboardLogs" /stypes="*4028*201705181*" /stext=" 10:.+((SYSTEM_STATE.+slice.+state.+changed )|(ment ac)|(multiple cpu faults)|(system.+state.+changed )|(\[timeout)|(PRM\|1\|D)|(kpr)|(kdp)|(train st.+moving)|(\|lc)|(penalty))"</v>
      </c>
      <c r="U26" s="9" t="str">
        <f t="shared" si="2"/>
        <v>4028</v>
      </c>
      <c r="V26" s="31">
        <f t="shared" si="3"/>
        <v>42873.453229166669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{"issue":{"subject":"","project_id":79,"tracker_id":40,"status_id":1,"priority_id":2,"assigned_to_id":23,"start_date":"2017-05-18","description":"","custom_fields":[{"id":1,"name":"Subdivision","value":"EC"},{"id":4,"name":"Milepost","value":"23.3491"},{"id":17,"name":"Train ID","value":"105-18"},{"id":16,"name":"Locomotive ID","value":"4028"},{"id":130,"name":"Impact","value":""},{"id":150,"name":"Time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/cygdrive/c/Users/stu/AppData/Local/Temp/OnboardLogs/RTDC4028 --include="*4028*201705181*"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"%USERPROFILE%\AppData\Local\Temp\OnboardLogs"\RTDC4028\*4028*201705181* &gt;&gt; 2017-05-18-SliceDisagreementCheck.txt</v>
      </c>
      <c r="AE26" s="148" t="str">
        <f t="shared" si="9"/>
        <v>start /low /b %USERPROFILE%\Documents\GitHub\eaglep3\Utilities\DownloadLogsFromS3.py --loco 4028 --day 2017-05-18</v>
      </c>
      <c r="AF26" s="1"/>
    </row>
    <row r="27" spans="1:32" x14ac:dyDescent="0.25">
      <c r="A27" s="31">
        <v>42873.545613425929</v>
      </c>
      <c r="B27" s="30" t="s">
        <v>599</v>
      </c>
      <c r="C27" s="30" t="s">
        <v>600</v>
      </c>
      <c r="D27" s="30" t="s">
        <v>49</v>
      </c>
      <c r="E27" s="30" t="s">
        <v>185</v>
      </c>
      <c r="F27" s="42">
        <v>0</v>
      </c>
      <c r="G27" s="42">
        <v>38</v>
      </c>
      <c r="H27" s="42">
        <v>233360</v>
      </c>
      <c r="I27" s="42">
        <v>233380</v>
      </c>
      <c r="J27" s="30" t="s">
        <v>186</v>
      </c>
      <c r="K27" s="42">
        <v>233491</v>
      </c>
      <c r="L27" s="134" t="s">
        <v>50</v>
      </c>
      <c r="M27" s="135">
        <f t="shared" si="0"/>
        <v>58.607999999999997</v>
      </c>
      <c r="N27" s="136" t="str">
        <f>VLOOKUP(C27,'Trips&amp;Operators'!$C$1:$G$99999,5,FALSE)</f>
        <v>MOSES BRADLEY</v>
      </c>
      <c r="O27" s="207" t="s">
        <v>184</v>
      </c>
      <c r="P27" s="137"/>
      <c r="Q27" s="30"/>
      <c r="R27" s="84" t="str">
        <f>IF(VLOOKUP(C27,'Train Runs'!$A$13:$AE$9927,1,1)=C27,VLOOKUP(C27,'Train Runs'!$A$13:$AE$9927,31,1),NA())</f>
        <v>aws s3 cp s3://rtdc.mdm.uploadarchive.raw/RTDC4010/ "%USERPROFILE%\AppData\Local\Temp\OnboardLogs"\RTDC4010\2017-05-18 --exclude "*" --recursive --include "*20170518*" &amp; "%USERPROFILE%\Documents\GitHub\mrs-test-scripts\Headless Mode &amp; Sideloading\WalkAndUnGZ.bat" "%USERPROFILE%\AppData\Local\Temp\OnboardLogs"\RTDC4010\2017-05-18 &amp; 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</v>
      </c>
      <c r="S27" s="87" t="str">
        <f>VLOOKUP(C27,'Train Runs'!$A$13:$AE$9927,22,0)</f>
        <v>https://d0f6bd738d7f1b3e5a7ca70fe4ff75f0.us-east-1.aws.found.io/app/kibana#/discover/Steve-Slow-Train-Analysis-(2080s-and-2083s)?_g=(refreshInterval:(display:Off,pause:!f,section:0,value:0),time:(from:'2017-05-18T11:26:15-0600',mode:absolute,to:'2017-05-18T14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89" t="str">
        <f t="shared" si="1"/>
        <v>"C:\Program Files (x86)\AstroGrep\AstroGrep.exe" /e /r /s /spath="%USERPROFILE%\AppData\Local\Temp\OnboardLogs" /stypes="*4010*201705181*"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4010</v>
      </c>
      <c r="V27" s="31">
        <f t="shared" si="3"/>
        <v>42873.795613425929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{"issue":{"subject":"","project_id":79,"tracker_id":40,"status_id":1,"priority_id":2,"assigned_to_id":23,"start_date":"2017-05-18","description":"","custom_fields":[{"id":1,"name":"Subdivision","value":"EC"},{"id":4,"name":"Milepost","value":"23.3491"},{"id":17,"name":"Train ID","value":"171-18"},{"id":16,"name":"Locomotive ID","value":"4010"},{"id":130,"name":"Impact","value":""},{"id":150,"name":"Time of Event (Mountain Time)","value":"13:05:41"},{"id":151,"name":"Denver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/cygdrive/c/Users/stu/AppData/Local/Temp/OnboardLogs/RTDC4010 --include="*4010*201705181*"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"%USERPROFILE%\AppData\Local\Temp\OnboardLogs"\RTDC4010\*4010*201705181* &gt;&gt; 2017-05-18-SliceDisagreementCheck.txt</v>
      </c>
      <c r="AE27" s="148" t="str">
        <f t="shared" si="9"/>
        <v>start /low /b %USERPROFILE%\Documents\GitHub\eaglep3\Utilities\DownloadLogsFromS3.py --loco 4010 --day 2017-05-18</v>
      </c>
      <c r="AF27" s="1"/>
    </row>
    <row r="28" spans="1:32" x14ac:dyDescent="0.25">
      <c r="A28" s="31">
        <v>42873.608657407407</v>
      </c>
      <c r="B28" s="30" t="s">
        <v>434</v>
      </c>
      <c r="C28" s="30" t="s">
        <v>601</v>
      </c>
      <c r="D28" s="30" t="s">
        <v>49</v>
      </c>
      <c r="E28" s="30" t="s">
        <v>185</v>
      </c>
      <c r="F28" s="42">
        <v>0</v>
      </c>
      <c r="G28" s="42">
        <v>26</v>
      </c>
      <c r="H28" s="42">
        <v>233424</v>
      </c>
      <c r="I28" s="42">
        <v>233441</v>
      </c>
      <c r="J28" s="30" t="s">
        <v>186</v>
      </c>
      <c r="K28" s="42">
        <v>233491</v>
      </c>
      <c r="L28" s="134" t="s">
        <v>50</v>
      </c>
      <c r="M28" s="135">
        <f t="shared" si="0"/>
        <v>26.4</v>
      </c>
      <c r="N28" s="136" t="str">
        <f>VLOOKUP(C28,'Trips&amp;Operators'!$C$1:$G$99999,5,FALSE)</f>
        <v>HELVIE ADAM</v>
      </c>
      <c r="O28" s="207" t="s">
        <v>184</v>
      </c>
      <c r="P28" s="137"/>
      <c r="Q28" s="30"/>
      <c r="R28" s="84" t="str">
        <f>IF(VLOOKUP(C28,'Train Runs'!$A$13:$AE$9927,1,1)=C28,VLOOKUP(C28,'Train Runs'!$A$13:$AE$9927,31,1),NA())</f>
        <v>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 &amp; 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</v>
      </c>
      <c r="S28" s="87" t="str">
        <f>VLOOKUP(C28,'Train Runs'!$A$13:$AE$9927,22,0)</f>
        <v>https://d0f6bd738d7f1b3e5a7ca70fe4ff75f0.us-east-1.aws.found.io/app/kibana#/discover/Steve-Slow-Train-Analysis-(2080s-and-2083s)?_g=(refreshInterval:(display:Off,pause:!f,section:0,value:0),time:(from:'2017-05-18T12:58:16-0600',mode:absolute,to:'2017-05-18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89" t="str">
        <f t="shared" si="1"/>
        <v>"C:\Program Files (x86)\AstroGrep\AstroGrep.exe" /e /r /s /spath="%USERPROFILE%\AppData\Local\Temp\OnboardLogs" /stypes="*4030*201705182*"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4030</v>
      </c>
      <c r="V28" s="31">
        <f t="shared" si="3"/>
        <v>42873.858657407407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{"issue":{"subject":"","project_id":79,"tracker_id":40,"status_id":1,"priority_id":2,"assigned_to_id":23,"start_date":"2017-05-18","description":"","custom_fields":[{"id":1,"name":"Subdivision","value":"EC"},{"id":4,"name":"Milepost","value":"23.3491"},{"id":17,"name":"Train ID","value":"183-18"},{"id":16,"name":"Locomotive ID","value":"4030"},{"id":130,"name":"Impact","value":""},{"id":150,"name":"Time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/cygdrive/c/Users/stu/AppData/Local/Temp/OnboardLogs/RTDC4030 --include="*4030*201705182*"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"%USERPROFILE%\AppData\Local\Temp\OnboardLogs"\RTDC4030\*4030*201705182* &gt;&gt; 2017-05-18-SliceDisagreementCheck.txt</v>
      </c>
      <c r="AE28" s="148" t="str">
        <f t="shared" si="9"/>
        <v>start /low /b %USERPROFILE%\Documents\GitHub\eaglep3\Utilities\DownloadLogsFromS3.py --loco 4030 --day 2017-05-18</v>
      </c>
      <c r="AF28" s="1"/>
    </row>
    <row r="29" spans="1:32" x14ac:dyDescent="0.25">
      <c r="A29" s="31">
        <v>42873.642847222225</v>
      </c>
      <c r="B29" s="30" t="s">
        <v>516</v>
      </c>
      <c r="C29" s="30" t="s">
        <v>603</v>
      </c>
      <c r="D29" s="30" t="s">
        <v>49</v>
      </c>
      <c r="E29" s="30" t="s">
        <v>185</v>
      </c>
      <c r="F29" s="42">
        <v>0</v>
      </c>
      <c r="G29" s="42">
        <v>53</v>
      </c>
      <c r="H29" s="42">
        <v>233289</v>
      </c>
      <c r="I29" s="42">
        <v>233336</v>
      </c>
      <c r="J29" s="30" t="s">
        <v>186</v>
      </c>
      <c r="K29" s="42">
        <v>233491</v>
      </c>
      <c r="L29" s="134" t="s">
        <v>50</v>
      </c>
      <c r="M29" s="135">
        <f t="shared" si="0"/>
        <v>81.84</v>
      </c>
      <c r="N29" s="136" t="str">
        <f>VLOOKUP(C29,'Trips&amp;Operators'!$C$1:$G$99999,5,FALSE)</f>
        <v>BRANDNER MELINDA</v>
      </c>
      <c r="O29" s="207" t="s">
        <v>184</v>
      </c>
      <c r="P29" s="137"/>
      <c r="Q29" s="30"/>
      <c r="R29" s="84" t="str">
        <f>IF(VLOOKUP(C29,'Train Runs'!$A$13:$AE$9927,1,1)=C29,VLOOKUP(C29,'Train Runs'!$A$13:$AE$9927,31,1),NA())</f>
        <v>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 &amp; aws s3 cp s3://rtdc.mdm.uploadarchive.raw/RTDC4056/ "%USERPROFILE%\AppData\Local\Temp\OnboardLogs"\RTDC4056\2017-05-19 --exclude "*" --recursive --include "*20170519*" &amp; "%USERPROFILE%\Documents\GitHub\mrs-test-scripts\Headless Mode &amp; Sideloading\WalkAndUnGZ.bat" "%USERPROFILE%\AppData\Local\Temp\OnboardLogs"\RTDC4056\2017-05-19</v>
      </c>
      <c r="S29" s="87" t="str">
        <f>VLOOKUP(C29,'Train Runs'!$A$13:$AE$9927,22,0)</f>
        <v>https://d0f6bd738d7f1b3e5a7ca70fe4ff75f0.us-east-1.aws.found.io/app/kibana#/discover/Steve-Slow-Train-Analysis-(2080s-and-2083s)?_g=(refreshInterval:(display:Off,pause:!f,section:0,value:0),time:(from:'2017-05-18T13:52:02-0600',mode:absolute,to:'2017-05-18T16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9" s="89" t="str">
        <f t="shared" si="1"/>
        <v>"C:\Program Files (x86)\AstroGrep\AstroGrep.exe" /e /r /s /spath="%USERPROFILE%\AppData\Local\Temp\OnboardLogs" /stypes="*4056*201705182*"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4056</v>
      </c>
      <c r="V29" s="31">
        <f t="shared" si="3"/>
        <v>42873.892847222225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{"issue":{"subject":"","project_id":79,"tracker_id":40,"status_id":1,"priority_id":2,"assigned_to_id":23,"start_date":"2017-05-18","description":"","custom_fields":[{"id":1,"name":"Subdivision","value":"EC"},{"id":4,"name":"Milepost","value":"23.3491"},{"id":17,"name":"Train ID","value":"189-18"},{"id":16,"name":"Locomotive ID","value":"4056"},{"id":130,"name":"Impact","value":""},{"id":150,"name":"Time of Event (Mountain Time)","value":"15:25:42"},{"id":151,"name":"Denver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/cygdrive/c/Users/stu/AppData/Local/Temp/OnboardLogs/RTDC4056 --include="*4056*201705182*"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"%USERPROFILE%\AppData\Local\Temp\OnboardLogs"\RTDC4056\*4056*201705182* &gt;&gt; 2017-05-18-SliceDisagreementCheck.txt</v>
      </c>
      <c r="AE29" s="148" t="str">
        <f t="shared" si="9"/>
        <v>start /low /b %USERPROFILE%\Documents\GitHub\eaglep3\Utilities\DownloadLogsFromS3.py --loco 4056 --day 2017-05-18</v>
      </c>
      <c r="AF29" s="1"/>
    </row>
    <row r="30" spans="1:32" x14ac:dyDescent="0.25">
      <c r="A30" s="31">
        <v>42873.963159722225</v>
      </c>
      <c r="B30" s="30" t="s">
        <v>389</v>
      </c>
      <c r="C30" s="30" t="s">
        <v>614</v>
      </c>
      <c r="D30" s="30" t="s">
        <v>49</v>
      </c>
      <c r="E30" s="30" t="s">
        <v>185</v>
      </c>
      <c r="F30" s="42">
        <v>0</v>
      </c>
      <c r="G30" s="42">
        <v>30</v>
      </c>
      <c r="H30" s="42">
        <v>233397</v>
      </c>
      <c r="I30" s="42">
        <v>233397</v>
      </c>
      <c r="J30" s="30" t="s">
        <v>186</v>
      </c>
      <c r="K30" s="42">
        <v>233491</v>
      </c>
      <c r="L30" s="134" t="s">
        <v>50</v>
      </c>
      <c r="M30" s="135">
        <f t="shared" si="0"/>
        <v>49.631999999999998</v>
      </c>
      <c r="N30" s="136" t="str">
        <f>VLOOKUP(C30,'Trips&amp;Operators'!$C$1:$G$99999,5,FALSE)</f>
        <v>SWANSON BRYCE</v>
      </c>
      <c r="O30" s="207" t="s">
        <v>184</v>
      </c>
      <c r="P30" s="137"/>
      <c r="Q30" s="30"/>
      <c r="R30" s="84" t="str">
        <f>IF(VLOOKUP(C30,'Train Runs'!$A$13:$AE$9927,1,1)=C30,VLOOKUP(C30,'Train Runs'!$A$13:$AE$9927,31,1),NA())</f>
        <v>aws s3 cp s3://rtdc.mdm.uploadarchive.raw/RTDC4014/ "%USERPROFILE%\AppData\Local\Temp\OnboardLogs"\RTDC4014\2017-05-18 --exclude "*" --recursive --include "*20170518*" &amp; "%USERPROFILE%\Documents\GitHub\mrs-test-scripts\Headless Mode &amp; Sideloading\WalkAndUnGZ.bat" "%USERPROFILE%\AppData\Local\Temp\OnboardLogs"\RTDC4014\2017-05-18 &amp; 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</v>
      </c>
      <c r="S30" s="87" t="str">
        <f>VLOOKUP(C30,'Train Runs'!$A$13:$AE$9927,22,0)</f>
        <v>https://d0f6bd738d7f1b3e5a7ca70fe4ff75f0.us-east-1.aws.found.io/app/kibana#/discover/Steve-Slow-Train-Analysis-(2080s-and-2083s)?_g=(refreshInterval:(display:Off,pause:!f,section:0,value:0),time:(from:'2017-05-18T21:10:29-0600',mode:absolute,to:'2017-05-19T00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0" s="89" t="str">
        <f t="shared" si="1"/>
        <v>"C:\Program Files (x86)\AstroGrep\AstroGrep.exe" /e /r /s /spath="%USERPROFILE%\AppData\Local\Temp\OnboardLogs" /stypes="*4014*201705190*" /stext=" 05:.+((SYSTEM_STATE.+slice.+state.+changed )|(ment ac)|(multiple cpu faults)|(system.+state.+changed )|(\[timeout)|(PRM\|1\|D)|(kpr)|(kdp)|(train st.+moving)|(\|lc)|(penalty))"</v>
      </c>
      <c r="U30" s="9" t="str">
        <f t="shared" si="2"/>
        <v>4014</v>
      </c>
      <c r="V30" s="31">
        <f t="shared" si="3"/>
        <v>42874.213159722225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{"issue":{"subject":"","project_id":79,"tracker_id":40,"status_id":1,"priority_id":2,"assigned_to_id":23,"start_date":"2017-05-18","description":"","custom_fields":[{"id":1,"name":"Subdivision","value":"EC"},{"id":4,"name":"Milepost","value":"23.3491"},{"id":17,"name":"Train ID","value":"235-18"},{"id":16,"name":"Locomotive ID","value":"4014"},{"id":130,"name":"Impact","value":""},{"id":150,"name":"Time of Event (Mountain Time)","value":"23:06:57"},{"id":151,"name":"Denver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/cygdrive/c/Users/stu/AppData/Local/Temp/OnboardLogs/RTDC4014 --include="*4014*201705190*"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"%USERPROFILE%\AppData\Local\Temp\OnboardLogs"\RTDC4014\*4014*201705190* &gt;&gt; 2017-05-18-SliceDisagreementCheck.txt</v>
      </c>
      <c r="AE30" s="148" t="str">
        <f t="shared" si="9"/>
        <v>start /low /b %USERPROFILE%\Documents\GitHub\eaglep3\Utilities\DownloadLogsFromS3.py --loco 4014 --day 2017-05-19</v>
      </c>
      <c r="AF30" s="1"/>
    </row>
    <row r="31" spans="1:32" x14ac:dyDescent="0.25">
      <c r="A31" s="31">
        <v>42873.787187499998</v>
      </c>
      <c r="B31" s="30" t="s">
        <v>468</v>
      </c>
      <c r="C31" s="30" t="s">
        <v>609</v>
      </c>
      <c r="D31" s="30" t="s">
        <v>98</v>
      </c>
      <c r="E31" s="30" t="s">
        <v>204</v>
      </c>
      <c r="F31" s="42">
        <v>200</v>
      </c>
      <c r="G31" s="42">
        <v>253</v>
      </c>
      <c r="H31" s="42">
        <v>6379</v>
      </c>
      <c r="I31" s="42">
        <v>6764</v>
      </c>
      <c r="J31" s="30" t="s">
        <v>205</v>
      </c>
      <c r="K31" s="42">
        <v>5315</v>
      </c>
      <c r="L31" s="134" t="s">
        <v>50</v>
      </c>
      <c r="M31" s="135">
        <f t="shared" si="0"/>
        <v>-765.072</v>
      </c>
      <c r="N31" s="136" t="str">
        <f>VLOOKUP(C31,'Trips&amp;Operators'!$C$1:$G$99999,5,FALSE)</f>
        <v>THOMPSON LESTER</v>
      </c>
      <c r="O31" s="207" t="s">
        <v>184</v>
      </c>
      <c r="P31" s="137"/>
      <c r="Q31" s="30"/>
      <c r="R31" s="84" t="e">
        <f>IF(VLOOKUP(C31,'Train Runs'!$A$13:$AE$9927,1,1)=C31,VLOOKUP(C31,'Train Runs'!$A$13:$AE$9927,31,1),NA())</f>
        <v>#N/A</v>
      </c>
      <c r="S31" s="87" t="str">
        <f>VLOOKUP(C31,'Train Runs'!$A$13:$AE$9927,22,0)</f>
        <v>https://d0f6bd738d7f1b3e5a7ca70fe4ff75f0.us-east-1.aws.found.io/app/kibana#/discover/Steve-Slow-Train-Analysis-(2080s-and-2083s)?_g=(refreshInterval:(display:Off,pause:!f,section:0,value:0),time:(from:'2017-05-18T17:48:08-0600',mode:absolute,to:'2017-05-18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1" s="89" t="str">
        <f t="shared" si="1"/>
        <v>"C:\Program Files (x86)\AstroGrep\AstroGrep.exe" /e /r /s /spath="%USERPROFILE%\AppData\Local\Temp\OnboardLogs" /stypes="*4012*201705190*"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4012</v>
      </c>
      <c r="V31" s="31">
        <f t="shared" si="3"/>
        <v>42874.037187499998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{"issue":{"subject":"","project_id":79,"tracker_id":40,"status_id":1,"priority_id":2,"assigned_to_id":23,"start_date":"2017-05-18","description":"","custom_fields":[{"id":1,"name":"Subdivision","value":"NW"},{"id":4,"name":"Milepost","value":"0.5315"},{"id":17,"name":"Train ID","value":"839-18"},{"id":16,"name":"Locomotive ID","value":"4012"},{"id":130,"name":"Impact","value":""},{"id":150,"name":"Time of Event (Mountain Time)","value":"18:53:33"},{"id":151,"name":"Denver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/cygdrive/c/Users/stu/AppData/Local/Temp/OnboardLogs/RTDC4012 --include="*4012*201705190*"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"%USERPROFILE%\AppData\Local\Temp\OnboardLogs"\RTDC4012\*4012*201705190* &gt;&gt; 2017-05-18-SliceDisagreementCheck.txt</v>
      </c>
      <c r="AE31" s="148" t="str">
        <f t="shared" si="9"/>
        <v>start /low /b %USERPROFILE%\Documents\GitHub\eaglep3\Utilities\DownloadLogsFromS3.py --loco 4012 --day 2017-05-19</v>
      </c>
      <c r="AF31" s="1"/>
    </row>
    <row r="32" spans="1:32" x14ac:dyDescent="0.25">
      <c r="A32" s="31">
        <v>42873.288680555554</v>
      </c>
      <c r="B32" s="30" t="s">
        <v>468</v>
      </c>
      <c r="C32" s="30" t="s">
        <v>589</v>
      </c>
      <c r="D32" s="30" t="s">
        <v>49</v>
      </c>
      <c r="E32" s="30" t="s">
        <v>204</v>
      </c>
      <c r="F32" s="42">
        <v>300</v>
      </c>
      <c r="G32" s="42">
        <v>363</v>
      </c>
      <c r="H32" s="42">
        <v>20583</v>
      </c>
      <c r="I32" s="42">
        <v>21674</v>
      </c>
      <c r="J32" s="30" t="s">
        <v>205</v>
      </c>
      <c r="K32" s="42">
        <v>21299</v>
      </c>
      <c r="L32" s="134" t="s">
        <v>50</v>
      </c>
      <c r="M32" s="135">
        <f t="shared" si="0"/>
        <v>-198</v>
      </c>
      <c r="N32" s="136" t="str">
        <f>VLOOKUP(C32,'Trips&amp;Operators'!$C$1:$G$99999,5,FALSE)</f>
        <v>MACDONALD THOMAS</v>
      </c>
      <c r="O32" s="207" t="s">
        <v>184</v>
      </c>
      <c r="P32" s="137"/>
      <c r="Q32" s="30"/>
      <c r="R32" s="84" t="str">
        <f>IF(VLOOKUP(C32,'Train Runs'!$A$13:$AE$9927,1,1)=C32,VLOOKUP(C32,'Train Runs'!$A$13:$AE$9927,31,1),NA())</f>
        <v>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 &amp; 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</v>
      </c>
      <c r="S32" s="87" t="str">
        <f>VLOOKUP(C32,'Train Runs'!$A$13:$AE$9927,22,0)</f>
        <v>https://d0f6bd738d7f1b3e5a7ca70fe4ff75f0.us-east-1.aws.found.io/app/kibana#/discover/Steve-Slow-Train-Analysis-(2080s-and-2083s)?_g=(refreshInterval:(display:Off,pause:!f,section:0,value:0),time:(from:'2017-05-18T05:27:45-0600',mode:absolute,to:'2017-05-18T08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89" t="str">
        <f t="shared" si="1"/>
        <v>"C:\Program Files (x86)\AstroGrep\AstroGrep.exe" /e /r /s /spath="%USERPROFILE%\AppData\Local\Temp\OnboardLogs" /stypes="*4012*201705181*"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4012</v>
      </c>
      <c r="V32" s="31">
        <f t="shared" si="3"/>
        <v>42873.538680555554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{"issue":{"subject":"","project_id":79,"tracker_id":40,"status_id":1,"priority_id":2,"assigned_to_id":23,"start_date":"2017-05-18","description":"","custom_fields":[{"id":1,"name":"Subdivision","value":"NW"},{"id":4,"name":"Milepost","value":"2.1299"},{"id":17,"name":"Train ID","value":"805-18"},{"id":16,"name":"Locomotive ID","value":"4012"},{"id":130,"name":"Impact","value":""},{"id":150,"name":"Time of Event (Mountain Time)","value":"06:55:42"},{"id":151,"name":"Denver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/cygdrive/c/Users/stu/AppData/Local/Temp/OnboardLogs/RTDC4012 --include="*4012*201705181*"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"%USERPROFILE%\AppData\Local\Temp\OnboardLogs"\RTDC4012\*4012*201705181* &gt;&gt; 2017-05-18-SliceDisagreementCheck.txt</v>
      </c>
      <c r="AE32" s="148" t="str">
        <f t="shared" si="9"/>
        <v>start /low /b %USERPROFILE%\Documents\GitHub\eaglep3\Utilities\DownloadLogsFromS3.py --loco 4012 --day 2017-05-18</v>
      </c>
      <c r="AF32" s="1"/>
    </row>
    <row r="33" spans="1:32" x14ac:dyDescent="0.25">
      <c r="A33" s="31">
        <v>42873.909178240741</v>
      </c>
      <c r="B33" s="30" t="s">
        <v>604</v>
      </c>
      <c r="C33" s="30" t="s">
        <v>612</v>
      </c>
      <c r="D33" s="30" t="s">
        <v>98</v>
      </c>
      <c r="E33" s="30" t="s">
        <v>204</v>
      </c>
      <c r="F33" s="42">
        <v>600</v>
      </c>
      <c r="G33" s="42">
        <v>650</v>
      </c>
      <c r="H33" s="42">
        <v>30868</v>
      </c>
      <c r="I33" s="42">
        <v>27922</v>
      </c>
      <c r="J33" s="30" t="s">
        <v>205</v>
      </c>
      <c r="K33" s="42">
        <v>36535</v>
      </c>
      <c r="L33" s="134" t="s">
        <v>51</v>
      </c>
      <c r="M33" s="135">
        <f t="shared" si="0"/>
        <v>-4547.6639999999998</v>
      </c>
      <c r="N33" s="136" t="str">
        <f>VLOOKUP(C33,'Trips&amp;Operators'!$C$1:$G$99999,5,FALSE)</f>
        <v>THOMPSON LESTER</v>
      </c>
      <c r="O33" s="207" t="s">
        <v>184</v>
      </c>
      <c r="P33" s="137"/>
      <c r="Q33" s="30"/>
      <c r="R33" s="84" t="e">
        <f>IF(VLOOKUP(C33,'Train Runs'!$A$13:$AE$9927,1,1)=C33,VLOOKUP(C33,'Train Runs'!$A$13:$AE$9927,31,1),NA())</f>
        <v>#N/A</v>
      </c>
      <c r="S33" s="87" t="str">
        <f>VLOOKUP(C33,'Train Runs'!$A$13:$AE$9927,22,0)</f>
        <v>https://d0f6bd738d7f1b3e5a7ca70fe4ff75f0.us-east-1.aws.found.io/app/kibana#/discover/Steve-Slow-Train-Analysis-(2080s-and-2083s)?_g=(refreshInterval:(display:Off,pause:!f,section:0,value:0),time:(from:'2017-05-18T20:39:28-0600',mode:absolute,to:'2017-05-18T22:58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3" s="89" t="str">
        <f t="shared" si="1"/>
        <v>"C:\Program Files (x86)\AstroGrep\AstroGrep.exe" /e /r /s /spath="%USERPROFILE%\AppData\Local\Temp\OnboardLogs" /stypes="*4025*201705190*" /stext=" 03:.+((SYSTEM_STATE.+slice.+state.+changed )|(ment ac)|(multiple cpu faults)|(system.+state.+changed )|(\[timeout)|(PRM\|1\|D)|(kpr)|(kdp)|(train st.+moving)|(\|lc)|(penalty))"</v>
      </c>
      <c r="U33" s="9" t="str">
        <f t="shared" si="2"/>
        <v>4025</v>
      </c>
      <c r="V33" s="31">
        <f t="shared" si="3"/>
        <v>42874.159178240741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{"issue":{"subject":"","project_id":79,"tracker_id":40,"status_id":1,"priority_id":2,"assigned_to_id":23,"start_date":"2017-05-18","description":"","custom_fields":[{"id":1,"name":"Subdivision","value":"NW"},{"id":4,"name":"Milepost","value":"3.6535"},{"id":17,"name":"Train ID","value":"844-18"},{"id":16,"name":"Locomotive ID","value":"4025"},{"id":130,"name":"Impact","value":""},{"id":150,"name":"Time of Event (Mountain Time)","value":"21:49:13"},{"id":151,"name":"Denver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/cygdrive/c/Users/stu/AppData/Local/Temp/OnboardLogs/RTDC4025 --include="*4025*201705190*"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"%USERPROFILE%\AppData\Local\Temp\OnboardLogs"\RTDC4025\*4025*201705190* &gt;&gt; 2017-05-18-SliceDisagreementCheck.txt</v>
      </c>
      <c r="AE33" s="148" t="str">
        <f t="shared" si="9"/>
        <v>start /low /b %USERPROFILE%\Documents\GitHub\eaglep3\Utilities\DownloadLogsFromS3.py --loco 4025 --day 2017-05-19</v>
      </c>
      <c r="AF33" s="1"/>
    </row>
    <row r="34" spans="1:32" x14ac:dyDescent="0.25">
      <c r="A34" s="31">
        <v>42873.750798611109</v>
      </c>
      <c r="B34" s="30" t="s">
        <v>468</v>
      </c>
      <c r="C34" s="30" t="s">
        <v>608</v>
      </c>
      <c r="D34" s="30" t="s">
        <v>98</v>
      </c>
      <c r="E34" s="30" t="s">
        <v>204</v>
      </c>
      <c r="F34" s="42">
        <v>400</v>
      </c>
      <c r="G34" s="42">
        <v>452</v>
      </c>
      <c r="H34" s="42">
        <v>43849</v>
      </c>
      <c r="I34" s="42">
        <v>45272</v>
      </c>
      <c r="J34" s="30" t="s">
        <v>205</v>
      </c>
      <c r="K34" s="42">
        <v>41797</v>
      </c>
      <c r="L34" s="134" t="s">
        <v>50</v>
      </c>
      <c r="M34" s="135">
        <f t="shared" si="0"/>
        <v>-1834.8</v>
      </c>
      <c r="N34" s="136" t="str">
        <f>VLOOKUP(C34,'Trips&amp;Operators'!$C$1:$G$99999,5,FALSE)</f>
        <v>THOMPSON LESTER</v>
      </c>
      <c r="O34" s="207" t="s">
        <v>184</v>
      </c>
      <c r="P34" s="137"/>
      <c r="Q34" s="30"/>
      <c r="R34" s="84" t="e">
        <f>IF(VLOOKUP(C34,'Train Runs'!$A$13:$AE$9927,1,1)=C34,VLOOKUP(C34,'Train Runs'!$A$13:$AE$9927,31,1),NA())</f>
        <v>#N/A</v>
      </c>
      <c r="S34" s="87" t="str">
        <f>VLOOKUP(C34,'Train Runs'!$A$13:$AE$9927,22,0)</f>
        <v>https://d0f6bd738d7f1b3e5a7ca70fe4ff75f0.us-east-1.aws.found.io/app/kibana#/discover/Steve-Slow-Train-Analysis-(2080s-and-2083s)?_g=(refreshInterval:(display:Off,pause:!f,section:0,value:0),time:(from:'2017-05-18T16:27:11-0600',mode:absolute,to:'2017-05-18T19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4" s="89" t="str">
        <f t="shared" si="1"/>
        <v>"C:\Program Files (x86)\AstroGrep\AstroGrep.exe" /e /r /s /spath="%USERPROFILE%\AppData\Local\Temp\OnboardLogs" /stypes="*4012*201705190*"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4012</v>
      </c>
      <c r="V34" s="31">
        <f t="shared" si="3"/>
        <v>42874.000798611109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{"issue":{"subject":"","project_id":79,"tracker_id":40,"status_id":1,"priority_id":2,"assigned_to_id":23,"start_date":"2017-05-18","description":"","custom_fields":[{"id":1,"name":"Subdivision","value":"NW"},{"id":4,"name":"Milepost","value":"4.1797"},{"id":17,"name":"Train ID","value":"835-18"},{"id":16,"name":"Locomotive ID","value":"4012"},{"id":130,"name":"Impact","value":""},{"id":150,"name":"Time of Event (Mountain Time)","value":"18:01:09"},{"id":151,"name":"Denver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/cygdrive/c/Users/stu/AppData/Local/Temp/OnboardLogs/RTDC4012 --include="*4012*201705190*"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"%USERPROFILE%\AppData\Local\Temp\OnboardLogs"\RTDC4012\*4012*201705190* &gt;&gt; 2017-05-18-SliceDisagreementCheck.txt</v>
      </c>
      <c r="AE34" s="148" t="str">
        <f t="shared" si="9"/>
        <v>start /low /b %USERPROFILE%\Documents\GitHub\eaglep3\Utilities\DownloadLogsFromS3.py --loco 4012 --day 2017-05-19</v>
      </c>
      <c r="AF34" s="1"/>
    </row>
    <row r="35" spans="1:32" x14ac:dyDescent="0.25">
      <c r="A35" s="31">
        <v>42873.788923611108</v>
      </c>
      <c r="B35" s="30" t="s">
        <v>468</v>
      </c>
      <c r="C35" s="30" t="s">
        <v>609</v>
      </c>
      <c r="D35" s="30" t="s">
        <v>98</v>
      </c>
      <c r="E35" s="30" t="s">
        <v>372</v>
      </c>
      <c r="F35" s="42">
        <v>0</v>
      </c>
      <c r="G35" s="42">
        <v>577</v>
      </c>
      <c r="H35" s="42">
        <v>16718</v>
      </c>
      <c r="I35" s="42">
        <v>18419</v>
      </c>
      <c r="J35" s="30" t="s">
        <v>373</v>
      </c>
      <c r="K35" s="42">
        <v>16577</v>
      </c>
      <c r="L35" s="134" t="s">
        <v>50</v>
      </c>
      <c r="M35" s="135">
        <f t="shared" si="0"/>
        <v>-972.57600000000002</v>
      </c>
      <c r="N35" s="136" t="str">
        <f>VLOOKUP(C35,'Trips&amp;Operators'!$C$1:$G$99999,5,FALSE)</f>
        <v>THOMPSON LESTER</v>
      </c>
      <c r="O35" s="207" t="s">
        <v>520</v>
      </c>
      <c r="P35" s="137" t="s">
        <v>580</v>
      </c>
      <c r="Q35" s="30"/>
      <c r="R35" s="84" t="e">
        <f>IF(VLOOKUP(C35,'Train Runs'!$A$13:$AE$9927,1,1)=C35,VLOOKUP(C35,'Train Runs'!$A$13:$AE$9927,31,1),NA())</f>
        <v>#N/A</v>
      </c>
      <c r="S35" s="87" t="str">
        <f>VLOOKUP(C35,'Train Runs'!$A$13:$AE$9927,22,0)</f>
        <v>https://d0f6bd738d7f1b3e5a7ca70fe4ff75f0.us-east-1.aws.found.io/app/kibana#/discover/Steve-Slow-Train-Analysis-(2080s-and-2083s)?_g=(refreshInterval:(display:Off,pause:!f,section:0,value:0),time:(from:'2017-05-18T17:48:08-0600',mode:absolute,to:'2017-05-18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5" s="89" t="str">
        <f t="shared" si="1"/>
        <v>"C:\Program Files (x86)\AstroGrep\AstroGrep.exe" /e /r /s /spath="%USERPROFILE%\AppData\Local\Temp\OnboardLogs" /stypes="*4012*201705190*"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4012</v>
      </c>
      <c r="V35" s="31">
        <f t="shared" si="3"/>
        <v>42874.038923611108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{"issue":{"subject":"Wi-MAX data drop","project_id":79,"tracker_id":40,"status_id":1,"priority_id":2,"assigned_to_id":23,"start_date":"2017-05-18","description":"","custom_fields":[{"id":1,"name":"Subdivision","value":"NW"},{"id":4,"name":"Milepost","value":"1.6577"},{"id":17,"name":"Train ID","value":"839-18"},{"id":16,"name":"Locomotive ID","value":"4012"},{"id":130,"name":"Impact","value":""},{"id":150,"name":"Time of Event (Mountain Time)","value":"18:56:03"},{"id":151,"name":"Denver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/cygdrive/c/Users/stu/AppData/Local/Temp/OnboardLogs/RTDC4012 --include="*4012*201705190*"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"%USERPROFILE%\AppData\Local\Temp\OnboardLogs"\RTDC4012\*4012*201705190* &gt;&gt; 2017-05-18-SliceDisagreementCheck.txt</v>
      </c>
      <c r="AE35" s="148" t="str">
        <f t="shared" si="9"/>
        <v>start /low /b %USERPROFILE%\Documents\GitHub\eaglep3\Utilities\DownloadLogsFromS3.py --loco 4012 --day 2017-05-19</v>
      </c>
      <c r="AF35" s="1"/>
    </row>
    <row r="36" spans="1:32" x14ac:dyDescent="0.25">
      <c r="A36" s="31">
        <v>42873.225995370369</v>
      </c>
      <c r="B36" s="30" t="s">
        <v>469</v>
      </c>
      <c r="C36" s="30" t="s">
        <v>586</v>
      </c>
      <c r="D36" s="30" t="s">
        <v>49</v>
      </c>
      <c r="E36" s="30" t="s">
        <v>185</v>
      </c>
      <c r="F36" s="42">
        <v>0</v>
      </c>
      <c r="G36" s="42">
        <v>60</v>
      </c>
      <c r="H36" s="42">
        <v>745</v>
      </c>
      <c r="I36" s="42">
        <v>706</v>
      </c>
      <c r="J36" s="30" t="s">
        <v>186</v>
      </c>
      <c r="K36" s="42">
        <v>575</v>
      </c>
      <c r="L36" s="134" t="s">
        <v>51</v>
      </c>
      <c r="M36" s="135">
        <f t="shared" si="0"/>
        <v>69.168000000000006</v>
      </c>
      <c r="N36" s="136" t="str">
        <f>VLOOKUP(C36,'Trips&amp;Operators'!$C$1:$G$99999,5,FALSE)</f>
        <v>MACDONALD THOMAS</v>
      </c>
      <c r="O36" s="207" t="s">
        <v>184</v>
      </c>
      <c r="P36" s="137"/>
      <c r="Q36" s="30"/>
      <c r="R36" s="84" t="str">
        <f>IF(VLOOKUP(C36,'Train Runs'!$A$13:$AE$9927,1,1)=C36,VLOOKUP(C36,'Train Runs'!$A$13:$AE$9927,31,1),NA())</f>
        <v>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 &amp; 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</v>
      </c>
      <c r="S36" s="87" t="str">
        <f>VLOOKUP(C36,'Train Runs'!$A$13:$AE$9927,22,0)</f>
        <v>https://d0f6bd738d7f1b3e5a7ca70fe4ff75f0.us-east-1.aws.found.io/app/kibana#/discover/Steve-Slow-Train-Analysis-(2080s-and-2083s)?_g=(refreshInterval:(display:Off,pause:!f,section:0,value:0),time:(from:'2017-05-18T03:58:23-0600',mode:absolute,to:'2017-05-18T06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6" s="89" t="str">
        <f t="shared" si="1"/>
        <v>"C:\Program Files (x86)\AstroGrep\AstroGrep.exe" /e /r /s /spath="%USERPROFILE%\AppData\Local\Temp\OnboardLogs" /stypes="*4011*201705181*"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4011</v>
      </c>
      <c r="V36" s="31">
        <f t="shared" si="3"/>
        <v>42873.475995370369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{"issue":{"subject":"","project_id":79,"tracker_id":40,"status_id":1,"priority_id":2,"assigned_to_id":23,"start_date":"2017-05-18","description":"","custom_fields":[{"id":1,"name":"Subdivision","value":"NW"},{"id":4,"name":"Milepost","value":"0.0575"},{"id":17,"name":"Train ID","value":"800-18"},{"id":16,"name":"Locomotive ID","value":"4011"},{"id":130,"name":"Impact","value":""},{"id":150,"name":"Time of Event (Mountain Time)","value":"05:25:26"},{"id":151,"name":"Denver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/cygdrive/c/Users/stu/AppData/Local/Temp/OnboardLogs/RTDC4011 --include="*4011*201705181*"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"%USERPROFILE%\AppData\Local\Temp\OnboardLogs"\RTDC4011\*4011*201705181* &gt;&gt; 2017-05-18-SliceDisagreementCheck.txt</v>
      </c>
      <c r="AE36" s="148" t="str">
        <f t="shared" si="9"/>
        <v>start /low /b %USERPROFILE%\Documents\GitHub\eaglep3\Utilities\DownloadLogsFromS3.py --loco 4011 --day 2017-05-18</v>
      </c>
      <c r="AF36" s="1"/>
    </row>
    <row r="37" spans="1:32" x14ac:dyDescent="0.25">
      <c r="A37" s="31">
        <v>42873.663923611108</v>
      </c>
      <c r="B37" s="30" t="s">
        <v>604</v>
      </c>
      <c r="C37" s="30" t="s">
        <v>605</v>
      </c>
      <c r="D37" s="30" t="s">
        <v>49</v>
      </c>
      <c r="E37" s="30" t="s">
        <v>185</v>
      </c>
      <c r="F37" s="42">
        <v>0</v>
      </c>
      <c r="G37" s="42">
        <v>34</v>
      </c>
      <c r="H37" s="42">
        <v>694</v>
      </c>
      <c r="I37" s="42">
        <v>654</v>
      </c>
      <c r="J37" s="30" t="s">
        <v>186</v>
      </c>
      <c r="K37" s="42">
        <v>575</v>
      </c>
      <c r="L37" s="134" t="s">
        <v>51</v>
      </c>
      <c r="M37" s="135">
        <f t="shared" si="0"/>
        <v>41.712000000000003</v>
      </c>
      <c r="N37" s="136" t="str">
        <f>VLOOKUP(C37,'Trips&amp;Operators'!$C$1:$G$99999,5,FALSE)</f>
        <v>BIRENBAUM THOMAS</v>
      </c>
      <c r="O37" s="207" t="s">
        <v>184</v>
      </c>
      <c r="P37" s="137"/>
      <c r="Q37" s="30"/>
      <c r="R37" s="84" t="e">
        <f>IF(VLOOKUP(C37,'Train Runs'!$A$13:$AE$9927,1,1)=C37,VLOOKUP(C37,'Train Runs'!$A$13:$AE$9927,31,1),NA())</f>
        <v>#N/A</v>
      </c>
      <c r="S37" s="87" t="str">
        <f>VLOOKUP(C37,'Train Runs'!$A$13:$AE$9927,22,0)</f>
        <v>https://d0f6bd738d7f1b3e5a7ca70fe4ff75f0.us-east-1.aws.found.io/app/kibana#/discover/Steve-Slow-Train-Analysis-(2080s-and-2083s)?_g=(refreshInterval:(display:Off,pause:!f,section:0,value:0),time:(from:'2017-05-18T14:37:05-0600',mode:absolute,to:'2017-05-18T16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7" s="89" t="str">
        <f t="shared" si="1"/>
        <v>"C:\Program Files (x86)\AstroGrep\AstroGrep.exe" /e /r /s /spath="%USERPROFILE%\AppData\Local\Temp\OnboardLogs" /stypes="*4025*201705182*"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4025</v>
      </c>
      <c r="V37" s="31">
        <f t="shared" si="3"/>
        <v>42873.913923611108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{"issue":{"subject":"","project_id":79,"tracker_id":40,"status_id":1,"priority_id":2,"assigned_to_id":23,"start_date":"2017-05-18","description":"","custom_fields":[{"id":1,"name":"Subdivision","value":"NW"},{"id":4,"name":"Milepost","value":"0.0575"},{"id":17,"name":"Train ID","value":"826-18"},{"id":16,"name":"Locomotive ID","value":"4025"},{"id":130,"name":"Impact","value":""},{"id":150,"name":"Time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/cygdrive/c/Users/stu/AppData/Local/Temp/OnboardLogs/RTDC4025 --include="*4025*201705182*"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"%USERPROFILE%\AppData\Local\Temp\OnboardLogs"\RTDC4025\*4025*201705182* &gt;&gt; 2017-05-18-SliceDisagreementCheck.txt</v>
      </c>
      <c r="AE37" s="148" t="str">
        <f t="shared" si="9"/>
        <v>start /low /b %USERPROFILE%\Documents\GitHub\eaglep3\Utilities\DownloadLogsFromS3.py --loco 4025 --day 2017-05-18</v>
      </c>
      <c r="AF37" s="1"/>
    </row>
    <row r="38" spans="1:32" x14ac:dyDescent="0.25">
      <c r="A38" s="31">
        <v>42873.754907407405</v>
      </c>
      <c r="B38" s="30" t="s">
        <v>468</v>
      </c>
      <c r="C38" s="30" t="s">
        <v>608</v>
      </c>
      <c r="D38" s="30" t="s">
        <v>49</v>
      </c>
      <c r="E38" s="30" t="s">
        <v>185</v>
      </c>
      <c r="F38" s="42">
        <v>0</v>
      </c>
      <c r="G38" s="42">
        <v>27</v>
      </c>
      <c r="H38" s="42">
        <v>58982</v>
      </c>
      <c r="I38" s="42">
        <v>58994</v>
      </c>
      <c r="J38" s="30" t="s">
        <v>186</v>
      </c>
      <c r="K38" s="42">
        <v>59058</v>
      </c>
      <c r="L38" s="134" t="s">
        <v>50</v>
      </c>
      <c r="M38" s="135">
        <f t="shared" si="0"/>
        <v>33.792000000000002</v>
      </c>
      <c r="N38" s="136" t="str">
        <f>VLOOKUP(C38,'Trips&amp;Operators'!$C$1:$G$99999,5,FALSE)</f>
        <v>THOMPSON LESTER</v>
      </c>
      <c r="O38" s="207" t="s">
        <v>184</v>
      </c>
      <c r="P38" s="137"/>
      <c r="Q38" s="30"/>
      <c r="R38" s="84" t="e">
        <f>IF(VLOOKUP(C38,'Train Runs'!$A$13:$AE$9927,1,1)=C38,VLOOKUP(C38,'Train Runs'!$A$13:$AE$9927,31,1),NA())</f>
        <v>#N/A</v>
      </c>
      <c r="S38" s="87" t="str">
        <f>VLOOKUP(C38,'Train Runs'!$A$13:$AE$9927,22,0)</f>
        <v>https://d0f6bd738d7f1b3e5a7ca70fe4ff75f0.us-east-1.aws.found.io/app/kibana#/discover/Steve-Slow-Train-Analysis-(2080s-and-2083s)?_g=(refreshInterval:(display:Off,pause:!f,section:0,value:0),time:(from:'2017-05-18T16:27:11-0600',mode:absolute,to:'2017-05-18T19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89" t="str">
        <f t="shared" si="1"/>
        <v>"C:\Program Files (x86)\AstroGrep\AstroGrep.exe" /e /r /s /spath="%USERPROFILE%\AppData\Local\Temp\OnboardLogs" /stypes="*4012*201705190*"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4012</v>
      </c>
      <c r="V38" s="31">
        <f t="shared" si="3"/>
        <v>42874.004907407405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{"issue":{"subject":"","project_id":79,"tracker_id":40,"status_id":1,"priority_id":2,"assigned_to_id":23,"start_date":"2017-05-18","description":"","custom_fields":[{"id":1,"name":"Subdivision","value":"NW"},{"id":4,"name":"Milepost","value":"5.9058"},{"id":17,"name":"Train ID","value":"835-18"},{"id":16,"name":"Locomotive ID","value":"4012"},{"id":130,"name":"Impact","value":""},{"id":150,"name":"Time of Event (Mountain Time)","value":"18:07:04"},{"id":151,"name":"Denver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/cygdrive/c/Users/stu/AppData/Local/Temp/OnboardLogs/RTDC4012 --include="*4012*201705190*"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"%USERPROFILE%\AppData\Local\Temp\OnboardLogs"\RTDC4012\*4012*201705190* &gt;&gt; 2017-05-18-SliceDisagreementCheck.txt</v>
      </c>
      <c r="AE38" s="148" t="str">
        <f t="shared" si="9"/>
        <v>start /low /b %USERPROFILE%\Documents\GitHub\eaglep3\Utilities\DownloadLogsFromS3.py --loco 4012 --day 2017-05-19</v>
      </c>
      <c r="AF38" s="1"/>
    </row>
    <row r="39" spans="1:32" x14ac:dyDescent="0.25">
      <c r="A39" s="31">
        <v>42873.199675925927</v>
      </c>
      <c r="B39" s="30" t="s">
        <v>468</v>
      </c>
      <c r="C39" s="30" t="s">
        <v>582</v>
      </c>
      <c r="D39" s="30" t="s">
        <v>98</v>
      </c>
      <c r="E39" s="30" t="s">
        <v>583</v>
      </c>
      <c r="F39" s="42">
        <v>0</v>
      </c>
      <c r="G39" s="42">
        <v>35</v>
      </c>
      <c r="H39" s="42">
        <v>29633</v>
      </c>
      <c r="I39" s="42">
        <v>29663</v>
      </c>
      <c r="J39" s="30" t="s">
        <v>584</v>
      </c>
      <c r="K39" s="42">
        <v>28990</v>
      </c>
      <c r="L39" s="134" t="s">
        <v>50</v>
      </c>
      <c r="M39" s="135">
        <f t="shared" si="0"/>
        <v>-355.34399999999999</v>
      </c>
      <c r="N39" s="136" t="str">
        <f>VLOOKUP(C39,'Trips&amp;Operators'!$C$1:$G$99999,5,FALSE)</f>
        <v>MACDONALD THOMAS</v>
      </c>
      <c r="O39" s="207" t="s">
        <v>184</v>
      </c>
      <c r="P39" s="137"/>
      <c r="Q39" s="30"/>
      <c r="R39" s="84" t="e">
        <f>IF(VLOOKUP(C39,'Train Runs'!$A$13:$AE$9927,1,1)=C39,VLOOKUP(C39,'Train Runs'!$A$13:$AE$9927,31,1),NA())</f>
        <v>#N/A</v>
      </c>
      <c r="S39" s="87" t="str">
        <f>VLOOKUP(C39,'Train Runs'!$A$13:$AE$9927,22,0)</f>
        <v>https://d0f6bd738d7f1b3e5a7ca70fe4ff75f0.us-east-1.aws.found.io/app/kibana#/discover/Steve-Slow-Train-Analysis-(2080s-and-2083s)?_g=(refreshInterval:(display:Off,pause:!f,section:0,value:0),time:(from:'2017-05-18T03:42:35-0600',mode:absolute,to:'2017-05-18T05:47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9" s="89" t="str">
        <f t="shared" si="1"/>
        <v>"C:\Program Files (x86)\AstroGrep\AstroGrep.exe" /e /r /s /spath="%USERPROFILE%\AppData\Local\Temp\OnboardLogs" /stypes="*4012*201705181*" /stext=" 10:.+((SYSTEM_STATE.+slice.+state.+changed )|(ment ac)|(multiple cpu faults)|(system.+state.+changed )|(\[timeout)|(PRM\|1\|D)|(kpr)|(kdp)|(train st.+moving)|(\|lc)|(penalty))"</v>
      </c>
      <c r="U39" s="9" t="str">
        <f t="shared" si="2"/>
        <v>4012</v>
      </c>
      <c r="V39" s="31">
        <f t="shared" si="3"/>
        <v>42873.449675925927</v>
      </c>
      <c r="W39" s="45" t="str">
        <f t="shared" si="4"/>
        <v>Other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{"issue":{"subject":"","project_id":79,"tracker_id":40,"status_id":1,"priority_id":2,"assigned_to_id":23,"start_date":"2017-05-18","description":"","custom_fields":[{"id":1,"name":"Subdivision","value":"Other"},{"id":4,"name":"Milepost","value":"2.899"},{"id":17,"name":"Train ID","value":"901-18"},{"id":16,"name":"Locomotive ID","value":"4012"},{"id":130,"name":"Impact","value":""},{"id":150,"name":"Time of Event (Mountain Time)","value":"04:47:32"},{"id":151,"name":"Denver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/cygdrive/c/Users/stu/AppData/Local/Temp/OnboardLogs/RTDC4012 --include="*4012*201705181*"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"%USERPROFILE%\AppData\Local\Temp\OnboardLogs"\RTDC4012\*4012*201705181* &gt;&gt; 2017-05-18-SliceDisagreementCheck.txt</v>
      </c>
      <c r="AE39" s="148" t="str">
        <f t="shared" si="9"/>
        <v>start /low /b %USERPROFILE%\Documents\GitHub\eaglep3\Utilities\DownloadLogsFromS3.py --loco 4012 --day 2017-05-18</v>
      </c>
      <c r="AF39" s="1"/>
    </row>
    <row r="40" spans="1:32" x14ac:dyDescent="0.25">
      <c r="A40" s="31">
        <v>42873.4372337963</v>
      </c>
      <c r="B40" s="30" t="s">
        <v>453</v>
      </c>
      <c r="C40" s="30" t="s">
        <v>596</v>
      </c>
      <c r="D40" s="30" t="s">
        <v>49</v>
      </c>
      <c r="E40" s="30" t="s">
        <v>185</v>
      </c>
      <c r="F40" s="42">
        <v>0</v>
      </c>
      <c r="G40" s="42">
        <v>27</v>
      </c>
      <c r="H40" s="42">
        <v>50</v>
      </c>
      <c r="I40" s="42">
        <v>43</v>
      </c>
      <c r="J40" s="30" t="s">
        <v>186</v>
      </c>
      <c r="K40" s="42">
        <v>1</v>
      </c>
      <c r="L40" s="134" t="s">
        <v>51</v>
      </c>
      <c r="M40" s="135">
        <f t="shared" si="0"/>
        <v>22.175999999999998</v>
      </c>
      <c r="N40" s="136" t="str">
        <f>VLOOKUP(C40,'Trips&amp;Operators'!$C$1:$G$99999,5,FALSE)</f>
        <v>DELGADO DIANAH</v>
      </c>
      <c r="O40" s="207" t="s">
        <v>184</v>
      </c>
      <c r="P40" s="137"/>
      <c r="Q40" s="30"/>
      <c r="R40" s="84" t="e">
        <f>IF(VLOOKUP(C40,'Train Runs'!$A$13:$AE$9927,1,1)=C40,VLOOKUP(C40,'Train Runs'!$A$13:$AE$9927,31,1),NA())</f>
        <v>#N/A</v>
      </c>
      <c r="S40" s="87" t="str">
        <f>VLOOKUP(C40,'Train Runs'!$A$13:$AE$9927,22,0)</f>
        <v>https://d0f6bd738d7f1b3e5a7ca70fe4ff75f0.us-east-1.aws.found.io/app/kibana#/discover/Steve-Slow-Train-Analysis-(2080s-and-2083s)?_g=(refreshInterval:(display:Off,pause:!f,section:0,value:0),time:(from:'2017-05-18T09:16:12-0600',mode:absolute,to:'2017-05-18T11:29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0" s="89" t="str">
        <f t="shared" si="1"/>
        <v>"C:\Program Files (x86)\AstroGrep\AstroGrep.exe" /e /r /s /spath="%USERPROFILE%\AppData\Local\Temp\OnboardLogs" /stypes="*4005*201705181*" /stext=" 16:.+((SYSTEM_STATE.+slice.+state.+changed )|(ment ac)|(multiple cpu faults)|(system.+state.+changed )|(\[timeout)|(PRM\|1\|D)|(kpr)|(kdp)|(train st.+moving)|(\|lc)|(penalty))"</v>
      </c>
      <c r="U40" s="9" t="str">
        <f t="shared" si="2"/>
        <v>4005</v>
      </c>
      <c r="V40" s="31">
        <f t="shared" si="3"/>
        <v>42873.6872337963</v>
      </c>
      <c r="W40" s="45" t="str">
        <f t="shared" si="4"/>
        <v>Other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{"issue":{"subject":"","project_id":79,"tracker_id":40,"status_id":1,"priority_id":2,"assigned_to_id":23,"start_date":"2017-05-18","description":"","custom_fields":[{"id":1,"name":"Subdivision","value":"Other"},{"id":4,"name":"Milepost","value":"0.0001"},{"id":17,"name":"Train ID","value":"50-18"},{"id":16,"name":"Locomotive ID","value":"4005"},{"id":130,"name":"Impact","value":""},{"id":150,"name":"Time of Event (Mountain Time)","value":"10:29:37"},{"id":151,"name":"Denver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/cygdrive/c/Users/stu/AppData/Local/Temp/OnboardLogs/RTDC4005 --include="*4005*201705181*"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"%USERPROFILE%\AppData\Local\Temp\OnboardLogs"\RTDC4005\*4005*201705181* &gt;&gt; 2017-05-18-SliceDisagreementCheck.txt</v>
      </c>
      <c r="AE40" s="148" t="str">
        <f t="shared" si="9"/>
        <v>start /low /b %USERPROFILE%\Documents\GitHub\eaglep3\Utilities\DownloadLogsFromS3.py --loco 4005 --day 2017-05-18</v>
      </c>
      <c r="AF40" s="1"/>
    </row>
    <row r="41" spans="1:32" x14ac:dyDescent="0.25">
      <c r="A41" s="31">
        <v>42873.821273148147</v>
      </c>
      <c r="B41" s="30" t="s">
        <v>529</v>
      </c>
      <c r="C41" s="30" t="s">
        <v>611</v>
      </c>
      <c r="D41" s="30" t="s">
        <v>98</v>
      </c>
      <c r="E41" s="30" t="s">
        <v>185</v>
      </c>
      <c r="F41" s="42">
        <v>0</v>
      </c>
      <c r="G41" s="42">
        <v>4</v>
      </c>
      <c r="H41" s="42">
        <v>839</v>
      </c>
      <c r="I41" s="42">
        <v>0</v>
      </c>
      <c r="J41" s="30" t="s">
        <v>186</v>
      </c>
      <c r="K41" s="42">
        <v>839</v>
      </c>
      <c r="L41" s="134" t="s">
        <v>51</v>
      </c>
      <c r="M41" s="135">
        <f t="shared" si="0"/>
        <v>-442.99200000000002</v>
      </c>
      <c r="N41" s="136" t="str">
        <f>VLOOKUP(C41,'Trips&amp;Operators'!$C$1:$G$99999,5,FALSE)</f>
        <v>PERKINS DARREN</v>
      </c>
      <c r="O41" s="207" t="s">
        <v>184</v>
      </c>
      <c r="P41" s="137"/>
      <c r="Q41" s="30"/>
      <c r="R41" s="84" t="e">
        <f>IF(VLOOKUP(C41,'Train Runs'!$A$13:$AE$9927,1,1)=C41,VLOOKUP(C41,'Train Runs'!$A$13:$AE$9927,31,1),NA())</f>
        <v>#N/A</v>
      </c>
      <c r="S41" s="87" t="str">
        <f>VLOOKUP(C41,'Train Runs'!$A$13:$AE$9927,22,0)</f>
        <v>https://d0f6bd738d7f1b3e5a7ca70fe4ff75f0.us-east-1.aws.found.io/app/kibana#/discover/Steve-Slow-Train-Analysis-(2080s-and-2083s)?_g=(refreshInterval:(display:Off,pause:!f,section:0,value:0),time:(from:'2017-05-18T18:37:08-0600',mode:absolute,to:'2017-05-18T20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1" s="89" t="str">
        <f t="shared" si="1"/>
        <v>"C:\Program Files (x86)\AstroGrep\AstroGrep.exe" /e /r /s /spath="%USERPROFILE%\AppData\Local\Temp\OnboardLogs" /stypes="*4023*201705190*" /stext=" 01:.+((SYSTEM_STATE.+slice.+state.+changed )|(ment ac)|(multiple cpu faults)|(system.+state.+changed )|(\[timeout)|(PRM\|1\|D)|(kpr)|(kdp)|(train st.+moving)|(\|lc)|(penalty))"</v>
      </c>
      <c r="U41" s="9" t="str">
        <f t="shared" si="2"/>
        <v>4023</v>
      </c>
      <c r="V41" s="31">
        <f t="shared" si="3"/>
        <v>42874.071273148147</v>
      </c>
      <c r="W41" s="45" t="str">
        <f t="shared" si="4"/>
        <v>Other</v>
      </c>
      <c r="X41" s="45" t="str">
        <f t="shared" si="5"/>
        <v>OMIT</v>
      </c>
      <c r="Y41" s="99" t="str">
        <f t="shared" si="6"/>
        <v>echo {"issue":{"subject":"","project_id":79,"tracker_id":40,"status_id":1,"priority_id":2,"assigned_to_id":23,"start_date":"2017-05-18","description":"","custom_fields":[{"id":1,"name":"Subdivision","value":"Other"},{"id":4,"name":"Milepost","value":"0.0839"},{"id":17,"name":"Train ID","value":"79-18"},{"id":16,"name":"Locomotive ID","value":"4023"},{"id":130,"name":"Impact","value":""},{"id":150,"name":"Time of Event (Mountain Time)","value":"19:42:38"},{"id":151,"name":"Denver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/cygdrive/c/Users/stu/AppData/Local/Temp/OnboardLogs/RTDC4023 --include="*4023*201705190*"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"%USERPROFILE%\AppData\Local\Temp\OnboardLogs"\RTDC4023\*4023*201705190* &gt;&gt; 2017-05-18-SliceDisagreementCheck.txt</v>
      </c>
      <c r="AE41" s="148" t="str">
        <f t="shared" si="9"/>
        <v>start /low /b %USERPROFILE%\Documents\GitHub\eaglep3\Utilities\DownloadLogsFromS3.py --loco 4023 --day 2017-05-19</v>
      </c>
      <c r="AF41" s="1"/>
    </row>
    <row r="42" spans="1:32" x14ac:dyDescent="0.25">
      <c r="A42" s="31">
        <v>42874.014872685184</v>
      </c>
      <c r="B42" s="30" t="s">
        <v>616</v>
      </c>
      <c r="C42" s="30" t="s">
        <v>617</v>
      </c>
      <c r="D42" s="30" t="s">
        <v>49</v>
      </c>
      <c r="E42" s="30" t="s">
        <v>185</v>
      </c>
      <c r="F42" s="42">
        <v>0</v>
      </c>
      <c r="G42" s="42">
        <v>15</v>
      </c>
      <c r="H42" s="42">
        <v>233435</v>
      </c>
      <c r="I42" s="42">
        <v>233451</v>
      </c>
      <c r="J42" s="30" t="s">
        <v>186</v>
      </c>
      <c r="K42" s="42">
        <v>233491</v>
      </c>
      <c r="L42" s="134" t="s">
        <v>50</v>
      </c>
      <c r="M42" s="135">
        <f t="shared" si="0"/>
        <v>21.12</v>
      </c>
      <c r="N42" s="136" t="str">
        <f>VLOOKUP(C42,'Trips&amp;Operators'!$C$1:$G$99999,5,FALSE)</f>
        <v>WILLIAMS DONTE</v>
      </c>
      <c r="O42" s="207" t="s">
        <v>184</v>
      </c>
      <c r="P42" s="137"/>
      <c r="Q42" s="30"/>
      <c r="R42" s="84" t="str">
        <f>IF(VLOOKUP(C42,'Train Runs'!$A$13:$AE$9927,1,1)=C42,VLOOKUP(C42,'Train Runs'!$A$13:$AE$9927,31,1),NA())</f>
        <v>aws s3 cp s3://rtdc.mdm.uploadarchive.raw/RTDC4062/ "%USERPROFILE%\AppData\Local\Temp\OnboardLogs"\RTDC4062\2017-05-18 --exclude "*" --recursive --include "*20170518*" &amp; "%USERPROFILE%\Documents\GitHub\mrs-test-scripts\Headless Mode &amp; Sideloading\WalkAndUnGZ.bat" "%USERPROFILE%\AppData\Local\Temp\OnboardLogs"\RTDC4062\2017-05-18 &amp; aws s3 cp s3://rtdc.mdm.uploadarchive.raw/RTDC4062/ "%USERPROFILE%\AppData\Local\Temp\OnboardLogs"\RTDC4062\2017-05-19 --exclude "*" --recursive --include "*20170519*" &amp; "%USERPROFILE%\Documents\GitHub\mrs-test-scripts\Headless Mode &amp; Sideloading\WalkAndUnGZ.bat" "%USERPROFILE%\AppData\Local\Temp\OnboardLogs"\RTDC4062\2017-05-19</v>
      </c>
      <c r="S42" s="87" t="str">
        <f>VLOOKUP(C42,'Train Runs'!$A$13:$AE$9927,22,0)</f>
        <v>https://d0f6bd738d7f1b3e5a7ca70fe4ff75f0.us-east-1.aws.found.io/app/kibana#/discover/Steve-Slow-Train-Analysis-(2080s-and-2083s)?_g=(refreshInterval:(display:Off,pause:!f,section:0,value:0),time:(from:'2017-05-18T19:05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2" s="89" t="str">
        <f t="shared" si="1"/>
        <v>"C:\Program Files (x86)\AstroGrep\AstroGrep.exe" /e /r /s /spath="%USERPROFILE%\AppData\Local\Temp\OnboardLogs" /stypes="*4062*201705190*" /stext=" 06:.+((SYSTEM_STATE.+slice.+state.+changed )|(ment ac)|(multiple cpu faults)|(system.+state.+changed )|(\[timeout)|(PRM\|1\|D)|(kpr)|(kdp)|(train st.+moving)|(\|lc)|(penalty))"</v>
      </c>
      <c r="U42" s="9" t="str">
        <f t="shared" si="2"/>
        <v>4062</v>
      </c>
      <c r="V42" s="31">
        <f t="shared" si="3"/>
        <v>42874.264872685184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{"issue":{"subject":"","project_id":79,"tracker_id":40,"status_id":1,"priority_id":2,"assigned_to_id":23,"start_date":"2017-05-19","description":"","custom_fields":[{"id":1,"name":"Subdivision","value":"Other"},{"id":4,"name":"Milepost","value":"23.3491"},{"id":17,"name":"Train ID","value":"89-18"},{"id":16,"name":"Locomotive ID","value":"4062"},{"id":130,"name":"Impact","value":""},{"id":150,"name":"Time of Event (Mountain Time)","value":"00:21:25"},{"id":151,"name":"Denver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/cygdrive/c/Users/stu/AppData/Local/Temp/OnboardLogs/RTDC4062 --include="*4062*201705190*"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"%USERPROFILE%\AppData\Local\Temp\OnboardLogs"\RTDC4062\*4062*201705190* &gt;&gt; 2017-05-18-SliceDisagreementCheck.txt</v>
      </c>
      <c r="AE42" s="148" t="str">
        <f t="shared" si="9"/>
        <v>start /low /b %USERPROFILE%\Documents\GitHub\eaglep3\Utilities\DownloadLogsFromS3.py --loco 4062 --day 2017-05-19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0">
    <sortState ref="A7:AC60">
      <sortCondition ref="W7:W42"/>
      <sortCondition ref="E7:E42"/>
      <sortCondition ref="K7:K42"/>
      <sortCondition ref="F7:F4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"/>
  <sheetViews>
    <sheetView workbookViewId="0"/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2017-05-18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834</v>
      </c>
      <c r="B3" s="42" t="str">
        <f>A3&amp;"-"&amp;IF(DAY(Variables!$A$2)&lt;10,0,"")&amp;DAY(Variables!$A$2)</f>
        <v>834-18</v>
      </c>
      <c r="C3" s="138"/>
      <c r="D3" s="156"/>
      <c r="E3" s="30" t="s">
        <v>579</v>
      </c>
      <c r="F3" s="21" t="str">
        <f>VLOOKUP(B3,'Trips&amp;Operators'!$C$2:$E$10000,3,FALSE)</f>
        <v>BIRENBAUM</v>
      </c>
      <c r="G3" s="21" t="str">
        <f>VLOOKUP(B3,'Trips&amp;Operators'!$C$1:$F$10000,4,FALSE)</f>
        <v>THOMAS</v>
      </c>
      <c r="H3" s="29" t="str">
        <f>VLOOKUP(B3,'Trips&amp;Operators'!$C$1:$H$10000,5,FALSE)</f>
        <v>BIRENBAUM THOMAS</v>
      </c>
      <c r="I3" s="45" t="str">
        <f t="shared" ref="I3:I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22834-18%22)),sort:!(Time.ISO8601,asc))</v>
      </c>
      <c r="J3" s="30" t="str">
        <f>VLOOKUP(B3,'Train Runs'!$A$13:$A$99924,1,FALSE)</f>
        <v>834-18</v>
      </c>
    </row>
    <row r="4" spans="1:10" x14ac:dyDescent="0.25">
      <c r="A4" s="190"/>
      <c r="B4" s="42" t="str">
        <f>A4&amp;"-"&amp;IF(DAY(Variables!$A$2)&lt;10,0,"")&amp;DAY(Variables!$A$2)</f>
        <v>-18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Runs'!$A$13:$A$99924,1,FALSE)</f>
        <v>#N/A</v>
      </c>
    </row>
    <row r="5" spans="1:10" x14ac:dyDescent="0.25">
      <c r="A5" s="190"/>
      <c r="B5" s="42" t="str">
        <f>A5&amp;"-"&amp;IF(DAY(Variables!$A$2)&lt;10,0,"")&amp;DAY(Variables!$A$2)</f>
        <v>-18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Runs'!$A$13:$A$99924,1,FALSE)</f>
        <v>#N/A</v>
      </c>
    </row>
    <row r="6" spans="1:10" x14ac:dyDescent="0.25">
      <c r="A6" s="190"/>
      <c r="B6" s="42" t="str">
        <f>A6&amp;"-"&amp;IF(DAY(Variables!$A$2)&lt;10,0,"")&amp;DAY(Variables!$A$2)</f>
        <v>-18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ref="I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Runs'!$A$13:$A$99924,1,FALSE)</f>
        <v>#N/A</v>
      </c>
    </row>
    <row r="7" spans="1:10" x14ac:dyDescent="0.25">
      <c r="A7" s="190"/>
      <c r="B7" s="42" t="str">
        <f>A7&amp;"-"&amp;IF(DAY(Variables!$A$2)&lt;10,0,"")&amp;DAY(Variables!$A$2)</f>
        <v>-18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Runs'!$A$13:$A$99924,1,FALSE)</f>
        <v>#N/A</v>
      </c>
    </row>
    <row r="8" spans="1:10" x14ac:dyDescent="0.25">
      <c r="A8" s="190"/>
      <c r="B8" s="42" t="str">
        <f>A8&amp;"-"&amp;IF(DAY(Variables!$A$2)&lt;10,0,"")&amp;DAY(Variables!$A$2)</f>
        <v>-18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Runs'!$A$13:$A$99924,1,FALSE)</f>
        <v>#N/A</v>
      </c>
    </row>
    <row r="9" spans="1:10" x14ac:dyDescent="0.25">
      <c r="A9" s="190"/>
      <c r="B9" s="42" t="str">
        <f>A9&amp;"-"&amp;IF(DAY(Variables!$A$2)&lt;10,0,"")&amp;DAY(Variables!$A$2)</f>
        <v>-18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Runs'!$A$13:$A$99924,1,FALSE)</f>
        <v>#N/A</v>
      </c>
    </row>
    <row r="10" spans="1:10" x14ac:dyDescent="0.25">
      <c r="A10" s="190"/>
      <c r="B10" s="42" t="str">
        <f>A10&amp;"-"&amp;IF(DAY(Variables!$A$2)&lt;10,0,"")&amp;DAY(Variables!$A$2)</f>
        <v>-18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Runs'!$A$13:$A$99924,1,FALSE)</f>
        <v>#N/A</v>
      </c>
    </row>
    <row r="11" spans="1:10" x14ac:dyDescent="0.25">
      <c r="A11" s="190"/>
      <c r="B11" s="42" t="str">
        <f>A11&amp;"-"&amp;IF(DAY(Variables!$A$2)&lt;10,0,"")&amp;DAY(Variables!$A$2)</f>
        <v>-18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Runs'!$A$13:$A$99924,1,FALSE)</f>
        <v>#N/A</v>
      </c>
    </row>
    <row r="12" spans="1:10" x14ac:dyDescent="0.25">
      <c r="A12" s="190"/>
      <c r="B12" s="42" t="str">
        <f>A12&amp;"-"&amp;IF(DAY(Variables!$A$2)&lt;10,0,"")&amp;DAY(Variables!$A$2)</f>
        <v>-18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Runs'!$A$13:$A$99924,1,FALSE)</f>
        <v>#N/A</v>
      </c>
    </row>
    <row r="13" spans="1:10" x14ac:dyDescent="0.25">
      <c r="A13" s="190"/>
      <c r="B13" s="42" t="str">
        <f>A13&amp;"-"&amp;IF(DAY(Variables!$A$2)&lt;10,0,"")&amp;DAY(Variables!$A$2)</f>
        <v>-18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Runs'!$A$13:$A$99924,1,FALSE)</f>
        <v>#N/A</v>
      </c>
    </row>
    <row r="14" spans="1:10" x14ac:dyDescent="0.25">
      <c r="A14" s="190"/>
      <c r="B14" s="42" t="str">
        <f>A14&amp;"-"&amp;IF(DAY(Variables!$A$2)&lt;10,0,"")&amp;DAY(Variables!$A$2)</f>
        <v>-18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Runs'!$A$13:$A$99924,1,FALSE)</f>
        <v>#N/A</v>
      </c>
    </row>
    <row r="15" spans="1:10" x14ac:dyDescent="0.25">
      <c r="A15" s="190"/>
      <c r="B15" s="42" t="str">
        <f>A15&amp;"-"&amp;IF(DAY(Variables!$A$2)&lt;10,0,"")&amp;DAY(Variables!$A$2)</f>
        <v>-18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Runs'!$A$13:$A$99924,1,FALSE)</f>
        <v>#N/A</v>
      </c>
    </row>
    <row r="16" spans="1:10" x14ac:dyDescent="0.25">
      <c r="A16" s="190"/>
      <c r="B16" s="42" t="str">
        <f>A16&amp;"-"&amp;IF(DAY(Variables!$A$2)&lt;10,0,"")&amp;DAY(Variables!$A$2)</f>
        <v>-18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Runs'!$A$13:$A$99924,1,FALSE)</f>
        <v>#N/A</v>
      </c>
    </row>
    <row r="17" spans="1:10" x14ac:dyDescent="0.25">
      <c r="A17" s="190"/>
      <c r="B17" s="42" t="str">
        <f>A17&amp;"-"&amp;IF(DAY(Variables!$A$2)&lt;10,0,"")&amp;DAY(Variables!$A$2)</f>
        <v>-18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Runs'!$A$13:$A$99924,1,FALSE)</f>
        <v>#N/A</v>
      </c>
    </row>
    <row r="18" spans="1:10" x14ac:dyDescent="0.25">
      <c r="A18" s="190"/>
      <c r="B18" s="42" t="str">
        <f>A18&amp;"-"&amp;IF(DAY(Variables!$A$2)&lt;10,0,"")&amp;DAY(Variables!$A$2)</f>
        <v>-18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Runs'!$A$13:$A$99924,1,FALSE)</f>
        <v>#N/A</v>
      </c>
    </row>
    <row r="19" spans="1:10" x14ac:dyDescent="0.25">
      <c r="A19" s="190"/>
      <c r="B19" s="42" t="str">
        <f>A19&amp;"-"&amp;IF(DAY(Variables!$A$2)&lt;10,0,"")&amp;DAY(Variables!$A$2)</f>
        <v>-18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Runs'!$A$13:$A$99924,1,FALSE)</f>
        <v>#N/A</v>
      </c>
    </row>
    <row r="20" spans="1:10" x14ac:dyDescent="0.25">
      <c r="A20" s="190"/>
      <c r="B20" s="42" t="str">
        <f>A20&amp;"-"&amp;IF(DAY(Variables!$A$2)&lt;10,0,"")&amp;DAY(Variables!$A$2)</f>
        <v>-18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Runs'!$A$13:$A$99924,1,FALSE)</f>
        <v>#N/A</v>
      </c>
    </row>
    <row r="21" spans="1:10" x14ac:dyDescent="0.25">
      <c r="A21" s="190"/>
      <c r="B21" s="42" t="str">
        <f>A21&amp;"-"&amp;IF(DAY(Variables!$A$2)&lt;10,0,"")&amp;DAY(Variables!$A$2)</f>
        <v>-18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Runs'!$A$13:$A$99924,1,FALSE)</f>
        <v>#N/A</v>
      </c>
    </row>
    <row r="22" spans="1:10" x14ac:dyDescent="0.25">
      <c r="A22" s="190"/>
      <c r="B22" s="42" t="str">
        <f>A22&amp;"-"&amp;IF(DAY(Variables!$A$2)&lt;10,0,"")&amp;DAY(Variables!$A$2)</f>
        <v>-18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Runs'!$A$13:$A$99924,1,FALSE)</f>
        <v>#N/A</v>
      </c>
    </row>
    <row r="23" spans="1:10" x14ac:dyDescent="0.25">
      <c r="A23" s="190"/>
      <c r="B23" s="42" t="str">
        <f>A23&amp;"-"&amp;IF(DAY(Variables!$A$2)&lt;10,0,"")&amp;DAY(Variables!$A$2)</f>
        <v>-18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Runs'!$A$13:$A$99924,1,FALSE)</f>
        <v>#N/A</v>
      </c>
    </row>
    <row r="24" spans="1:10" x14ac:dyDescent="0.25">
      <c r="A24" s="190"/>
      <c r="B24" s="42" t="str">
        <f>A24&amp;"-"&amp;IF(DAY(Variables!$A$2)&lt;10,0,"")&amp;DAY(Variables!$A$2)</f>
        <v>-18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Runs'!$A$13:$A$99924,1,FALSE)</f>
        <v>#N/A</v>
      </c>
    </row>
    <row r="25" spans="1:10" x14ac:dyDescent="0.25">
      <c r="A25" s="190"/>
      <c r="B25" s="42" t="str">
        <f>A25&amp;"-"&amp;IF(DAY(Variables!$A$2)&lt;10,0,"")&amp;DAY(Variables!$A$2)</f>
        <v>-18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Runs'!$A$13:$A$99924,1,FALSE)</f>
        <v>#N/A</v>
      </c>
    </row>
    <row r="26" spans="1:10" x14ac:dyDescent="0.25">
      <c r="A26" s="190"/>
      <c r="B26" s="42" t="str">
        <f>A26&amp;"-"&amp;IF(DAY(Variables!$A$2)&lt;10,0,"")&amp;DAY(Variables!$A$2)</f>
        <v>-18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Runs'!$A$13:$A$99924,1,FALSE)</f>
        <v>#N/A</v>
      </c>
    </row>
    <row r="27" spans="1:10" x14ac:dyDescent="0.25">
      <c r="A27" s="190"/>
      <c r="B27" s="42" t="str">
        <f>A27&amp;"-"&amp;IF(DAY(Variables!$A$2)&lt;10,0,"")&amp;DAY(Variables!$A$2)</f>
        <v>-18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Runs'!$A$13:$A$99924,1,FALSE)</f>
        <v>#N/A</v>
      </c>
    </row>
    <row r="28" spans="1:10" x14ac:dyDescent="0.25">
      <c r="A28" s="190"/>
      <c r="B28" s="42" t="str">
        <f>A28&amp;"-"&amp;IF(DAY(Variables!$A$2)&lt;10,0,"")&amp;DAY(Variables!$A$2)</f>
        <v>-18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Runs'!$A$13:$A$99924,1,FALSE)</f>
        <v>#N/A</v>
      </c>
    </row>
    <row r="29" spans="1:10" x14ac:dyDescent="0.25">
      <c r="A29" s="190"/>
      <c r="B29" s="42" t="str">
        <f>A29&amp;"-"&amp;IF(DAY(Variables!$A$2)&lt;10,0,"")&amp;DAY(Variables!$A$2)</f>
        <v>-18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Runs'!$A$13:$A$99924,1,FALSE)</f>
        <v>#N/A</v>
      </c>
    </row>
    <row r="30" spans="1:10" x14ac:dyDescent="0.25">
      <c r="A30" s="190"/>
      <c r="B30" s="42" t="str">
        <f>A30&amp;"-"&amp;IF(DAY(Variables!$A$2)&lt;10,0,"")&amp;DAY(Variables!$A$2)</f>
        <v>-18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Runs'!$A$13:$A$99924,1,FALSE)</f>
        <v>#N/A</v>
      </c>
    </row>
    <row r="31" spans="1:10" x14ac:dyDescent="0.25">
      <c r="A31" s="190"/>
      <c r="B31" s="42" t="str">
        <f>A31&amp;"-"&amp;IF(DAY(Variables!$A$2)&lt;10,0,"")&amp;DAY(Variables!$A$2)</f>
        <v>-18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Runs'!$A$13:$A$99924,1,FALSE)</f>
        <v>#N/A</v>
      </c>
    </row>
    <row r="32" spans="1:10" x14ac:dyDescent="0.25">
      <c r="A32" s="190"/>
      <c r="B32" s="42" t="str">
        <f>A32&amp;"-"&amp;IF(DAY(Variables!$A$2)&lt;10,0,"")&amp;DAY(Variables!$A$2)</f>
        <v>-18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Runs'!$A$13:$A$99924,1,FALSE)</f>
        <v>#N/A</v>
      </c>
    </row>
    <row r="33" spans="1:10" x14ac:dyDescent="0.25">
      <c r="A33" s="190"/>
      <c r="B33" s="42" t="str">
        <f>A33&amp;"-"&amp;IF(DAY(Variables!$A$2)&lt;10,0,"")&amp;DAY(Variables!$A$2)</f>
        <v>-18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0" t="e">
        <f>VLOOKUP(B33,'Train Runs'!$A$13:$A$99924,1,FALSE)</f>
        <v>#N/A</v>
      </c>
    </row>
    <row r="34" spans="1:10" x14ac:dyDescent="0.25">
      <c r="A34" s="190"/>
      <c r="B34" s="42" t="str">
        <f>A34&amp;"-"&amp;IF(DAY(Variables!$A$2)&lt;10,0,"")&amp;DAY(Variables!$A$2)</f>
        <v>-18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0" t="e">
        <f>VLOOKUP(B34,'Train Runs'!$A$13:$A$99924,1,FALSE)</f>
        <v>#N/A</v>
      </c>
    </row>
    <row r="35" spans="1:10" x14ac:dyDescent="0.25">
      <c r="A35" s="190"/>
      <c r="B35" s="42" t="str">
        <f>A35&amp;"-"&amp;IF(DAY(Variables!$A$2)&lt;10,0,"")&amp;DAY(Variables!$A$2)</f>
        <v>-18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0" t="e">
        <f>VLOOKUP(B35,'Train Runs'!$A$13:$A$99924,1,FALSE)</f>
        <v>#N/A</v>
      </c>
    </row>
    <row r="36" spans="1:10" x14ac:dyDescent="0.25">
      <c r="A36" s="190"/>
      <c r="B36" s="42" t="str">
        <f>A36&amp;"-"&amp;IF(DAY(Variables!$A$2)&lt;10,0,"")&amp;DAY(Variables!$A$2)</f>
        <v>-18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0" t="e">
        <f>VLOOKUP(B36,'Train Runs'!$A$13:$A$99924,1,FALSE)</f>
        <v>#N/A</v>
      </c>
    </row>
    <row r="37" spans="1:10" x14ac:dyDescent="0.25">
      <c r="A37" s="190"/>
      <c r="B37" s="42" t="str">
        <f>A37&amp;"-"&amp;IF(DAY(Variables!$A$2)&lt;10,0,"")&amp;DAY(Variables!$A$2)</f>
        <v>-18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0" t="e">
        <f>VLOOKUP(B37,'Train Runs'!$A$13:$A$99924,1,FALSE)</f>
        <v>#N/A</v>
      </c>
    </row>
    <row r="38" spans="1:10" x14ac:dyDescent="0.25">
      <c r="A38" s="190"/>
      <c r="B38" s="42" t="str">
        <f>A38&amp;"-"&amp;IF(DAY(Variables!$A$2)&lt;10,0,"")&amp;DAY(Variables!$A$2)</f>
        <v>-18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0" t="e">
        <f>VLOOKUP(B38,'Train Runs'!$A$13:$A$99924,1,FALSE)</f>
        <v>#N/A</v>
      </c>
    </row>
    <row r="39" spans="1:10" x14ac:dyDescent="0.25">
      <c r="A39" s="190"/>
      <c r="B39" s="42" t="str">
        <f>A39&amp;"-"&amp;IF(DAY(Variables!$A$2)&lt;10,0,"")&amp;DAY(Variables!$A$2)</f>
        <v>-18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0" t="e">
        <f>VLOOKUP(B39,'Train Runs'!$A$13:$A$99924,1,FALSE)</f>
        <v>#N/A</v>
      </c>
    </row>
    <row r="40" spans="1:10" x14ac:dyDescent="0.25">
      <c r="A40" s="190"/>
      <c r="B40" s="42" t="str">
        <f>A40&amp;"-"&amp;IF(DAY(Variables!$A$2)&lt;10,0,"")&amp;DAY(Variables!$A$2)</f>
        <v>-18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0" t="e">
        <f>VLOOKUP(B40,'Train Runs'!$A$13:$A$99924,1,FALSE)</f>
        <v>#N/A</v>
      </c>
    </row>
    <row r="41" spans="1:10" x14ac:dyDescent="0.25">
      <c r="A41" s="190"/>
      <c r="B41" s="42" t="str">
        <f>A41&amp;"-"&amp;IF(DAY(Variables!$A$2)&lt;10,0,"")&amp;DAY(Variables!$A$2)</f>
        <v>-18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0" t="e">
        <f>VLOOKUP(B41,'Train Runs'!$A$13:$A$99924,1,FALSE)</f>
        <v>#N/A</v>
      </c>
    </row>
    <row r="42" spans="1:10" x14ac:dyDescent="0.25">
      <c r="A42" s="190"/>
      <c r="B42" s="42" t="str">
        <f>A42&amp;"-"&amp;IF(DAY(Variables!$A$2)&lt;10,0,"")&amp;DAY(Variables!$A$2)</f>
        <v>-18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0" t="e">
        <f>VLOOKUP(B42,'Train Runs'!$A$13:$A$99924,1,FALSE)</f>
        <v>#N/A</v>
      </c>
    </row>
    <row r="43" spans="1:10" x14ac:dyDescent="0.25">
      <c r="A43" s="190"/>
      <c r="B43" s="42" t="str">
        <f>A43&amp;"-"&amp;IF(DAY(Variables!$A$2)&lt;10,0,"")&amp;DAY(Variables!$A$2)</f>
        <v>-18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0" t="e">
        <f>VLOOKUP(B43,'Train Runs'!$A$13:$A$99924,1,FALSE)</f>
        <v>#N/A</v>
      </c>
    </row>
    <row r="44" spans="1:10" x14ac:dyDescent="0.25">
      <c r="A44" s="190"/>
      <c r="B44" s="42" t="str">
        <f>A44&amp;"-"&amp;IF(DAY(Variables!$A$2)&lt;10,0,"")&amp;DAY(Variables!$A$2)</f>
        <v>-18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0" t="e">
        <f>VLOOKUP(B44,'Train Runs'!$A$13:$A$99924,1,FALSE)</f>
        <v>#N/A</v>
      </c>
    </row>
    <row r="45" spans="1:10" x14ac:dyDescent="0.25">
      <c r="A45" s="190"/>
      <c r="B45" s="42" t="str">
        <f>A45&amp;"-"&amp;IF(DAY(Variables!$A$2)&lt;10,0,"")&amp;DAY(Variables!$A$2)</f>
        <v>-18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0" t="e">
        <f>VLOOKUP(B45,'Train Runs'!$A$13:$A$99924,1,FALSE)</f>
        <v>#N/A</v>
      </c>
    </row>
    <row r="46" spans="1:10" x14ac:dyDescent="0.25">
      <c r="A46" s="190"/>
      <c r="B46" s="42" t="str">
        <f>A46&amp;"-"&amp;IF(DAY(Variables!$A$2)&lt;10,0,"")&amp;DAY(Variables!$A$2)</f>
        <v>-18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0" t="e">
        <f>VLOOKUP(B46,'Train Runs'!$A$13:$A$99924,1,FALSE)</f>
        <v>#N/A</v>
      </c>
    </row>
    <row r="47" spans="1:10" x14ac:dyDescent="0.25">
      <c r="A47" s="190"/>
      <c r="B47" s="42" t="str">
        <f>A47&amp;"-"&amp;IF(DAY(Variables!$A$2)&lt;10,0,"")&amp;DAY(Variables!$A$2)</f>
        <v>-18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0" t="e">
        <f>VLOOKUP(B47,'Train Runs'!$A$13:$A$99924,1,FALSE)</f>
        <v>#N/A</v>
      </c>
    </row>
    <row r="48" spans="1:10" x14ac:dyDescent="0.25">
      <c r="A48" s="190"/>
      <c r="B48" s="42" t="str">
        <f>A48&amp;"-"&amp;IF(DAY(Variables!$A$2)&lt;10,0,"")&amp;DAY(Variables!$A$2)</f>
        <v>-18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ref="I48:I6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0" t="e">
        <f>VLOOKUP(B48,'Train Runs'!$A$13:$A$99924,1,FALSE)</f>
        <v>#N/A</v>
      </c>
    </row>
    <row r="49" spans="1:10" x14ac:dyDescent="0.25">
      <c r="A49" s="190"/>
      <c r="B49" s="42" t="str">
        <f>A49&amp;"-"&amp;IF(DAY(Variables!$A$2)&lt;10,0,"")&amp;DAY(Variables!$A$2)</f>
        <v>-18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0" t="e">
        <f>VLOOKUP(B49,'Train Runs'!$A$13:$A$99924,1,FALSE)</f>
        <v>#N/A</v>
      </c>
    </row>
    <row r="50" spans="1:10" x14ac:dyDescent="0.25">
      <c r="A50" s="190"/>
      <c r="B50" s="42" t="str">
        <f>A50&amp;"-"&amp;IF(DAY(Variables!$A$2)&lt;10,0,"")&amp;DAY(Variables!$A$2)</f>
        <v>-18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0" t="e">
        <f>VLOOKUP(B50,'Train Runs'!$A$13:$A$99924,1,FALSE)</f>
        <v>#N/A</v>
      </c>
    </row>
    <row r="51" spans="1:10" x14ac:dyDescent="0.25">
      <c r="A51" s="190"/>
      <c r="B51" s="42" t="str">
        <f>A51&amp;"-"&amp;IF(DAY(Variables!$A$2)&lt;10,0,"")&amp;DAY(Variables!$A$2)</f>
        <v>-18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1" s="30" t="e">
        <f>VLOOKUP(B51,'Train Runs'!$A$13:$A$99924,1,FALSE)</f>
        <v>#N/A</v>
      </c>
    </row>
    <row r="52" spans="1:10" x14ac:dyDescent="0.25">
      <c r="A52" s="190"/>
      <c r="B52" s="42" t="str">
        <f>A52&amp;"-"&amp;IF(DAY(Variables!$A$2)&lt;10,0,"")&amp;DAY(Variables!$A$2)</f>
        <v>-18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2" s="30" t="e">
        <f>VLOOKUP(B52,'Train Runs'!$A$13:$A$99924,1,FALSE)</f>
        <v>#N/A</v>
      </c>
    </row>
    <row r="53" spans="1:10" x14ac:dyDescent="0.25">
      <c r="A53" s="190"/>
      <c r="B53" s="42" t="str">
        <f>A53&amp;"-"&amp;IF(DAY(Variables!$A$2)&lt;10,0,"")&amp;DAY(Variables!$A$2)</f>
        <v>-18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3" s="30" t="e">
        <f>VLOOKUP(B53,'Train Runs'!$A$13:$A$99924,1,FALSE)</f>
        <v>#N/A</v>
      </c>
    </row>
    <row r="54" spans="1:10" x14ac:dyDescent="0.25">
      <c r="A54" s="190"/>
      <c r="B54" s="42" t="str">
        <f>A54&amp;"-"&amp;IF(DAY(Variables!$A$2)&lt;10,0,"")&amp;DAY(Variables!$A$2)</f>
        <v>-18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4" s="30" t="e">
        <f>VLOOKUP(B54,'Train Runs'!$A$13:$A$99924,1,FALSE)</f>
        <v>#N/A</v>
      </c>
    </row>
    <row r="55" spans="1:10" x14ac:dyDescent="0.25">
      <c r="A55" s="190"/>
      <c r="B55" s="42" t="str">
        <f>A55&amp;"-"&amp;IF(DAY(Variables!$A$2)&lt;10,0,"")&amp;DAY(Variables!$A$2)</f>
        <v>-18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5" s="30" t="e">
        <f>VLOOKUP(B55,'Train Runs'!$A$13:$A$99924,1,FALSE)</f>
        <v>#N/A</v>
      </c>
    </row>
    <row r="56" spans="1:10" x14ac:dyDescent="0.25">
      <c r="A56" s="190"/>
      <c r="B56" s="42" t="str">
        <f>A56&amp;"-"&amp;IF(DAY(Variables!$A$2)&lt;10,0,"")&amp;DAY(Variables!$A$2)</f>
        <v>-18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6" s="30" t="e">
        <f>VLOOKUP(B56,'Train Runs'!$A$13:$A$99924,1,FALSE)</f>
        <v>#N/A</v>
      </c>
    </row>
    <row r="57" spans="1:10" x14ac:dyDescent="0.25">
      <c r="A57" s="190"/>
      <c r="B57" s="42" t="str">
        <f>A57&amp;"-"&amp;IF(DAY(Variables!$A$2)&lt;10,0,"")&amp;DAY(Variables!$A$2)</f>
        <v>-18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7" s="30" t="e">
        <f>VLOOKUP(B57,'Train Runs'!$A$13:$A$99924,1,FALSE)</f>
        <v>#N/A</v>
      </c>
    </row>
    <row r="58" spans="1:10" x14ac:dyDescent="0.25">
      <c r="A58" s="190"/>
      <c r="B58" s="42" t="str">
        <f>A58&amp;"-"&amp;IF(DAY(Variables!$A$2)&lt;10,0,"")&amp;DAY(Variables!$A$2)</f>
        <v>-18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8" s="30" t="e">
        <f>VLOOKUP(B58,'Train Runs'!$A$13:$A$99924,1,FALSE)</f>
        <v>#N/A</v>
      </c>
    </row>
    <row r="59" spans="1:10" x14ac:dyDescent="0.25">
      <c r="A59" s="190"/>
      <c r="B59" s="42" t="str">
        <f>A59&amp;"-"&amp;IF(DAY(Variables!$A$2)&lt;10,0,"")&amp;DAY(Variables!$A$2)</f>
        <v>-18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9" s="30" t="e">
        <f>VLOOKUP(B59,'Train Runs'!$A$13:$A$99924,1,FALSE)</f>
        <v>#N/A</v>
      </c>
    </row>
    <row r="60" spans="1:10" x14ac:dyDescent="0.25">
      <c r="A60" s="190"/>
      <c r="B60" s="42" t="str">
        <f>A60&amp;"-"&amp;IF(DAY(Variables!$A$2)&lt;10,0,"")&amp;DAY(Variables!$A$2)</f>
        <v>-18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0" s="30" t="e">
        <f>VLOOKUP(B60,'Train Runs'!$A$13:$A$99924,1,FALSE)</f>
        <v>#N/A</v>
      </c>
    </row>
    <row r="61" spans="1:10" x14ac:dyDescent="0.25">
      <c r="A61" s="190"/>
      <c r="B61" s="42" t="str">
        <f>A61&amp;"-"&amp;IF(DAY(Variables!$A$2)&lt;10,0,"")&amp;DAY(Variables!$A$2)</f>
        <v>-18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1" s="30" t="e">
        <f>VLOOKUP(B61,'Train Runs'!$A$13:$A$99924,1,FALSE)</f>
        <v>#N/A</v>
      </c>
    </row>
    <row r="62" spans="1:10" x14ac:dyDescent="0.25">
      <c r="A62" s="190"/>
      <c r="B62" s="42" t="str">
        <f>A62&amp;"-"&amp;IF(DAY(Variables!$A$2)&lt;10,0,"")&amp;DAY(Variables!$A$2)</f>
        <v>-18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2" s="30" t="e">
        <f>VLOOKUP(B62,'Train Runs'!$A$13:$A$99924,1,FALSE)</f>
        <v>#N/A</v>
      </c>
    </row>
    <row r="63" spans="1:10" x14ac:dyDescent="0.25">
      <c r="A63" s="190"/>
      <c r="B63" s="42" t="str">
        <f>A63&amp;"-"&amp;IF(DAY(Variables!$A$2)&lt;10,0,"")&amp;DAY(Variables!$A$2)</f>
        <v>-18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3" s="30" t="e">
        <f>VLOOKUP(B63,'Train Runs'!$A$13:$A$99924,1,FALSE)</f>
        <v>#N/A</v>
      </c>
    </row>
    <row r="64" spans="1:10" x14ac:dyDescent="0.25">
      <c r="A64" s="190"/>
      <c r="B64" s="42" t="str">
        <f>A64&amp;"-"&amp;IF(DAY(Variables!$A$2)&lt;10,0,"")&amp;DAY(Variables!$A$2)</f>
        <v>-18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4" s="30" t="e">
        <f>VLOOKUP(B64,'Train Runs'!$A$13:$A$99924,1,FALSE)</f>
        <v>#N/A</v>
      </c>
    </row>
    <row r="65" spans="1:10" x14ac:dyDescent="0.25">
      <c r="A65" s="190"/>
      <c r="B65" s="42" t="str">
        <f>A65&amp;"-"&amp;IF(DAY(Variables!$A$2)&lt;10,0,"")&amp;DAY(Variables!$A$2)</f>
        <v>-18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5" s="30" t="e">
        <f>VLOOKUP(B65,'Train Runs'!$A$13:$A$99924,1,FALSE)</f>
        <v>#N/A</v>
      </c>
    </row>
    <row r="66" spans="1:10" x14ac:dyDescent="0.25">
      <c r="A66" s="190"/>
      <c r="B66" s="42" t="str">
        <f>A66&amp;"-"&amp;IF(DAY(Variables!$A$2)&lt;10,0,"")&amp;DAY(Variables!$A$2)</f>
        <v>-18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6" s="30" t="e">
        <f>VLOOKUP(B66,'Train Runs'!$A$13:$A$99924,1,FALSE)</f>
        <v>#N/A</v>
      </c>
    </row>
    <row r="67" spans="1:10" x14ac:dyDescent="0.25">
      <c r="A67" s="190"/>
      <c r="B67" s="42" t="str">
        <f>A67&amp;"-"&amp;IF(DAY(Variables!$A$2)&lt;10,0,"")&amp;DAY(Variables!$A$2)</f>
        <v>-18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7" s="30" t="e">
        <f>VLOOKUP(B67,'Train Runs'!$A$13:$A$99924,1,FALSE)</f>
        <v>#N/A</v>
      </c>
    </row>
    <row r="68" spans="1:10" x14ac:dyDescent="0.25">
      <c r="A68" s="190"/>
      <c r="B68" s="42" t="str">
        <f>A68&amp;"-"&amp;IF(DAY(Variables!$A$2)&lt;10,0,"")&amp;DAY(Variables!$A$2)</f>
        <v>-18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8" s="30" t="e">
        <f>VLOOKUP(B68,'Train Runs'!$A$13:$A$99924,1,FALSE)</f>
        <v>#N/A</v>
      </c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</sheetData>
  <autoFilter ref="A2:J7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42873.035011574073</v>
      </c>
      <c r="B2" s="20" t="s">
        <v>529</v>
      </c>
      <c r="C2" s="20" t="s">
        <v>534</v>
      </c>
      <c r="D2" s="141">
        <v>2270000</v>
      </c>
      <c r="E2" s="20" t="s">
        <v>416</v>
      </c>
      <c r="F2" s="20" t="s">
        <v>417</v>
      </c>
      <c r="G2" s="8" t="str">
        <f>E2&amp;" "&amp;F2</f>
        <v>BROWN JACOB</v>
      </c>
    </row>
    <row r="3" spans="1:7" x14ac:dyDescent="0.25">
      <c r="A3" s="8">
        <v>42873.046157407407</v>
      </c>
      <c r="B3" s="20" t="s">
        <v>368</v>
      </c>
      <c r="C3" s="20" t="s">
        <v>535</v>
      </c>
      <c r="D3" s="141">
        <v>3030000</v>
      </c>
      <c r="E3" s="20" t="s">
        <v>396</v>
      </c>
      <c r="F3" s="20" t="s">
        <v>379</v>
      </c>
      <c r="G3" s="8" t="str">
        <f t="shared" ref="G3:G66" si="0">E3&amp;" "&amp;F3</f>
        <v>BIRENBAUM THOMAS</v>
      </c>
    </row>
    <row r="4" spans="1:7" x14ac:dyDescent="0.25">
      <c r="A4" s="8">
        <v>42873.057743055557</v>
      </c>
      <c r="B4" s="20" t="s">
        <v>384</v>
      </c>
      <c r="C4" s="20" t="s">
        <v>536</v>
      </c>
      <c r="D4" s="141">
        <v>1810000</v>
      </c>
      <c r="E4" s="20" t="s">
        <v>380</v>
      </c>
      <c r="F4" s="20" t="s">
        <v>193</v>
      </c>
      <c r="G4" s="8" t="str">
        <f t="shared" si="0"/>
        <v>NEWELL JAMES</v>
      </c>
    </row>
    <row r="5" spans="1:7" x14ac:dyDescent="0.25">
      <c r="A5" s="8">
        <v>42873.067557870374</v>
      </c>
      <c r="B5" s="20" t="s">
        <v>518</v>
      </c>
      <c r="C5" s="20" t="s">
        <v>537</v>
      </c>
      <c r="D5" s="141">
        <v>2270000</v>
      </c>
      <c r="E5" s="20" t="s">
        <v>416</v>
      </c>
      <c r="F5" s="20" t="s">
        <v>417</v>
      </c>
      <c r="G5" s="8" t="str">
        <f t="shared" si="0"/>
        <v>BROWN JACOB</v>
      </c>
    </row>
    <row r="6" spans="1:7" x14ac:dyDescent="0.25">
      <c r="A6" s="8">
        <v>42873.089456018519</v>
      </c>
      <c r="B6" s="20" t="s">
        <v>387</v>
      </c>
      <c r="C6" s="20" t="s">
        <v>538</v>
      </c>
      <c r="D6" s="141">
        <v>1810000</v>
      </c>
      <c r="E6" s="20" t="s">
        <v>380</v>
      </c>
      <c r="F6" s="20" t="s">
        <v>193</v>
      </c>
      <c r="G6" s="8" t="str">
        <f t="shared" si="0"/>
        <v>NEWELL JAMES</v>
      </c>
    </row>
    <row r="7" spans="1:7" x14ac:dyDescent="0.25">
      <c r="A7" s="8">
        <v>42873.117939814816</v>
      </c>
      <c r="B7" s="20" t="s">
        <v>517</v>
      </c>
      <c r="C7" s="20" t="s">
        <v>619</v>
      </c>
      <c r="D7" s="141">
        <v>2550000</v>
      </c>
      <c r="E7" s="20" t="s">
        <v>521</v>
      </c>
      <c r="F7" s="20" t="s">
        <v>522</v>
      </c>
      <c r="G7" s="8" t="str">
        <f t="shared" si="0"/>
        <v>BADERTSCHER DIANE</v>
      </c>
    </row>
    <row r="8" spans="1:7" x14ac:dyDescent="0.25">
      <c r="A8" s="8">
        <v>42873.131030092591</v>
      </c>
      <c r="B8" s="20" t="s">
        <v>454</v>
      </c>
      <c r="C8" s="20" t="s">
        <v>620</v>
      </c>
      <c r="D8" s="141">
        <v>2550000</v>
      </c>
      <c r="E8" s="20" t="s">
        <v>521</v>
      </c>
      <c r="F8" s="20" t="s">
        <v>522</v>
      </c>
      <c r="G8" s="8" t="str">
        <f t="shared" si="0"/>
        <v>BADERTSCHER DIANE</v>
      </c>
    </row>
    <row r="9" spans="1:7" ht="15.75" thickBot="1" x14ac:dyDescent="0.3">
      <c r="A9" s="24">
        <v>42873.157222222224</v>
      </c>
      <c r="B9" s="20" t="s">
        <v>528</v>
      </c>
      <c r="C9" s="20" t="s">
        <v>581</v>
      </c>
      <c r="D9" s="141">
        <v>940000</v>
      </c>
      <c r="E9" s="20" t="s">
        <v>436</v>
      </c>
      <c r="F9" s="20" t="s">
        <v>437</v>
      </c>
      <c r="G9" s="8" t="str">
        <f t="shared" si="0"/>
        <v>BONDS REYNALDO</v>
      </c>
    </row>
    <row r="10" spans="1:7" x14ac:dyDescent="0.25">
      <c r="A10" s="8">
        <v>42873.159375000003</v>
      </c>
      <c r="B10" s="20" t="s">
        <v>593</v>
      </c>
      <c r="C10" s="20" t="s">
        <v>621</v>
      </c>
      <c r="D10" s="141">
        <v>2140000</v>
      </c>
      <c r="E10" s="20" t="s">
        <v>622</v>
      </c>
      <c r="F10" s="20" t="s">
        <v>623</v>
      </c>
      <c r="G10" s="8" t="str">
        <f t="shared" si="0"/>
        <v>ROBINSON KADDIBA</v>
      </c>
    </row>
    <row r="11" spans="1:7" x14ac:dyDescent="0.25">
      <c r="A11" s="8">
        <v>42873.168888888889</v>
      </c>
      <c r="B11" s="20" t="s">
        <v>383</v>
      </c>
      <c r="C11" s="20" t="s">
        <v>624</v>
      </c>
      <c r="D11" s="141">
        <v>1100000</v>
      </c>
      <c r="E11" s="20" t="s">
        <v>524</v>
      </c>
      <c r="F11" s="20" t="s">
        <v>525</v>
      </c>
      <c r="G11" s="8" t="str">
        <f t="shared" si="0"/>
        <v>GEBRETEKLE DAGNEW</v>
      </c>
    </row>
    <row r="12" spans="1:7" x14ac:dyDescent="0.25">
      <c r="A12" s="8">
        <v>42873.172361111108</v>
      </c>
      <c r="B12" s="20" t="s">
        <v>517</v>
      </c>
      <c r="C12" s="20" t="s">
        <v>625</v>
      </c>
      <c r="D12" s="141">
        <v>2550000</v>
      </c>
      <c r="E12" s="20" t="s">
        <v>521</v>
      </c>
      <c r="F12" s="20" t="s">
        <v>522</v>
      </c>
      <c r="G12" s="8" t="str">
        <f t="shared" si="0"/>
        <v>BADERTSCHER DIANE</v>
      </c>
    </row>
    <row r="13" spans="1:7" x14ac:dyDescent="0.25">
      <c r="A13" s="8">
        <v>42873.172361111108</v>
      </c>
      <c r="B13" s="20" t="s">
        <v>343</v>
      </c>
      <c r="C13" s="20" t="s">
        <v>585</v>
      </c>
      <c r="D13" s="141">
        <v>2140000</v>
      </c>
      <c r="E13" s="20" t="s">
        <v>622</v>
      </c>
      <c r="F13" s="20" t="s">
        <v>623</v>
      </c>
      <c r="G13" s="8" t="str">
        <f t="shared" si="0"/>
        <v>ROBINSON KADDIBA</v>
      </c>
    </row>
    <row r="14" spans="1:7" x14ac:dyDescent="0.25">
      <c r="A14" s="8">
        <v>42873.182488425926</v>
      </c>
      <c r="B14" s="20" t="s">
        <v>519</v>
      </c>
      <c r="C14" s="20" t="s">
        <v>626</v>
      </c>
      <c r="D14" s="141">
        <v>900000</v>
      </c>
      <c r="E14" s="20" t="s">
        <v>466</v>
      </c>
      <c r="F14" s="20" t="s">
        <v>467</v>
      </c>
      <c r="G14" s="8" t="str">
        <f t="shared" si="0"/>
        <v>ROCHA YAOTL</v>
      </c>
    </row>
    <row r="15" spans="1:7" x14ac:dyDescent="0.25">
      <c r="A15" s="8">
        <v>42873.182916666665</v>
      </c>
      <c r="B15" s="20" t="s">
        <v>389</v>
      </c>
      <c r="C15" s="20" t="s">
        <v>627</v>
      </c>
      <c r="D15" s="141">
        <v>1100000</v>
      </c>
      <c r="E15" s="20" t="s">
        <v>524</v>
      </c>
      <c r="F15" s="20" t="s">
        <v>525</v>
      </c>
      <c r="G15" s="8" t="str">
        <f t="shared" si="0"/>
        <v>GEBRETEKLE DAGNEW</v>
      </c>
    </row>
    <row r="16" spans="1:7" x14ac:dyDescent="0.25">
      <c r="A16" s="8">
        <v>42873.192800925928</v>
      </c>
      <c r="B16" s="20" t="s">
        <v>516</v>
      </c>
      <c r="C16" s="20" t="s">
        <v>628</v>
      </c>
      <c r="D16" s="141">
        <v>900000</v>
      </c>
      <c r="E16" s="20" t="s">
        <v>466</v>
      </c>
      <c r="F16" s="20" t="s">
        <v>467</v>
      </c>
      <c r="G16" s="8" t="str">
        <f t="shared" si="0"/>
        <v>ROCHA YAOTL</v>
      </c>
    </row>
    <row r="17" spans="1:7" x14ac:dyDescent="0.25">
      <c r="A17" s="8">
        <v>42873.193506944444</v>
      </c>
      <c r="B17" s="20" t="s">
        <v>415</v>
      </c>
      <c r="C17" s="20" t="s">
        <v>629</v>
      </c>
      <c r="D17" s="141">
        <v>940000</v>
      </c>
      <c r="E17" s="20" t="s">
        <v>436</v>
      </c>
      <c r="F17" s="20" t="s">
        <v>437</v>
      </c>
      <c r="G17" s="8" t="str">
        <f t="shared" si="0"/>
        <v>BONDS REYNALDO</v>
      </c>
    </row>
    <row r="18" spans="1:7" x14ac:dyDescent="0.25">
      <c r="A18" s="8">
        <v>42873.195972222224</v>
      </c>
      <c r="B18" s="20" t="s">
        <v>468</v>
      </c>
      <c r="C18" s="20" t="s">
        <v>582</v>
      </c>
      <c r="D18" s="141">
        <v>2560000</v>
      </c>
      <c r="E18" s="20" t="s">
        <v>630</v>
      </c>
      <c r="F18" s="20" t="s">
        <v>379</v>
      </c>
      <c r="G18" s="8" t="str">
        <f t="shared" si="0"/>
        <v>MACDONALD THOMAS</v>
      </c>
    </row>
    <row r="19" spans="1:7" x14ac:dyDescent="0.25">
      <c r="A19" s="8">
        <v>42873.197164351855</v>
      </c>
      <c r="B19" s="20" t="s">
        <v>468</v>
      </c>
      <c r="C19" s="20" t="s">
        <v>582</v>
      </c>
      <c r="D19" s="141">
        <v>2560000</v>
      </c>
      <c r="E19" s="20" t="s">
        <v>630</v>
      </c>
      <c r="F19" s="20" t="s">
        <v>379</v>
      </c>
      <c r="G19" s="8" t="str">
        <f t="shared" si="0"/>
        <v>MACDONALD THOMAS</v>
      </c>
    </row>
    <row r="20" spans="1:7" x14ac:dyDescent="0.25">
      <c r="A20" s="8">
        <v>42873.207615740743</v>
      </c>
      <c r="B20" s="20" t="s">
        <v>454</v>
      </c>
      <c r="C20" s="20" t="s">
        <v>631</v>
      </c>
      <c r="D20" s="141">
        <v>1830000</v>
      </c>
      <c r="E20" s="20" t="s">
        <v>526</v>
      </c>
      <c r="F20" s="20" t="s">
        <v>527</v>
      </c>
      <c r="G20" s="8" t="str">
        <f t="shared" si="0"/>
        <v>YORK EDGAR</v>
      </c>
    </row>
    <row r="21" spans="1:7" x14ac:dyDescent="0.25">
      <c r="A21" s="8">
        <v>42873.208356481482</v>
      </c>
      <c r="B21" s="20" t="s">
        <v>469</v>
      </c>
      <c r="C21" s="20" t="s">
        <v>586</v>
      </c>
      <c r="D21" s="141">
        <v>2560000</v>
      </c>
      <c r="E21" s="20" t="s">
        <v>630</v>
      </c>
      <c r="F21" s="20" t="s">
        <v>379</v>
      </c>
      <c r="G21" s="8" t="str">
        <f t="shared" si="0"/>
        <v>MACDONALD THOMAS</v>
      </c>
    </row>
    <row r="22" spans="1:7" x14ac:dyDescent="0.25">
      <c r="A22" s="26">
        <v>42873.210486111115</v>
      </c>
      <c r="B22" s="20" t="s">
        <v>434</v>
      </c>
      <c r="C22" s="20" t="s">
        <v>632</v>
      </c>
      <c r="D22" s="141">
        <v>2550000</v>
      </c>
      <c r="E22" s="20" t="s">
        <v>521</v>
      </c>
      <c r="F22" s="20" t="s">
        <v>522</v>
      </c>
      <c r="G22" s="8" t="str">
        <f t="shared" si="0"/>
        <v>BADERTSCHER DIANE</v>
      </c>
    </row>
    <row r="23" spans="1:7" x14ac:dyDescent="0.25">
      <c r="A23" s="8">
        <v>42873.21603009259</v>
      </c>
      <c r="B23" s="20" t="s">
        <v>593</v>
      </c>
      <c r="C23" s="20" t="s">
        <v>633</v>
      </c>
      <c r="D23" s="141">
        <v>2140000</v>
      </c>
      <c r="E23" s="20" t="s">
        <v>622</v>
      </c>
      <c r="F23" s="20" t="s">
        <v>623</v>
      </c>
      <c r="G23" s="8" t="str">
        <f t="shared" si="0"/>
        <v>ROBINSON KADDIBA</v>
      </c>
    </row>
    <row r="24" spans="1:7" x14ac:dyDescent="0.25">
      <c r="A24" s="8">
        <v>42873.222418981481</v>
      </c>
      <c r="B24" s="20" t="s">
        <v>383</v>
      </c>
      <c r="C24" s="20" t="s">
        <v>634</v>
      </c>
      <c r="D24" s="141">
        <v>1100000</v>
      </c>
      <c r="E24" s="20" t="s">
        <v>524</v>
      </c>
      <c r="F24" s="20" t="s">
        <v>525</v>
      </c>
      <c r="G24" s="8" t="str">
        <f t="shared" si="0"/>
        <v>GEBRETEKLE DAGNEW</v>
      </c>
    </row>
    <row r="25" spans="1:7" x14ac:dyDescent="0.25">
      <c r="A25" s="8">
        <v>42873.227581018517</v>
      </c>
      <c r="B25" s="20" t="s">
        <v>528</v>
      </c>
      <c r="C25" s="20" t="s">
        <v>635</v>
      </c>
      <c r="D25" s="141">
        <v>1110000</v>
      </c>
      <c r="E25" s="20" t="s">
        <v>462</v>
      </c>
      <c r="F25" s="20" t="s">
        <v>463</v>
      </c>
      <c r="G25" s="8" t="str">
        <f t="shared" si="0"/>
        <v>STARKS ANGELINA</v>
      </c>
    </row>
    <row r="26" spans="1:7" x14ac:dyDescent="0.25">
      <c r="A26" s="8">
        <v>42873.227673611109</v>
      </c>
      <c r="B26" s="20" t="s">
        <v>421</v>
      </c>
      <c r="C26" s="20" t="s">
        <v>636</v>
      </c>
      <c r="D26" s="141">
        <v>940000</v>
      </c>
      <c r="E26" s="20" t="s">
        <v>436</v>
      </c>
      <c r="F26" s="20" t="s">
        <v>437</v>
      </c>
      <c r="G26" s="8" t="str">
        <f t="shared" si="0"/>
        <v>BONDS REYNALDO</v>
      </c>
    </row>
    <row r="27" spans="1:7" x14ac:dyDescent="0.25">
      <c r="A27" s="8">
        <v>42873.227766203701</v>
      </c>
      <c r="B27" s="20" t="s">
        <v>468</v>
      </c>
      <c r="C27" s="20" t="s">
        <v>637</v>
      </c>
      <c r="D27" s="141">
        <v>2560000</v>
      </c>
      <c r="E27" s="20" t="s">
        <v>630</v>
      </c>
      <c r="F27" s="20" t="s">
        <v>379</v>
      </c>
      <c r="G27" s="8" t="str">
        <f t="shared" si="0"/>
        <v>MACDONALD THOMAS</v>
      </c>
    </row>
    <row r="28" spans="1:7" x14ac:dyDescent="0.25">
      <c r="A28" s="8">
        <v>42873.234155092592</v>
      </c>
      <c r="B28" s="20" t="s">
        <v>455</v>
      </c>
      <c r="C28" s="20" t="s">
        <v>638</v>
      </c>
      <c r="D28" s="141">
        <v>1830000</v>
      </c>
      <c r="E28" s="20" t="s">
        <v>526</v>
      </c>
      <c r="F28" s="20" t="s">
        <v>527</v>
      </c>
      <c r="G28" s="8" t="str">
        <f t="shared" si="0"/>
        <v>YORK EDGAR</v>
      </c>
    </row>
    <row r="29" spans="1:7" x14ac:dyDescent="0.25">
      <c r="A29" s="8">
        <v>42873.236481481479</v>
      </c>
      <c r="B29" s="20" t="s">
        <v>519</v>
      </c>
      <c r="C29" s="20" t="s">
        <v>587</v>
      </c>
      <c r="D29" s="141">
        <v>900000</v>
      </c>
      <c r="E29" s="20" t="s">
        <v>466</v>
      </c>
      <c r="F29" s="20" t="s">
        <v>467</v>
      </c>
      <c r="G29" s="8" t="str">
        <f t="shared" si="0"/>
        <v>ROCHA YAOTL</v>
      </c>
    </row>
    <row r="30" spans="1:7" x14ac:dyDescent="0.25">
      <c r="A30" s="8">
        <v>42873.248182870368</v>
      </c>
      <c r="B30" s="20" t="s">
        <v>343</v>
      </c>
      <c r="C30" s="20" t="s">
        <v>588</v>
      </c>
      <c r="D30" s="141">
        <v>2140000</v>
      </c>
      <c r="E30" s="20" t="s">
        <v>622</v>
      </c>
      <c r="F30" s="20" t="s">
        <v>623</v>
      </c>
      <c r="G30" s="8" t="str">
        <f t="shared" si="0"/>
        <v>ROBINSON KADDIBA</v>
      </c>
    </row>
    <row r="31" spans="1:7" x14ac:dyDescent="0.25">
      <c r="A31" s="8">
        <v>42873.248240740744</v>
      </c>
      <c r="B31" s="20" t="s">
        <v>599</v>
      </c>
      <c r="C31" s="20" t="s">
        <v>639</v>
      </c>
      <c r="D31" s="141">
        <v>1090000</v>
      </c>
      <c r="E31" s="20" t="s">
        <v>438</v>
      </c>
      <c r="F31" s="20" t="s">
        <v>196</v>
      </c>
      <c r="G31" s="8" t="str">
        <f t="shared" si="0"/>
        <v>SPECTOR MICHAEL</v>
      </c>
    </row>
    <row r="32" spans="1:7" x14ac:dyDescent="0.25">
      <c r="A32" s="8">
        <v>42873.248842592591</v>
      </c>
      <c r="B32" s="20" t="s">
        <v>517</v>
      </c>
      <c r="C32" s="20" t="s">
        <v>640</v>
      </c>
      <c r="D32" s="141">
        <v>2550000</v>
      </c>
      <c r="E32" s="20" t="s">
        <v>521</v>
      </c>
      <c r="F32" s="20" t="s">
        <v>522</v>
      </c>
      <c r="G32" s="8" t="str">
        <f t="shared" si="0"/>
        <v>BADERTSCHER DIANE</v>
      </c>
    </row>
    <row r="33" spans="1:7" x14ac:dyDescent="0.25">
      <c r="A33" s="8">
        <v>42873.252187500002</v>
      </c>
      <c r="B33" s="20" t="s">
        <v>604</v>
      </c>
      <c r="C33" s="20" t="s">
        <v>641</v>
      </c>
      <c r="D33" s="141">
        <v>890000</v>
      </c>
      <c r="E33" s="20" t="s">
        <v>464</v>
      </c>
      <c r="F33" s="20" t="s">
        <v>465</v>
      </c>
      <c r="G33" s="8" t="str">
        <f t="shared" si="0"/>
        <v>LOZA FIDEL</v>
      </c>
    </row>
    <row r="34" spans="1:7" x14ac:dyDescent="0.25">
      <c r="A34" s="8">
        <v>42873.253819444442</v>
      </c>
      <c r="B34" s="20" t="s">
        <v>604</v>
      </c>
      <c r="C34" s="20" t="s">
        <v>641</v>
      </c>
      <c r="D34" s="141">
        <v>890000</v>
      </c>
      <c r="E34" s="20" t="s">
        <v>464</v>
      </c>
      <c r="F34" s="20" t="s">
        <v>465</v>
      </c>
      <c r="G34" s="8" t="str">
        <f t="shared" si="0"/>
        <v>LOZA FIDEL</v>
      </c>
    </row>
    <row r="35" spans="1:7" x14ac:dyDescent="0.25">
      <c r="A35" s="8">
        <v>42873.254386574074</v>
      </c>
      <c r="B35" s="20" t="s">
        <v>469</v>
      </c>
      <c r="C35" s="20" t="s">
        <v>642</v>
      </c>
      <c r="D35" s="141">
        <v>2560000</v>
      </c>
      <c r="E35" s="20" t="s">
        <v>630</v>
      </c>
      <c r="F35" s="20" t="s">
        <v>379</v>
      </c>
      <c r="G35" s="8" t="str">
        <f t="shared" si="0"/>
        <v>MACDONALD THOMAS</v>
      </c>
    </row>
    <row r="36" spans="1:7" x14ac:dyDescent="0.25">
      <c r="A36" s="8">
        <v>42873.255740740744</v>
      </c>
      <c r="B36" s="20" t="s">
        <v>593</v>
      </c>
      <c r="C36" s="20" t="s">
        <v>643</v>
      </c>
      <c r="D36" s="141">
        <v>1090000</v>
      </c>
      <c r="E36" s="20" t="s">
        <v>438</v>
      </c>
      <c r="F36" s="20" t="s">
        <v>196</v>
      </c>
      <c r="G36" s="8" t="str">
        <f t="shared" si="0"/>
        <v>SPECTOR MICHAEL</v>
      </c>
    </row>
    <row r="37" spans="1:7" x14ac:dyDescent="0.25">
      <c r="A37" s="8">
        <v>42873.255937499998</v>
      </c>
      <c r="B37" s="20" t="s">
        <v>389</v>
      </c>
      <c r="C37" s="20" t="s">
        <v>644</v>
      </c>
      <c r="D37" s="141">
        <v>1100000</v>
      </c>
      <c r="E37" s="20" t="s">
        <v>524</v>
      </c>
      <c r="F37" s="20" t="s">
        <v>525</v>
      </c>
      <c r="G37" s="8" t="str">
        <f t="shared" si="0"/>
        <v>GEBRETEKLE DAGNEW</v>
      </c>
    </row>
    <row r="38" spans="1:7" x14ac:dyDescent="0.25">
      <c r="A38" s="8">
        <v>42873.263194444444</v>
      </c>
      <c r="B38" s="20" t="s">
        <v>645</v>
      </c>
      <c r="C38" s="20" t="s">
        <v>646</v>
      </c>
      <c r="D38" s="141">
        <v>890000</v>
      </c>
      <c r="E38" s="20" t="s">
        <v>464</v>
      </c>
      <c r="F38" s="20" t="s">
        <v>465</v>
      </c>
      <c r="G38" s="8" t="str">
        <f t="shared" si="0"/>
        <v>LOZA FIDEL</v>
      </c>
    </row>
    <row r="39" spans="1:7" x14ac:dyDescent="0.25">
      <c r="A39" s="8">
        <v>42873.266284722224</v>
      </c>
      <c r="B39" s="20" t="s">
        <v>523</v>
      </c>
      <c r="C39" s="20" t="s">
        <v>647</v>
      </c>
      <c r="D39" s="141">
        <v>1110000</v>
      </c>
      <c r="E39" s="20" t="s">
        <v>462</v>
      </c>
      <c r="F39" s="20" t="s">
        <v>463</v>
      </c>
      <c r="G39" s="8" t="str">
        <f t="shared" si="0"/>
        <v>STARKS ANGELINA</v>
      </c>
    </row>
    <row r="40" spans="1:7" x14ac:dyDescent="0.25">
      <c r="A40" s="8">
        <v>42873.267627314817</v>
      </c>
      <c r="B40" s="25" t="s">
        <v>523</v>
      </c>
      <c r="C40" s="20" t="s">
        <v>647</v>
      </c>
      <c r="D40" s="141">
        <v>1110000</v>
      </c>
      <c r="E40" s="20" t="s">
        <v>462</v>
      </c>
      <c r="F40" s="20" t="s">
        <v>463</v>
      </c>
      <c r="G40" s="8" t="str">
        <f t="shared" si="0"/>
        <v>STARKS ANGELINA</v>
      </c>
    </row>
    <row r="41" spans="1:7" x14ac:dyDescent="0.25">
      <c r="A41" s="8">
        <v>42873.269548611112</v>
      </c>
      <c r="B41" s="20" t="s">
        <v>516</v>
      </c>
      <c r="C41" s="20" t="s">
        <v>648</v>
      </c>
      <c r="D41" s="141">
        <v>900000</v>
      </c>
      <c r="E41" s="20" t="s">
        <v>466</v>
      </c>
      <c r="F41" s="20" t="s">
        <v>467</v>
      </c>
      <c r="G41" s="8" t="str">
        <f t="shared" si="0"/>
        <v>ROCHA YAOTL</v>
      </c>
    </row>
    <row r="42" spans="1:7" x14ac:dyDescent="0.25">
      <c r="A42" s="8">
        <v>42873.269594907404</v>
      </c>
      <c r="B42" s="20" t="s">
        <v>468</v>
      </c>
      <c r="C42" s="20" t="s">
        <v>589</v>
      </c>
      <c r="D42" s="141">
        <v>2560000</v>
      </c>
      <c r="E42" s="20" t="s">
        <v>630</v>
      </c>
      <c r="F42" s="20" t="s">
        <v>379</v>
      </c>
      <c r="G42" s="8" t="str">
        <f t="shared" si="0"/>
        <v>MACDONALD THOMAS</v>
      </c>
    </row>
    <row r="43" spans="1:7" x14ac:dyDescent="0.25">
      <c r="A43" s="8">
        <v>42873.274826388886</v>
      </c>
      <c r="B43" s="20" t="s">
        <v>454</v>
      </c>
      <c r="C43" s="20" t="s">
        <v>649</v>
      </c>
      <c r="D43" s="141">
        <v>1830000</v>
      </c>
      <c r="E43" s="20" t="s">
        <v>526</v>
      </c>
      <c r="F43" s="20" t="s">
        <v>527</v>
      </c>
      <c r="G43" s="8" t="str">
        <f t="shared" si="0"/>
        <v>YORK EDGAR</v>
      </c>
    </row>
    <row r="44" spans="1:7" x14ac:dyDescent="0.25">
      <c r="A44" s="8">
        <v>42873.276388888888</v>
      </c>
      <c r="B44" s="20" t="s">
        <v>415</v>
      </c>
      <c r="C44" s="20" t="s">
        <v>650</v>
      </c>
      <c r="D44" s="141">
        <v>940000</v>
      </c>
      <c r="E44" s="20" t="s">
        <v>436</v>
      </c>
      <c r="F44" s="20" t="s">
        <v>437</v>
      </c>
      <c r="G44" s="8" t="str">
        <f t="shared" si="0"/>
        <v>BONDS REYNALDO</v>
      </c>
    </row>
    <row r="45" spans="1:7" x14ac:dyDescent="0.25">
      <c r="A45" s="8">
        <v>42873.27648148148</v>
      </c>
      <c r="B45" s="20" t="s">
        <v>604</v>
      </c>
      <c r="C45" s="20" t="s">
        <v>651</v>
      </c>
      <c r="D45" s="141">
        <v>890000</v>
      </c>
      <c r="E45" s="20" t="s">
        <v>464</v>
      </c>
      <c r="F45" s="20" t="s">
        <v>465</v>
      </c>
      <c r="G45" s="8" t="str">
        <f t="shared" si="0"/>
        <v>LOZA FIDEL</v>
      </c>
    </row>
    <row r="46" spans="1:7" x14ac:dyDescent="0.25">
      <c r="A46" s="8">
        <v>42873.276782407411</v>
      </c>
      <c r="B46" s="20" t="s">
        <v>523</v>
      </c>
      <c r="C46" s="20" t="s">
        <v>647</v>
      </c>
      <c r="D46" s="141">
        <v>1110000</v>
      </c>
      <c r="E46" s="20" t="s">
        <v>462</v>
      </c>
      <c r="F46" s="20" t="s">
        <v>463</v>
      </c>
      <c r="G46" s="8" t="str">
        <f t="shared" si="0"/>
        <v>STARKS ANGELINA</v>
      </c>
    </row>
    <row r="47" spans="1:7" x14ac:dyDescent="0.25">
      <c r="A47" s="8">
        <v>42873.280590277776</v>
      </c>
      <c r="B47" s="20" t="s">
        <v>523</v>
      </c>
      <c r="C47" s="20" t="s">
        <v>647</v>
      </c>
      <c r="D47" s="141">
        <v>1110000</v>
      </c>
      <c r="E47" s="20" t="s">
        <v>462</v>
      </c>
      <c r="F47" s="20" t="s">
        <v>463</v>
      </c>
      <c r="G47" s="8" t="str">
        <f t="shared" si="0"/>
        <v>STARKS ANGELINA</v>
      </c>
    </row>
    <row r="48" spans="1:7" x14ac:dyDescent="0.25">
      <c r="A48" s="8">
        <v>42873.285682870373</v>
      </c>
      <c r="B48" s="20" t="s">
        <v>344</v>
      </c>
      <c r="C48" s="20" t="s">
        <v>652</v>
      </c>
      <c r="D48" s="141">
        <v>2140000</v>
      </c>
      <c r="E48" s="20" t="s">
        <v>622</v>
      </c>
      <c r="F48" s="20" t="s">
        <v>623</v>
      </c>
      <c r="G48" s="8" t="str">
        <f t="shared" si="0"/>
        <v>ROBINSON KADDIBA</v>
      </c>
    </row>
    <row r="49" spans="1:7" x14ac:dyDescent="0.25">
      <c r="A49" s="8">
        <v>42873.289097222223</v>
      </c>
      <c r="B49" s="20" t="s">
        <v>434</v>
      </c>
      <c r="C49" s="20" t="s">
        <v>653</v>
      </c>
      <c r="D49" s="141">
        <v>2550000</v>
      </c>
      <c r="E49" s="20" t="s">
        <v>521</v>
      </c>
      <c r="F49" s="20" t="s">
        <v>522</v>
      </c>
      <c r="G49" s="8" t="str">
        <f t="shared" si="0"/>
        <v>BADERTSCHER DIANE</v>
      </c>
    </row>
    <row r="50" spans="1:7" x14ac:dyDescent="0.25">
      <c r="A50" s="8">
        <v>42873.291574074072</v>
      </c>
      <c r="B50" s="20" t="s">
        <v>599</v>
      </c>
      <c r="C50" s="20" t="s">
        <v>654</v>
      </c>
      <c r="D50" s="141">
        <v>1090000</v>
      </c>
      <c r="E50" s="20" t="s">
        <v>438</v>
      </c>
      <c r="F50" s="20" t="s">
        <v>196</v>
      </c>
      <c r="G50" s="8" t="str">
        <f t="shared" si="0"/>
        <v>SPECTOR MICHAEL</v>
      </c>
    </row>
    <row r="51" spans="1:7" x14ac:dyDescent="0.25">
      <c r="A51" s="8">
        <v>42873.293854166666</v>
      </c>
      <c r="B51" s="20" t="s">
        <v>383</v>
      </c>
      <c r="C51" s="20" t="s">
        <v>655</v>
      </c>
      <c r="D51" s="141">
        <v>1100000</v>
      </c>
      <c r="E51" s="20" t="s">
        <v>524</v>
      </c>
      <c r="F51" s="20" t="s">
        <v>525</v>
      </c>
      <c r="G51" s="8" t="str">
        <f t="shared" si="0"/>
        <v>GEBRETEKLE DAGNEW</v>
      </c>
    </row>
    <row r="52" spans="1:7" x14ac:dyDescent="0.25">
      <c r="A52" s="8">
        <v>42873.295763888891</v>
      </c>
      <c r="B52" s="20" t="s">
        <v>593</v>
      </c>
      <c r="C52" s="20" t="s">
        <v>654</v>
      </c>
      <c r="D52" s="141">
        <v>1090000</v>
      </c>
      <c r="E52" s="20" t="s">
        <v>438</v>
      </c>
      <c r="F52" s="20" t="s">
        <v>196</v>
      </c>
      <c r="G52" s="8" t="str">
        <f t="shared" si="0"/>
        <v>SPECTOR MICHAEL</v>
      </c>
    </row>
    <row r="53" spans="1:7" x14ac:dyDescent="0.25">
      <c r="A53" s="8">
        <v>42873.296053240738</v>
      </c>
      <c r="B53" s="20" t="s">
        <v>469</v>
      </c>
      <c r="C53" s="20" t="s">
        <v>656</v>
      </c>
      <c r="D53" s="141">
        <v>2560000</v>
      </c>
      <c r="E53" s="20" t="s">
        <v>630</v>
      </c>
      <c r="F53" s="20" t="s">
        <v>379</v>
      </c>
      <c r="G53" s="8" t="str">
        <f t="shared" si="0"/>
        <v>MACDONALD THOMAS</v>
      </c>
    </row>
    <row r="54" spans="1:7" x14ac:dyDescent="0.25">
      <c r="A54" s="8">
        <v>42873.296701388892</v>
      </c>
      <c r="B54" s="20" t="s">
        <v>593</v>
      </c>
      <c r="C54" s="20" t="s">
        <v>654</v>
      </c>
      <c r="D54" s="141">
        <v>1090000</v>
      </c>
      <c r="E54" s="20" t="s">
        <v>438</v>
      </c>
      <c r="F54" s="20" t="s">
        <v>196</v>
      </c>
      <c r="G54" s="8" t="str">
        <f t="shared" si="0"/>
        <v>SPECTOR MICHAEL</v>
      </c>
    </row>
    <row r="55" spans="1:7" x14ac:dyDescent="0.25">
      <c r="A55" s="8">
        <v>42873.300023148149</v>
      </c>
      <c r="B55" s="20" t="s">
        <v>519</v>
      </c>
      <c r="C55" s="20" t="s">
        <v>657</v>
      </c>
      <c r="D55" s="141">
        <v>900000</v>
      </c>
      <c r="E55" s="20" t="s">
        <v>466</v>
      </c>
      <c r="F55" s="20" t="s">
        <v>467</v>
      </c>
      <c r="G55" s="8" t="str">
        <f t="shared" si="0"/>
        <v>ROCHA YAOTL</v>
      </c>
    </row>
    <row r="56" spans="1:7" x14ac:dyDescent="0.25">
      <c r="A56" s="8">
        <v>42873.301550925928</v>
      </c>
      <c r="B56" s="20" t="s">
        <v>599</v>
      </c>
      <c r="C56" s="20" t="s">
        <v>658</v>
      </c>
      <c r="D56" s="141">
        <v>1090000</v>
      </c>
      <c r="E56" s="20" t="s">
        <v>438</v>
      </c>
      <c r="F56" s="20" t="s">
        <v>196</v>
      </c>
      <c r="G56" s="8" t="str">
        <f t="shared" si="0"/>
        <v>SPECTOR MICHAEL</v>
      </c>
    </row>
    <row r="57" spans="1:7" x14ac:dyDescent="0.25">
      <c r="A57" s="8">
        <v>42873.30263888889</v>
      </c>
      <c r="B57" s="20" t="s">
        <v>599</v>
      </c>
      <c r="C57" s="20" t="s">
        <v>658</v>
      </c>
      <c r="D57" s="141">
        <v>1090000</v>
      </c>
      <c r="E57" s="20" t="s">
        <v>438</v>
      </c>
      <c r="F57" s="20" t="s">
        <v>196</v>
      </c>
      <c r="G57" s="8" t="str">
        <f t="shared" si="0"/>
        <v>SPECTOR MICHAEL</v>
      </c>
    </row>
    <row r="58" spans="1:7" x14ac:dyDescent="0.25">
      <c r="A58" s="8">
        <v>42873.305127314816</v>
      </c>
      <c r="B58" s="20" t="s">
        <v>645</v>
      </c>
      <c r="C58" s="20" t="s">
        <v>659</v>
      </c>
      <c r="D58" s="141">
        <v>890000</v>
      </c>
      <c r="E58" s="20" t="s">
        <v>464</v>
      </c>
      <c r="F58" s="20" t="s">
        <v>465</v>
      </c>
      <c r="G58" s="8" t="str">
        <f t="shared" si="0"/>
        <v>LOZA FIDEL</v>
      </c>
    </row>
    <row r="59" spans="1:7" x14ac:dyDescent="0.25">
      <c r="A59" s="8">
        <v>42873.307118055556</v>
      </c>
      <c r="B59" s="20" t="s">
        <v>455</v>
      </c>
      <c r="C59" s="20" t="s">
        <v>590</v>
      </c>
      <c r="D59" s="141">
        <v>1830000</v>
      </c>
      <c r="E59" s="20" t="s">
        <v>526</v>
      </c>
      <c r="F59" s="20" t="s">
        <v>527</v>
      </c>
      <c r="G59" s="8" t="str">
        <f t="shared" si="0"/>
        <v>YORK EDGAR</v>
      </c>
    </row>
    <row r="60" spans="1:7" x14ac:dyDescent="0.25">
      <c r="A60" s="8">
        <v>42873.308518518519</v>
      </c>
      <c r="B60" s="20" t="s">
        <v>421</v>
      </c>
      <c r="C60" s="20" t="s">
        <v>660</v>
      </c>
      <c r="D60" s="141">
        <v>940000</v>
      </c>
      <c r="E60" s="20" t="s">
        <v>436</v>
      </c>
      <c r="F60" s="20" t="s">
        <v>437</v>
      </c>
      <c r="G60" s="8" t="str">
        <f t="shared" si="0"/>
        <v>BONDS REYNALDO</v>
      </c>
    </row>
    <row r="61" spans="1:7" x14ac:dyDescent="0.25">
      <c r="A61" s="8">
        <v>42873.316574074073</v>
      </c>
      <c r="B61" s="20" t="s">
        <v>604</v>
      </c>
      <c r="C61" s="20" t="s">
        <v>661</v>
      </c>
      <c r="D61" s="141">
        <v>890000</v>
      </c>
      <c r="E61" s="20" t="s">
        <v>464</v>
      </c>
      <c r="F61" s="20" t="s">
        <v>465</v>
      </c>
      <c r="G61" s="8" t="str">
        <f t="shared" si="0"/>
        <v>LOZA FIDEL</v>
      </c>
    </row>
    <row r="62" spans="1:7" x14ac:dyDescent="0.25">
      <c r="A62" s="8">
        <v>42873.320370370369</v>
      </c>
      <c r="B62" s="20" t="s">
        <v>343</v>
      </c>
      <c r="C62" s="20" t="s">
        <v>662</v>
      </c>
      <c r="D62" s="141">
        <v>2140000</v>
      </c>
      <c r="E62" s="20" t="s">
        <v>622</v>
      </c>
      <c r="F62" s="20" t="s">
        <v>623</v>
      </c>
      <c r="G62" s="8" t="str">
        <f t="shared" si="0"/>
        <v>ROBINSON KADDIBA</v>
      </c>
    </row>
    <row r="63" spans="1:7" x14ac:dyDescent="0.25">
      <c r="A63" s="8">
        <v>42873.322858796295</v>
      </c>
      <c r="B63" s="20" t="s">
        <v>468</v>
      </c>
      <c r="C63" s="20" t="s">
        <v>663</v>
      </c>
      <c r="D63" s="141">
        <v>2560000</v>
      </c>
      <c r="E63" s="20" t="s">
        <v>630</v>
      </c>
      <c r="F63" s="20" t="s">
        <v>379</v>
      </c>
      <c r="G63" s="8" t="str">
        <f t="shared" si="0"/>
        <v>MACDONALD THOMAS</v>
      </c>
    </row>
    <row r="64" spans="1:7" x14ac:dyDescent="0.25">
      <c r="A64" s="26">
        <v>42873.324756944443</v>
      </c>
      <c r="B64" s="20" t="s">
        <v>517</v>
      </c>
      <c r="C64" s="20" t="s">
        <v>664</v>
      </c>
      <c r="D64" s="141">
        <v>2550000</v>
      </c>
      <c r="E64" s="20" t="s">
        <v>521</v>
      </c>
      <c r="F64" s="20" t="s">
        <v>522</v>
      </c>
      <c r="G64" s="8" t="str">
        <f t="shared" si="0"/>
        <v>BADERTSCHER DIANE</v>
      </c>
    </row>
    <row r="65" spans="1:7" x14ac:dyDescent="0.25">
      <c r="A65" s="8">
        <v>42873.328750000001</v>
      </c>
      <c r="B65" s="20" t="s">
        <v>389</v>
      </c>
      <c r="C65" s="20" t="s">
        <v>665</v>
      </c>
      <c r="D65" s="141">
        <v>1100000</v>
      </c>
      <c r="E65" s="20" t="s">
        <v>524</v>
      </c>
      <c r="F65" s="20" t="s">
        <v>525</v>
      </c>
      <c r="G65" s="8" t="str">
        <f t="shared" si="0"/>
        <v>GEBRETEKLE DAGNEW</v>
      </c>
    </row>
    <row r="66" spans="1:7" x14ac:dyDescent="0.25">
      <c r="A66" s="8">
        <v>42873.332349537035</v>
      </c>
      <c r="B66" s="20" t="s">
        <v>593</v>
      </c>
      <c r="C66" s="20" t="s">
        <v>666</v>
      </c>
      <c r="D66" s="141">
        <v>1090000</v>
      </c>
      <c r="E66" s="20" t="s">
        <v>438</v>
      </c>
      <c r="F66" s="20" t="s">
        <v>196</v>
      </c>
      <c r="G66" s="8" t="str">
        <f t="shared" si="0"/>
        <v>SPECTOR MICHAEL</v>
      </c>
    </row>
    <row r="67" spans="1:7" x14ac:dyDescent="0.25">
      <c r="A67" s="8">
        <v>42873.337511574071</v>
      </c>
      <c r="B67" s="20" t="s">
        <v>469</v>
      </c>
      <c r="C67" s="20" t="s">
        <v>667</v>
      </c>
      <c r="D67" s="141">
        <v>2560000</v>
      </c>
      <c r="E67" s="20" t="s">
        <v>630</v>
      </c>
      <c r="F67" s="20" t="s">
        <v>379</v>
      </c>
      <c r="G67" s="8" t="str">
        <f t="shared" ref="G67:G130" si="1">E67&amp;" "&amp;F67</f>
        <v>MACDONALD THOMAS</v>
      </c>
    </row>
    <row r="68" spans="1:7" x14ac:dyDescent="0.25">
      <c r="A68" s="8">
        <v>42873.343124999999</v>
      </c>
      <c r="B68" s="20" t="s">
        <v>516</v>
      </c>
      <c r="C68" s="20" t="s">
        <v>668</v>
      </c>
      <c r="D68" s="141">
        <v>900000</v>
      </c>
      <c r="E68" s="20" t="s">
        <v>466</v>
      </c>
      <c r="F68" s="20" t="s">
        <v>467</v>
      </c>
      <c r="G68" s="8" t="str">
        <f t="shared" si="1"/>
        <v>ROCHA YAOTL</v>
      </c>
    </row>
    <row r="69" spans="1:7" x14ac:dyDescent="0.25">
      <c r="A69" s="8">
        <v>42873.346076388887</v>
      </c>
      <c r="B69" s="20" t="s">
        <v>645</v>
      </c>
      <c r="C69" s="20" t="s">
        <v>669</v>
      </c>
      <c r="D69" s="141">
        <v>890000</v>
      </c>
      <c r="E69" s="20" t="s">
        <v>464</v>
      </c>
      <c r="F69" s="20" t="s">
        <v>465</v>
      </c>
      <c r="G69" s="8" t="str">
        <f t="shared" si="1"/>
        <v>LOZA FIDEL</v>
      </c>
    </row>
    <row r="70" spans="1:7" x14ac:dyDescent="0.25">
      <c r="A70" s="8">
        <v>42873.348229166666</v>
      </c>
      <c r="B70" s="20" t="s">
        <v>415</v>
      </c>
      <c r="C70" s="20" t="s">
        <v>670</v>
      </c>
      <c r="D70" s="141">
        <v>940000</v>
      </c>
      <c r="E70" s="20" t="s">
        <v>436</v>
      </c>
      <c r="F70" s="20" t="s">
        <v>437</v>
      </c>
      <c r="G70" s="8" t="str">
        <f t="shared" si="1"/>
        <v>BONDS REYNALDO</v>
      </c>
    </row>
    <row r="71" spans="1:7" x14ac:dyDescent="0.25">
      <c r="A71" s="8">
        <v>42873.352395833332</v>
      </c>
      <c r="B71" s="20" t="s">
        <v>468</v>
      </c>
      <c r="C71" s="20" t="s">
        <v>671</v>
      </c>
      <c r="D71" s="141">
        <v>2560000</v>
      </c>
      <c r="E71" s="20" t="s">
        <v>630</v>
      </c>
      <c r="F71" s="20" t="s">
        <v>379</v>
      </c>
      <c r="G71" s="8" t="str">
        <f t="shared" si="1"/>
        <v>MACDONALD THOMAS</v>
      </c>
    </row>
    <row r="72" spans="1:7" x14ac:dyDescent="0.25">
      <c r="A72" s="8">
        <v>42873.353425925925</v>
      </c>
      <c r="B72" s="20" t="s">
        <v>454</v>
      </c>
      <c r="C72" s="20" t="s">
        <v>591</v>
      </c>
      <c r="D72" s="141">
        <v>1830000</v>
      </c>
      <c r="E72" s="20" t="s">
        <v>526</v>
      </c>
      <c r="F72" s="20" t="s">
        <v>527</v>
      </c>
      <c r="G72" s="8" t="str">
        <f t="shared" si="1"/>
        <v>YORK EDGAR</v>
      </c>
    </row>
    <row r="73" spans="1:7" x14ac:dyDescent="0.25">
      <c r="A73" s="8">
        <v>42873.35633101852</v>
      </c>
      <c r="B73" s="20" t="s">
        <v>344</v>
      </c>
      <c r="C73" s="20" t="s">
        <v>672</v>
      </c>
      <c r="D73" s="141">
        <v>2140000</v>
      </c>
      <c r="E73" s="20" t="s">
        <v>622</v>
      </c>
      <c r="F73" s="20" t="s">
        <v>623</v>
      </c>
      <c r="G73" s="8" t="str">
        <f t="shared" si="1"/>
        <v>ROBINSON KADDIBA</v>
      </c>
    </row>
    <row r="74" spans="1:7" x14ac:dyDescent="0.25">
      <c r="A74" s="8">
        <v>42873.359594907408</v>
      </c>
      <c r="B74" s="20" t="s">
        <v>604</v>
      </c>
      <c r="C74" s="20" t="s">
        <v>673</v>
      </c>
      <c r="D74" s="141">
        <v>890000</v>
      </c>
      <c r="E74" s="20" t="s">
        <v>464</v>
      </c>
      <c r="F74" s="20" t="s">
        <v>465</v>
      </c>
      <c r="G74" s="8" t="str">
        <f t="shared" si="1"/>
        <v>LOZA FIDEL</v>
      </c>
    </row>
    <row r="75" spans="1:7" x14ac:dyDescent="0.25">
      <c r="A75" s="8">
        <v>42873.360775462963</v>
      </c>
      <c r="B75" s="20" t="s">
        <v>434</v>
      </c>
      <c r="C75" s="20" t="s">
        <v>674</v>
      </c>
      <c r="D75" s="141">
        <v>2550000</v>
      </c>
      <c r="E75" s="20" t="s">
        <v>521</v>
      </c>
      <c r="F75" s="20" t="s">
        <v>522</v>
      </c>
      <c r="G75" s="8" t="str">
        <f t="shared" si="1"/>
        <v>BADERTSCHER DIANE</v>
      </c>
    </row>
    <row r="76" spans="1:7" x14ac:dyDescent="0.25">
      <c r="A76" s="8">
        <v>42873.367048611108</v>
      </c>
      <c r="B76" s="20" t="s">
        <v>383</v>
      </c>
      <c r="C76" s="20" t="s">
        <v>675</v>
      </c>
      <c r="D76" s="141">
        <v>1100000</v>
      </c>
      <c r="E76" s="20" t="s">
        <v>524</v>
      </c>
      <c r="F76" s="20" t="s">
        <v>525</v>
      </c>
      <c r="G76" s="8" t="str">
        <f t="shared" si="1"/>
        <v>GEBRETEKLE DAGNEW</v>
      </c>
    </row>
    <row r="77" spans="1:7" x14ac:dyDescent="0.25">
      <c r="A77" s="8">
        <v>42873.370173611111</v>
      </c>
      <c r="B77" s="20" t="s">
        <v>599</v>
      </c>
      <c r="C77" s="20" t="s">
        <v>676</v>
      </c>
      <c r="D77" s="141">
        <v>1110000</v>
      </c>
      <c r="E77" s="20" t="s">
        <v>462</v>
      </c>
      <c r="F77" s="20" t="s">
        <v>463</v>
      </c>
      <c r="G77" s="8" t="str">
        <f t="shared" si="1"/>
        <v>STARKS ANGELINA</v>
      </c>
    </row>
    <row r="78" spans="1:7" x14ac:dyDescent="0.25">
      <c r="A78" s="8">
        <v>42873.375173611108</v>
      </c>
      <c r="B78" s="20" t="s">
        <v>645</v>
      </c>
      <c r="C78" s="20" t="s">
        <v>677</v>
      </c>
      <c r="D78" s="141">
        <v>890000</v>
      </c>
      <c r="E78" s="20" t="s">
        <v>464</v>
      </c>
      <c r="F78" s="20" t="s">
        <v>465</v>
      </c>
      <c r="G78" s="8" t="str">
        <f t="shared" si="1"/>
        <v>LOZA FIDEL</v>
      </c>
    </row>
    <row r="79" spans="1:7" x14ac:dyDescent="0.25">
      <c r="A79" s="8">
        <v>42873.37871527778</v>
      </c>
      <c r="B79" s="20" t="s">
        <v>599</v>
      </c>
      <c r="C79" s="20" t="s">
        <v>676</v>
      </c>
      <c r="D79" s="141">
        <v>1110000</v>
      </c>
      <c r="E79" s="20" t="s">
        <v>462</v>
      </c>
      <c r="F79" s="20" t="s">
        <v>463</v>
      </c>
      <c r="G79" s="8" t="str">
        <f t="shared" si="1"/>
        <v>STARKS ANGELINA</v>
      </c>
    </row>
    <row r="80" spans="1:7" x14ac:dyDescent="0.25">
      <c r="A80" s="8">
        <v>42873.38008101852</v>
      </c>
      <c r="B80" s="20" t="s">
        <v>519</v>
      </c>
      <c r="C80" s="20" t="s">
        <v>678</v>
      </c>
      <c r="D80" s="141">
        <v>900000</v>
      </c>
      <c r="E80" s="20" t="s">
        <v>466</v>
      </c>
      <c r="F80" s="20" t="s">
        <v>467</v>
      </c>
      <c r="G80" s="8" t="str">
        <f t="shared" si="1"/>
        <v>ROCHA YAOTL</v>
      </c>
    </row>
    <row r="81" spans="1:7" x14ac:dyDescent="0.25">
      <c r="A81" s="8">
        <v>42873.380925925929</v>
      </c>
      <c r="B81" s="20" t="s">
        <v>421</v>
      </c>
      <c r="C81" s="20" t="s">
        <v>679</v>
      </c>
      <c r="D81" s="141">
        <v>940000</v>
      </c>
      <c r="E81" s="20" t="s">
        <v>436</v>
      </c>
      <c r="F81" s="20" t="s">
        <v>437</v>
      </c>
      <c r="G81" s="8" t="str">
        <f t="shared" si="1"/>
        <v>BONDS REYNALDO</v>
      </c>
    </row>
    <row r="82" spans="1:7" x14ac:dyDescent="0.25">
      <c r="A82" s="8">
        <v>42873.389120370368</v>
      </c>
      <c r="B82" s="20" t="s">
        <v>455</v>
      </c>
      <c r="C82" s="20" t="s">
        <v>592</v>
      </c>
      <c r="D82" s="141">
        <v>1830000</v>
      </c>
      <c r="E82" s="20" t="s">
        <v>526</v>
      </c>
      <c r="F82" s="20" t="s">
        <v>527</v>
      </c>
      <c r="G82" s="8" t="str">
        <f t="shared" si="1"/>
        <v>YORK EDGAR</v>
      </c>
    </row>
    <row r="83" spans="1:7" x14ac:dyDescent="0.25">
      <c r="A83" s="8">
        <v>42873.390856481485</v>
      </c>
      <c r="B83" s="20" t="s">
        <v>343</v>
      </c>
      <c r="C83" s="20" t="s">
        <v>680</v>
      </c>
      <c r="D83" s="141">
        <v>2140000</v>
      </c>
      <c r="E83" s="20" t="s">
        <v>622</v>
      </c>
      <c r="F83" s="20" t="s">
        <v>623</v>
      </c>
      <c r="G83" s="8" t="str">
        <f t="shared" si="1"/>
        <v>ROBINSON KADDIBA</v>
      </c>
    </row>
    <row r="84" spans="1:7" x14ac:dyDescent="0.25">
      <c r="A84" s="8">
        <v>42873.395520833335</v>
      </c>
      <c r="B84" s="20" t="s">
        <v>517</v>
      </c>
      <c r="C84" s="20" t="s">
        <v>595</v>
      </c>
      <c r="D84" s="141">
        <v>2550000</v>
      </c>
      <c r="E84" s="20" t="s">
        <v>521</v>
      </c>
      <c r="F84" s="20" t="s">
        <v>522</v>
      </c>
      <c r="G84" s="8" t="str">
        <f t="shared" si="1"/>
        <v>BADERTSCHER DIANE</v>
      </c>
    </row>
    <row r="85" spans="1:7" x14ac:dyDescent="0.25">
      <c r="A85" s="8">
        <v>42873.400763888887</v>
      </c>
      <c r="B85" s="20" t="s">
        <v>604</v>
      </c>
      <c r="C85" s="20" t="s">
        <v>681</v>
      </c>
      <c r="D85" s="141">
        <v>890000</v>
      </c>
      <c r="E85" s="20" t="s">
        <v>464</v>
      </c>
      <c r="F85" s="20" t="s">
        <v>465</v>
      </c>
      <c r="G85" s="8" t="str">
        <f t="shared" si="1"/>
        <v>LOZA FIDEL</v>
      </c>
    </row>
    <row r="86" spans="1:7" x14ac:dyDescent="0.25">
      <c r="A86" s="8">
        <v>42873.402650462966</v>
      </c>
      <c r="B86" s="20" t="s">
        <v>389</v>
      </c>
      <c r="C86" s="20" t="s">
        <v>682</v>
      </c>
      <c r="D86" s="141">
        <v>1100000</v>
      </c>
      <c r="E86" s="20" t="s">
        <v>524</v>
      </c>
      <c r="F86" s="20" t="s">
        <v>525</v>
      </c>
      <c r="G86" s="8" t="str">
        <f t="shared" si="1"/>
        <v>GEBRETEKLE DAGNEW</v>
      </c>
    </row>
    <row r="87" spans="1:7" x14ac:dyDescent="0.25">
      <c r="A87" s="8">
        <v>42873.410416666666</v>
      </c>
      <c r="B87" s="20" t="s">
        <v>593</v>
      </c>
      <c r="C87" s="20" t="s">
        <v>594</v>
      </c>
      <c r="D87" s="141">
        <v>1110000</v>
      </c>
      <c r="E87" s="20" t="s">
        <v>462</v>
      </c>
      <c r="F87" s="20" t="s">
        <v>463</v>
      </c>
      <c r="G87" s="8" t="str">
        <f t="shared" si="1"/>
        <v>STARKS ANGELINA</v>
      </c>
    </row>
    <row r="88" spans="1:7" x14ac:dyDescent="0.25">
      <c r="A88" s="8">
        <v>42873.410520833335</v>
      </c>
      <c r="B88" s="20" t="s">
        <v>516</v>
      </c>
      <c r="C88" s="20" t="s">
        <v>597</v>
      </c>
      <c r="D88" s="141">
        <v>900000</v>
      </c>
      <c r="E88" s="20" t="s">
        <v>466</v>
      </c>
      <c r="F88" s="20" t="s">
        <v>467</v>
      </c>
      <c r="G88" s="8" t="str">
        <f t="shared" si="1"/>
        <v>ROCHA YAOTL</v>
      </c>
    </row>
    <row r="89" spans="1:7" x14ac:dyDescent="0.25">
      <c r="A89" s="8">
        <v>42873.415543981479</v>
      </c>
      <c r="B89" s="20" t="s">
        <v>645</v>
      </c>
      <c r="C89" s="20" t="s">
        <v>683</v>
      </c>
      <c r="D89" s="141">
        <v>890000</v>
      </c>
      <c r="E89" s="20" t="s">
        <v>464</v>
      </c>
      <c r="F89" s="20" t="s">
        <v>465</v>
      </c>
      <c r="G89" s="8" t="str">
        <f t="shared" si="1"/>
        <v>LOZA FIDEL</v>
      </c>
    </row>
    <row r="90" spans="1:7" x14ac:dyDescent="0.25">
      <c r="A90" s="8">
        <v>42873.420370370368</v>
      </c>
      <c r="B90" s="20" t="s">
        <v>415</v>
      </c>
      <c r="C90" s="20" t="s">
        <v>684</v>
      </c>
      <c r="D90" s="141">
        <v>940000</v>
      </c>
      <c r="E90" s="20" t="s">
        <v>436</v>
      </c>
      <c r="F90" s="20" t="s">
        <v>437</v>
      </c>
      <c r="G90" s="8" t="str">
        <f t="shared" si="1"/>
        <v>BONDS REYNALDO</v>
      </c>
    </row>
    <row r="91" spans="1:7" x14ac:dyDescent="0.25">
      <c r="A91" s="8">
        <v>42873.421909722223</v>
      </c>
      <c r="B91" s="20" t="s">
        <v>344</v>
      </c>
      <c r="C91" s="20" t="s">
        <v>685</v>
      </c>
      <c r="D91" s="141">
        <v>2140000</v>
      </c>
      <c r="E91" s="20" t="s">
        <v>622</v>
      </c>
      <c r="F91" s="20" t="s">
        <v>623</v>
      </c>
      <c r="G91" s="8" t="str">
        <f t="shared" si="1"/>
        <v>ROBINSON KADDIBA</v>
      </c>
    </row>
    <row r="92" spans="1:7" x14ac:dyDescent="0.25">
      <c r="A92" s="8">
        <v>42873.421909722223</v>
      </c>
      <c r="B92" s="20" t="s">
        <v>454</v>
      </c>
      <c r="C92" s="20" t="s">
        <v>686</v>
      </c>
      <c r="D92" s="141">
        <v>1830000</v>
      </c>
      <c r="E92" s="20" t="s">
        <v>526</v>
      </c>
      <c r="F92" s="20" t="s">
        <v>527</v>
      </c>
      <c r="G92" s="8" t="str">
        <f t="shared" si="1"/>
        <v>YORK EDGAR</v>
      </c>
    </row>
    <row r="93" spans="1:7" x14ac:dyDescent="0.25">
      <c r="A93" s="8">
        <v>42873.4294212963</v>
      </c>
      <c r="B93" s="20" t="s">
        <v>453</v>
      </c>
      <c r="C93" s="20" t="s">
        <v>596</v>
      </c>
      <c r="D93" s="141">
        <v>2370000</v>
      </c>
      <c r="E93" s="20" t="s">
        <v>532</v>
      </c>
      <c r="F93" s="20" t="s">
        <v>533</v>
      </c>
      <c r="G93" s="8" t="str">
        <f t="shared" si="1"/>
        <v>DELGADO DIANAH</v>
      </c>
    </row>
    <row r="94" spans="1:7" x14ac:dyDescent="0.25">
      <c r="A94" s="8">
        <v>42873.433287037034</v>
      </c>
      <c r="B94" s="20" t="s">
        <v>434</v>
      </c>
      <c r="C94" s="20" t="s">
        <v>687</v>
      </c>
      <c r="D94" s="141">
        <v>2550000</v>
      </c>
      <c r="E94" s="20" t="s">
        <v>521</v>
      </c>
      <c r="F94" s="20" t="s">
        <v>522</v>
      </c>
      <c r="G94" s="8" t="str">
        <f t="shared" si="1"/>
        <v>BADERTSCHER DIANE</v>
      </c>
    </row>
    <row r="95" spans="1:7" x14ac:dyDescent="0.25">
      <c r="A95" s="8">
        <v>42873.43582175926</v>
      </c>
      <c r="B95" s="20" t="s">
        <v>383</v>
      </c>
      <c r="C95" s="20" t="s">
        <v>688</v>
      </c>
      <c r="D95" s="141">
        <v>1100000</v>
      </c>
      <c r="E95" s="20" t="s">
        <v>524</v>
      </c>
      <c r="F95" s="20" t="s">
        <v>525</v>
      </c>
      <c r="G95" s="8" t="str">
        <f t="shared" si="1"/>
        <v>GEBRETEKLE DAGNEW</v>
      </c>
    </row>
    <row r="96" spans="1:7" x14ac:dyDescent="0.25">
      <c r="A96" s="8">
        <v>42873.443136574075</v>
      </c>
      <c r="B96" s="20" t="s">
        <v>599</v>
      </c>
      <c r="C96" s="20" t="s">
        <v>689</v>
      </c>
      <c r="D96" s="141">
        <v>1110000</v>
      </c>
      <c r="E96" s="20" t="s">
        <v>462</v>
      </c>
      <c r="F96" s="20" t="s">
        <v>463</v>
      </c>
      <c r="G96" s="8" t="str">
        <f t="shared" si="1"/>
        <v>STARKS ANGELINA</v>
      </c>
    </row>
    <row r="97" spans="1:7" x14ac:dyDescent="0.25">
      <c r="A97" s="8">
        <v>42873.443206018521</v>
      </c>
      <c r="B97" s="20" t="s">
        <v>604</v>
      </c>
      <c r="C97" s="20" t="s">
        <v>690</v>
      </c>
      <c r="D97" s="141">
        <v>890000</v>
      </c>
      <c r="E97" s="20" t="s">
        <v>464</v>
      </c>
      <c r="F97" s="20" t="s">
        <v>465</v>
      </c>
      <c r="G97" s="8" t="str">
        <f t="shared" si="1"/>
        <v>LOZA FIDEL</v>
      </c>
    </row>
    <row r="98" spans="1:7" x14ac:dyDescent="0.25">
      <c r="A98" s="8">
        <v>42873.454050925924</v>
      </c>
      <c r="B98" s="20" t="s">
        <v>421</v>
      </c>
      <c r="C98" s="20" t="s">
        <v>691</v>
      </c>
      <c r="D98" s="141">
        <v>930000</v>
      </c>
      <c r="E98" s="20" t="s">
        <v>439</v>
      </c>
      <c r="F98" s="20" t="s">
        <v>440</v>
      </c>
      <c r="G98" s="8" t="str">
        <f t="shared" si="1"/>
        <v>CLARK KATHLEEN</v>
      </c>
    </row>
    <row r="99" spans="1:7" x14ac:dyDescent="0.25">
      <c r="A99" s="8">
        <v>42873.455034722225</v>
      </c>
      <c r="B99" s="20" t="s">
        <v>519</v>
      </c>
      <c r="C99" s="20" t="s">
        <v>598</v>
      </c>
      <c r="D99" s="141">
        <v>900000</v>
      </c>
      <c r="E99" s="20" t="s">
        <v>466</v>
      </c>
      <c r="F99" s="20" t="s">
        <v>467</v>
      </c>
      <c r="G99" s="8" t="str">
        <f t="shared" si="1"/>
        <v>ROCHA YAOTL</v>
      </c>
    </row>
    <row r="100" spans="1:7" x14ac:dyDescent="0.25">
      <c r="A100" s="8">
        <v>42873.456099537034</v>
      </c>
      <c r="B100" s="20" t="s">
        <v>455</v>
      </c>
      <c r="C100" s="20" t="s">
        <v>692</v>
      </c>
      <c r="D100" s="141">
        <v>1830000</v>
      </c>
      <c r="E100" s="20" t="s">
        <v>526</v>
      </c>
      <c r="F100" s="20" t="s">
        <v>527</v>
      </c>
      <c r="G100" s="8" t="str">
        <f t="shared" si="1"/>
        <v>YORK EDGAR</v>
      </c>
    </row>
    <row r="101" spans="1:7" x14ac:dyDescent="0.25">
      <c r="A101" s="8">
        <v>42873.457245370373</v>
      </c>
      <c r="B101" s="20" t="s">
        <v>645</v>
      </c>
      <c r="C101" s="20" t="s">
        <v>693</v>
      </c>
      <c r="D101" s="141">
        <v>890000</v>
      </c>
      <c r="E101" s="20" t="s">
        <v>464</v>
      </c>
      <c r="F101" s="20" t="s">
        <v>465</v>
      </c>
      <c r="G101" s="8" t="str">
        <f t="shared" si="1"/>
        <v>LOZA FIDEL</v>
      </c>
    </row>
    <row r="102" spans="1:7" x14ac:dyDescent="0.25">
      <c r="A102" s="8">
        <v>42873.46533564815</v>
      </c>
      <c r="B102" s="20" t="s">
        <v>343</v>
      </c>
      <c r="C102" s="20" t="s">
        <v>694</v>
      </c>
      <c r="D102" s="141">
        <v>2360000</v>
      </c>
      <c r="E102" s="20" t="s">
        <v>695</v>
      </c>
      <c r="F102" s="20" t="s">
        <v>696</v>
      </c>
      <c r="G102" s="8" t="str">
        <f t="shared" si="1"/>
        <v>BRANDNER MELINDA</v>
      </c>
    </row>
    <row r="103" spans="1:7" x14ac:dyDescent="0.25">
      <c r="A103" s="8">
        <v>42873.467847222222</v>
      </c>
      <c r="B103" s="20" t="s">
        <v>410</v>
      </c>
      <c r="C103" s="20" t="s">
        <v>639</v>
      </c>
      <c r="D103" s="141">
        <v>2140000</v>
      </c>
      <c r="E103" s="20" t="s">
        <v>622</v>
      </c>
      <c r="F103" s="20" t="s">
        <v>623</v>
      </c>
      <c r="G103" s="8" t="str">
        <f t="shared" si="1"/>
        <v>ROBINSON KADDIBA</v>
      </c>
    </row>
    <row r="104" spans="1:7" x14ac:dyDescent="0.25">
      <c r="A104" s="8">
        <v>42873.471203703702</v>
      </c>
      <c r="B104" s="20" t="s">
        <v>528</v>
      </c>
      <c r="C104" s="20" t="s">
        <v>697</v>
      </c>
      <c r="D104" s="141">
        <v>2260000</v>
      </c>
      <c r="E104" s="20" t="s">
        <v>698</v>
      </c>
      <c r="F104" s="20" t="s">
        <v>699</v>
      </c>
      <c r="G104" s="8" t="str">
        <f t="shared" si="1"/>
        <v>ARVIDSON DANIEL</v>
      </c>
    </row>
    <row r="105" spans="1:7" x14ac:dyDescent="0.25">
      <c r="A105" s="8">
        <v>42873.473900462966</v>
      </c>
      <c r="B105" s="20" t="s">
        <v>517</v>
      </c>
      <c r="C105" s="20" t="s">
        <v>700</v>
      </c>
      <c r="D105" s="141">
        <v>2560000</v>
      </c>
      <c r="E105" s="20" t="s">
        <v>630</v>
      </c>
      <c r="F105" s="20" t="s">
        <v>379</v>
      </c>
      <c r="G105" s="8" t="str">
        <f t="shared" si="1"/>
        <v>MACDONALD THOMAS</v>
      </c>
    </row>
    <row r="106" spans="1:7" x14ac:dyDescent="0.25">
      <c r="A106" s="8">
        <v>42873.474050925928</v>
      </c>
      <c r="B106" s="20" t="s">
        <v>389</v>
      </c>
      <c r="C106" s="20" t="s">
        <v>701</v>
      </c>
      <c r="D106" s="141">
        <v>2440000</v>
      </c>
      <c r="E106" s="20" t="s">
        <v>702</v>
      </c>
      <c r="F106" s="20" t="s">
        <v>703</v>
      </c>
      <c r="G106" s="8" t="str">
        <f t="shared" si="1"/>
        <v>LOPES KIMBERLY</v>
      </c>
    </row>
    <row r="107" spans="1:7" x14ac:dyDescent="0.25">
      <c r="A107" s="8">
        <v>42873.474374999998</v>
      </c>
      <c r="B107" s="20" t="s">
        <v>523</v>
      </c>
      <c r="C107" s="20" t="s">
        <v>697</v>
      </c>
      <c r="D107" s="141">
        <v>2260000</v>
      </c>
      <c r="E107" s="20" t="s">
        <v>698</v>
      </c>
      <c r="F107" s="20" t="s">
        <v>699</v>
      </c>
      <c r="G107" s="8" t="str">
        <f t="shared" si="1"/>
        <v>ARVIDSON DANIEL</v>
      </c>
    </row>
    <row r="108" spans="1:7" x14ac:dyDescent="0.25">
      <c r="A108" s="8">
        <v>42873.483541666668</v>
      </c>
      <c r="B108" s="20" t="s">
        <v>604</v>
      </c>
      <c r="C108" s="20" t="s">
        <v>704</v>
      </c>
      <c r="D108" s="141">
        <v>890000</v>
      </c>
      <c r="E108" s="20" t="s">
        <v>464</v>
      </c>
      <c r="F108" s="20" t="s">
        <v>465</v>
      </c>
      <c r="G108" s="8" t="str">
        <f t="shared" si="1"/>
        <v>LOZA FIDEL</v>
      </c>
    </row>
    <row r="109" spans="1:7" x14ac:dyDescent="0.25">
      <c r="A109" s="8">
        <v>42873.484502314815</v>
      </c>
      <c r="B109" s="20" t="s">
        <v>593</v>
      </c>
      <c r="C109" s="20" t="s">
        <v>705</v>
      </c>
      <c r="D109" s="141">
        <v>1110000</v>
      </c>
      <c r="E109" s="20" t="s">
        <v>462</v>
      </c>
      <c r="F109" s="20" t="s">
        <v>463</v>
      </c>
      <c r="G109" s="8" t="str">
        <f t="shared" si="1"/>
        <v>STARKS ANGELINA</v>
      </c>
    </row>
    <row r="110" spans="1:7" x14ac:dyDescent="0.25">
      <c r="A110" s="8">
        <v>42873.486585648148</v>
      </c>
      <c r="B110" s="20" t="s">
        <v>528</v>
      </c>
      <c r="C110" s="20" t="s">
        <v>706</v>
      </c>
      <c r="D110" s="141">
        <v>2230000</v>
      </c>
      <c r="E110" s="20" t="s">
        <v>346</v>
      </c>
      <c r="F110" s="20" t="s">
        <v>196</v>
      </c>
      <c r="G110" s="8" t="str">
        <f t="shared" si="1"/>
        <v>SMITH MICHAEL</v>
      </c>
    </row>
    <row r="111" spans="1:7" x14ac:dyDescent="0.25">
      <c r="A111" s="8">
        <v>42873.494259259256</v>
      </c>
      <c r="B111" s="20" t="s">
        <v>415</v>
      </c>
      <c r="C111" s="20" t="s">
        <v>707</v>
      </c>
      <c r="D111" s="141">
        <v>930000</v>
      </c>
      <c r="E111" s="20" t="s">
        <v>439</v>
      </c>
      <c r="F111" s="20" t="s">
        <v>440</v>
      </c>
      <c r="G111" s="8" t="str">
        <f t="shared" si="1"/>
        <v>CLARK KATHLEEN</v>
      </c>
    </row>
    <row r="112" spans="1:7" x14ac:dyDescent="0.25">
      <c r="A112" s="8">
        <v>42873.497731481482</v>
      </c>
      <c r="B112" s="20" t="s">
        <v>454</v>
      </c>
      <c r="C112" s="20" t="s">
        <v>708</v>
      </c>
      <c r="D112" s="141">
        <v>2530000</v>
      </c>
      <c r="E112" s="20" t="s">
        <v>709</v>
      </c>
      <c r="F112" s="20" t="s">
        <v>710</v>
      </c>
      <c r="G112" s="8" t="str">
        <f t="shared" si="1"/>
        <v>LALONDE GREGORY</v>
      </c>
    </row>
    <row r="113" spans="1:7" x14ac:dyDescent="0.25">
      <c r="A113" s="8">
        <v>42873.50240740741</v>
      </c>
      <c r="B113" s="20" t="s">
        <v>344</v>
      </c>
      <c r="C113" s="20" t="s">
        <v>711</v>
      </c>
      <c r="D113" s="141">
        <v>2360000</v>
      </c>
      <c r="E113" s="20" t="s">
        <v>695</v>
      </c>
      <c r="F113" s="20" t="s">
        <v>696</v>
      </c>
      <c r="G113" s="8" t="str">
        <f t="shared" si="1"/>
        <v>BRANDNER MELINDA</v>
      </c>
    </row>
    <row r="114" spans="1:7" x14ac:dyDescent="0.25">
      <c r="A114" s="8">
        <v>42873.507604166669</v>
      </c>
      <c r="B114" s="20" t="s">
        <v>434</v>
      </c>
      <c r="C114" s="20" t="s">
        <v>712</v>
      </c>
      <c r="D114" s="141">
        <v>1540000</v>
      </c>
      <c r="E114" s="20" t="s">
        <v>530</v>
      </c>
      <c r="F114" s="20" t="s">
        <v>531</v>
      </c>
      <c r="G114" s="8" t="str">
        <f t="shared" si="1"/>
        <v>HELVIE ADAM</v>
      </c>
    </row>
    <row r="115" spans="1:7" x14ac:dyDescent="0.25">
      <c r="A115" s="8">
        <v>42873.512106481481</v>
      </c>
      <c r="B115" s="20" t="s">
        <v>645</v>
      </c>
      <c r="C115" s="20" t="s">
        <v>713</v>
      </c>
      <c r="D115" s="141">
        <v>890000</v>
      </c>
      <c r="E115" s="20" t="s">
        <v>464</v>
      </c>
      <c r="F115" s="20" t="s">
        <v>465</v>
      </c>
      <c r="G115" s="8" t="str">
        <f t="shared" si="1"/>
        <v>LOZA FIDEL</v>
      </c>
    </row>
    <row r="116" spans="1:7" x14ac:dyDescent="0.25">
      <c r="A116" s="8">
        <v>42873.513368055559</v>
      </c>
      <c r="B116" s="20" t="s">
        <v>383</v>
      </c>
      <c r="C116" s="20" t="s">
        <v>714</v>
      </c>
      <c r="D116" s="141">
        <v>2440000</v>
      </c>
      <c r="E116" s="20" t="s">
        <v>702</v>
      </c>
      <c r="F116" s="20" t="s">
        <v>703</v>
      </c>
      <c r="G116" s="8" t="str">
        <f t="shared" si="1"/>
        <v>LOPES KIMBERLY</v>
      </c>
    </row>
    <row r="117" spans="1:7" x14ac:dyDescent="0.25">
      <c r="A117" s="8">
        <v>42873.517511574071</v>
      </c>
      <c r="B117" s="20" t="s">
        <v>523</v>
      </c>
      <c r="C117" s="20" t="s">
        <v>715</v>
      </c>
      <c r="D117" s="141">
        <v>3130000</v>
      </c>
      <c r="E117" s="20" t="s">
        <v>399</v>
      </c>
      <c r="F117" s="20" t="s">
        <v>400</v>
      </c>
      <c r="G117" s="8" t="str">
        <f t="shared" si="1"/>
        <v>ZEWDU DEREJE</v>
      </c>
    </row>
    <row r="118" spans="1:7" x14ac:dyDescent="0.25">
      <c r="A118" s="8">
        <v>42873.518726851849</v>
      </c>
      <c r="B118" s="20" t="s">
        <v>599</v>
      </c>
      <c r="C118" s="20" t="s">
        <v>600</v>
      </c>
      <c r="D118" s="141">
        <v>2040000</v>
      </c>
      <c r="E118" s="20" t="s">
        <v>716</v>
      </c>
      <c r="F118" s="20" t="s">
        <v>717</v>
      </c>
      <c r="G118" s="8" t="str">
        <f t="shared" si="1"/>
        <v>MOSES BRADLEY</v>
      </c>
    </row>
    <row r="119" spans="1:7" x14ac:dyDescent="0.25">
      <c r="A119" s="8">
        <v>42873.52611111111</v>
      </c>
      <c r="B119" s="20" t="s">
        <v>604</v>
      </c>
      <c r="C119" s="20" t="s">
        <v>713</v>
      </c>
      <c r="D119" s="141">
        <v>890000</v>
      </c>
      <c r="E119" s="20" t="s">
        <v>464</v>
      </c>
      <c r="F119" s="20" t="s">
        <v>465</v>
      </c>
      <c r="G119" s="8" t="str">
        <f t="shared" si="1"/>
        <v>LOZA FIDEL</v>
      </c>
    </row>
    <row r="120" spans="1:7" x14ac:dyDescent="0.25">
      <c r="A120" s="8">
        <v>42873.526550925926</v>
      </c>
      <c r="B120" s="20" t="s">
        <v>455</v>
      </c>
      <c r="C120" s="20" t="s">
        <v>718</v>
      </c>
      <c r="D120" s="141">
        <v>2530000</v>
      </c>
      <c r="E120" s="20" t="s">
        <v>709</v>
      </c>
      <c r="F120" s="20" t="s">
        <v>710</v>
      </c>
      <c r="G120" s="8" t="str">
        <f t="shared" si="1"/>
        <v>LALONDE GREGORY</v>
      </c>
    </row>
    <row r="121" spans="1:7" x14ac:dyDescent="0.25">
      <c r="A121" s="8">
        <v>42873.526666666665</v>
      </c>
      <c r="B121" s="20" t="s">
        <v>604</v>
      </c>
      <c r="C121" s="20" t="s">
        <v>719</v>
      </c>
      <c r="D121" s="141">
        <v>890000</v>
      </c>
      <c r="E121" s="20" t="s">
        <v>464</v>
      </c>
      <c r="F121" s="20" t="s">
        <v>465</v>
      </c>
      <c r="G121" s="8" t="str">
        <f t="shared" si="1"/>
        <v>LOZA FIDEL</v>
      </c>
    </row>
    <row r="122" spans="1:7" x14ac:dyDescent="0.25">
      <c r="A122" s="8">
        <v>42873.52853009259</v>
      </c>
      <c r="B122" s="25" t="s">
        <v>421</v>
      </c>
      <c r="C122" s="20" t="s">
        <v>720</v>
      </c>
      <c r="D122" s="141">
        <v>930000</v>
      </c>
      <c r="E122" s="20" t="s">
        <v>439</v>
      </c>
      <c r="F122" s="20" t="s">
        <v>440</v>
      </c>
      <c r="G122" s="8" t="str">
        <f t="shared" si="1"/>
        <v>CLARK KATHLEEN</v>
      </c>
    </row>
    <row r="123" spans="1:7" x14ac:dyDescent="0.25">
      <c r="A123" s="8">
        <v>42873.536180555559</v>
      </c>
      <c r="B123" s="20" t="s">
        <v>343</v>
      </c>
      <c r="C123" s="20" t="s">
        <v>721</v>
      </c>
      <c r="D123" s="141">
        <v>2370000</v>
      </c>
      <c r="E123" s="20" t="s">
        <v>532</v>
      </c>
      <c r="F123" s="20" t="s">
        <v>533</v>
      </c>
      <c r="G123" s="8" t="str">
        <f t="shared" si="1"/>
        <v>DELGADO DIANAH</v>
      </c>
    </row>
    <row r="124" spans="1:7" x14ac:dyDescent="0.25">
      <c r="A124" s="8">
        <v>42873.546527777777</v>
      </c>
      <c r="B124" s="20" t="s">
        <v>389</v>
      </c>
      <c r="C124" s="20" t="s">
        <v>722</v>
      </c>
      <c r="D124" s="141">
        <v>2480000</v>
      </c>
      <c r="E124" s="20" t="s">
        <v>723</v>
      </c>
      <c r="F124" s="20" t="s">
        <v>724</v>
      </c>
      <c r="G124" s="8" t="str">
        <f t="shared" si="1"/>
        <v>WHITED DUSTIN</v>
      </c>
    </row>
    <row r="125" spans="1:7" x14ac:dyDescent="0.25">
      <c r="A125" s="8">
        <v>42873.547951388886</v>
      </c>
      <c r="B125" s="20" t="s">
        <v>517</v>
      </c>
      <c r="C125" s="20" t="s">
        <v>725</v>
      </c>
      <c r="D125" s="141">
        <v>1540000</v>
      </c>
      <c r="E125" s="20" t="s">
        <v>530</v>
      </c>
      <c r="F125" s="20" t="s">
        <v>531</v>
      </c>
      <c r="G125" s="8" t="str">
        <f t="shared" si="1"/>
        <v>HELVIE ADAM</v>
      </c>
    </row>
    <row r="126" spans="1:7" x14ac:dyDescent="0.25">
      <c r="A126" s="8">
        <v>42873.548750000002</v>
      </c>
      <c r="B126" s="20" t="s">
        <v>645</v>
      </c>
      <c r="C126" s="20" t="s">
        <v>726</v>
      </c>
      <c r="D126" s="141">
        <v>3030000</v>
      </c>
      <c r="E126" s="20" t="s">
        <v>396</v>
      </c>
      <c r="F126" s="20" t="s">
        <v>379</v>
      </c>
      <c r="G126" s="8" t="str">
        <f t="shared" si="1"/>
        <v>BIRENBAUM THOMAS</v>
      </c>
    </row>
    <row r="127" spans="1:7" x14ac:dyDescent="0.25">
      <c r="A127" s="8">
        <v>42873.557696759257</v>
      </c>
      <c r="B127" s="20" t="s">
        <v>593</v>
      </c>
      <c r="C127" s="20" t="s">
        <v>727</v>
      </c>
      <c r="D127" s="141">
        <v>2040000</v>
      </c>
      <c r="E127" s="20" t="s">
        <v>716</v>
      </c>
      <c r="F127" s="20" t="s">
        <v>717</v>
      </c>
      <c r="G127" s="8" t="str">
        <f t="shared" si="1"/>
        <v>MOSES BRADLEY</v>
      </c>
    </row>
    <row r="128" spans="1:7" x14ac:dyDescent="0.25">
      <c r="A128" s="8">
        <v>42873.558182870373</v>
      </c>
      <c r="B128" s="20" t="s">
        <v>528</v>
      </c>
      <c r="C128" s="20" t="s">
        <v>728</v>
      </c>
      <c r="D128" s="141">
        <v>2230000</v>
      </c>
      <c r="E128" s="20" t="s">
        <v>346</v>
      </c>
      <c r="F128" s="20" t="s">
        <v>196</v>
      </c>
      <c r="G128" s="8" t="str">
        <f t="shared" si="1"/>
        <v>SMITH MICHAEL</v>
      </c>
    </row>
    <row r="129" spans="1:7" x14ac:dyDescent="0.25">
      <c r="A129" s="8">
        <v>42873.566469907404</v>
      </c>
      <c r="B129" s="20" t="s">
        <v>415</v>
      </c>
      <c r="C129" s="20" t="s">
        <v>729</v>
      </c>
      <c r="D129" s="141">
        <v>930000</v>
      </c>
      <c r="E129" s="20" t="s">
        <v>439</v>
      </c>
      <c r="F129" s="20" t="s">
        <v>440</v>
      </c>
      <c r="G129" s="8" t="str">
        <f t="shared" si="1"/>
        <v>CLARK KATHLEEN</v>
      </c>
    </row>
    <row r="130" spans="1:7" x14ac:dyDescent="0.25">
      <c r="A130" s="8">
        <v>42873.568495370368</v>
      </c>
      <c r="B130" s="20" t="s">
        <v>604</v>
      </c>
      <c r="C130" s="20" t="s">
        <v>730</v>
      </c>
      <c r="D130" s="141">
        <v>3030000</v>
      </c>
      <c r="E130" s="20" t="s">
        <v>396</v>
      </c>
      <c r="F130" s="20" t="s">
        <v>379</v>
      </c>
      <c r="G130" s="8" t="str">
        <f t="shared" si="1"/>
        <v>BIRENBAUM THOMAS</v>
      </c>
    </row>
    <row r="131" spans="1:7" x14ac:dyDescent="0.25">
      <c r="A131" s="8">
        <v>42873.571111111109</v>
      </c>
      <c r="B131" s="20" t="s">
        <v>454</v>
      </c>
      <c r="C131" s="20" t="s">
        <v>731</v>
      </c>
      <c r="D131" s="141">
        <v>2530000</v>
      </c>
      <c r="E131" s="20" t="s">
        <v>709</v>
      </c>
      <c r="F131" s="20" t="s">
        <v>710</v>
      </c>
      <c r="G131" s="8" t="str">
        <f t="shared" ref="G131:G194" si="2">E131&amp;" "&amp;F131</f>
        <v>LALONDE GREGORY</v>
      </c>
    </row>
    <row r="132" spans="1:7" x14ac:dyDescent="0.25">
      <c r="A132" s="8">
        <v>42873.574212962965</v>
      </c>
      <c r="B132" s="20" t="s">
        <v>344</v>
      </c>
      <c r="C132" s="20" t="s">
        <v>602</v>
      </c>
      <c r="D132" s="141">
        <v>2370000</v>
      </c>
      <c r="E132" s="20" t="s">
        <v>532</v>
      </c>
      <c r="F132" s="20" t="s">
        <v>533</v>
      </c>
      <c r="G132" s="8" t="str">
        <f t="shared" si="2"/>
        <v>DELGADO DIANAH</v>
      </c>
    </row>
    <row r="133" spans="1:7" x14ac:dyDescent="0.25">
      <c r="A133" s="8">
        <v>42873.582418981481</v>
      </c>
      <c r="B133" s="20" t="s">
        <v>434</v>
      </c>
      <c r="C133" s="20" t="s">
        <v>601</v>
      </c>
      <c r="D133" s="141">
        <v>1540000</v>
      </c>
      <c r="E133" s="20" t="s">
        <v>530</v>
      </c>
      <c r="F133" s="20" t="s">
        <v>531</v>
      </c>
      <c r="G133" s="8" t="str">
        <f t="shared" si="2"/>
        <v>HELVIE ADAM</v>
      </c>
    </row>
    <row r="134" spans="1:7" x14ac:dyDescent="0.25">
      <c r="A134" s="8">
        <v>42873.588101851848</v>
      </c>
      <c r="B134" s="20" t="s">
        <v>383</v>
      </c>
      <c r="C134" s="20" t="s">
        <v>732</v>
      </c>
      <c r="D134" s="141">
        <v>2480000</v>
      </c>
      <c r="E134" s="20" t="s">
        <v>723</v>
      </c>
      <c r="F134" s="20" t="s">
        <v>724</v>
      </c>
      <c r="G134" s="8" t="str">
        <f t="shared" si="2"/>
        <v>WHITED DUSTIN</v>
      </c>
    </row>
    <row r="135" spans="1:7" x14ac:dyDescent="0.25">
      <c r="A135" s="8">
        <v>42873.589548611111</v>
      </c>
      <c r="B135" s="20" t="s">
        <v>645</v>
      </c>
      <c r="C135" s="20" t="s">
        <v>733</v>
      </c>
      <c r="D135" s="141">
        <v>3030000</v>
      </c>
      <c r="E135" s="20" t="s">
        <v>396</v>
      </c>
      <c r="F135" s="20" t="s">
        <v>379</v>
      </c>
      <c r="G135" s="8" t="str">
        <f t="shared" si="2"/>
        <v>BIRENBAUM THOMAS</v>
      </c>
    </row>
    <row r="136" spans="1:7" x14ac:dyDescent="0.25">
      <c r="A136" s="8">
        <v>42873.589791666665</v>
      </c>
      <c r="B136" s="20" t="s">
        <v>523</v>
      </c>
      <c r="C136" s="20" t="s">
        <v>734</v>
      </c>
      <c r="D136" s="141">
        <v>3130000</v>
      </c>
      <c r="E136" s="20" t="s">
        <v>399</v>
      </c>
      <c r="F136" s="20" t="s">
        <v>400</v>
      </c>
      <c r="G136" s="8" t="str">
        <f t="shared" si="2"/>
        <v>ZEWDU DEREJE</v>
      </c>
    </row>
    <row r="137" spans="1:7" x14ac:dyDescent="0.25">
      <c r="A137" s="8">
        <v>42873.590844907405</v>
      </c>
      <c r="B137" s="20" t="s">
        <v>599</v>
      </c>
      <c r="C137" s="20" t="s">
        <v>735</v>
      </c>
      <c r="D137" s="141">
        <v>2040000</v>
      </c>
      <c r="E137" s="20" t="s">
        <v>716</v>
      </c>
      <c r="F137" s="20" t="s">
        <v>717</v>
      </c>
      <c r="G137" s="8" t="str">
        <f t="shared" si="2"/>
        <v>MOSES BRADLEY</v>
      </c>
    </row>
    <row r="138" spans="1:7" x14ac:dyDescent="0.25">
      <c r="A138" s="8">
        <v>42873.592824074076</v>
      </c>
      <c r="B138" s="20" t="s">
        <v>516</v>
      </c>
      <c r="C138" s="20" t="s">
        <v>736</v>
      </c>
      <c r="D138" s="141">
        <v>2260000</v>
      </c>
      <c r="E138" s="20" t="s">
        <v>698</v>
      </c>
      <c r="F138" s="20" t="s">
        <v>699</v>
      </c>
      <c r="G138" s="8" t="str">
        <f t="shared" si="2"/>
        <v>ARVIDSON DANIEL</v>
      </c>
    </row>
    <row r="139" spans="1:7" x14ac:dyDescent="0.25">
      <c r="A139" s="8">
        <v>42873.599733796298</v>
      </c>
      <c r="B139" s="20" t="s">
        <v>455</v>
      </c>
      <c r="C139" s="20" t="s">
        <v>737</v>
      </c>
      <c r="D139" s="141">
        <v>2530000</v>
      </c>
      <c r="E139" s="20" t="s">
        <v>709</v>
      </c>
      <c r="F139" s="20" t="s">
        <v>710</v>
      </c>
      <c r="G139" s="8" t="str">
        <f t="shared" si="2"/>
        <v>LALONDE GREGORY</v>
      </c>
    </row>
    <row r="140" spans="1:7" x14ac:dyDescent="0.25">
      <c r="A140" s="8">
        <v>42873.60119212963</v>
      </c>
      <c r="B140" s="20" t="s">
        <v>519</v>
      </c>
      <c r="C140" s="20" t="s">
        <v>736</v>
      </c>
      <c r="D140" s="141">
        <v>2260000</v>
      </c>
      <c r="E140" s="20" t="s">
        <v>698</v>
      </c>
      <c r="F140" s="20" t="s">
        <v>699</v>
      </c>
      <c r="G140" s="8" t="str">
        <f t="shared" si="2"/>
        <v>ARVIDSON DANIEL</v>
      </c>
    </row>
    <row r="141" spans="1:7" x14ac:dyDescent="0.25">
      <c r="A141" s="8">
        <v>42873.601875</v>
      </c>
      <c r="B141" s="20" t="s">
        <v>421</v>
      </c>
      <c r="C141" s="20" t="s">
        <v>738</v>
      </c>
      <c r="D141" s="141">
        <v>930000</v>
      </c>
      <c r="E141" s="20" t="s">
        <v>439</v>
      </c>
      <c r="F141" s="20" t="s">
        <v>440</v>
      </c>
      <c r="G141" s="8" t="str">
        <f t="shared" si="2"/>
        <v>CLARK KATHLEEN</v>
      </c>
    </row>
    <row r="142" spans="1:7" x14ac:dyDescent="0.25">
      <c r="A142" s="8">
        <v>42873.609282407408</v>
      </c>
      <c r="B142" s="20" t="s">
        <v>604</v>
      </c>
      <c r="C142" s="20" t="s">
        <v>739</v>
      </c>
      <c r="D142" s="141">
        <v>3030000</v>
      </c>
      <c r="E142" s="20" t="s">
        <v>396</v>
      </c>
      <c r="F142" s="20" t="s">
        <v>379</v>
      </c>
      <c r="G142" s="8" t="str">
        <f t="shared" si="2"/>
        <v>BIRENBAUM THOMAS</v>
      </c>
    </row>
    <row r="143" spans="1:7" x14ac:dyDescent="0.25">
      <c r="A143" s="8">
        <v>42873.611666666664</v>
      </c>
      <c r="B143" s="20" t="s">
        <v>516</v>
      </c>
      <c r="C143" s="20" t="s">
        <v>603</v>
      </c>
      <c r="D143" s="141">
        <v>2360000</v>
      </c>
      <c r="E143" s="20" t="s">
        <v>695</v>
      </c>
      <c r="F143" s="20" t="s">
        <v>696</v>
      </c>
      <c r="G143" s="8" t="str">
        <f t="shared" si="2"/>
        <v>BRANDNER MELINDA</v>
      </c>
    </row>
    <row r="144" spans="1:7" x14ac:dyDescent="0.25">
      <c r="A144" s="8">
        <v>42873.612222222226</v>
      </c>
      <c r="B144" s="20" t="s">
        <v>343</v>
      </c>
      <c r="C144" s="20" t="s">
        <v>740</v>
      </c>
      <c r="D144" s="141">
        <v>2370000</v>
      </c>
      <c r="E144" s="20" t="s">
        <v>532</v>
      </c>
      <c r="F144" s="20" t="s">
        <v>533</v>
      </c>
      <c r="G144" s="8" t="str">
        <f t="shared" si="2"/>
        <v>DELGADO DIANAH</v>
      </c>
    </row>
    <row r="145" spans="1:7" x14ac:dyDescent="0.25">
      <c r="A145" s="8">
        <v>42873.614189814813</v>
      </c>
      <c r="B145" s="20" t="s">
        <v>516</v>
      </c>
      <c r="C145" s="20" t="s">
        <v>603</v>
      </c>
      <c r="D145" s="141">
        <v>2360000</v>
      </c>
      <c r="E145" s="20" t="s">
        <v>695</v>
      </c>
      <c r="F145" s="20" t="s">
        <v>696</v>
      </c>
      <c r="G145" s="8" t="str">
        <f t="shared" si="2"/>
        <v>BRANDNER MELINDA</v>
      </c>
    </row>
    <row r="146" spans="1:7" x14ac:dyDescent="0.25">
      <c r="A146" s="8">
        <v>42873.618344907409</v>
      </c>
      <c r="B146" s="20" t="s">
        <v>517</v>
      </c>
      <c r="C146" s="20" t="s">
        <v>741</v>
      </c>
      <c r="D146" s="141">
        <v>1540000</v>
      </c>
      <c r="E146" s="20" t="s">
        <v>530</v>
      </c>
      <c r="F146" s="20" t="s">
        <v>531</v>
      </c>
      <c r="G146" s="8" t="str">
        <f t="shared" si="2"/>
        <v>HELVIE ADAM</v>
      </c>
    </row>
    <row r="147" spans="1:7" x14ac:dyDescent="0.25">
      <c r="A147" s="8">
        <v>42873.61922453704</v>
      </c>
      <c r="B147" s="20" t="s">
        <v>389</v>
      </c>
      <c r="C147" s="20" t="s">
        <v>742</v>
      </c>
      <c r="D147" s="141">
        <v>2440000</v>
      </c>
      <c r="E147" s="20" t="s">
        <v>702</v>
      </c>
      <c r="F147" s="20" t="s">
        <v>703</v>
      </c>
      <c r="G147" s="8" t="str">
        <f t="shared" si="2"/>
        <v>LOPES KIMBERLY</v>
      </c>
    </row>
    <row r="148" spans="1:7" x14ac:dyDescent="0.25">
      <c r="A148" s="8">
        <v>42873.619826388887</v>
      </c>
      <c r="B148" s="20" t="s">
        <v>516</v>
      </c>
      <c r="C148" s="20" t="s">
        <v>603</v>
      </c>
      <c r="D148" s="141">
        <v>2360000</v>
      </c>
      <c r="E148" s="20" t="s">
        <v>695</v>
      </c>
      <c r="F148" s="20" t="s">
        <v>696</v>
      </c>
      <c r="G148" s="8" t="str">
        <f t="shared" si="2"/>
        <v>BRANDNER MELINDA</v>
      </c>
    </row>
    <row r="149" spans="1:7" x14ac:dyDescent="0.25">
      <c r="A149" s="8">
        <v>42873.620671296296</v>
      </c>
      <c r="B149" s="20" t="s">
        <v>593</v>
      </c>
      <c r="C149" s="20" t="s">
        <v>743</v>
      </c>
      <c r="D149" s="141">
        <v>2040000</v>
      </c>
      <c r="E149" s="20" t="s">
        <v>716</v>
      </c>
      <c r="F149" s="20" t="s">
        <v>717</v>
      </c>
      <c r="G149" s="8" t="str">
        <f t="shared" si="2"/>
        <v>MOSES BRADLEY</v>
      </c>
    </row>
    <row r="150" spans="1:7" x14ac:dyDescent="0.25">
      <c r="A150" s="8">
        <v>42873.631527777776</v>
      </c>
      <c r="B150" s="20" t="s">
        <v>528</v>
      </c>
      <c r="C150" s="20" t="s">
        <v>744</v>
      </c>
      <c r="D150" s="141">
        <v>2230000</v>
      </c>
      <c r="E150" s="20" t="s">
        <v>346</v>
      </c>
      <c r="F150" s="20" t="s">
        <v>196</v>
      </c>
      <c r="G150" s="8" t="str">
        <f t="shared" si="2"/>
        <v>SMITH MICHAEL</v>
      </c>
    </row>
    <row r="151" spans="1:7" x14ac:dyDescent="0.25">
      <c r="A151" s="8">
        <v>42873.63616898148</v>
      </c>
      <c r="B151" s="20" t="s">
        <v>415</v>
      </c>
      <c r="C151" s="20" t="s">
        <v>745</v>
      </c>
      <c r="D151" s="141">
        <v>930000</v>
      </c>
      <c r="E151" s="20" t="s">
        <v>439</v>
      </c>
      <c r="F151" s="20" t="s">
        <v>440</v>
      </c>
      <c r="G151" s="8" t="str">
        <f t="shared" si="2"/>
        <v>CLARK KATHLEEN</v>
      </c>
    </row>
    <row r="152" spans="1:7" x14ac:dyDescent="0.25">
      <c r="A152" s="8">
        <v>42873.63690972222</v>
      </c>
      <c r="B152" s="20" t="s">
        <v>469</v>
      </c>
      <c r="C152" s="20" t="s">
        <v>746</v>
      </c>
      <c r="D152" s="141">
        <v>2560000</v>
      </c>
      <c r="E152" s="20" t="s">
        <v>630</v>
      </c>
      <c r="F152" s="20" t="s">
        <v>379</v>
      </c>
      <c r="G152" s="8" t="str">
        <f t="shared" si="2"/>
        <v>MACDONALD THOMAS</v>
      </c>
    </row>
    <row r="153" spans="1:7" x14ac:dyDescent="0.25">
      <c r="A153" s="8">
        <v>42873.637638888889</v>
      </c>
      <c r="B153" s="20" t="s">
        <v>645</v>
      </c>
      <c r="C153" s="20" t="s">
        <v>747</v>
      </c>
      <c r="D153" s="141">
        <v>3030000</v>
      </c>
      <c r="E153" s="20" t="s">
        <v>396</v>
      </c>
      <c r="F153" s="20" t="s">
        <v>379</v>
      </c>
      <c r="G153" s="8" t="str">
        <f t="shared" si="2"/>
        <v>BIRENBAUM THOMAS</v>
      </c>
    </row>
    <row r="154" spans="1:7" x14ac:dyDescent="0.25">
      <c r="A154" s="8">
        <v>42873.639606481483</v>
      </c>
      <c r="B154" s="20" t="s">
        <v>469</v>
      </c>
      <c r="C154" s="20" t="s">
        <v>746</v>
      </c>
      <c r="D154" s="141">
        <v>3120000</v>
      </c>
      <c r="E154" s="20" t="s">
        <v>441</v>
      </c>
      <c r="F154" s="20" t="s">
        <v>442</v>
      </c>
      <c r="G154" s="8" t="str">
        <f t="shared" si="2"/>
        <v>THOMPSON LESTER</v>
      </c>
    </row>
    <row r="155" spans="1:7" x14ac:dyDescent="0.25">
      <c r="A155" s="8">
        <v>42873.640462962961</v>
      </c>
      <c r="B155" s="20" t="s">
        <v>529</v>
      </c>
      <c r="C155" s="20" t="s">
        <v>748</v>
      </c>
      <c r="D155" s="141">
        <v>2370000</v>
      </c>
      <c r="E155" s="20" t="s">
        <v>532</v>
      </c>
      <c r="F155" s="20" t="s">
        <v>533</v>
      </c>
      <c r="G155" s="8" t="str">
        <f t="shared" si="2"/>
        <v>DELGADO DIANAH</v>
      </c>
    </row>
    <row r="156" spans="1:7" x14ac:dyDescent="0.25">
      <c r="A156" s="8">
        <v>42873.643842592595</v>
      </c>
      <c r="B156" s="20" t="s">
        <v>454</v>
      </c>
      <c r="C156" s="20" t="s">
        <v>749</v>
      </c>
      <c r="D156" s="141">
        <v>2530000</v>
      </c>
      <c r="E156" s="20" t="s">
        <v>709</v>
      </c>
      <c r="F156" s="20" t="s">
        <v>710</v>
      </c>
      <c r="G156" s="8" t="str">
        <f t="shared" si="2"/>
        <v>LALONDE GREGORY</v>
      </c>
    </row>
    <row r="157" spans="1:7" x14ac:dyDescent="0.25">
      <c r="A157" s="8">
        <v>42873.651076388887</v>
      </c>
      <c r="B157" s="20" t="s">
        <v>604</v>
      </c>
      <c r="C157" s="20" t="s">
        <v>605</v>
      </c>
      <c r="D157" s="141">
        <v>3030000</v>
      </c>
      <c r="E157" s="20" t="s">
        <v>396</v>
      </c>
      <c r="F157" s="20" t="s">
        <v>379</v>
      </c>
      <c r="G157" s="8" t="str">
        <f t="shared" si="2"/>
        <v>BIRENBAUM THOMAS</v>
      </c>
    </row>
    <row r="158" spans="1:7" x14ac:dyDescent="0.25">
      <c r="A158" s="8">
        <v>42873.652013888888</v>
      </c>
      <c r="B158" s="20" t="s">
        <v>519</v>
      </c>
      <c r="C158" s="20" t="s">
        <v>750</v>
      </c>
      <c r="D158" s="141">
        <v>2360000</v>
      </c>
      <c r="E158" s="20" t="s">
        <v>695</v>
      </c>
      <c r="F158" s="20" t="s">
        <v>696</v>
      </c>
      <c r="G158" s="8" t="str">
        <f t="shared" si="2"/>
        <v>BRANDNER MELINDA</v>
      </c>
    </row>
    <row r="159" spans="1:7" x14ac:dyDescent="0.25">
      <c r="A159" s="8">
        <v>42873.655601851853</v>
      </c>
      <c r="B159" s="20" t="s">
        <v>434</v>
      </c>
      <c r="C159" s="20" t="s">
        <v>751</v>
      </c>
      <c r="D159" s="141">
        <v>1540000</v>
      </c>
      <c r="E159" s="20" t="s">
        <v>530</v>
      </c>
      <c r="F159" s="20" t="s">
        <v>531</v>
      </c>
      <c r="G159" s="8" t="str">
        <f t="shared" si="2"/>
        <v>HELVIE ADAM</v>
      </c>
    </row>
    <row r="160" spans="1:7" x14ac:dyDescent="0.25">
      <c r="A160" s="8">
        <v>42873.655995370369</v>
      </c>
      <c r="B160" s="20" t="s">
        <v>468</v>
      </c>
      <c r="C160" s="20" t="s">
        <v>752</v>
      </c>
      <c r="D160" s="141">
        <v>3120000</v>
      </c>
      <c r="E160" s="20" t="s">
        <v>441</v>
      </c>
      <c r="F160" s="20" t="s">
        <v>442</v>
      </c>
      <c r="G160" s="8" t="str">
        <f t="shared" si="2"/>
        <v>THOMPSON LESTER</v>
      </c>
    </row>
    <row r="161" spans="1:7" x14ac:dyDescent="0.25">
      <c r="A161" s="8">
        <v>42873.658020833333</v>
      </c>
      <c r="B161" s="20" t="s">
        <v>383</v>
      </c>
      <c r="C161" s="20" t="s">
        <v>753</v>
      </c>
      <c r="D161" s="141">
        <v>2440000</v>
      </c>
      <c r="E161" s="20" t="s">
        <v>702</v>
      </c>
      <c r="F161" s="20" t="s">
        <v>703</v>
      </c>
      <c r="G161" s="8" t="str">
        <f t="shared" si="2"/>
        <v>LOPES KIMBERLY</v>
      </c>
    </row>
    <row r="162" spans="1:7" x14ac:dyDescent="0.25">
      <c r="A162" s="8">
        <v>42873.663611111115</v>
      </c>
      <c r="B162" s="20" t="s">
        <v>523</v>
      </c>
      <c r="C162" s="20" t="s">
        <v>754</v>
      </c>
      <c r="D162" s="141">
        <v>3130000</v>
      </c>
      <c r="E162" s="20" t="s">
        <v>399</v>
      </c>
      <c r="F162" s="20" t="s">
        <v>400</v>
      </c>
      <c r="G162" s="8" t="str">
        <f t="shared" si="2"/>
        <v>ZEWDU DEREJE</v>
      </c>
    </row>
    <row r="163" spans="1:7" x14ac:dyDescent="0.25">
      <c r="A163" s="8">
        <v>42873.666087962964</v>
      </c>
      <c r="B163" s="20" t="s">
        <v>599</v>
      </c>
      <c r="C163" s="20" t="s">
        <v>755</v>
      </c>
      <c r="D163" s="141">
        <v>2040000</v>
      </c>
      <c r="E163" s="20" t="s">
        <v>716</v>
      </c>
      <c r="F163" s="20" t="s">
        <v>717</v>
      </c>
      <c r="G163" s="8" t="str">
        <f t="shared" si="2"/>
        <v>MOSES BRADLEY</v>
      </c>
    </row>
    <row r="164" spans="1:7" x14ac:dyDescent="0.25">
      <c r="A164" s="8">
        <v>42873.671956018516</v>
      </c>
      <c r="B164" s="20" t="s">
        <v>469</v>
      </c>
      <c r="C164" s="20" t="s">
        <v>756</v>
      </c>
      <c r="D164" s="141">
        <v>3120000</v>
      </c>
      <c r="E164" s="20" t="s">
        <v>441</v>
      </c>
      <c r="F164" s="20" t="s">
        <v>442</v>
      </c>
      <c r="G164" s="8" t="str">
        <f t="shared" si="2"/>
        <v>THOMPSON LESTER</v>
      </c>
    </row>
    <row r="165" spans="1:7" x14ac:dyDescent="0.25">
      <c r="A165" s="8">
        <v>42873.672615740739</v>
      </c>
      <c r="B165" s="20" t="s">
        <v>455</v>
      </c>
      <c r="C165" s="20" t="s">
        <v>757</v>
      </c>
      <c r="D165" s="141">
        <v>2530000</v>
      </c>
      <c r="E165" s="20" t="s">
        <v>709</v>
      </c>
      <c r="F165" s="20" t="s">
        <v>710</v>
      </c>
      <c r="G165" s="8" t="str">
        <f t="shared" si="2"/>
        <v>LALONDE GREGORY</v>
      </c>
    </row>
    <row r="166" spans="1:7" x14ac:dyDescent="0.25">
      <c r="A166" s="8">
        <v>42873.674444444441</v>
      </c>
      <c r="B166" s="20" t="s">
        <v>421</v>
      </c>
      <c r="C166" s="20" t="s">
        <v>758</v>
      </c>
      <c r="D166" s="141">
        <v>930000</v>
      </c>
      <c r="E166" s="20" t="s">
        <v>439</v>
      </c>
      <c r="F166" s="20" t="s">
        <v>440</v>
      </c>
      <c r="G166" s="8" t="str">
        <f t="shared" si="2"/>
        <v>CLARK KATHLEEN</v>
      </c>
    </row>
    <row r="167" spans="1:7" x14ac:dyDescent="0.25">
      <c r="A167" s="8">
        <v>42873.677442129629</v>
      </c>
      <c r="B167" s="20" t="s">
        <v>645</v>
      </c>
      <c r="C167" s="20" t="s">
        <v>759</v>
      </c>
      <c r="D167" s="141">
        <v>3030000</v>
      </c>
      <c r="E167" s="20" t="s">
        <v>396</v>
      </c>
      <c r="F167" s="20" t="s">
        <v>379</v>
      </c>
      <c r="G167" s="8" t="str">
        <f t="shared" si="2"/>
        <v>BIRENBAUM THOMAS</v>
      </c>
    </row>
    <row r="168" spans="1:7" x14ac:dyDescent="0.25">
      <c r="A168" s="8">
        <v>42873.685844907406</v>
      </c>
      <c r="B168" s="20" t="s">
        <v>516</v>
      </c>
      <c r="C168" s="20" t="s">
        <v>606</v>
      </c>
      <c r="D168" s="141">
        <v>2370000</v>
      </c>
      <c r="E168" s="20" t="s">
        <v>532</v>
      </c>
      <c r="F168" s="20" t="s">
        <v>533</v>
      </c>
      <c r="G168" s="8" t="str">
        <f t="shared" si="2"/>
        <v>DELGADO DIANAH</v>
      </c>
    </row>
    <row r="169" spans="1:7" x14ac:dyDescent="0.25">
      <c r="A169" s="8">
        <v>42873.686527777776</v>
      </c>
      <c r="B169" s="20" t="s">
        <v>468</v>
      </c>
      <c r="C169" s="20" t="s">
        <v>760</v>
      </c>
      <c r="D169" s="141">
        <v>3120000</v>
      </c>
      <c r="E169" s="20" t="s">
        <v>441</v>
      </c>
      <c r="F169" s="20" t="s">
        <v>442</v>
      </c>
      <c r="G169" s="8" t="str">
        <f t="shared" si="2"/>
        <v>THOMPSON LESTER</v>
      </c>
    </row>
    <row r="170" spans="1:7" x14ac:dyDescent="0.25">
      <c r="A170" s="8">
        <v>42873.692245370374</v>
      </c>
      <c r="B170" s="20" t="s">
        <v>389</v>
      </c>
      <c r="C170" s="20" t="s">
        <v>761</v>
      </c>
      <c r="D170" s="141">
        <v>2440000</v>
      </c>
      <c r="E170" s="20" t="s">
        <v>702</v>
      </c>
      <c r="F170" s="20" t="s">
        <v>703</v>
      </c>
      <c r="G170" s="8" t="str">
        <f t="shared" si="2"/>
        <v>LOPES KIMBERLY</v>
      </c>
    </row>
    <row r="171" spans="1:7" x14ac:dyDescent="0.25">
      <c r="A171" s="8">
        <v>42873.693541666667</v>
      </c>
      <c r="B171" s="20" t="s">
        <v>517</v>
      </c>
      <c r="C171" s="20" t="s">
        <v>762</v>
      </c>
      <c r="D171" s="141">
        <v>1540000</v>
      </c>
      <c r="E171" s="20" t="s">
        <v>530</v>
      </c>
      <c r="F171" s="20" t="s">
        <v>531</v>
      </c>
      <c r="G171" s="8" t="str">
        <f t="shared" si="2"/>
        <v>HELVIE ADAM</v>
      </c>
    </row>
    <row r="172" spans="1:7" x14ac:dyDescent="0.25">
      <c r="A172" s="8">
        <v>42873.695219907408</v>
      </c>
      <c r="B172" s="20" t="s">
        <v>604</v>
      </c>
      <c r="C172" s="20" t="s">
        <v>763</v>
      </c>
      <c r="D172" s="141">
        <v>3030000</v>
      </c>
      <c r="E172" s="20" t="s">
        <v>396</v>
      </c>
      <c r="F172" s="20" t="s">
        <v>379</v>
      </c>
      <c r="G172" s="8" t="str">
        <f t="shared" si="2"/>
        <v>BIRENBAUM THOMAS</v>
      </c>
    </row>
    <row r="173" spans="1:7" x14ac:dyDescent="0.25">
      <c r="A173" s="8">
        <v>42873.701724537037</v>
      </c>
      <c r="B173" s="20" t="s">
        <v>593</v>
      </c>
      <c r="C173" s="20" t="s">
        <v>607</v>
      </c>
      <c r="D173" s="141">
        <v>2040000</v>
      </c>
      <c r="E173" s="20" t="s">
        <v>716</v>
      </c>
      <c r="F173" s="20" t="s">
        <v>717</v>
      </c>
      <c r="G173" s="8" t="str">
        <f t="shared" si="2"/>
        <v>MOSES BRADLEY</v>
      </c>
    </row>
    <row r="174" spans="1:7" x14ac:dyDescent="0.25">
      <c r="A174" s="8">
        <v>42873.70380787037</v>
      </c>
      <c r="B174" s="20" t="s">
        <v>528</v>
      </c>
      <c r="C174" s="20" t="s">
        <v>764</v>
      </c>
      <c r="D174" s="141">
        <v>2230000</v>
      </c>
      <c r="E174" s="20" t="s">
        <v>346</v>
      </c>
      <c r="F174" s="20" t="s">
        <v>196</v>
      </c>
      <c r="G174" s="8" t="str">
        <f t="shared" si="2"/>
        <v>SMITH MICHAEL</v>
      </c>
    </row>
    <row r="175" spans="1:7" x14ac:dyDescent="0.25">
      <c r="A175" s="8">
        <v>42873.713090277779</v>
      </c>
      <c r="B175" s="20" t="s">
        <v>415</v>
      </c>
      <c r="C175" s="20" t="s">
        <v>765</v>
      </c>
      <c r="D175" s="141">
        <v>930000</v>
      </c>
      <c r="E175" s="20" t="s">
        <v>439</v>
      </c>
      <c r="F175" s="20" t="s">
        <v>440</v>
      </c>
      <c r="G175" s="8" t="str">
        <f t="shared" si="2"/>
        <v>CLARK KATHLEEN</v>
      </c>
    </row>
    <row r="176" spans="1:7" x14ac:dyDescent="0.25">
      <c r="A176" s="8">
        <v>42873.713113425925</v>
      </c>
      <c r="B176" s="20" t="s">
        <v>469</v>
      </c>
      <c r="C176" s="20" t="s">
        <v>766</v>
      </c>
      <c r="D176" s="141">
        <v>3120000</v>
      </c>
      <c r="E176" s="20" t="s">
        <v>441</v>
      </c>
      <c r="F176" s="20" t="s">
        <v>442</v>
      </c>
      <c r="G176" s="8" t="str">
        <f t="shared" si="2"/>
        <v>THOMPSON LESTER</v>
      </c>
    </row>
    <row r="177" spans="1:7" x14ac:dyDescent="0.25">
      <c r="A177" s="8">
        <v>42873.716064814813</v>
      </c>
      <c r="B177" s="20" t="s">
        <v>454</v>
      </c>
      <c r="C177" s="20" t="s">
        <v>767</v>
      </c>
      <c r="D177" s="141">
        <v>1800000</v>
      </c>
      <c r="E177" s="20" t="s">
        <v>392</v>
      </c>
      <c r="F177" s="20" t="s">
        <v>393</v>
      </c>
      <c r="G177" s="8" t="str">
        <f t="shared" si="2"/>
        <v>CHANDLER KELVIN</v>
      </c>
    </row>
    <row r="178" spans="1:7" x14ac:dyDescent="0.25">
      <c r="A178" s="8">
        <v>42873.717685185184</v>
      </c>
      <c r="B178" s="20" t="s">
        <v>458</v>
      </c>
      <c r="C178" s="20" t="s">
        <v>768</v>
      </c>
      <c r="D178" s="141">
        <v>2480000</v>
      </c>
      <c r="E178" s="20" t="s">
        <v>723</v>
      </c>
      <c r="F178" s="20" t="s">
        <v>724</v>
      </c>
      <c r="G178" s="8" t="str">
        <f t="shared" si="2"/>
        <v>WHITED DUSTIN</v>
      </c>
    </row>
    <row r="179" spans="1:7" x14ac:dyDescent="0.25">
      <c r="A179" s="8">
        <v>42873.719166666669</v>
      </c>
      <c r="B179" s="20" t="s">
        <v>645</v>
      </c>
      <c r="C179" s="20" t="s">
        <v>769</v>
      </c>
      <c r="D179" s="141">
        <v>3030000</v>
      </c>
      <c r="E179" s="20" t="s">
        <v>396</v>
      </c>
      <c r="F179" s="20" t="s">
        <v>379</v>
      </c>
      <c r="G179" s="8" t="str">
        <f t="shared" si="2"/>
        <v>BIRENBAUM THOMAS</v>
      </c>
    </row>
    <row r="180" spans="1:7" x14ac:dyDescent="0.25">
      <c r="A180" s="8">
        <v>42873.723078703704</v>
      </c>
      <c r="B180" s="20" t="s">
        <v>519</v>
      </c>
      <c r="C180" s="20" t="s">
        <v>770</v>
      </c>
      <c r="D180" s="141">
        <v>2370000</v>
      </c>
      <c r="E180" s="20" t="s">
        <v>532</v>
      </c>
      <c r="F180" s="20" t="s">
        <v>533</v>
      </c>
      <c r="G180" s="8" t="str">
        <f t="shared" si="2"/>
        <v>DELGADO DIANAH</v>
      </c>
    </row>
    <row r="181" spans="1:7" x14ac:dyDescent="0.25">
      <c r="A181" s="8">
        <v>42873.72552083333</v>
      </c>
      <c r="B181" s="20" t="s">
        <v>457</v>
      </c>
      <c r="C181" s="20" t="s">
        <v>768</v>
      </c>
      <c r="D181" s="141">
        <v>2480000</v>
      </c>
      <c r="E181" s="20" t="s">
        <v>723</v>
      </c>
      <c r="F181" s="20" t="s">
        <v>724</v>
      </c>
      <c r="G181" s="8" t="str">
        <f t="shared" si="2"/>
        <v>WHITED DUSTIN</v>
      </c>
    </row>
    <row r="182" spans="1:7" x14ac:dyDescent="0.25">
      <c r="A182" s="8">
        <v>42873.726666666669</v>
      </c>
      <c r="B182" s="20" t="s">
        <v>434</v>
      </c>
      <c r="C182" s="20" t="s">
        <v>771</v>
      </c>
      <c r="D182" s="141">
        <v>2530000</v>
      </c>
      <c r="E182" s="20" t="s">
        <v>709</v>
      </c>
      <c r="F182" s="20" t="s">
        <v>710</v>
      </c>
      <c r="G182" s="8" t="str">
        <f t="shared" si="2"/>
        <v>LALONDE GREGORY</v>
      </c>
    </row>
    <row r="183" spans="1:7" x14ac:dyDescent="0.25">
      <c r="A183" s="8">
        <v>42873.727523148147</v>
      </c>
      <c r="B183" s="20" t="s">
        <v>468</v>
      </c>
      <c r="C183" s="20" t="s">
        <v>608</v>
      </c>
      <c r="D183" s="141">
        <v>3120000</v>
      </c>
      <c r="E183" s="20" t="s">
        <v>441</v>
      </c>
      <c r="F183" s="20" t="s">
        <v>442</v>
      </c>
      <c r="G183" s="8" t="str">
        <f t="shared" si="2"/>
        <v>THOMPSON LESTER</v>
      </c>
    </row>
    <row r="184" spans="1:7" x14ac:dyDescent="0.25">
      <c r="A184" s="8">
        <v>42873.729849537034</v>
      </c>
      <c r="B184" s="20" t="s">
        <v>383</v>
      </c>
      <c r="C184" s="20" t="s">
        <v>772</v>
      </c>
      <c r="D184" s="141">
        <v>2440000</v>
      </c>
      <c r="E184" s="20" t="s">
        <v>702</v>
      </c>
      <c r="F184" s="20" t="s">
        <v>703</v>
      </c>
      <c r="G184" s="8" t="str">
        <f t="shared" si="2"/>
        <v>LOPES KIMBERLY</v>
      </c>
    </row>
    <row r="185" spans="1:7" x14ac:dyDescent="0.25">
      <c r="A185" s="8">
        <v>42873.733703703707</v>
      </c>
      <c r="B185" s="20" t="s">
        <v>453</v>
      </c>
      <c r="C185" s="20" t="s">
        <v>773</v>
      </c>
      <c r="D185" s="141">
        <v>2970000</v>
      </c>
      <c r="E185" s="20" t="s">
        <v>394</v>
      </c>
      <c r="F185" s="20" t="s">
        <v>395</v>
      </c>
      <c r="G185" s="8" t="str">
        <f t="shared" si="2"/>
        <v>GUZMAN DANNY</v>
      </c>
    </row>
    <row r="186" spans="1:7" x14ac:dyDescent="0.25">
      <c r="A186" s="8">
        <v>42873.733877314815</v>
      </c>
      <c r="B186" s="20" t="s">
        <v>604</v>
      </c>
      <c r="C186" s="20" t="s">
        <v>774</v>
      </c>
      <c r="D186" s="141">
        <v>3030000</v>
      </c>
      <c r="E186" s="20" t="s">
        <v>396</v>
      </c>
      <c r="F186" s="20" t="s">
        <v>379</v>
      </c>
      <c r="G186" s="8" t="str">
        <f t="shared" si="2"/>
        <v>BIRENBAUM THOMAS</v>
      </c>
    </row>
    <row r="187" spans="1:7" x14ac:dyDescent="0.25">
      <c r="A187" s="8">
        <v>42873.734814814816</v>
      </c>
      <c r="B187" s="20" t="s">
        <v>458</v>
      </c>
      <c r="C187" s="20" t="s">
        <v>775</v>
      </c>
      <c r="D187" s="141">
        <v>2730000</v>
      </c>
      <c r="E187" s="20" t="s">
        <v>776</v>
      </c>
      <c r="F187" s="20" t="s">
        <v>777</v>
      </c>
      <c r="G187" s="8" t="str">
        <f t="shared" si="2"/>
        <v>YANG JAN</v>
      </c>
    </row>
    <row r="188" spans="1:7" x14ac:dyDescent="0.25">
      <c r="A188" s="8">
        <v>42873.735717592594</v>
      </c>
      <c r="B188" s="20" t="s">
        <v>523</v>
      </c>
      <c r="C188" s="20" t="s">
        <v>778</v>
      </c>
      <c r="D188" s="141">
        <v>3130000</v>
      </c>
      <c r="E188" s="20" t="s">
        <v>399</v>
      </c>
      <c r="F188" s="20" t="s">
        <v>400</v>
      </c>
      <c r="G188" s="8" t="str">
        <f t="shared" si="2"/>
        <v>ZEWDU DEREJE</v>
      </c>
    </row>
    <row r="189" spans="1:7" x14ac:dyDescent="0.25">
      <c r="A189" s="8">
        <v>42873.736770833333</v>
      </c>
      <c r="B189" s="20" t="s">
        <v>599</v>
      </c>
      <c r="C189" s="20" t="s">
        <v>768</v>
      </c>
      <c r="D189" s="141">
        <v>2480000</v>
      </c>
      <c r="E189" s="20" t="s">
        <v>723</v>
      </c>
      <c r="F189" s="20" t="s">
        <v>724</v>
      </c>
      <c r="G189" s="8" t="str">
        <f t="shared" si="2"/>
        <v>WHITED DUSTIN</v>
      </c>
    </row>
    <row r="190" spans="1:7" x14ac:dyDescent="0.25">
      <c r="A190" s="8">
        <v>42873.743217592593</v>
      </c>
      <c r="B190" s="20" t="s">
        <v>599</v>
      </c>
      <c r="C190" s="20" t="s">
        <v>768</v>
      </c>
      <c r="D190" s="141">
        <v>2480000</v>
      </c>
      <c r="E190" s="20" t="s">
        <v>723</v>
      </c>
      <c r="F190" s="20" t="s">
        <v>724</v>
      </c>
      <c r="G190" s="8" t="str">
        <f t="shared" si="2"/>
        <v>WHITED DUSTIN</v>
      </c>
    </row>
    <row r="191" spans="1:7" x14ac:dyDescent="0.25">
      <c r="A191" s="8">
        <v>42873.744780092595</v>
      </c>
      <c r="B191" s="20" t="s">
        <v>599</v>
      </c>
      <c r="C191" s="20" t="s">
        <v>768</v>
      </c>
      <c r="D191" s="141">
        <v>2480000</v>
      </c>
      <c r="E191" s="20" t="s">
        <v>723</v>
      </c>
      <c r="F191" s="20" t="s">
        <v>724</v>
      </c>
      <c r="G191" s="8" t="str">
        <f t="shared" si="2"/>
        <v>WHITED DUSTIN</v>
      </c>
    </row>
    <row r="192" spans="1:7" x14ac:dyDescent="0.25">
      <c r="A192" s="8">
        <v>42873.746851851851</v>
      </c>
      <c r="B192" s="20" t="s">
        <v>421</v>
      </c>
      <c r="C192" s="20" t="s">
        <v>779</v>
      </c>
      <c r="D192" s="141">
        <v>2040000</v>
      </c>
      <c r="E192" s="20" t="s">
        <v>716</v>
      </c>
      <c r="F192" s="20" t="s">
        <v>717</v>
      </c>
      <c r="G192" s="8" t="str">
        <f t="shared" si="2"/>
        <v>MOSES BRADLEY</v>
      </c>
    </row>
    <row r="193" spans="1:7" x14ac:dyDescent="0.25">
      <c r="A193" s="8">
        <v>42873.755254629628</v>
      </c>
      <c r="B193" s="20" t="s">
        <v>455</v>
      </c>
      <c r="C193" s="20" t="s">
        <v>780</v>
      </c>
      <c r="D193" s="141">
        <v>1800000</v>
      </c>
      <c r="E193" s="20" t="s">
        <v>392</v>
      </c>
      <c r="F193" s="20" t="s">
        <v>393</v>
      </c>
      <c r="G193" s="8" t="str">
        <f t="shared" si="2"/>
        <v>CHANDLER KELVIN</v>
      </c>
    </row>
    <row r="194" spans="1:7" x14ac:dyDescent="0.25">
      <c r="A194" s="8">
        <v>42873.755925925929</v>
      </c>
      <c r="B194" s="20" t="s">
        <v>516</v>
      </c>
      <c r="C194" s="20" t="s">
        <v>781</v>
      </c>
      <c r="D194" s="141">
        <v>2270000</v>
      </c>
      <c r="E194" s="20" t="s">
        <v>416</v>
      </c>
      <c r="F194" s="20" t="s">
        <v>417</v>
      </c>
      <c r="G194" s="8" t="str">
        <f t="shared" si="2"/>
        <v>BROWN JACOB</v>
      </c>
    </row>
    <row r="195" spans="1:7" x14ac:dyDescent="0.25">
      <c r="A195" s="8">
        <v>42873.756527777776</v>
      </c>
      <c r="B195" s="20" t="s">
        <v>469</v>
      </c>
      <c r="C195" s="20" t="s">
        <v>782</v>
      </c>
      <c r="D195" s="141">
        <v>3120000</v>
      </c>
      <c r="E195" s="20" t="s">
        <v>441</v>
      </c>
      <c r="F195" s="20" t="s">
        <v>442</v>
      </c>
      <c r="G195" s="8" t="str">
        <f t="shared" ref="G195:G258" si="3">E195&amp;" "&amp;F195</f>
        <v>THOMPSON LESTER</v>
      </c>
    </row>
    <row r="196" spans="1:7" x14ac:dyDescent="0.25">
      <c r="A196" s="8">
        <v>42873.756863425922</v>
      </c>
      <c r="B196" s="20" t="s">
        <v>645</v>
      </c>
      <c r="C196" s="20" t="s">
        <v>783</v>
      </c>
      <c r="D196" s="141">
        <v>3030000</v>
      </c>
      <c r="E196" s="20" t="s">
        <v>396</v>
      </c>
      <c r="F196" s="20" t="s">
        <v>379</v>
      </c>
      <c r="G196" s="8" t="str">
        <f t="shared" si="3"/>
        <v>BIRENBAUM THOMAS</v>
      </c>
    </row>
    <row r="197" spans="1:7" x14ac:dyDescent="0.25">
      <c r="A197" s="8">
        <v>42873.757789351854</v>
      </c>
      <c r="B197" s="20" t="s">
        <v>410</v>
      </c>
      <c r="C197" s="20" t="s">
        <v>784</v>
      </c>
      <c r="D197" s="141">
        <v>2370000</v>
      </c>
      <c r="E197" s="20" t="s">
        <v>532</v>
      </c>
      <c r="F197" s="20" t="s">
        <v>533</v>
      </c>
      <c r="G197" s="8" t="str">
        <f t="shared" si="3"/>
        <v>DELGADO DIANAH</v>
      </c>
    </row>
    <row r="198" spans="1:7" x14ac:dyDescent="0.25">
      <c r="A198" s="8">
        <v>42873.758240740739</v>
      </c>
      <c r="B198" s="20" t="s">
        <v>517</v>
      </c>
      <c r="C198" s="20" t="s">
        <v>785</v>
      </c>
      <c r="D198" s="141">
        <v>2530000</v>
      </c>
      <c r="E198" s="20" t="s">
        <v>709</v>
      </c>
      <c r="F198" s="20" t="s">
        <v>710</v>
      </c>
      <c r="G198" s="8" t="str">
        <f t="shared" si="3"/>
        <v>LALONDE GREGORY</v>
      </c>
    </row>
    <row r="199" spans="1:7" x14ac:dyDescent="0.25">
      <c r="A199" s="8">
        <v>42873.766064814816</v>
      </c>
      <c r="B199" s="20" t="s">
        <v>389</v>
      </c>
      <c r="C199" s="20" t="s">
        <v>786</v>
      </c>
      <c r="D199" s="141">
        <v>2150000</v>
      </c>
      <c r="E199" s="20" t="s">
        <v>411</v>
      </c>
      <c r="F199" s="20" t="s">
        <v>412</v>
      </c>
      <c r="G199" s="8" t="str">
        <f t="shared" si="3"/>
        <v>SWANSON BRYCE</v>
      </c>
    </row>
    <row r="200" spans="1:7" x14ac:dyDescent="0.25">
      <c r="A200" s="8">
        <v>42873.775694444441</v>
      </c>
      <c r="B200" s="20" t="s">
        <v>457</v>
      </c>
      <c r="C200" s="20" t="s">
        <v>610</v>
      </c>
      <c r="D200" s="141">
        <v>2730000</v>
      </c>
      <c r="E200" s="20" t="s">
        <v>776</v>
      </c>
      <c r="F200" s="20" t="s">
        <v>777</v>
      </c>
      <c r="G200" s="8" t="str">
        <f t="shared" si="3"/>
        <v>YANG JAN</v>
      </c>
    </row>
    <row r="201" spans="1:7" x14ac:dyDescent="0.25">
      <c r="A201" s="8">
        <v>42873.776539351849</v>
      </c>
      <c r="B201" s="20" t="s">
        <v>604</v>
      </c>
      <c r="C201" s="20" t="s">
        <v>787</v>
      </c>
      <c r="D201" s="141">
        <v>3030000</v>
      </c>
      <c r="E201" s="20" t="s">
        <v>396</v>
      </c>
      <c r="F201" s="20" t="s">
        <v>379</v>
      </c>
      <c r="G201" s="8" t="str">
        <f t="shared" si="3"/>
        <v>BIRENBAUM THOMAS</v>
      </c>
    </row>
    <row r="202" spans="1:7" x14ac:dyDescent="0.25">
      <c r="A202" s="26">
        <v>42873.776967592596</v>
      </c>
      <c r="B202" s="20" t="s">
        <v>528</v>
      </c>
      <c r="C202" s="20" t="s">
        <v>788</v>
      </c>
      <c r="D202" s="141">
        <v>3130000</v>
      </c>
      <c r="E202" s="20" t="s">
        <v>399</v>
      </c>
      <c r="F202" s="20" t="s">
        <v>400</v>
      </c>
      <c r="G202" s="8" t="str">
        <f t="shared" si="3"/>
        <v>ZEWDU DEREJE</v>
      </c>
    </row>
    <row r="203" spans="1:7" x14ac:dyDescent="0.25">
      <c r="A203" s="8">
        <v>42873.78392361111</v>
      </c>
      <c r="B203" s="20" t="s">
        <v>468</v>
      </c>
      <c r="C203" s="20" t="s">
        <v>609</v>
      </c>
      <c r="D203" s="141">
        <v>3120000</v>
      </c>
      <c r="E203" s="20" t="s">
        <v>441</v>
      </c>
      <c r="F203" s="20" t="s">
        <v>442</v>
      </c>
      <c r="G203" s="8" t="str">
        <f t="shared" si="3"/>
        <v>THOMPSON LESTER</v>
      </c>
    </row>
    <row r="204" spans="1:7" x14ac:dyDescent="0.25">
      <c r="A204" s="8">
        <v>42873.786076388889</v>
      </c>
      <c r="B204" s="20" t="s">
        <v>415</v>
      </c>
      <c r="C204" s="20" t="s">
        <v>789</v>
      </c>
      <c r="D204" s="141">
        <v>2040000</v>
      </c>
      <c r="E204" s="20" t="s">
        <v>716</v>
      </c>
      <c r="F204" s="20" t="s">
        <v>717</v>
      </c>
      <c r="G204" s="8" t="str">
        <f t="shared" si="3"/>
        <v>MOSES BRADLEY</v>
      </c>
    </row>
    <row r="205" spans="1:7" x14ac:dyDescent="0.25">
      <c r="A205" s="8">
        <v>42873.789594907408</v>
      </c>
      <c r="B205" s="20" t="s">
        <v>454</v>
      </c>
      <c r="C205" s="20" t="s">
        <v>790</v>
      </c>
      <c r="D205" s="141">
        <v>2970000</v>
      </c>
      <c r="E205" s="20" t="s">
        <v>394</v>
      </c>
      <c r="F205" s="20" t="s">
        <v>395</v>
      </c>
      <c r="G205" s="8" t="str">
        <f t="shared" si="3"/>
        <v>GUZMAN DANNY</v>
      </c>
    </row>
    <row r="206" spans="1:7" x14ac:dyDescent="0.25">
      <c r="A206" s="8">
        <v>42873.793900462966</v>
      </c>
      <c r="B206" s="20" t="s">
        <v>519</v>
      </c>
      <c r="C206" s="20" t="s">
        <v>791</v>
      </c>
      <c r="D206" s="141">
        <v>2270000</v>
      </c>
      <c r="E206" s="20" t="s">
        <v>416</v>
      </c>
      <c r="F206" s="20" t="s">
        <v>417</v>
      </c>
      <c r="G206" s="8" t="str">
        <f t="shared" si="3"/>
        <v>BROWN JACOB</v>
      </c>
    </row>
    <row r="207" spans="1:7" x14ac:dyDescent="0.25">
      <c r="A207" s="8">
        <v>42873.795891203707</v>
      </c>
      <c r="B207" s="20" t="s">
        <v>434</v>
      </c>
      <c r="C207" s="20" t="s">
        <v>792</v>
      </c>
      <c r="D207" s="141">
        <v>2530000</v>
      </c>
      <c r="E207" s="20" t="s">
        <v>709</v>
      </c>
      <c r="F207" s="20" t="s">
        <v>710</v>
      </c>
      <c r="G207" s="8" t="str">
        <f t="shared" si="3"/>
        <v>LALONDE GREGORY</v>
      </c>
    </row>
    <row r="208" spans="1:7" x14ac:dyDescent="0.25">
      <c r="A208" s="8">
        <v>42873.797500000001</v>
      </c>
      <c r="B208" s="20" t="s">
        <v>469</v>
      </c>
      <c r="C208" s="20" t="s">
        <v>793</v>
      </c>
      <c r="D208" s="141">
        <v>3120000</v>
      </c>
      <c r="E208" s="20" t="s">
        <v>441</v>
      </c>
      <c r="F208" s="20" t="s">
        <v>442</v>
      </c>
      <c r="G208" s="8" t="str">
        <f t="shared" si="3"/>
        <v>THOMPSON LESTER</v>
      </c>
    </row>
    <row r="209" spans="1:7" x14ac:dyDescent="0.25">
      <c r="A209" s="8">
        <v>42873.803229166668</v>
      </c>
      <c r="B209" s="20" t="s">
        <v>383</v>
      </c>
      <c r="C209" s="20" t="s">
        <v>794</v>
      </c>
      <c r="D209" s="141">
        <v>2150000</v>
      </c>
      <c r="E209" s="20" t="s">
        <v>411</v>
      </c>
      <c r="F209" s="20" t="s">
        <v>412</v>
      </c>
      <c r="G209" s="8" t="str">
        <f t="shared" si="3"/>
        <v>SWANSON BRYCE</v>
      </c>
    </row>
    <row r="210" spans="1:7" x14ac:dyDescent="0.25">
      <c r="A210" s="8">
        <v>42873.803657407407</v>
      </c>
      <c r="B210" s="20" t="s">
        <v>645</v>
      </c>
      <c r="C210" s="20" t="s">
        <v>795</v>
      </c>
      <c r="D210" s="141">
        <v>3030000</v>
      </c>
      <c r="E210" s="20" t="s">
        <v>396</v>
      </c>
      <c r="F210" s="20" t="s">
        <v>379</v>
      </c>
      <c r="G210" s="8" t="str">
        <f t="shared" si="3"/>
        <v>BIRENBAUM THOMAS</v>
      </c>
    </row>
    <row r="211" spans="1:7" x14ac:dyDescent="0.25">
      <c r="A211" s="8">
        <v>42873.810486111113</v>
      </c>
      <c r="B211" s="20" t="s">
        <v>458</v>
      </c>
      <c r="C211" s="20" t="s">
        <v>796</v>
      </c>
      <c r="D211" s="141">
        <v>2730000</v>
      </c>
      <c r="E211" s="20" t="s">
        <v>776</v>
      </c>
      <c r="F211" s="20" t="s">
        <v>777</v>
      </c>
      <c r="G211" s="8" t="str">
        <f t="shared" si="3"/>
        <v>YANG JAN</v>
      </c>
    </row>
    <row r="212" spans="1:7" x14ac:dyDescent="0.25">
      <c r="A212" s="8">
        <v>42873.814201388886</v>
      </c>
      <c r="B212" s="20" t="s">
        <v>518</v>
      </c>
      <c r="C212" s="20" t="s">
        <v>611</v>
      </c>
      <c r="D212" s="141">
        <v>2620000</v>
      </c>
      <c r="E212" s="20" t="s">
        <v>797</v>
      </c>
      <c r="F212" s="20" t="s">
        <v>798</v>
      </c>
      <c r="G212" s="8" t="str">
        <f t="shared" si="3"/>
        <v>PERKINS DARREN</v>
      </c>
    </row>
    <row r="213" spans="1:7" x14ac:dyDescent="0.25">
      <c r="A213" s="8">
        <v>42873.81722222222</v>
      </c>
      <c r="B213" s="20" t="s">
        <v>604</v>
      </c>
      <c r="C213" s="20" t="s">
        <v>799</v>
      </c>
      <c r="D213" s="141">
        <v>3030000</v>
      </c>
      <c r="E213" s="20" t="s">
        <v>396</v>
      </c>
      <c r="F213" s="20" t="s">
        <v>379</v>
      </c>
      <c r="G213" s="8" t="str">
        <f t="shared" si="3"/>
        <v>BIRENBAUM THOMAS</v>
      </c>
    </row>
    <row r="214" spans="1:7" x14ac:dyDescent="0.25">
      <c r="A214" s="8">
        <v>42873.818101851852</v>
      </c>
      <c r="B214" s="20" t="s">
        <v>529</v>
      </c>
      <c r="C214" s="20" t="s">
        <v>611</v>
      </c>
      <c r="D214" s="141">
        <v>2620000</v>
      </c>
      <c r="E214" s="20" t="s">
        <v>797</v>
      </c>
      <c r="F214" s="20" t="s">
        <v>798</v>
      </c>
      <c r="G214" s="8" t="str">
        <f t="shared" si="3"/>
        <v>PERKINS DARREN</v>
      </c>
    </row>
    <row r="215" spans="1:7" x14ac:dyDescent="0.25">
      <c r="A215" s="8">
        <v>42873.818912037037</v>
      </c>
      <c r="B215" s="20" t="s">
        <v>421</v>
      </c>
      <c r="C215" s="20" t="s">
        <v>800</v>
      </c>
      <c r="D215" s="141">
        <v>2040000</v>
      </c>
      <c r="E215" s="20" t="s">
        <v>716</v>
      </c>
      <c r="F215" s="20" t="s">
        <v>717</v>
      </c>
      <c r="G215" s="8" t="str">
        <f t="shared" si="3"/>
        <v>MOSES BRADLEY</v>
      </c>
    </row>
    <row r="216" spans="1:7" x14ac:dyDescent="0.25">
      <c r="A216" s="8">
        <v>42873.818981481483</v>
      </c>
      <c r="B216" s="20" t="s">
        <v>801</v>
      </c>
      <c r="C216" s="20" t="s">
        <v>802</v>
      </c>
      <c r="D216" s="141">
        <v>3040000</v>
      </c>
      <c r="E216" s="20" t="s">
        <v>397</v>
      </c>
      <c r="F216" s="20" t="s">
        <v>398</v>
      </c>
      <c r="G216" s="8" t="str">
        <f t="shared" si="3"/>
        <v>WILLIAMS DONTE</v>
      </c>
    </row>
    <row r="217" spans="1:7" x14ac:dyDescent="0.25">
      <c r="A217" s="8">
        <v>42873.820023148146</v>
      </c>
      <c r="B217" s="20" t="s">
        <v>455</v>
      </c>
      <c r="C217" s="20" t="s">
        <v>803</v>
      </c>
      <c r="D217" s="141">
        <v>2970000</v>
      </c>
      <c r="E217" s="20" t="s">
        <v>394</v>
      </c>
      <c r="F217" s="20" t="s">
        <v>395</v>
      </c>
      <c r="G217" s="8" t="str">
        <f t="shared" si="3"/>
        <v>GUZMAN DANNY</v>
      </c>
    </row>
    <row r="218" spans="1:7" x14ac:dyDescent="0.25">
      <c r="A218" s="8">
        <v>42873.831516203703</v>
      </c>
      <c r="B218" s="20" t="s">
        <v>516</v>
      </c>
      <c r="C218" s="20" t="s">
        <v>804</v>
      </c>
      <c r="D218" s="141">
        <v>2270000</v>
      </c>
      <c r="E218" s="20" t="s">
        <v>416</v>
      </c>
      <c r="F218" s="20" t="s">
        <v>417</v>
      </c>
      <c r="G218" s="8" t="str">
        <f t="shared" si="3"/>
        <v>BROWN JACOB</v>
      </c>
    </row>
    <row r="219" spans="1:7" x14ac:dyDescent="0.25">
      <c r="A219" s="8">
        <v>42873.838229166664</v>
      </c>
      <c r="B219" s="20" t="s">
        <v>616</v>
      </c>
      <c r="C219" s="20" t="s">
        <v>617</v>
      </c>
      <c r="D219" s="141">
        <v>3040000</v>
      </c>
      <c r="E219" s="20" t="s">
        <v>397</v>
      </c>
      <c r="F219" s="20" t="s">
        <v>398</v>
      </c>
      <c r="G219" s="8" t="str">
        <f t="shared" si="3"/>
        <v>WILLIAMS DONTE</v>
      </c>
    </row>
    <row r="220" spans="1:7" x14ac:dyDescent="0.25">
      <c r="A220" s="8">
        <v>42873.839560185188</v>
      </c>
      <c r="B220" s="20" t="s">
        <v>389</v>
      </c>
      <c r="C220" s="20" t="s">
        <v>805</v>
      </c>
      <c r="D220" s="141">
        <v>2150000</v>
      </c>
      <c r="E220" s="20" t="s">
        <v>411</v>
      </c>
      <c r="F220" s="20" t="s">
        <v>412</v>
      </c>
      <c r="G220" s="8" t="str">
        <f t="shared" si="3"/>
        <v>SWANSON BRYCE</v>
      </c>
    </row>
    <row r="221" spans="1:7" x14ac:dyDescent="0.25">
      <c r="A221" s="8">
        <v>42873.845381944448</v>
      </c>
      <c r="B221" s="20" t="s">
        <v>645</v>
      </c>
      <c r="C221" s="20" t="s">
        <v>806</v>
      </c>
      <c r="D221" s="141">
        <v>3030000</v>
      </c>
      <c r="E221" s="20" t="s">
        <v>396</v>
      </c>
      <c r="F221" s="20" t="s">
        <v>379</v>
      </c>
      <c r="G221" s="8" t="str">
        <f t="shared" si="3"/>
        <v>BIRENBAUM THOMAS</v>
      </c>
    </row>
    <row r="222" spans="1:7" x14ac:dyDescent="0.25">
      <c r="A222" s="8">
        <v>42873.847743055558</v>
      </c>
      <c r="B222" s="20" t="s">
        <v>457</v>
      </c>
      <c r="C222" s="20" t="s">
        <v>807</v>
      </c>
      <c r="D222" s="141">
        <v>2730000</v>
      </c>
      <c r="E222" s="20" t="s">
        <v>776</v>
      </c>
      <c r="F222" s="20" t="s">
        <v>777</v>
      </c>
      <c r="G222" s="8" t="str">
        <f t="shared" si="3"/>
        <v>YANG JAN</v>
      </c>
    </row>
    <row r="223" spans="1:7" x14ac:dyDescent="0.25">
      <c r="A223" s="8">
        <v>42873.859490740739</v>
      </c>
      <c r="B223" s="20" t="s">
        <v>604</v>
      </c>
      <c r="C223" s="20" t="s">
        <v>808</v>
      </c>
      <c r="D223" s="141">
        <v>3030000</v>
      </c>
      <c r="E223" s="20" t="s">
        <v>396</v>
      </c>
      <c r="F223" s="20" t="s">
        <v>379</v>
      </c>
      <c r="G223" s="8" t="str">
        <f t="shared" si="3"/>
        <v>BIRENBAUM THOMAS</v>
      </c>
    </row>
    <row r="224" spans="1:7" x14ac:dyDescent="0.25">
      <c r="A224" s="8">
        <v>42873.869398148148</v>
      </c>
      <c r="B224" t="s">
        <v>519</v>
      </c>
      <c r="C224" t="s">
        <v>809</v>
      </c>
      <c r="D224" s="141">
        <v>2270000</v>
      </c>
      <c r="E224" t="s">
        <v>416</v>
      </c>
      <c r="F224" s="20" t="s">
        <v>417</v>
      </c>
      <c r="G224" s="8" t="str">
        <f t="shared" si="3"/>
        <v>BROWN JACOB</v>
      </c>
    </row>
    <row r="225" spans="1:7" x14ac:dyDescent="0.25">
      <c r="A225" s="8">
        <v>42873.873194444444</v>
      </c>
      <c r="B225" t="s">
        <v>454</v>
      </c>
      <c r="C225" t="s">
        <v>810</v>
      </c>
      <c r="D225" s="141">
        <v>1800000</v>
      </c>
      <c r="E225" t="s">
        <v>392</v>
      </c>
      <c r="F225" s="20" t="s">
        <v>393</v>
      </c>
      <c r="G225" s="8" t="str">
        <f t="shared" si="3"/>
        <v>CHANDLER KELVIN</v>
      </c>
    </row>
    <row r="226" spans="1:7" x14ac:dyDescent="0.25">
      <c r="A226" s="8">
        <v>42873.87604166667</v>
      </c>
      <c r="B226" t="s">
        <v>645</v>
      </c>
      <c r="C226" t="s">
        <v>811</v>
      </c>
      <c r="D226" s="141">
        <v>3120000</v>
      </c>
      <c r="E226" t="s">
        <v>441</v>
      </c>
      <c r="F226" s="20" t="s">
        <v>442</v>
      </c>
      <c r="G226" s="8" t="str">
        <f t="shared" si="3"/>
        <v>THOMPSON LESTER</v>
      </c>
    </row>
    <row r="227" spans="1:7" x14ac:dyDescent="0.25">
      <c r="A227" s="8">
        <v>42873.881493055553</v>
      </c>
      <c r="B227" t="s">
        <v>616</v>
      </c>
      <c r="C227" t="s">
        <v>617</v>
      </c>
      <c r="D227" s="141">
        <v>3040000</v>
      </c>
      <c r="E227" t="s">
        <v>397</v>
      </c>
      <c r="F227" s="20" t="s">
        <v>398</v>
      </c>
      <c r="G227" s="8" t="str">
        <f t="shared" si="3"/>
        <v>WILLIAMS DONTE</v>
      </c>
    </row>
    <row r="228" spans="1:7" x14ac:dyDescent="0.25">
      <c r="A228" s="8">
        <v>42873.883553240739</v>
      </c>
      <c r="B228" t="s">
        <v>383</v>
      </c>
      <c r="C228" t="s">
        <v>812</v>
      </c>
      <c r="D228" s="141">
        <v>2150000</v>
      </c>
      <c r="E228" t="s">
        <v>411</v>
      </c>
      <c r="F228" s="20" t="s">
        <v>412</v>
      </c>
      <c r="G228" s="8" t="str">
        <f t="shared" si="3"/>
        <v>SWANSON BRYCE</v>
      </c>
    </row>
    <row r="229" spans="1:7" x14ac:dyDescent="0.25">
      <c r="A229" s="8">
        <v>42873.884016203701</v>
      </c>
      <c r="B229" t="s">
        <v>458</v>
      </c>
      <c r="C229" t="s">
        <v>813</v>
      </c>
      <c r="D229" s="141">
        <v>3000000</v>
      </c>
      <c r="E229" t="s">
        <v>413</v>
      </c>
      <c r="F229" s="20" t="s">
        <v>414</v>
      </c>
      <c r="G229" s="8" t="str">
        <f t="shared" si="3"/>
        <v>FORTUNATO FRANK</v>
      </c>
    </row>
    <row r="230" spans="1:7" x14ac:dyDescent="0.25">
      <c r="A230" s="8">
        <v>42873.889456018522</v>
      </c>
      <c r="B230" t="s">
        <v>645</v>
      </c>
      <c r="C230" t="s">
        <v>811</v>
      </c>
      <c r="D230" s="141">
        <v>3120000</v>
      </c>
      <c r="E230" t="s">
        <v>441</v>
      </c>
      <c r="F230" s="20" t="s">
        <v>442</v>
      </c>
      <c r="G230" s="8" t="str">
        <f t="shared" si="3"/>
        <v>THOMPSON LESTER</v>
      </c>
    </row>
    <row r="231" spans="1:7" x14ac:dyDescent="0.25">
      <c r="A231" s="8">
        <v>42873.903148148151</v>
      </c>
      <c r="B231" t="s">
        <v>604</v>
      </c>
      <c r="C231" t="s">
        <v>612</v>
      </c>
      <c r="D231" s="141">
        <v>3120000</v>
      </c>
      <c r="E231" t="s">
        <v>441</v>
      </c>
      <c r="F231" s="20" t="s">
        <v>442</v>
      </c>
      <c r="G231" s="8" t="str">
        <f t="shared" si="3"/>
        <v>THOMPSON LESTER</v>
      </c>
    </row>
    <row r="232" spans="1:7" x14ac:dyDescent="0.25">
      <c r="A232" s="8">
        <v>42873.91333333333</v>
      </c>
      <c r="B232" t="s">
        <v>455</v>
      </c>
      <c r="C232" t="s">
        <v>814</v>
      </c>
      <c r="D232" s="141">
        <v>1800000</v>
      </c>
      <c r="E232" t="s">
        <v>392</v>
      </c>
      <c r="F232" s="20" t="s">
        <v>393</v>
      </c>
      <c r="G232" s="8" t="str">
        <f t="shared" si="3"/>
        <v>CHANDLER KELVIN</v>
      </c>
    </row>
    <row r="233" spans="1:7" x14ac:dyDescent="0.25">
      <c r="A233" s="8">
        <v>42873.913460648146</v>
      </c>
      <c r="B233" t="s">
        <v>516</v>
      </c>
      <c r="C233" t="s">
        <v>815</v>
      </c>
      <c r="D233" s="141">
        <v>2270000</v>
      </c>
      <c r="E233" t="s">
        <v>416</v>
      </c>
      <c r="F233" s="20" t="s">
        <v>417</v>
      </c>
      <c r="G233" s="8" t="str">
        <f t="shared" si="3"/>
        <v>BROWN JACOB</v>
      </c>
    </row>
    <row r="234" spans="1:7" x14ac:dyDescent="0.25">
      <c r="A234" s="8">
        <v>42873.924328703702</v>
      </c>
      <c r="B234" t="s">
        <v>389</v>
      </c>
      <c r="C234" t="s">
        <v>614</v>
      </c>
      <c r="D234" s="141">
        <v>2150000</v>
      </c>
      <c r="E234" t="s">
        <v>411</v>
      </c>
      <c r="F234" s="20" t="s">
        <v>412</v>
      </c>
      <c r="G234" s="8" t="str">
        <f t="shared" si="3"/>
        <v>SWANSON BRYCE</v>
      </c>
    </row>
    <row r="235" spans="1:7" x14ac:dyDescent="0.25">
      <c r="A235" s="8">
        <v>42873.926770833335</v>
      </c>
      <c r="B235" t="s">
        <v>457</v>
      </c>
      <c r="C235" t="s">
        <v>613</v>
      </c>
      <c r="D235" s="141">
        <v>3000000</v>
      </c>
      <c r="E235" t="s">
        <v>413</v>
      </c>
      <c r="F235" s="20" t="s">
        <v>414</v>
      </c>
      <c r="G235" s="8" t="str">
        <f t="shared" si="3"/>
        <v>FORTUNATO FRANK</v>
      </c>
    </row>
    <row r="236" spans="1:7" x14ac:dyDescent="0.25">
      <c r="A236" s="8">
        <v>42873.930717592593</v>
      </c>
      <c r="B236" t="s">
        <v>645</v>
      </c>
      <c r="C236" t="s">
        <v>816</v>
      </c>
      <c r="D236" s="141">
        <v>3120000</v>
      </c>
      <c r="E236" t="s">
        <v>441</v>
      </c>
      <c r="F236" s="20" t="s">
        <v>442</v>
      </c>
      <c r="G236" s="8" t="str">
        <f t="shared" si="3"/>
        <v>THOMPSON LESTER</v>
      </c>
    </row>
    <row r="237" spans="1:7" x14ac:dyDescent="0.25">
      <c r="A237" s="8">
        <v>42873.943333333336</v>
      </c>
      <c r="B237" t="s">
        <v>604</v>
      </c>
      <c r="C237" t="s">
        <v>817</v>
      </c>
      <c r="D237" s="141">
        <v>3120000</v>
      </c>
      <c r="E237" t="s">
        <v>441</v>
      </c>
      <c r="F237" s="20" t="s">
        <v>442</v>
      </c>
      <c r="G237" s="8" t="str">
        <f t="shared" si="3"/>
        <v>THOMPSON LESTER</v>
      </c>
    </row>
    <row r="238" spans="1:7" x14ac:dyDescent="0.25">
      <c r="A238" s="8">
        <v>42873.944571759261</v>
      </c>
      <c r="B238" t="s">
        <v>519</v>
      </c>
      <c r="C238" t="s">
        <v>818</v>
      </c>
      <c r="D238" s="141">
        <v>2270000</v>
      </c>
      <c r="E238" t="s">
        <v>416</v>
      </c>
      <c r="F238" s="20" t="s">
        <v>417</v>
      </c>
      <c r="G238" s="8" t="str">
        <f t="shared" si="3"/>
        <v>BROWN JACOB</v>
      </c>
    </row>
    <row r="239" spans="1:7" x14ac:dyDescent="0.25">
      <c r="A239" s="8">
        <v>42873.950300925928</v>
      </c>
      <c r="B239" t="s">
        <v>645</v>
      </c>
      <c r="C239" t="s">
        <v>817</v>
      </c>
      <c r="D239" s="141">
        <v>3120000</v>
      </c>
      <c r="E239" t="s">
        <v>441</v>
      </c>
      <c r="F239" s="20" t="s">
        <v>442</v>
      </c>
      <c r="G239" s="8" t="str">
        <f t="shared" si="3"/>
        <v>THOMPSON LESTER</v>
      </c>
    </row>
    <row r="240" spans="1:7" x14ac:dyDescent="0.25">
      <c r="A240" s="8">
        <v>42873.953263888892</v>
      </c>
      <c r="B240" t="s">
        <v>519</v>
      </c>
      <c r="C240" t="s">
        <v>818</v>
      </c>
      <c r="D240" s="141">
        <v>2270000</v>
      </c>
      <c r="E240" t="s">
        <v>416</v>
      </c>
      <c r="F240" s="20" t="s">
        <v>417</v>
      </c>
      <c r="G240" s="8" t="str">
        <f t="shared" si="3"/>
        <v>BROWN JACOB</v>
      </c>
    </row>
    <row r="241" spans="1:7" x14ac:dyDescent="0.25">
      <c r="A241" s="8">
        <v>42873.954398148147</v>
      </c>
      <c r="B241" t="s">
        <v>454</v>
      </c>
      <c r="C241" t="s">
        <v>819</v>
      </c>
      <c r="D241" s="141">
        <v>1800000</v>
      </c>
      <c r="E241" t="s">
        <v>392</v>
      </c>
      <c r="F241" s="20" t="s">
        <v>393</v>
      </c>
      <c r="G241" s="8" t="str">
        <f t="shared" si="3"/>
        <v>CHANDLER KELVIN</v>
      </c>
    </row>
    <row r="242" spans="1:7" x14ac:dyDescent="0.25">
      <c r="A242" s="8">
        <v>42873.964791666665</v>
      </c>
      <c r="B242" t="s">
        <v>383</v>
      </c>
      <c r="C242" t="s">
        <v>820</v>
      </c>
      <c r="D242" s="141">
        <v>2150000</v>
      </c>
      <c r="E242" t="s">
        <v>411</v>
      </c>
      <c r="F242" s="20" t="s">
        <v>412</v>
      </c>
      <c r="G242" s="8" t="str">
        <f t="shared" si="3"/>
        <v>SWANSON BRYCE</v>
      </c>
    </row>
    <row r="243" spans="1:7" x14ac:dyDescent="0.25">
      <c r="A243" s="8">
        <v>42873.972928240742</v>
      </c>
      <c r="B243" t="s">
        <v>458</v>
      </c>
      <c r="C243" t="s">
        <v>821</v>
      </c>
      <c r="D243" s="141">
        <v>2730000</v>
      </c>
      <c r="E243" t="s">
        <v>776</v>
      </c>
      <c r="F243" s="20" t="s">
        <v>777</v>
      </c>
      <c r="G243" s="8" t="str">
        <f t="shared" si="3"/>
        <v>YANG JAN</v>
      </c>
    </row>
    <row r="244" spans="1:7" x14ac:dyDescent="0.25">
      <c r="A244" s="8">
        <v>42873.992025462961</v>
      </c>
      <c r="B244" t="s">
        <v>516</v>
      </c>
      <c r="C244" t="s">
        <v>615</v>
      </c>
      <c r="D244" s="141">
        <v>2270000</v>
      </c>
      <c r="E244" t="s">
        <v>416</v>
      </c>
      <c r="F244" s="20" t="s">
        <v>417</v>
      </c>
      <c r="G244" s="8" t="str">
        <f t="shared" si="3"/>
        <v>BROWN JACOB</v>
      </c>
    </row>
    <row r="245" spans="1:7" x14ac:dyDescent="0.25">
      <c r="A245" s="8">
        <v>42873.992789351854</v>
      </c>
      <c r="B245" t="s">
        <v>455</v>
      </c>
      <c r="C245" t="s">
        <v>618</v>
      </c>
      <c r="D245" s="141">
        <v>1800000</v>
      </c>
      <c r="E245" t="s">
        <v>392</v>
      </c>
      <c r="F245" s="20" t="s">
        <v>393</v>
      </c>
      <c r="G245" s="8" t="str">
        <f t="shared" si="3"/>
        <v>CHANDLER KELVIN</v>
      </c>
    </row>
    <row r="246" spans="1:7" x14ac:dyDescent="0.25">
      <c r="A246" s="8">
        <v>42874.006307870368</v>
      </c>
      <c r="B246" t="s">
        <v>389</v>
      </c>
      <c r="C246" t="s">
        <v>822</v>
      </c>
      <c r="D246" s="141">
        <v>2150000</v>
      </c>
      <c r="E246" t="s">
        <v>411</v>
      </c>
      <c r="F246" s="20" t="s">
        <v>412</v>
      </c>
      <c r="G246" s="8" t="str">
        <f t="shared" si="3"/>
        <v>SWANSON BRYCE</v>
      </c>
    </row>
    <row r="247" spans="1:7" x14ac:dyDescent="0.25">
      <c r="A247" s="8">
        <v>42874.013333333336</v>
      </c>
      <c r="B247" t="s">
        <v>457</v>
      </c>
      <c r="C247" t="s">
        <v>823</v>
      </c>
      <c r="D247" s="141">
        <v>2730000</v>
      </c>
      <c r="E247" t="s">
        <v>776</v>
      </c>
      <c r="F247" s="20" t="s">
        <v>777</v>
      </c>
      <c r="G247" s="8" t="str">
        <f t="shared" si="3"/>
        <v>YANG JAN</v>
      </c>
    </row>
    <row r="248" spans="1:7" x14ac:dyDescent="0.25">
      <c r="A248" s="8">
        <v>42874.026747685188</v>
      </c>
      <c r="B248" t="s">
        <v>801</v>
      </c>
      <c r="C248" t="s">
        <v>824</v>
      </c>
      <c r="D248" s="141">
        <v>3040000</v>
      </c>
      <c r="E248" t="s">
        <v>397</v>
      </c>
      <c r="F248" s="20" t="s">
        <v>398</v>
      </c>
      <c r="G248" s="8" t="str">
        <f t="shared" si="3"/>
        <v>WILLIAMS DONTE</v>
      </c>
    </row>
    <row r="249" spans="1:7" x14ac:dyDescent="0.25">
      <c r="A249" s="8">
        <v>42874.028668981482</v>
      </c>
      <c r="B249" t="s">
        <v>454</v>
      </c>
      <c r="C249" t="s">
        <v>825</v>
      </c>
      <c r="D249" s="141">
        <v>1800000</v>
      </c>
      <c r="E249" t="s">
        <v>392</v>
      </c>
      <c r="F249" s="20" t="s">
        <v>393</v>
      </c>
      <c r="G249" s="8" t="str">
        <f t="shared" si="3"/>
        <v>CHANDLER KELVIN</v>
      </c>
    </row>
    <row r="250" spans="1:7" x14ac:dyDescent="0.25">
      <c r="A250" s="8">
        <v>42874.034699074073</v>
      </c>
      <c r="B250" t="s">
        <v>519</v>
      </c>
      <c r="C250" t="s">
        <v>826</v>
      </c>
      <c r="D250" s="141">
        <v>2270000</v>
      </c>
      <c r="E250" t="s">
        <v>416</v>
      </c>
      <c r="F250" s="20" t="s">
        <v>417</v>
      </c>
      <c r="G250" s="8" t="str">
        <f t="shared" si="3"/>
        <v>BROWN JACOB</v>
      </c>
    </row>
    <row r="251" spans="1:7" x14ac:dyDescent="0.25">
      <c r="A251" s="8">
        <v>42874.048750000002</v>
      </c>
      <c r="B251" t="s">
        <v>458</v>
      </c>
      <c r="C251" t="s">
        <v>827</v>
      </c>
      <c r="D251" s="141">
        <v>2730000</v>
      </c>
      <c r="E251" t="s">
        <v>776</v>
      </c>
      <c r="F251" s="20" t="s">
        <v>777</v>
      </c>
      <c r="G251" s="8" t="str">
        <f t="shared" si="3"/>
        <v>YANG JAN</v>
      </c>
    </row>
    <row r="252" spans="1:7" x14ac:dyDescent="0.25">
      <c r="A252" s="8">
        <v>42874.057627314818</v>
      </c>
      <c r="B252" t="s">
        <v>383</v>
      </c>
      <c r="C252" t="s">
        <v>828</v>
      </c>
      <c r="D252" s="141">
        <v>2150000</v>
      </c>
      <c r="E252" t="s">
        <v>411</v>
      </c>
      <c r="F252" s="20" t="s">
        <v>412</v>
      </c>
      <c r="G252" s="8" t="str">
        <f t="shared" si="3"/>
        <v>SWANSON BRYCE</v>
      </c>
    </row>
    <row r="253" spans="1:7" x14ac:dyDescent="0.25">
      <c r="A253" s="8">
        <v>42874.060324074075</v>
      </c>
      <c r="B253" t="s">
        <v>801</v>
      </c>
      <c r="C253" t="s">
        <v>824</v>
      </c>
      <c r="D253" s="141">
        <v>3040000</v>
      </c>
      <c r="E253" t="s">
        <v>397</v>
      </c>
      <c r="F253" s="20" t="s">
        <v>398</v>
      </c>
      <c r="G253" s="8" t="str">
        <f t="shared" si="3"/>
        <v>WILLIAMS DONTE</v>
      </c>
    </row>
    <row r="254" spans="1:7" x14ac:dyDescent="0.25">
      <c r="A254" s="8">
        <v>42874.068240740744</v>
      </c>
      <c r="B254" t="s">
        <v>616</v>
      </c>
      <c r="C254" t="s">
        <v>829</v>
      </c>
      <c r="D254" s="141">
        <v>3040000</v>
      </c>
      <c r="E254" t="s">
        <v>397</v>
      </c>
      <c r="F254" s="20" t="s">
        <v>398</v>
      </c>
      <c r="G254" s="8" t="str">
        <f t="shared" si="3"/>
        <v>WILLIAMS DONTE</v>
      </c>
    </row>
    <row r="255" spans="1:7" x14ac:dyDescent="0.25">
      <c r="A255" s="8">
        <v>42874.069108796299</v>
      </c>
      <c r="B255" t="s">
        <v>516</v>
      </c>
      <c r="C255" t="s">
        <v>830</v>
      </c>
      <c r="D255" s="141">
        <v>2270000</v>
      </c>
      <c r="E255" t="s">
        <v>416</v>
      </c>
      <c r="F255" s="20" t="s">
        <v>417</v>
      </c>
      <c r="G255" s="8" t="str">
        <f t="shared" si="3"/>
        <v>BROWN JACOB</v>
      </c>
    </row>
    <row r="256" spans="1:7" x14ac:dyDescent="0.25">
      <c r="A256" s="8">
        <v>42874.109375</v>
      </c>
      <c r="B256" t="s">
        <v>389</v>
      </c>
      <c r="C256" t="s">
        <v>831</v>
      </c>
      <c r="D256" s="141">
        <v>1090000</v>
      </c>
      <c r="E256" t="s">
        <v>438</v>
      </c>
      <c r="F256" s="20" t="s">
        <v>196</v>
      </c>
      <c r="G256" s="8" t="str">
        <f t="shared" si="3"/>
        <v>SPECTOR MICHAEL</v>
      </c>
    </row>
    <row r="257" spans="1:7" x14ac:dyDescent="0.25">
      <c r="A257" s="8">
        <v>42871.949490740742</v>
      </c>
      <c r="B257" t="s">
        <v>456</v>
      </c>
      <c r="C257" t="s">
        <v>474</v>
      </c>
      <c r="D257" s="141">
        <v>2150000</v>
      </c>
      <c r="E257" t="s">
        <v>411</v>
      </c>
      <c r="F257" s="20" t="s">
        <v>412</v>
      </c>
      <c r="G257" s="8" t="str">
        <f t="shared" si="3"/>
        <v>SWANSON BRYCE</v>
      </c>
    </row>
    <row r="258" spans="1:7" x14ac:dyDescent="0.25">
      <c r="A258" s="8">
        <v>42871.953217592592</v>
      </c>
      <c r="B258" t="s">
        <v>455</v>
      </c>
      <c r="C258" t="s">
        <v>475</v>
      </c>
      <c r="D258" s="141">
        <v>3030000</v>
      </c>
      <c r="E258" t="s">
        <v>396</v>
      </c>
      <c r="F258" s="20" t="s">
        <v>379</v>
      </c>
      <c r="G258" s="8" t="str">
        <f t="shared" si="3"/>
        <v>BIRENBAUM THOMAS</v>
      </c>
    </row>
    <row r="259" spans="1:7" x14ac:dyDescent="0.25">
      <c r="A259" s="8">
        <v>42871.953240740739</v>
      </c>
      <c r="B259" t="s">
        <v>421</v>
      </c>
      <c r="C259" t="s">
        <v>476</v>
      </c>
      <c r="D259" s="141">
        <v>1800000</v>
      </c>
      <c r="E259" t="s">
        <v>392</v>
      </c>
      <c r="F259" s="20" t="s">
        <v>393</v>
      </c>
      <c r="G259" s="8" t="str">
        <f t="shared" ref="G259:G322" si="4">E259&amp;" "&amp;F259</f>
        <v>CHANDLER KELVIN</v>
      </c>
    </row>
    <row r="260" spans="1:7" x14ac:dyDescent="0.25">
      <c r="A260" s="8">
        <v>42871.953981481478</v>
      </c>
      <c r="B260" t="s">
        <v>435</v>
      </c>
      <c r="C260" t="s">
        <v>473</v>
      </c>
      <c r="D260" s="141">
        <v>3010000</v>
      </c>
      <c r="E260" t="s">
        <v>418</v>
      </c>
      <c r="F260" s="20" t="s">
        <v>419</v>
      </c>
      <c r="G260" s="8" t="str">
        <f t="shared" si="4"/>
        <v>SULLIVAN BRANDON</v>
      </c>
    </row>
    <row r="261" spans="1:7" x14ac:dyDescent="0.25">
      <c r="A261" s="8">
        <v>42871.962569444448</v>
      </c>
      <c r="B261" t="s">
        <v>459</v>
      </c>
      <c r="C261" t="s">
        <v>472</v>
      </c>
      <c r="D261" s="141">
        <v>2970000</v>
      </c>
      <c r="E261" t="s">
        <v>394</v>
      </c>
      <c r="F261" s="20" t="s">
        <v>395</v>
      </c>
      <c r="G261" s="8" t="str">
        <f t="shared" si="4"/>
        <v>GUZMAN DANNY</v>
      </c>
    </row>
    <row r="262" spans="1:7" x14ac:dyDescent="0.25">
      <c r="A262" s="8">
        <v>42871.964386574073</v>
      </c>
      <c r="B262" t="s">
        <v>459</v>
      </c>
      <c r="C262" t="s">
        <v>460</v>
      </c>
      <c r="D262" s="141">
        <v>2970000</v>
      </c>
      <c r="E262" t="s">
        <v>394</v>
      </c>
      <c r="F262" s="20" t="s">
        <v>395</v>
      </c>
      <c r="G262" s="8" t="str">
        <f t="shared" si="4"/>
        <v>GUZMAN DANNY</v>
      </c>
    </row>
    <row r="263" spans="1:7" x14ac:dyDescent="0.25">
      <c r="A263" s="8">
        <v>42871.96947916667</v>
      </c>
      <c r="B263" t="s">
        <v>344</v>
      </c>
      <c r="C263" t="s">
        <v>477</v>
      </c>
      <c r="D263" s="141">
        <v>3090000</v>
      </c>
      <c r="E263" t="s">
        <v>390</v>
      </c>
      <c r="F263" s="20" t="s">
        <v>391</v>
      </c>
      <c r="G263" s="8" t="str">
        <f t="shared" si="4"/>
        <v>LAMAR NEKESHA</v>
      </c>
    </row>
    <row r="264" spans="1:7" x14ac:dyDescent="0.25">
      <c r="A264" s="8">
        <v>42871.973587962966</v>
      </c>
      <c r="B264" t="s">
        <v>433</v>
      </c>
      <c r="C264" t="s">
        <v>470</v>
      </c>
      <c r="D264" s="141">
        <v>3010000</v>
      </c>
      <c r="E264" t="s">
        <v>418</v>
      </c>
      <c r="F264" s="20" t="s">
        <v>419</v>
      </c>
      <c r="G264" s="8" t="str">
        <f t="shared" si="4"/>
        <v>SULLIVAN BRANDON</v>
      </c>
    </row>
    <row r="265" spans="1:7" x14ac:dyDescent="0.25">
      <c r="A265" s="8">
        <v>42871.975798611114</v>
      </c>
      <c r="B265" t="s">
        <v>458</v>
      </c>
      <c r="C265" t="s">
        <v>478</v>
      </c>
      <c r="D265" s="141">
        <v>1810000</v>
      </c>
      <c r="E265" t="s">
        <v>380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42871.992731481485</v>
      </c>
      <c r="B266" t="s">
        <v>471</v>
      </c>
      <c r="C266" t="s">
        <v>472</v>
      </c>
      <c r="D266" s="141">
        <v>2970000</v>
      </c>
      <c r="E266" t="s">
        <v>394</v>
      </c>
      <c r="F266" s="20" t="s">
        <v>395</v>
      </c>
      <c r="G266" s="8" t="str">
        <f t="shared" si="4"/>
        <v>GUZMAN DANNY</v>
      </c>
    </row>
    <row r="267" spans="1:7" x14ac:dyDescent="0.25">
      <c r="A267" s="8">
        <v>42871.995324074072</v>
      </c>
      <c r="B267" t="s">
        <v>454</v>
      </c>
      <c r="C267" t="s">
        <v>479</v>
      </c>
      <c r="D267" s="141">
        <v>3030000</v>
      </c>
      <c r="E267" t="s">
        <v>396</v>
      </c>
      <c r="F267" s="20" t="s">
        <v>379</v>
      </c>
      <c r="G267" s="8" t="str">
        <f t="shared" si="4"/>
        <v>BIRENBAUM THOMAS</v>
      </c>
    </row>
    <row r="268" spans="1:7" x14ac:dyDescent="0.25">
      <c r="A268" s="8">
        <v>42871.995393518519</v>
      </c>
      <c r="B268" t="s">
        <v>415</v>
      </c>
      <c r="C268" t="s">
        <v>480</v>
      </c>
      <c r="D268" s="141">
        <v>1800000</v>
      </c>
      <c r="E268" t="s">
        <v>392</v>
      </c>
      <c r="F268" s="20" t="s">
        <v>393</v>
      </c>
      <c r="G268" s="8" t="str">
        <f t="shared" si="4"/>
        <v>CHANDLER KELVIN</v>
      </c>
    </row>
    <row r="269" spans="1:7" x14ac:dyDescent="0.25">
      <c r="A269" s="8">
        <v>42872.004918981482</v>
      </c>
      <c r="B269" t="s">
        <v>343</v>
      </c>
      <c r="C269" t="s">
        <v>461</v>
      </c>
      <c r="D269" s="141">
        <v>3090000</v>
      </c>
      <c r="E269" t="s">
        <v>390</v>
      </c>
      <c r="F269" s="20" t="s">
        <v>391</v>
      </c>
      <c r="G269" s="8" t="str">
        <f t="shared" si="4"/>
        <v>LAMAR NEKESHA</v>
      </c>
    </row>
    <row r="270" spans="1:7" x14ac:dyDescent="0.25">
      <c r="A270" s="8">
        <v>42872.006157407406</v>
      </c>
      <c r="B270" t="s">
        <v>457</v>
      </c>
      <c r="C270" t="s">
        <v>481</v>
      </c>
      <c r="D270" s="141">
        <v>1810000</v>
      </c>
      <c r="E270" t="s">
        <v>380</v>
      </c>
      <c r="F270" s="20" t="s">
        <v>193</v>
      </c>
      <c r="G270" s="8" t="str">
        <f t="shared" si="4"/>
        <v>NEWELL JAMES</v>
      </c>
    </row>
    <row r="271" spans="1:7" x14ac:dyDescent="0.25">
      <c r="A271" s="8">
        <v>42872.014236111114</v>
      </c>
      <c r="B271" t="s">
        <v>459</v>
      </c>
      <c r="C271" t="s">
        <v>460</v>
      </c>
      <c r="D271" s="141">
        <v>2970000</v>
      </c>
      <c r="E271" t="s">
        <v>394</v>
      </c>
      <c r="F271" s="20" t="s">
        <v>395</v>
      </c>
      <c r="G271" s="8" t="str">
        <f t="shared" si="4"/>
        <v>GUZMAN DANNY</v>
      </c>
    </row>
    <row r="272" spans="1:7" x14ac:dyDescent="0.25">
      <c r="A272" s="8">
        <v>42872.015636574077</v>
      </c>
      <c r="B272" t="s">
        <v>435</v>
      </c>
      <c r="C272" t="s">
        <v>470</v>
      </c>
      <c r="D272" s="141">
        <v>3010000</v>
      </c>
      <c r="E272" t="s">
        <v>418</v>
      </c>
      <c r="F272" s="20" t="s">
        <v>419</v>
      </c>
      <c r="G272" s="8" t="str">
        <f t="shared" si="4"/>
        <v>SULLIVAN BRANDON</v>
      </c>
    </row>
    <row r="273" spans="1:7" x14ac:dyDescent="0.25">
      <c r="A273" s="8">
        <v>42872.026469907411</v>
      </c>
      <c r="B273" t="s">
        <v>471</v>
      </c>
      <c r="C273" t="s">
        <v>472</v>
      </c>
      <c r="D273" s="141">
        <v>2970000</v>
      </c>
      <c r="E273" t="s">
        <v>394</v>
      </c>
      <c r="F273" s="20" t="s">
        <v>395</v>
      </c>
      <c r="G273" s="8" t="str">
        <f t="shared" si="4"/>
        <v>GUZMAN DANNY</v>
      </c>
    </row>
    <row r="274" spans="1:7" x14ac:dyDescent="0.25">
      <c r="A274" s="8">
        <v>42872.028356481482</v>
      </c>
      <c r="B274" t="s">
        <v>421</v>
      </c>
      <c r="C274" t="s">
        <v>482</v>
      </c>
      <c r="D274" s="141">
        <v>1800000</v>
      </c>
      <c r="E274" t="s">
        <v>392</v>
      </c>
      <c r="F274" s="20" t="s">
        <v>393</v>
      </c>
      <c r="G274" s="8" t="str">
        <f t="shared" si="4"/>
        <v>CHANDLER KELVIN</v>
      </c>
    </row>
    <row r="275" spans="1:7" x14ac:dyDescent="0.25">
      <c r="A275" s="8">
        <v>42872.035462962966</v>
      </c>
      <c r="B275" t="s">
        <v>455</v>
      </c>
      <c r="C275" t="s">
        <v>483</v>
      </c>
      <c r="D275" s="141">
        <v>3030000</v>
      </c>
      <c r="E275" t="s">
        <v>396</v>
      </c>
      <c r="F275" s="20" t="s">
        <v>379</v>
      </c>
      <c r="G275" s="8" t="str">
        <f t="shared" si="4"/>
        <v>BIRENBAUM THOMAS</v>
      </c>
    </row>
    <row r="276" spans="1:7" x14ac:dyDescent="0.25">
      <c r="A276" s="8">
        <v>42872.036921296298</v>
      </c>
      <c r="B276" t="s">
        <v>433</v>
      </c>
      <c r="C276" t="s">
        <v>470</v>
      </c>
      <c r="D276" s="141">
        <v>3010000</v>
      </c>
      <c r="E276" t="s">
        <v>418</v>
      </c>
      <c r="F276" s="20" t="s">
        <v>419</v>
      </c>
      <c r="G276" s="8" t="str">
        <f t="shared" si="4"/>
        <v>SULLIVAN BRANDON</v>
      </c>
    </row>
    <row r="277" spans="1:7" x14ac:dyDescent="0.25">
      <c r="A277" s="8">
        <v>42872.037488425929</v>
      </c>
      <c r="B277" t="s">
        <v>433</v>
      </c>
      <c r="C277" t="s">
        <v>470</v>
      </c>
      <c r="D277" s="141">
        <v>3010000</v>
      </c>
      <c r="E277" t="s">
        <v>418</v>
      </c>
      <c r="F277" s="20" t="s">
        <v>419</v>
      </c>
      <c r="G277" s="8" t="str">
        <f t="shared" si="4"/>
        <v>SULLIVAN BRANDON</v>
      </c>
    </row>
    <row r="278" spans="1:7" x14ac:dyDescent="0.25">
      <c r="A278" s="8">
        <v>42872.041689814818</v>
      </c>
      <c r="B278" t="s">
        <v>459</v>
      </c>
      <c r="C278" t="s">
        <v>460</v>
      </c>
      <c r="D278" s="141">
        <v>2970000</v>
      </c>
      <c r="E278" t="s">
        <v>394</v>
      </c>
      <c r="F278" s="20" t="s">
        <v>395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458</v>
      </c>
      <c r="C279" t="s">
        <v>484</v>
      </c>
      <c r="D279" s="141">
        <v>1810000</v>
      </c>
      <c r="E279" t="s">
        <v>380</v>
      </c>
      <c r="F279" s="20" t="s">
        <v>193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344</v>
      </c>
      <c r="C280" t="s">
        <v>485</v>
      </c>
      <c r="D280" s="141">
        <v>3090000</v>
      </c>
      <c r="E280" t="s">
        <v>390</v>
      </c>
      <c r="F280" s="20" t="s">
        <v>391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435</v>
      </c>
      <c r="C281" t="s">
        <v>470</v>
      </c>
      <c r="D281" s="141">
        <v>3010000</v>
      </c>
      <c r="E281" t="s">
        <v>418</v>
      </c>
      <c r="F281" s="20" t="s">
        <v>419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471</v>
      </c>
      <c r="C282" t="s">
        <v>472</v>
      </c>
      <c r="D282" s="141">
        <v>2970000</v>
      </c>
      <c r="E282" t="s">
        <v>394</v>
      </c>
      <c r="F282" s="20" t="s">
        <v>395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433</v>
      </c>
      <c r="C283" t="s">
        <v>470</v>
      </c>
      <c r="D283" s="141">
        <v>3010000</v>
      </c>
      <c r="E283" t="s">
        <v>418</v>
      </c>
      <c r="F283" s="20" t="s">
        <v>419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454</v>
      </c>
      <c r="C284" t="s">
        <v>486</v>
      </c>
      <c r="D284" s="141">
        <v>3030000</v>
      </c>
      <c r="E284" t="s">
        <v>396</v>
      </c>
      <c r="F284" s="20" t="s">
        <v>379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433</v>
      </c>
      <c r="C285" t="s">
        <v>470</v>
      </c>
      <c r="D285" s="141">
        <v>3010000</v>
      </c>
      <c r="E285" t="s">
        <v>418</v>
      </c>
      <c r="F285" s="20" t="s">
        <v>419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459</v>
      </c>
      <c r="C286" t="s">
        <v>460</v>
      </c>
      <c r="D286" s="141">
        <v>2970000</v>
      </c>
      <c r="E286" t="s">
        <v>394</v>
      </c>
      <c r="F286" s="20" t="s">
        <v>395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471</v>
      </c>
      <c r="C287" t="s">
        <v>472</v>
      </c>
      <c r="D287" s="141">
        <v>2970000</v>
      </c>
      <c r="E287" t="s">
        <v>394</v>
      </c>
      <c r="F287" s="20" t="s">
        <v>395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343</v>
      </c>
      <c r="C288" t="s">
        <v>487</v>
      </c>
      <c r="D288" s="141">
        <v>3090000</v>
      </c>
      <c r="E288" t="s">
        <v>390</v>
      </c>
      <c r="F288" s="20" t="s">
        <v>391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459</v>
      </c>
      <c r="C289" t="s">
        <v>460</v>
      </c>
      <c r="D289" s="141">
        <v>2970000</v>
      </c>
      <c r="E289" t="s">
        <v>394</v>
      </c>
      <c r="F289" s="20" t="s">
        <v>395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435</v>
      </c>
      <c r="C290" t="s">
        <v>470</v>
      </c>
      <c r="D290" s="141">
        <v>3010000</v>
      </c>
      <c r="E290" t="s">
        <v>418</v>
      </c>
      <c r="F290" s="20" t="s">
        <v>419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435</v>
      </c>
      <c r="C291" t="s">
        <v>470</v>
      </c>
      <c r="D291" s="141">
        <v>3010000</v>
      </c>
      <c r="E291" t="s">
        <v>418</v>
      </c>
      <c r="F291" s="20" t="s">
        <v>419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435</v>
      </c>
      <c r="C292" t="s">
        <v>470</v>
      </c>
      <c r="D292" s="141">
        <v>3010000</v>
      </c>
      <c r="E292" t="s">
        <v>418</v>
      </c>
      <c r="F292" s="20" t="s">
        <v>419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435</v>
      </c>
      <c r="C293" t="s">
        <v>470</v>
      </c>
      <c r="D293" s="141">
        <v>3010000</v>
      </c>
      <c r="E293" t="s">
        <v>418</v>
      </c>
      <c r="F293" s="20" t="s">
        <v>419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471</v>
      </c>
      <c r="C294" t="s">
        <v>472</v>
      </c>
      <c r="D294" s="141">
        <v>2970000</v>
      </c>
      <c r="E294" t="s">
        <v>394</v>
      </c>
      <c r="F294" s="20" t="s">
        <v>395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343</v>
      </c>
      <c r="C295" t="s">
        <v>401</v>
      </c>
      <c r="D295" s="141">
        <v>1800000</v>
      </c>
      <c r="E295" t="s">
        <v>392</v>
      </c>
      <c r="F295" s="20" t="s">
        <v>393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378</v>
      </c>
      <c r="C296" t="s">
        <v>402</v>
      </c>
      <c r="D296" s="141">
        <v>3030000</v>
      </c>
      <c r="E296" t="s">
        <v>396</v>
      </c>
      <c r="F296" s="20" t="s">
        <v>379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389</v>
      </c>
      <c r="C297" t="s">
        <v>385</v>
      </c>
      <c r="D297" s="141">
        <v>2970000</v>
      </c>
      <c r="E297" t="s">
        <v>394</v>
      </c>
      <c r="F297" s="20" t="s">
        <v>395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368</v>
      </c>
      <c r="C298" t="s">
        <v>403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383</v>
      </c>
      <c r="C299" t="s">
        <v>385</v>
      </c>
      <c r="D299" s="141">
        <v>2970000</v>
      </c>
      <c r="E299" t="s">
        <v>394</v>
      </c>
      <c r="F299" s="20" t="s">
        <v>395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384</v>
      </c>
      <c r="C300" t="s">
        <v>388</v>
      </c>
      <c r="D300" s="141">
        <v>3130000</v>
      </c>
      <c r="E300" t="s">
        <v>399</v>
      </c>
      <c r="F300" s="20" t="s">
        <v>400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383</v>
      </c>
      <c r="C301" t="s">
        <v>385</v>
      </c>
      <c r="D301" s="141">
        <v>2970000</v>
      </c>
      <c r="E301" t="s">
        <v>394</v>
      </c>
      <c r="F301" s="20" t="s">
        <v>395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375</v>
      </c>
      <c r="C302" t="s">
        <v>386</v>
      </c>
      <c r="D302" s="141">
        <v>3040000</v>
      </c>
      <c r="E302" t="s">
        <v>397</v>
      </c>
      <c r="F302" s="20" t="s">
        <v>398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375</v>
      </c>
      <c r="C303" t="s">
        <v>386</v>
      </c>
      <c r="D303" s="141">
        <v>3040000</v>
      </c>
      <c r="E303" t="s">
        <v>397</v>
      </c>
      <c r="F303" s="20" t="s">
        <v>398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404</v>
      </c>
      <c r="D304" s="141">
        <v>3030000</v>
      </c>
      <c r="E304" t="s">
        <v>396</v>
      </c>
      <c r="F304" s="20" t="s">
        <v>379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389</v>
      </c>
      <c r="C305" t="s">
        <v>385</v>
      </c>
      <c r="D305" s="141">
        <v>2970000</v>
      </c>
      <c r="E305" t="s">
        <v>394</v>
      </c>
      <c r="F305" s="20" t="s">
        <v>395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383</v>
      </c>
      <c r="C306" t="s">
        <v>385</v>
      </c>
      <c r="D306" s="141">
        <v>2970000</v>
      </c>
      <c r="E306" t="s">
        <v>394</v>
      </c>
      <c r="F306" s="20" t="s">
        <v>395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376</v>
      </c>
      <c r="C307" t="s">
        <v>386</v>
      </c>
      <c r="D307" s="141">
        <v>3040000</v>
      </c>
      <c r="E307" t="s">
        <v>397</v>
      </c>
      <c r="F307" s="20" t="s">
        <v>398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387</v>
      </c>
      <c r="C308" t="s">
        <v>405</v>
      </c>
      <c r="D308" s="141">
        <v>3130000</v>
      </c>
      <c r="E308" t="s">
        <v>399</v>
      </c>
      <c r="F308" s="20" t="s">
        <v>400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375</v>
      </c>
      <c r="C309" t="s">
        <v>386</v>
      </c>
      <c r="D309" s="141">
        <v>3040000</v>
      </c>
      <c r="E309" t="s">
        <v>397</v>
      </c>
      <c r="F309" s="20" t="s">
        <v>398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389</v>
      </c>
      <c r="C310" t="s">
        <v>385</v>
      </c>
      <c r="D310" s="141">
        <v>2970000</v>
      </c>
      <c r="E310" t="s">
        <v>394</v>
      </c>
      <c r="F310" s="20" t="s">
        <v>395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383</v>
      </c>
      <c r="C311" t="s">
        <v>385</v>
      </c>
      <c r="D311" s="141">
        <v>2970000</v>
      </c>
      <c r="E311" t="s">
        <v>394</v>
      </c>
      <c r="F311" s="20" t="s">
        <v>395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832</v>
      </c>
      <c r="I1" s="201" t="s">
        <v>168</v>
      </c>
      <c r="J1" s="201" t="s">
        <v>169</v>
      </c>
      <c r="K1" s="201" t="s">
        <v>381</v>
      </c>
      <c r="L1" s="201" t="s">
        <v>163</v>
      </c>
      <c r="M1" s="201" t="s">
        <v>161</v>
      </c>
      <c r="N1" s="201" t="s">
        <v>156</v>
      </c>
      <c r="O1" s="201" t="s">
        <v>166</v>
      </c>
      <c r="P1" s="201" t="s">
        <v>160</v>
      </c>
      <c r="Q1" s="201" t="s">
        <v>167</v>
      </c>
      <c r="R1" s="201" t="s">
        <v>164</v>
      </c>
    </row>
    <row r="2" spans="1:18" x14ac:dyDescent="0.25">
      <c r="A2" s="168">
        <v>38.43</v>
      </c>
      <c r="B2" s="168">
        <v>0.98</v>
      </c>
      <c r="C2" s="168">
        <v>37.35</v>
      </c>
      <c r="D2" s="8">
        <v>42873</v>
      </c>
      <c r="E2" s="168">
        <v>0.82</v>
      </c>
      <c r="F2" s="168" t="s">
        <v>382</v>
      </c>
      <c r="G2" s="168">
        <v>368.17</v>
      </c>
      <c r="H2" s="168"/>
      <c r="I2" s="168">
        <v>2.53E-2</v>
      </c>
      <c r="J2" s="168">
        <v>0.64</v>
      </c>
      <c r="K2" s="168" t="s">
        <v>382</v>
      </c>
      <c r="L2" s="168">
        <v>1008.9</v>
      </c>
      <c r="M2" s="168" t="s">
        <v>488</v>
      </c>
      <c r="N2" s="168">
        <v>42.36</v>
      </c>
      <c r="O2" s="168">
        <v>1495087200</v>
      </c>
      <c r="P2" s="168">
        <v>6.1</v>
      </c>
      <c r="Q2" s="168">
        <v>357</v>
      </c>
      <c r="R2" s="168">
        <v>6.22</v>
      </c>
    </row>
    <row r="3" spans="1:18" x14ac:dyDescent="0.25">
      <c r="A3" s="168">
        <v>36.42</v>
      </c>
      <c r="B3" s="168">
        <v>0.91</v>
      </c>
      <c r="C3" s="168">
        <v>36.31</v>
      </c>
      <c r="D3" s="8">
        <v>42873.041666666664</v>
      </c>
      <c r="E3" s="168">
        <v>0.84</v>
      </c>
      <c r="F3" s="168" t="s">
        <v>382</v>
      </c>
      <c r="G3" s="168">
        <v>368.73</v>
      </c>
      <c r="H3" s="168"/>
      <c r="I3" s="168">
        <v>4.7699999999999999E-2</v>
      </c>
      <c r="J3" s="168">
        <v>0.72</v>
      </c>
      <c r="K3" s="168" t="s">
        <v>382</v>
      </c>
      <c r="L3" s="168">
        <v>1008.52</v>
      </c>
      <c r="M3" s="168" t="s">
        <v>488</v>
      </c>
      <c r="N3" s="168">
        <v>40.619999999999997</v>
      </c>
      <c r="O3" s="168">
        <v>1495090800</v>
      </c>
      <c r="P3" s="168">
        <v>7.32</v>
      </c>
      <c r="Q3" s="168">
        <v>342</v>
      </c>
      <c r="R3" s="168">
        <v>6.13</v>
      </c>
    </row>
    <row r="4" spans="1:18" x14ac:dyDescent="0.25">
      <c r="A4" s="168">
        <v>35.549999999999997</v>
      </c>
      <c r="B4" s="168">
        <v>0.85</v>
      </c>
      <c r="C4" s="168">
        <v>34.979999999999997</v>
      </c>
      <c r="D4" s="8">
        <v>42873.083333333336</v>
      </c>
      <c r="E4" s="168">
        <v>0.84</v>
      </c>
      <c r="F4" s="168" t="s">
        <v>382</v>
      </c>
      <c r="G4" s="168">
        <v>369.28</v>
      </c>
      <c r="H4" s="168"/>
      <c r="I4" s="168">
        <v>6.9800000000000001E-2</v>
      </c>
      <c r="J4" s="168">
        <v>0.76</v>
      </c>
      <c r="K4" s="168" t="s">
        <v>382</v>
      </c>
      <c r="L4" s="168">
        <v>1008.13</v>
      </c>
      <c r="M4" s="168" t="s">
        <v>539</v>
      </c>
      <c r="N4" s="168">
        <v>39.39</v>
      </c>
      <c r="O4" s="168">
        <v>1495094400</v>
      </c>
      <c r="P4" s="168">
        <v>8.6199999999999992</v>
      </c>
      <c r="Q4" s="168">
        <v>336</v>
      </c>
      <c r="R4" s="168">
        <v>5.27</v>
      </c>
    </row>
    <row r="5" spans="1:18" x14ac:dyDescent="0.25">
      <c r="A5" s="168">
        <v>33.68</v>
      </c>
      <c r="B5" s="168">
        <v>0.81</v>
      </c>
      <c r="C5" s="168">
        <v>33.729999999999997</v>
      </c>
      <c r="D5" s="8">
        <v>42873.125</v>
      </c>
      <c r="E5" s="168">
        <v>0.86</v>
      </c>
      <c r="F5" s="168" t="s">
        <v>382</v>
      </c>
      <c r="G5" s="168">
        <v>369.83</v>
      </c>
      <c r="H5" s="168"/>
      <c r="I5" s="168">
        <v>9.01E-2</v>
      </c>
      <c r="J5" s="168">
        <v>0.79</v>
      </c>
      <c r="K5" s="168" t="s">
        <v>382</v>
      </c>
      <c r="L5" s="168">
        <v>1007.91</v>
      </c>
      <c r="M5" s="168" t="s">
        <v>539</v>
      </c>
      <c r="N5" s="168">
        <v>37.64</v>
      </c>
      <c r="O5" s="168">
        <v>1495098000</v>
      </c>
      <c r="P5" s="168">
        <v>9.81</v>
      </c>
      <c r="Q5" s="168">
        <v>332</v>
      </c>
      <c r="R5" s="168">
        <v>5.0199999999999996</v>
      </c>
    </row>
    <row r="6" spans="1:18" x14ac:dyDescent="0.25">
      <c r="A6" s="168">
        <v>32.47</v>
      </c>
      <c r="B6" s="168">
        <v>0.85</v>
      </c>
      <c r="C6" s="168">
        <v>32.950000000000003</v>
      </c>
      <c r="D6" s="8">
        <v>42873.166666666664</v>
      </c>
      <c r="E6" s="168">
        <v>0.87</v>
      </c>
      <c r="F6" s="168" t="s">
        <v>382</v>
      </c>
      <c r="G6" s="168">
        <v>371.21</v>
      </c>
      <c r="H6" s="168"/>
      <c r="I6" s="168">
        <v>8.0399999999999999E-2</v>
      </c>
      <c r="J6" s="168">
        <v>0.78</v>
      </c>
      <c r="K6" s="168" t="s">
        <v>382</v>
      </c>
      <c r="L6" s="168">
        <v>1008.04</v>
      </c>
      <c r="M6" s="168" t="s">
        <v>539</v>
      </c>
      <c r="N6" s="168">
        <v>36.49</v>
      </c>
      <c r="O6" s="168">
        <v>1495101600</v>
      </c>
      <c r="P6" s="168">
        <v>8.1</v>
      </c>
      <c r="Q6" s="168">
        <v>326</v>
      </c>
      <c r="R6" s="168">
        <v>4.8600000000000003</v>
      </c>
    </row>
    <row r="7" spans="1:18" x14ac:dyDescent="0.25">
      <c r="A7" s="168">
        <v>32.590000000000003</v>
      </c>
      <c r="B7" s="168">
        <v>0.94</v>
      </c>
      <c r="C7" s="168">
        <v>33.369999999999997</v>
      </c>
      <c r="D7" s="8">
        <v>42873.208333333336</v>
      </c>
      <c r="E7" s="168">
        <v>0.87</v>
      </c>
      <c r="F7" s="168" t="s">
        <v>382</v>
      </c>
      <c r="G7" s="168">
        <v>372.91</v>
      </c>
      <c r="H7" s="168"/>
      <c r="I7" s="168">
        <v>5.8700000000000002E-2</v>
      </c>
      <c r="J7" s="168">
        <v>0.74</v>
      </c>
      <c r="K7" s="168" t="s">
        <v>382</v>
      </c>
      <c r="L7" s="168">
        <v>1008.42</v>
      </c>
      <c r="M7" s="168" t="s">
        <v>539</v>
      </c>
      <c r="N7" s="168">
        <v>36.9</v>
      </c>
      <c r="O7" s="168">
        <v>1495105200</v>
      </c>
      <c r="P7" s="168">
        <v>5.27</v>
      </c>
      <c r="Q7" s="168">
        <v>323</v>
      </c>
      <c r="R7" s="168">
        <v>5.29</v>
      </c>
    </row>
    <row r="8" spans="1:18" x14ac:dyDescent="0.25">
      <c r="A8" s="168">
        <v>31.79</v>
      </c>
      <c r="B8" s="168">
        <v>1</v>
      </c>
      <c r="C8" s="168">
        <v>32.6</v>
      </c>
      <c r="D8" s="8">
        <v>42873.25</v>
      </c>
      <c r="E8" s="168">
        <v>0.87</v>
      </c>
      <c r="F8" s="168" t="s">
        <v>833</v>
      </c>
      <c r="G8" s="168">
        <v>374.45</v>
      </c>
      <c r="H8" s="168">
        <v>0.39400000000000002</v>
      </c>
      <c r="I8" s="168">
        <v>5.1799999999999999E-2</v>
      </c>
      <c r="J8" s="168">
        <v>0.73</v>
      </c>
      <c r="K8" s="168" t="s">
        <v>833</v>
      </c>
      <c r="L8" s="168">
        <v>1008.93</v>
      </c>
      <c r="M8" s="168" t="s">
        <v>834</v>
      </c>
      <c r="N8" s="168">
        <v>36.159999999999997</v>
      </c>
      <c r="O8" s="168">
        <v>1495108800</v>
      </c>
      <c r="P8" s="168">
        <v>3.84</v>
      </c>
      <c r="Q8" s="168">
        <v>310</v>
      </c>
      <c r="R8" s="168">
        <v>5.21</v>
      </c>
    </row>
    <row r="9" spans="1:18" x14ac:dyDescent="0.25">
      <c r="A9" s="168">
        <v>32.71</v>
      </c>
      <c r="B9" s="168">
        <v>0.94</v>
      </c>
      <c r="C9" s="168">
        <v>33.44</v>
      </c>
      <c r="D9" s="8">
        <v>42873.291666666664</v>
      </c>
      <c r="E9" s="168">
        <v>0.87</v>
      </c>
      <c r="F9" s="168" t="s">
        <v>382</v>
      </c>
      <c r="G9" s="168">
        <v>375.38</v>
      </c>
      <c r="H9" s="168"/>
      <c r="I9" s="168">
        <v>6.54E-2</v>
      </c>
      <c r="J9" s="168">
        <v>0.75</v>
      </c>
      <c r="K9" s="168" t="s">
        <v>382</v>
      </c>
      <c r="L9" s="168">
        <v>1008.86</v>
      </c>
      <c r="M9" s="168" t="s">
        <v>539</v>
      </c>
      <c r="N9" s="168">
        <v>37.020000000000003</v>
      </c>
      <c r="O9" s="168">
        <v>1495112400</v>
      </c>
      <c r="P9" s="168">
        <v>5.28</v>
      </c>
      <c r="Q9" s="168">
        <v>328</v>
      </c>
      <c r="R9" s="168">
        <v>5.33</v>
      </c>
    </row>
    <row r="10" spans="1:18" x14ac:dyDescent="0.25">
      <c r="A10" s="168">
        <v>34.03</v>
      </c>
      <c r="B10" s="168">
        <v>0.85</v>
      </c>
      <c r="C10" s="168">
        <v>33.74</v>
      </c>
      <c r="D10" s="8">
        <v>42873.333333333336</v>
      </c>
      <c r="E10" s="168">
        <v>0.86</v>
      </c>
      <c r="F10" s="168" t="s">
        <v>382</v>
      </c>
      <c r="G10" s="168">
        <v>376.16</v>
      </c>
      <c r="H10" s="168"/>
      <c r="I10" s="168">
        <v>9.4799999999999995E-2</v>
      </c>
      <c r="J10" s="168">
        <v>0.79</v>
      </c>
      <c r="K10" s="168" t="s">
        <v>382</v>
      </c>
      <c r="L10" s="168">
        <v>1008.54</v>
      </c>
      <c r="M10" s="168" t="s">
        <v>539</v>
      </c>
      <c r="N10" s="168">
        <v>37.68</v>
      </c>
      <c r="O10" s="168">
        <v>1495116000</v>
      </c>
      <c r="P10" s="168">
        <v>8.01</v>
      </c>
      <c r="Q10" s="168">
        <v>339</v>
      </c>
      <c r="R10" s="168">
        <v>4.67</v>
      </c>
    </row>
    <row r="11" spans="1:18" x14ac:dyDescent="0.25">
      <c r="A11" s="168">
        <v>34.799999999999997</v>
      </c>
      <c r="B11" s="168">
        <v>0.81</v>
      </c>
      <c r="C11" s="168">
        <v>34.25</v>
      </c>
      <c r="D11" s="8">
        <v>42873.375</v>
      </c>
      <c r="E11" s="168">
        <v>0.85</v>
      </c>
      <c r="F11" s="168" t="s">
        <v>382</v>
      </c>
      <c r="G11" s="168">
        <v>377.61</v>
      </c>
      <c r="H11" s="168"/>
      <c r="I11" s="168">
        <v>0.1081</v>
      </c>
      <c r="J11" s="168">
        <v>0.81</v>
      </c>
      <c r="K11" s="168" t="s">
        <v>382</v>
      </c>
      <c r="L11" s="168">
        <v>1008.48</v>
      </c>
      <c r="M11" s="168" t="s">
        <v>539</v>
      </c>
      <c r="N11" s="168">
        <v>38.5</v>
      </c>
      <c r="O11" s="168">
        <v>1495119600</v>
      </c>
      <c r="P11" s="168">
        <v>9.52</v>
      </c>
      <c r="Q11" s="168">
        <v>344</v>
      </c>
      <c r="R11" s="168">
        <v>4.8899999999999997</v>
      </c>
    </row>
    <row r="12" spans="1:18" x14ac:dyDescent="0.25">
      <c r="A12" s="168">
        <v>35.56</v>
      </c>
      <c r="B12" s="168">
        <v>0.85</v>
      </c>
      <c r="C12" s="168">
        <v>35.19</v>
      </c>
      <c r="D12" s="8">
        <v>42873.416666666664</v>
      </c>
      <c r="E12" s="168">
        <v>0.85</v>
      </c>
      <c r="F12" s="168" t="s">
        <v>382</v>
      </c>
      <c r="G12" s="168">
        <v>380.5</v>
      </c>
      <c r="H12" s="168"/>
      <c r="I12" s="168">
        <v>9.3299999999999994E-2</v>
      </c>
      <c r="J12" s="168">
        <v>0.79</v>
      </c>
      <c r="K12" s="168" t="s">
        <v>382</v>
      </c>
      <c r="L12" s="168">
        <v>1009.01</v>
      </c>
      <c r="M12" s="168" t="s">
        <v>539</v>
      </c>
      <c r="N12" s="168">
        <v>39.24</v>
      </c>
      <c r="O12" s="168">
        <v>1495123200</v>
      </c>
      <c r="P12" s="168">
        <v>8</v>
      </c>
      <c r="Q12" s="168">
        <v>343</v>
      </c>
      <c r="R12" s="168">
        <v>5.0199999999999996</v>
      </c>
    </row>
    <row r="13" spans="1:18" x14ac:dyDescent="0.25">
      <c r="A13" s="168">
        <v>35.43</v>
      </c>
      <c r="B13" s="168">
        <v>0.94</v>
      </c>
      <c r="C13" s="168">
        <v>34.93</v>
      </c>
      <c r="D13" s="8">
        <v>42873.458333333336</v>
      </c>
      <c r="E13" s="168">
        <v>0.85</v>
      </c>
      <c r="F13" s="168" t="s">
        <v>382</v>
      </c>
      <c r="G13" s="168">
        <v>384.07</v>
      </c>
      <c r="H13" s="168"/>
      <c r="I13" s="168">
        <v>6.9099999999999995E-2</v>
      </c>
      <c r="J13" s="168">
        <v>0.76</v>
      </c>
      <c r="K13" s="168" t="s">
        <v>382</v>
      </c>
      <c r="L13" s="168">
        <v>1009.5</v>
      </c>
      <c r="M13" s="168" t="s">
        <v>539</v>
      </c>
      <c r="N13" s="168">
        <v>39.14</v>
      </c>
      <c r="O13" s="168">
        <v>1495126800</v>
      </c>
      <c r="P13" s="168">
        <v>5.27</v>
      </c>
      <c r="Q13" s="168">
        <v>337</v>
      </c>
      <c r="R13" s="168">
        <v>5.04</v>
      </c>
    </row>
    <row r="14" spans="1:18" x14ac:dyDescent="0.25">
      <c r="A14" s="168">
        <v>35.229999999999997</v>
      </c>
      <c r="B14" s="168">
        <v>1</v>
      </c>
      <c r="C14" s="168">
        <v>35.47</v>
      </c>
      <c r="D14" s="8">
        <v>42873.5</v>
      </c>
      <c r="E14" s="168">
        <v>0.85</v>
      </c>
      <c r="F14" s="168" t="s">
        <v>382</v>
      </c>
      <c r="G14" s="168">
        <v>386.9</v>
      </c>
      <c r="H14" s="168"/>
      <c r="I14" s="168">
        <v>5.45E-2</v>
      </c>
      <c r="J14" s="168">
        <v>0.73</v>
      </c>
      <c r="K14" s="168" t="s">
        <v>382</v>
      </c>
      <c r="L14" s="168">
        <v>1009.79</v>
      </c>
      <c r="M14" s="168" t="s">
        <v>539</v>
      </c>
      <c r="N14" s="168">
        <v>39.6</v>
      </c>
      <c r="O14" s="168">
        <v>1495130400</v>
      </c>
      <c r="P14" s="168">
        <v>3.84</v>
      </c>
      <c r="Q14" s="168">
        <v>351</v>
      </c>
      <c r="R14" s="168">
        <v>6.07</v>
      </c>
    </row>
    <row r="15" spans="1:18" x14ac:dyDescent="0.25">
      <c r="A15" s="168">
        <v>35.24</v>
      </c>
      <c r="B15" s="168">
        <v>0.94</v>
      </c>
      <c r="C15" s="168">
        <v>38.31</v>
      </c>
      <c r="D15" s="8">
        <v>42873.541666666664</v>
      </c>
      <c r="E15" s="168">
        <v>0.93</v>
      </c>
      <c r="F15" s="168" t="s">
        <v>382</v>
      </c>
      <c r="G15" s="168">
        <v>387.98</v>
      </c>
      <c r="H15" s="168"/>
      <c r="I15" s="168">
        <v>5.9799999999999999E-2</v>
      </c>
      <c r="J15" s="168">
        <v>0.74</v>
      </c>
      <c r="K15" s="168" t="s">
        <v>382</v>
      </c>
      <c r="L15" s="168">
        <v>1009.59</v>
      </c>
      <c r="M15" s="168" t="s">
        <v>539</v>
      </c>
      <c r="N15" s="168">
        <v>40.24</v>
      </c>
      <c r="O15" s="168">
        <v>1495134000</v>
      </c>
      <c r="P15" s="168">
        <v>5.0999999999999996</v>
      </c>
      <c r="Q15" s="168">
        <v>354</v>
      </c>
      <c r="R15" s="168">
        <v>7.32</v>
      </c>
    </row>
    <row r="16" spans="1:18" x14ac:dyDescent="0.25">
      <c r="A16" s="168">
        <v>33.770000000000003</v>
      </c>
      <c r="B16" s="168">
        <v>0.85</v>
      </c>
      <c r="C16" s="168">
        <v>37.47</v>
      </c>
      <c r="D16" s="8">
        <v>42873.583333333336</v>
      </c>
      <c r="E16" s="168">
        <v>0.92</v>
      </c>
      <c r="F16" s="168" t="s">
        <v>382</v>
      </c>
      <c r="G16" s="168">
        <v>388.31</v>
      </c>
      <c r="H16" s="168"/>
      <c r="I16" s="168">
        <v>8.1000000000000003E-2</v>
      </c>
      <c r="J16" s="168">
        <v>0.78</v>
      </c>
      <c r="K16" s="168" t="s">
        <v>382</v>
      </c>
      <c r="L16" s="168">
        <v>1009.09</v>
      </c>
      <c r="M16" s="168" t="s">
        <v>539</v>
      </c>
      <c r="N16" s="168">
        <v>39.53</v>
      </c>
      <c r="O16" s="168">
        <v>1495137600</v>
      </c>
      <c r="P16" s="168">
        <v>7.58</v>
      </c>
      <c r="Q16" s="168">
        <v>0</v>
      </c>
      <c r="R16" s="168">
        <v>8.4700000000000006</v>
      </c>
    </row>
    <row r="17" spans="1:18" x14ac:dyDescent="0.25">
      <c r="A17" s="168">
        <v>34</v>
      </c>
      <c r="B17" s="168">
        <v>0.82</v>
      </c>
      <c r="C17" s="168">
        <v>37.76</v>
      </c>
      <c r="D17" s="8">
        <v>42873.625</v>
      </c>
      <c r="E17" s="168">
        <v>0.92</v>
      </c>
      <c r="F17" s="168" t="s">
        <v>382</v>
      </c>
      <c r="G17" s="168">
        <v>389.53</v>
      </c>
      <c r="H17" s="168"/>
      <c r="I17" s="168">
        <v>9.0700000000000003E-2</v>
      </c>
      <c r="J17" s="168">
        <v>0.79</v>
      </c>
      <c r="K17" s="168" t="s">
        <v>382</v>
      </c>
      <c r="L17" s="168">
        <v>1009.15</v>
      </c>
      <c r="M17" s="168" t="s">
        <v>539</v>
      </c>
      <c r="N17" s="168">
        <v>39.86</v>
      </c>
      <c r="O17" s="168">
        <v>1495141200</v>
      </c>
      <c r="P17" s="168">
        <v>9.52</v>
      </c>
      <c r="Q17" s="168">
        <v>352</v>
      </c>
      <c r="R17" s="168">
        <v>8.84</v>
      </c>
    </row>
    <row r="18" spans="1:18" x14ac:dyDescent="0.25">
      <c r="A18" s="168">
        <v>32.549999999999997</v>
      </c>
      <c r="B18" s="168">
        <v>0.86</v>
      </c>
      <c r="C18" s="168">
        <v>37.18</v>
      </c>
      <c r="D18" s="8">
        <v>42873.666666666664</v>
      </c>
      <c r="E18" s="168">
        <v>0.92</v>
      </c>
      <c r="F18" s="168" t="s">
        <v>382</v>
      </c>
      <c r="G18" s="168">
        <v>392.85</v>
      </c>
      <c r="H18" s="168"/>
      <c r="I18" s="168">
        <v>7.5499999999999998E-2</v>
      </c>
      <c r="J18" s="168">
        <v>0.77</v>
      </c>
      <c r="K18" s="168" t="s">
        <v>382</v>
      </c>
      <c r="L18" s="168">
        <v>1010.57</v>
      </c>
      <c r="M18" s="168" t="s">
        <v>539</v>
      </c>
      <c r="N18" s="168">
        <v>39.26</v>
      </c>
      <c r="O18" s="168">
        <v>1495144800</v>
      </c>
      <c r="P18" s="168">
        <v>10</v>
      </c>
      <c r="Q18" s="168">
        <v>353</v>
      </c>
      <c r="R18" s="168">
        <v>10.41</v>
      </c>
    </row>
    <row r="19" spans="1:18" x14ac:dyDescent="0.25">
      <c r="A19" s="168">
        <v>31.8</v>
      </c>
      <c r="B19" s="168">
        <v>0.94</v>
      </c>
      <c r="C19" s="168">
        <v>37.11</v>
      </c>
      <c r="D19" s="8">
        <v>42873.708333333336</v>
      </c>
      <c r="E19" s="168">
        <v>0.93</v>
      </c>
      <c r="F19" s="168" t="s">
        <v>382</v>
      </c>
      <c r="G19" s="168">
        <v>397.04</v>
      </c>
      <c r="H19" s="168"/>
      <c r="I19" s="168">
        <v>4.99E-2</v>
      </c>
      <c r="J19" s="168">
        <v>0.72</v>
      </c>
      <c r="K19" s="168" t="s">
        <v>382</v>
      </c>
      <c r="L19" s="168">
        <v>1012.67</v>
      </c>
      <c r="M19" s="168" t="s">
        <v>488</v>
      </c>
      <c r="N19" s="168">
        <v>38.89</v>
      </c>
      <c r="O19" s="168">
        <v>1495148400</v>
      </c>
      <c r="P19" s="168">
        <v>9.85</v>
      </c>
      <c r="Q19" s="168">
        <v>348</v>
      </c>
      <c r="R19" s="168">
        <v>11.08</v>
      </c>
    </row>
    <row r="20" spans="1:18" x14ac:dyDescent="0.25">
      <c r="A20" s="168">
        <v>28.91</v>
      </c>
      <c r="B20" s="168">
        <v>1</v>
      </c>
      <c r="C20" s="168">
        <v>34.78</v>
      </c>
      <c r="D20" s="8">
        <v>42873.75</v>
      </c>
      <c r="E20" s="168">
        <v>0.93</v>
      </c>
      <c r="F20" s="168" t="s">
        <v>833</v>
      </c>
      <c r="G20" s="168">
        <v>400.02</v>
      </c>
      <c r="H20" s="168">
        <v>0.21</v>
      </c>
      <c r="I20" s="168">
        <v>2.76E-2</v>
      </c>
      <c r="J20" s="168">
        <v>0.65</v>
      </c>
      <c r="K20" s="168" t="s">
        <v>833</v>
      </c>
      <c r="L20" s="168">
        <v>1014.41</v>
      </c>
      <c r="M20" s="168" t="s">
        <v>834</v>
      </c>
      <c r="N20" s="168">
        <v>36.520000000000003</v>
      </c>
      <c r="O20" s="168">
        <v>1495152000</v>
      </c>
      <c r="P20" s="168">
        <v>9.58</v>
      </c>
      <c r="Q20" s="168">
        <v>345</v>
      </c>
      <c r="R20" s="168">
        <v>10.94</v>
      </c>
    </row>
    <row r="21" spans="1:18" x14ac:dyDescent="0.25">
      <c r="A21" s="168">
        <v>27.1</v>
      </c>
      <c r="B21" s="168">
        <v>0.92</v>
      </c>
      <c r="C21" s="168">
        <v>32.770000000000003</v>
      </c>
      <c r="D21" s="8">
        <v>42873.791666666664</v>
      </c>
      <c r="E21" s="168">
        <v>0.93</v>
      </c>
      <c r="F21" s="168" t="s">
        <v>833</v>
      </c>
      <c r="G21" s="168">
        <v>400.76</v>
      </c>
      <c r="H21" s="168">
        <v>0.12</v>
      </c>
      <c r="I21" s="168">
        <v>1.5800000000000002E-2</v>
      </c>
      <c r="J21" s="168">
        <v>0.56999999999999995</v>
      </c>
      <c r="K21" s="168" t="s">
        <v>833</v>
      </c>
      <c r="L21" s="168">
        <v>1016.11</v>
      </c>
      <c r="M21" s="168" t="s">
        <v>835</v>
      </c>
      <c r="N21" s="168">
        <v>34.47</v>
      </c>
      <c r="O21" s="168">
        <v>1495155600</v>
      </c>
      <c r="P21" s="168">
        <v>9.4499999999999993</v>
      </c>
      <c r="Q21" s="168">
        <v>341</v>
      </c>
      <c r="R21" s="168">
        <v>9.3800000000000008</v>
      </c>
    </row>
    <row r="22" spans="1:18" x14ac:dyDescent="0.25">
      <c r="A22" s="168">
        <v>27.85</v>
      </c>
      <c r="B22" s="168">
        <v>0.79</v>
      </c>
      <c r="C22" s="168">
        <v>32.5</v>
      </c>
      <c r="D22" s="8">
        <v>42873.833333333336</v>
      </c>
      <c r="E22" s="168">
        <v>0.94</v>
      </c>
      <c r="F22" s="168" t="s">
        <v>833</v>
      </c>
      <c r="G22" s="168">
        <v>400.28</v>
      </c>
      <c r="H22" s="168">
        <v>0.13200000000000001</v>
      </c>
      <c r="I22" s="168">
        <v>1.7399999999999999E-2</v>
      </c>
      <c r="J22" s="168">
        <v>0.59</v>
      </c>
      <c r="K22" s="168" t="s">
        <v>833</v>
      </c>
      <c r="L22" s="168">
        <v>1017.62</v>
      </c>
      <c r="M22" s="168" t="s">
        <v>835</v>
      </c>
      <c r="N22" s="168">
        <v>33.950000000000003</v>
      </c>
      <c r="O22" s="168">
        <v>1495159200</v>
      </c>
      <c r="P22" s="168">
        <v>9.18</v>
      </c>
      <c r="Q22" s="168">
        <v>344</v>
      </c>
      <c r="R22" s="168">
        <v>7.01</v>
      </c>
    </row>
    <row r="23" spans="1:18" x14ac:dyDescent="0.25">
      <c r="A23" s="168">
        <v>28.96</v>
      </c>
      <c r="B23" s="168">
        <v>0.73</v>
      </c>
      <c r="C23" s="168">
        <v>32.840000000000003</v>
      </c>
      <c r="D23" s="8">
        <v>42873.875</v>
      </c>
      <c r="E23" s="168">
        <v>0.95</v>
      </c>
      <c r="F23" s="168" t="s">
        <v>833</v>
      </c>
      <c r="G23" s="168">
        <v>399.55</v>
      </c>
      <c r="H23" s="168">
        <v>0.151</v>
      </c>
      <c r="I23" s="168">
        <v>1.9800000000000002E-2</v>
      </c>
      <c r="J23" s="168">
        <v>0.6</v>
      </c>
      <c r="K23" s="168" t="s">
        <v>833</v>
      </c>
      <c r="L23" s="168">
        <v>1018.83</v>
      </c>
      <c r="M23" s="168" t="s">
        <v>834</v>
      </c>
      <c r="N23" s="168">
        <v>34.18</v>
      </c>
      <c r="O23" s="168">
        <v>1495162800</v>
      </c>
      <c r="P23" s="168">
        <v>8.56</v>
      </c>
      <c r="Q23" s="168">
        <v>342</v>
      </c>
      <c r="R23" s="168">
        <v>5.83</v>
      </c>
    </row>
    <row r="24" spans="1:18" x14ac:dyDescent="0.25">
      <c r="A24" s="168">
        <v>30.91</v>
      </c>
      <c r="B24" s="168">
        <v>0.87</v>
      </c>
      <c r="C24" s="168">
        <v>34.200000000000003</v>
      </c>
      <c r="D24" s="8">
        <v>42873.916666666664</v>
      </c>
      <c r="E24" s="168">
        <v>0.94</v>
      </c>
      <c r="F24" s="168" t="s">
        <v>833</v>
      </c>
      <c r="G24" s="168">
        <v>398.88</v>
      </c>
      <c r="H24" s="168">
        <v>0.11700000000000001</v>
      </c>
      <c r="I24" s="168">
        <v>1.54E-2</v>
      </c>
      <c r="J24" s="168">
        <v>0.56999999999999995</v>
      </c>
      <c r="K24" s="168" t="s">
        <v>833</v>
      </c>
      <c r="L24" s="168">
        <v>1019.6</v>
      </c>
      <c r="M24" s="168" t="s">
        <v>835</v>
      </c>
      <c r="N24" s="168">
        <v>35.69</v>
      </c>
      <c r="O24" s="168">
        <v>1495166400</v>
      </c>
      <c r="P24" s="168">
        <v>7.03</v>
      </c>
      <c r="Q24" s="168">
        <v>335</v>
      </c>
      <c r="R24" s="168">
        <v>5.63</v>
      </c>
    </row>
    <row r="25" spans="1:18" x14ac:dyDescent="0.25">
      <c r="A25" s="168">
        <v>29.98</v>
      </c>
      <c r="B25" s="168">
        <v>0.95</v>
      </c>
      <c r="C25" s="168">
        <v>33.020000000000003</v>
      </c>
      <c r="D25" s="8">
        <v>42873.958333333336</v>
      </c>
      <c r="E25" s="168">
        <v>0.95</v>
      </c>
      <c r="F25" s="168" t="s">
        <v>833</v>
      </c>
      <c r="G25" s="168">
        <v>397.98</v>
      </c>
      <c r="H25" s="168">
        <v>7.0999999999999994E-2</v>
      </c>
      <c r="I25" s="168">
        <v>9.2999999999999992E-3</v>
      </c>
      <c r="J25" s="168">
        <v>0.5</v>
      </c>
      <c r="K25" s="168" t="s">
        <v>833</v>
      </c>
      <c r="L25" s="168">
        <v>1019.96</v>
      </c>
      <c r="M25" s="168" t="s">
        <v>835</v>
      </c>
      <c r="N25" s="168">
        <v>34.24</v>
      </c>
      <c r="O25" s="168">
        <v>1495170000</v>
      </c>
      <c r="P25" s="168">
        <v>5.42</v>
      </c>
      <c r="Q25" s="168">
        <v>328</v>
      </c>
      <c r="R25" s="168">
        <v>4.7</v>
      </c>
    </row>
    <row r="26" spans="1:18" x14ac:dyDescent="0.25">
      <c r="A26" s="168">
        <v>29.42</v>
      </c>
      <c r="B26" s="168">
        <v>1</v>
      </c>
      <c r="C26" s="168">
        <v>32.15</v>
      </c>
      <c r="D26" s="8">
        <v>42874</v>
      </c>
      <c r="E26" s="168">
        <v>0.95</v>
      </c>
      <c r="F26" s="168" t="s">
        <v>833</v>
      </c>
      <c r="G26" s="168">
        <v>396.85</v>
      </c>
      <c r="H26" s="168">
        <v>3.5999999999999997E-2</v>
      </c>
      <c r="I26" s="168">
        <v>4.7000000000000002E-3</v>
      </c>
      <c r="J26" s="168">
        <v>0.19</v>
      </c>
      <c r="K26" s="168" t="s">
        <v>833</v>
      </c>
      <c r="L26" s="168">
        <v>1020.1</v>
      </c>
      <c r="M26" s="168" t="s">
        <v>835</v>
      </c>
      <c r="N26" s="168">
        <v>33.409999999999997</v>
      </c>
      <c r="O26" s="168">
        <v>1495173600</v>
      </c>
      <c r="P26" s="168">
        <v>4.57</v>
      </c>
      <c r="Q26" s="168">
        <v>319</v>
      </c>
      <c r="R26" s="168">
        <v>4.28</v>
      </c>
    </row>
    <row r="27" spans="1:18" x14ac:dyDescent="0.25">
      <c r="A27" s="168">
        <v>33.4</v>
      </c>
      <c r="B27" s="168">
        <v>0.99</v>
      </c>
      <c r="C27" s="168">
        <v>32.270000000000003</v>
      </c>
      <c r="D27" s="8">
        <v>42874.041666666664</v>
      </c>
      <c r="E27" s="168">
        <v>0.96</v>
      </c>
      <c r="F27" s="168" t="s">
        <v>833</v>
      </c>
      <c r="G27" s="168">
        <v>395.3</v>
      </c>
      <c r="H27" s="168">
        <v>3.6999999999999998E-2</v>
      </c>
      <c r="I27" s="168">
        <v>4.8999999999999998E-3</v>
      </c>
      <c r="J27" s="168">
        <v>0.2</v>
      </c>
      <c r="K27" s="168" t="s">
        <v>833</v>
      </c>
      <c r="L27" s="168">
        <v>1019.88</v>
      </c>
      <c r="M27" s="168" t="s">
        <v>835</v>
      </c>
      <c r="N27" s="168">
        <v>33.4</v>
      </c>
      <c r="O27" s="168">
        <v>1495177200</v>
      </c>
      <c r="P27" s="168">
        <v>3.91</v>
      </c>
      <c r="Q27" s="168">
        <v>315</v>
      </c>
      <c r="R27" s="168">
        <v>2.95</v>
      </c>
    </row>
    <row r="28" spans="1:18" x14ac:dyDescent="0.25">
      <c r="A28" s="168">
        <v>30.47</v>
      </c>
      <c r="B28" s="168">
        <v>0.99</v>
      </c>
      <c r="C28" s="168">
        <v>32.21</v>
      </c>
      <c r="D28" s="8">
        <v>42874.083333333336</v>
      </c>
      <c r="E28" s="168">
        <v>0.96</v>
      </c>
      <c r="F28" s="168" t="s">
        <v>833</v>
      </c>
      <c r="G28" s="168">
        <v>393.75</v>
      </c>
      <c r="H28" s="168">
        <v>2.5000000000000001E-2</v>
      </c>
      <c r="I28" s="168">
        <v>3.3E-3</v>
      </c>
      <c r="J28" s="168">
        <v>0.11</v>
      </c>
      <c r="K28" s="168" t="s">
        <v>833</v>
      </c>
      <c r="L28" s="168">
        <v>1019.7</v>
      </c>
      <c r="M28" s="168" t="s">
        <v>836</v>
      </c>
      <c r="N28" s="168">
        <v>33.340000000000003</v>
      </c>
      <c r="O28" s="168">
        <v>1495180800</v>
      </c>
      <c r="P28" s="168">
        <v>4.18</v>
      </c>
      <c r="Q28" s="168">
        <v>319</v>
      </c>
      <c r="R28" s="168">
        <v>3.27</v>
      </c>
    </row>
    <row r="29" spans="1:18" x14ac:dyDescent="0.25">
      <c r="A29" s="168">
        <v>28.85</v>
      </c>
      <c r="B29" s="168">
        <v>0.99</v>
      </c>
      <c r="C29" s="168">
        <v>32.32</v>
      </c>
      <c r="D29" s="8">
        <v>42874.125</v>
      </c>
      <c r="E29" s="168">
        <v>0.97</v>
      </c>
      <c r="F29" s="168" t="s">
        <v>833</v>
      </c>
      <c r="G29" s="168">
        <v>392.21</v>
      </c>
      <c r="H29" s="168">
        <v>2.9000000000000001E-2</v>
      </c>
      <c r="I29" s="168">
        <v>3.8E-3</v>
      </c>
      <c r="J29" s="168">
        <v>0.14000000000000001</v>
      </c>
      <c r="K29" s="168" t="s">
        <v>833</v>
      </c>
      <c r="L29" s="168">
        <v>1019.55</v>
      </c>
      <c r="M29" s="168" t="s">
        <v>835</v>
      </c>
      <c r="N29" s="168">
        <v>33.18</v>
      </c>
      <c r="O29" s="168">
        <v>1495184400</v>
      </c>
      <c r="P29" s="168">
        <v>4.13</v>
      </c>
      <c r="Q29" s="168">
        <v>325</v>
      </c>
      <c r="R29" s="168">
        <v>4.58</v>
      </c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42873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1022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1023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578</v>
      </c>
      <c r="J20" s="143" t="s">
        <v>87</v>
      </c>
      <c r="M20" s="157" t="s">
        <v>371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1024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1025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1026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1027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1028</v>
      </c>
      <c r="J25" s="143" t="s">
        <v>150</v>
      </c>
      <c r="M25" s="157" t="b">
        <v>1</v>
      </c>
    </row>
    <row r="26" spans="3:24" x14ac:dyDescent="0.25">
      <c r="C26" t="s">
        <v>1029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C:\Users\stu\Documents\GitHub\eaglep3-reporting\EC\2017-05-18-refined-times.txt</v>
      </c>
    </row>
    <row r="27" spans="3:24" x14ac:dyDescent="0.25">
      <c r="C27" t="s">
        <v>1030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C:\Users\stu\Documents\GitHub\eaglep3-reporting\EC\2017-05-18-Enforcements.txt</v>
      </c>
    </row>
    <row r="28" spans="3:24" x14ac:dyDescent="0.25">
      <c r="C28" t="s">
        <v>1031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C:\Users\stu\Documents\GitHub\eaglep3-reporting\EC\2017-05-18-Runs-refined.txt</v>
      </c>
    </row>
    <row r="29" spans="3:24" x14ac:dyDescent="0.25">
      <c r="C29" t="s">
        <v>1032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C:\Users\stu\Documents\GitHub\eaglep3-reporting\EC\2017-05-18-Trips.txt</v>
      </c>
    </row>
    <row r="30" spans="3:24" x14ac:dyDescent="0.25">
      <c r="C30" t="s">
        <v>1033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C:\Users\stu\Documents\GitHub\eaglep3-reporting\EC\2017-05-18-Weather.txt</v>
      </c>
    </row>
    <row r="31" spans="3:24" x14ac:dyDescent="0.25">
      <c r="C31" t="s">
        <v>1034</v>
      </c>
      <c r="J31" s="143" t="s">
        <v>200</v>
      </c>
      <c r="M31" s="157" t="s">
        <v>201</v>
      </c>
    </row>
    <row r="32" spans="3:24" x14ac:dyDescent="0.25">
      <c r="C32" t="s">
        <v>1035</v>
      </c>
    </row>
    <row r="33" spans="3:3" x14ac:dyDescent="0.25">
      <c r="C33" t="s">
        <v>1036</v>
      </c>
    </row>
    <row r="34" spans="3:3" x14ac:dyDescent="0.25">
      <c r="C34" t="s">
        <v>1037</v>
      </c>
    </row>
    <row r="35" spans="3:3" x14ac:dyDescent="0.25">
      <c r="C35" t="s">
        <v>1038</v>
      </c>
    </row>
    <row r="36" spans="3:3" x14ac:dyDescent="0.25">
      <c r="C36" t="s">
        <v>1039</v>
      </c>
    </row>
    <row r="37" spans="3:3" x14ac:dyDescent="0.25">
      <c r="C37" t="s">
        <v>1040</v>
      </c>
    </row>
    <row r="38" spans="3:3" x14ac:dyDescent="0.25">
      <c r="C38" t="s">
        <v>1041</v>
      </c>
    </row>
    <row r="39" spans="3:3" x14ac:dyDescent="0.25">
      <c r="C39" t="s">
        <v>1042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2017-05-22T17:47:37Z</dcterms:modified>
</cp:coreProperties>
</file>